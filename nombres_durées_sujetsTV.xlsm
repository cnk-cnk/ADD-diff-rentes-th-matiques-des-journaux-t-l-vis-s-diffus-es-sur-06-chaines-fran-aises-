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c\Documents\Projet\Projet EXCEL\THEMATIQUE_SUJET_TELEVISE_DUREE\"/>
    </mc:Choice>
  </mc:AlternateContent>
  <xr:revisionPtr revIDLastSave="0" documentId="13_ncr:1_{6875F401-B9B9-4836-A56A-2EA61CF24342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nombres_durées_sujetsTV" sheetId="1" r:id="rId1"/>
    <sheet name="TRAITEMENT" sheetId="2" r:id="rId2"/>
    <sheet name="TABLEAU DE BORD" sheetId="4" r:id="rId3"/>
  </sheets>
  <definedNames>
    <definedName name="_xlchart.v1.0" hidden="1">TRAITEMENT!$G$42:$G$47</definedName>
    <definedName name="_xlchart.v1.1" hidden="1">TRAITEMENT!$H$41</definedName>
    <definedName name="_xlchart.v1.2" hidden="1">TRAITEMENT!$H$42:$H$47</definedName>
    <definedName name="_xlchart.v1.3" hidden="1">TRAITEMENT!$I$41</definedName>
    <definedName name="_xlchart.v1.4" hidden="1">TRAITEMENT!$I$42:$I$47</definedName>
    <definedName name="_xlchart.v1.5" hidden="1">TRAITEMENT!$G$42:$G$47</definedName>
    <definedName name="_xlchart.v1.6" hidden="1">TRAITEMENT!$H$41</definedName>
    <definedName name="_xlchart.v1.7" hidden="1">TRAITEMENT!$H$42:$H$47</definedName>
    <definedName name="_xlchart.v1.8" hidden="1">TRAITEMENT!$I$41</definedName>
    <definedName name="_xlchart.v1.9" hidden="1">TRAITEMENT!$I$42:$I$47</definedName>
    <definedName name="DonnéesExternes_1" localSheetId="0" hidden="1">nombres_durées_sujetsTV!$A$1:$F$15876</definedName>
    <definedName name="Segment_Années__Mois">#N/A</definedName>
    <definedName name="Segment_Chaine">#N/A</definedName>
    <definedName name="Segment_Mois">#N/A</definedName>
    <definedName name="Segment_Thématique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2" i="2" l="1"/>
  <c r="G86" i="2"/>
  <c r="K72" i="2"/>
  <c r="K76" i="2"/>
  <c r="K71" i="2"/>
  <c r="K75" i="2"/>
  <c r="K70" i="2"/>
  <c r="K74" i="2"/>
  <c r="K73" i="2"/>
  <c r="J73" i="2"/>
  <c r="J74" i="2"/>
  <c r="I74" i="2"/>
  <c r="J72" i="2"/>
  <c r="J76" i="2"/>
  <c r="J71" i="2"/>
  <c r="J75" i="2"/>
  <c r="J70" i="2"/>
  <c r="I72" i="2"/>
  <c r="I76" i="2"/>
  <c r="I71" i="2"/>
  <c r="I75" i="2"/>
  <c r="I70" i="2"/>
  <c r="I73" i="2"/>
  <c r="G42" i="2"/>
  <c r="G43" i="2"/>
  <c r="G44" i="2"/>
  <c r="G45" i="2"/>
  <c r="G46" i="2"/>
  <c r="G47" i="2"/>
  <c r="I15" i="2"/>
  <c r="I18" i="2"/>
  <c r="I11" i="2"/>
  <c r="I16" i="2"/>
  <c r="I8" i="2"/>
  <c r="I14" i="2"/>
  <c r="I10" i="2"/>
  <c r="I7" i="2"/>
  <c r="I6" i="2"/>
  <c r="I17" i="2"/>
  <c r="I13" i="2"/>
  <c r="I19" i="2"/>
  <c r="I9" i="2"/>
  <c r="I12" i="2"/>
  <c r="H9" i="2"/>
  <c r="H15" i="2"/>
  <c r="H18" i="2"/>
  <c r="H11" i="2"/>
  <c r="H16" i="2"/>
  <c r="H8" i="2"/>
  <c r="H14" i="2"/>
  <c r="H10" i="2"/>
  <c r="H7" i="2"/>
  <c r="H6" i="2"/>
  <c r="H17" i="2"/>
  <c r="H13" i="2"/>
  <c r="H19" i="2"/>
  <c r="H12" i="2"/>
  <c r="H47" i="2"/>
  <c r="H44" i="2"/>
  <c r="H46" i="2"/>
  <c r="H45" i="2"/>
  <c r="H42" i="2"/>
  <c r="H43" i="2"/>
  <c r="L73" i="2" l="1"/>
  <c r="L71" i="2"/>
  <c r="L70" i="2"/>
  <c r="L74" i="2"/>
  <c r="L76" i="2"/>
  <c r="L72" i="2"/>
  <c r="L75" i="2"/>
  <c r="I42" i="2"/>
  <c r="I43" i="2"/>
  <c r="I45" i="2"/>
  <c r="I44" i="2"/>
  <c r="I46" i="2"/>
  <c r="I47" i="2"/>
  <c r="J16" i="2"/>
  <c r="J13" i="2"/>
  <c r="J19" i="2"/>
  <c r="J11" i="2"/>
  <c r="J7" i="2"/>
  <c r="J17" i="2"/>
  <c r="J8" i="2"/>
  <c r="J18" i="2"/>
  <c r="J10" i="2"/>
  <c r="J9" i="2"/>
  <c r="J15" i="2"/>
  <c r="J12" i="2"/>
  <c r="J14" i="2"/>
  <c r="J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Requête - ina-barometre-jt-tv-donnees" description="Connexion à la requête « ina-barometre-jt-tv-donnees » dans le classeur." type="5" refreshedVersion="8" background="1" saveData="1">
    <dbPr connection="Provider=Microsoft.Mashup.OleDb.1;Data Source=$Workbook$;Location=ina-barometre-jt-tv-donnees;Extended Properties=&quot;&quot;" command="SELECT * FROM [ina-barometre-jt-tv-donnees]"/>
  </connection>
  <connection id="2" xr16:uid="{00000000-0015-0000-FFFF-FFFF01000000}" keepAlive="1" name="Requête - ina-barometre-jt-tv-donnees-men" description="Connexion à la requête « ina-barometre-jt-tv-donnees-men » dans le classeur." type="5" refreshedVersion="0" background="1">
    <dbPr connection="Provider=Microsoft.Mashup.OleDb.1;Data Source=$Workbook$;Location=ina-barometre-jt-tv-donnees-men;Extended Properties=&quot;&quot;" command="SELECT * FROM [ina-barometre-jt-tv-donnees-men]"/>
  </connection>
</connections>
</file>

<file path=xl/sharedStrings.xml><?xml version="1.0" encoding="utf-8"?>
<sst xmlns="http://schemas.openxmlformats.org/spreadsheetml/2006/main" count="31875" uniqueCount="58">
  <si>
    <t>Mois</t>
  </si>
  <si>
    <t>Thématique</t>
  </si>
  <si>
    <t>Chaine</t>
  </si>
  <si>
    <t>N° de sujets télévisés</t>
  </si>
  <si>
    <t>Durée (hh/mm/ss)</t>
  </si>
  <si>
    <t>Catastrophes</t>
  </si>
  <si>
    <t>TF1</t>
  </si>
  <si>
    <t>France 2</t>
  </si>
  <si>
    <t>France 3</t>
  </si>
  <si>
    <t>Canal +</t>
  </si>
  <si>
    <t>Arte</t>
  </si>
  <si>
    <t>M6</t>
  </si>
  <si>
    <t>Culture-loisirs</t>
  </si>
  <si>
    <t>Economie</t>
  </si>
  <si>
    <t>Education</t>
  </si>
  <si>
    <t>Environnement</t>
  </si>
  <si>
    <t>Faits divers</t>
  </si>
  <si>
    <t>Histoire-hommages</t>
  </si>
  <si>
    <t>International</t>
  </si>
  <si>
    <t>Justice</t>
  </si>
  <si>
    <t>Politique France</t>
  </si>
  <si>
    <t>Santé</t>
  </si>
  <si>
    <t>Sciences et techniques</t>
  </si>
  <si>
    <t>Société</t>
  </si>
  <si>
    <t>Sport</t>
  </si>
  <si>
    <t>Durée (min)</t>
  </si>
  <si>
    <t>Étiquettes de colonnes</t>
  </si>
  <si>
    <t>Total général</t>
  </si>
  <si>
    <t>Somme de N° de sujets télévisés</t>
  </si>
  <si>
    <t>Étiquettes de lignes</t>
  </si>
  <si>
    <t>Sujets télévisés</t>
  </si>
  <si>
    <t>Max sujets télévisés</t>
  </si>
  <si>
    <t>Thématiques</t>
  </si>
  <si>
    <t>janv</t>
  </si>
  <si>
    <t>févr</t>
  </si>
  <si>
    <t>mars</t>
  </si>
  <si>
    <t>avr</t>
  </si>
  <si>
    <t>mai</t>
  </si>
  <si>
    <t>juin</t>
  </si>
  <si>
    <t>juil</t>
  </si>
  <si>
    <t>août</t>
  </si>
  <si>
    <t>sept</t>
  </si>
  <si>
    <t>oct</t>
  </si>
  <si>
    <t>nov</t>
  </si>
  <si>
    <t>déc</t>
  </si>
  <si>
    <t>Somme de N° de sujets télévisés2</t>
  </si>
  <si>
    <t>Total sujets télévisés</t>
  </si>
  <si>
    <t>Total sujets télévisés sup à la moy</t>
  </si>
  <si>
    <t>Moy de N° de sujets télévisés/ mois</t>
  </si>
  <si>
    <t>Moyenne de Durée (min)</t>
  </si>
  <si>
    <t>Classer la moyenne de n° sujet télévisés/ mois</t>
  </si>
  <si>
    <t>Min. de Chaine</t>
  </si>
  <si>
    <t>Somme de Durée (min)</t>
  </si>
  <si>
    <t>Total ST</t>
  </si>
  <si>
    <t>Durée</t>
  </si>
  <si>
    <t>Temps pour un ST</t>
  </si>
  <si>
    <t>Total distinct de chaines</t>
  </si>
  <si>
    <t>Total distinct thématique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</si>
</sst>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-* #,##0.00_-;\-* #,##0.00_-;_-* &quot;-&quot;??_-;_-@_-"/>
    <numFmt numFmtId="164" formatCode="[$-F400]h:mm:ss\ AM/PM"/>
    <numFmt numFmtId="165" formatCode="_-* #,##0_-;\-* #,##0_-;_-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2" borderId="0" xfId="0" applyFill="1"/>
    <xf numFmtId="0" fontId="0" fillId="0" borderId="0" xfId="0" pivotButton="1"/>
    <xf numFmtId="165" fontId="0" fillId="0" borderId="0" xfId="0" applyNumberFormat="1"/>
    <xf numFmtId="0" fontId="0" fillId="0" borderId="0" xfId="0" applyAlignment="1">
      <alignment horizontal="left"/>
    </xf>
    <xf numFmtId="165" fontId="0" fillId="0" borderId="0" xfId="1" applyNumberFormat="1" applyFont="1"/>
    <xf numFmtId="165" fontId="0" fillId="0" borderId="0" xfId="0" pivotButton="1" applyNumberFormat="1"/>
    <xf numFmtId="9" fontId="0" fillId="0" borderId="0" xfId="2" applyFont="1"/>
    <xf numFmtId="10" fontId="0" fillId="0" borderId="0" xfId="0" applyNumberFormat="1"/>
    <xf numFmtId="2" fontId="0" fillId="0" borderId="0" xfId="0" applyNumberFormat="1"/>
    <xf numFmtId="1" fontId="0" fillId="0" borderId="0" xfId="0" applyNumberFormat="1"/>
    <xf numFmtId="43" fontId="0" fillId="0" borderId="0" xfId="0" applyNumberFormat="1"/>
    <xf numFmtId="0" fontId="0" fillId="3" borderId="0" xfId="0" applyFill="1"/>
  </cellXfs>
  <cellStyles count="3">
    <cellStyle name="Milliers" xfId="1" builtinId="3"/>
    <cellStyle name="Normal" xfId="0" builtinId="0"/>
    <cellStyle name="Pourcentage" xfId="2" builtinId="5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</dxf>
    <dxf>
      <numFmt numFmtId="0" formatCode="General"/>
    </dxf>
    <dxf>
      <numFmt numFmtId="1" formatCode="0"/>
    </dxf>
    <dxf>
      <numFmt numFmtId="1" formatCode="0"/>
    </dxf>
    <dxf>
      <numFmt numFmtId="2" formatCode="0.00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4" formatCode="0.00%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35" formatCode="_-* #,##0.00_-;\-* #,##0.00_-;_-* &quot;-&quot;??_-;_-@_-"/>
    </dxf>
    <dxf>
      <numFmt numFmtId="165" formatCode="_-* #,##0_-;\-* #,##0_-;_-* &quot;-&quot;??_-;_-@_-"/>
    </dxf>
    <dxf>
      <numFmt numFmtId="164" formatCode="[$-F400]h:mm:ss\ AM/PM"/>
    </dxf>
    <dxf>
      <numFmt numFmtId="0" formatCode="General"/>
    </dxf>
    <dxf>
      <numFmt numFmtId="0" formatCode="General"/>
    </dxf>
    <dxf>
      <numFmt numFmtId="19" formatCode="dd/mm/yyyy"/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tyle2" pivot="0" table="0" count="10" xr9:uid="{463E3ABA-44FB-445B-BE9C-2E20F886B018}">
      <tableStyleElement type="wholeTable" dxfId="22"/>
      <tableStyleElement type="headerRow" dxfId="21"/>
    </tableStyle>
  </tableStyles>
  <colors>
    <mruColors>
      <color rgb="FFFAFAFA"/>
      <color rgb="FFC4E0EE"/>
      <color rgb="FF00FFCC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4.9989318521683403E-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tyle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tyles" Target="styles.xml"/><Relationship Id="rId5" Type="http://schemas.microsoft.com/office/2007/relationships/slicerCache" Target="slicerCaches/slicerCache1.xml"/><Relationship Id="rId10" Type="http://schemas.openxmlformats.org/officeDocument/2006/relationships/connections" Target="connection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0185185185185185"/>
          <c:w val="0.93888888888888888"/>
          <c:h val="0.898148148148148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TRAITEMENT!$I$5</c:f>
              <c:strCache>
                <c:ptCount val="1"/>
                <c:pt idx="0">
                  <c:v>Sujets télévisés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TRAITEMENT!$H$6:$H$19</c:f>
              <c:strCache>
                <c:ptCount val="14"/>
                <c:pt idx="0">
                  <c:v>Sciences et techniques</c:v>
                </c:pt>
                <c:pt idx="1">
                  <c:v>Education</c:v>
                </c:pt>
                <c:pt idx="2">
                  <c:v>Histoire-hommages</c:v>
                </c:pt>
                <c:pt idx="3">
                  <c:v>Environnement</c:v>
                </c:pt>
                <c:pt idx="4">
                  <c:v>Faits divers</c:v>
                </c:pt>
                <c:pt idx="5">
                  <c:v>Santé</c:v>
                </c:pt>
                <c:pt idx="6">
                  <c:v>Justice</c:v>
                </c:pt>
                <c:pt idx="7">
                  <c:v>Catastrophes</c:v>
                </c:pt>
                <c:pt idx="8">
                  <c:v>Sport</c:v>
                </c:pt>
                <c:pt idx="9">
                  <c:v>Culture-loisirs</c:v>
                </c:pt>
                <c:pt idx="10">
                  <c:v>Politique France</c:v>
                </c:pt>
                <c:pt idx="11">
                  <c:v>Economie</c:v>
                </c:pt>
                <c:pt idx="12">
                  <c:v>International</c:v>
                </c:pt>
                <c:pt idx="13">
                  <c:v>Société</c:v>
                </c:pt>
              </c:strCache>
            </c:strRef>
          </c:cat>
          <c:val>
            <c:numRef>
              <c:f>TRAITEMENT!$I$6:$I$19</c:f>
              <c:numCache>
                <c:formatCode>_-* #\ ##0_-;\-* #\ ##0_-;_-* "-"??_-;_-@_-</c:formatCode>
                <c:ptCount val="14"/>
                <c:pt idx="0">
                  <c:v>9421</c:v>
                </c:pt>
                <c:pt idx="1">
                  <c:v>9681</c:v>
                </c:pt>
                <c:pt idx="2">
                  <c:v>10941</c:v>
                </c:pt>
                <c:pt idx="3">
                  <c:v>21003</c:v>
                </c:pt>
                <c:pt idx="4">
                  <c:v>22548</c:v>
                </c:pt>
                <c:pt idx="5">
                  <c:v>24508</c:v>
                </c:pt>
                <c:pt idx="6">
                  <c:v>26299</c:v>
                </c:pt>
                <c:pt idx="7">
                  <c:v>31543</c:v>
                </c:pt>
                <c:pt idx="8">
                  <c:v>34102</c:v>
                </c:pt>
                <c:pt idx="9">
                  <c:v>35927</c:v>
                </c:pt>
                <c:pt idx="10">
                  <c:v>44022</c:v>
                </c:pt>
                <c:pt idx="11">
                  <c:v>44622</c:v>
                </c:pt>
                <c:pt idx="12">
                  <c:v>80913</c:v>
                </c:pt>
                <c:pt idx="13">
                  <c:v>85003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97-45E1-8FDA-9CCAE5B82294}"/>
            </c:ext>
          </c:extLst>
        </c:ser>
        <c:ser>
          <c:idx val="1"/>
          <c:order val="1"/>
          <c:tx>
            <c:strRef>
              <c:f>TRAITEMENT!$J$5</c:f>
              <c:strCache>
                <c:ptCount val="1"/>
                <c:pt idx="0">
                  <c:v>Max sujets télévisés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TRAITEMENT!$H$6:$H$19</c:f>
              <c:strCache>
                <c:ptCount val="14"/>
                <c:pt idx="0">
                  <c:v>Sciences et techniques</c:v>
                </c:pt>
                <c:pt idx="1">
                  <c:v>Education</c:v>
                </c:pt>
                <c:pt idx="2">
                  <c:v>Histoire-hommages</c:v>
                </c:pt>
                <c:pt idx="3">
                  <c:v>Environnement</c:v>
                </c:pt>
                <c:pt idx="4">
                  <c:v>Faits divers</c:v>
                </c:pt>
                <c:pt idx="5">
                  <c:v>Santé</c:v>
                </c:pt>
                <c:pt idx="6">
                  <c:v>Justice</c:v>
                </c:pt>
                <c:pt idx="7">
                  <c:v>Catastrophes</c:v>
                </c:pt>
                <c:pt idx="8">
                  <c:v>Sport</c:v>
                </c:pt>
                <c:pt idx="9">
                  <c:v>Culture-loisirs</c:v>
                </c:pt>
                <c:pt idx="10">
                  <c:v>Politique France</c:v>
                </c:pt>
                <c:pt idx="11">
                  <c:v>Economie</c:v>
                </c:pt>
                <c:pt idx="12">
                  <c:v>International</c:v>
                </c:pt>
                <c:pt idx="13">
                  <c:v>Société</c:v>
                </c:pt>
              </c:strCache>
            </c:strRef>
          </c:cat>
          <c:val>
            <c:numRef>
              <c:f>TRAITEMENT!$J$6:$J$19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85003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97-45E1-8FDA-9CCAE5B822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100"/>
        <c:axId val="985578928"/>
        <c:axId val="985587568"/>
      </c:barChart>
      <c:catAx>
        <c:axId val="9855789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5587568"/>
        <c:crosses val="autoZero"/>
        <c:auto val="1"/>
        <c:lblAlgn val="ctr"/>
        <c:lblOffset val="100"/>
        <c:noMultiLvlLbl val="0"/>
      </c:catAx>
      <c:valAx>
        <c:axId val="985587568"/>
        <c:scaling>
          <c:orientation val="minMax"/>
        </c:scaling>
        <c:delete val="1"/>
        <c:axPos val="b"/>
        <c:numFmt formatCode="_-* #\ ##0_-;\-* #\ ##0_-;_-* &quot;-&quot;??_-;_-@_-" sourceLinked="1"/>
        <c:majorTickMark val="none"/>
        <c:minorTickMark val="none"/>
        <c:tickLblPos val="nextTo"/>
        <c:crossAx val="98557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[nombres_durées_sujetsTV.xlsm]TRAITEMENT!TCD3</c:name>
    <c:fmtId val="0"/>
  </c:pivotSource>
  <c:chart>
    <c:autoTitleDeleted val="0"/>
    <c:pivotFmts>
      <c:pivotFmt>
        <c:idx val="0"/>
        <c:spPr>
          <a:gradFill>
            <a:gsLst>
              <a:gs pos="0">
                <a:schemeClr val="accent1">
                  <a:lumMod val="25000"/>
                  <a:lumOff val="75000"/>
                </a:schemeClr>
              </a:gs>
              <a:gs pos="75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TRAITEMENT!$F$22</c:f>
              <c:strCache>
                <c:ptCount val="1"/>
                <c:pt idx="0">
                  <c:v>Somme de N° de sujets télévisés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25000"/>
                    <a:lumOff val="75000"/>
                  </a:schemeClr>
                </a:gs>
                <a:gs pos="75000">
                  <a:schemeClr val="bg1">
                    <a:alpha val="50000"/>
                    <a:lumMod val="25000"/>
                    <a:lumOff val="75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TRAITEMENT!$E$23:$E$35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TRAITEMENT!$F$23:$F$35</c:f>
              <c:numCache>
                <c:formatCode>_-* #\ ##0_-;\-* #\ ##0_-;_-* "-"??_-;_-@_-</c:formatCode>
                <c:ptCount val="12"/>
                <c:pt idx="0">
                  <c:v>42254</c:v>
                </c:pt>
                <c:pt idx="1">
                  <c:v>37655</c:v>
                </c:pt>
                <c:pt idx="2">
                  <c:v>42477</c:v>
                </c:pt>
                <c:pt idx="3">
                  <c:v>40147</c:v>
                </c:pt>
                <c:pt idx="4">
                  <c:v>42296</c:v>
                </c:pt>
                <c:pt idx="5">
                  <c:v>40093</c:v>
                </c:pt>
                <c:pt idx="6">
                  <c:v>42050</c:v>
                </c:pt>
                <c:pt idx="7">
                  <c:v>39930</c:v>
                </c:pt>
                <c:pt idx="8">
                  <c:v>39821</c:v>
                </c:pt>
                <c:pt idx="9">
                  <c:v>38576</c:v>
                </c:pt>
                <c:pt idx="10">
                  <c:v>37558</c:v>
                </c:pt>
                <c:pt idx="11">
                  <c:v>37676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7A8-BA49-4724901CA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585048"/>
        <c:axId val="985585768"/>
      </c:areaChart>
      <c:lineChart>
        <c:grouping val="standard"/>
        <c:varyColors val="0"/>
        <c:ser>
          <c:idx val="1"/>
          <c:order val="1"/>
          <c:tx>
            <c:strRef>
              <c:f>TRAITEMENT!$G$22</c:f>
              <c:strCache>
                <c:ptCount val="1"/>
                <c:pt idx="0">
                  <c:v>Somme de N° de sujets télévisés2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TRAITEMENT!$E$23:$E$35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TRAITEMENT!$G$23:$G$35</c:f>
              <c:numCache>
                <c:formatCode>_-* #\ ##0_-;\-* #\ ##0_-;_-* "-"??_-;_-@_-</c:formatCode>
                <c:ptCount val="12"/>
                <c:pt idx="0">
                  <c:v>42254</c:v>
                </c:pt>
                <c:pt idx="1">
                  <c:v>37655</c:v>
                </c:pt>
                <c:pt idx="2">
                  <c:v>42477</c:v>
                </c:pt>
                <c:pt idx="3">
                  <c:v>40147</c:v>
                </c:pt>
                <c:pt idx="4">
                  <c:v>42296</c:v>
                </c:pt>
                <c:pt idx="5">
                  <c:v>40093</c:v>
                </c:pt>
                <c:pt idx="6">
                  <c:v>42050</c:v>
                </c:pt>
                <c:pt idx="7">
                  <c:v>39930</c:v>
                </c:pt>
                <c:pt idx="8">
                  <c:v>39821</c:v>
                </c:pt>
                <c:pt idx="9">
                  <c:v>38576</c:v>
                </c:pt>
                <c:pt idx="10">
                  <c:v>37558</c:v>
                </c:pt>
                <c:pt idx="11">
                  <c:v>37676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539-47A8-BA49-4724901CA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5585048"/>
        <c:axId val="985585768"/>
      </c:lineChart>
      <c:catAx>
        <c:axId val="985585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585768"/>
        <c:crosses val="autoZero"/>
        <c:auto val="1"/>
        <c:lblAlgn val="ctr"/>
        <c:lblOffset val="100"/>
        <c:noMultiLvlLbl val="0"/>
      </c:catAx>
      <c:valAx>
        <c:axId val="985585768"/>
        <c:scaling>
          <c:orientation val="minMax"/>
        </c:scaling>
        <c:delete val="1"/>
        <c:axPos val="l"/>
        <c:numFmt formatCode="_-* #\ ##0_-;\-* #\ ##0_-;_-* &quot;-&quot;??_-;_-@_-" sourceLinked="1"/>
        <c:majorTickMark val="none"/>
        <c:minorTickMark val="none"/>
        <c:tickLblPos val="nextTo"/>
        <c:crossAx val="985585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2.1852565444569444E-3"/>
          <c:w val="0.96944444444444444"/>
          <c:h val="0.9969931426041748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TRAITEMENT!$I$5</c:f>
              <c:strCache>
                <c:ptCount val="1"/>
                <c:pt idx="0">
                  <c:v>Sujets télévisés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TRAITEMENT!$H$6:$H$19</c:f>
              <c:strCache>
                <c:ptCount val="14"/>
                <c:pt idx="0">
                  <c:v>Sciences et techniques</c:v>
                </c:pt>
                <c:pt idx="1">
                  <c:v>Education</c:v>
                </c:pt>
                <c:pt idx="2">
                  <c:v>Histoire-hommages</c:v>
                </c:pt>
                <c:pt idx="3">
                  <c:v>Environnement</c:v>
                </c:pt>
                <c:pt idx="4">
                  <c:v>Faits divers</c:v>
                </c:pt>
                <c:pt idx="5">
                  <c:v>Santé</c:v>
                </c:pt>
                <c:pt idx="6">
                  <c:v>Justice</c:v>
                </c:pt>
                <c:pt idx="7">
                  <c:v>Catastrophes</c:v>
                </c:pt>
                <c:pt idx="8">
                  <c:v>Sport</c:v>
                </c:pt>
                <c:pt idx="9">
                  <c:v>Culture-loisirs</c:v>
                </c:pt>
                <c:pt idx="10">
                  <c:v>Politique France</c:v>
                </c:pt>
                <c:pt idx="11">
                  <c:v>Economie</c:v>
                </c:pt>
                <c:pt idx="12">
                  <c:v>International</c:v>
                </c:pt>
                <c:pt idx="13">
                  <c:v>Société</c:v>
                </c:pt>
              </c:strCache>
            </c:strRef>
          </c:cat>
          <c:val>
            <c:numRef>
              <c:f>TRAITEMENT!$I$6:$I$19</c:f>
              <c:numCache>
                <c:formatCode>_-* #\ ##0_-;\-* #\ ##0_-;_-* "-"??_-;_-@_-</c:formatCode>
                <c:ptCount val="14"/>
                <c:pt idx="0">
                  <c:v>9421</c:v>
                </c:pt>
                <c:pt idx="1">
                  <c:v>9681</c:v>
                </c:pt>
                <c:pt idx="2">
                  <c:v>10941</c:v>
                </c:pt>
                <c:pt idx="3">
                  <c:v>21003</c:v>
                </c:pt>
                <c:pt idx="4">
                  <c:v>22548</c:v>
                </c:pt>
                <c:pt idx="5">
                  <c:v>24508</c:v>
                </c:pt>
                <c:pt idx="6">
                  <c:v>26299</c:v>
                </c:pt>
                <c:pt idx="7">
                  <c:v>31543</c:v>
                </c:pt>
                <c:pt idx="8">
                  <c:v>34102</c:v>
                </c:pt>
                <c:pt idx="9">
                  <c:v>35927</c:v>
                </c:pt>
                <c:pt idx="10">
                  <c:v>44022</c:v>
                </c:pt>
                <c:pt idx="11">
                  <c:v>44622</c:v>
                </c:pt>
                <c:pt idx="12">
                  <c:v>80913</c:v>
                </c:pt>
                <c:pt idx="13">
                  <c:v>85003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E0-491E-9792-A72386F22CBB}"/>
            </c:ext>
          </c:extLst>
        </c:ser>
        <c:ser>
          <c:idx val="1"/>
          <c:order val="1"/>
          <c:tx>
            <c:strRef>
              <c:f>TRAITEMENT!$J$5</c:f>
              <c:strCache>
                <c:ptCount val="1"/>
                <c:pt idx="0">
                  <c:v>Max sujets télévisés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TRAITEMENT!$H$6:$H$19</c:f>
              <c:strCache>
                <c:ptCount val="14"/>
                <c:pt idx="0">
                  <c:v>Sciences et techniques</c:v>
                </c:pt>
                <c:pt idx="1">
                  <c:v>Education</c:v>
                </c:pt>
                <c:pt idx="2">
                  <c:v>Histoire-hommages</c:v>
                </c:pt>
                <c:pt idx="3">
                  <c:v>Environnement</c:v>
                </c:pt>
                <c:pt idx="4">
                  <c:v>Faits divers</c:v>
                </c:pt>
                <c:pt idx="5">
                  <c:v>Santé</c:v>
                </c:pt>
                <c:pt idx="6">
                  <c:v>Justice</c:v>
                </c:pt>
                <c:pt idx="7">
                  <c:v>Catastrophes</c:v>
                </c:pt>
                <c:pt idx="8">
                  <c:v>Sport</c:v>
                </c:pt>
                <c:pt idx="9">
                  <c:v>Culture-loisirs</c:v>
                </c:pt>
                <c:pt idx="10">
                  <c:v>Politique France</c:v>
                </c:pt>
                <c:pt idx="11">
                  <c:v>Economie</c:v>
                </c:pt>
                <c:pt idx="12">
                  <c:v>International</c:v>
                </c:pt>
                <c:pt idx="13">
                  <c:v>Société</c:v>
                </c:pt>
              </c:strCache>
            </c:strRef>
          </c:cat>
          <c:val>
            <c:numRef>
              <c:f>TRAITEMENT!$J$6:$J$19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85003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E0-491E-9792-A72386F22C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100"/>
        <c:axId val="985578928"/>
        <c:axId val="985587568"/>
      </c:barChart>
      <c:catAx>
        <c:axId val="985578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85587568"/>
        <c:crosses val="autoZero"/>
        <c:auto val="1"/>
        <c:lblAlgn val="ctr"/>
        <c:lblOffset val="100"/>
        <c:noMultiLvlLbl val="0"/>
      </c:catAx>
      <c:valAx>
        <c:axId val="985587568"/>
        <c:scaling>
          <c:orientation val="minMax"/>
        </c:scaling>
        <c:delete val="1"/>
        <c:axPos val="b"/>
        <c:numFmt formatCode="_-* #\ ##0_-;\-* #\ ##0_-;_-* &quot;-&quot;??_-;_-@_-" sourceLinked="1"/>
        <c:majorTickMark val="out"/>
        <c:minorTickMark val="none"/>
        <c:tickLblPos val="nextTo"/>
        <c:crossAx val="98557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[nombres_durées_sujetsTV.xlsm]TRAITEMENT!TCD3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tx1"/>
                </a:solidFill>
              </a:rPr>
              <a:t>Total</a:t>
            </a:r>
            <a:r>
              <a:rPr lang="fr-FR" baseline="0">
                <a:solidFill>
                  <a:schemeClr val="tx1"/>
                </a:solidFill>
              </a:rPr>
              <a:t> des sujets de journaux télévisés</a:t>
            </a:r>
            <a:endParaRPr lang="fr-FR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gradFill>
            <a:gsLst>
              <a:gs pos="0">
                <a:schemeClr val="accent1">
                  <a:lumMod val="25000"/>
                  <a:lumOff val="75000"/>
                </a:schemeClr>
              </a:gs>
              <a:gs pos="75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>
                  <a:lumMod val="25000"/>
                  <a:lumOff val="75000"/>
                </a:schemeClr>
              </a:gs>
              <a:gs pos="75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>
                  <a:lumMod val="25000"/>
                  <a:lumOff val="75000"/>
                </a:schemeClr>
              </a:gs>
              <a:gs pos="75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>
            <a:gsLst>
              <a:gs pos="0">
                <a:schemeClr val="accent1">
                  <a:lumMod val="25000"/>
                  <a:lumOff val="75000"/>
                </a:schemeClr>
              </a:gs>
              <a:gs pos="75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>
            <a:gsLst>
              <a:gs pos="0">
                <a:schemeClr val="accent1">
                  <a:lumMod val="25000"/>
                  <a:lumOff val="75000"/>
                </a:schemeClr>
              </a:gs>
              <a:gs pos="75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>
            <a:gsLst>
              <a:gs pos="0">
                <a:schemeClr val="accent1">
                  <a:lumMod val="25000"/>
                  <a:lumOff val="75000"/>
                </a:schemeClr>
              </a:gs>
              <a:gs pos="75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>
            <a:gsLst>
              <a:gs pos="0">
                <a:schemeClr val="accent1">
                  <a:lumMod val="25000"/>
                  <a:lumOff val="75000"/>
                </a:schemeClr>
              </a:gs>
              <a:gs pos="75000">
                <a:schemeClr val="bg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TRAITEMENT!$F$22</c:f>
              <c:strCache>
                <c:ptCount val="1"/>
                <c:pt idx="0">
                  <c:v>Somme de N° de sujets télévisés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25000"/>
                    <a:lumOff val="75000"/>
                  </a:schemeClr>
                </a:gs>
                <a:gs pos="75000">
                  <a:schemeClr val="bg1">
                    <a:alpha val="50000"/>
                    <a:lumMod val="25000"/>
                    <a:lumOff val="75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TRAITEMENT!$E$23:$E$35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TRAITEMENT!$F$23:$F$35</c:f>
              <c:numCache>
                <c:formatCode>_-* #\ ##0_-;\-* #\ ##0_-;_-* "-"??_-;_-@_-</c:formatCode>
                <c:ptCount val="12"/>
                <c:pt idx="0">
                  <c:v>42254</c:v>
                </c:pt>
                <c:pt idx="1">
                  <c:v>37655</c:v>
                </c:pt>
                <c:pt idx="2">
                  <c:v>42477</c:v>
                </c:pt>
                <c:pt idx="3">
                  <c:v>40147</c:v>
                </c:pt>
                <c:pt idx="4">
                  <c:v>42296</c:v>
                </c:pt>
                <c:pt idx="5">
                  <c:v>40093</c:v>
                </c:pt>
                <c:pt idx="6">
                  <c:v>42050</c:v>
                </c:pt>
                <c:pt idx="7">
                  <c:v>39930</c:v>
                </c:pt>
                <c:pt idx="8">
                  <c:v>39821</c:v>
                </c:pt>
                <c:pt idx="9">
                  <c:v>38576</c:v>
                </c:pt>
                <c:pt idx="10">
                  <c:v>37558</c:v>
                </c:pt>
                <c:pt idx="11">
                  <c:v>37676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2E-4CE6-B98D-461834B08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585048"/>
        <c:axId val="985585768"/>
      </c:areaChart>
      <c:lineChart>
        <c:grouping val="standard"/>
        <c:varyColors val="0"/>
        <c:ser>
          <c:idx val="1"/>
          <c:order val="1"/>
          <c:tx>
            <c:strRef>
              <c:f>TRAITEMENT!$G$22</c:f>
              <c:strCache>
                <c:ptCount val="1"/>
                <c:pt idx="0">
                  <c:v>Somme de N° de sujets télévisés2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TRAITEMENT!$E$23:$E$35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TRAITEMENT!$G$23:$G$35</c:f>
              <c:numCache>
                <c:formatCode>_-* #\ ##0_-;\-* #\ ##0_-;_-* "-"??_-;_-@_-</c:formatCode>
                <c:ptCount val="12"/>
                <c:pt idx="0">
                  <c:v>42254</c:v>
                </c:pt>
                <c:pt idx="1">
                  <c:v>37655</c:v>
                </c:pt>
                <c:pt idx="2">
                  <c:v>42477</c:v>
                </c:pt>
                <c:pt idx="3">
                  <c:v>40147</c:v>
                </c:pt>
                <c:pt idx="4">
                  <c:v>42296</c:v>
                </c:pt>
                <c:pt idx="5">
                  <c:v>40093</c:v>
                </c:pt>
                <c:pt idx="6">
                  <c:v>42050</c:v>
                </c:pt>
                <c:pt idx="7">
                  <c:v>39930</c:v>
                </c:pt>
                <c:pt idx="8">
                  <c:v>39821</c:v>
                </c:pt>
                <c:pt idx="9">
                  <c:v>38576</c:v>
                </c:pt>
                <c:pt idx="10">
                  <c:v>37558</c:v>
                </c:pt>
                <c:pt idx="11">
                  <c:v>37676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22E-4CE6-B98D-461834B08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5585048"/>
        <c:axId val="985585768"/>
      </c:lineChart>
      <c:catAx>
        <c:axId val="985585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585768"/>
        <c:crosses val="autoZero"/>
        <c:auto val="1"/>
        <c:lblAlgn val="ctr"/>
        <c:lblOffset val="100"/>
        <c:noMultiLvlLbl val="0"/>
      </c:catAx>
      <c:valAx>
        <c:axId val="985585768"/>
        <c:scaling>
          <c:orientation val="minMax"/>
        </c:scaling>
        <c:delete val="1"/>
        <c:axPos val="l"/>
        <c:numFmt formatCode="_-* #\ ##0_-;\-* #\ ##0_-;_-* &quot;-&quot;??_-;_-@_-" sourceLinked="1"/>
        <c:majorTickMark val="none"/>
        <c:minorTickMark val="none"/>
        <c:tickLblPos val="nextTo"/>
        <c:crossAx val="985585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  <cx:data id="1">
      <cx:strDim type="cat">
        <cx:f>_xlchart.v1.0</cx:f>
      </cx:strDim>
      <cx:numDim type="size">
        <cx:f>_xlchart.v1.4</cx:f>
      </cx:numDim>
    </cx:data>
  </cx:chartData>
  <cx:chart>
    <cx:title pos="t" align="ctr" overlay="0"/>
    <cx:plotArea>
      <cx:plotAreaRegion>
        <cx:series layoutId="treemap" uniqueId="{7007DF87-DF34-46A9-83D4-600AFF687498}" formatIdx="0">
          <cx:tx>
            <cx:txData>
              <cx:f>_xlchart.v1.1</cx:f>
              <cx:v>Total sujets télévisés</cx:v>
            </cx:txData>
          </cx:tx>
          <cx:dataPt idx="0">
            <cx:spPr>
              <a:solidFill>
                <a:srgbClr val="E7E6E6">
                  <a:lumMod val="75000"/>
                </a:srgbClr>
              </a:solidFill>
            </cx:spPr>
          </cx:dataPt>
          <cx:dataPt idx="1">
            <cx:spPr>
              <a:solidFill>
                <a:srgbClr val="E7E6E6">
                  <a:lumMod val="90000"/>
                </a:srgbClr>
              </a:solidFill>
            </cx:spPr>
          </cx:dataPt>
          <cx:dataPt idx="2">
            <cx:spPr>
              <a:solidFill>
                <a:srgbClr val="4472C4">
                  <a:lumMod val="75000"/>
                </a:srgbClr>
              </a:solidFill>
            </cx:spPr>
          </cx:dataPt>
          <cx:dataPt idx="3">
            <cx:spPr>
              <a:solidFill>
                <a:srgbClr val="E7E6E6">
                  <a:lumMod val="75000"/>
                </a:srgbClr>
              </a:solidFill>
            </cx:spPr>
          </cx:dataPt>
          <cx:dataPt idx="4">
            <cx:spPr>
              <a:solidFill>
                <a:srgbClr val="E7E6E6">
                  <a:lumMod val="75000"/>
                </a:srgbClr>
              </a:solidFill>
            </cx:spPr>
          </cx:dataPt>
          <cx:dataPt idx="5">
            <cx:spPr>
              <a:solidFill>
                <a:srgbClr val="4472C4">
                  <a:lumMod val="60000"/>
                  <a:lumOff val="40000"/>
                </a:srgbClr>
              </a:solidFill>
            </cx:spPr>
          </cx:dataPt>
          <cx:dataLabels>
            <cx:visibility seriesName="0" categoryName="1" value="1"/>
            <cx:separator>; </cx:separator>
          </cx:dataLabels>
          <cx:dataId val="0"/>
          <cx:layoutPr>
            <cx:parentLabelLayout val="overlapping"/>
          </cx:layoutPr>
        </cx:series>
        <cx:series layoutId="treemap" hidden="1" uniqueId="{4701A853-8036-4FFD-9A87-9CF343BBE973}" formatIdx="1">
          <cx:tx>
            <cx:txData>
              <cx:f>_xlchart.v1.3</cx:f>
              <cx:v>Total sujets télévisés sup à la moy</cx:v>
            </cx:txData>
          </cx:tx>
          <cx:dataLabels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</cx:chart>
  <cx:spPr>
    <a:noFill/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size">
        <cx:f>_xlchart.v1.7</cx:f>
      </cx:numDim>
    </cx:data>
    <cx:data id="1">
      <cx:strDim type="cat">
        <cx:f>_xlchart.v1.5</cx:f>
      </cx:strDim>
      <cx:numDim type="size">
        <cx:f>_xlchart.v1.9</cx:f>
      </cx:numDim>
    </cx:data>
  </cx:chartData>
  <cx:chart>
    <cx:title pos="t" align="ctr" overlay="0">
      <cx:tx>
        <cx:txData>
          <cx:v>% des sujets de JT/ chaine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fr-FR" sz="1100" b="0" i="0" u="none" strike="noStrike" baseline="0">
              <a:solidFill>
                <a:schemeClr val="tx1"/>
              </a:solidFill>
              <a:latin typeface="+mn-lt"/>
            </a:rPr>
            <a:t>% des sujets de JT/ chaine</a:t>
          </a:r>
        </a:p>
      </cx:txPr>
    </cx:title>
    <cx:plotArea>
      <cx:plotAreaRegion>
        <cx:series layoutId="treemap" uniqueId="{7007DF87-DF34-46A9-83D4-600AFF687498}" formatIdx="0">
          <cx:tx>
            <cx:txData>
              <cx:f>_xlchart.v1.6</cx:f>
              <cx:v>Total sujets télévisés</cx:v>
            </cx:txData>
          </cx:tx>
          <cx:dataPt idx="0">
            <cx:spPr>
              <a:solidFill>
                <a:srgbClr val="E7E6E6">
                  <a:lumMod val="75000"/>
                </a:srgbClr>
              </a:solidFill>
            </cx:spPr>
          </cx:dataPt>
          <cx:dataPt idx="1">
            <cx:spPr>
              <a:solidFill>
                <a:srgbClr val="E7E6E6">
                  <a:lumMod val="90000"/>
                </a:srgbClr>
              </a:solidFill>
            </cx:spPr>
          </cx:dataPt>
          <cx:dataPt idx="2">
            <cx:spPr>
              <a:solidFill>
                <a:srgbClr val="4472C4">
                  <a:lumMod val="75000"/>
                </a:srgbClr>
              </a:solidFill>
            </cx:spPr>
          </cx:dataPt>
          <cx:dataPt idx="3">
            <cx:spPr>
              <a:solidFill>
                <a:srgbClr val="E7E6E6">
                  <a:lumMod val="75000"/>
                </a:srgbClr>
              </a:solidFill>
            </cx:spPr>
          </cx:dataPt>
          <cx:dataPt idx="4">
            <cx:spPr>
              <a:solidFill>
                <a:srgbClr val="E7E6E6">
                  <a:lumMod val="75000"/>
                </a:srgbClr>
              </a:solidFill>
            </cx:spPr>
          </cx:dataPt>
          <cx:dataPt idx="5">
            <cx:spPr>
              <a:solidFill>
                <a:srgbClr val="4472C4">
                  <a:lumMod val="60000"/>
                  <a:lumOff val="40000"/>
                </a:srgbClr>
              </a:solidFill>
            </cx:spPr>
          </cx:dataPt>
          <cx:dataLabels>
            <cx:visibility seriesName="0" categoryName="1" value="1"/>
            <cx:separator>; </cx:separator>
          </cx:dataLabels>
          <cx:dataId val="0"/>
          <cx:layoutPr>
            <cx:parentLabelLayout val="overlapping"/>
          </cx:layoutPr>
        </cx:series>
        <cx:series layoutId="treemap" hidden="1" uniqueId="{4701A853-8036-4FFD-9A87-9CF343BBE973}" formatIdx="1">
          <cx:tx>
            <cx:txData>
              <cx:f>_xlchart.v1.8</cx:f>
              <cx:v>Total sujets télévisés sup à la moy</cx:v>
            </cx:txData>
          </cx:tx>
          <cx:dataLabels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14/relationships/chartEx" Target="../charts/chartEx2.xml"/><Relationship Id="rId3" Type="http://schemas.openxmlformats.org/officeDocument/2006/relationships/image" Target="../media/image3.png"/><Relationship Id="rId7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10" Type="http://schemas.openxmlformats.org/officeDocument/2006/relationships/image" Target="../media/image7.png"/><Relationship Id="rId4" Type="http://schemas.openxmlformats.org/officeDocument/2006/relationships/image" Target="../media/image4.png"/><Relationship Id="rId9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523875</xdr:colOff>
      <xdr:row>30</xdr:row>
      <xdr:rowOff>180976</xdr:rowOff>
    </xdr:from>
    <xdr:to>
      <xdr:col>3</xdr:col>
      <xdr:colOff>485775</xdr:colOff>
      <xdr:row>39</xdr:row>
      <xdr:rowOff>161926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ois">
              <a:extLst>
                <a:ext uri="{FF2B5EF4-FFF2-40B4-BE49-F238E27FC236}">
                  <a16:creationId xmlns:a16="http://schemas.microsoft.com/office/drawing/2014/main" id="{7B14896F-4EB4-36BF-FAFF-9184C3FBD6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3875" y="5895976"/>
              <a:ext cx="22479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360552</xdr:colOff>
      <xdr:row>68</xdr:row>
      <xdr:rowOff>12095</xdr:rowOff>
    </xdr:from>
    <xdr:to>
      <xdr:col>3</xdr:col>
      <xdr:colOff>284352</xdr:colOff>
      <xdr:row>75</xdr:row>
      <xdr:rowOff>97820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hématique">
              <a:extLst>
                <a:ext uri="{FF2B5EF4-FFF2-40B4-BE49-F238E27FC236}">
                  <a16:creationId xmlns:a16="http://schemas.microsoft.com/office/drawing/2014/main" id="{5D7F6699-8C8C-13F3-3487-F0912C97D07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hématiqu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0552" y="12966095"/>
              <a:ext cx="2209800" cy="1419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420156</xdr:colOff>
      <xdr:row>49</xdr:row>
      <xdr:rowOff>152399</xdr:rowOff>
    </xdr:from>
    <xdr:to>
      <xdr:col>3</xdr:col>
      <xdr:colOff>315381</xdr:colOff>
      <xdr:row>63</xdr:row>
      <xdr:rowOff>9524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haine">
              <a:extLst>
                <a:ext uri="{FF2B5EF4-FFF2-40B4-BE49-F238E27FC236}">
                  <a16:creationId xmlns:a16="http://schemas.microsoft.com/office/drawing/2014/main" id="{223D864C-D022-75CD-87E1-D1B37988751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hain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0156" y="9486899"/>
              <a:ext cx="218122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10</xdr:col>
      <xdr:colOff>142875</xdr:colOff>
      <xdr:row>4</xdr:row>
      <xdr:rowOff>4762</xdr:rowOff>
    </xdr:from>
    <xdr:to>
      <xdr:col>16</xdr:col>
      <xdr:colOff>238125</xdr:colOff>
      <xdr:row>18</xdr:row>
      <xdr:rowOff>80962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EC021594-47EB-A38E-4B28-7AB6D164E7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161925</xdr:colOff>
      <xdr:row>21</xdr:row>
      <xdr:rowOff>4762</xdr:rowOff>
    </xdr:from>
    <xdr:to>
      <xdr:col>14</xdr:col>
      <xdr:colOff>114300</xdr:colOff>
      <xdr:row>35</xdr:row>
      <xdr:rowOff>80962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E5AEF27-5177-ECB1-EB45-B997F8402E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457200</xdr:colOff>
      <xdr:row>35</xdr:row>
      <xdr:rowOff>119062</xdr:rowOff>
    </xdr:from>
    <xdr:to>
      <xdr:col>16</xdr:col>
      <xdr:colOff>28575</xdr:colOff>
      <xdr:row>50</xdr:row>
      <xdr:rowOff>4762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Graphique 9">
              <a:extLst>
                <a:ext uri="{FF2B5EF4-FFF2-40B4-BE49-F238E27FC236}">
                  <a16:creationId xmlns:a16="http://schemas.microsoft.com/office/drawing/2014/main" id="{DDB81598-7D5E-2E99-D791-944E033B278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48900" y="6786562"/>
              <a:ext cx="52768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719667</xdr:colOff>
      <xdr:row>20</xdr:row>
      <xdr:rowOff>155575</xdr:rowOff>
    </xdr:from>
    <xdr:to>
      <xdr:col>16</xdr:col>
      <xdr:colOff>396875</xdr:colOff>
      <xdr:row>34</xdr:row>
      <xdr:rowOff>12700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Années (Mois)">
              <a:extLst>
                <a:ext uri="{FF2B5EF4-FFF2-40B4-BE49-F238E27FC236}">
                  <a16:creationId xmlns:a16="http://schemas.microsoft.com/office/drawing/2014/main" id="{452B17E0-8673-1032-A584-D44B409F80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s (Moi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08250" y="39655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23813</xdr:colOff>
      <xdr:row>5</xdr:row>
      <xdr:rowOff>45243</xdr:rowOff>
    </xdr:from>
    <xdr:to>
      <xdr:col>6</xdr:col>
      <xdr:colOff>335813</xdr:colOff>
      <xdr:row>10</xdr:row>
      <xdr:rowOff>49743</xdr:rowOff>
    </xdr:to>
    <xdr:sp macro="" textlink="TRAITEMENT!K3">
      <xdr:nvSpPr>
        <xdr:cNvPr id="2" name="Rectangle : coins arrondis 1">
          <a:extLst>
            <a:ext uri="{FF2B5EF4-FFF2-40B4-BE49-F238E27FC236}">
              <a16:creationId xmlns:a16="http://schemas.microsoft.com/office/drawing/2014/main" id="{59277AEA-9193-451A-8318-5D2A70382BD9}"/>
            </a:ext>
          </a:extLst>
        </xdr:cNvPr>
        <xdr:cNvSpPr/>
      </xdr:nvSpPr>
      <xdr:spPr>
        <a:xfrm>
          <a:off x="3071813" y="997743"/>
          <a:ext cx="1836000" cy="9570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5C1ADC3-C011-4179-BF0A-DAD86547B3B8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114 353 </a:t>
          </a:fld>
          <a:endParaRPr lang="fr-FR" sz="3200"/>
        </a:p>
      </xdr:txBody>
    </xdr:sp>
    <xdr:clientData/>
  </xdr:twoCellAnchor>
  <xdr:twoCellAnchor>
    <xdr:from>
      <xdr:col>6</xdr:col>
      <xdr:colOff>495300</xdr:colOff>
      <xdr:row>5</xdr:row>
      <xdr:rowOff>57150</xdr:rowOff>
    </xdr:from>
    <xdr:to>
      <xdr:col>9</xdr:col>
      <xdr:colOff>45300</xdr:colOff>
      <xdr:row>10</xdr:row>
      <xdr:rowOff>61650</xdr:rowOff>
    </xdr:to>
    <xdr:sp macro="" textlink="TRAITEMENT!H3">
      <xdr:nvSpPr>
        <xdr:cNvPr id="3" name="Rectangle : coins arrondis 2">
          <a:extLst>
            <a:ext uri="{FF2B5EF4-FFF2-40B4-BE49-F238E27FC236}">
              <a16:creationId xmlns:a16="http://schemas.microsoft.com/office/drawing/2014/main" id="{98517D84-39AF-400D-86CB-975664B3D2AF}"/>
            </a:ext>
          </a:extLst>
        </xdr:cNvPr>
        <xdr:cNvSpPr/>
      </xdr:nvSpPr>
      <xdr:spPr>
        <a:xfrm>
          <a:off x="4305300" y="57150"/>
          <a:ext cx="1836000" cy="5760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F5C30EC-C505-4232-AB24-CDB9844E9FE9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116 588 </a:t>
          </a:fld>
          <a:endParaRPr lang="fr-FR" sz="3200"/>
        </a:p>
      </xdr:txBody>
    </xdr:sp>
    <xdr:clientData/>
  </xdr:twoCellAnchor>
  <xdr:twoCellAnchor>
    <xdr:from>
      <xdr:col>9</xdr:col>
      <xdr:colOff>276225</xdr:colOff>
      <xdr:row>5</xdr:row>
      <xdr:rowOff>57150</xdr:rowOff>
    </xdr:from>
    <xdr:to>
      <xdr:col>11</xdr:col>
      <xdr:colOff>588225</xdr:colOff>
      <xdr:row>10</xdr:row>
      <xdr:rowOff>61650</xdr:rowOff>
    </xdr:to>
    <xdr:sp macro="" textlink="TRAITEMENT!I3">
      <xdr:nvSpPr>
        <xdr:cNvPr id="4" name="Rectangle : coins arrondis 3">
          <a:extLst>
            <a:ext uri="{FF2B5EF4-FFF2-40B4-BE49-F238E27FC236}">
              <a16:creationId xmlns:a16="http://schemas.microsoft.com/office/drawing/2014/main" id="{6FF5FE2F-B26B-414D-8924-0338D5C4EB74}"/>
            </a:ext>
          </a:extLst>
        </xdr:cNvPr>
        <xdr:cNvSpPr/>
      </xdr:nvSpPr>
      <xdr:spPr>
        <a:xfrm>
          <a:off x="6372225" y="57150"/>
          <a:ext cx="1836000" cy="5760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0F2E5CF-64DA-4EBB-B28E-2D5C0253839B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79 796 </a:t>
          </a:fld>
          <a:endParaRPr lang="fr-FR" sz="3200"/>
        </a:p>
      </xdr:txBody>
    </xdr:sp>
    <xdr:clientData/>
  </xdr:twoCellAnchor>
  <xdr:twoCellAnchor>
    <xdr:from>
      <xdr:col>12</xdr:col>
      <xdr:colOff>57150</xdr:colOff>
      <xdr:row>5</xdr:row>
      <xdr:rowOff>57150</xdr:rowOff>
    </xdr:from>
    <xdr:to>
      <xdr:col>14</xdr:col>
      <xdr:colOff>369150</xdr:colOff>
      <xdr:row>10</xdr:row>
      <xdr:rowOff>61650</xdr:rowOff>
    </xdr:to>
    <xdr:sp macro="" textlink="TRAITEMENT!G3">
      <xdr:nvSpPr>
        <xdr:cNvPr id="5" name="Rectangle : coins arrondis 4">
          <a:extLst>
            <a:ext uri="{FF2B5EF4-FFF2-40B4-BE49-F238E27FC236}">
              <a16:creationId xmlns:a16="http://schemas.microsoft.com/office/drawing/2014/main" id="{BF55FB8D-D313-4B48-8E98-380FD253BB9B}"/>
            </a:ext>
          </a:extLst>
        </xdr:cNvPr>
        <xdr:cNvSpPr/>
      </xdr:nvSpPr>
      <xdr:spPr>
        <a:xfrm>
          <a:off x="8439150" y="57150"/>
          <a:ext cx="1836000" cy="5760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3A6BDEE-5BD1-4F41-8144-DB53323AC0D5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39 177 </a:t>
          </a:fld>
          <a:endParaRPr lang="fr-FR" sz="3200"/>
        </a:p>
      </xdr:txBody>
    </xdr:sp>
    <xdr:clientData/>
  </xdr:twoCellAnchor>
  <xdr:twoCellAnchor>
    <xdr:from>
      <xdr:col>14</xdr:col>
      <xdr:colOff>600075</xdr:colOff>
      <xdr:row>5</xdr:row>
      <xdr:rowOff>57150</xdr:rowOff>
    </xdr:from>
    <xdr:to>
      <xdr:col>17</xdr:col>
      <xdr:colOff>150075</xdr:colOff>
      <xdr:row>10</xdr:row>
      <xdr:rowOff>61650</xdr:rowOff>
    </xdr:to>
    <xdr:sp macro="" textlink="TRAITEMENT!F3">
      <xdr:nvSpPr>
        <xdr:cNvPr id="6" name="Rectangle : coins arrondis 5">
          <a:extLst>
            <a:ext uri="{FF2B5EF4-FFF2-40B4-BE49-F238E27FC236}">
              <a16:creationId xmlns:a16="http://schemas.microsoft.com/office/drawing/2014/main" id="{803D12C5-3A08-489D-ADB8-7862D1F193EB}"/>
            </a:ext>
          </a:extLst>
        </xdr:cNvPr>
        <xdr:cNvSpPr/>
      </xdr:nvSpPr>
      <xdr:spPr>
        <a:xfrm>
          <a:off x="10506075" y="57150"/>
          <a:ext cx="1836000" cy="5760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D5218FB-317D-4F94-8D2A-D5019B77C7A7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53 358 </a:t>
          </a:fld>
          <a:endParaRPr lang="fr-FR" sz="3200"/>
        </a:p>
      </xdr:txBody>
    </xdr:sp>
    <xdr:clientData/>
  </xdr:twoCellAnchor>
  <xdr:twoCellAnchor>
    <xdr:from>
      <xdr:col>17</xdr:col>
      <xdr:colOff>381000</xdr:colOff>
      <xdr:row>5</xdr:row>
      <xdr:rowOff>57150</xdr:rowOff>
    </xdr:from>
    <xdr:to>
      <xdr:col>19</xdr:col>
      <xdr:colOff>693000</xdr:colOff>
      <xdr:row>10</xdr:row>
      <xdr:rowOff>61650</xdr:rowOff>
    </xdr:to>
    <xdr:sp macro="" textlink="TRAITEMENT!J3">
      <xdr:nvSpPr>
        <xdr:cNvPr id="7" name="Rectangle : coins arrondis 6">
          <a:extLst>
            <a:ext uri="{FF2B5EF4-FFF2-40B4-BE49-F238E27FC236}">
              <a16:creationId xmlns:a16="http://schemas.microsoft.com/office/drawing/2014/main" id="{4C0E7A7A-6386-42A6-BE80-1FF3D90C5728}"/>
            </a:ext>
          </a:extLst>
        </xdr:cNvPr>
        <xdr:cNvSpPr/>
      </xdr:nvSpPr>
      <xdr:spPr>
        <a:xfrm>
          <a:off x="12573000" y="57150"/>
          <a:ext cx="1836000" cy="5760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BDAE656-DA26-43C4-856A-A90CE4AB2DCA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77 261 </a:t>
          </a:fld>
          <a:endParaRPr lang="fr-FR" sz="3200"/>
        </a:p>
      </xdr:txBody>
    </xdr:sp>
    <xdr:clientData/>
  </xdr:twoCellAnchor>
  <xdr:twoCellAnchor>
    <xdr:from>
      <xdr:col>4</xdr:col>
      <xdr:colOff>364526</xdr:colOff>
      <xdr:row>7</xdr:row>
      <xdr:rowOff>118725</xdr:rowOff>
    </xdr:from>
    <xdr:to>
      <xdr:col>5</xdr:col>
      <xdr:colOff>569842</xdr:colOff>
      <xdr:row>8</xdr:row>
      <xdr:rowOff>164232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BCD7312C-70E3-4F2D-8197-EC6225122285}"/>
            </a:ext>
          </a:extLst>
        </xdr:cNvPr>
        <xdr:cNvSpPr txBox="1"/>
      </xdr:nvSpPr>
      <xdr:spPr>
        <a:xfrm>
          <a:off x="2650526" y="499725"/>
          <a:ext cx="967316" cy="2360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Arial" panose="020B0604020202020204" pitchFamily="34" charset="0"/>
            </a:rPr>
            <a:t># sujets</a:t>
          </a:r>
          <a:r>
            <a:rPr lang="fr-FR" sz="9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Arial" panose="020B0604020202020204" pitchFamily="34" charset="0"/>
            </a:rPr>
            <a:t> de </a:t>
          </a:r>
          <a:r>
            <a:rPr lang="fr-FR" sz="900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Arial" panose="020B0604020202020204" pitchFamily="34" charset="0"/>
            </a:rPr>
            <a:t>JT</a:t>
          </a:r>
        </a:p>
      </xdr:txBody>
    </xdr:sp>
    <xdr:clientData/>
  </xdr:twoCellAnchor>
  <xdr:twoCellAnchor editAs="oneCell">
    <xdr:from>
      <xdr:col>16</xdr:col>
      <xdr:colOff>501386</xdr:colOff>
      <xdr:row>9</xdr:row>
      <xdr:rowOff>111390</xdr:rowOff>
    </xdr:from>
    <xdr:to>
      <xdr:col>17</xdr:col>
      <xdr:colOff>156986</xdr:colOff>
      <xdr:row>10</xdr:row>
      <xdr:rowOff>23442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FFF2E41-5419-4871-A7A6-223945612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1386" y="492390"/>
          <a:ext cx="417600" cy="102552"/>
        </a:xfrm>
        <a:prstGeom prst="rect">
          <a:avLst/>
        </a:prstGeom>
      </xdr:spPr>
    </xdr:pic>
    <xdr:clientData/>
  </xdr:twoCellAnchor>
  <xdr:twoCellAnchor editAs="oneCell">
    <xdr:from>
      <xdr:col>13</xdr:col>
      <xdr:colOff>681019</xdr:colOff>
      <xdr:row>9</xdr:row>
      <xdr:rowOff>73271</xdr:rowOff>
    </xdr:from>
    <xdr:to>
      <xdr:col>14</xdr:col>
      <xdr:colOff>336619</xdr:colOff>
      <xdr:row>9</xdr:row>
      <xdr:rowOff>173349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CD31381B-F80E-4A57-8C0F-0085B0A45F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25019" y="454271"/>
          <a:ext cx="417600" cy="100078"/>
        </a:xfrm>
        <a:prstGeom prst="rect">
          <a:avLst/>
        </a:prstGeom>
      </xdr:spPr>
    </xdr:pic>
    <xdr:clientData/>
  </xdr:twoCellAnchor>
  <xdr:twoCellAnchor editAs="oneCell">
    <xdr:from>
      <xdr:col>8</xdr:col>
      <xdr:colOff>344449</xdr:colOff>
      <xdr:row>9</xdr:row>
      <xdr:rowOff>81455</xdr:rowOff>
    </xdr:from>
    <xdr:to>
      <xdr:col>9</xdr:col>
      <xdr:colOff>49</xdr:colOff>
      <xdr:row>10</xdr:row>
      <xdr:rowOff>9511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F55277D2-9DC5-4DEF-BAAC-FB721D450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8449" y="462455"/>
          <a:ext cx="417600" cy="118556"/>
        </a:xfrm>
        <a:prstGeom prst="rect">
          <a:avLst/>
        </a:prstGeom>
      </xdr:spPr>
    </xdr:pic>
    <xdr:clientData/>
  </xdr:twoCellAnchor>
  <xdr:twoCellAnchor editAs="oneCell">
    <xdr:from>
      <xdr:col>11</xdr:col>
      <xdr:colOff>135148</xdr:colOff>
      <xdr:row>9</xdr:row>
      <xdr:rowOff>66091</xdr:rowOff>
    </xdr:from>
    <xdr:to>
      <xdr:col>11</xdr:col>
      <xdr:colOff>552748</xdr:colOff>
      <xdr:row>9</xdr:row>
      <xdr:rowOff>186625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21AE7DD3-F3C5-4CA6-8915-E9B46B929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5148" y="447091"/>
          <a:ext cx="417600" cy="120534"/>
        </a:xfrm>
        <a:prstGeom prst="rect">
          <a:avLst/>
        </a:prstGeom>
      </xdr:spPr>
    </xdr:pic>
    <xdr:clientData/>
  </xdr:twoCellAnchor>
  <xdr:twoCellAnchor editAs="oneCell">
    <xdr:from>
      <xdr:col>19</xdr:col>
      <xdr:colOff>306917</xdr:colOff>
      <xdr:row>9</xdr:row>
      <xdr:rowOff>25855</xdr:rowOff>
    </xdr:from>
    <xdr:to>
      <xdr:col>19</xdr:col>
      <xdr:colOff>654950</xdr:colOff>
      <xdr:row>9</xdr:row>
      <xdr:rowOff>169333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3A10622A-3742-404E-ACEA-F82C41806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22917" y="406855"/>
          <a:ext cx="348033" cy="143478"/>
        </a:xfrm>
        <a:prstGeom prst="rect">
          <a:avLst/>
        </a:prstGeom>
      </xdr:spPr>
    </xdr:pic>
    <xdr:clientData/>
  </xdr:twoCellAnchor>
  <xdr:twoCellAnchor editAs="oneCell">
    <xdr:from>
      <xdr:col>5</xdr:col>
      <xdr:colOff>642049</xdr:colOff>
      <xdr:row>9</xdr:row>
      <xdr:rowOff>74254</xdr:rowOff>
    </xdr:from>
    <xdr:to>
      <xdr:col>6</xdr:col>
      <xdr:colOff>233179</xdr:colOff>
      <xdr:row>10</xdr:row>
      <xdr:rowOff>11906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986E39B-845C-4891-ABC1-911613FA0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0049" y="455254"/>
          <a:ext cx="353130" cy="128152"/>
        </a:xfrm>
        <a:prstGeom prst="rect">
          <a:avLst/>
        </a:prstGeom>
      </xdr:spPr>
    </xdr:pic>
    <xdr:clientData/>
  </xdr:twoCellAnchor>
  <xdr:twoCellAnchor>
    <xdr:from>
      <xdr:col>7</xdr:col>
      <xdr:colOff>94456</xdr:colOff>
      <xdr:row>7</xdr:row>
      <xdr:rowOff>108745</xdr:rowOff>
    </xdr:from>
    <xdr:to>
      <xdr:col>8</xdr:col>
      <xdr:colOff>299772</xdr:colOff>
      <xdr:row>8</xdr:row>
      <xdr:rowOff>154252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DC1A776-997C-4925-965F-777F659651ED}"/>
            </a:ext>
          </a:extLst>
        </xdr:cNvPr>
        <xdr:cNvSpPr txBox="1"/>
      </xdr:nvSpPr>
      <xdr:spPr>
        <a:xfrm>
          <a:off x="4666456" y="489745"/>
          <a:ext cx="967316" cy="2360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Arial" panose="020B0604020202020204" pitchFamily="34" charset="0"/>
            </a:rPr>
            <a:t># sujets</a:t>
          </a:r>
          <a:r>
            <a:rPr lang="fr-FR" sz="9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Arial" panose="020B0604020202020204" pitchFamily="34" charset="0"/>
            </a:rPr>
            <a:t> de </a:t>
          </a:r>
          <a:r>
            <a:rPr lang="fr-FR" sz="900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Arial" panose="020B0604020202020204" pitchFamily="34" charset="0"/>
            </a:rPr>
            <a:t>JT</a:t>
          </a:r>
        </a:p>
      </xdr:txBody>
    </xdr:sp>
    <xdr:clientData/>
  </xdr:twoCellAnchor>
  <xdr:twoCellAnchor>
    <xdr:from>
      <xdr:col>9</xdr:col>
      <xdr:colOff>538163</xdr:colOff>
      <xdr:row>7</xdr:row>
      <xdr:rowOff>119327</xdr:rowOff>
    </xdr:from>
    <xdr:to>
      <xdr:col>10</xdr:col>
      <xdr:colOff>743479</xdr:colOff>
      <xdr:row>8</xdr:row>
      <xdr:rowOff>164834</xdr:rowOff>
    </xdr:to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17C88D5A-76E9-4CE5-A977-2149787B28CA}"/>
            </a:ext>
          </a:extLst>
        </xdr:cNvPr>
        <xdr:cNvSpPr txBox="1"/>
      </xdr:nvSpPr>
      <xdr:spPr>
        <a:xfrm>
          <a:off x="6634163" y="500327"/>
          <a:ext cx="967316" cy="2360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Arial" panose="020B0604020202020204" pitchFamily="34" charset="0"/>
            </a:rPr>
            <a:t># sujets</a:t>
          </a:r>
          <a:r>
            <a:rPr lang="fr-FR" sz="9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Arial" panose="020B0604020202020204" pitchFamily="34" charset="0"/>
            </a:rPr>
            <a:t> de </a:t>
          </a:r>
          <a:r>
            <a:rPr lang="fr-FR" sz="900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Arial" panose="020B0604020202020204" pitchFamily="34" charset="0"/>
            </a:rPr>
            <a:t>JT</a:t>
          </a:r>
        </a:p>
      </xdr:txBody>
    </xdr:sp>
    <xdr:clientData/>
  </xdr:twoCellAnchor>
  <xdr:twoCellAnchor>
    <xdr:from>
      <xdr:col>12</xdr:col>
      <xdr:colOff>308504</xdr:colOff>
      <xdr:row>7</xdr:row>
      <xdr:rowOff>108744</xdr:rowOff>
    </xdr:from>
    <xdr:to>
      <xdr:col>13</xdr:col>
      <xdr:colOff>513820</xdr:colOff>
      <xdr:row>8</xdr:row>
      <xdr:rowOff>154251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7F8F7A9A-BD2F-4838-AC7E-E1280BE4BE7D}"/>
            </a:ext>
          </a:extLst>
        </xdr:cNvPr>
        <xdr:cNvSpPr txBox="1"/>
      </xdr:nvSpPr>
      <xdr:spPr>
        <a:xfrm>
          <a:off x="8690504" y="489744"/>
          <a:ext cx="967316" cy="2360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Arial" panose="020B0604020202020204" pitchFamily="34" charset="0"/>
            </a:rPr>
            <a:t># sujets</a:t>
          </a:r>
          <a:r>
            <a:rPr lang="fr-FR" sz="9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Arial" panose="020B0604020202020204" pitchFamily="34" charset="0"/>
            </a:rPr>
            <a:t> de </a:t>
          </a:r>
          <a:r>
            <a:rPr lang="fr-FR" sz="900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Arial" panose="020B0604020202020204" pitchFamily="34" charset="0"/>
            </a:rPr>
            <a:t>JT</a:t>
          </a:r>
        </a:p>
      </xdr:txBody>
    </xdr:sp>
    <xdr:clientData/>
  </xdr:twoCellAnchor>
  <xdr:twoCellAnchor>
    <xdr:from>
      <xdr:col>15</xdr:col>
      <xdr:colOff>111919</xdr:colOff>
      <xdr:row>7</xdr:row>
      <xdr:rowOff>132557</xdr:rowOff>
    </xdr:from>
    <xdr:to>
      <xdr:col>16</xdr:col>
      <xdr:colOff>317235</xdr:colOff>
      <xdr:row>8</xdr:row>
      <xdr:rowOff>178064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D1715FC4-177D-414F-8564-4E9EDE6179F8}"/>
            </a:ext>
          </a:extLst>
        </xdr:cNvPr>
        <xdr:cNvSpPr txBox="1"/>
      </xdr:nvSpPr>
      <xdr:spPr>
        <a:xfrm>
          <a:off x="10779919" y="513557"/>
          <a:ext cx="967316" cy="2360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Arial" panose="020B0604020202020204" pitchFamily="34" charset="0"/>
            </a:rPr>
            <a:t># sujets</a:t>
          </a:r>
          <a:r>
            <a:rPr lang="fr-FR" sz="9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Arial" panose="020B0604020202020204" pitchFamily="34" charset="0"/>
            </a:rPr>
            <a:t> de </a:t>
          </a:r>
          <a:r>
            <a:rPr lang="fr-FR" sz="900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Arial" panose="020B0604020202020204" pitchFamily="34" charset="0"/>
            </a:rPr>
            <a:t>JT</a:t>
          </a:r>
        </a:p>
      </xdr:txBody>
    </xdr:sp>
    <xdr:clientData/>
  </xdr:twoCellAnchor>
  <xdr:twoCellAnchor>
    <xdr:from>
      <xdr:col>17</xdr:col>
      <xdr:colOff>631029</xdr:colOff>
      <xdr:row>7</xdr:row>
      <xdr:rowOff>143139</xdr:rowOff>
    </xdr:from>
    <xdr:to>
      <xdr:col>19</xdr:col>
      <xdr:colOff>74345</xdr:colOff>
      <xdr:row>8</xdr:row>
      <xdr:rowOff>188646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A6A1F2E3-41FB-4B08-9304-949A7D3E2093}"/>
            </a:ext>
          </a:extLst>
        </xdr:cNvPr>
        <xdr:cNvSpPr txBox="1"/>
      </xdr:nvSpPr>
      <xdr:spPr>
        <a:xfrm>
          <a:off x="12823029" y="524139"/>
          <a:ext cx="967316" cy="2360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Arial" panose="020B0604020202020204" pitchFamily="34" charset="0"/>
            </a:rPr>
            <a:t># sujets</a:t>
          </a:r>
          <a:r>
            <a:rPr lang="fr-FR" sz="9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Arial" panose="020B0604020202020204" pitchFamily="34" charset="0"/>
            </a:rPr>
            <a:t> de J</a:t>
          </a:r>
          <a:r>
            <a:rPr lang="fr-FR" sz="900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Arial" panose="020B0604020202020204" pitchFamily="34" charset="0"/>
            </a:rPr>
            <a:t>T</a:t>
          </a:r>
        </a:p>
      </xdr:txBody>
    </xdr:sp>
    <xdr:clientData/>
  </xdr:twoCellAnchor>
  <xdr:twoCellAnchor>
    <xdr:from>
      <xdr:col>4</xdr:col>
      <xdr:colOff>21772</xdr:colOff>
      <xdr:row>24</xdr:row>
      <xdr:rowOff>89808</xdr:rowOff>
    </xdr:from>
    <xdr:to>
      <xdr:col>14</xdr:col>
      <xdr:colOff>285750</xdr:colOff>
      <xdr:row>65</xdr:row>
      <xdr:rowOff>175533</xdr:rowOff>
    </xdr:to>
    <xdr:sp macro="" textlink="">
      <xdr:nvSpPr>
        <xdr:cNvPr id="26" name="Rectangle : coins arrondis 25">
          <a:extLst>
            <a:ext uri="{FF2B5EF4-FFF2-40B4-BE49-F238E27FC236}">
              <a16:creationId xmlns:a16="http://schemas.microsoft.com/office/drawing/2014/main" id="{82AEF9B4-0A5C-401A-95FE-A9F46714C52C}"/>
            </a:ext>
          </a:extLst>
        </xdr:cNvPr>
        <xdr:cNvSpPr/>
      </xdr:nvSpPr>
      <xdr:spPr>
        <a:xfrm>
          <a:off x="2307772" y="851808"/>
          <a:ext cx="7883978" cy="7896225"/>
        </a:xfrm>
        <a:prstGeom prst="roundRect">
          <a:avLst/>
        </a:prstGeom>
        <a:solidFill>
          <a:schemeClr val="bg1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62593</xdr:colOff>
      <xdr:row>57</xdr:row>
      <xdr:rowOff>178668</xdr:rowOff>
    </xdr:from>
    <xdr:to>
      <xdr:col>6</xdr:col>
      <xdr:colOff>89807</xdr:colOff>
      <xdr:row>59</xdr:row>
      <xdr:rowOff>137847</xdr:rowOff>
    </xdr:to>
    <xdr:sp macro="" textlink="TRAITEMENT!E63">
      <xdr:nvSpPr>
        <xdr:cNvPr id="27" name="ZoneTexte 26">
          <a:extLst>
            <a:ext uri="{FF2B5EF4-FFF2-40B4-BE49-F238E27FC236}">
              <a16:creationId xmlns:a16="http://schemas.microsoft.com/office/drawing/2014/main" id="{2503495B-2ADB-4A93-B4E6-2D18693BBAF6}"/>
            </a:ext>
          </a:extLst>
        </xdr:cNvPr>
        <xdr:cNvSpPr txBox="1"/>
      </xdr:nvSpPr>
      <xdr:spPr>
        <a:xfrm>
          <a:off x="2348593" y="10275168"/>
          <a:ext cx="1551214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D347D7C-54CA-45A9-95E1-A37EB725889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Histoire-hommages</a:t>
          </a:fld>
          <a:endParaRPr lang="fr-FR" sz="1100"/>
        </a:p>
      </xdr:txBody>
    </xdr:sp>
    <xdr:clientData/>
  </xdr:twoCellAnchor>
  <xdr:twoCellAnchor>
    <xdr:from>
      <xdr:col>4</xdr:col>
      <xdr:colOff>62593</xdr:colOff>
      <xdr:row>46</xdr:row>
      <xdr:rowOff>159868</xdr:rowOff>
    </xdr:from>
    <xdr:to>
      <xdr:col>6</xdr:col>
      <xdr:colOff>89807</xdr:colOff>
      <xdr:row>48</xdr:row>
      <xdr:rowOff>119047</xdr:rowOff>
    </xdr:to>
    <xdr:sp macro="" textlink="TRAITEMENT!E59">
      <xdr:nvSpPr>
        <xdr:cNvPr id="28" name="ZoneTexte 27">
          <a:extLst>
            <a:ext uri="{FF2B5EF4-FFF2-40B4-BE49-F238E27FC236}">
              <a16:creationId xmlns:a16="http://schemas.microsoft.com/office/drawing/2014/main" id="{6DDBC470-F206-4F13-836A-DE3E17850247}"/>
            </a:ext>
          </a:extLst>
        </xdr:cNvPr>
        <xdr:cNvSpPr txBox="1"/>
      </xdr:nvSpPr>
      <xdr:spPr>
        <a:xfrm>
          <a:off x="2348593" y="8160868"/>
          <a:ext cx="1551214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3E27CB7-6651-4E87-B93D-5805EF183FD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Justice</a:t>
          </a:fld>
          <a:endParaRPr lang="fr-FR" sz="1100"/>
        </a:p>
      </xdr:txBody>
    </xdr:sp>
    <xdr:clientData/>
  </xdr:twoCellAnchor>
  <xdr:twoCellAnchor>
    <xdr:from>
      <xdr:col>4</xdr:col>
      <xdr:colOff>62593</xdr:colOff>
      <xdr:row>55</xdr:row>
      <xdr:rowOff>31093</xdr:rowOff>
    </xdr:from>
    <xdr:to>
      <xdr:col>6</xdr:col>
      <xdr:colOff>89807</xdr:colOff>
      <xdr:row>56</xdr:row>
      <xdr:rowOff>180772</xdr:rowOff>
    </xdr:to>
    <xdr:sp macro="" textlink="TRAITEMENT!E62">
      <xdr:nvSpPr>
        <xdr:cNvPr id="29" name="ZoneTexte 28">
          <a:extLst>
            <a:ext uri="{FF2B5EF4-FFF2-40B4-BE49-F238E27FC236}">
              <a16:creationId xmlns:a16="http://schemas.microsoft.com/office/drawing/2014/main" id="{08245239-18BF-4E15-B8FB-9437853917A6}"/>
            </a:ext>
          </a:extLst>
        </xdr:cNvPr>
        <xdr:cNvSpPr txBox="1"/>
      </xdr:nvSpPr>
      <xdr:spPr>
        <a:xfrm>
          <a:off x="2348593" y="9746593"/>
          <a:ext cx="1551214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6D4527D-B295-4330-8639-ABF81F91D9D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Environnement</a:t>
          </a:fld>
          <a:endParaRPr lang="fr-FR" sz="1100"/>
        </a:p>
      </xdr:txBody>
    </xdr:sp>
    <xdr:clientData/>
  </xdr:twoCellAnchor>
  <xdr:twoCellAnchor>
    <xdr:from>
      <xdr:col>4</xdr:col>
      <xdr:colOff>62593</xdr:colOff>
      <xdr:row>52</xdr:row>
      <xdr:rowOff>74018</xdr:rowOff>
    </xdr:from>
    <xdr:to>
      <xdr:col>6</xdr:col>
      <xdr:colOff>89807</xdr:colOff>
      <xdr:row>54</xdr:row>
      <xdr:rowOff>33197</xdr:rowOff>
    </xdr:to>
    <xdr:sp macro="" textlink="TRAITEMENT!E61">
      <xdr:nvSpPr>
        <xdr:cNvPr id="30" name="ZoneTexte 29">
          <a:extLst>
            <a:ext uri="{FF2B5EF4-FFF2-40B4-BE49-F238E27FC236}">
              <a16:creationId xmlns:a16="http://schemas.microsoft.com/office/drawing/2014/main" id="{BB32D155-1826-4AA7-8AE1-094F76EA8A47}"/>
            </a:ext>
          </a:extLst>
        </xdr:cNvPr>
        <xdr:cNvSpPr txBox="1"/>
      </xdr:nvSpPr>
      <xdr:spPr>
        <a:xfrm>
          <a:off x="2348593" y="9218018"/>
          <a:ext cx="1551214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AB3F810-D933-4918-9250-615812FC42F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Faits divers</a:t>
          </a:fld>
          <a:endParaRPr lang="fr-FR" sz="1100"/>
        </a:p>
      </xdr:txBody>
    </xdr:sp>
    <xdr:clientData/>
  </xdr:twoCellAnchor>
  <xdr:twoCellAnchor>
    <xdr:from>
      <xdr:col>4</xdr:col>
      <xdr:colOff>62593</xdr:colOff>
      <xdr:row>49</xdr:row>
      <xdr:rowOff>116943</xdr:rowOff>
    </xdr:from>
    <xdr:to>
      <xdr:col>6</xdr:col>
      <xdr:colOff>89807</xdr:colOff>
      <xdr:row>51</xdr:row>
      <xdr:rowOff>76122</xdr:rowOff>
    </xdr:to>
    <xdr:sp macro="" textlink="TRAITEMENT!E60">
      <xdr:nvSpPr>
        <xdr:cNvPr id="31" name="ZoneTexte 30">
          <a:extLst>
            <a:ext uri="{FF2B5EF4-FFF2-40B4-BE49-F238E27FC236}">
              <a16:creationId xmlns:a16="http://schemas.microsoft.com/office/drawing/2014/main" id="{69BA1C4A-870C-4BEA-8A48-00054607502B}"/>
            </a:ext>
          </a:extLst>
        </xdr:cNvPr>
        <xdr:cNvSpPr txBox="1"/>
      </xdr:nvSpPr>
      <xdr:spPr>
        <a:xfrm>
          <a:off x="2348593" y="8689443"/>
          <a:ext cx="1551214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CC1B8E7-5FE5-492B-A858-C6B5D747E6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Santé</a:t>
          </a:fld>
          <a:endParaRPr lang="fr-FR" sz="1100"/>
        </a:p>
      </xdr:txBody>
    </xdr:sp>
    <xdr:clientData/>
  </xdr:twoCellAnchor>
  <xdr:twoCellAnchor>
    <xdr:from>
      <xdr:col>4</xdr:col>
      <xdr:colOff>62593</xdr:colOff>
      <xdr:row>60</xdr:row>
      <xdr:rowOff>135743</xdr:rowOff>
    </xdr:from>
    <xdr:to>
      <xdr:col>6</xdr:col>
      <xdr:colOff>89807</xdr:colOff>
      <xdr:row>62</xdr:row>
      <xdr:rowOff>94922</xdr:rowOff>
    </xdr:to>
    <xdr:sp macro="" textlink="TRAITEMENT!E64">
      <xdr:nvSpPr>
        <xdr:cNvPr id="32" name="ZoneTexte 31">
          <a:extLst>
            <a:ext uri="{FF2B5EF4-FFF2-40B4-BE49-F238E27FC236}">
              <a16:creationId xmlns:a16="http://schemas.microsoft.com/office/drawing/2014/main" id="{752EC8CB-DA5F-4DEB-8263-05B7C22070E7}"/>
            </a:ext>
          </a:extLst>
        </xdr:cNvPr>
        <xdr:cNvSpPr txBox="1"/>
      </xdr:nvSpPr>
      <xdr:spPr>
        <a:xfrm>
          <a:off x="2348593" y="10803743"/>
          <a:ext cx="1551214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9AB6D73-EC3E-4E48-B2B0-6A022381FE8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Education</a:t>
          </a:fld>
          <a:endParaRPr lang="fr-FR" sz="1100"/>
        </a:p>
      </xdr:txBody>
    </xdr:sp>
    <xdr:clientData/>
  </xdr:twoCellAnchor>
  <xdr:twoCellAnchor>
    <xdr:from>
      <xdr:col>4</xdr:col>
      <xdr:colOff>62593</xdr:colOff>
      <xdr:row>63</xdr:row>
      <xdr:rowOff>92818</xdr:rowOff>
    </xdr:from>
    <xdr:to>
      <xdr:col>6</xdr:col>
      <xdr:colOff>89807</xdr:colOff>
      <xdr:row>65</xdr:row>
      <xdr:rowOff>51997</xdr:rowOff>
    </xdr:to>
    <xdr:sp macro="" textlink="TRAITEMENT!E65">
      <xdr:nvSpPr>
        <xdr:cNvPr id="33" name="ZoneTexte 32">
          <a:extLst>
            <a:ext uri="{FF2B5EF4-FFF2-40B4-BE49-F238E27FC236}">
              <a16:creationId xmlns:a16="http://schemas.microsoft.com/office/drawing/2014/main" id="{9A4F59B7-8080-41B9-94CB-5422E1054D53}"/>
            </a:ext>
          </a:extLst>
        </xdr:cNvPr>
        <xdr:cNvSpPr txBox="1"/>
      </xdr:nvSpPr>
      <xdr:spPr>
        <a:xfrm>
          <a:off x="2348593" y="11332318"/>
          <a:ext cx="1551214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C81F728-649D-462B-906F-F4EDA44F15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Sciences et techniques</a:t>
          </a:fld>
          <a:endParaRPr lang="fr-FR" sz="1100"/>
        </a:p>
      </xdr:txBody>
    </xdr:sp>
    <xdr:clientData/>
  </xdr:twoCellAnchor>
  <xdr:twoCellAnchor>
    <xdr:from>
      <xdr:col>4</xdr:col>
      <xdr:colOff>62593</xdr:colOff>
      <xdr:row>30</xdr:row>
      <xdr:rowOff>22811</xdr:rowOff>
    </xdr:from>
    <xdr:to>
      <xdr:col>6</xdr:col>
      <xdr:colOff>89807</xdr:colOff>
      <xdr:row>31</xdr:row>
      <xdr:rowOff>172490</xdr:rowOff>
    </xdr:to>
    <xdr:sp macro="" textlink="TRAITEMENT!E53">
      <xdr:nvSpPr>
        <xdr:cNvPr id="34" name="ZoneTexte 33">
          <a:extLst>
            <a:ext uri="{FF2B5EF4-FFF2-40B4-BE49-F238E27FC236}">
              <a16:creationId xmlns:a16="http://schemas.microsoft.com/office/drawing/2014/main" id="{AA23D62A-3EC4-4A6E-A117-E939D40D0EDE}"/>
            </a:ext>
          </a:extLst>
        </xdr:cNvPr>
        <xdr:cNvSpPr txBox="1"/>
      </xdr:nvSpPr>
      <xdr:spPr>
        <a:xfrm>
          <a:off x="2348593" y="4975811"/>
          <a:ext cx="1551214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1AA73BB-6B37-411A-B7BF-F35D5AB0586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International</a:t>
          </a:fld>
          <a:endParaRPr lang="fr-FR" sz="1100"/>
        </a:p>
      </xdr:txBody>
    </xdr:sp>
    <xdr:clientData/>
  </xdr:twoCellAnchor>
  <xdr:twoCellAnchor>
    <xdr:from>
      <xdr:col>4</xdr:col>
      <xdr:colOff>241186</xdr:colOff>
      <xdr:row>27</xdr:row>
      <xdr:rowOff>18111</xdr:rowOff>
    </xdr:from>
    <xdr:to>
      <xdr:col>6</xdr:col>
      <xdr:colOff>268400</xdr:colOff>
      <xdr:row>28</xdr:row>
      <xdr:rowOff>167790</xdr:rowOff>
    </xdr:to>
    <xdr:sp macro="" textlink="TRAITEMENT!E52">
      <xdr:nvSpPr>
        <xdr:cNvPr id="35" name="ZoneTexte 34">
          <a:extLst>
            <a:ext uri="{FF2B5EF4-FFF2-40B4-BE49-F238E27FC236}">
              <a16:creationId xmlns:a16="http://schemas.microsoft.com/office/drawing/2014/main" id="{6C1FF525-F9E5-47ED-B52C-6FACCBA46FFA}"/>
            </a:ext>
          </a:extLst>
        </xdr:cNvPr>
        <xdr:cNvSpPr txBox="1"/>
      </xdr:nvSpPr>
      <xdr:spPr>
        <a:xfrm>
          <a:off x="2527186" y="1351611"/>
          <a:ext cx="1551214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C139140-C0DB-444E-B94B-85E9868E58A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Société</a:t>
          </a:fld>
          <a:endParaRPr lang="fr-FR" sz="1100"/>
        </a:p>
      </xdr:txBody>
    </xdr:sp>
    <xdr:clientData/>
  </xdr:twoCellAnchor>
  <xdr:twoCellAnchor>
    <xdr:from>
      <xdr:col>4</xdr:col>
      <xdr:colOff>62593</xdr:colOff>
      <xdr:row>44</xdr:row>
      <xdr:rowOff>12293</xdr:rowOff>
    </xdr:from>
    <xdr:to>
      <xdr:col>6</xdr:col>
      <xdr:colOff>89807</xdr:colOff>
      <xdr:row>45</xdr:row>
      <xdr:rowOff>161972</xdr:rowOff>
    </xdr:to>
    <xdr:sp macro="" textlink="TRAITEMENT!E58">
      <xdr:nvSpPr>
        <xdr:cNvPr id="36" name="ZoneTexte 35">
          <a:extLst>
            <a:ext uri="{FF2B5EF4-FFF2-40B4-BE49-F238E27FC236}">
              <a16:creationId xmlns:a16="http://schemas.microsoft.com/office/drawing/2014/main" id="{45A04E7F-A632-4241-8599-31DBF5B0E336}"/>
            </a:ext>
          </a:extLst>
        </xdr:cNvPr>
        <xdr:cNvSpPr txBox="1"/>
      </xdr:nvSpPr>
      <xdr:spPr>
        <a:xfrm>
          <a:off x="2348593" y="7632293"/>
          <a:ext cx="1551214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E25F164-B6C6-4315-9E36-E216C9DDE76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Catastrophes</a:t>
          </a:fld>
          <a:endParaRPr lang="fr-FR" sz="1100"/>
        </a:p>
      </xdr:txBody>
    </xdr:sp>
    <xdr:clientData/>
  </xdr:twoCellAnchor>
  <xdr:twoCellAnchor>
    <xdr:from>
      <xdr:col>4</xdr:col>
      <xdr:colOff>62593</xdr:colOff>
      <xdr:row>41</xdr:row>
      <xdr:rowOff>41611</xdr:rowOff>
    </xdr:from>
    <xdr:to>
      <xdr:col>6</xdr:col>
      <xdr:colOff>89807</xdr:colOff>
      <xdr:row>43</xdr:row>
      <xdr:rowOff>14397</xdr:rowOff>
    </xdr:to>
    <xdr:sp macro="" textlink="TRAITEMENT!E57">
      <xdr:nvSpPr>
        <xdr:cNvPr id="37" name="ZoneTexte 36">
          <a:extLst>
            <a:ext uri="{FF2B5EF4-FFF2-40B4-BE49-F238E27FC236}">
              <a16:creationId xmlns:a16="http://schemas.microsoft.com/office/drawing/2014/main" id="{76B80760-3251-4D13-8202-088982E401D2}"/>
            </a:ext>
          </a:extLst>
        </xdr:cNvPr>
        <xdr:cNvSpPr txBox="1"/>
      </xdr:nvSpPr>
      <xdr:spPr>
        <a:xfrm>
          <a:off x="2348593" y="7090111"/>
          <a:ext cx="1551214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8C7086A-28E3-4D24-A7A2-289206C951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Sport</a:t>
          </a:fld>
          <a:endParaRPr lang="fr-FR" sz="1100"/>
        </a:p>
      </xdr:txBody>
    </xdr:sp>
    <xdr:clientData/>
  </xdr:twoCellAnchor>
  <xdr:twoCellAnchor>
    <xdr:from>
      <xdr:col>4</xdr:col>
      <xdr:colOff>62593</xdr:colOff>
      <xdr:row>38</xdr:row>
      <xdr:rowOff>84536</xdr:rowOff>
    </xdr:from>
    <xdr:to>
      <xdr:col>6</xdr:col>
      <xdr:colOff>89807</xdr:colOff>
      <xdr:row>40</xdr:row>
      <xdr:rowOff>43715</xdr:rowOff>
    </xdr:to>
    <xdr:sp macro="" textlink="TRAITEMENT!E56">
      <xdr:nvSpPr>
        <xdr:cNvPr id="38" name="ZoneTexte 37">
          <a:extLst>
            <a:ext uri="{FF2B5EF4-FFF2-40B4-BE49-F238E27FC236}">
              <a16:creationId xmlns:a16="http://schemas.microsoft.com/office/drawing/2014/main" id="{9D98CFDB-BC79-4FA3-AD12-B92160134AA1}"/>
            </a:ext>
          </a:extLst>
        </xdr:cNvPr>
        <xdr:cNvSpPr txBox="1"/>
      </xdr:nvSpPr>
      <xdr:spPr>
        <a:xfrm>
          <a:off x="2348593" y="6561536"/>
          <a:ext cx="1551214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119C7D8-A8EA-4834-BAE9-C98746E21D3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Culture-loisirs</a:t>
          </a:fld>
          <a:endParaRPr lang="fr-FR" sz="1100"/>
        </a:p>
      </xdr:txBody>
    </xdr:sp>
    <xdr:clientData/>
  </xdr:twoCellAnchor>
  <xdr:twoCellAnchor>
    <xdr:from>
      <xdr:col>4</xdr:col>
      <xdr:colOff>62593</xdr:colOff>
      <xdr:row>35</xdr:row>
      <xdr:rowOff>127461</xdr:rowOff>
    </xdr:from>
    <xdr:to>
      <xdr:col>6</xdr:col>
      <xdr:colOff>89807</xdr:colOff>
      <xdr:row>37</xdr:row>
      <xdr:rowOff>86640</xdr:rowOff>
    </xdr:to>
    <xdr:sp macro="" textlink="TRAITEMENT!E55">
      <xdr:nvSpPr>
        <xdr:cNvPr id="39" name="ZoneTexte 38">
          <a:extLst>
            <a:ext uri="{FF2B5EF4-FFF2-40B4-BE49-F238E27FC236}">
              <a16:creationId xmlns:a16="http://schemas.microsoft.com/office/drawing/2014/main" id="{02C7D368-8FF2-497D-AC00-AE0C39C83AE7}"/>
            </a:ext>
          </a:extLst>
        </xdr:cNvPr>
        <xdr:cNvSpPr txBox="1"/>
      </xdr:nvSpPr>
      <xdr:spPr>
        <a:xfrm>
          <a:off x="2348593" y="6032961"/>
          <a:ext cx="1551214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E004410-C17E-4042-B2F3-62C46B5916D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Politique France</a:t>
          </a:fld>
          <a:endParaRPr lang="fr-FR" sz="1100"/>
        </a:p>
      </xdr:txBody>
    </xdr:sp>
    <xdr:clientData/>
  </xdr:twoCellAnchor>
  <xdr:twoCellAnchor>
    <xdr:from>
      <xdr:col>4</xdr:col>
      <xdr:colOff>62593</xdr:colOff>
      <xdr:row>32</xdr:row>
      <xdr:rowOff>170386</xdr:rowOff>
    </xdr:from>
    <xdr:to>
      <xdr:col>6</xdr:col>
      <xdr:colOff>89807</xdr:colOff>
      <xdr:row>34</xdr:row>
      <xdr:rowOff>129565</xdr:rowOff>
    </xdr:to>
    <xdr:sp macro="" textlink="TRAITEMENT!E54">
      <xdr:nvSpPr>
        <xdr:cNvPr id="40" name="ZoneTexte 39">
          <a:extLst>
            <a:ext uri="{FF2B5EF4-FFF2-40B4-BE49-F238E27FC236}">
              <a16:creationId xmlns:a16="http://schemas.microsoft.com/office/drawing/2014/main" id="{4CA2CD6F-BDE8-402C-BB0F-B95C0BEABDDA}"/>
            </a:ext>
          </a:extLst>
        </xdr:cNvPr>
        <xdr:cNvSpPr txBox="1"/>
      </xdr:nvSpPr>
      <xdr:spPr>
        <a:xfrm>
          <a:off x="2348593" y="5504386"/>
          <a:ext cx="1551214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A8B438F-1DB0-41B8-8664-CA1CB66E39C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Economie</a:t>
          </a:fld>
          <a:endParaRPr lang="fr-FR" sz="1100"/>
        </a:p>
      </xdr:txBody>
    </xdr:sp>
    <xdr:clientData/>
  </xdr:twoCellAnchor>
  <xdr:twoCellAnchor>
    <xdr:from>
      <xdr:col>5</xdr:col>
      <xdr:colOff>249916</xdr:colOff>
      <xdr:row>24</xdr:row>
      <xdr:rowOff>148318</xdr:rowOff>
    </xdr:from>
    <xdr:to>
      <xdr:col>7</xdr:col>
      <xdr:colOff>603703</xdr:colOff>
      <xdr:row>26</xdr:row>
      <xdr:rowOff>107497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A339CCDF-286A-4FA5-B1A3-37C6E69190E9}"/>
            </a:ext>
          </a:extLst>
        </xdr:cNvPr>
        <xdr:cNvSpPr txBox="1"/>
      </xdr:nvSpPr>
      <xdr:spPr>
        <a:xfrm>
          <a:off x="3297916" y="3958318"/>
          <a:ext cx="1877787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Durée (min) moyenne/ mois </a:t>
          </a:r>
        </a:p>
      </xdr:txBody>
    </xdr:sp>
    <xdr:clientData/>
  </xdr:twoCellAnchor>
  <xdr:twoCellAnchor>
    <xdr:from>
      <xdr:col>6</xdr:col>
      <xdr:colOff>292553</xdr:colOff>
      <xdr:row>32</xdr:row>
      <xdr:rowOff>131113</xdr:rowOff>
    </xdr:from>
    <xdr:to>
      <xdr:col>7</xdr:col>
      <xdr:colOff>250553</xdr:colOff>
      <xdr:row>34</xdr:row>
      <xdr:rowOff>103899</xdr:rowOff>
    </xdr:to>
    <xdr:sp macro="" textlink="TRAITEMENT!G54">
      <xdr:nvSpPr>
        <xdr:cNvPr id="42" name="Rectangle : coins arrondis 41">
          <a:extLst>
            <a:ext uri="{FF2B5EF4-FFF2-40B4-BE49-F238E27FC236}">
              <a16:creationId xmlns:a16="http://schemas.microsoft.com/office/drawing/2014/main" id="{D2BD278D-E1FD-4F1F-AA96-85BA139B17A7}"/>
            </a:ext>
          </a:extLst>
        </xdr:cNvPr>
        <xdr:cNvSpPr/>
      </xdr:nvSpPr>
      <xdr:spPr>
        <a:xfrm>
          <a:off x="4102553" y="5465113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D9B3014-5303-42C0-8842-06FC6BAFB30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70,25</a:t>
          </a:fld>
          <a:endParaRPr lang="fr-FR" sz="1100"/>
        </a:p>
      </xdr:txBody>
    </xdr:sp>
    <xdr:clientData/>
  </xdr:twoCellAnchor>
  <xdr:twoCellAnchor>
    <xdr:from>
      <xdr:col>6</xdr:col>
      <xdr:colOff>292553</xdr:colOff>
      <xdr:row>35</xdr:row>
      <xdr:rowOff>94714</xdr:rowOff>
    </xdr:from>
    <xdr:to>
      <xdr:col>7</xdr:col>
      <xdr:colOff>250553</xdr:colOff>
      <xdr:row>37</xdr:row>
      <xdr:rowOff>67500</xdr:rowOff>
    </xdr:to>
    <xdr:sp macro="" textlink="TRAITEMENT!G55">
      <xdr:nvSpPr>
        <xdr:cNvPr id="43" name="Rectangle : coins arrondis 42">
          <a:extLst>
            <a:ext uri="{FF2B5EF4-FFF2-40B4-BE49-F238E27FC236}">
              <a16:creationId xmlns:a16="http://schemas.microsoft.com/office/drawing/2014/main" id="{7A7AF90E-72B4-41E4-A1C8-E56772DE0100}"/>
            </a:ext>
          </a:extLst>
        </xdr:cNvPr>
        <xdr:cNvSpPr/>
      </xdr:nvSpPr>
      <xdr:spPr>
        <a:xfrm>
          <a:off x="4102553" y="6000214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53CA425-1310-4104-ADBE-DD5D23EFEC9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62,61</a:t>
          </a:fld>
          <a:endParaRPr lang="fr-FR" sz="1100"/>
        </a:p>
      </xdr:txBody>
    </xdr:sp>
    <xdr:clientData/>
  </xdr:twoCellAnchor>
  <xdr:twoCellAnchor>
    <xdr:from>
      <xdr:col>6</xdr:col>
      <xdr:colOff>292553</xdr:colOff>
      <xdr:row>38</xdr:row>
      <xdr:rowOff>58315</xdr:rowOff>
    </xdr:from>
    <xdr:to>
      <xdr:col>7</xdr:col>
      <xdr:colOff>250553</xdr:colOff>
      <xdr:row>40</xdr:row>
      <xdr:rowOff>31101</xdr:rowOff>
    </xdr:to>
    <xdr:sp macro="" textlink="TRAITEMENT!G56">
      <xdr:nvSpPr>
        <xdr:cNvPr id="44" name="Rectangle : coins arrondis 43">
          <a:extLst>
            <a:ext uri="{FF2B5EF4-FFF2-40B4-BE49-F238E27FC236}">
              <a16:creationId xmlns:a16="http://schemas.microsoft.com/office/drawing/2014/main" id="{981583D3-B829-43DC-B592-220BFD0697DE}"/>
            </a:ext>
          </a:extLst>
        </xdr:cNvPr>
        <xdr:cNvSpPr/>
      </xdr:nvSpPr>
      <xdr:spPr>
        <a:xfrm>
          <a:off x="4102553" y="6535315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BD58512-D8DC-4BC6-B62B-DA6889F6C50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61,94</a:t>
          </a:fld>
          <a:endParaRPr lang="fr-FR" sz="1100"/>
        </a:p>
      </xdr:txBody>
    </xdr:sp>
    <xdr:clientData/>
  </xdr:twoCellAnchor>
  <xdr:twoCellAnchor>
    <xdr:from>
      <xdr:col>6</xdr:col>
      <xdr:colOff>292553</xdr:colOff>
      <xdr:row>26</xdr:row>
      <xdr:rowOff>189623</xdr:rowOff>
    </xdr:from>
    <xdr:to>
      <xdr:col>7</xdr:col>
      <xdr:colOff>250553</xdr:colOff>
      <xdr:row>28</xdr:row>
      <xdr:rowOff>162409</xdr:rowOff>
    </xdr:to>
    <xdr:sp macro="" textlink="TRAITEMENT!G52">
      <xdr:nvSpPr>
        <xdr:cNvPr id="45" name="Rectangle : coins arrondis 44">
          <a:extLst>
            <a:ext uri="{FF2B5EF4-FFF2-40B4-BE49-F238E27FC236}">
              <a16:creationId xmlns:a16="http://schemas.microsoft.com/office/drawing/2014/main" id="{81CDC6BA-0230-4C44-8000-68ADC534D35D}"/>
            </a:ext>
          </a:extLst>
        </xdr:cNvPr>
        <xdr:cNvSpPr/>
      </xdr:nvSpPr>
      <xdr:spPr>
        <a:xfrm>
          <a:off x="4102553" y="4380623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36C7275-63D4-4BEB-9206-45E07D54BFF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122,28</a:t>
          </a:fld>
          <a:endParaRPr lang="fr-FR" sz="1100"/>
        </a:p>
      </xdr:txBody>
    </xdr:sp>
    <xdr:clientData/>
  </xdr:twoCellAnchor>
  <xdr:twoCellAnchor>
    <xdr:from>
      <xdr:col>6</xdr:col>
      <xdr:colOff>292553</xdr:colOff>
      <xdr:row>29</xdr:row>
      <xdr:rowOff>167512</xdr:rowOff>
    </xdr:from>
    <xdr:to>
      <xdr:col>7</xdr:col>
      <xdr:colOff>250553</xdr:colOff>
      <xdr:row>31</xdr:row>
      <xdr:rowOff>140298</xdr:rowOff>
    </xdr:to>
    <xdr:sp macro="" textlink="TRAITEMENT!G53">
      <xdr:nvSpPr>
        <xdr:cNvPr id="46" name="Rectangle : coins arrondis 45">
          <a:extLst>
            <a:ext uri="{FF2B5EF4-FFF2-40B4-BE49-F238E27FC236}">
              <a16:creationId xmlns:a16="http://schemas.microsoft.com/office/drawing/2014/main" id="{21925FC5-E5B0-4C0B-8F7A-E21213449EF8}"/>
            </a:ext>
          </a:extLst>
        </xdr:cNvPr>
        <xdr:cNvSpPr/>
      </xdr:nvSpPr>
      <xdr:spPr>
        <a:xfrm>
          <a:off x="4102553" y="4930012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8684F64-C06F-4E04-AA00-03F7ECFC5CA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100,14</a:t>
          </a:fld>
          <a:endParaRPr lang="fr-FR" sz="1100"/>
        </a:p>
      </xdr:txBody>
    </xdr:sp>
    <xdr:clientData/>
  </xdr:twoCellAnchor>
  <xdr:twoCellAnchor>
    <xdr:from>
      <xdr:col>6</xdr:col>
      <xdr:colOff>251732</xdr:colOff>
      <xdr:row>63</xdr:row>
      <xdr:rowOff>37904</xdr:rowOff>
    </xdr:from>
    <xdr:to>
      <xdr:col>7</xdr:col>
      <xdr:colOff>209732</xdr:colOff>
      <xdr:row>65</xdr:row>
      <xdr:rowOff>10690</xdr:rowOff>
    </xdr:to>
    <xdr:sp macro="" textlink="TRAITEMENT!G65">
      <xdr:nvSpPr>
        <xdr:cNvPr id="47" name="Rectangle : coins arrondis 46">
          <a:extLst>
            <a:ext uri="{FF2B5EF4-FFF2-40B4-BE49-F238E27FC236}">
              <a16:creationId xmlns:a16="http://schemas.microsoft.com/office/drawing/2014/main" id="{AB493133-FE06-4862-BFDE-872317BF8135}"/>
            </a:ext>
          </a:extLst>
        </xdr:cNvPr>
        <xdr:cNvSpPr/>
      </xdr:nvSpPr>
      <xdr:spPr>
        <a:xfrm>
          <a:off x="4061732" y="11277404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68203A9-BF36-4288-8A43-946E8DD0C1F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14,09</a:t>
          </a:fld>
          <a:endParaRPr lang="fr-FR" sz="1100"/>
        </a:p>
      </xdr:txBody>
    </xdr:sp>
    <xdr:clientData/>
  </xdr:twoCellAnchor>
  <xdr:twoCellAnchor>
    <xdr:from>
      <xdr:col>6</xdr:col>
      <xdr:colOff>251732</xdr:colOff>
      <xdr:row>60</xdr:row>
      <xdr:rowOff>84847</xdr:rowOff>
    </xdr:from>
    <xdr:to>
      <xdr:col>7</xdr:col>
      <xdr:colOff>209732</xdr:colOff>
      <xdr:row>62</xdr:row>
      <xdr:rowOff>57633</xdr:rowOff>
    </xdr:to>
    <xdr:sp macro="" textlink="TRAITEMENT!G64">
      <xdr:nvSpPr>
        <xdr:cNvPr id="48" name="Rectangle : coins arrondis 47">
          <a:extLst>
            <a:ext uri="{FF2B5EF4-FFF2-40B4-BE49-F238E27FC236}">
              <a16:creationId xmlns:a16="http://schemas.microsoft.com/office/drawing/2014/main" id="{5996913C-4B25-4056-8324-60958FD6986F}"/>
            </a:ext>
          </a:extLst>
        </xdr:cNvPr>
        <xdr:cNvSpPr/>
      </xdr:nvSpPr>
      <xdr:spPr>
        <a:xfrm>
          <a:off x="4061732" y="10752847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ABBE9F7-5215-4E21-9D0C-D5E79714006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15,92</a:t>
          </a:fld>
          <a:endParaRPr lang="fr-FR" sz="1100"/>
        </a:p>
      </xdr:txBody>
    </xdr:sp>
    <xdr:clientData/>
  </xdr:twoCellAnchor>
  <xdr:twoCellAnchor>
    <xdr:from>
      <xdr:col>6</xdr:col>
      <xdr:colOff>251732</xdr:colOff>
      <xdr:row>57</xdr:row>
      <xdr:rowOff>131792</xdr:rowOff>
    </xdr:from>
    <xdr:to>
      <xdr:col>7</xdr:col>
      <xdr:colOff>209732</xdr:colOff>
      <xdr:row>59</xdr:row>
      <xdr:rowOff>104578</xdr:rowOff>
    </xdr:to>
    <xdr:sp macro="" textlink="TRAITEMENT!G63">
      <xdr:nvSpPr>
        <xdr:cNvPr id="49" name="Rectangle : coins arrondis 48">
          <a:extLst>
            <a:ext uri="{FF2B5EF4-FFF2-40B4-BE49-F238E27FC236}">
              <a16:creationId xmlns:a16="http://schemas.microsoft.com/office/drawing/2014/main" id="{31A3E514-D39A-44B5-8A28-5154C16A2ED4}"/>
            </a:ext>
          </a:extLst>
        </xdr:cNvPr>
        <xdr:cNvSpPr/>
      </xdr:nvSpPr>
      <xdr:spPr>
        <a:xfrm>
          <a:off x="4061732" y="10228292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E1E5985-ECB3-4941-9625-A4D62FFE5FB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15,18</a:t>
          </a:fld>
          <a:endParaRPr lang="fr-FR" sz="1100"/>
        </a:p>
      </xdr:txBody>
    </xdr:sp>
    <xdr:clientData/>
  </xdr:twoCellAnchor>
  <xdr:twoCellAnchor>
    <xdr:from>
      <xdr:col>6</xdr:col>
      <xdr:colOff>251732</xdr:colOff>
      <xdr:row>54</xdr:row>
      <xdr:rowOff>178737</xdr:rowOff>
    </xdr:from>
    <xdr:to>
      <xdr:col>7</xdr:col>
      <xdr:colOff>209732</xdr:colOff>
      <xdr:row>56</xdr:row>
      <xdr:rowOff>151523</xdr:rowOff>
    </xdr:to>
    <xdr:sp macro="" textlink="TRAITEMENT!G62">
      <xdr:nvSpPr>
        <xdr:cNvPr id="50" name="Rectangle : coins arrondis 49">
          <a:extLst>
            <a:ext uri="{FF2B5EF4-FFF2-40B4-BE49-F238E27FC236}">
              <a16:creationId xmlns:a16="http://schemas.microsoft.com/office/drawing/2014/main" id="{96411685-3DAC-4D29-AF1D-718B1A789D38}"/>
            </a:ext>
          </a:extLst>
        </xdr:cNvPr>
        <xdr:cNvSpPr/>
      </xdr:nvSpPr>
      <xdr:spPr>
        <a:xfrm>
          <a:off x="4061732" y="9703737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2B71AB8-88D8-4024-A4BF-58E8E19BC61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29,86</a:t>
          </a:fld>
          <a:endParaRPr lang="fr-FR" sz="1100"/>
        </a:p>
      </xdr:txBody>
    </xdr:sp>
    <xdr:clientData/>
  </xdr:twoCellAnchor>
  <xdr:twoCellAnchor>
    <xdr:from>
      <xdr:col>6</xdr:col>
      <xdr:colOff>251732</xdr:colOff>
      <xdr:row>52</xdr:row>
      <xdr:rowOff>35182</xdr:rowOff>
    </xdr:from>
    <xdr:to>
      <xdr:col>7</xdr:col>
      <xdr:colOff>209732</xdr:colOff>
      <xdr:row>54</xdr:row>
      <xdr:rowOff>7968</xdr:rowOff>
    </xdr:to>
    <xdr:sp macro="" textlink="TRAITEMENT!G61">
      <xdr:nvSpPr>
        <xdr:cNvPr id="51" name="Rectangle : coins arrondis 50">
          <a:extLst>
            <a:ext uri="{FF2B5EF4-FFF2-40B4-BE49-F238E27FC236}">
              <a16:creationId xmlns:a16="http://schemas.microsoft.com/office/drawing/2014/main" id="{EC58143D-F35A-4B12-8FF1-CC948CDBA623}"/>
            </a:ext>
          </a:extLst>
        </xdr:cNvPr>
        <xdr:cNvSpPr/>
      </xdr:nvSpPr>
      <xdr:spPr>
        <a:xfrm>
          <a:off x="4061732" y="9179182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C4C40DB-CE2E-4FC9-BE70-44A01D89E5F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26,18</a:t>
          </a:fld>
          <a:endParaRPr lang="fr-FR" sz="1100"/>
        </a:p>
      </xdr:txBody>
    </xdr:sp>
    <xdr:clientData/>
  </xdr:twoCellAnchor>
  <xdr:twoCellAnchor>
    <xdr:from>
      <xdr:col>6</xdr:col>
      <xdr:colOff>251732</xdr:colOff>
      <xdr:row>49</xdr:row>
      <xdr:rowOff>82127</xdr:rowOff>
    </xdr:from>
    <xdr:to>
      <xdr:col>7</xdr:col>
      <xdr:colOff>209732</xdr:colOff>
      <xdr:row>51</xdr:row>
      <xdr:rowOff>54913</xdr:rowOff>
    </xdr:to>
    <xdr:sp macro="" textlink="TRAITEMENT!G60">
      <xdr:nvSpPr>
        <xdr:cNvPr id="52" name="Rectangle : coins arrondis 51">
          <a:extLst>
            <a:ext uri="{FF2B5EF4-FFF2-40B4-BE49-F238E27FC236}">
              <a16:creationId xmlns:a16="http://schemas.microsoft.com/office/drawing/2014/main" id="{B9426C0A-7CEB-4BC9-BF18-C5E50661486B}"/>
            </a:ext>
          </a:extLst>
        </xdr:cNvPr>
        <xdr:cNvSpPr/>
      </xdr:nvSpPr>
      <xdr:spPr>
        <a:xfrm>
          <a:off x="4061732" y="8654627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450C224-719F-494E-A802-7D2720ED7B7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38,42</a:t>
          </a:fld>
          <a:endParaRPr lang="fr-FR" sz="1100"/>
        </a:p>
      </xdr:txBody>
    </xdr:sp>
    <xdr:clientData/>
  </xdr:twoCellAnchor>
  <xdr:twoCellAnchor>
    <xdr:from>
      <xdr:col>6</xdr:col>
      <xdr:colOff>251732</xdr:colOff>
      <xdr:row>46</xdr:row>
      <xdr:rowOff>129072</xdr:rowOff>
    </xdr:from>
    <xdr:to>
      <xdr:col>7</xdr:col>
      <xdr:colOff>209732</xdr:colOff>
      <xdr:row>48</xdr:row>
      <xdr:rowOff>101858</xdr:rowOff>
    </xdr:to>
    <xdr:sp macro="" textlink="TRAITEMENT!G59">
      <xdr:nvSpPr>
        <xdr:cNvPr id="53" name="Rectangle : coins arrondis 52">
          <a:extLst>
            <a:ext uri="{FF2B5EF4-FFF2-40B4-BE49-F238E27FC236}">
              <a16:creationId xmlns:a16="http://schemas.microsoft.com/office/drawing/2014/main" id="{2FA3B6D8-49E8-4FD2-8343-24D8D4D4A2FD}"/>
            </a:ext>
          </a:extLst>
        </xdr:cNvPr>
        <xdr:cNvSpPr/>
      </xdr:nvSpPr>
      <xdr:spPr>
        <a:xfrm>
          <a:off x="4061732" y="8130072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6ECBBFD-EED0-48AC-92B4-161FB85307B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33,37</a:t>
          </a:fld>
          <a:endParaRPr lang="fr-FR" sz="1100"/>
        </a:p>
      </xdr:txBody>
    </xdr:sp>
    <xdr:clientData/>
  </xdr:twoCellAnchor>
  <xdr:twoCellAnchor>
    <xdr:from>
      <xdr:col>6</xdr:col>
      <xdr:colOff>292553</xdr:colOff>
      <xdr:row>41</xdr:row>
      <xdr:rowOff>21916</xdr:rowOff>
    </xdr:from>
    <xdr:to>
      <xdr:col>7</xdr:col>
      <xdr:colOff>250553</xdr:colOff>
      <xdr:row>42</xdr:row>
      <xdr:rowOff>185202</xdr:rowOff>
    </xdr:to>
    <xdr:sp macro="" textlink="TRAITEMENT!G57">
      <xdr:nvSpPr>
        <xdr:cNvPr id="54" name="Rectangle : coins arrondis 53">
          <a:extLst>
            <a:ext uri="{FF2B5EF4-FFF2-40B4-BE49-F238E27FC236}">
              <a16:creationId xmlns:a16="http://schemas.microsoft.com/office/drawing/2014/main" id="{C4114283-1EFB-4B47-99CD-252D017C0189}"/>
            </a:ext>
          </a:extLst>
        </xdr:cNvPr>
        <xdr:cNvSpPr/>
      </xdr:nvSpPr>
      <xdr:spPr>
        <a:xfrm>
          <a:off x="4102553" y="7070416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22251DF-6A94-419B-9EFB-C6E89982910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37,53</a:t>
          </a:fld>
          <a:endParaRPr lang="fr-FR" sz="1100"/>
        </a:p>
      </xdr:txBody>
    </xdr:sp>
    <xdr:clientData/>
  </xdr:twoCellAnchor>
  <xdr:twoCellAnchor>
    <xdr:from>
      <xdr:col>6</xdr:col>
      <xdr:colOff>251732</xdr:colOff>
      <xdr:row>43</xdr:row>
      <xdr:rowOff>176017</xdr:rowOff>
    </xdr:from>
    <xdr:to>
      <xdr:col>7</xdr:col>
      <xdr:colOff>209732</xdr:colOff>
      <xdr:row>45</xdr:row>
      <xdr:rowOff>148803</xdr:rowOff>
    </xdr:to>
    <xdr:sp macro="" textlink="TRAITEMENT!G58">
      <xdr:nvSpPr>
        <xdr:cNvPr id="55" name="Rectangle : coins arrondis 54">
          <a:extLst>
            <a:ext uri="{FF2B5EF4-FFF2-40B4-BE49-F238E27FC236}">
              <a16:creationId xmlns:a16="http://schemas.microsoft.com/office/drawing/2014/main" id="{8A36AFEF-7FB9-46DF-A708-36E6D9DD86A6}"/>
            </a:ext>
          </a:extLst>
        </xdr:cNvPr>
        <xdr:cNvSpPr/>
      </xdr:nvSpPr>
      <xdr:spPr>
        <a:xfrm>
          <a:off x="4061732" y="7605517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A9CA20F-AFA6-4D1D-A8C4-4B9F55237A4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35,89</a:t>
          </a:fld>
          <a:endParaRPr lang="fr-FR" sz="1100"/>
        </a:p>
      </xdr:txBody>
    </xdr:sp>
    <xdr:clientData/>
  </xdr:twoCellAnchor>
  <xdr:twoCellAnchor>
    <xdr:from>
      <xdr:col>8</xdr:col>
      <xdr:colOff>411957</xdr:colOff>
      <xdr:row>26</xdr:row>
      <xdr:rowOff>189623</xdr:rowOff>
    </xdr:from>
    <xdr:to>
      <xdr:col>9</xdr:col>
      <xdr:colOff>369957</xdr:colOff>
      <xdr:row>28</xdr:row>
      <xdr:rowOff>162409</xdr:rowOff>
    </xdr:to>
    <xdr:sp macro="" textlink="TRAITEMENT!F52">
      <xdr:nvSpPr>
        <xdr:cNvPr id="56" name="Rectangle : coins arrondis 55">
          <a:extLst>
            <a:ext uri="{FF2B5EF4-FFF2-40B4-BE49-F238E27FC236}">
              <a16:creationId xmlns:a16="http://schemas.microsoft.com/office/drawing/2014/main" id="{983B8608-FA84-4882-953B-274D8B0186B6}"/>
            </a:ext>
          </a:extLst>
        </xdr:cNvPr>
        <xdr:cNvSpPr/>
      </xdr:nvSpPr>
      <xdr:spPr>
        <a:xfrm>
          <a:off x="5745957" y="4380623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8E7355D-4FD2-4EC3-B0AC-6076299B85D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75</a:t>
          </a:fld>
          <a:endParaRPr lang="fr-FR" sz="1100"/>
        </a:p>
      </xdr:txBody>
    </xdr:sp>
    <xdr:clientData/>
  </xdr:twoCellAnchor>
  <xdr:twoCellAnchor>
    <xdr:from>
      <xdr:col>8</xdr:col>
      <xdr:colOff>411957</xdr:colOff>
      <xdr:row>29</xdr:row>
      <xdr:rowOff>161925</xdr:rowOff>
    </xdr:from>
    <xdr:to>
      <xdr:col>9</xdr:col>
      <xdr:colOff>369957</xdr:colOff>
      <xdr:row>31</xdr:row>
      <xdr:rowOff>134711</xdr:rowOff>
    </xdr:to>
    <xdr:sp macro="" textlink="TRAITEMENT!F53">
      <xdr:nvSpPr>
        <xdr:cNvPr id="57" name="Rectangle : coins arrondis 56">
          <a:extLst>
            <a:ext uri="{FF2B5EF4-FFF2-40B4-BE49-F238E27FC236}">
              <a16:creationId xmlns:a16="http://schemas.microsoft.com/office/drawing/2014/main" id="{F070806D-E47C-464A-8465-62A6011222B4}"/>
            </a:ext>
          </a:extLst>
        </xdr:cNvPr>
        <xdr:cNvSpPr/>
      </xdr:nvSpPr>
      <xdr:spPr>
        <a:xfrm>
          <a:off x="5745957" y="4924425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CABD853-2BF1-4500-B456-126348C7B05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71</a:t>
          </a:fld>
          <a:endParaRPr lang="fr-FR" sz="1100"/>
        </a:p>
      </xdr:txBody>
    </xdr:sp>
    <xdr:clientData/>
  </xdr:twoCellAnchor>
  <xdr:twoCellAnchor>
    <xdr:from>
      <xdr:col>8</xdr:col>
      <xdr:colOff>411957</xdr:colOff>
      <xdr:row>32</xdr:row>
      <xdr:rowOff>138724</xdr:rowOff>
    </xdr:from>
    <xdr:to>
      <xdr:col>9</xdr:col>
      <xdr:colOff>369957</xdr:colOff>
      <xdr:row>34</xdr:row>
      <xdr:rowOff>115048</xdr:rowOff>
    </xdr:to>
    <xdr:sp macro="" textlink="TRAITEMENT!F54">
      <xdr:nvSpPr>
        <xdr:cNvPr id="58" name="Rectangle : coins arrondis 57">
          <a:extLst>
            <a:ext uri="{FF2B5EF4-FFF2-40B4-BE49-F238E27FC236}">
              <a16:creationId xmlns:a16="http://schemas.microsoft.com/office/drawing/2014/main" id="{923C825E-5517-4D22-9C5A-DB2EFC8CBE0C}"/>
            </a:ext>
          </a:extLst>
        </xdr:cNvPr>
        <xdr:cNvSpPr/>
      </xdr:nvSpPr>
      <xdr:spPr>
        <a:xfrm>
          <a:off x="5745957" y="5472724"/>
          <a:ext cx="720000" cy="357324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86AAAA2-5A49-450E-BDE6-CDF0CA03CEA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39</a:t>
          </a:fld>
          <a:endParaRPr lang="fr-FR" sz="1100"/>
        </a:p>
      </xdr:txBody>
    </xdr:sp>
    <xdr:clientData/>
  </xdr:twoCellAnchor>
  <xdr:twoCellAnchor>
    <xdr:from>
      <xdr:col>8</xdr:col>
      <xdr:colOff>411957</xdr:colOff>
      <xdr:row>35</xdr:row>
      <xdr:rowOff>83956</xdr:rowOff>
    </xdr:from>
    <xdr:to>
      <xdr:col>9</xdr:col>
      <xdr:colOff>369957</xdr:colOff>
      <xdr:row>37</xdr:row>
      <xdr:rowOff>60280</xdr:rowOff>
    </xdr:to>
    <xdr:sp macro="" textlink="TRAITEMENT!F55">
      <xdr:nvSpPr>
        <xdr:cNvPr id="59" name="Rectangle : coins arrondis 58">
          <a:extLst>
            <a:ext uri="{FF2B5EF4-FFF2-40B4-BE49-F238E27FC236}">
              <a16:creationId xmlns:a16="http://schemas.microsoft.com/office/drawing/2014/main" id="{A3A26D11-9A36-4AB3-B684-9BDFA7C39C53}"/>
            </a:ext>
          </a:extLst>
        </xdr:cNvPr>
        <xdr:cNvSpPr/>
      </xdr:nvSpPr>
      <xdr:spPr>
        <a:xfrm>
          <a:off x="5745957" y="5989456"/>
          <a:ext cx="720000" cy="357324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C60236F-FDC7-44AE-B849-DD4402284AF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39</a:t>
          </a:fld>
          <a:endParaRPr lang="fr-FR" sz="1100"/>
        </a:p>
      </xdr:txBody>
    </xdr:sp>
    <xdr:clientData/>
  </xdr:twoCellAnchor>
  <xdr:twoCellAnchor>
    <xdr:from>
      <xdr:col>8</xdr:col>
      <xdr:colOff>411957</xdr:colOff>
      <xdr:row>38</xdr:row>
      <xdr:rowOff>48237</xdr:rowOff>
    </xdr:from>
    <xdr:to>
      <xdr:col>9</xdr:col>
      <xdr:colOff>369957</xdr:colOff>
      <xdr:row>40</xdr:row>
      <xdr:rowOff>24561</xdr:rowOff>
    </xdr:to>
    <xdr:sp macro="" textlink="TRAITEMENT!F56">
      <xdr:nvSpPr>
        <xdr:cNvPr id="60" name="Rectangle : coins arrondis 59">
          <a:extLst>
            <a:ext uri="{FF2B5EF4-FFF2-40B4-BE49-F238E27FC236}">
              <a16:creationId xmlns:a16="http://schemas.microsoft.com/office/drawing/2014/main" id="{1B76F109-2F7E-4268-A61B-0847810AEF38}"/>
            </a:ext>
          </a:extLst>
        </xdr:cNvPr>
        <xdr:cNvSpPr/>
      </xdr:nvSpPr>
      <xdr:spPr>
        <a:xfrm>
          <a:off x="5745957" y="6525237"/>
          <a:ext cx="720000" cy="357324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8C046F9-3DC8-4051-B785-19E8609F005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32</a:t>
          </a:fld>
          <a:endParaRPr lang="fr-FR" sz="1100"/>
        </a:p>
      </xdr:txBody>
    </xdr:sp>
    <xdr:clientData/>
  </xdr:twoCellAnchor>
  <xdr:twoCellAnchor>
    <xdr:from>
      <xdr:col>8</xdr:col>
      <xdr:colOff>411957</xdr:colOff>
      <xdr:row>41</xdr:row>
      <xdr:rowOff>9526</xdr:rowOff>
    </xdr:from>
    <xdr:to>
      <xdr:col>9</xdr:col>
      <xdr:colOff>369957</xdr:colOff>
      <xdr:row>42</xdr:row>
      <xdr:rowOff>172812</xdr:rowOff>
    </xdr:to>
    <xdr:sp macro="" textlink="TRAITEMENT!F57">
      <xdr:nvSpPr>
        <xdr:cNvPr id="61" name="Rectangle : coins arrondis 60">
          <a:extLst>
            <a:ext uri="{FF2B5EF4-FFF2-40B4-BE49-F238E27FC236}">
              <a16:creationId xmlns:a16="http://schemas.microsoft.com/office/drawing/2014/main" id="{6DE3A92E-F974-462E-91E0-915DC89D2CFF}"/>
            </a:ext>
          </a:extLst>
        </xdr:cNvPr>
        <xdr:cNvSpPr/>
      </xdr:nvSpPr>
      <xdr:spPr>
        <a:xfrm>
          <a:off x="5745957" y="7058026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7027D1D-3CB8-46F4-8078-84C1AB591F7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30</a:t>
          </a:fld>
          <a:endParaRPr lang="fr-FR" sz="1100"/>
        </a:p>
      </xdr:txBody>
    </xdr:sp>
    <xdr:clientData/>
  </xdr:twoCellAnchor>
  <xdr:twoCellAnchor>
    <xdr:from>
      <xdr:col>8</xdr:col>
      <xdr:colOff>411957</xdr:colOff>
      <xdr:row>43</xdr:row>
      <xdr:rowOff>176213</xdr:rowOff>
    </xdr:from>
    <xdr:to>
      <xdr:col>9</xdr:col>
      <xdr:colOff>369957</xdr:colOff>
      <xdr:row>45</xdr:row>
      <xdr:rowOff>148999</xdr:rowOff>
    </xdr:to>
    <xdr:sp macro="" textlink="TRAITEMENT!F58">
      <xdr:nvSpPr>
        <xdr:cNvPr id="62" name="Rectangle : coins arrondis 61">
          <a:extLst>
            <a:ext uri="{FF2B5EF4-FFF2-40B4-BE49-F238E27FC236}">
              <a16:creationId xmlns:a16="http://schemas.microsoft.com/office/drawing/2014/main" id="{9E746953-67D7-483B-89F7-2E7265FE22AB}"/>
            </a:ext>
          </a:extLst>
        </xdr:cNvPr>
        <xdr:cNvSpPr/>
      </xdr:nvSpPr>
      <xdr:spPr>
        <a:xfrm>
          <a:off x="5745957" y="7605713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0365BF9-1EB5-4529-8C9D-573EB0312FA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28</a:t>
          </a:fld>
          <a:endParaRPr lang="fr-FR" sz="1100"/>
        </a:p>
      </xdr:txBody>
    </xdr:sp>
    <xdr:clientData/>
  </xdr:twoCellAnchor>
  <xdr:twoCellAnchor>
    <xdr:from>
      <xdr:col>8</xdr:col>
      <xdr:colOff>411957</xdr:colOff>
      <xdr:row>46</xdr:row>
      <xdr:rowOff>126207</xdr:rowOff>
    </xdr:from>
    <xdr:to>
      <xdr:col>9</xdr:col>
      <xdr:colOff>369957</xdr:colOff>
      <xdr:row>48</xdr:row>
      <xdr:rowOff>98993</xdr:rowOff>
    </xdr:to>
    <xdr:sp macro="" textlink="TRAITEMENT!F59">
      <xdr:nvSpPr>
        <xdr:cNvPr id="63" name="Rectangle : coins arrondis 62">
          <a:extLst>
            <a:ext uri="{FF2B5EF4-FFF2-40B4-BE49-F238E27FC236}">
              <a16:creationId xmlns:a16="http://schemas.microsoft.com/office/drawing/2014/main" id="{BA880341-D633-4FE8-B0BD-A189EB31DC5B}"/>
            </a:ext>
          </a:extLst>
        </xdr:cNvPr>
        <xdr:cNvSpPr/>
      </xdr:nvSpPr>
      <xdr:spPr>
        <a:xfrm>
          <a:off x="5745957" y="8127207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598535-1898-474B-9638-82489A252E9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23</a:t>
          </a:fld>
          <a:endParaRPr lang="fr-FR" sz="1100"/>
        </a:p>
      </xdr:txBody>
    </xdr:sp>
    <xdr:clientData/>
  </xdr:twoCellAnchor>
  <xdr:twoCellAnchor>
    <xdr:from>
      <xdr:col>8</xdr:col>
      <xdr:colOff>411957</xdr:colOff>
      <xdr:row>49</xdr:row>
      <xdr:rowOff>71438</xdr:rowOff>
    </xdr:from>
    <xdr:to>
      <xdr:col>9</xdr:col>
      <xdr:colOff>369957</xdr:colOff>
      <xdr:row>51</xdr:row>
      <xdr:rowOff>44224</xdr:rowOff>
    </xdr:to>
    <xdr:sp macro="" textlink="TRAITEMENT!F60">
      <xdr:nvSpPr>
        <xdr:cNvPr id="64" name="Rectangle : coins arrondis 63">
          <a:extLst>
            <a:ext uri="{FF2B5EF4-FFF2-40B4-BE49-F238E27FC236}">
              <a16:creationId xmlns:a16="http://schemas.microsoft.com/office/drawing/2014/main" id="{5704097C-0E60-495C-81FC-0B6F6FC6C129}"/>
            </a:ext>
          </a:extLst>
        </xdr:cNvPr>
        <xdr:cNvSpPr/>
      </xdr:nvSpPr>
      <xdr:spPr>
        <a:xfrm>
          <a:off x="5745957" y="8643938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30CFB01-567C-48ED-94D7-C73A9449C72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22</a:t>
          </a:fld>
          <a:endParaRPr lang="fr-FR" sz="1100"/>
        </a:p>
      </xdr:txBody>
    </xdr:sp>
    <xdr:clientData/>
  </xdr:twoCellAnchor>
  <xdr:twoCellAnchor>
    <xdr:from>
      <xdr:col>8</xdr:col>
      <xdr:colOff>411957</xdr:colOff>
      <xdr:row>52</xdr:row>
      <xdr:rowOff>17622</xdr:rowOff>
    </xdr:from>
    <xdr:to>
      <xdr:col>9</xdr:col>
      <xdr:colOff>369957</xdr:colOff>
      <xdr:row>53</xdr:row>
      <xdr:rowOff>180908</xdr:rowOff>
    </xdr:to>
    <xdr:sp macro="" textlink="TRAITEMENT!F61">
      <xdr:nvSpPr>
        <xdr:cNvPr id="65" name="Rectangle : coins arrondis 64">
          <a:extLst>
            <a:ext uri="{FF2B5EF4-FFF2-40B4-BE49-F238E27FC236}">
              <a16:creationId xmlns:a16="http://schemas.microsoft.com/office/drawing/2014/main" id="{8D2A51C4-9797-4E9C-B753-2FDE53695D93}"/>
            </a:ext>
          </a:extLst>
        </xdr:cNvPr>
        <xdr:cNvSpPr/>
      </xdr:nvSpPr>
      <xdr:spPr>
        <a:xfrm>
          <a:off x="5745957" y="9161622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FBD226E-D1EA-4BAF-8F3A-F2B47537594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20</a:t>
          </a:fld>
          <a:endParaRPr lang="fr-FR" sz="1100"/>
        </a:p>
      </xdr:txBody>
    </xdr:sp>
    <xdr:clientData/>
  </xdr:twoCellAnchor>
  <xdr:twoCellAnchor>
    <xdr:from>
      <xdr:col>8</xdr:col>
      <xdr:colOff>411957</xdr:colOff>
      <xdr:row>57</xdr:row>
      <xdr:rowOff>100490</xdr:rowOff>
    </xdr:from>
    <xdr:to>
      <xdr:col>9</xdr:col>
      <xdr:colOff>369957</xdr:colOff>
      <xdr:row>59</xdr:row>
      <xdr:rowOff>73276</xdr:rowOff>
    </xdr:to>
    <xdr:sp macro="" textlink="TRAITEMENT!F63">
      <xdr:nvSpPr>
        <xdr:cNvPr id="66" name="Rectangle : coins arrondis 65">
          <a:extLst>
            <a:ext uri="{FF2B5EF4-FFF2-40B4-BE49-F238E27FC236}">
              <a16:creationId xmlns:a16="http://schemas.microsoft.com/office/drawing/2014/main" id="{B0460EAC-E700-4E25-96D1-00FCD08A250C}"/>
            </a:ext>
          </a:extLst>
        </xdr:cNvPr>
        <xdr:cNvSpPr/>
      </xdr:nvSpPr>
      <xdr:spPr>
        <a:xfrm>
          <a:off x="5745957" y="10196990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81067BD-444F-4B09-A3C9-FF639BB9D29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10</a:t>
          </a:fld>
          <a:endParaRPr lang="fr-FR" sz="1100"/>
        </a:p>
      </xdr:txBody>
    </xdr:sp>
    <xdr:clientData/>
  </xdr:twoCellAnchor>
  <xdr:twoCellAnchor>
    <xdr:from>
      <xdr:col>8</xdr:col>
      <xdr:colOff>411957</xdr:colOff>
      <xdr:row>60</xdr:row>
      <xdr:rowOff>46674</xdr:rowOff>
    </xdr:from>
    <xdr:to>
      <xdr:col>9</xdr:col>
      <xdr:colOff>369957</xdr:colOff>
      <xdr:row>62</xdr:row>
      <xdr:rowOff>19460</xdr:rowOff>
    </xdr:to>
    <xdr:sp macro="" textlink="TRAITEMENT!F64">
      <xdr:nvSpPr>
        <xdr:cNvPr id="67" name="Rectangle : coins arrondis 66">
          <a:extLst>
            <a:ext uri="{FF2B5EF4-FFF2-40B4-BE49-F238E27FC236}">
              <a16:creationId xmlns:a16="http://schemas.microsoft.com/office/drawing/2014/main" id="{8B7EFB32-7AD2-4986-B9B0-2E22408CB2E8}"/>
            </a:ext>
          </a:extLst>
        </xdr:cNvPr>
        <xdr:cNvSpPr/>
      </xdr:nvSpPr>
      <xdr:spPr>
        <a:xfrm>
          <a:off x="5745957" y="10714674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11CA2F4-A672-4696-97E5-313CAA728AC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9</a:t>
          </a:fld>
          <a:endParaRPr lang="fr-FR" sz="1100"/>
        </a:p>
      </xdr:txBody>
    </xdr:sp>
    <xdr:clientData/>
  </xdr:twoCellAnchor>
  <xdr:twoCellAnchor>
    <xdr:from>
      <xdr:col>8</xdr:col>
      <xdr:colOff>411957</xdr:colOff>
      <xdr:row>62</xdr:row>
      <xdr:rowOff>183358</xdr:rowOff>
    </xdr:from>
    <xdr:to>
      <xdr:col>9</xdr:col>
      <xdr:colOff>369957</xdr:colOff>
      <xdr:row>64</xdr:row>
      <xdr:rowOff>156144</xdr:rowOff>
    </xdr:to>
    <xdr:sp macro="" textlink="TRAITEMENT!F65">
      <xdr:nvSpPr>
        <xdr:cNvPr id="68" name="Rectangle : coins arrondis 67">
          <a:extLst>
            <a:ext uri="{FF2B5EF4-FFF2-40B4-BE49-F238E27FC236}">
              <a16:creationId xmlns:a16="http://schemas.microsoft.com/office/drawing/2014/main" id="{CBFA0506-568E-4359-B6EE-A089F1A35A14}"/>
            </a:ext>
          </a:extLst>
        </xdr:cNvPr>
        <xdr:cNvSpPr/>
      </xdr:nvSpPr>
      <xdr:spPr>
        <a:xfrm>
          <a:off x="5745957" y="11232358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709D0A3-D7E9-49A3-9F00-82BD0A89F3E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8</a:t>
          </a:fld>
          <a:endParaRPr lang="fr-FR" sz="1100"/>
        </a:p>
      </xdr:txBody>
    </xdr:sp>
    <xdr:clientData/>
  </xdr:twoCellAnchor>
  <xdr:twoCellAnchor>
    <xdr:from>
      <xdr:col>8</xdr:col>
      <xdr:colOff>411957</xdr:colOff>
      <xdr:row>54</xdr:row>
      <xdr:rowOff>154306</xdr:rowOff>
    </xdr:from>
    <xdr:to>
      <xdr:col>9</xdr:col>
      <xdr:colOff>369957</xdr:colOff>
      <xdr:row>56</xdr:row>
      <xdr:rowOff>127092</xdr:rowOff>
    </xdr:to>
    <xdr:sp macro="" textlink="TRAITEMENT!F62">
      <xdr:nvSpPr>
        <xdr:cNvPr id="69" name="Rectangle : coins arrondis 68">
          <a:extLst>
            <a:ext uri="{FF2B5EF4-FFF2-40B4-BE49-F238E27FC236}">
              <a16:creationId xmlns:a16="http://schemas.microsoft.com/office/drawing/2014/main" id="{3BB87EC4-C740-4621-89B0-FF4AB7AF9203}"/>
            </a:ext>
          </a:extLst>
        </xdr:cNvPr>
        <xdr:cNvSpPr/>
      </xdr:nvSpPr>
      <xdr:spPr>
        <a:xfrm>
          <a:off x="5745957" y="9679306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9C38820-4F97-4F33-B6CA-7100A338E91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19</a:t>
          </a:fld>
          <a:endParaRPr lang="fr-FR" sz="1100"/>
        </a:p>
      </xdr:txBody>
    </xdr:sp>
    <xdr:clientData/>
  </xdr:twoCellAnchor>
  <xdr:twoCellAnchor>
    <xdr:from>
      <xdr:col>7</xdr:col>
      <xdr:colOff>416378</xdr:colOff>
      <xdr:row>24</xdr:row>
      <xdr:rowOff>146957</xdr:rowOff>
    </xdr:from>
    <xdr:to>
      <xdr:col>10</xdr:col>
      <xdr:colOff>423334</xdr:colOff>
      <xdr:row>26</xdr:row>
      <xdr:rowOff>179917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68A48A36-230D-47F2-A9E4-56D2774839CD}"/>
            </a:ext>
          </a:extLst>
        </xdr:cNvPr>
        <xdr:cNvSpPr txBox="1"/>
      </xdr:nvSpPr>
      <xdr:spPr>
        <a:xfrm>
          <a:off x="4988378" y="3956957"/>
          <a:ext cx="2292956" cy="4139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aseline="0"/>
            <a:t># Moyen des s</a:t>
          </a:r>
          <a:r>
            <a:rPr lang="fr-FR" sz="1100"/>
            <a:t>ujets</a:t>
          </a:r>
          <a:r>
            <a:rPr lang="fr-FR" sz="1100" baseline="0"/>
            <a:t> de JT</a:t>
          </a:r>
          <a:r>
            <a:rPr lang="fr-FR" sz="1100"/>
            <a:t>/ mois</a:t>
          </a:r>
        </a:p>
      </xdr:txBody>
    </xdr:sp>
    <xdr:clientData/>
  </xdr:twoCellAnchor>
  <xdr:twoCellAnchor>
    <xdr:from>
      <xdr:col>14</xdr:col>
      <xdr:colOff>379678</xdr:colOff>
      <xdr:row>24</xdr:row>
      <xdr:rowOff>59531</xdr:rowOff>
    </xdr:from>
    <xdr:to>
      <xdr:col>19</xdr:col>
      <xdr:colOff>690562</xdr:colOff>
      <xdr:row>41</xdr:row>
      <xdr:rowOff>119062</xdr:rowOff>
    </xdr:to>
    <xdr:sp macro="" textlink="">
      <xdr:nvSpPr>
        <xdr:cNvPr id="71" name="Rectangle : coins arrondis 70">
          <a:extLst>
            <a:ext uri="{FF2B5EF4-FFF2-40B4-BE49-F238E27FC236}">
              <a16:creationId xmlns:a16="http://schemas.microsoft.com/office/drawing/2014/main" id="{CC8D8D16-3CC8-44BD-A9AA-1B4F62842263}"/>
            </a:ext>
          </a:extLst>
        </xdr:cNvPr>
        <xdr:cNvSpPr/>
      </xdr:nvSpPr>
      <xdr:spPr>
        <a:xfrm>
          <a:off x="10285678" y="821531"/>
          <a:ext cx="4120884" cy="3298031"/>
        </a:xfrm>
        <a:prstGeom prst="roundRect">
          <a:avLst/>
        </a:prstGeom>
        <a:solidFill>
          <a:schemeClr val="bg1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402167</xdr:colOff>
      <xdr:row>26</xdr:row>
      <xdr:rowOff>166687</xdr:rowOff>
    </xdr:from>
    <xdr:to>
      <xdr:col>14</xdr:col>
      <xdr:colOff>141553</xdr:colOff>
      <xdr:row>65</xdr:row>
      <xdr:rowOff>74083</xdr:rowOff>
    </xdr:to>
    <xdr:graphicFrame macro="">
      <xdr:nvGraphicFramePr>
        <xdr:cNvPr id="73" name="Graphique 72">
          <a:extLst>
            <a:ext uri="{FF2B5EF4-FFF2-40B4-BE49-F238E27FC236}">
              <a16:creationId xmlns:a16="http://schemas.microsoft.com/office/drawing/2014/main" id="{F249E3D0-AC2A-47ED-B5E6-1D267E6B24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321128</xdr:colOff>
      <xdr:row>24</xdr:row>
      <xdr:rowOff>146957</xdr:rowOff>
    </xdr:from>
    <xdr:to>
      <xdr:col>13</xdr:col>
      <xdr:colOff>328084</xdr:colOff>
      <xdr:row>26</xdr:row>
      <xdr:rowOff>179917</xdr:rowOff>
    </xdr:to>
    <xdr:sp macro="" textlink="">
      <xdr:nvSpPr>
        <xdr:cNvPr id="74" name="ZoneTexte 73">
          <a:extLst>
            <a:ext uri="{FF2B5EF4-FFF2-40B4-BE49-F238E27FC236}">
              <a16:creationId xmlns:a16="http://schemas.microsoft.com/office/drawing/2014/main" id="{D506248C-C2E9-4C56-81F0-29B3A43FAB6F}"/>
            </a:ext>
          </a:extLst>
        </xdr:cNvPr>
        <xdr:cNvSpPr txBox="1"/>
      </xdr:nvSpPr>
      <xdr:spPr>
        <a:xfrm>
          <a:off x="7179128" y="908957"/>
          <a:ext cx="2292956" cy="4139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aseline="0"/>
            <a:t>Total s</a:t>
          </a:r>
          <a:r>
            <a:rPr lang="fr-FR" sz="1100"/>
            <a:t>ujets</a:t>
          </a:r>
          <a:r>
            <a:rPr lang="fr-FR" sz="1100" baseline="0"/>
            <a:t> de JT</a:t>
          </a:r>
          <a:endParaRPr lang="fr-FR" sz="1100"/>
        </a:p>
      </xdr:txBody>
    </xdr:sp>
    <xdr:clientData/>
  </xdr:twoCellAnchor>
  <xdr:twoCellAnchor>
    <xdr:from>
      <xdr:col>14</xdr:col>
      <xdr:colOff>379677</xdr:colOff>
      <xdr:row>24</xdr:row>
      <xdr:rowOff>59531</xdr:rowOff>
    </xdr:from>
    <xdr:to>
      <xdr:col>19</xdr:col>
      <xdr:colOff>559594</xdr:colOff>
      <xdr:row>40</xdr:row>
      <xdr:rowOff>119062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5" name="Graphique 74">
              <a:extLst>
                <a:ext uri="{FF2B5EF4-FFF2-40B4-BE49-F238E27FC236}">
                  <a16:creationId xmlns:a16="http://schemas.microsoft.com/office/drawing/2014/main" id="{6BDE9E79-3E1E-4499-A8AB-75553AE5B9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7677" y="4631531"/>
              <a:ext cx="3989917" cy="31075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14</xdr:col>
      <xdr:colOff>440531</xdr:colOff>
      <xdr:row>42</xdr:row>
      <xdr:rowOff>23812</xdr:rowOff>
    </xdr:from>
    <xdr:to>
      <xdr:col>19</xdr:col>
      <xdr:colOff>678656</xdr:colOff>
      <xdr:row>65</xdr:row>
      <xdr:rowOff>95249</xdr:rowOff>
    </xdr:to>
    <xdr:sp macro="" textlink="">
      <xdr:nvSpPr>
        <xdr:cNvPr id="76" name="Rectangle 75">
          <a:extLst>
            <a:ext uri="{FF2B5EF4-FFF2-40B4-BE49-F238E27FC236}">
              <a16:creationId xmlns:a16="http://schemas.microsoft.com/office/drawing/2014/main" id="{CA6D487C-5414-F2F2-7FDE-53C0E6170F1A}"/>
            </a:ext>
          </a:extLst>
        </xdr:cNvPr>
        <xdr:cNvSpPr/>
      </xdr:nvSpPr>
      <xdr:spPr>
        <a:xfrm>
          <a:off x="10346531" y="4214812"/>
          <a:ext cx="4048125" cy="445293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378618</xdr:colOff>
      <xdr:row>45</xdr:row>
      <xdr:rowOff>71437</xdr:rowOff>
    </xdr:from>
    <xdr:to>
      <xdr:col>16</xdr:col>
      <xdr:colOff>405832</xdr:colOff>
      <xdr:row>47</xdr:row>
      <xdr:rowOff>30616</xdr:rowOff>
    </xdr:to>
    <xdr:sp macro="" textlink="TRAITEMENT!I70">
      <xdr:nvSpPr>
        <xdr:cNvPr id="77" name="ZoneTexte 76">
          <a:extLst>
            <a:ext uri="{FF2B5EF4-FFF2-40B4-BE49-F238E27FC236}">
              <a16:creationId xmlns:a16="http://schemas.microsoft.com/office/drawing/2014/main" id="{913D42EC-D5DE-431F-820F-3D0F11ADC97C}"/>
            </a:ext>
          </a:extLst>
        </xdr:cNvPr>
        <xdr:cNvSpPr txBox="1"/>
      </xdr:nvSpPr>
      <xdr:spPr>
        <a:xfrm>
          <a:off x="10284618" y="4833937"/>
          <a:ext cx="1551214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88BD31B-CDE0-4D23-8D53-CA4B5290B4A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Arte</a:t>
          </a:fld>
          <a:endParaRPr lang="fr-FR" sz="1100"/>
        </a:p>
      </xdr:txBody>
    </xdr:sp>
    <xdr:clientData/>
  </xdr:twoCellAnchor>
  <xdr:twoCellAnchor>
    <xdr:from>
      <xdr:col>14</xdr:col>
      <xdr:colOff>378618</xdr:colOff>
      <xdr:row>48</xdr:row>
      <xdr:rowOff>115728</xdr:rowOff>
    </xdr:from>
    <xdr:to>
      <xdr:col>16</xdr:col>
      <xdr:colOff>405832</xdr:colOff>
      <xdr:row>50</xdr:row>
      <xdr:rowOff>74907</xdr:rowOff>
    </xdr:to>
    <xdr:sp macro="" textlink="TRAITEMENT!I71">
      <xdr:nvSpPr>
        <xdr:cNvPr id="78" name="ZoneTexte 77">
          <a:extLst>
            <a:ext uri="{FF2B5EF4-FFF2-40B4-BE49-F238E27FC236}">
              <a16:creationId xmlns:a16="http://schemas.microsoft.com/office/drawing/2014/main" id="{BF1DEFA2-E7CF-4795-A2C9-5D3F7EF40895}"/>
            </a:ext>
          </a:extLst>
        </xdr:cNvPr>
        <xdr:cNvSpPr txBox="1"/>
      </xdr:nvSpPr>
      <xdr:spPr>
        <a:xfrm>
          <a:off x="10284618" y="5449728"/>
          <a:ext cx="1551214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9DD933-78A7-4B1F-8717-937FEB6EC9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Canal +</a:t>
          </a:fld>
          <a:endParaRPr lang="fr-FR" sz="1100"/>
        </a:p>
      </xdr:txBody>
    </xdr:sp>
    <xdr:clientData/>
  </xdr:twoCellAnchor>
  <xdr:twoCellAnchor>
    <xdr:from>
      <xdr:col>14</xdr:col>
      <xdr:colOff>378618</xdr:colOff>
      <xdr:row>51</xdr:row>
      <xdr:rowOff>160019</xdr:rowOff>
    </xdr:from>
    <xdr:to>
      <xdr:col>16</xdr:col>
      <xdr:colOff>405832</xdr:colOff>
      <xdr:row>53</xdr:row>
      <xdr:rowOff>119198</xdr:rowOff>
    </xdr:to>
    <xdr:sp macro="" textlink="TRAITEMENT!I72">
      <xdr:nvSpPr>
        <xdr:cNvPr id="79" name="ZoneTexte 78">
          <a:extLst>
            <a:ext uri="{FF2B5EF4-FFF2-40B4-BE49-F238E27FC236}">
              <a16:creationId xmlns:a16="http://schemas.microsoft.com/office/drawing/2014/main" id="{8AA483D3-607B-4684-A2D3-A7BC12092282}"/>
            </a:ext>
          </a:extLst>
        </xdr:cNvPr>
        <xdr:cNvSpPr txBox="1"/>
      </xdr:nvSpPr>
      <xdr:spPr>
        <a:xfrm>
          <a:off x="10284618" y="6065519"/>
          <a:ext cx="1551214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85DA525-AD97-498F-82CB-DFC40260A8B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France 2</a:t>
          </a:fld>
          <a:endParaRPr lang="fr-FR" sz="1100"/>
        </a:p>
      </xdr:txBody>
    </xdr:sp>
    <xdr:clientData/>
  </xdr:twoCellAnchor>
  <xdr:twoCellAnchor>
    <xdr:from>
      <xdr:col>14</xdr:col>
      <xdr:colOff>378618</xdr:colOff>
      <xdr:row>55</xdr:row>
      <xdr:rowOff>13810</xdr:rowOff>
    </xdr:from>
    <xdr:to>
      <xdr:col>16</xdr:col>
      <xdr:colOff>405832</xdr:colOff>
      <xdr:row>56</xdr:row>
      <xdr:rowOff>163489</xdr:rowOff>
    </xdr:to>
    <xdr:sp macro="" textlink="TRAITEMENT!I73">
      <xdr:nvSpPr>
        <xdr:cNvPr id="80" name="ZoneTexte 79">
          <a:extLst>
            <a:ext uri="{FF2B5EF4-FFF2-40B4-BE49-F238E27FC236}">
              <a16:creationId xmlns:a16="http://schemas.microsoft.com/office/drawing/2014/main" id="{FE8F45B7-05CE-4D98-9A27-A5C707B3EE37}"/>
            </a:ext>
          </a:extLst>
        </xdr:cNvPr>
        <xdr:cNvSpPr txBox="1"/>
      </xdr:nvSpPr>
      <xdr:spPr>
        <a:xfrm>
          <a:off x="10284618" y="6681310"/>
          <a:ext cx="1551214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9FDB79F-FE61-47C9-9D8E-9A6E7B969BB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France 3</a:t>
          </a:fld>
          <a:endParaRPr lang="fr-FR" sz="1100"/>
        </a:p>
      </xdr:txBody>
    </xdr:sp>
    <xdr:clientData/>
  </xdr:twoCellAnchor>
  <xdr:twoCellAnchor>
    <xdr:from>
      <xdr:col>14</xdr:col>
      <xdr:colOff>378618</xdr:colOff>
      <xdr:row>58</xdr:row>
      <xdr:rowOff>58101</xdr:rowOff>
    </xdr:from>
    <xdr:to>
      <xdr:col>16</xdr:col>
      <xdr:colOff>405832</xdr:colOff>
      <xdr:row>60</xdr:row>
      <xdr:rowOff>17280</xdr:rowOff>
    </xdr:to>
    <xdr:sp macro="" textlink="TRAITEMENT!I74">
      <xdr:nvSpPr>
        <xdr:cNvPr id="81" name="ZoneTexte 80">
          <a:extLst>
            <a:ext uri="{FF2B5EF4-FFF2-40B4-BE49-F238E27FC236}">
              <a16:creationId xmlns:a16="http://schemas.microsoft.com/office/drawing/2014/main" id="{4BFE6F1E-04E8-4CD3-981C-15497401BAFA}"/>
            </a:ext>
          </a:extLst>
        </xdr:cNvPr>
        <xdr:cNvSpPr txBox="1"/>
      </xdr:nvSpPr>
      <xdr:spPr>
        <a:xfrm>
          <a:off x="10284618" y="7297101"/>
          <a:ext cx="1551214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75ECCAE-8775-46F6-84F0-506653C51B2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M6</a:t>
          </a:fld>
          <a:endParaRPr lang="fr-FR" sz="1100"/>
        </a:p>
      </xdr:txBody>
    </xdr:sp>
    <xdr:clientData/>
  </xdr:twoCellAnchor>
  <xdr:twoCellAnchor>
    <xdr:from>
      <xdr:col>14</xdr:col>
      <xdr:colOff>378618</xdr:colOff>
      <xdr:row>61</xdr:row>
      <xdr:rowOff>102393</xdr:rowOff>
    </xdr:from>
    <xdr:to>
      <xdr:col>16</xdr:col>
      <xdr:colOff>405832</xdr:colOff>
      <xdr:row>63</xdr:row>
      <xdr:rowOff>61572</xdr:rowOff>
    </xdr:to>
    <xdr:sp macro="" textlink="TRAITEMENT!I75">
      <xdr:nvSpPr>
        <xdr:cNvPr id="82" name="ZoneTexte 81">
          <a:extLst>
            <a:ext uri="{FF2B5EF4-FFF2-40B4-BE49-F238E27FC236}">
              <a16:creationId xmlns:a16="http://schemas.microsoft.com/office/drawing/2014/main" id="{6A8D2B5D-164A-447B-81DB-8EFBAE1EF25D}"/>
            </a:ext>
          </a:extLst>
        </xdr:cNvPr>
        <xdr:cNvSpPr txBox="1"/>
      </xdr:nvSpPr>
      <xdr:spPr>
        <a:xfrm>
          <a:off x="10284618" y="7912893"/>
          <a:ext cx="1551214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1D610A2-535F-48F0-BDA4-29FA97B8CC4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TF1</a:t>
          </a:fld>
          <a:endParaRPr lang="fr-FR" sz="1100"/>
        </a:p>
      </xdr:txBody>
    </xdr:sp>
    <xdr:clientData/>
  </xdr:twoCellAnchor>
  <xdr:twoCellAnchor>
    <xdr:from>
      <xdr:col>15</xdr:col>
      <xdr:colOff>481805</xdr:colOff>
      <xdr:row>42</xdr:row>
      <xdr:rowOff>88899</xdr:rowOff>
    </xdr:from>
    <xdr:to>
      <xdr:col>18</xdr:col>
      <xdr:colOff>448468</xdr:colOff>
      <xdr:row>44</xdr:row>
      <xdr:rowOff>48078</xdr:rowOff>
    </xdr:to>
    <xdr:sp macro="" textlink="TRAITEMENT!E58">
      <xdr:nvSpPr>
        <xdr:cNvPr id="83" name="ZoneTexte 82">
          <a:extLst>
            <a:ext uri="{FF2B5EF4-FFF2-40B4-BE49-F238E27FC236}">
              <a16:creationId xmlns:a16="http://schemas.microsoft.com/office/drawing/2014/main" id="{7F02D957-DE0D-4977-8ECC-E37DBBF3512D}"/>
            </a:ext>
          </a:extLst>
        </xdr:cNvPr>
        <xdr:cNvSpPr txBox="1"/>
      </xdr:nvSpPr>
      <xdr:spPr>
        <a:xfrm>
          <a:off x="11149805" y="4279899"/>
          <a:ext cx="2252663" cy="340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aseline="0"/>
            <a:t>Durée (min) d'un sujet de JT</a:t>
          </a:r>
          <a:endParaRPr lang="fr-FR" sz="1100"/>
        </a:p>
      </xdr:txBody>
    </xdr:sp>
    <xdr:clientData/>
  </xdr:twoCellAnchor>
  <xdr:twoCellAnchor>
    <xdr:from>
      <xdr:col>16</xdr:col>
      <xdr:colOff>321467</xdr:colOff>
      <xdr:row>45</xdr:row>
      <xdr:rowOff>11907</xdr:rowOff>
    </xdr:from>
    <xdr:to>
      <xdr:col>17</xdr:col>
      <xdr:colOff>279467</xdr:colOff>
      <xdr:row>46</xdr:row>
      <xdr:rowOff>175193</xdr:rowOff>
    </xdr:to>
    <xdr:sp macro="" textlink="TRAITEMENT!L70">
      <xdr:nvSpPr>
        <xdr:cNvPr id="84" name="Rectangle : coins arrondis 83">
          <a:extLst>
            <a:ext uri="{FF2B5EF4-FFF2-40B4-BE49-F238E27FC236}">
              <a16:creationId xmlns:a16="http://schemas.microsoft.com/office/drawing/2014/main" id="{A9BF363E-FB62-4602-853B-D0957413A535}"/>
            </a:ext>
          </a:extLst>
        </xdr:cNvPr>
        <xdr:cNvSpPr/>
      </xdr:nvSpPr>
      <xdr:spPr>
        <a:xfrm>
          <a:off x="11751467" y="4774407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01CAED4-6A5F-4EA4-93B4-6B6EF4105A0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1,74</a:t>
          </a:fld>
          <a:endParaRPr lang="fr-FR" sz="1100"/>
        </a:p>
      </xdr:txBody>
    </xdr:sp>
    <xdr:clientData/>
  </xdr:twoCellAnchor>
  <xdr:twoCellAnchor>
    <xdr:from>
      <xdr:col>16</xdr:col>
      <xdr:colOff>333375</xdr:colOff>
      <xdr:row>51</xdr:row>
      <xdr:rowOff>119063</xdr:rowOff>
    </xdr:from>
    <xdr:to>
      <xdr:col>17</xdr:col>
      <xdr:colOff>291375</xdr:colOff>
      <xdr:row>53</xdr:row>
      <xdr:rowOff>91849</xdr:rowOff>
    </xdr:to>
    <xdr:sp macro="" textlink="TRAITEMENT!L72">
      <xdr:nvSpPr>
        <xdr:cNvPr id="85" name="Rectangle : coins arrondis 84">
          <a:extLst>
            <a:ext uri="{FF2B5EF4-FFF2-40B4-BE49-F238E27FC236}">
              <a16:creationId xmlns:a16="http://schemas.microsoft.com/office/drawing/2014/main" id="{3CF560ED-FB03-450C-8C11-5FDF949F82C1}"/>
            </a:ext>
          </a:extLst>
        </xdr:cNvPr>
        <xdr:cNvSpPr/>
      </xdr:nvSpPr>
      <xdr:spPr>
        <a:xfrm>
          <a:off x="11763375" y="6024563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DF15248-42D9-43BA-A376-BABE0B4FDE5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1,69</a:t>
          </a:fld>
          <a:endParaRPr lang="fr-FR" sz="1100"/>
        </a:p>
      </xdr:txBody>
    </xdr:sp>
    <xdr:clientData/>
  </xdr:twoCellAnchor>
  <xdr:twoCellAnchor>
    <xdr:from>
      <xdr:col>16</xdr:col>
      <xdr:colOff>330994</xdr:colOff>
      <xdr:row>48</xdr:row>
      <xdr:rowOff>69056</xdr:rowOff>
    </xdr:from>
    <xdr:to>
      <xdr:col>17</xdr:col>
      <xdr:colOff>288994</xdr:colOff>
      <xdr:row>50</xdr:row>
      <xdr:rowOff>41842</xdr:rowOff>
    </xdr:to>
    <xdr:sp macro="" textlink="TRAITEMENT!L71">
      <xdr:nvSpPr>
        <xdr:cNvPr id="86" name="Rectangle : coins arrondis 85">
          <a:extLst>
            <a:ext uri="{FF2B5EF4-FFF2-40B4-BE49-F238E27FC236}">
              <a16:creationId xmlns:a16="http://schemas.microsoft.com/office/drawing/2014/main" id="{BDC54F16-9EB2-47F0-8E55-22B9C818CEB2}"/>
            </a:ext>
          </a:extLst>
        </xdr:cNvPr>
        <xdr:cNvSpPr/>
      </xdr:nvSpPr>
      <xdr:spPr>
        <a:xfrm>
          <a:off x="11760994" y="5403056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3BCEBAC-0E47-415E-8660-47543C25B8C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1,02</a:t>
          </a:fld>
          <a:endParaRPr lang="fr-FR" sz="1100"/>
        </a:p>
      </xdr:txBody>
    </xdr:sp>
    <xdr:clientData/>
  </xdr:twoCellAnchor>
  <xdr:twoCellAnchor>
    <xdr:from>
      <xdr:col>16</xdr:col>
      <xdr:colOff>321468</xdr:colOff>
      <xdr:row>54</xdr:row>
      <xdr:rowOff>154780</xdr:rowOff>
    </xdr:from>
    <xdr:to>
      <xdr:col>17</xdr:col>
      <xdr:colOff>279468</xdr:colOff>
      <xdr:row>56</xdr:row>
      <xdr:rowOff>127566</xdr:rowOff>
    </xdr:to>
    <xdr:sp macro="" textlink="TRAITEMENT!L73">
      <xdr:nvSpPr>
        <xdr:cNvPr id="87" name="Rectangle : coins arrondis 86">
          <a:extLst>
            <a:ext uri="{FF2B5EF4-FFF2-40B4-BE49-F238E27FC236}">
              <a16:creationId xmlns:a16="http://schemas.microsoft.com/office/drawing/2014/main" id="{A0E9E917-8DA3-4503-97F7-EBC5281C2C47}"/>
            </a:ext>
          </a:extLst>
        </xdr:cNvPr>
        <xdr:cNvSpPr/>
      </xdr:nvSpPr>
      <xdr:spPr>
        <a:xfrm>
          <a:off x="11751468" y="6631780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D1620E9-99F9-48FB-908B-5542F317586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1,62</a:t>
          </a:fld>
          <a:endParaRPr lang="fr-FR" sz="1100"/>
        </a:p>
      </xdr:txBody>
    </xdr:sp>
    <xdr:clientData/>
  </xdr:twoCellAnchor>
  <xdr:twoCellAnchor>
    <xdr:from>
      <xdr:col>16</xdr:col>
      <xdr:colOff>297656</xdr:colOff>
      <xdr:row>61</xdr:row>
      <xdr:rowOff>23812</xdr:rowOff>
    </xdr:from>
    <xdr:to>
      <xdr:col>17</xdr:col>
      <xdr:colOff>255656</xdr:colOff>
      <xdr:row>62</xdr:row>
      <xdr:rowOff>187098</xdr:rowOff>
    </xdr:to>
    <xdr:sp macro="" textlink="TRAITEMENT!L75">
      <xdr:nvSpPr>
        <xdr:cNvPr id="88" name="Rectangle : coins arrondis 87">
          <a:extLst>
            <a:ext uri="{FF2B5EF4-FFF2-40B4-BE49-F238E27FC236}">
              <a16:creationId xmlns:a16="http://schemas.microsoft.com/office/drawing/2014/main" id="{D2145B25-98FD-43C1-B819-25BB62BA5F75}"/>
            </a:ext>
          </a:extLst>
        </xdr:cNvPr>
        <xdr:cNvSpPr/>
      </xdr:nvSpPr>
      <xdr:spPr>
        <a:xfrm>
          <a:off x="11727656" y="7834312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2439307-7E6A-4A85-80F9-5B1462B817C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1,69</a:t>
          </a:fld>
          <a:endParaRPr lang="fr-FR" sz="1100"/>
        </a:p>
      </xdr:txBody>
    </xdr:sp>
    <xdr:clientData/>
  </xdr:twoCellAnchor>
  <xdr:twoCellAnchor>
    <xdr:from>
      <xdr:col>16</xdr:col>
      <xdr:colOff>307181</xdr:colOff>
      <xdr:row>57</xdr:row>
      <xdr:rowOff>188119</xdr:rowOff>
    </xdr:from>
    <xdr:to>
      <xdr:col>17</xdr:col>
      <xdr:colOff>265181</xdr:colOff>
      <xdr:row>59</xdr:row>
      <xdr:rowOff>160905</xdr:rowOff>
    </xdr:to>
    <xdr:sp macro="" textlink="TRAITEMENT!L74">
      <xdr:nvSpPr>
        <xdr:cNvPr id="89" name="Rectangle : coins arrondis 88">
          <a:extLst>
            <a:ext uri="{FF2B5EF4-FFF2-40B4-BE49-F238E27FC236}">
              <a16:creationId xmlns:a16="http://schemas.microsoft.com/office/drawing/2014/main" id="{FAB5E743-ABD9-4330-BDB0-DA7D570FE77A}"/>
            </a:ext>
          </a:extLst>
        </xdr:cNvPr>
        <xdr:cNvSpPr/>
      </xdr:nvSpPr>
      <xdr:spPr>
        <a:xfrm>
          <a:off x="11737181" y="7236619"/>
          <a:ext cx="720000" cy="353786"/>
        </a:xfrm>
        <a:prstGeom prst="roundRect">
          <a:avLst/>
        </a:prstGeom>
        <a:noFill/>
        <a:ln>
          <a:solidFill>
            <a:schemeClr val="bg1">
              <a:lumMod val="85000"/>
            </a:schemeClr>
          </a:solidFill>
          <a:prstDash val="sysDot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9CB6DCE-DF63-4B4B-8F65-AC479446401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1,30</a:t>
          </a:fld>
          <a:endParaRPr lang="fr-FR" sz="1100"/>
        </a:p>
      </xdr:txBody>
    </xdr:sp>
    <xdr:clientData/>
  </xdr:twoCellAnchor>
  <xdr:twoCellAnchor>
    <xdr:from>
      <xdr:col>10</xdr:col>
      <xdr:colOff>416719</xdr:colOff>
      <xdr:row>11</xdr:row>
      <xdr:rowOff>13607</xdr:rowOff>
    </xdr:from>
    <xdr:to>
      <xdr:col>19</xdr:col>
      <xdr:colOff>654844</xdr:colOff>
      <xdr:row>23</xdr:row>
      <xdr:rowOff>1700</xdr:rowOff>
    </xdr:to>
    <xdr:sp macro="" textlink="">
      <xdr:nvSpPr>
        <xdr:cNvPr id="90" name="Rectangle 89">
          <a:extLst>
            <a:ext uri="{FF2B5EF4-FFF2-40B4-BE49-F238E27FC236}">
              <a16:creationId xmlns:a16="http://schemas.microsoft.com/office/drawing/2014/main" id="{D8CEEC6C-2316-2932-38C6-4642E49A458D}"/>
            </a:ext>
          </a:extLst>
        </xdr:cNvPr>
        <xdr:cNvSpPr/>
      </xdr:nvSpPr>
      <xdr:spPr>
        <a:xfrm>
          <a:off x="7274719" y="1156607"/>
          <a:ext cx="7096125" cy="227409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416719</xdr:colOff>
      <xdr:row>10</xdr:row>
      <xdr:rowOff>130969</xdr:rowOff>
    </xdr:from>
    <xdr:to>
      <xdr:col>19</xdr:col>
      <xdr:colOff>571500</xdr:colOff>
      <xdr:row>23</xdr:row>
      <xdr:rowOff>119062</xdr:rowOff>
    </xdr:to>
    <xdr:graphicFrame macro="">
      <xdr:nvGraphicFramePr>
        <xdr:cNvPr id="91" name="Graphique 90">
          <a:extLst>
            <a:ext uri="{FF2B5EF4-FFF2-40B4-BE49-F238E27FC236}">
              <a16:creationId xmlns:a16="http://schemas.microsoft.com/office/drawing/2014/main" id="{71D9D80F-ECFC-4E27-909D-997719E24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13607</xdr:colOff>
      <xdr:row>11</xdr:row>
      <xdr:rowOff>13607</xdr:rowOff>
    </xdr:from>
    <xdr:to>
      <xdr:col>10</xdr:col>
      <xdr:colOff>244929</xdr:colOff>
      <xdr:row>23</xdr:row>
      <xdr:rowOff>1700</xdr:rowOff>
    </xdr:to>
    <xdr:sp macro="" textlink="">
      <xdr:nvSpPr>
        <xdr:cNvPr id="92" name="Rectangle : avec coin rogné 91">
          <a:extLst>
            <a:ext uri="{FF2B5EF4-FFF2-40B4-BE49-F238E27FC236}">
              <a16:creationId xmlns:a16="http://schemas.microsoft.com/office/drawing/2014/main" id="{77950D30-13BD-47F9-8F21-4035F5646410}"/>
            </a:ext>
          </a:extLst>
        </xdr:cNvPr>
        <xdr:cNvSpPr/>
      </xdr:nvSpPr>
      <xdr:spPr>
        <a:xfrm>
          <a:off x="2299607" y="1156607"/>
          <a:ext cx="4803322" cy="2274093"/>
        </a:xfrm>
        <a:prstGeom prst="snip1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13608</xdr:colOff>
      <xdr:row>11</xdr:row>
      <xdr:rowOff>95249</xdr:rowOff>
    </xdr:from>
    <xdr:to>
      <xdr:col>5</xdr:col>
      <xdr:colOff>583608</xdr:colOff>
      <xdr:row>13</xdr:row>
      <xdr:rowOff>178649</xdr:rowOff>
    </xdr:to>
    <xdr:sp macro="" textlink="TRAITEMENT!G86">
      <xdr:nvSpPr>
        <xdr:cNvPr id="94" name="ZoneTexte 93">
          <a:extLst>
            <a:ext uri="{FF2B5EF4-FFF2-40B4-BE49-F238E27FC236}">
              <a16:creationId xmlns:a16="http://schemas.microsoft.com/office/drawing/2014/main" id="{CBDFF2DD-5390-924A-C9EE-4028A7D14D4D}"/>
            </a:ext>
          </a:extLst>
        </xdr:cNvPr>
        <xdr:cNvSpPr txBox="1"/>
      </xdr:nvSpPr>
      <xdr:spPr>
        <a:xfrm>
          <a:off x="2299608" y="1238249"/>
          <a:ext cx="1332000" cy="464400"/>
        </a:xfrm>
        <a:prstGeom prst="roundRect">
          <a:avLst/>
        </a:prstGeom>
        <a:solidFill>
          <a:schemeClr val="lt1"/>
        </a:solidFill>
        <a:ln w="9525" cmpd="sng">
          <a:solidFill>
            <a:schemeClr val="accent5">
              <a:lumMod val="40000"/>
              <a:lumOff val="6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25A1AD2-08CD-4E27-B036-B6431AEB6059}" type="TxLink">
            <a:rPr lang="en-US" sz="2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6</a:t>
          </a:fld>
          <a:endParaRPr lang="en-US" sz="2000" b="0" i="0" u="none" strike="noStrike">
            <a:solidFill>
              <a:srgbClr val="000000"/>
            </a:solidFill>
            <a:latin typeface="Calibri"/>
            <a:cs typeface="Calibri"/>
          </a:endParaRPr>
        </a:p>
        <a:p>
          <a:endParaRPr lang="fr-FR" sz="2000"/>
        </a:p>
      </xdr:txBody>
    </xdr:sp>
    <xdr:clientData/>
  </xdr:twoCellAnchor>
  <xdr:twoCellAnchor>
    <xdr:from>
      <xdr:col>4</xdr:col>
      <xdr:colOff>13608</xdr:colOff>
      <xdr:row>14</xdr:row>
      <xdr:rowOff>86178</xdr:rowOff>
    </xdr:from>
    <xdr:to>
      <xdr:col>5</xdr:col>
      <xdr:colOff>583608</xdr:colOff>
      <xdr:row>16</xdr:row>
      <xdr:rowOff>169578</xdr:rowOff>
    </xdr:to>
    <xdr:sp macro="" textlink="TRAITEMENT!G102">
      <xdr:nvSpPr>
        <xdr:cNvPr id="95" name="ZoneTexte 94">
          <a:extLst>
            <a:ext uri="{FF2B5EF4-FFF2-40B4-BE49-F238E27FC236}">
              <a16:creationId xmlns:a16="http://schemas.microsoft.com/office/drawing/2014/main" id="{B67AA39A-6A10-02DA-98AD-7949B4099071}"/>
            </a:ext>
          </a:extLst>
        </xdr:cNvPr>
        <xdr:cNvSpPr txBox="1"/>
      </xdr:nvSpPr>
      <xdr:spPr>
        <a:xfrm>
          <a:off x="2299608" y="1800678"/>
          <a:ext cx="1332000" cy="464400"/>
        </a:xfrm>
        <a:prstGeom prst="roundRect">
          <a:avLst/>
        </a:prstGeom>
        <a:solidFill>
          <a:schemeClr val="lt1"/>
        </a:solidFill>
        <a:ln w="9525" cmpd="sng">
          <a:solidFill>
            <a:schemeClr val="accent5">
              <a:lumMod val="40000"/>
              <a:lumOff val="6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A7815EF-A002-4974-95EE-C5146A164627}" type="TxLink">
            <a:rPr lang="en-US" sz="2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14</a:t>
          </a:fld>
          <a:endParaRPr lang="fr-FR" sz="2000"/>
        </a:p>
      </xdr:txBody>
    </xdr:sp>
    <xdr:clientData/>
  </xdr:twoCellAnchor>
  <xdr:twoCellAnchor>
    <xdr:from>
      <xdr:col>4</xdr:col>
      <xdr:colOff>13608</xdr:colOff>
      <xdr:row>17</xdr:row>
      <xdr:rowOff>77107</xdr:rowOff>
    </xdr:from>
    <xdr:to>
      <xdr:col>5</xdr:col>
      <xdr:colOff>583608</xdr:colOff>
      <xdr:row>19</xdr:row>
      <xdr:rowOff>160507</xdr:rowOff>
    </xdr:to>
    <xdr:sp macro="" textlink="TRAITEMENT!I80">
      <xdr:nvSpPr>
        <xdr:cNvPr id="97" name="ZoneTexte 96">
          <a:extLst>
            <a:ext uri="{FF2B5EF4-FFF2-40B4-BE49-F238E27FC236}">
              <a16:creationId xmlns:a16="http://schemas.microsoft.com/office/drawing/2014/main" id="{3D5851DA-C635-4518-B07C-19001C4B5C58}"/>
            </a:ext>
          </a:extLst>
        </xdr:cNvPr>
        <xdr:cNvSpPr txBox="1"/>
      </xdr:nvSpPr>
      <xdr:spPr>
        <a:xfrm>
          <a:off x="2299608" y="2363107"/>
          <a:ext cx="1332000" cy="464400"/>
        </a:xfrm>
        <a:prstGeom prst="roundRect">
          <a:avLst/>
        </a:prstGeom>
        <a:solidFill>
          <a:schemeClr val="lt1"/>
        </a:solidFill>
        <a:ln w="9525" cmpd="sng">
          <a:solidFill>
            <a:schemeClr val="accent5">
              <a:lumMod val="40000"/>
              <a:lumOff val="6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B5A8985-DCA8-4338-B3F6-68CD0442936B}" type="TxLink">
            <a:rPr lang="en-US" sz="2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480 533 </a:t>
          </a:fld>
          <a:endParaRPr lang="fr-FR" sz="2000"/>
        </a:p>
      </xdr:txBody>
    </xdr:sp>
    <xdr:clientData/>
  </xdr:twoCellAnchor>
  <xdr:twoCellAnchor>
    <xdr:from>
      <xdr:col>4</xdr:col>
      <xdr:colOff>13608</xdr:colOff>
      <xdr:row>20</xdr:row>
      <xdr:rowOff>68037</xdr:rowOff>
    </xdr:from>
    <xdr:to>
      <xdr:col>6</xdr:col>
      <xdr:colOff>54429</xdr:colOff>
      <xdr:row>22</xdr:row>
      <xdr:rowOff>149679</xdr:rowOff>
    </xdr:to>
    <xdr:sp macro="" textlink="TRAITEMENT!J80">
      <xdr:nvSpPr>
        <xdr:cNvPr id="98" name="ZoneTexte 97">
          <a:extLst>
            <a:ext uri="{FF2B5EF4-FFF2-40B4-BE49-F238E27FC236}">
              <a16:creationId xmlns:a16="http://schemas.microsoft.com/office/drawing/2014/main" id="{FD59036F-E5D2-479C-A5D6-F21515FD02D6}"/>
            </a:ext>
          </a:extLst>
        </xdr:cNvPr>
        <xdr:cNvSpPr txBox="1"/>
      </xdr:nvSpPr>
      <xdr:spPr>
        <a:xfrm>
          <a:off x="2299608" y="2925537"/>
          <a:ext cx="1564821" cy="462642"/>
        </a:xfrm>
        <a:prstGeom prst="roundRect">
          <a:avLst/>
        </a:prstGeom>
        <a:solidFill>
          <a:schemeClr val="lt1"/>
        </a:solidFill>
        <a:ln w="9525" cmpd="sng">
          <a:solidFill>
            <a:schemeClr val="accent5">
              <a:lumMod val="40000"/>
              <a:lumOff val="6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36FBA11-7CDE-460C-903D-5E7EFC91427E}" type="TxLink">
            <a:rPr lang="en-US" sz="2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752 576,93 </a:t>
          </a:fld>
          <a:endParaRPr lang="fr-FR" sz="2000"/>
        </a:p>
      </xdr:txBody>
    </xdr:sp>
    <xdr:clientData/>
  </xdr:twoCellAnchor>
  <xdr:twoCellAnchor>
    <xdr:from>
      <xdr:col>6</xdr:col>
      <xdr:colOff>217714</xdr:colOff>
      <xdr:row>11</xdr:row>
      <xdr:rowOff>108857</xdr:rowOff>
    </xdr:from>
    <xdr:to>
      <xdr:col>9</xdr:col>
      <xdr:colOff>95250</xdr:colOff>
      <xdr:row>13</xdr:row>
      <xdr:rowOff>68037</xdr:rowOff>
    </xdr:to>
    <xdr:sp macro="" textlink="">
      <xdr:nvSpPr>
        <xdr:cNvPr id="99" name="ZoneTexte 98">
          <a:extLst>
            <a:ext uri="{FF2B5EF4-FFF2-40B4-BE49-F238E27FC236}">
              <a16:creationId xmlns:a16="http://schemas.microsoft.com/office/drawing/2014/main" id="{90988FEB-B5C5-4C78-95E2-2FA574CB8305}"/>
            </a:ext>
          </a:extLst>
        </xdr:cNvPr>
        <xdr:cNvSpPr txBox="1"/>
      </xdr:nvSpPr>
      <xdr:spPr>
        <a:xfrm>
          <a:off x="4027714" y="1251857"/>
          <a:ext cx="2163536" cy="340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/>
            <a:t>chaines</a:t>
          </a:r>
        </a:p>
      </xdr:txBody>
    </xdr:sp>
    <xdr:clientData/>
  </xdr:twoCellAnchor>
  <xdr:twoCellAnchor>
    <xdr:from>
      <xdr:col>6</xdr:col>
      <xdr:colOff>217714</xdr:colOff>
      <xdr:row>20</xdr:row>
      <xdr:rowOff>95250</xdr:rowOff>
    </xdr:from>
    <xdr:to>
      <xdr:col>9</xdr:col>
      <xdr:colOff>95250</xdr:colOff>
      <xdr:row>22</xdr:row>
      <xdr:rowOff>54430</xdr:rowOff>
    </xdr:to>
    <xdr:sp macro="" textlink="">
      <xdr:nvSpPr>
        <xdr:cNvPr id="102" name="ZoneTexte 101">
          <a:extLst>
            <a:ext uri="{FF2B5EF4-FFF2-40B4-BE49-F238E27FC236}">
              <a16:creationId xmlns:a16="http://schemas.microsoft.com/office/drawing/2014/main" id="{7C32C61B-0570-4C9D-8021-E50A72639502}"/>
            </a:ext>
          </a:extLst>
        </xdr:cNvPr>
        <xdr:cNvSpPr txBox="1"/>
      </xdr:nvSpPr>
      <xdr:spPr>
        <a:xfrm>
          <a:off x="4027714" y="2952750"/>
          <a:ext cx="2163536" cy="340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/>
            <a:t>durée</a:t>
          </a:r>
          <a:r>
            <a:rPr lang="fr-FR" sz="1800" baseline="0"/>
            <a:t> (min)</a:t>
          </a:r>
          <a:endParaRPr lang="fr-FR" sz="1800"/>
        </a:p>
      </xdr:txBody>
    </xdr:sp>
    <xdr:clientData/>
  </xdr:twoCellAnchor>
  <xdr:twoCellAnchor>
    <xdr:from>
      <xdr:col>6</xdr:col>
      <xdr:colOff>217713</xdr:colOff>
      <xdr:row>17</xdr:row>
      <xdr:rowOff>99785</xdr:rowOff>
    </xdr:from>
    <xdr:to>
      <xdr:col>10</xdr:col>
      <xdr:colOff>297656</xdr:colOff>
      <xdr:row>19</xdr:row>
      <xdr:rowOff>58965</xdr:rowOff>
    </xdr:to>
    <xdr:sp macro="" textlink="">
      <xdr:nvSpPr>
        <xdr:cNvPr id="103" name="ZoneTexte 102">
          <a:extLst>
            <a:ext uri="{FF2B5EF4-FFF2-40B4-BE49-F238E27FC236}">
              <a16:creationId xmlns:a16="http://schemas.microsoft.com/office/drawing/2014/main" id="{70F8BAED-DB10-40FF-94D2-9CAE4EB49EE7}"/>
            </a:ext>
          </a:extLst>
        </xdr:cNvPr>
        <xdr:cNvSpPr txBox="1"/>
      </xdr:nvSpPr>
      <xdr:spPr>
        <a:xfrm>
          <a:off x="4789713" y="3338285"/>
          <a:ext cx="3127943" cy="340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/>
            <a:t>sujets</a:t>
          </a:r>
          <a:r>
            <a:rPr lang="fr-FR" sz="1800" baseline="0"/>
            <a:t> de journaux télévisés (JT)</a:t>
          </a:r>
          <a:endParaRPr lang="fr-FR" sz="1800"/>
        </a:p>
      </xdr:txBody>
    </xdr:sp>
    <xdr:clientData/>
  </xdr:twoCellAnchor>
  <xdr:twoCellAnchor>
    <xdr:from>
      <xdr:col>6</xdr:col>
      <xdr:colOff>217714</xdr:colOff>
      <xdr:row>14</xdr:row>
      <xdr:rowOff>104321</xdr:rowOff>
    </xdr:from>
    <xdr:to>
      <xdr:col>9</xdr:col>
      <xdr:colOff>95250</xdr:colOff>
      <xdr:row>16</xdr:row>
      <xdr:rowOff>63501</xdr:rowOff>
    </xdr:to>
    <xdr:sp macro="" textlink="">
      <xdr:nvSpPr>
        <xdr:cNvPr id="104" name="ZoneTexte 103">
          <a:extLst>
            <a:ext uri="{FF2B5EF4-FFF2-40B4-BE49-F238E27FC236}">
              <a16:creationId xmlns:a16="http://schemas.microsoft.com/office/drawing/2014/main" id="{A113BA45-DC52-4B6D-BEB1-48986121A7D3}"/>
            </a:ext>
          </a:extLst>
        </xdr:cNvPr>
        <xdr:cNvSpPr txBox="1"/>
      </xdr:nvSpPr>
      <xdr:spPr>
        <a:xfrm>
          <a:off x="4027714" y="1818821"/>
          <a:ext cx="2163536" cy="340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/>
            <a:t>thématiques</a:t>
          </a:r>
        </a:p>
      </xdr:txBody>
    </xdr:sp>
    <xdr:clientData/>
  </xdr:twoCellAnchor>
  <xdr:twoCellAnchor editAs="oneCell">
    <xdr:from>
      <xdr:col>0</xdr:col>
      <xdr:colOff>0</xdr:colOff>
      <xdr:row>5</xdr:row>
      <xdr:rowOff>153082</xdr:rowOff>
    </xdr:from>
    <xdr:to>
      <xdr:col>3</xdr:col>
      <xdr:colOff>579600</xdr:colOff>
      <xdr:row>12</xdr:row>
      <xdr:rowOff>29182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5" name="Mois 1">
              <a:extLst>
                <a:ext uri="{FF2B5EF4-FFF2-40B4-BE49-F238E27FC236}">
                  <a16:creationId xmlns:a16="http://schemas.microsoft.com/office/drawing/2014/main" id="{A5239795-F020-41D9-A03D-994D5C7003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05582"/>
              <a:ext cx="2865600" cy="1209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12</xdr:row>
      <xdr:rowOff>104323</xdr:rowOff>
    </xdr:from>
    <xdr:to>
      <xdr:col>3</xdr:col>
      <xdr:colOff>579600</xdr:colOff>
      <xdr:row>18</xdr:row>
      <xdr:rowOff>170923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6" name="Années (Mois) 1">
              <a:extLst>
                <a:ext uri="{FF2B5EF4-FFF2-40B4-BE49-F238E27FC236}">
                  <a16:creationId xmlns:a16="http://schemas.microsoft.com/office/drawing/2014/main" id="{452FEF8E-0E91-4953-BC80-07F0C623D3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s (Mois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390323"/>
              <a:ext cx="2865600" cy="1209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11906</xdr:colOff>
      <xdr:row>19</xdr:row>
      <xdr:rowOff>164421</xdr:rowOff>
    </xdr:from>
    <xdr:to>
      <xdr:col>3</xdr:col>
      <xdr:colOff>591506</xdr:colOff>
      <xdr:row>26</xdr:row>
      <xdr:rowOff>40521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7" name="Chaine 1">
              <a:extLst>
                <a:ext uri="{FF2B5EF4-FFF2-40B4-BE49-F238E27FC236}">
                  <a16:creationId xmlns:a16="http://schemas.microsoft.com/office/drawing/2014/main" id="{6B1480AE-8A5E-4E2D-B4C9-A19E4F21974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hain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06" y="3783921"/>
              <a:ext cx="2865600" cy="1209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27</xdr:row>
      <xdr:rowOff>22111</xdr:rowOff>
    </xdr:from>
    <xdr:to>
      <xdr:col>3</xdr:col>
      <xdr:colOff>579600</xdr:colOff>
      <xdr:row>33</xdr:row>
      <xdr:rowOff>88711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8" name="Thématique 1">
              <a:extLst>
                <a:ext uri="{FF2B5EF4-FFF2-40B4-BE49-F238E27FC236}">
                  <a16:creationId xmlns:a16="http://schemas.microsoft.com/office/drawing/2014/main" id="{A07A90F6-13D6-4E2A-9BFB-7D33BFB2223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hématiqu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165611"/>
              <a:ext cx="2865600" cy="1209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35719</xdr:colOff>
      <xdr:row>12</xdr:row>
      <xdr:rowOff>23812</xdr:rowOff>
    </xdr:from>
    <xdr:to>
      <xdr:col>3</xdr:col>
      <xdr:colOff>464344</xdr:colOff>
      <xdr:row>12</xdr:row>
      <xdr:rowOff>23812</xdr:rowOff>
    </xdr:to>
    <xdr:cxnSp macro="">
      <xdr:nvCxnSpPr>
        <xdr:cNvPr id="111" name="Connecteur droit 110">
          <a:extLst>
            <a:ext uri="{FF2B5EF4-FFF2-40B4-BE49-F238E27FC236}">
              <a16:creationId xmlns:a16="http://schemas.microsoft.com/office/drawing/2014/main" id="{F8BB3A8A-66C1-4B5A-A77F-A874F8255BCE}"/>
            </a:ext>
          </a:extLst>
        </xdr:cNvPr>
        <xdr:cNvCxnSpPr/>
      </xdr:nvCxnSpPr>
      <xdr:spPr>
        <a:xfrm>
          <a:off x="35719" y="2309812"/>
          <a:ext cx="2714625" cy="0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0</xdr:col>
      <xdr:colOff>59531</xdr:colOff>
      <xdr:row>19</xdr:row>
      <xdr:rowOff>47626</xdr:rowOff>
    </xdr:from>
    <xdr:to>
      <xdr:col>3</xdr:col>
      <xdr:colOff>504031</xdr:colOff>
      <xdr:row>19</xdr:row>
      <xdr:rowOff>47626</xdr:rowOff>
    </xdr:to>
    <xdr:cxnSp macro="">
      <xdr:nvCxnSpPr>
        <xdr:cNvPr id="112" name="Connecteur droit 111">
          <a:extLst>
            <a:ext uri="{FF2B5EF4-FFF2-40B4-BE49-F238E27FC236}">
              <a16:creationId xmlns:a16="http://schemas.microsoft.com/office/drawing/2014/main" id="{CE996296-D55A-4C54-BF06-6568523BE51E}"/>
            </a:ext>
          </a:extLst>
        </xdr:cNvPr>
        <xdr:cNvCxnSpPr/>
      </xdr:nvCxnSpPr>
      <xdr:spPr>
        <a:xfrm>
          <a:off x="59531" y="3667126"/>
          <a:ext cx="2730500" cy="0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51028</xdr:colOff>
      <xdr:row>26</xdr:row>
      <xdr:rowOff>59531</xdr:rowOff>
    </xdr:from>
    <xdr:to>
      <xdr:col>3</xdr:col>
      <xdr:colOff>392906</xdr:colOff>
      <xdr:row>26</xdr:row>
      <xdr:rowOff>66334</xdr:rowOff>
    </xdr:to>
    <xdr:cxnSp macro="">
      <xdr:nvCxnSpPr>
        <xdr:cNvPr id="116" name="Connecteur droit 115">
          <a:extLst>
            <a:ext uri="{FF2B5EF4-FFF2-40B4-BE49-F238E27FC236}">
              <a16:creationId xmlns:a16="http://schemas.microsoft.com/office/drawing/2014/main" id="{0A16D898-D147-4D73-8DB2-453D3353AF90}"/>
            </a:ext>
          </a:extLst>
        </xdr:cNvPr>
        <xdr:cNvCxnSpPr/>
      </xdr:nvCxnSpPr>
      <xdr:spPr>
        <a:xfrm flipV="1">
          <a:off x="51028" y="5012531"/>
          <a:ext cx="2627878" cy="6803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0</xdr:row>
      <xdr:rowOff>10583</xdr:rowOff>
    </xdr:from>
    <xdr:to>
      <xdr:col>1</xdr:col>
      <xdr:colOff>137583</xdr:colOff>
      <xdr:row>5</xdr:row>
      <xdr:rowOff>10583</xdr:rowOff>
    </xdr:to>
    <xdr:pic>
      <xdr:nvPicPr>
        <xdr:cNvPr id="123" name="Image 122">
          <a:extLst>
            <a:ext uri="{FF2B5EF4-FFF2-40B4-BE49-F238E27FC236}">
              <a16:creationId xmlns:a16="http://schemas.microsoft.com/office/drawing/2014/main" id="{723EB947-F181-D2DB-1B66-C69B5BCAC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583"/>
          <a:ext cx="899583" cy="95250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2</xdr:col>
      <xdr:colOff>220926</xdr:colOff>
      <xdr:row>0</xdr:row>
      <xdr:rowOff>116417</xdr:rowOff>
    </xdr:from>
    <xdr:to>
      <xdr:col>19</xdr:col>
      <xdr:colOff>707759</xdr:colOff>
      <xdr:row>2</xdr:row>
      <xdr:rowOff>119063</xdr:rowOff>
    </xdr:to>
    <xdr:sp macro="" textlink="">
      <xdr:nvSpPr>
        <xdr:cNvPr id="124" name="ZoneTexte 123">
          <a:extLst>
            <a:ext uri="{FF2B5EF4-FFF2-40B4-BE49-F238E27FC236}">
              <a16:creationId xmlns:a16="http://schemas.microsoft.com/office/drawing/2014/main" id="{2FF2E343-2903-332A-4D6C-14E89B569493}"/>
            </a:ext>
          </a:extLst>
        </xdr:cNvPr>
        <xdr:cNvSpPr txBox="1"/>
      </xdr:nvSpPr>
      <xdr:spPr>
        <a:xfrm>
          <a:off x="1744926" y="116417"/>
          <a:ext cx="13440833" cy="3836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0">
              <a:solidFill>
                <a:schemeClr val="bg1"/>
              </a:solidFill>
            </a:rPr>
            <a:t>Tableau</a:t>
          </a:r>
          <a:r>
            <a:rPr lang="fr-FR" sz="1800" b="0" baseline="0">
              <a:solidFill>
                <a:schemeClr val="bg1"/>
              </a:solidFill>
            </a:rPr>
            <a:t> de bord exécutif sur le </a:t>
          </a:r>
          <a:r>
            <a:rPr lang="fr-FR" sz="18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fr-FR" sz="18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lassement thématique des sujets de journaux télévisés (JT)</a:t>
          </a:r>
          <a:r>
            <a:rPr lang="fr-FR" sz="18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de T</a:t>
          </a:r>
          <a:r>
            <a:rPr lang="fr-FR" sz="18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F1, France2, France3, Canal+, Arte</a:t>
          </a:r>
          <a:r>
            <a:rPr lang="fr-FR" sz="18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et </a:t>
          </a:r>
          <a:r>
            <a:rPr lang="fr-FR" sz="18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M6</a:t>
          </a:r>
        </a:p>
        <a:p>
          <a:endParaRPr lang="fr-FR" sz="1100"/>
        </a:p>
      </xdr:txBody>
    </xdr:sp>
    <xdr:clientData/>
  </xdr:twoCellAnchor>
  <xdr:twoCellAnchor>
    <xdr:from>
      <xdr:col>15</xdr:col>
      <xdr:colOff>238125</xdr:colOff>
      <xdr:row>2</xdr:row>
      <xdr:rowOff>95249</xdr:rowOff>
    </xdr:from>
    <xdr:to>
      <xdr:col>19</xdr:col>
      <xdr:colOff>464344</xdr:colOff>
      <xdr:row>4</xdr:row>
      <xdr:rowOff>59531</xdr:rowOff>
    </xdr:to>
    <xdr:sp macro="" textlink="">
      <xdr:nvSpPr>
        <xdr:cNvPr id="125" name="ZoneTexte 124">
          <a:extLst>
            <a:ext uri="{FF2B5EF4-FFF2-40B4-BE49-F238E27FC236}">
              <a16:creationId xmlns:a16="http://schemas.microsoft.com/office/drawing/2014/main" id="{899AF56F-0C34-CD5E-29AF-56332BCD1430}"/>
            </a:ext>
          </a:extLst>
        </xdr:cNvPr>
        <xdr:cNvSpPr txBox="1"/>
      </xdr:nvSpPr>
      <xdr:spPr>
        <a:xfrm>
          <a:off x="11668125" y="476249"/>
          <a:ext cx="3274219" cy="3452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1">
                  <a:lumMod val="85000"/>
                  <a:lumOff val="15000"/>
                </a:schemeClr>
              </a:solidFill>
              <a:effectLst/>
              <a:latin typeface="+mn-lt"/>
              <a:ea typeface="+mn-ea"/>
              <a:cs typeface="+mn-cs"/>
            </a:rPr>
            <a:t>Données</a:t>
          </a:r>
          <a:r>
            <a:rPr lang="fr-FR" sz="1100" baseline="0">
              <a:solidFill>
                <a:schemeClr val="tx1">
                  <a:lumMod val="85000"/>
                  <a:lumOff val="15000"/>
                </a:schemeClr>
              </a:solidFill>
              <a:effectLst/>
              <a:latin typeface="+mn-lt"/>
              <a:ea typeface="+mn-ea"/>
              <a:cs typeface="+mn-cs"/>
            </a:rPr>
            <a:t> historiques : </a:t>
          </a:r>
          <a:r>
            <a:rPr lang="fr-FR" sz="1100">
              <a:solidFill>
                <a:schemeClr val="tx1">
                  <a:lumMod val="85000"/>
                  <a:lumOff val="15000"/>
                </a:schemeClr>
              </a:solidFill>
              <a:effectLst/>
              <a:latin typeface="+mn-lt"/>
              <a:ea typeface="+mn-ea"/>
              <a:cs typeface="+mn-cs"/>
            </a:rPr>
            <a:t>Janvier 2005 - Septembre 2020</a:t>
          </a:r>
          <a:r>
            <a:rPr lang="fr-FR" sz="110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5095.989428587964" createdVersion="8" refreshedVersion="8" minRefreshableVersion="3" recordCount="15875" xr:uid="{4E73C71C-BA0E-4ABF-942E-087BD44587C4}">
  <cacheSource type="worksheet">
    <worksheetSource name="Tableau_ina_barometre_jt_tv_donnees"/>
  </cacheSource>
  <cacheFields count="9">
    <cacheField name="Mois" numFmtId="14">
      <sharedItems containsSemiMixedTypes="0" containsNonDate="0" containsDate="1" containsString="0" minDate="2005-01-01T00:00:00" maxDate="2020-09-02T00:00:00" count="189"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</sharedItems>
      <fieldGroup par="8"/>
    </cacheField>
    <cacheField name="Thématique" numFmtId="0">
      <sharedItems count="14">
        <s v="Catastrophes"/>
        <s v="Culture-loisirs"/>
        <s v="Economie"/>
        <s v="Education"/>
        <s v="Environnement"/>
        <s v="Faits divers"/>
        <s v="Histoire-hommages"/>
        <s v="International"/>
        <s v="Justice"/>
        <s v="Politique France"/>
        <s v="Santé"/>
        <s v="Sciences et techniques"/>
        <s v="Société"/>
        <s v="Sport"/>
      </sharedItems>
    </cacheField>
    <cacheField name="Chaine" numFmtId="0">
      <sharedItems count="6">
        <s v="TF1"/>
        <s v="France 2"/>
        <s v="France 3"/>
        <s v="Canal +"/>
        <s v="Arte"/>
        <s v="M6"/>
      </sharedItems>
    </cacheField>
    <cacheField name="N° de sujets télévisés" numFmtId="0">
      <sharedItems containsSemiMixedTypes="0" containsString="0" containsNumber="1" containsInteger="1" minValue="0" maxValue="569"/>
    </cacheField>
    <cacheField name="Durée (hh/mm/ss)" numFmtId="164">
      <sharedItems containsSemiMixedTypes="0" containsNonDate="0" containsDate="1" containsString="0" minDate="1899-12-30T00:00:00" maxDate="1899-12-30T21:13:33"/>
    </cacheField>
    <cacheField name="Durée (min)" numFmtId="0">
      <sharedItems containsSemiMixedTypes="0" containsString="0" containsNumber="1" minValue="0" maxValue="1273.55"/>
    </cacheField>
    <cacheField name="Mois (Mois)" numFmtId="0" databaseField="0">
      <fieldGroup base="0">
        <rangePr groupBy="months" startDate="2005-01-01T00:00:00" endDate="2020-09-02T00:00:00"/>
        <groupItems count="14">
          <s v="&lt;01/01/2005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2/09/2020"/>
        </groupItems>
      </fieldGroup>
    </cacheField>
    <cacheField name="Trimestres (Mois)" numFmtId="0" databaseField="0">
      <fieldGroup base="0">
        <rangePr groupBy="quarters" startDate="2005-01-01T00:00:00" endDate="2020-09-02T00:00:00"/>
        <groupItems count="6">
          <s v="&lt;01/01/2005"/>
          <s v="Trimestre1"/>
          <s v="Trimestre2"/>
          <s v="Trimestre3"/>
          <s v="Trimestre4"/>
          <s v="&gt;02/09/2020"/>
        </groupItems>
      </fieldGroup>
    </cacheField>
    <cacheField name="Années (Mois)" numFmtId="0" databaseField="0">
      <fieldGroup base="0">
        <rangePr groupBy="years" startDate="2005-01-01T00:00:00" endDate="2020-09-02T00:00:00"/>
        <groupItems count="18">
          <s v="&lt;01/01/2005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02/09/2020"/>
        </groupItems>
      </fieldGroup>
    </cacheField>
  </cacheFields>
  <extLst>
    <ext xmlns:x14="http://schemas.microsoft.com/office/spreadsheetml/2009/9/main" uri="{725AE2AE-9491-48be-B2B4-4EB974FC3084}">
      <x14:pivotCacheDefinition pivotCacheId="53545951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875">
  <r>
    <x v="0"/>
    <x v="0"/>
    <x v="0"/>
    <n v="214"/>
    <d v="1899-12-30T05:39:50"/>
    <n v="339.83333333333331"/>
  </r>
  <r>
    <x v="0"/>
    <x v="0"/>
    <x v="1"/>
    <n v="191"/>
    <d v="1899-12-30T05:13:56"/>
    <n v="313.93333333333334"/>
  </r>
  <r>
    <x v="0"/>
    <x v="0"/>
    <x v="2"/>
    <n v="88"/>
    <d v="1899-12-30T02:35:01"/>
    <n v="155.01666666666668"/>
  </r>
  <r>
    <x v="0"/>
    <x v="0"/>
    <x v="3"/>
    <n v="18"/>
    <d v="1899-12-30T00:22:41"/>
    <n v="22.683333333333334"/>
  </r>
  <r>
    <x v="0"/>
    <x v="0"/>
    <x v="4"/>
    <n v="40"/>
    <d v="1899-12-30T00:51:51"/>
    <n v="51.85"/>
  </r>
  <r>
    <x v="0"/>
    <x v="0"/>
    <x v="5"/>
    <n v="49"/>
    <d v="1899-12-30T01:07:28"/>
    <n v="67.466666666666669"/>
  </r>
  <r>
    <x v="0"/>
    <x v="1"/>
    <x v="0"/>
    <n v="27"/>
    <d v="1899-12-30T00:50:22"/>
    <n v="50.366666666666667"/>
  </r>
  <r>
    <x v="0"/>
    <x v="1"/>
    <x v="1"/>
    <n v="42"/>
    <d v="1899-12-30T01:24:04"/>
    <n v="84.066666666666663"/>
  </r>
  <r>
    <x v="0"/>
    <x v="1"/>
    <x v="2"/>
    <n v="35"/>
    <d v="1899-12-30T01:12:27"/>
    <n v="72.45"/>
  </r>
  <r>
    <x v="0"/>
    <x v="1"/>
    <x v="3"/>
    <n v="4"/>
    <d v="1899-12-30T00:04:12"/>
    <n v="4.2"/>
  </r>
  <r>
    <x v="0"/>
    <x v="1"/>
    <x v="4"/>
    <n v="0"/>
    <d v="1899-12-30T00:00:00"/>
    <n v="0"/>
  </r>
  <r>
    <x v="0"/>
    <x v="1"/>
    <x v="5"/>
    <n v="23"/>
    <d v="1899-12-30T00:27:44"/>
    <n v="27.733333333333334"/>
  </r>
  <r>
    <x v="0"/>
    <x v="2"/>
    <x v="0"/>
    <n v="35"/>
    <d v="1899-12-30T00:52:25"/>
    <n v="52.416666666666664"/>
  </r>
  <r>
    <x v="0"/>
    <x v="2"/>
    <x v="1"/>
    <n v="18"/>
    <d v="1899-12-30T00:31:12"/>
    <n v="31.2"/>
  </r>
  <r>
    <x v="0"/>
    <x v="2"/>
    <x v="2"/>
    <n v="10"/>
    <d v="1899-12-30T00:16:39"/>
    <n v="16.649999999999999"/>
  </r>
  <r>
    <x v="0"/>
    <x v="2"/>
    <x v="3"/>
    <n v="1"/>
    <d v="1899-12-30T00:01:59"/>
    <n v="1.9833333333333334"/>
  </r>
  <r>
    <x v="0"/>
    <x v="2"/>
    <x v="4"/>
    <n v="8"/>
    <d v="1899-12-30T00:07:59"/>
    <n v="7.9833333333333334"/>
  </r>
  <r>
    <x v="0"/>
    <x v="2"/>
    <x v="5"/>
    <n v="11"/>
    <d v="1899-12-30T00:11:04"/>
    <n v="11.066666666666666"/>
  </r>
  <r>
    <x v="0"/>
    <x v="3"/>
    <x v="0"/>
    <n v="14"/>
    <d v="1899-12-30T00:22:00"/>
    <n v="22"/>
  </r>
  <r>
    <x v="0"/>
    <x v="3"/>
    <x v="1"/>
    <n v="12"/>
    <d v="1899-12-30T00:20:42"/>
    <n v="20.7"/>
  </r>
  <r>
    <x v="0"/>
    <x v="3"/>
    <x v="2"/>
    <n v="4"/>
    <d v="1899-12-30T00:09:46"/>
    <n v="9.7666666666666675"/>
  </r>
  <r>
    <x v="0"/>
    <x v="3"/>
    <x v="3"/>
    <n v="3"/>
    <d v="1899-12-30T00:02:18"/>
    <n v="2.2999999999999998"/>
  </r>
  <r>
    <x v="0"/>
    <x v="3"/>
    <x v="4"/>
    <n v="3"/>
    <d v="1899-12-30T00:04:35"/>
    <n v="4.583333333333333"/>
  </r>
  <r>
    <x v="0"/>
    <x v="3"/>
    <x v="5"/>
    <n v="8"/>
    <d v="1899-12-30T00:13:10"/>
    <n v="13.166666666666666"/>
  </r>
  <r>
    <x v="0"/>
    <x v="4"/>
    <x v="0"/>
    <n v="31"/>
    <d v="1899-12-30T00:45:00"/>
    <n v="45"/>
  </r>
  <r>
    <x v="0"/>
    <x v="4"/>
    <x v="1"/>
    <n v="25"/>
    <d v="1899-12-30T00:32:55"/>
    <n v="32.916666666666664"/>
  </r>
  <r>
    <x v="0"/>
    <x v="4"/>
    <x v="2"/>
    <n v="15"/>
    <d v="1899-12-30T00:23:09"/>
    <n v="23.15"/>
  </r>
  <r>
    <x v="0"/>
    <x v="4"/>
    <x v="3"/>
    <n v="1"/>
    <d v="1899-12-30T00:00:41"/>
    <n v="0.68333333333333335"/>
  </r>
  <r>
    <x v="0"/>
    <x v="4"/>
    <x v="4"/>
    <n v="3"/>
    <d v="1899-12-30T00:02:16"/>
    <n v="2.2666666666666666"/>
  </r>
  <r>
    <x v="0"/>
    <x v="4"/>
    <x v="5"/>
    <n v="10"/>
    <d v="1899-12-30T00:09:46"/>
    <n v="9.7666666666666675"/>
  </r>
  <r>
    <x v="0"/>
    <x v="5"/>
    <x v="0"/>
    <n v="24"/>
    <d v="1899-12-30T00:37:28"/>
    <n v="37.466666666666669"/>
  </r>
  <r>
    <x v="0"/>
    <x v="5"/>
    <x v="1"/>
    <n v="19"/>
    <d v="1899-12-30T00:27:43"/>
    <n v="27.716666666666665"/>
  </r>
  <r>
    <x v="0"/>
    <x v="5"/>
    <x v="2"/>
    <n v="9"/>
    <d v="1899-12-30T00:15:50"/>
    <n v="15.833333333333334"/>
  </r>
  <r>
    <x v="0"/>
    <x v="5"/>
    <x v="3"/>
    <n v="1"/>
    <d v="1899-12-30T00:01:22"/>
    <n v="1.3666666666666667"/>
  </r>
  <r>
    <x v="0"/>
    <x v="5"/>
    <x v="4"/>
    <n v="1"/>
    <d v="1899-12-30T00:00:20"/>
    <n v="0.33333333333333331"/>
  </r>
  <r>
    <x v="0"/>
    <x v="5"/>
    <x v="5"/>
    <n v="14"/>
    <d v="1899-12-30T00:10:33"/>
    <n v="10.55"/>
  </r>
  <r>
    <x v="0"/>
    <x v="6"/>
    <x v="0"/>
    <n v="36"/>
    <d v="1899-12-30T01:14:51"/>
    <n v="74.849999999999994"/>
  </r>
  <r>
    <x v="0"/>
    <x v="6"/>
    <x v="1"/>
    <n v="38"/>
    <d v="1899-12-30T01:31:55"/>
    <n v="91.916666666666671"/>
  </r>
  <r>
    <x v="0"/>
    <x v="6"/>
    <x v="2"/>
    <n v="24"/>
    <d v="1899-12-30T01:00:48"/>
    <n v="60.8"/>
  </r>
  <r>
    <x v="0"/>
    <x v="6"/>
    <x v="3"/>
    <n v="10"/>
    <d v="1899-12-30T00:08:46"/>
    <n v="8.7666666666666675"/>
  </r>
  <r>
    <x v="0"/>
    <x v="6"/>
    <x v="4"/>
    <n v="23"/>
    <d v="1899-12-30T00:41:48"/>
    <n v="41.8"/>
  </r>
  <r>
    <x v="0"/>
    <x v="6"/>
    <x v="5"/>
    <n v="19"/>
    <d v="1899-12-30T00:29:23"/>
    <n v="29.383333333333333"/>
  </r>
  <r>
    <x v="0"/>
    <x v="7"/>
    <x v="0"/>
    <n v="52"/>
    <d v="1899-12-30T01:09:26"/>
    <n v="69.433333333333337"/>
  </r>
  <r>
    <x v="0"/>
    <x v="7"/>
    <x v="1"/>
    <n v="61"/>
    <d v="1899-12-30T01:19:04"/>
    <n v="79.066666666666663"/>
  </r>
  <r>
    <x v="0"/>
    <x v="7"/>
    <x v="2"/>
    <n v="54"/>
    <d v="1899-12-30T01:19:43"/>
    <n v="79.716666666666669"/>
  </r>
  <r>
    <x v="0"/>
    <x v="7"/>
    <x v="3"/>
    <n v="15"/>
    <d v="1899-12-30T00:20:43"/>
    <n v="20.716666666666665"/>
  </r>
  <r>
    <x v="0"/>
    <x v="7"/>
    <x v="4"/>
    <n v="108"/>
    <d v="1899-12-30T02:29:47"/>
    <n v="149.78333333333333"/>
  </r>
  <r>
    <x v="0"/>
    <x v="7"/>
    <x v="5"/>
    <n v="26"/>
    <d v="1899-12-30T00:17:13"/>
    <n v="17.216666666666665"/>
  </r>
  <r>
    <x v="0"/>
    <x v="8"/>
    <x v="0"/>
    <n v="20"/>
    <d v="1899-12-30T00:26:05"/>
    <n v="26.083333333333332"/>
  </r>
  <r>
    <x v="0"/>
    <x v="8"/>
    <x v="1"/>
    <n v="27"/>
    <d v="1899-12-30T00:43:00"/>
    <n v="43"/>
  </r>
  <r>
    <x v="0"/>
    <x v="8"/>
    <x v="2"/>
    <n v="16"/>
    <d v="1899-12-30T00:24:25"/>
    <n v="24.416666666666668"/>
  </r>
  <r>
    <x v="0"/>
    <x v="8"/>
    <x v="3"/>
    <n v="11"/>
    <d v="1899-12-30T00:14:52"/>
    <n v="14.866666666666667"/>
  </r>
  <r>
    <x v="0"/>
    <x v="8"/>
    <x v="4"/>
    <n v="11"/>
    <d v="1899-12-30T00:07:32"/>
    <n v="7.5333333333333332"/>
  </r>
  <r>
    <x v="0"/>
    <x v="8"/>
    <x v="5"/>
    <n v="7"/>
    <d v="1899-12-30T00:04:30"/>
    <n v="4.5"/>
  </r>
  <r>
    <x v="0"/>
    <x v="9"/>
    <x v="0"/>
    <n v="27"/>
    <d v="1899-12-30T00:35:29"/>
    <n v="35.483333333333334"/>
  </r>
  <r>
    <x v="0"/>
    <x v="9"/>
    <x v="1"/>
    <n v="25"/>
    <d v="1899-12-30T00:31:45"/>
    <n v="31.75"/>
  </r>
  <r>
    <x v="0"/>
    <x v="9"/>
    <x v="2"/>
    <n v="25"/>
    <d v="1899-12-30T00:42:48"/>
    <n v="42.8"/>
  </r>
  <r>
    <x v="0"/>
    <x v="9"/>
    <x v="3"/>
    <n v="6"/>
    <d v="1899-12-30T00:03:19"/>
    <n v="3.3166666666666664"/>
  </r>
  <r>
    <x v="0"/>
    <x v="9"/>
    <x v="4"/>
    <n v="22"/>
    <d v="1899-12-30T00:35:50"/>
    <n v="35.833333333333336"/>
  </r>
  <r>
    <x v="0"/>
    <x v="9"/>
    <x v="5"/>
    <n v="8"/>
    <d v="1899-12-30T00:05:06"/>
    <n v="5.0999999999999996"/>
  </r>
  <r>
    <x v="0"/>
    <x v="10"/>
    <x v="0"/>
    <n v="21"/>
    <d v="1899-12-30T00:31:40"/>
    <n v="31.666666666666668"/>
  </r>
  <r>
    <x v="0"/>
    <x v="10"/>
    <x v="1"/>
    <n v="19"/>
    <d v="1899-12-30T00:31:11"/>
    <n v="31.183333333333334"/>
  </r>
  <r>
    <x v="0"/>
    <x v="10"/>
    <x v="2"/>
    <n v="15"/>
    <d v="1899-12-30T00:26:56"/>
    <n v="26.933333333333334"/>
  </r>
  <r>
    <x v="0"/>
    <x v="10"/>
    <x v="3"/>
    <n v="0"/>
    <d v="1899-12-30T00:00:00"/>
    <n v="0"/>
  </r>
  <r>
    <x v="0"/>
    <x v="10"/>
    <x v="4"/>
    <n v="2"/>
    <d v="1899-12-30T00:03:22"/>
    <n v="3.3666666666666667"/>
  </r>
  <r>
    <x v="0"/>
    <x v="10"/>
    <x v="5"/>
    <n v="12"/>
    <d v="1899-12-30T00:15:01"/>
    <n v="15.016666666666667"/>
  </r>
  <r>
    <x v="0"/>
    <x v="11"/>
    <x v="0"/>
    <n v="28"/>
    <d v="1899-12-30T00:43:20"/>
    <n v="43.333333333333336"/>
  </r>
  <r>
    <x v="0"/>
    <x v="11"/>
    <x v="1"/>
    <n v="11"/>
    <d v="1899-12-30T00:22:12"/>
    <n v="22.2"/>
  </r>
  <r>
    <x v="0"/>
    <x v="11"/>
    <x v="2"/>
    <n v="11"/>
    <d v="1899-12-30T00:18:28"/>
    <n v="18.466666666666665"/>
  </r>
  <r>
    <x v="0"/>
    <x v="11"/>
    <x v="3"/>
    <n v="4"/>
    <d v="1899-12-30T00:05:12"/>
    <n v="5.2"/>
  </r>
  <r>
    <x v="0"/>
    <x v="11"/>
    <x v="4"/>
    <n v="2"/>
    <d v="1899-12-30T00:01:30"/>
    <n v="1.5"/>
  </r>
  <r>
    <x v="0"/>
    <x v="11"/>
    <x v="5"/>
    <n v="7"/>
    <d v="1899-12-30T00:10:16"/>
    <n v="10.266666666666667"/>
  </r>
  <r>
    <x v="0"/>
    <x v="12"/>
    <x v="0"/>
    <n v="139"/>
    <d v="1899-12-30T03:30:24"/>
    <n v="210.4"/>
  </r>
  <r>
    <x v="0"/>
    <x v="12"/>
    <x v="1"/>
    <n v="129"/>
    <d v="1899-12-30T03:25:41"/>
    <n v="205.68333333333334"/>
  </r>
  <r>
    <x v="0"/>
    <x v="12"/>
    <x v="2"/>
    <n v="65"/>
    <d v="1899-12-30T01:44:07"/>
    <n v="104.11666666666666"/>
  </r>
  <r>
    <x v="0"/>
    <x v="12"/>
    <x v="3"/>
    <n v="24"/>
    <d v="1899-12-30T00:24:42"/>
    <n v="24.7"/>
  </r>
  <r>
    <x v="0"/>
    <x v="12"/>
    <x v="4"/>
    <n v="31"/>
    <d v="1899-12-30T00:29:39"/>
    <n v="29.65"/>
  </r>
  <r>
    <x v="0"/>
    <x v="12"/>
    <x v="5"/>
    <n v="53"/>
    <d v="1899-12-30T00:56:01"/>
    <n v="56.016666666666666"/>
  </r>
  <r>
    <x v="0"/>
    <x v="13"/>
    <x v="0"/>
    <n v="37"/>
    <d v="1899-12-30T00:44:03"/>
    <n v="44.05"/>
  </r>
  <r>
    <x v="0"/>
    <x v="13"/>
    <x v="1"/>
    <n v="49"/>
    <d v="1899-12-30T00:57:18"/>
    <n v="57.3"/>
  </r>
  <r>
    <x v="0"/>
    <x v="13"/>
    <x v="2"/>
    <n v="19"/>
    <d v="1899-12-30T00:23:25"/>
    <n v="23.416666666666668"/>
  </r>
  <r>
    <x v="0"/>
    <x v="13"/>
    <x v="3"/>
    <n v="7"/>
    <d v="1899-12-30T00:04:30"/>
    <n v="4.5"/>
  </r>
  <r>
    <x v="0"/>
    <x v="13"/>
    <x v="4"/>
    <n v="0"/>
    <d v="1899-12-30T00:00:00"/>
    <n v="0"/>
  </r>
  <r>
    <x v="0"/>
    <x v="13"/>
    <x v="5"/>
    <n v="32"/>
    <d v="1899-12-30T00:21:44"/>
    <n v="21.733333333333334"/>
  </r>
  <r>
    <x v="1"/>
    <x v="0"/>
    <x v="0"/>
    <n v="42"/>
    <d v="1899-12-30T00:59:30"/>
    <n v="59.5"/>
  </r>
  <r>
    <x v="1"/>
    <x v="0"/>
    <x v="1"/>
    <n v="30"/>
    <d v="1899-12-30T00:45:06"/>
    <n v="45.1"/>
  </r>
  <r>
    <x v="1"/>
    <x v="0"/>
    <x v="2"/>
    <n v="13"/>
    <d v="1899-12-30T00:18:30"/>
    <n v="18.5"/>
  </r>
  <r>
    <x v="1"/>
    <x v="0"/>
    <x v="3"/>
    <n v="4"/>
    <d v="1899-12-30T00:04:44"/>
    <n v="4.7333333333333334"/>
  </r>
  <r>
    <x v="1"/>
    <x v="0"/>
    <x v="4"/>
    <n v="14"/>
    <d v="1899-12-30T00:19:27"/>
    <n v="19.45"/>
  </r>
  <r>
    <x v="1"/>
    <x v="0"/>
    <x v="5"/>
    <n v="14"/>
    <d v="1899-12-30T00:09:43"/>
    <n v="9.7166666666666668"/>
  </r>
  <r>
    <x v="1"/>
    <x v="1"/>
    <x v="0"/>
    <n v="41"/>
    <d v="1899-12-30T01:05:39"/>
    <n v="65.650000000000006"/>
  </r>
  <r>
    <x v="1"/>
    <x v="1"/>
    <x v="1"/>
    <n v="66"/>
    <d v="1899-12-30T02:10:57"/>
    <n v="130.94999999999999"/>
  </r>
  <r>
    <x v="1"/>
    <x v="1"/>
    <x v="2"/>
    <n v="23"/>
    <d v="1899-12-30T00:49:30"/>
    <n v="49.5"/>
  </r>
  <r>
    <x v="1"/>
    <x v="1"/>
    <x v="3"/>
    <n v="12"/>
    <d v="1899-12-30T00:09:28"/>
    <n v="9.4666666666666668"/>
  </r>
  <r>
    <x v="1"/>
    <x v="1"/>
    <x v="4"/>
    <n v="5"/>
    <d v="1899-12-30T00:03:50"/>
    <n v="3.8333333333333335"/>
  </r>
  <r>
    <x v="1"/>
    <x v="1"/>
    <x v="5"/>
    <n v="29"/>
    <d v="1899-12-30T00:42:28"/>
    <n v="42.466666666666669"/>
  </r>
  <r>
    <x v="1"/>
    <x v="2"/>
    <x v="0"/>
    <n v="46"/>
    <d v="1899-12-30T01:03:26"/>
    <n v="63.43333333333333"/>
  </r>
  <r>
    <x v="1"/>
    <x v="2"/>
    <x v="1"/>
    <n v="43"/>
    <d v="1899-12-30T01:14:19"/>
    <n v="74.316666666666663"/>
  </r>
  <r>
    <x v="1"/>
    <x v="2"/>
    <x v="2"/>
    <n v="24"/>
    <d v="1899-12-30T00:37:49"/>
    <n v="37.81666666666667"/>
  </r>
  <r>
    <x v="1"/>
    <x v="2"/>
    <x v="3"/>
    <n v="2"/>
    <d v="1899-12-30T00:01:53"/>
    <n v="1.8833333333333333"/>
  </r>
  <r>
    <x v="1"/>
    <x v="2"/>
    <x v="4"/>
    <n v="7"/>
    <d v="1899-12-30T00:08:35"/>
    <n v="8.5833333333333339"/>
  </r>
  <r>
    <x v="1"/>
    <x v="2"/>
    <x v="5"/>
    <n v="11"/>
    <d v="1899-12-30T00:11:46"/>
    <n v="11.766666666666667"/>
  </r>
  <r>
    <x v="1"/>
    <x v="3"/>
    <x v="0"/>
    <n v="27"/>
    <d v="1899-12-30T00:41:14"/>
    <n v="41.233333333333334"/>
  </r>
  <r>
    <x v="1"/>
    <x v="3"/>
    <x v="1"/>
    <n v="31"/>
    <d v="1899-12-30T00:44:28"/>
    <n v="44.466666666666669"/>
  </r>
  <r>
    <x v="1"/>
    <x v="3"/>
    <x v="2"/>
    <n v="22"/>
    <d v="1899-12-30T00:37:44"/>
    <n v="37.733333333333334"/>
  </r>
  <r>
    <x v="1"/>
    <x v="3"/>
    <x v="3"/>
    <n v="7"/>
    <d v="1899-12-30T00:06:16"/>
    <n v="6.2666666666666666"/>
  </r>
  <r>
    <x v="1"/>
    <x v="3"/>
    <x v="4"/>
    <n v="7"/>
    <d v="1899-12-30T00:11:49"/>
    <n v="11.816666666666666"/>
  </r>
  <r>
    <x v="1"/>
    <x v="3"/>
    <x v="5"/>
    <n v="10"/>
    <d v="1899-12-30T00:12:49"/>
    <n v="12.816666666666666"/>
  </r>
  <r>
    <x v="1"/>
    <x v="4"/>
    <x v="0"/>
    <n v="46"/>
    <d v="1899-12-30T01:06:33"/>
    <n v="66.55"/>
  </r>
  <r>
    <x v="1"/>
    <x v="4"/>
    <x v="1"/>
    <n v="25"/>
    <d v="1899-12-30T00:41:50"/>
    <n v="41.833333333333336"/>
  </r>
  <r>
    <x v="1"/>
    <x v="4"/>
    <x v="2"/>
    <n v="12"/>
    <d v="1899-12-30T00:18:12"/>
    <n v="18.2"/>
  </r>
  <r>
    <x v="1"/>
    <x v="4"/>
    <x v="3"/>
    <n v="0"/>
    <d v="1899-12-30T00:00:00"/>
    <n v="0"/>
  </r>
  <r>
    <x v="1"/>
    <x v="4"/>
    <x v="4"/>
    <n v="6"/>
    <d v="1899-12-30T00:13:31"/>
    <n v="13.516666666666667"/>
  </r>
  <r>
    <x v="1"/>
    <x v="4"/>
    <x v="5"/>
    <n v="7"/>
    <d v="1899-12-30T00:10:14"/>
    <n v="10.233333333333333"/>
  </r>
  <r>
    <x v="1"/>
    <x v="5"/>
    <x v="0"/>
    <n v="17"/>
    <d v="1899-12-30T00:27:10"/>
    <n v="27.166666666666668"/>
  </r>
  <r>
    <x v="1"/>
    <x v="5"/>
    <x v="1"/>
    <n v="16"/>
    <d v="1899-12-30T00:28:01"/>
    <n v="28.016666666666666"/>
  </r>
  <r>
    <x v="1"/>
    <x v="5"/>
    <x v="2"/>
    <n v="13"/>
    <d v="1899-12-30T00:23:15"/>
    <n v="23.25"/>
  </r>
  <r>
    <x v="1"/>
    <x v="5"/>
    <x v="3"/>
    <n v="8"/>
    <d v="1899-12-30T00:05:40"/>
    <n v="5.666666666666667"/>
  </r>
  <r>
    <x v="1"/>
    <x v="5"/>
    <x v="4"/>
    <n v="0"/>
    <d v="1899-12-30T00:00:00"/>
    <n v="0"/>
  </r>
  <r>
    <x v="1"/>
    <x v="5"/>
    <x v="5"/>
    <n v="10"/>
    <d v="1899-12-30T00:08:08"/>
    <n v="8.1333333333333329"/>
  </r>
  <r>
    <x v="1"/>
    <x v="6"/>
    <x v="0"/>
    <n v="14"/>
    <d v="1899-12-30T00:18:44"/>
    <n v="18.733333333333334"/>
  </r>
  <r>
    <x v="1"/>
    <x v="6"/>
    <x v="1"/>
    <n v="12"/>
    <d v="1899-12-30T00:20:28"/>
    <n v="20.466666666666665"/>
  </r>
  <r>
    <x v="1"/>
    <x v="6"/>
    <x v="2"/>
    <n v="12"/>
    <d v="1899-12-30T00:15:31"/>
    <n v="15.516666666666667"/>
  </r>
  <r>
    <x v="1"/>
    <x v="6"/>
    <x v="3"/>
    <n v="1"/>
    <d v="1899-12-30T00:01:11"/>
    <n v="1.1833333333333333"/>
  </r>
  <r>
    <x v="1"/>
    <x v="6"/>
    <x v="4"/>
    <n v="9"/>
    <d v="1899-12-30T00:11:00"/>
    <n v="11"/>
  </r>
  <r>
    <x v="1"/>
    <x v="6"/>
    <x v="5"/>
    <n v="4"/>
    <d v="1899-12-30T00:02:58"/>
    <n v="2.9666666666666668"/>
  </r>
  <r>
    <x v="1"/>
    <x v="7"/>
    <x v="0"/>
    <n v="100"/>
    <d v="1899-12-30T02:20:35"/>
    <n v="140.58333333333334"/>
  </r>
  <r>
    <x v="1"/>
    <x v="7"/>
    <x v="1"/>
    <n v="110"/>
    <d v="1899-12-30T02:37:32"/>
    <n v="157.53333333333333"/>
  </r>
  <r>
    <x v="1"/>
    <x v="7"/>
    <x v="2"/>
    <n v="81"/>
    <d v="1899-12-30T02:14:21"/>
    <n v="134.35"/>
  </r>
  <r>
    <x v="1"/>
    <x v="7"/>
    <x v="3"/>
    <n v="26"/>
    <d v="1899-12-30T00:26:13"/>
    <n v="26.216666666666665"/>
  </r>
  <r>
    <x v="1"/>
    <x v="7"/>
    <x v="4"/>
    <n v="160"/>
    <d v="1899-12-30T03:27:06"/>
    <n v="207.1"/>
  </r>
  <r>
    <x v="1"/>
    <x v="7"/>
    <x v="5"/>
    <n v="32"/>
    <d v="1899-12-30T00:29:52"/>
    <n v="29.866666666666667"/>
  </r>
  <r>
    <x v="1"/>
    <x v="8"/>
    <x v="0"/>
    <n v="56"/>
    <d v="1899-12-30T01:37:28"/>
    <n v="97.466666666666669"/>
  </r>
  <r>
    <x v="1"/>
    <x v="8"/>
    <x v="1"/>
    <n v="52"/>
    <d v="1899-12-30T01:26:07"/>
    <n v="86.11666666666666"/>
  </r>
  <r>
    <x v="1"/>
    <x v="8"/>
    <x v="2"/>
    <n v="43"/>
    <d v="1899-12-30T01:13:53"/>
    <n v="73.88333333333334"/>
  </r>
  <r>
    <x v="1"/>
    <x v="8"/>
    <x v="3"/>
    <n v="15"/>
    <d v="1899-12-30T00:11:11"/>
    <n v="11.183333333333334"/>
  </r>
  <r>
    <x v="1"/>
    <x v="8"/>
    <x v="4"/>
    <n v="8"/>
    <d v="1899-12-30T00:10:43"/>
    <n v="10.716666666666667"/>
  </r>
  <r>
    <x v="1"/>
    <x v="8"/>
    <x v="5"/>
    <n v="26"/>
    <d v="1899-12-30T00:25:27"/>
    <n v="25.45"/>
  </r>
  <r>
    <x v="1"/>
    <x v="9"/>
    <x v="0"/>
    <n v="23"/>
    <d v="1899-12-30T00:32:17"/>
    <n v="32.283333333333331"/>
  </r>
  <r>
    <x v="1"/>
    <x v="9"/>
    <x v="1"/>
    <n v="18"/>
    <d v="1899-12-30T00:25:09"/>
    <n v="25.15"/>
  </r>
  <r>
    <x v="1"/>
    <x v="9"/>
    <x v="2"/>
    <n v="13"/>
    <d v="1899-12-30T00:21:44"/>
    <n v="21.733333333333334"/>
  </r>
  <r>
    <x v="1"/>
    <x v="9"/>
    <x v="3"/>
    <n v="2"/>
    <d v="1899-12-30T00:02:16"/>
    <n v="2.2666666666666666"/>
  </r>
  <r>
    <x v="1"/>
    <x v="9"/>
    <x v="4"/>
    <n v="4"/>
    <d v="1899-12-30T00:03:33"/>
    <n v="3.55"/>
  </r>
  <r>
    <x v="1"/>
    <x v="9"/>
    <x v="5"/>
    <n v="6"/>
    <d v="1899-12-30T00:04:29"/>
    <n v="4.4833333333333334"/>
  </r>
  <r>
    <x v="1"/>
    <x v="10"/>
    <x v="0"/>
    <n v="50"/>
    <d v="1899-12-30T01:20:17"/>
    <n v="80.283333333333331"/>
  </r>
  <r>
    <x v="1"/>
    <x v="10"/>
    <x v="1"/>
    <n v="41"/>
    <d v="1899-12-30T01:15:19"/>
    <n v="75.316666666666663"/>
  </r>
  <r>
    <x v="1"/>
    <x v="10"/>
    <x v="2"/>
    <n v="20"/>
    <d v="1899-12-30T00:35:21"/>
    <n v="35.35"/>
  </r>
  <r>
    <x v="1"/>
    <x v="10"/>
    <x v="3"/>
    <n v="9"/>
    <d v="1899-12-30T00:11:33"/>
    <n v="11.55"/>
  </r>
  <r>
    <x v="1"/>
    <x v="10"/>
    <x v="4"/>
    <n v="6"/>
    <d v="1899-12-30T00:05:39"/>
    <n v="5.65"/>
  </r>
  <r>
    <x v="1"/>
    <x v="10"/>
    <x v="5"/>
    <n v="16"/>
    <d v="1899-12-30T00:21:49"/>
    <n v="21.816666666666666"/>
  </r>
  <r>
    <x v="1"/>
    <x v="11"/>
    <x v="0"/>
    <n v="17"/>
    <d v="1899-12-30T00:26:44"/>
    <n v="26.733333333333334"/>
  </r>
  <r>
    <x v="1"/>
    <x v="11"/>
    <x v="1"/>
    <n v="15"/>
    <d v="1899-12-30T00:32:02"/>
    <n v="32.033333333333331"/>
  </r>
  <r>
    <x v="1"/>
    <x v="11"/>
    <x v="2"/>
    <n v="10"/>
    <d v="1899-12-30T00:15:41"/>
    <n v="15.683333333333334"/>
  </r>
  <r>
    <x v="1"/>
    <x v="11"/>
    <x v="3"/>
    <n v="0"/>
    <d v="1899-12-30T00:00:00"/>
    <n v="0"/>
  </r>
  <r>
    <x v="1"/>
    <x v="11"/>
    <x v="4"/>
    <n v="4"/>
    <d v="1899-12-30T00:02:18"/>
    <n v="2.2999999999999998"/>
  </r>
  <r>
    <x v="1"/>
    <x v="11"/>
    <x v="5"/>
    <n v="4"/>
    <d v="1899-12-30T00:05:07"/>
    <n v="5.1166666666666663"/>
  </r>
  <r>
    <x v="1"/>
    <x v="12"/>
    <x v="0"/>
    <n v="177"/>
    <d v="1899-12-30T04:36:42"/>
    <n v="276.7"/>
  </r>
  <r>
    <x v="1"/>
    <x v="12"/>
    <x v="1"/>
    <n v="132"/>
    <d v="1899-12-30T03:12:51"/>
    <n v="192.85"/>
  </r>
  <r>
    <x v="1"/>
    <x v="12"/>
    <x v="2"/>
    <n v="67"/>
    <d v="1899-12-30T01:50:42"/>
    <n v="110.7"/>
  </r>
  <r>
    <x v="1"/>
    <x v="12"/>
    <x v="3"/>
    <n v="29"/>
    <d v="1899-12-30T00:24:49"/>
    <n v="24.816666666666666"/>
  </r>
  <r>
    <x v="1"/>
    <x v="12"/>
    <x v="4"/>
    <n v="27"/>
    <d v="1899-12-30T00:37:06"/>
    <n v="37.1"/>
  </r>
  <r>
    <x v="1"/>
    <x v="12"/>
    <x v="5"/>
    <n v="70"/>
    <d v="1899-12-30T01:15:59"/>
    <n v="75.983333333333334"/>
  </r>
  <r>
    <x v="1"/>
    <x v="13"/>
    <x v="0"/>
    <n v="54"/>
    <d v="1899-12-30T01:15:06"/>
    <n v="75.099999999999994"/>
  </r>
  <r>
    <x v="1"/>
    <x v="13"/>
    <x v="1"/>
    <n v="58"/>
    <d v="1899-12-30T01:11:54"/>
    <n v="71.900000000000006"/>
  </r>
  <r>
    <x v="1"/>
    <x v="13"/>
    <x v="2"/>
    <n v="29"/>
    <d v="1899-12-30T00:39:44"/>
    <n v="39.733333333333334"/>
  </r>
  <r>
    <x v="1"/>
    <x v="13"/>
    <x v="3"/>
    <n v="18"/>
    <d v="1899-12-30T00:16:41"/>
    <n v="16.683333333333334"/>
  </r>
  <r>
    <x v="1"/>
    <x v="13"/>
    <x v="4"/>
    <n v="3"/>
    <d v="1899-12-30T00:02:43"/>
    <n v="2.7166666666666668"/>
  </r>
  <r>
    <x v="1"/>
    <x v="13"/>
    <x v="5"/>
    <n v="38"/>
    <d v="1899-12-30T00:39:54"/>
    <n v="39.9"/>
  </r>
  <r>
    <x v="2"/>
    <x v="0"/>
    <x v="0"/>
    <n v="47"/>
    <d v="1899-12-30T01:12:34"/>
    <n v="72.566666666666663"/>
  </r>
  <r>
    <x v="2"/>
    <x v="0"/>
    <x v="1"/>
    <n v="44"/>
    <d v="1899-12-30T01:00:40"/>
    <n v="60.666666666666664"/>
  </r>
  <r>
    <x v="2"/>
    <x v="0"/>
    <x v="2"/>
    <n v="27"/>
    <d v="1899-12-30T00:41:50"/>
    <n v="41.833333333333336"/>
  </r>
  <r>
    <x v="2"/>
    <x v="0"/>
    <x v="3"/>
    <n v="1"/>
    <d v="1899-12-30T00:01:11"/>
    <n v="1.1833333333333333"/>
  </r>
  <r>
    <x v="2"/>
    <x v="0"/>
    <x v="4"/>
    <n v="10"/>
    <d v="1899-12-30T00:10:45"/>
    <n v="10.75"/>
  </r>
  <r>
    <x v="2"/>
    <x v="0"/>
    <x v="5"/>
    <n v="20"/>
    <d v="1899-12-30T00:20:58"/>
    <n v="20.966666666666665"/>
  </r>
  <r>
    <x v="2"/>
    <x v="1"/>
    <x v="0"/>
    <n v="48"/>
    <d v="1899-12-30T01:11:27"/>
    <n v="71.45"/>
  </r>
  <r>
    <x v="2"/>
    <x v="1"/>
    <x v="1"/>
    <n v="81"/>
    <d v="1899-12-30T02:20:00"/>
    <n v="140"/>
  </r>
  <r>
    <x v="2"/>
    <x v="1"/>
    <x v="2"/>
    <n v="38"/>
    <d v="1899-12-30T01:21:23"/>
    <n v="81.38333333333334"/>
  </r>
  <r>
    <x v="2"/>
    <x v="1"/>
    <x v="3"/>
    <n v="14"/>
    <d v="1899-12-30T00:10:37"/>
    <n v="10.616666666666667"/>
  </r>
  <r>
    <x v="2"/>
    <x v="1"/>
    <x v="4"/>
    <n v="2"/>
    <d v="1899-12-30T00:02:46"/>
    <n v="2.7666666666666666"/>
  </r>
  <r>
    <x v="2"/>
    <x v="1"/>
    <x v="5"/>
    <n v="39"/>
    <d v="1899-12-30T00:57:26"/>
    <n v="57.43333333333333"/>
  </r>
  <r>
    <x v="2"/>
    <x v="2"/>
    <x v="0"/>
    <n v="92"/>
    <d v="1899-12-30T02:23:06"/>
    <n v="143.1"/>
  </r>
  <r>
    <x v="2"/>
    <x v="2"/>
    <x v="1"/>
    <n v="50"/>
    <d v="1899-12-30T01:33:59"/>
    <n v="93.983333333333334"/>
  </r>
  <r>
    <x v="2"/>
    <x v="2"/>
    <x v="2"/>
    <n v="27"/>
    <d v="1899-12-30T00:48:38"/>
    <n v="48.633333333333333"/>
  </r>
  <r>
    <x v="2"/>
    <x v="2"/>
    <x v="3"/>
    <n v="2"/>
    <d v="1899-12-30T00:02:31"/>
    <n v="2.5166666666666666"/>
  </r>
  <r>
    <x v="2"/>
    <x v="2"/>
    <x v="4"/>
    <n v="13"/>
    <d v="1899-12-30T00:16:26"/>
    <n v="16.433333333333334"/>
  </r>
  <r>
    <x v="2"/>
    <x v="2"/>
    <x v="5"/>
    <n v="14"/>
    <d v="1899-12-30T00:13:40"/>
    <n v="13.666666666666666"/>
  </r>
  <r>
    <x v="2"/>
    <x v="3"/>
    <x v="0"/>
    <n v="33"/>
    <d v="1899-12-30T00:52:31"/>
    <n v="52.516666666666666"/>
  </r>
  <r>
    <x v="2"/>
    <x v="3"/>
    <x v="1"/>
    <n v="24"/>
    <d v="1899-12-30T00:38:51"/>
    <n v="38.85"/>
  </r>
  <r>
    <x v="2"/>
    <x v="3"/>
    <x v="2"/>
    <n v="15"/>
    <d v="1899-12-30T00:23:41"/>
    <n v="23.683333333333334"/>
  </r>
  <r>
    <x v="2"/>
    <x v="3"/>
    <x v="3"/>
    <n v="3"/>
    <d v="1899-12-30T00:07:57"/>
    <n v="7.95"/>
  </r>
  <r>
    <x v="2"/>
    <x v="3"/>
    <x v="4"/>
    <n v="4"/>
    <d v="1899-12-30T00:01:21"/>
    <n v="1.35"/>
  </r>
  <r>
    <x v="2"/>
    <x v="3"/>
    <x v="5"/>
    <n v="18"/>
    <d v="1899-12-30T00:25:10"/>
    <n v="25.166666666666668"/>
  </r>
  <r>
    <x v="2"/>
    <x v="4"/>
    <x v="0"/>
    <n v="57"/>
    <d v="1899-12-30T01:32:30"/>
    <n v="92.5"/>
  </r>
  <r>
    <x v="2"/>
    <x v="4"/>
    <x v="1"/>
    <n v="57"/>
    <d v="1899-12-30T01:18:19"/>
    <n v="78.316666666666663"/>
  </r>
  <r>
    <x v="2"/>
    <x v="4"/>
    <x v="2"/>
    <n v="14"/>
    <d v="1899-12-30T00:22:07"/>
    <n v="22.116666666666667"/>
  </r>
  <r>
    <x v="2"/>
    <x v="4"/>
    <x v="3"/>
    <n v="4"/>
    <d v="1899-12-30T00:04:45"/>
    <n v="4.75"/>
  </r>
  <r>
    <x v="2"/>
    <x v="4"/>
    <x v="4"/>
    <n v="0"/>
    <d v="1899-12-30T00:00:00"/>
    <n v="0"/>
  </r>
  <r>
    <x v="2"/>
    <x v="4"/>
    <x v="5"/>
    <n v="13"/>
    <d v="1899-12-30T00:14:43"/>
    <n v="14.716666666666667"/>
  </r>
  <r>
    <x v="2"/>
    <x v="5"/>
    <x v="0"/>
    <n v="32"/>
    <d v="1899-12-30T00:47:39"/>
    <n v="47.65"/>
  </r>
  <r>
    <x v="2"/>
    <x v="5"/>
    <x v="1"/>
    <n v="28"/>
    <d v="1899-12-30T00:41:41"/>
    <n v="41.68333333333333"/>
  </r>
  <r>
    <x v="2"/>
    <x v="5"/>
    <x v="2"/>
    <n v="18"/>
    <d v="1899-12-30T00:27:08"/>
    <n v="27.133333333333333"/>
  </r>
  <r>
    <x v="2"/>
    <x v="5"/>
    <x v="3"/>
    <n v="3"/>
    <d v="1899-12-30T00:03:37"/>
    <n v="3.6166666666666667"/>
  </r>
  <r>
    <x v="2"/>
    <x v="5"/>
    <x v="4"/>
    <n v="9"/>
    <d v="1899-12-30T00:10:29"/>
    <n v="10.483333333333333"/>
  </r>
  <r>
    <x v="2"/>
    <x v="5"/>
    <x v="5"/>
    <n v="12"/>
    <d v="1899-12-30T00:12:27"/>
    <n v="12.45"/>
  </r>
  <r>
    <x v="2"/>
    <x v="6"/>
    <x v="0"/>
    <n v="7"/>
    <d v="1899-12-30T00:10:53"/>
    <n v="10.883333333333333"/>
  </r>
  <r>
    <x v="2"/>
    <x v="6"/>
    <x v="1"/>
    <n v="7"/>
    <d v="1899-12-30T00:12:46"/>
    <n v="12.766666666666667"/>
  </r>
  <r>
    <x v="2"/>
    <x v="6"/>
    <x v="2"/>
    <n v="1"/>
    <d v="1899-12-30T00:02:26"/>
    <n v="2.4333333333333336"/>
  </r>
  <r>
    <x v="2"/>
    <x v="6"/>
    <x v="3"/>
    <n v="1"/>
    <d v="1899-12-30T00:00:29"/>
    <n v="0.48333333333333334"/>
  </r>
  <r>
    <x v="2"/>
    <x v="6"/>
    <x v="4"/>
    <n v="3"/>
    <d v="1899-12-30T00:04:55"/>
    <n v="4.916666666666667"/>
  </r>
  <r>
    <x v="2"/>
    <x v="6"/>
    <x v="5"/>
    <n v="0"/>
    <d v="1899-12-30T00:00:00"/>
    <n v="0"/>
  </r>
  <r>
    <x v="2"/>
    <x v="7"/>
    <x v="0"/>
    <n v="109"/>
    <d v="1899-12-30T02:54:18"/>
    <n v="174.3"/>
  </r>
  <r>
    <x v="2"/>
    <x v="7"/>
    <x v="1"/>
    <n v="140"/>
    <d v="1899-12-30T03:06:15"/>
    <n v="186.25"/>
  </r>
  <r>
    <x v="2"/>
    <x v="7"/>
    <x v="2"/>
    <n v="104"/>
    <d v="1899-12-30T02:52:41"/>
    <n v="172.68333333333334"/>
  </r>
  <r>
    <x v="2"/>
    <x v="7"/>
    <x v="3"/>
    <n v="30"/>
    <d v="1899-12-30T00:29:58"/>
    <n v="29.966666666666665"/>
  </r>
  <r>
    <x v="2"/>
    <x v="7"/>
    <x v="4"/>
    <n v="189"/>
    <d v="1899-12-30T04:15:45"/>
    <n v="255.75"/>
  </r>
  <r>
    <x v="2"/>
    <x v="7"/>
    <x v="5"/>
    <n v="47"/>
    <d v="1899-12-30T00:39:23"/>
    <n v="39.383333333333333"/>
  </r>
  <r>
    <x v="2"/>
    <x v="8"/>
    <x v="0"/>
    <n v="44"/>
    <d v="1899-12-30T01:02:09"/>
    <n v="62.15"/>
  </r>
  <r>
    <x v="2"/>
    <x v="8"/>
    <x v="1"/>
    <n v="60"/>
    <d v="1899-12-30T01:40:28"/>
    <n v="100.46666666666667"/>
  </r>
  <r>
    <x v="2"/>
    <x v="8"/>
    <x v="2"/>
    <n v="30"/>
    <d v="1899-12-30T01:01:15"/>
    <n v="61.25"/>
  </r>
  <r>
    <x v="2"/>
    <x v="8"/>
    <x v="3"/>
    <n v="13"/>
    <d v="1899-12-30T00:15:20"/>
    <n v="15.333333333333334"/>
  </r>
  <r>
    <x v="2"/>
    <x v="8"/>
    <x v="4"/>
    <n v="21"/>
    <d v="1899-12-30T00:20:30"/>
    <n v="20.5"/>
  </r>
  <r>
    <x v="2"/>
    <x v="8"/>
    <x v="5"/>
    <n v="14"/>
    <d v="1899-12-30T00:14:50"/>
    <n v="14.833333333333334"/>
  </r>
  <r>
    <x v="2"/>
    <x v="9"/>
    <x v="0"/>
    <n v="38"/>
    <d v="1899-12-30T00:53:25"/>
    <n v="53.416666666666664"/>
  </r>
  <r>
    <x v="2"/>
    <x v="9"/>
    <x v="1"/>
    <n v="22"/>
    <d v="1899-12-30T00:30:04"/>
    <n v="30.066666666666666"/>
  </r>
  <r>
    <x v="2"/>
    <x v="9"/>
    <x v="2"/>
    <n v="22"/>
    <d v="1899-12-30T00:32:40"/>
    <n v="32.666666666666664"/>
  </r>
  <r>
    <x v="2"/>
    <x v="9"/>
    <x v="3"/>
    <n v="5"/>
    <d v="1899-12-30T00:06:47"/>
    <n v="6.7833333333333332"/>
  </r>
  <r>
    <x v="2"/>
    <x v="9"/>
    <x v="4"/>
    <n v="5"/>
    <d v="1899-12-30T00:07:28"/>
    <n v="7.4666666666666668"/>
  </r>
  <r>
    <x v="2"/>
    <x v="9"/>
    <x v="5"/>
    <n v="12"/>
    <d v="1899-12-30T00:07:11"/>
    <n v="7.1833333333333336"/>
  </r>
  <r>
    <x v="2"/>
    <x v="10"/>
    <x v="0"/>
    <n v="69"/>
    <d v="1899-12-30T01:50:46"/>
    <n v="110.76666666666667"/>
  </r>
  <r>
    <x v="2"/>
    <x v="10"/>
    <x v="1"/>
    <n v="75"/>
    <d v="1899-12-30T02:13:35"/>
    <n v="133.58333333333334"/>
  </r>
  <r>
    <x v="2"/>
    <x v="10"/>
    <x v="2"/>
    <n v="44"/>
    <d v="1899-12-30T01:13:34"/>
    <n v="73.566666666666663"/>
  </r>
  <r>
    <x v="2"/>
    <x v="10"/>
    <x v="3"/>
    <n v="14"/>
    <d v="1899-12-30T00:17:33"/>
    <n v="17.55"/>
  </r>
  <r>
    <x v="2"/>
    <x v="10"/>
    <x v="4"/>
    <n v="19"/>
    <d v="1899-12-30T00:24:45"/>
    <n v="24.75"/>
  </r>
  <r>
    <x v="2"/>
    <x v="10"/>
    <x v="5"/>
    <n v="40"/>
    <d v="1899-12-30T00:39:04"/>
    <n v="39.06666666666667"/>
  </r>
  <r>
    <x v="2"/>
    <x v="11"/>
    <x v="0"/>
    <n v="29"/>
    <d v="1899-12-30T00:41:09"/>
    <n v="41.15"/>
  </r>
  <r>
    <x v="2"/>
    <x v="11"/>
    <x v="1"/>
    <n v="27"/>
    <d v="1899-12-30T00:42:17"/>
    <n v="42.283333333333331"/>
  </r>
  <r>
    <x v="2"/>
    <x v="11"/>
    <x v="2"/>
    <n v="8"/>
    <d v="1899-12-30T00:15:54"/>
    <n v="15.9"/>
  </r>
  <r>
    <x v="2"/>
    <x v="11"/>
    <x v="3"/>
    <n v="3"/>
    <d v="1899-12-30T00:03:14"/>
    <n v="3.2333333333333334"/>
  </r>
  <r>
    <x v="2"/>
    <x v="11"/>
    <x v="4"/>
    <n v="3"/>
    <d v="1899-12-30T00:06:27"/>
    <n v="6.45"/>
  </r>
  <r>
    <x v="2"/>
    <x v="11"/>
    <x v="5"/>
    <n v="6"/>
    <d v="1899-12-30T00:05:48"/>
    <n v="5.8"/>
  </r>
  <r>
    <x v="2"/>
    <x v="12"/>
    <x v="0"/>
    <n v="217"/>
    <d v="1899-12-30T05:53:57"/>
    <n v="353.95"/>
  </r>
  <r>
    <x v="2"/>
    <x v="12"/>
    <x v="1"/>
    <n v="187"/>
    <d v="1899-12-30T04:28:05"/>
    <n v="268.08333333333331"/>
  </r>
  <r>
    <x v="2"/>
    <x v="12"/>
    <x v="2"/>
    <n v="89"/>
    <d v="1899-12-30T02:46:29"/>
    <n v="166.48333333333332"/>
  </r>
  <r>
    <x v="2"/>
    <x v="12"/>
    <x v="3"/>
    <n v="34"/>
    <d v="1899-12-30T00:32:22"/>
    <n v="32.366666666666667"/>
  </r>
  <r>
    <x v="2"/>
    <x v="12"/>
    <x v="4"/>
    <n v="39"/>
    <d v="1899-12-30T00:48:52"/>
    <n v="48.866666666666667"/>
  </r>
  <r>
    <x v="2"/>
    <x v="12"/>
    <x v="5"/>
    <n v="78"/>
    <d v="1899-12-30T01:29:30"/>
    <n v="89.5"/>
  </r>
  <r>
    <x v="2"/>
    <x v="13"/>
    <x v="0"/>
    <n v="55"/>
    <d v="1899-12-30T01:12:35"/>
    <n v="72.583333333333329"/>
  </r>
  <r>
    <x v="2"/>
    <x v="13"/>
    <x v="1"/>
    <n v="63"/>
    <d v="1899-12-30T01:19:42"/>
    <n v="79.7"/>
  </r>
  <r>
    <x v="2"/>
    <x v="13"/>
    <x v="2"/>
    <n v="31"/>
    <d v="1899-12-30T00:45:00"/>
    <n v="45"/>
  </r>
  <r>
    <x v="2"/>
    <x v="13"/>
    <x v="3"/>
    <n v="15"/>
    <d v="1899-12-30T00:14:38"/>
    <n v="14.633333333333333"/>
  </r>
  <r>
    <x v="2"/>
    <x v="13"/>
    <x v="4"/>
    <n v="1"/>
    <d v="1899-12-30T00:00:30"/>
    <n v="0.5"/>
  </r>
  <r>
    <x v="2"/>
    <x v="13"/>
    <x v="5"/>
    <n v="46"/>
    <d v="1899-12-30T00:39:09"/>
    <n v="39.15"/>
  </r>
  <r>
    <x v="3"/>
    <x v="0"/>
    <x v="0"/>
    <n v="16"/>
    <d v="1899-12-30T00:23:00"/>
    <n v="23"/>
  </r>
  <r>
    <x v="3"/>
    <x v="0"/>
    <x v="1"/>
    <n v="17"/>
    <d v="1899-12-30T00:31:06"/>
    <n v="31.1"/>
  </r>
  <r>
    <x v="3"/>
    <x v="0"/>
    <x v="2"/>
    <n v="7"/>
    <d v="1899-12-30T00:08:11"/>
    <n v="8.1833333333333336"/>
  </r>
  <r>
    <x v="3"/>
    <x v="0"/>
    <x v="3"/>
    <n v="1"/>
    <d v="1899-12-30T00:01:18"/>
    <n v="1.3"/>
  </r>
  <r>
    <x v="3"/>
    <x v="0"/>
    <x v="4"/>
    <n v="2"/>
    <d v="1899-12-30T00:00:41"/>
    <n v="0.68333333333333335"/>
  </r>
  <r>
    <x v="3"/>
    <x v="0"/>
    <x v="5"/>
    <n v="7"/>
    <d v="1899-12-30T00:08:27"/>
    <n v="8.4499999999999993"/>
  </r>
  <r>
    <x v="3"/>
    <x v="1"/>
    <x v="0"/>
    <n v="28"/>
    <d v="1899-12-30T00:47:38"/>
    <n v="47.633333333333333"/>
  </r>
  <r>
    <x v="3"/>
    <x v="1"/>
    <x v="1"/>
    <n v="46"/>
    <d v="1899-12-30T01:34:47"/>
    <n v="94.783333333333331"/>
  </r>
  <r>
    <x v="3"/>
    <x v="1"/>
    <x v="2"/>
    <n v="21"/>
    <d v="1899-12-30T00:45:50"/>
    <n v="45.833333333333336"/>
  </r>
  <r>
    <x v="3"/>
    <x v="1"/>
    <x v="3"/>
    <n v="8"/>
    <d v="1899-12-30T00:05:06"/>
    <n v="5.0999999999999996"/>
  </r>
  <r>
    <x v="3"/>
    <x v="1"/>
    <x v="4"/>
    <n v="1"/>
    <d v="1899-12-30T00:00:21"/>
    <n v="0.35"/>
  </r>
  <r>
    <x v="3"/>
    <x v="1"/>
    <x v="5"/>
    <n v="20"/>
    <d v="1899-12-30T00:32:00"/>
    <n v="32"/>
  </r>
  <r>
    <x v="3"/>
    <x v="2"/>
    <x v="0"/>
    <n v="57"/>
    <d v="1899-12-30T01:26:36"/>
    <n v="86.6"/>
  </r>
  <r>
    <x v="3"/>
    <x v="2"/>
    <x v="1"/>
    <n v="38"/>
    <d v="1899-12-30T01:07:57"/>
    <n v="67.95"/>
  </r>
  <r>
    <x v="3"/>
    <x v="2"/>
    <x v="2"/>
    <n v="20"/>
    <d v="1899-12-30T00:41:50"/>
    <n v="41.833333333333336"/>
  </r>
  <r>
    <x v="3"/>
    <x v="2"/>
    <x v="3"/>
    <n v="11"/>
    <d v="1899-12-30T00:09:06"/>
    <n v="9.1"/>
  </r>
  <r>
    <x v="3"/>
    <x v="2"/>
    <x v="4"/>
    <n v="17"/>
    <d v="1899-12-30T00:24:03"/>
    <n v="24.05"/>
  </r>
  <r>
    <x v="3"/>
    <x v="2"/>
    <x v="5"/>
    <n v="12"/>
    <d v="1899-12-30T00:13:13"/>
    <n v="13.216666666666667"/>
  </r>
  <r>
    <x v="3"/>
    <x v="3"/>
    <x v="0"/>
    <n v="12"/>
    <d v="1899-12-30T00:17:53"/>
    <n v="17.883333333333333"/>
  </r>
  <r>
    <x v="3"/>
    <x v="3"/>
    <x v="1"/>
    <n v="13"/>
    <d v="1899-12-30T00:21:53"/>
    <n v="21.883333333333333"/>
  </r>
  <r>
    <x v="3"/>
    <x v="3"/>
    <x v="2"/>
    <n v="7"/>
    <d v="1899-12-30T00:10:23"/>
    <n v="10.383333333333333"/>
  </r>
  <r>
    <x v="3"/>
    <x v="3"/>
    <x v="3"/>
    <n v="2"/>
    <d v="1899-12-30T00:00:50"/>
    <n v="0.83333333333333337"/>
  </r>
  <r>
    <x v="3"/>
    <x v="3"/>
    <x v="4"/>
    <n v="2"/>
    <d v="1899-12-30T00:00:43"/>
    <n v="0.71666666666666667"/>
  </r>
  <r>
    <x v="3"/>
    <x v="3"/>
    <x v="5"/>
    <n v="7"/>
    <d v="1899-12-30T00:03:48"/>
    <n v="3.8"/>
  </r>
  <r>
    <x v="3"/>
    <x v="4"/>
    <x v="0"/>
    <n v="30"/>
    <d v="1899-12-30T00:45:52"/>
    <n v="45.866666666666667"/>
  </r>
  <r>
    <x v="3"/>
    <x v="4"/>
    <x v="1"/>
    <n v="11"/>
    <d v="1899-12-30T00:20:48"/>
    <n v="20.8"/>
  </r>
  <r>
    <x v="3"/>
    <x v="4"/>
    <x v="2"/>
    <n v="6"/>
    <d v="1899-12-30T00:05:51"/>
    <n v="5.85"/>
  </r>
  <r>
    <x v="3"/>
    <x v="4"/>
    <x v="3"/>
    <n v="1"/>
    <d v="1899-12-30T00:00:16"/>
    <n v="0.26666666666666666"/>
  </r>
  <r>
    <x v="3"/>
    <x v="4"/>
    <x v="4"/>
    <n v="1"/>
    <d v="1899-12-30T00:00:21"/>
    <n v="0.35"/>
  </r>
  <r>
    <x v="3"/>
    <x v="4"/>
    <x v="5"/>
    <n v="10"/>
    <d v="1899-12-30T00:09:51"/>
    <n v="9.85"/>
  </r>
  <r>
    <x v="3"/>
    <x v="5"/>
    <x v="0"/>
    <n v="20"/>
    <d v="1899-12-30T00:30:37"/>
    <n v="30.616666666666667"/>
  </r>
  <r>
    <x v="3"/>
    <x v="5"/>
    <x v="1"/>
    <n v="19"/>
    <d v="1899-12-30T00:25:41"/>
    <n v="25.683333333333334"/>
  </r>
  <r>
    <x v="3"/>
    <x v="5"/>
    <x v="2"/>
    <n v="15"/>
    <d v="1899-12-30T00:24:44"/>
    <n v="24.733333333333334"/>
  </r>
  <r>
    <x v="3"/>
    <x v="5"/>
    <x v="3"/>
    <n v="4"/>
    <d v="1899-12-30T00:03:07"/>
    <n v="3.1166666666666667"/>
  </r>
  <r>
    <x v="3"/>
    <x v="5"/>
    <x v="4"/>
    <n v="4"/>
    <d v="1899-12-30T00:02:49"/>
    <n v="2.8166666666666664"/>
  </r>
  <r>
    <x v="3"/>
    <x v="5"/>
    <x v="5"/>
    <n v="8"/>
    <d v="1899-12-30T00:08:03"/>
    <n v="8.0500000000000007"/>
  </r>
  <r>
    <x v="3"/>
    <x v="6"/>
    <x v="0"/>
    <n v="34"/>
    <d v="1899-12-30T00:54:57"/>
    <n v="54.95"/>
  </r>
  <r>
    <x v="3"/>
    <x v="6"/>
    <x v="1"/>
    <n v="34"/>
    <d v="1899-12-30T00:58:04"/>
    <n v="58.06666666666667"/>
  </r>
  <r>
    <x v="3"/>
    <x v="6"/>
    <x v="2"/>
    <n v="19"/>
    <d v="1899-12-30T00:29:34"/>
    <n v="29.566666666666666"/>
  </r>
  <r>
    <x v="3"/>
    <x v="6"/>
    <x v="3"/>
    <n v="6"/>
    <d v="1899-12-30T00:05:15"/>
    <n v="5.25"/>
  </r>
  <r>
    <x v="3"/>
    <x v="6"/>
    <x v="4"/>
    <n v="13"/>
    <d v="1899-12-30T00:18:31"/>
    <n v="18.516666666666666"/>
  </r>
  <r>
    <x v="3"/>
    <x v="6"/>
    <x v="5"/>
    <n v="14"/>
    <d v="1899-12-30T00:21:25"/>
    <n v="21.416666666666668"/>
  </r>
  <r>
    <x v="3"/>
    <x v="7"/>
    <x v="0"/>
    <n v="74"/>
    <d v="1899-12-30T01:41:21"/>
    <n v="101.35"/>
  </r>
  <r>
    <x v="3"/>
    <x v="7"/>
    <x v="1"/>
    <n v="82"/>
    <d v="1899-12-30T01:47:43"/>
    <n v="107.71666666666667"/>
  </r>
  <r>
    <x v="3"/>
    <x v="7"/>
    <x v="2"/>
    <n v="66"/>
    <d v="1899-12-30T01:41:58"/>
    <n v="101.96666666666667"/>
  </r>
  <r>
    <x v="3"/>
    <x v="7"/>
    <x v="3"/>
    <n v="16"/>
    <d v="1899-12-30T00:14:11"/>
    <n v="14.183333333333334"/>
  </r>
  <r>
    <x v="3"/>
    <x v="7"/>
    <x v="4"/>
    <n v="130"/>
    <d v="1899-12-30T02:38:45"/>
    <n v="158.75"/>
  </r>
  <r>
    <x v="3"/>
    <x v="7"/>
    <x v="5"/>
    <n v="23"/>
    <d v="1899-12-30T00:13:48"/>
    <n v="13.8"/>
  </r>
  <r>
    <x v="3"/>
    <x v="8"/>
    <x v="0"/>
    <n v="33"/>
    <d v="1899-12-30T00:53:10"/>
    <n v="53.166666666666664"/>
  </r>
  <r>
    <x v="3"/>
    <x v="8"/>
    <x v="1"/>
    <n v="26"/>
    <d v="1899-12-30T00:42:33"/>
    <n v="42.55"/>
  </r>
  <r>
    <x v="3"/>
    <x v="8"/>
    <x v="2"/>
    <n v="35"/>
    <d v="1899-12-30T01:09:41"/>
    <n v="69.683333333333337"/>
  </r>
  <r>
    <x v="3"/>
    <x v="8"/>
    <x v="3"/>
    <n v="19"/>
    <d v="1899-12-30T00:16:32"/>
    <n v="16.533333333333335"/>
  </r>
  <r>
    <x v="3"/>
    <x v="8"/>
    <x v="4"/>
    <n v="5"/>
    <d v="1899-12-30T00:03:08"/>
    <n v="3.1333333333333333"/>
  </r>
  <r>
    <x v="3"/>
    <x v="8"/>
    <x v="5"/>
    <n v="18"/>
    <d v="1899-12-30T00:23:27"/>
    <n v="23.45"/>
  </r>
  <r>
    <x v="3"/>
    <x v="9"/>
    <x v="0"/>
    <n v="31"/>
    <d v="1899-12-30T00:43:51"/>
    <n v="43.85"/>
  </r>
  <r>
    <x v="3"/>
    <x v="9"/>
    <x v="1"/>
    <n v="23"/>
    <d v="1899-12-30T00:41:00"/>
    <n v="41"/>
  </r>
  <r>
    <x v="3"/>
    <x v="9"/>
    <x v="2"/>
    <n v="15"/>
    <d v="1899-12-30T00:24:31"/>
    <n v="24.516666666666666"/>
  </r>
  <r>
    <x v="3"/>
    <x v="9"/>
    <x v="3"/>
    <n v="5"/>
    <d v="1899-12-30T00:05:48"/>
    <n v="5.8"/>
  </r>
  <r>
    <x v="3"/>
    <x v="9"/>
    <x v="4"/>
    <n v="5"/>
    <d v="1899-12-30T00:06:15"/>
    <n v="6.25"/>
  </r>
  <r>
    <x v="3"/>
    <x v="9"/>
    <x v="5"/>
    <n v="10"/>
    <d v="1899-12-30T00:09:58"/>
    <n v="9.9666666666666668"/>
  </r>
  <r>
    <x v="3"/>
    <x v="10"/>
    <x v="0"/>
    <n v="23"/>
    <d v="1899-12-30T00:35:30"/>
    <n v="35.5"/>
  </r>
  <r>
    <x v="3"/>
    <x v="10"/>
    <x v="1"/>
    <n v="24"/>
    <d v="1899-12-30T00:44:30"/>
    <n v="44.5"/>
  </r>
  <r>
    <x v="3"/>
    <x v="10"/>
    <x v="2"/>
    <n v="18"/>
    <d v="1899-12-30T00:37:32"/>
    <n v="37.533333333333331"/>
  </r>
  <r>
    <x v="3"/>
    <x v="10"/>
    <x v="3"/>
    <n v="5"/>
    <d v="1899-12-30T00:03:07"/>
    <n v="3.1166666666666667"/>
  </r>
  <r>
    <x v="3"/>
    <x v="10"/>
    <x v="4"/>
    <n v="3"/>
    <d v="1899-12-30T00:03:30"/>
    <n v="3.5"/>
  </r>
  <r>
    <x v="3"/>
    <x v="10"/>
    <x v="5"/>
    <n v="8"/>
    <d v="1899-12-30T00:05:36"/>
    <n v="5.6"/>
  </r>
  <r>
    <x v="3"/>
    <x v="11"/>
    <x v="0"/>
    <n v="13"/>
    <d v="1899-12-30T00:18:06"/>
    <n v="18.100000000000001"/>
  </r>
  <r>
    <x v="3"/>
    <x v="11"/>
    <x v="1"/>
    <n v="12"/>
    <d v="1899-12-30T00:21:43"/>
    <n v="21.716666666666665"/>
  </r>
  <r>
    <x v="3"/>
    <x v="11"/>
    <x v="2"/>
    <n v="8"/>
    <d v="1899-12-30T00:09:01"/>
    <n v="9.0166666666666675"/>
  </r>
  <r>
    <x v="3"/>
    <x v="11"/>
    <x v="3"/>
    <n v="1"/>
    <d v="1899-12-30T00:00:33"/>
    <n v="0.55000000000000004"/>
  </r>
  <r>
    <x v="3"/>
    <x v="11"/>
    <x v="4"/>
    <n v="5"/>
    <d v="1899-12-30T00:08:11"/>
    <n v="8.1833333333333336"/>
  </r>
  <r>
    <x v="3"/>
    <x v="11"/>
    <x v="5"/>
    <n v="6"/>
    <d v="1899-12-30T00:05:56"/>
    <n v="5.9333333333333336"/>
  </r>
  <r>
    <x v="3"/>
    <x v="12"/>
    <x v="0"/>
    <n v="275"/>
    <d v="1899-12-30T07:33:15"/>
    <n v="453.25"/>
  </r>
  <r>
    <x v="3"/>
    <x v="12"/>
    <x v="1"/>
    <n v="276"/>
    <d v="1899-12-30T07:25:21"/>
    <n v="445.35"/>
  </r>
  <r>
    <x v="3"/>
    <x v="12"/>
    <x v="2"/>
    <n v="154"/>
    <d v="1899-12-30T04:37:19"/>
    <n v="277.31666666666666"/>
  </r>
  <r>
    <x v="3"/>
    <x v="12"/>
    <x v="3"/>
    <n v="47"/>
    <d v="1899-12-30T00:49:07"/>
    <n v="49.116666666666667"/>
  </r>
  <r>
    <x v="3"/>
    <x v="12"/>
    <x v="4"/>
    <n v="92"/>
    <d v="1899-12-30T02:28:21"/>
    <n v="148.35"/>
  </r>
  <r>
    <x v="3"/>
    <x v="12"/>
    <x v="5"/>
    <n v="118"/>
    <d v="1899-12-30T02:33:56"/>
    <n v="153.93333333333334"/>
  </r>
  <r>
    <x v="3"/>
    <x v="13"/>
    <x v="0"/>
    <n v="31"/>
    <d v="1899-12-30T00:30:25"/>
    <n v="30.416666666666668"/>
  </r>
  <r>
    <x v="3"/>
    <x v="13"/>
    <x v="1"/>
    <n v="26"/>
    <d v="1899-12-30T00:27:17"/>
    <n v="27.283333333333335"/>
  </r>
  <r>
    <x v="3"/>
    <x v="13"/>
    <x v="2"/>
    <n v="16"/>
    <d v="1899-12-30T00:20:17"/>
    <n v="20.283333333333335"/>
  </r>
  <r>
    <x v="3"/>
    <x v="13"/>
    <x v="3"/>
    <n v="8"/>
    <d v="1899-12-30T00:07:42"/>
    <n v="7.7"/>
  </r>
  <r>
    <x v="3"/>
    <x v="13"/>
    <x v="4"/>
    <n v="1"/>
    <d v="1899-12-30T00:00:22"/>
    <n v="0.36666666666666664"/>
  </r>
  <r>
    <x v="3"/>
    <x v="13"/>
    <x v="5"/>
    <n v="29"/>
    <d v="1899-12-30T00:21:37"/>
    <n v="21.616666666666667"/>
  </r>
  <r>
    <x v="4"/>
    <x v="0"/>
    <x v="0"/>
    <n v="12"/>
    <d v="1899-12-30T00:16:42"/>
    <n v="16.7"/>
  </r>
  <r>
    <x v="4"/>
    <x v="0"/>
    <x v="1"/>
    <n v="11"/>
    <d v="1899-12-30T00:12:54"/>
    <n v="12.9"/>
  </r>
  <r>
    <x v="4"/>
    <x v="0"/>
    <x v="2"/>
    <n v="7"/>
    <d v="1899-12-30T00:10:08"/>
    <n v="10.133333333333333"/>
  </r>
  <r>
    <x v="4"/>
    <x v="0"/>
    <x v="3"/>
    <n v="1"/>
    <d v="1899-12-30T00:00:23"/>
    <n v="0.38333333333333336"/>
  </r>
  <r>
    <x v="4"/>
    <x v="0"/>
    <x v="4"/>
    <n v="0"/>
    <d v="1899-12-30T00:00:00"/>
    <n v="0"/>
  </r>
  <r>
    <x v="4"/>
    <x v="0"/>
    <x v="5"/>
    <n v="8"/>
    <d v="1899-12-30T00:05:22"/>
    <n v="5.3666666666666663"/>
  </r>
  <r>
    <x v="4"/>
    <x v="1"/>
    <x v="0"/>
    <n v="47"/>
    <d v="1899-12-30T01:13:36"/>
    <n v="73.599999999999994"/>
  </r>
  <r>
    <x v="4"/>
    <x v="1"/>
    <x v="1"/>
    <n v="78"/>
    <d v="1899-12-30T02:32:02"/>
    <n v="152.03333333333333"/>
  </r>
  <r>
    <x v="4"/>
    <x v="1"/>
    <x v="2"/>
    <n v="42"/>
    <d v="1899-12-30T01:24:59"/>
    <n v="84.983333333333334"/>
  </r>
  <r>
    <x v="4"/>
    <x v="1"/>
    <x v="3"/>
    <n v="10"/>
    <d v="1899-12-30T00:08:29"/>
    <n v="8.4833333333333325"/>
  </r>
  <r>
    <x v="4"/>
    <x v="1"/>
    <x v="4"/>
    <n v="4"/>
    <d v="1899-12-30T00:06:41"/>
    <n v="6.6833333333333336"/>
  </r>
  <r>
    <x v="4"/>
    <x v="1"/>
    <x v="5"/>
    <n v="40"/>
    <d v="1899-12-30T01:01:14"/>
    <n v="61.233333333333334"/>
  </r>
  <r>
    <x v="4"/>
    <x v="2"/>
    <x v="0"/>
    <n v="74"/>
    <d v="1899-12-30T02:05:45"/>
    <n v="125.75"/>
  </r>
  <r>
    <x v="4"/>
    <x v="2"/>
    <x v="1"/>
    <n v="65"/>
    <d v="1899-12-30T01:57:08"/>
    <n v="117.13333333333334"/>
  </r>
  <r>
    <x v="4"/>
    <x v="2"/>
    <x v="2"/>
    <n v="26"/>
    <d v="1899-12-30T00:47:08"/>
    <n v="47.133333333333333"/>
  </r>
  <r>
    <x v="4"/>
    <x v="2"/>
    <x v="3"/>
    <n v="8"/>
    <d v="1899-12-30T00:08:40"/>
    <n v="8.6666666666666661"/>
  </r>
  <r>
    <x v="4"/>
    <x v="2"/>
    <x v="4"/>
    <n v="15"/>
    <d v="1899-12-30T00:13:27"/>
    <n v="13.45"/>
  </r>
  <r>
    <x v="4"/>
    <x v="2"/>
    <x v="5"/>
    <n v="15"/>
    <d v="1899-12-30T00:10:56"/>
    <n v="10.933333333333334"/>
  </r>
  <r>
    <x v="4"/>
    <x v="3"/>
    <x v="0"/>
    <n v="24"/>
    <d v="1899-12-30T00:42:49"/>
    <n v="42.81666666666667"/>
  </r>
  <r>
    <x v="4"/>
    <x v="3"/>
    <x v="1"/>
    <n v="9"/>
    <d v="1899-12-30T00:14:24"/>
    <n v="14.4"/>
  </r>
  <r>
    <x v="4"/>
    <x v="3"/>
    <x v="2"/>
    <n v="7"/>
    <d v="1899-12-30T00:14:00"/>
    <n v="14"/>
  </r>
  <r>
    <x v="4"/>
    <x v="3"/>
    <x v="3"/>
    <n v="1"/>
    <d v="1899-12-30T00:00:40"/>
    <n v="0.66666666666666663"/>
  </r>
  <r>
    <x v="4"/>
    <x v="3"/>
    <x v="4"/>
    <n v="4"/>
    <d v="1899-12-30T00:01:51"/>
    <n v="1.85"/>
  </r>
  <r>
    <x v="4"/>
    <x v="3"/>
    <x v="5"/>
    <n v="6"/>
    <d v="1899-12-30T00:07:29"/>
    <n v="7.4833333333333334"/>
  </r>
  <r>
    <x v="4"/>
    <x v="4"/>
    <x v="0"/>
    <n v="33"/>
    <d v="1899-12-30T00:49:40"/>
    <n v="49.666666666666664"/>
  </r>
  <r>
    <x v="4"/>
    <x v="4"/>
    <x v="1"/>
    <n v="26"/>
    <d v="1899-12-30T00:40:48"/>
    <n v="40.799999999999997"/>
  </r>
  <r>
    <x v="4"/>
    <x v="4"/>
    <x v="2"/>
    <n v="9"/>
    <d v="1899-12-30T00:15:20"/>
    <n v="15.333333333333334"/>
  </r>
  <r>
    <x v="4"/>
    <x v="4"/>
    <x v="3"/>
    <n v="1"/>
    <d v="1899-12-30T00:00:52"/>
    <n v="0.8666666666666667"/>
  </r>
  <r>
    <x v="4"/>
    <x v="4"/>
    <x v="4"/>
    <n v="3"/>
    <d v="1899-12-30T00:02:28"/>
    <n v="2.4666666666666668"/>
  </r>
  <r>
    <x v="4"/>
    <x v="4"/>
    <x v="5"/>
    <n v="7"/>
    <d v="1899-12-30T00:06:01"/>
    <n v="6.0166666666666666"/>
  </r>
  <r>
    <x v="4"/>
    <x v="5"/>
    <x v="0"/>
    <n v="18"/>
    <d v="1899-12-30T00:27:19"/>
    <n v="27.316666666666666"/>
  </r>
  <r>
    <x v="4"/>
    <x v="5"/>
    <x v="1"/>
    <n v="27"/>
    <d v="1899-12-30T00:36:47"/>
    <n v="36.783333333333331"/>
  </r>
  <r>
    <x v="4"/>
    <x v="5"/>
    <x v="2"/>
    <n v="21"/>
    <d v="1899-12-30T00:34:30"/>
    <n v="34.5"/>
  </r>
  <r>
    <x v="4"/>
    <x v="5"/>
    <x v="3"/>
    <n v="9"/>
    <d v="1899-12-30T00:12:26"/>
    <n v="12.433333333333334"/>
  </r>
  <r>
    <x v="4"/>
    <x v="5"/>
    <x v="4"/>
    <n v="0"/>
    <d v="1899-12-30T00:00:00"/>
    <n v="0"/>
  </r>
  <r>
    <x v="4"/>
    <x v="5"/>
    <x v="5"/>
    <n v="12"/>
    <d v="1899-12-30T00:08:53"/>
    <n v="8.8833333333333329"/>
  </r>
  <r>
    <x v="4"/>
    <x v="6"/>
    <x v="0"/>
    <n v="22"/>
    <d v="1899-12-30T00:34:23"/>
    <n v="34.383333333333333"/>
  </r>
  <r>
    <x v="4"/>
    <x v="6"/>
    <x v="1"/>
    <n v="31"/>
    <d v="1899-12-30T00:49:37"/>
    <n v="49.616666666666667"/>
  </r>
  <r>
    <x v="4"/>
    <x v="6"/>
    <x v="2"/>
    <n v="17"/>
    <d v="1899-12-30T00:32:56"/>
    <n v="32.93333333333333"/>
  </r>
  <r>
    <x v="4"/>
    <x v="6"/>
    <x v="3"/>
    <n v="4"/>
    <d v="1899-12-30T00:03:49"/>
    <n v="3.8166666666666664"/>
  </r>
  <r>
    <x v="4"/>
    <x v="6"/>
    <x v="4"/>
    <n v="17"/>
    <d v="1899-12-30T00:33:47"/>
    <n v="33.783333333333331"/>
  </r>
  <r>
    <x v="4"/>
    <x v="6"/>
    <x v="5"/>
    <n v="13"/>
    <d v="1899-12-30T00:16:41"/>
    <n v="16.683333333333334"/>
  </r>
  <r>
    <x v="4"/>
    <x v="7"/>
    <x v="0"/>
    <n v="154"/>
    <d v="1899-12-30T04:31:49"/>
    <n v="271.81666666666666"/>
  </r>
  <r>
    <x v="4"/>
    <x v="7"/>
    <x v="1"/>
    <n v="216"/>
    <d v="1899-12-30T05:00:00"/>
    <n v="300"/>
  </r>
  <r>
    <x v="4"/>
    <x v="7"/>
    <x v="2"/>
    <n v="119"/>
    <d v="1899-12-30T04:21:30"/>
    <n v="261.5"/>
  </r>
  <r>
    <x v="4"/>
    <x v="7"/>
    <x v="3"/>
    <n v="42"/>
    <d v="1899-12-30T00:37:31"/>
    <n v="37.516666666666666"/>
  </r>
  <r>
    <x v="4"/>
    <x v="7"/>
    <x v="4"/>
    <n v="220"/>
    <d v="1899-12-30T04:38:59"/>
    <n v="278.98333333333335"/>
  </r>
  <r>
    <x v="4"/>
    <x v="7"/>
    <x v="5"/>
    <n v="66"/>
    <d v="1899-12-30T01:27:24"/>
    <n v="87.4"/>
  </r>
  <r>
    <x v="4"/>
    <x v="8"/>
    <x v="0"/>
    <n v="43"/>
    <d v="1899-12-30T01:00:05"/>
    <n v="60.083333333333336"/>
  </r>
  <r>
    <x v="4"/>
    <x v="8"/>
    <x v="1"/>
    <n v="41"/>
    <d v="1899-12-30T01:01:45"/>
    <n v="61.75"/>
  </r>
  <r>
    <x v="4"/>
    <x v="8"/>
    <x v="2"/>
    <n v="26"/>
    <d v="1899-12-30T00:41:24"/>
    <n v="41.4"/>
  </r>
  <r>
    <x v="4"/>
    <x v="8"/>
    <x v="3"/>
    <n v="19"/>
    <d v="1899-12-30T00:17:28"/>
    <n v="17.466666666666665"/>
  </r>
  <r>
    <x v="4"/>
    <x v="8"/>
    <x v="4"/>
    <n v="12"/>
    <d v="1899-12-30T00:12:46"/>
    <n v="12.766666666666667"/>
  </r>
  <r>
    <x v="4"/>
    <x v="8"/>
    <x v="5"/>
    <n v="17"/>
    <d v="1899-12-30T00:13:39"/>
    <n v="13.65"/>
  </r>
  <r>
    <x v="4"/>
    <x v="9"/>
    <x v="0"/>
    <n v="56"/>
    <d v="1899-12-30T01:40:06"/>
    <n v="100.1"/>
  </r>
  <r>
    <x v="4"/>
    <x v="9"/>
    <x v="1"/>
    <n v="57"/>
    <d v="1899-12-30T01:28:33"/>
    <n v="88.55"/>
  </r>
  <r>
    <x v="4"/>
    <x v="9"/>
    <x v="2"/>
    <n v="47"/>
    <d v="1899-12-30T01:35:16"/>
    <n v="95.266666666666666"/>
  </r>
  <r>
    <x v="4"/>
    <x v="9"/>
    <x v="3"/>
    <n v="16"/>
    <d v="1899-12-30T00:12:39"/>
    <n v="12.65"/>
  </r>
  <r>
    <x v="4"/>
    <x v="9"/>
    <x v="4"/>
    <n v="13"/>
    <d v="1899-12-30T00:19:25"/>
    <n v="19.416666666666668"/>
  </r>
  <r>
    <x v="4"/>
    <x v="9"/>
    <x v="5"/>
    <n v="24"/>
    <d v="1899-12-30T00:35:41"/>
    <n v="35.68333333333333"/>
  </r>
  <r>
    <x v="4"/>
    <x v="10"/>
    <x v="0"/>
    <n v="48"/>
    <d v="1899-12-30T01:14:19"/>
    <n v="74.316666666666663"/>
  </r>
  <r>
    <x v="4"/>
    <x v="10"/>
    <x v="1"/>
    <n v="35"/>
    <d v="1899-12-30T00:52:23"/>
    <n v="52.383333333333333"/>
  </r>
  <r>
    <x v="4"/>
    <x v="10"/>
    <x v="2"/>
    <n v="22"/>
    <d v="1899-12-30T00:34:20"/>
    <n v="34.333333333333336"/>
  </r>
  <r>
    <x v="4"/>
    <x v="10"/>
    <x v="3"/>
    <n v="2"/>
    <d v="1899-12-30T00:01:21"/>
    <n v="1.35"/>
  </r>
  <r>
    <x v="4"/>
    <x v="10"/>
    <x v="4"/>
    <n v="2"/>
    <d v="1899-12-30T00:02:54"/>
    <n v="2.9"/>
  </r>
  <r>
    <x v="4"/>
    <x v="10"/>
    <x v="5"/>
    <n v="22"/>
    <d v="1899-12-30T00:17:51"/>
    <n v="17.850000000000001"/>
  </r>
  <r>
    <x v="4"/>
    <x v="11"/>
    <x v="0"/>
    <n v="31"/>
    <d v="1899-12-30T00:47:15"/>
    <n v="47.25"/>
  </r>
  <r>
    <x v="4"/>
    <x v="11"/>
    <x v="1"/>
    <n v="23"/>
    <d v="1899-12-30T00:36:39"/>
    <n v="36.65"/>
  </r>
  <r>
    <x v="4"/>
    <x v="11"/>
    <x v="2"/>
    <n v="6"/>
    <d v="1899-12-30T00:10:59"/>
    <n v="10.983333333333333"/>
  </r>
  <r>
    <x v="4"/>
    <x v="11"/>
    <x v="3"/>
    <n v="0"/>
    <d v="1899-12-30T00:00:00"/>
    <n v="0"/>
  </r>
  <r>
    <x v="4"/>
    <x v="11"/>
    <x v="4"/>
    <n v="2"/>
    <d v="1899-12-30T00:00:47"/>
    <n v="0.78333333333333333"/>
  </r>
  <r>
    <x v="4"/>
    <x v="11"/>
    <x v="5"/>
    <n v="7"/>
    <d v="1899-12-30T00:08:01"/>
    <n v="8.0166666666666675"/>
  </r>
  <r>
    <x v="4"/>
    <x v="12"/>
    <x v="0"/>
    <n v="176"/>
    <d v="1899-12-30T04:45:46"/>
    <n v="285.76666666666665"/>
  </r>
  <r>
    <x v="4"/>
    <x v="12"/>
    <x v="1"/>
    <n v="143"/>
    <d v="1899-12-30T03:33:45"/>
    <n v="213.75"/>
  </r>
  <r>
    <x v="4"/>
    <x v="12"/>
    <x v="2"/>
    <n v="82"/>
    <d v="1899-12-30T02:14:08"/>
    <n v="134.13333333333333"/>
  </r>
  <r>
    <x v="4"/>
    <x v="12"/>
    <x v="3"/>
    <n v="27"/>
    <d v="1899-12-30T00:31:08"/>
    <n v="31.133333333333333"/>
  </r>
  <r>
    <x v="4"/>
    <x v="12"/>
    <x v="4"/>
    <n v="37"/>
    <d v="1899-12-30T00:47:47"/>
    <n v="47.783333333333331"/>
  </r>
  <r>
    <x v="4"/>
    <x v="12"/>
    <x v="5"/>
    <n v="60"/>
    <d v="1899-12-30T01:02:34"/>
    <n v="62.56666666666667"/>
  </r>
  <r>
    <x v="4"/>
    <x v="13"/>
    <x v="0"/>
    <n v="58"/>
    <d v="1899-12-30T01:19:11"/>
    <n v="79.183333333333337"/>
  </r>
  <r>
    <x v="4"/>
    <x v="13"/>
    <x v="1"/>
    <n v="61"/>
    <d v="1899-12-30T01:14:12"/>
    <n v="74.2"/>
  </r>
  <r>
    <x v="4"/>
    <x v="13"/>
    <x v="2"/>
    <n v="38"/>
    <d v="1899-12-30T00:49:23"/>
    <n v="49.383333333333333"/>
  </r>
  <r>
    <x v="4"/>
    <x v="13"/>
    <x v="3"/>
    <n v="14"/>
    <d v="1899-12-30T00:13:35"/>
    <n v="13.583333333333334"/>
  </r>
  <r>
    <x v="4"/>
    <x v="13"/>
    <x v="4"/>
    <n v="0"/>
    <d v="1899-12-30T00:00:00"/>
    <n v="0"/>
  </r>
  <r>
    <x v="4"/>
    <x v="13"/>
    <x v="5"/>
    <n v="53"/>
    <d v="1899-12-30T00:51:48"/>
    <n v="51.8"/>
  </r>
  <r>
    <x v="5"/>
    <x v="0"/>
    <x v="0"/>
    <n v="37"/>
    <d v="1899-12-30T00:59:05"/>
    <n v="59.083333333333336"/>
  </r>
  <r>
    <x v="5"/>
    <x v="0"/>
    <x v="1"/>
    <n v="24"/>
    <d v="1899-12-30T00:33:49"/>
    <n v="33.81666666666667"/>
  </r>
  <r>
    <x v="5"/>
    <x v="0"/>
    <x v="2"/>
    <n v="20"/>
    <d v="1899-12-30T00:36:15"/>
    <n v="36.25"/>
  </r>
  <r>
    <x v="5"/>
    <x v="0"/>
    <x v="3"/>
    <n v="1"/>
    <d v="1899-12-30T00:02:21"/>
    <n v="2.35"/>
  </r>
  <r>
    <x v="5"/>
    <x v="0"/>
    <x v="4"/>
    <n v="8"/>
    <d v="1899-12-30T00:07:04"/>
    <n v="7.0666666666666664"/>
  </r>
  <r>
    <x v="5"/>
    <x v="0"/>
    <x v="5"/>
    <n v="12"/>
    <d v="1899-12-30T00:15:12"/>
    <n v="15.2"/>
  </r>
  <r>
    <x v="5"/>
    <x v="1"/>
    <x v="0"/>
    <n v="38"/>
    <d v="1899-12-30T01:01:27"/>
    <n v="61.45"/>
  </r>
  <r>
    <x v="5"/>
    <x v="1"/>
    <x v="1"/>
    <n v="47"/>
    <d v="1899-12-30T01:22:47"/>
    <n v="82.783333333333331"/>
  </r>
  <r>
    <x v="5"/>
    <x v="1"/>
    <x v="2"/>
    <n v="27"/>
    <d v="1899-12-30T00:47:20"/>
    <n v="47.333333333333336"/>
  </r>
  <r>
    <x v="5"/>
    <x v="1"/>
    <x v="3"/>
    <n v="2"/>
    <d v="1899-12-30T00:01:46"/>
    <n v="1.7666666666666666"/>
  </r>
  <r>
    <x v="5"/>
    <x v="1"/>
    <x v="4"/>
    <n v="0"/>
    <d v="1899-12-30T00:00:00"/>
    <n v="0"/>
  </r>
  <r>
    <x v="5"/>
    <x v="1"/>
    <x v="5"/>
    <n v="16"/>
    <d v="1899-12-30T00:19:17"/>
    <n v="19.283333333333335"/>
  </r>
  <r>
    <x v="5"/>
    <x v="2"/>
    <x v="0"/>
    <n v="54"/>
    <d v="1899-12-30T01:27:01"/>
    <n v="87.016666666666666"/>
  </r>
  <r>
    <x v="5"/>
    <x v="2"/>
    <x v="1"/>
    <n v="44"/>
    <d v="1899-12-30T01:09:36"/>
    <n v="69.599999999999994"/>
  </r>
  <r>
    <x v="5"/>
    <x v="2"/>
    <x v="2"/>
    <n v="35"/>
    <d v="1899-12-30T01:14:15"/>
    <n v="74.25"/>
  </r>
  <r>
    <x v="5"/>
    <x v="2"/>
    <x v="3"/>
    <n v="2"/>
    <d v="1899-12-30T00:02:02"/>
    <n v="2.0333333333333332"/>
  </r>
  <r>
    <x v="5"/>
    <x v="2"/>
    <x v="4"/>
    <n v="11"/>
    <d v="1899-12-30T00:14:09"/>
    <n v="14.15"/>
  </r>
  <r>
    <x v="5"/>
    <x v="2"/>
    <x v="5"/>
    <n v="10"/>
    <d v="1899-12-30T00:09:45"/>
    <n v="9.75"/>
  </r>
  <r>
    <x v="5"/>
    <x v="3"/>
    <x v="0"/>
    <n v="19"/>
    <d v="1899-12-30T00:34:59"/>
    <n v="34.983333333333334"/>
  </r>
  <r>
    <x v="5"/>
    <x v="3"/>
    <x v="1"/>
    <n v="22"/>
    <d v="1899-12-30T00:41:58"/>
    <n v="41.966666666666669"/>
  </r>
  <r>
    <x v="5"/>
    <x v="3"/>
    <x v="2"/>
    <n v="12"/>
    <d v="1899-12-30T00:23:11"/>
    <n v="23.183333333333334"/>
  </r>
  <r>
    <x v="5"/>
    <x v="3"/>
    <x v="3"/>
    <n v="3"/>
    <d v="1899-12-30T00:03:59"/>
    <n v="3.9833333333333334"/>
  </r>
  <r>
    <x v="5"/>
    <x v="3"/>
    <x v="4"/>
    <n v="2"/>
    <d v="1899-12-30T00:03:34"/>
    <n v="3.5666666666666664"/>
  </r>
  <r>
    <x v="5"/>
    <x v="3"/>
    <x v="5"/>
    <n v="13"/>
    <d v="1899-12-30T00:18:50"/>
    <n v="18.833333333333332"/>
  </r>
  <r>
    <x v="5"/>
    <x v="4"/>
    <x v="0"/>
    <n v="54"/>
    <d v="1899-12-30T01:24:31"/>
    <n v="84.516666666666666"/>
  </r>
  <r>
    <x v="5"/>
    <x v="4"/>
    <x v="1"/>
    <n v="46"/>
    <d v="1899-12-30T01:07:17"/>
    <n v="67.283333333333331"/>
  </r>
  <r>
    <x v="5"/>
    <x v="4"/>
    <x v="2"/>
    <n v="10"/>
    <d v="1899-12-30T00:15:59"/>
    <n v="15.983333333333333"/>
  </r>
  <r>
    <x v="5"/>
    <x v="4"/>
    <x v="3"/>
    <n v="0"/>
    <d v="1899-12-30T00:00:00"/>
    <n v="0"/>
  </r>
  <r>
    <x v="5"/>
    <x v="4"/>
    <x v="4"/>
    <n v="10"/>
    <d v="1899-12-30T00:15:36"/>
    <n v="15.6"/>
  </r>
  <r>
    <x v="5"/>
    <x v="4"/>
    <x v="5"/>
    <n v="11"/>
    <d v="1899-12-30T00:14:48"/>
    <n v="14.8"/>
  </r>
  <r>
    <x v="5"/>
    <x v="5"/>
    <x v="0"/>
    <n v="13"/>
    <d v="1899-12-30T00:21:22"/>
    <n v="21.366666666666667"/>
  </r>
  <r>
    <x v="5"/>
    <x v="5"/>
    <x v="1"/>
    <n v="24"/>
    <d v="1899-12-30T00:43:30"/>
    <n v="43.5"/>
  </r>
  <r>
    <x v="5"/>
    <x v="5"/>
    <x v="2"/>
    <n v="19"/>
    <d v="1899-12-30T00:31:52"/>
    <n v="31.866666666666667"/>
  </r>
  <r>
    <x v="5"/>
    <x v="5"/>
    <x v="3"/>
    <n v="10"/>
    <d v="1899-12-30T00:07:38"/>
    <n v="7.6333333333333329"/>
  </r>
  <r>
    <x v="5"/>
    <x v="5"/>
    <x v="4"/>
    <n v="0"/>
    <d v="1899-12-30T00:00:00"/>
    <n v="0"/>
  </r>
  <r>
    <x v="5"/>
    <x v="5"/>
    <x v="5"/>
    <n v="11"/>
    <d v="1899-12-30T00:12:35"/>
    <n v="12.583333333333334"/>
  </r>
  <r>
    <x v="5"/>
    <x v="6"/>
    <x v="0"/>
    <n v="3"/>
    <d v="1899-12-30T00:04:07"/>
    <n v="4.1166666666666663"/>
  </r>
  <r>
    <x v="5"/>
    <x v="6"/>
    <x v="1"/>
    <n v="10"/>
    <d v="1899-12-30T00:11:32"/>
    <n v="11.533333333333333"/>
  </r>
  <r>
    <x v="5"/>
    <x v="6"/>
    <x v="2"/>
    <n v="6"/>
    <d v="1899-12-30T00:11:06"/>
    <n v="11.1"/>
  </r>
  <r>
    <x v="5"/>
    <x v="6"/>
    <x v="3"/>
    <n v="0"/>
    <d v="1899-12-30T00:00:00"/>
    <n v="0"/>
  </r>
  <r>
    <x v="5"/>
    <x v="6"/>
    <x v="4"/>
    <n v="3"/>
    <d v="1899-12-30T00:04:43"/>
    <n v="4.7166666666666668"/>
  </r>
  <r>
    <x v="5"/>
    <x v="6"/>
    <x v="5"/>
    <n v="3"/>
    <d v="1899-12-30T00:02:54"/>
    <n v="2.9"/>
  </r>
  <r>
    <x v="5"/>
    <x v="7"/>
    <x v="0"/>
    <n v="95"/>
    <d v="1899-12-30T02:28:41"/>
    <n v="148.68333333333334"/>
  </r>
  <r>
    <x v="5"/>
    <x v="7"/>
    <x v="1"/>
    <n v="105"/>
    <d v="1899-12-30T03:10:48"/>
    <n v="190.8"/>
  </r>
  <r>
    <x v="5"/>
    <x v="7"/>
    <x v="2"/>
    <n v="91"/>
    <d v="1899-12-30T02:48:35"/>
    <n v="168.58333333333334"/>
  </r>
  <r>
    <x v="5"/>
    <x v="7"/>
    <x v="3"/>
    <n v="14"/>
    <d v="1899-12-30T00:12:33"/>
    <n v="12.55"/>
  </r>
  <r>
    <x v="5"/>
    <x v="7"/>
    <x v="4"/>
    <n v="168"/>
    <d v="1899-12-30T04:01:27"/>
    <n v="241.45"/>
  </r>
  <r>
    <x v="5"/>
    <x v="7"/>
    <x v="5"/>
    <n v="26"/>
    <d v="1899-12-30T00:31:58"/>
    <n v="31.966666666666665"/>
  </r>
  <r>
    <x v="5"/>
    <x v="8"/>
    <x v="0"/>
    <n v="51"/>
    <d v="1899-12-30T01:14:22"/>
    <n v="74.36666666666666"/>
  </r>
  <r>
    <x v="5"/>
    <x v="8"/>
    <x v="1"/>
    <n v="44"/>
    <d v="1899-12-30T01:07:44"/>
    <n v="67.733333333333334"/>
  </r>
  <r>
    <x v="5"/>
    <x v="8"/>
    <x v="2"/>
    <n v="31"/>
    <d v="1899-12-30T00:50:18"/>
    <n v="50.3"/>
  </r>
  <r>
    <x v="5"/>
    <x v="8"/>
    <x v="3"/>
    <n v="11"/>
    <d v="1899-12-30T00:12:52"/>
    <n v="12.866666666666667"/>
  </r>
  <r>
    <x v="5"/>
    <x v="8"/>
    <x v="4"/>
    <n v="12"/>
    <d v="1899-12-30T00:11:47"/>
    <n v="11.783333333333333"/>
  </r>
  <r>
    <x v="5"/>
    <x v="8"/>
    <x v="5"/>
    <n v="20"/>
    <d v="1899-12-30T00:24:19"/>
    <n v="24.316666666666666"/>
  </r>
  <r>
    <x v="5"/>
    <x v="9"/>
    <x v="0"/>
    <n v="29"/>
    <d v="1899-12-30T00:43:47"/>
    <n v="43.783333333333331"/>
  </r>
  <r>
    <x v="5"/>
    <x v="9"/>
    <x v="1"/>
    <n v="25"/>
    <d v="1899-12-30T00:38:55"/>
    <n v="38.916666666666664"/>
  </r>
  <r>
    <x v="5"/>
    <x v="9"/>
    <x v="2"/>
    <n v="21"/>
    <d v="1899-12-30T00:45:22"/>
    <n v="45.366666666666667"/>
  </r>
  <r>
    <x v="5"/>
    <x v="9"/>
    <x v="3"/>
    <n v="4"/>
    <d v="1899-12-30T00:03:40"/>
    <n v="3.6666666666666665"/>
  </r>
  <r>
    <x v="5"/>
    <x v="9"/>
    <x v="4"/>
    <n v="5"/>
    <d v="1899-12-30T00:07:42"/>
    <n v="7.7"/>
  </r>
  <r>
    <x v="5"/>
    <x v="9"/>
    <x v="5"/>
    <n v="5"/>
    <d v="1899-12-30T00:11:08"/>
    <n v="11.133333333333333"/>
  </r>
  <r>
    <x v="5"/>
    <x v="10"/>
    <x v="0"/>
    <n v="23"/>
    <d v="1899-12-30T00:41:28"/>
    <n v="41.466666666666669"/>
  </r>
  <r>
    <x v="5"/>
    <x v="10"/>
    <x v="1"/>
    <n v="32"/>
    <d v="1899-12-30T00:51:53"/>
    <n v="51.883333333333333"/>
  </r>
  <r>
    <x v="5"/>
    <x v="10"/>
    <x v="2"/>
    <n v="13"/>
    <d v="1899-12-30T00:26:56"/>
    <n v="26.933333333333334"/>
  </r>
  <r>
    <x v="5"/>
    <x v="10"/>
    <x v="3"/>
    <n v="6"/>
    <d v="1899-12-30T00:04:11"/>
    <n v="4.1833333333333336"/>
  </r>
  <r>
    <x v="5"/>
    <x v="10"/>
    <x v="4"/>
    <n v="1"/>
    <d v="1899-12-30T00:03:12"/>
    <n v="3.2"/>
  </r>
  <r>
    <x v="5"/>
    <x v="10"/>
    <x v="5"/>
    <n v="10"/>
    <d v="1899-12-30T00:16:57"/>
    <n v="16.95"/>
  </r>
  <r>
    <x v="5"/>
    <x v="11"/>
    <x v="0"/>
    <n v="22"/>
    <d v="1899-12-30T00:37:37"/>
    <n v="37.616666666666667"/>
  </r>
  <r>
    <x v="5"/>
    <x v="11"/>
    <x v="1"/>
    <n v="25"/>
    <d v="1899-12-30T00:35:00"/>
    <n v="35"/>
  </r>
  <r>
    <x v="5"/>
    <x v="11"/>
    <x v="2"/>
    <n v="3"/>
    <d v="1899-12-30T00:05:23"/>
    <n v="5.3833333333333337"/>
  </r>
  <r>
    <x v="5"/>
    <x v="11"/>
    <x v="3"/>
    <n v="1"/>
    <d v="1899-12-30T00:00:31"/>
    <n v="0.51666666666666672"/>
  </r>
  <r>
    <x v="5"/>
    <x v="11"/>
    <x v="4"/>
    <n v="3"/>
    <d v="1899-12-30T00:02:55"/>
    <n v="2.9166666666666665"/>
  </r>
  <r>
    <x v="5"/>
    <x v="11"/>
    <x v="5"/>
    <n v="4"/>
    <d v="1899-12-30T00:05:53"/>
    <n v="5.8833333333333329"/>
  </r>
  <r>
    <x v="5"/>
    <x v="12"/>
    <x v="0"/>
    <n v="168"/>
    <d v="1899-12-30T04:08:33"/>
    <n v="248.55"/>
  </r>
  <r>
    <x v="5"/>
    <x v="12"/>
    <x v="1"/>
    <n v="134"/>
    <d v="1899-12-30T03:53:18"/>
    <n v="233.3"/>
  </r>
  <r>
    <x v="5"/>
    <x v="12"/>
    <x v="2"/>
    <n v="72"/>
    <d v="1899-12-30T02:13:14"/>
    <n v="133.23333333333332"/>
  </r>
  <r>
    <x v="5"/>
    <x v="12"/>
    <x v="3"/>
    <n v="21"/>
    <d v="1899-12-30T00:21:14"/>
    <n v="21.233333333333334"/>
  </r>
  <r>
    <x v="5"/>
    <x v="12"/>
    <x v="4"/>
    <n v="26"/>
    <d v="1899-12-30T00:25:25"/>
    <n v="25.416666666666668"/>
  </r>
  <r>
    <x v="5"/>
    <x v="12"/>
    <x v="5"/>
    <n v="67"/>
    <d v="1899-12-30T01:24:40"/>
    <n v="84.666666666666671"/>
  </r>
  <r>
    <x v="5"/>
    <x v="13"/>
    <x v="0"/>
    <n v="53"/>
    <d v="1899-12-30T01:08:45"/>
    <n v="68.75"/>
  </r>
  <r>
    <x v="5"/>
    <x v="13"/>
    <x v="1"/>
    <n v="49"/>
    <d v="1899-12-30T01:01:41"/>
    <n v="61.68333333333333"/>
  </r>
  <r>
    <x v="5"/>
    <x v="13"/>
    <x v="2"/>
    <n v="34"/>
    <d v="1899-12-30T00:47:12"/>
    <n v="47.2"/>
  </r>
  <r>
    <x v="5"/>
    <x v="13"/>
    <x v="3"/>
    <n v="12"/>
    <d v="1899-12-30T00:12:43"/>
    <n v="12.716666666666667"/>
  </r>
  <r>
    <x v="5"/>
    <x v="13"/>
    <x v="4"/>
    <n v="2"/>
    <d v="1899-12-30T00:01:04"/>
    <n v="1.0666666666666667"/>
  </r>
  <r>
    <x v="5"/>
    <x v="13"/>
    <x v="5"/>
    <n v="29"/>
    <d v="1899-12-30T00:24:56"/>
    <n v="24.933333333333334"/>
  </r>
  <r>
    <x v="6"/>
    <x v="0"/>
    <x v="0"/>
    <n v="43"/>
    <d v="1899-12-30T00:58:58"/>
    <n v="58.966666666666669"/>
  </r>
  <r>
    <x v="6"/>
    <x v="0"/>
    <x v="1"/>
    <n v="46"/>
    <d v="1899-12-30T00:49:58"/>
    <n v="49.966666666666669"/>
  </r>
  <r>
    <x v="6"/>
    <x v="0"/>
    <x v="2"/>
    <n v="15"/>
    <d v="1899-12-30T00:19:21"/>
    <n v="19.350000000000001"/>
  </r>
  <r>
    <x v="6"/>
    <x v="0"/>
    <x v="3"/>
    <n v="9"/>
    <d v="1899-12-30T00:07:32"/>
    <n v="7.5333333333333332"/>
  </r>
  <r>
    <x v="6"/>
    <x v="0"/>
    <x v="4"/>
    <n v="12"/>
    <d v="1899-12-30T00:10:59"/>
    <n v="10.983333333333333"/>
  </r>
  <r>
    <x v="6"/>
    <x v="0"/>
    <x v="5"/>
    <n v="13"/>
    <d v="1899-12-30T00:10:48"/>
    <n v="10.8"/>
  </r>
  <r>
    <x v="6"/>
    <x v="1"/>
    <x v="0"/>
    <n v="47"/>
    <d v="1899-12-30T01:19:17"/>
    <n v="79.283333333333331"/>
  </r>
  <r>
    <x v="6"/>
    <x v="1"/>
    <x v="1"/>
    <n v="61"/>
    <d v="1899-12-30T01:48:20"/>
    <n v="108.33333333333333"/>
  </r>
  <r>
    <x v="6"/>
    <x v="1"/>
    <x v="2"/>
    <n v="25"/>
    <d v="1899-12-30T00:48:10"/>
    <n v="48.166666666666664"/>
  </r>
  <r>
    <x v="6"/>
    <x v="1"/>
    <x v="3"/>
    <n v="2"/>
    <d v="1899-12-30T00:01:54"/>
    <n v="1.9"/>
  </r>
  <r>
    <x v="6"/>
    <x v="1"/>
    <x v="4"/>
    <n v="3"/>
    <d v="1899-12-30T00:05:01"/>
    <n v="5.0166666666666666"/>
  </r>
  <r>
    <x v="6"/>
    <x v="1"/>
    <x v="5"/>
    <n v="19"/>
    <d v="1899-12-30T00:23:29"/>
    <n v="23.483333333333334"/>
  </r>
  <r>
    <x v="6"/>
    <x v="2"/>
    <x v="0"/>
    <n v="43"/>
    <d v="1899-12-30T01:10:33"/>
    <n v="70.55"/>
  </r>
  <r>
    <x v="6"/>
    <x v="2"/>
    <x v="1"/>
    <n v="34"/>
    <d v="1899-12-30T00:54:32"/>
    <n v="54.533333333333331"/>
  </r>
  <r>
    <x v="6"/>
    <x v="2"/>
    <x v="2"/>
    <n v="25"/>
    <d v="1899-12-30T00:50:14"/>
    <n v="50.233333333333334"/>
  </r>
  <r>
    <x v="6"/>
    <x v="2"/>
    <x v="3"/>
    <n v="11"/>
    <d v="1899-12-30T00:09:47"/>
    <n v="9.7833333333333332"/>
  </r>
  <r>
    <x v="6"/>
    <x v="2"/>
    <x v="4"/>
    <n v="12"/>
    <d v="1899-12-30T00:16:18"/>
    <n v="16.3"/>
  </r>
  <r>
    <x v="6"/>
    <x v="2"/>
    <x v="5"/>
    <n v="13"/>
    <d v="1899-12-30T00:16:59"/>
    <n v="16.983333333333334"/>
  </r>
  <r>
    <x v="6"/>
    <x v="3"/>
    <x v="0"/>
    <n v="9"/>
    <d v="1899-12-30T00:13:46"/>
    <n v="13.766666666666667"/>
  </r>
  <r>
    <x v="6"/>
    <x v="3"/>
    <x v="1"/>
    <n v="11"/>
    <d v="1899-12-30T00:15:14"/>
    <n v="15.233333333333333"/>
  </r>
  <r>
    <x v="6"/>
    <x v="3"/>
    <x v="2"/>
    <n v="8"/>
    <d v="1899-12-30T00:20:32"/>
    <n v="20.533333333333335"/>
  </r>
  <r>
    <x v="6"/>
    <x v="3"/>
    <x v="3"/>
    <n v="2"/>
    <d v="1899-12-30T00:01:44"/>
    <n v="1.7333333333333334"/>
  </r>
  <r>
    <x v="6"/>
    <x v="3"/>
    <x v="4"/>
    <n v="1"/>
    <d v="1899-12-30T00:02:25"/>
    <n v="2.4166666666666665"/>
  </r>
  <r>
    <x v="6"/>
    <x v="3"/>
    <x v="5"/>
    <n v="3"/>
    <d v="1899-12-30T00:05:19"/>
    <n v="5.3166666666666664"/>
  </r>
  <r>
    <x v="6"/>
    <x v="4"/>
    <x v="0"/>
    <n v="42"/>
    <d v="1899-12-30T01:08:01"/>
    <n v="68.016666666666666"/>
  </r>
  <r>
    <x v="6"/>
    <x v="4"/>
    <x v="1"/>
    <n v="48"/>
    <d v="1899-12-30T01:09:26"/>
    <n v="69.433333333333337"/>
  </r>
  <r>
    <x v="6"/>
    <x v="4"/>
    <x v="2"/>
    <n v="18"/>
    <d v="1899-12-30T00:25:30"/>
    <n v="25.5"/>
  </r>
  <r>
    <x v="6"/>
    <x v="4"/>
    <x v="3"/>
    <n v="3"/>
    <d v="1899-12-30T00:04:43"/>
    <n v="4.7166666666666668"/>
  </r>
  <r>
    <x v="6"/>
    <x v="4"/>
    <x v="4"/>
    <n v="9"/>
    <d v="1899-12-30T00:09:31"/>
    <n v="9.5166666666666675"/>
  </r>
  <r>
    <x v="6"/>
    <x v="4"/>
    <x v="5"/>
    <n v="18"/>
    <d v="1899-12-30T00:17:34"/>
    <n v="17.566666666666666"/>
  </r>
  <r>
    <x v="6"/>
    <x v="5"/>
    <x v="0"/>
    <n v="14"/>
    <d v="1899-12-30T00:22:57"/>
    <n v="22.95"/>
  </r>
  <r>
    <x v="6"/>
    <x v="5"/>
    <x v="1"/>
    <n v="11"/>
    <d v="1899-12-30T00:15:25"/>
    <n v="15.416666666666666"/>
  </r>
  <r>
    <x v="6"/>
    <x v="5"/>
    <x v="2"/>
    <n v="8"/>
    <d v="1899-12-30T00:11:03"/>
    <n v="11.05"/>
  </r>
  <r>
    <x v="6"/>
    <x v="5"/>
    <x v="3"/>
    <n v="4"/>
    <d v="1899-12-30T00:02:24"/>
    <n v="2.4"/>
  </r>
  <r>
    <x v="6"/>
    <x v="5"/>
    <x v="4"/>
    <n v="1"/>
    <d v="1899-12-30T00:01:39"/>
    <n v="1.65"/>
  </r>
  <r>
    <x v="6"/>
    <x v="5"/>
    <x v="5"/>
    <n v="8"/>
    <d v="1899-12-30T00:09:18"/>
    <n v="9.3000000000000007"/>
  </r>
  <r>
    <x v="6"/>
    <x v="6"/>
    <x v="0"/>
    <n v="8"/>
    <d v="1899-12-30T00:08:54"/>
    <n v="8.9"/>
  </r>
  <r>
    <x v="6"/>
    <x v="6"/>
    <x v="1"/>
    <n v="11"/>
    <d v="1899-12-30T00:14:25"/>
    <n v="14.416666666666666"/>
  </r>
  <r>
    <x v="6"/>
    <x v="6"/>
    <x v="2"/>
    <n v="9"/>
    <d v="1899-12-30T00:16:28"/>
    <n v="16.466666666666665"/>
  </r>
  <r>
    <x v="6"/>
    <x v="6"/>
    <x v="3"/>
    <n v="1"/>
    <d v="1899-12-30T00:00:31"/>
    <n v="0.51666666666666672"/>
  </r>
  <r>
    <x v="6"/>
    <x v="6"/>
    <x v="4"/>
    <n v="4"/>
    <d v="1899-12-30T00:03:28"/>
    <n v="3.4666666666666668"/>
  </r>
  <r>
    <x v="6"/>
    <x v="6"/>
    <x v="5"/>
    <n v="4"/>
    <d v="1899-12-30T00:02:25"/>
    <n v="2.4166666666666665"/>
  </r>
  <r>
    <x v="6"/>
    <x v="7"/>
    <x v="0"/>
    <n v="185"/>
    <d v="1899-12-30T05:12:34"/>
    <n v="312.56666666666666"/>
  </r>
  <r>
    <x v="6"/>
    <x v="7"/>
    <x v="1"/>
    <n v="208"/>
    <d v="1899-12-30T05:46:31"/>
    <n v="346.51666666666665"/>
  </r>
  <r>
    <x v="6"/>
    <x v="7"/>
    <x v="2"/>
    <n v="134"/>
    <d v="1899-12-30T03:55:19"/>
    <n v="235.31666666666666"/>
  </r>
  <r>
    <x v="6"/>
    <x v="7"/>
    <x v="3"/>
    <n v="52"/>
    <d v="1899-12-30T00:52:12"/>
    <n v="52.2"/>
  </r>
  <r>
    <x v="6"/>
    <x v="7"/>
    <x v="4"/>
    <n v="148"/>
    <d v="1899-12-30T03:30:27"/>
    <n v="210.45"/>
  </r>
  <r>
    <x v="6"/>
    <x v="7"/>
    <x v="5"/>
    <n v="72"/>
    <d v="1899-12-30T01:29:38"/>
    <n v="89.63333333333334"/>
  </r>
  <r>
    <x v="6"/>
    <x v="8"/>
    <x v="0"/>
    <n v="22"/>
    <d v="1899-12-30T00:37:43"/>
    <n v="37.716666666666669"/>
  </r>
  <r>
    <x v="6"/>
    <x v="8"/>
    <x v="1"/>
    <n v="23"/>
    <d v="1899-12-30T00:33:39"/>
    <n v="33.65"/>
  </r>
  <r>
    <x v="6"/>
    <x v="8"/>
    <x v="2"/>
    <n v="23"/>
    <d v="1899-12-30T00:34:17"/>
    <n v="34.283333333333331"/>
  </r>
  <r>
    <x v="6"/>
    <x v="8"/>
    <x v="3"/>
    <n v="14"/>
    <d v="1899-12-30T00:11:05"/>
    <n v="11.083333333333334"/>
  </r>
  <r>
    <x v="6"/>
    <x v="8"/>
    <x v="4"/>
    <n v="17"/>
    <d v="1899-12-30T00:17:20"/>
    <n v="17.333333333333332"/>
  </r>
  <r>
    <x v="6"/>
    <x v="8"/>
    <x v="5"/>
    <n v="12"/>
    <d v="1899-12-30T00:05:38"/>
    <n v="5.6333333333333329"/>
  </r>
  <r>
    <x v="6"/>
    <x v="9"/>
    <x v="0"/>
    <n v="29"/>
    <d v="1899-12-30T00:45:29"/>
    <n v="45.483333333333334"/>
  </r>
  <r>
    <x v="6"/>
    <x v="9"/>
    <x v="1"/>
    <n v="31"/>
    <d v="1899-12-30T00:44:55"/>
    <n v="44.916666666666664"/>
  </r>
  <r>
    <x v="6"/>
    <x v="9"/>
    <x v="2"/>
    <n v="21"/>
    <d v="1899-12-30T00:33:41"/>
    <n v="33.68333333333333"/>
  </r>
  <r>
    <x v="6"/>
    <x v="9"/>
    <x v="3"/>
    <n v="9"/>
    <d v="1899-12-30T00:10:30"/>
    <n v="10.5"/>
  </r>
  <r>
    <x v="6"/>
    <x v="9"/>
    <x v="4"/>
    <n v="8"/>
    <d v="1899-12-30T00:11:08"/>
    <n v="11.133333333333333"/>
  </r>
  <r>
    <x v="6"/>
    <x v="9"/>
    <x v="5"/>
    <n v="11"/>
    <d v="1899-12-30T00:09:44"/>
    <n v="9.7333333333333325"/>
  </r>
  <r>
    <x v="6"/>
    <x v="10"/>
    <x v="0"/>
    <n v="21"/>
    <d v="1899-12-30T00:38:41"/>
    <n v="38.68333333333333"/>
  </r>
  <r>
    <x v="6"/>
    <x v="10"/>
    <x v="1"/>
    <n v="9"/>
    <d v="1899-12-30T00:12:31"/>
    <n v="12.516666666666667"/>
  </r>
  <r>
    <x v="6"/>
    <x v="10"/>
    <x v="2"/>
    <n v="4"/>
    <d v="1899-12-30T00:07:54"/>
    <n v="7.9"/>
  </r>
  <r>
    <x v="6"/>
    <x v="10"/>
    <x v="3"/>
    <n v="1"/>
    <d v="1899-12-30T00:01:31"/>
    <n v="1.5166666666666666"/>
  </r>
  <r>
    <x v="6"/>
    <x v="10"/>
    <x v="4"/>
    <n v="3"/>
    <d v="1899-12-30T00:03:23"/>
    <n v="3.3833333333333333"/>
  </r>
  <r>
    <x v="6"/>
    <x v="10"/>
    <x v="5"/>
    <n v="3"/>
    <d v="1899-12-30T00:03:15"/>
    <n v="3.25"/>
  </r>
  <r>
    <x v="6"/>
    <x v="11"/>
    <x v="0"/>
    <n v="16"/>
    <d v="1899-12-30T00:27:50"/>
    <n v="27.833333333333332"/>
  </r>
  <r>
    <x v="6"/>
    <x v="11"/>
    <x v="1"/>
    <n v="24"/>
    <d v="1899-12-30T00:36:08"/>
    <n v="36.133333333333333"/>
  </r>
  <r>
    <x v="6"/>
    <x v="11"/>
    <x v="2"/>
    <n v="7"/>
    <d v="1899-12-30T00:13:19"/>
    <n v="13.316666666666666"/>
  </r>
  <r>
    <x v="6"/>
    <x v="11"/>
    <x v="3"/>
    <n v="9"/>
    <d v="1899-12-30T00:07:18"/>
    <n v="7.3"/>
  </r>
  <r>
    <x v="6"/>
    <x v="11"/>
    <x v="4"/>
    <n v="9"/>
    <d v="1899-12-30T00:09:25"/>
    <n v="9.4166666666666661"/>
  </r>
  <r>
    <x v="6"/>
    <x v="11"/>
    <x v="5"/>
    <n v="8"/>
    <d v="1899-12-30T00:09:50"/>
    <n v="9.8333333333333339"/>
  </r>
  <r>
    <x v="6"/>
    <x v="12"/>
    <x v="0"/>
    <n v="89"/>
    <d v="1899-12-30T02:29:50"/>
    <n v="149.83333333333334"/>
  </r>
  <r>
    <x v="6"/>
    <x v="12"/>
    <x v="1"/>
    <n v="84"/>
    <d v="1899-12-30T02:08:24"/>
    <n v="128.4"/>
  </r>
  <r>
    <x v="6"/>
    <x v="12"/>
    <x v="2"/>
    <n v="61"/>
    <d v="1899-12-30T01:43:19"/>
    <n v="103.31666666666666"/>
  </r>
  <r>
    <x v="6"/>
    <x v="12"/>
    <x v="3"/>
    <n v="28"/>
    <d v="1899-12-30T00:26:36"/>
    <n v="26.6"/>
  </r>
  <r>
    <x v="6"/>
    <x v="12"/>
    <x v="4"/>
    <n v="27"/>
    <d v="1899-12-30T00:34:50"/>
    <n v="34.833333333333336"/>
  </r>
  <r>
    <x v="6"/>
    <x v="12"/>
    <x v="5"/>
    <n v="42"/>
    <d v="1899-12-30T00:47:08"/>
    <n v="47.133333333333333"/>
  </r>
  <r>
    <x v="6"/>
    <x v="13"/>
    <x v="0"/>
    <n v="81"/>
    <d v="1899-12-30T02:02:14"/>
    <n v="122.23333333333333"/>
  </r>
  <r>
    <x v="6"/>
    <x v="13"/>
    <x v="1"/>
    <n v="94"/>
    <d v="1899-12-30T02:17:39"/>
    <n v="137.65"/>
  </r>
  <r>
    <x v="6"/>
    <x v="13"/>
    <x v="2"/>
    <n v="55"/>
    <d v="1899-12-30T01:17:40"/>
    <n v="77.666666666666671"/>
  </r>
  <r>
    <x v="6"/>
    <x v="13"/>
    <x v="3"/>
    <n v="31"/>
    <d v="1899-12-30T00:25:59"/>
    <n v="25.983333333333334"/>
  </r>
  <r>
    <x v="6"/>
    <x v="13"/>
    <x v="4"/>
    <n v="4"/>
    <d v="1899-12-30T00:05:16"/>
    <n v="5.2666666666666666"/>
  </r>
  <r>
    <x v="6"/>
    <x v="13"/>
    <x v="5"/>
    <n v="55"/>
    <d v="1899-12-30T00:49:14"/>
    <n v="49.233333333333334"/>
  </r>
  <r>
    <x v="7"/>
    <x v="0"/>
    <x v="0"/>
    <n v="142"/>
    <d v="1899-12-30T03:58:47"/>
    <n v="238.78333333333333"/>
  </r>
  <r>
    <x v="7"/>
    <x v="0"/>
    <x v="1"/>
    <n v="169"/>
    <d v="1899-12-30T04:14:17"/>
    <n v="254.28333333333333"/>
  </r>
  <r>
    <x v="7"/>
    <x v="0"/>
    <x v="2"/>
    <n v="96"/>
    <d v="1899-12-30T02:32:24"/>
    <n v="152.4"/>
  </r>
  <r>
    <x v="7"/>
    <x v="0"/>
    <x v="3"/>
    <n v="35"/>
    <d v="1899-12-30T00:36:56"/>
    <n v="36.93333333333333"/>
  </r>
  <r>
    <x v="7"/>
    <x v="0"/>
    <x v="4"/>
    <n v="48"/>
    <d v="1899-12-30T00:49:42"/>
    <n v="49.7"/>
  </r>
  <r>
    <x v="7"/>
    <x v="0"/>
    <x v="5"/>
    <n v="58"/>
    <d v="1899-12-30T01:19:18"/>
    <n v="79.3"/>
  </r>
  <r>
    <x v="7"/>
    <x v="1"/>
    <x v="0"/>
    <n v="48"/>
    <d v="1899-12-30T01:26:25"/>
    <n v="86.416666666666671"/>
  </r>
  <r>
    <x v="7"/>
    <x v="1"/>
    <x v="1"/>
    <n v="72"/>
    <d v="1899-12-30T02:12:10"/>
    <n v="132.16666666666666"/>
  </r>
  <r>
    <x v="7"/>
    <x v="1"/>
    <x v="2"/>
    <n v="31"/>
    <d v="1899-12-30T00:57:48"/>
    <n v="57.8"/>
  </r>
  <r>
    <x v="7"/>
    <x v="1"/>
    <x v="3"/>
    <n v="6"/>
    <d v="1899-12-30T00:05:36"/>
    <n v="5.6"/>
  </r>
  <r>
    <x v="7"/>
    <x v="1"/>
    <x v="4"/>
    <n v="7"/>
    <d v="1899-12-30T00:26:06"/>
    <n v="26.1"/>
  </r>
  <r>
    <x v="7"/>
    <x v="1"/>
    <x v="5"/>
    <n v="23"/>
    <d v="1899-12-30T00:26:52"/>
    <n v="26.866666666666667"/>
  </r>
  <r>
    <x v="7"/>
    <x v="2"/>
    <x v="0"/>
    <n v="58"/>
    <d v="1899-12-30T01:39:22"/>
    <n v="99.36666666666666"/>
  </r>
  <r>
    <x v="7"/>
    <x v="2"/>
    <x v="1"/>
    <n v="58"/>
    <d v="1899-12-30T01:44:39"/>
    <n v="104.65"/>
  </r>
  <r>
    <x v="7"/>
    <x v="2"/>
    <x v="2"/>
    <n v="35"/>
    <d v="1899-12-30T01:06:40"/>
    <n v="66.666666666666671"/>
  </r>
  <r>
    <x v="7"/>
    <x v="2"/>
    <x v="3"/>
    <n v="9"/>
    <d v="1899-12-30T00:09:38"/>
    <n v="9.6333333333333329"/>
  </r>
  <r>
    <x v="7"/>
    <x v="2"/>
    <x v="4"/>
    <n v="5"/>
    <d v="1899-12-30T00:06:37"/>
    <n v="6.6166666666666671"/>
  </r>
  <r>
    <x v="7"/>
    <x v="2"/>
    <x v="5"/>
    <n v="19"/>
    <d v="1899-12-30T00:21:31"/>
    <n v="21.516666666666666"/>
  </r>
  <r>
    <x v="7"/>
    <x v="3"/>
    <x v="0"/>
    <n v="25"/>
    <d v="1899-12-30T00:47:01"/>
    <n v="47.016666666666666"/>
  </r>
  <r>
    <x v="7"/>
    <x v="3"/>
    <x v="1"/>
    <n v="19"/>
    <d v="1899-12-30T00:33:10"/>
    <n v="33.166666666666664"/>
  </r>
  <r>
    <x v="7"/>
    <x v="3"/>
    <x v="2"/>
    <n v="12"/>
    <d v="1899-12-30T00:21:46"/>
    <n v="21.766666666666666"/>
  </r>
  <r>
    <x v="7"/>
    <x v="3"/>
    <x v="3"/>
    <n v="3"/>
    <d v="1899-12-30T00:03:46"/>
    <n v="3.7666666666666666"/>
  </r>
  <r>
    <x v="7"/>
    <x v="3"/>
    <x v="4"/>
    <n v="2"/>
    <d v="1899-12-30T00:03:24"/>
    <n v="3.4"/>
  </r>
  <r>
    <x v="7"/>
    <x v="3"/>
    <x v="5"/>
    <n v="15"/>
    <d v="1899-12-30T00:21:49"/>
    <n v="21.816666666666666"/>
  </r>
  <r>
    <x v="7"/>
    <x v="4"/>
    <x v="0"/>
    <n v="66"/>
    <d v="1899-12-30T01:52:07"/>
    <n v="112.11666666666666"/>
  </r>
  <r>
    <x v="7"/>
    <x v="4"/>
    <x v="1"/>
    <n v="53"/>
    <d v="1899-12-30T01:33:36"/>
    <n v="93.6"/>
  </r>
  <r>
    <x v="7"/>
    <x v="4"/>
    <x v="2"/>
    <n v="27"/>
    <d v="1899-12-30T00:41:16"/>
    <n v="41.266666666666666"/>
  </r>
  <r>
    <x v="7"/>
    <x v="4"/>
    <x v="3"/>
    <n v="6"/>
    <d v="1899-12-30T00:06:38"/>
    <n v="6.6333333333333329"/>
  </r>
  <r>
    <x v="7"/>
    <x v="4"/>
    <x v="4"/>
    <n v="13"/>
    <d v="1899-12-30T00:21:02"/>
    <n v="21.033333333333335"/>
  </r>
  <r>
    <x v="7"/>
    <x v="4"/>
    <x v="5"/>
    <n v="16"/>
    <d v="1899-12-30T00:15:19"/>
    <n v="15.316666666666666"/>
  </r>
  <r>
    <x v="7"/>
    <x v="5"/>
    <x v="0"/>
    <n v="34"/>
    <d v="1899-12-30T00:57:24"/>
    <n v="57.4"/>
  </r>
  <r>
    <x v="7"/>
    <x v="5"/>
    <x v="1"/>
    <n v="34"/>
    <d v="1899-12-30T00:52:53"/>
    <n v="52.883333333333333"/>
  </r>
  <r>
    <x v="7"/>
    <x v="5"/>
    <x v="2"/>
    <n v="17"/>
    <d v="1899-12-30T00:28:56"/>
    <n v="28.933333333333334"/>
  </r>
  <r>
    <x v="7"/>
    <x v="5"/>
    <x v="3"/>
    <n v="10"/>
    <d v="1899-12-30T00:11:23"/>
    <n v="11.383333333333333"/>
  </r>
  <r>
    <x v="7"/>
    <x v="5"/>
    <x v="4"/>
    <n v="9"/>
    <d v="1899-12-30T00:10:59"/>
    <n v="10.983333333333333"/>
  </r>
  <r>
    <x v="7"/>
    <x v="5"/>
    <x v="5"/>
    <n v="21"/>
    <d v="1899-12-30T00:23:22"/>
    <n v="23.366666666666667"/>
  </r>
  <r>
    <x v="7"/>
    <x v="6"/>
    <x v="0"/>
    <n v="14"/>
    <d v="1899-12-30T00:21:52"/>
    <n v="21.866666666666667"/>
  </r>
  <r>
    <x v="7"/>
    <x v="6"/>
    <x v="1"/>
    <n v="15"/>
    <d v="1899-12-30T00:21:00"/>
    <n v="21"/>
  </r>
  <r>
    <x v="7"/>
    <x v="6"/>
    <x v="2"/>
    <n v="17"/>
    <d v="1899-12-30T00:38:26"/>
    <n v="38.43333333333333"/>
  </r>
  <r>
    <x v="7"/>
    <x v="6"/>
    <x v="3"/>
    <n v="2"/>
    <d v="1899-12-30T00:01:42"/>
    <n v="1.7"/>
  </r>
  <r>
    <x v="7"/>
    <x v="6"/>
    <x v="4"/>
    <n v="12"/>
    <d v="1899-12-30T00:12:23"/>
    <n v="12.383333333333333"/>
  </r>
  <r>
    <x v="7"/>
    <x v="6"/>
    <x v="5"/>
    <n v="11"/>
    <d v="1899-12-30T00:11:07"/>
    <n v="11.116666666666667"/>
  </r>
  <r>
    <x v="7"/>
    <x v="7"/>
    <x v="0"/>
    <n v="67"/>
    <d v="1899-12-30T01:38:21"/>
    <n v="98.35"/>
  </r>
  <r>
    <x v="7"/>
    <x v="7"/>
    <x v="1"/>
    <n v="81"/>
    <d v="1899-12-30T01:59:52"/>
    <n v="119.86666666666666"/>
  </r>
  <r>
    <x v="7"/>
    <x v="7"/>
    <x v="2"/>
    <n v="53"/>
    <d v="1899-12-30T01:26:17"/>
    <n v="86.283333333333331"/>
  </r>
  <r>
    <x v="7"/>
    <x v="7"/>
    <x v="3"/>
    <n v="38"/>
    <d v="1899-12-30T00:38:34"/>
    <n v="38.56666666666667"/>
  </r>
  <r>
    <x v="7"/>
    <x v="7"/>
    <x v="4"/>
    <n v="176"/>
    <d v="1899-12-30T04:09:21"/>
    <n v="249.35"/>
  </r>
  <r>
    <x v="7"/>
    <x v="7"/>
    <x v="5"/>
    <n v="33"/>
    <d v="1899-12-30T00:23:43"/>
    <n v="23.716666666666665"/>
  </r>
  <r>
    <x v="7"/>
    <x v="8"/>
    <x v="0"/>
    <n v="15"/>
    <d v="1899-12-30T00:24:32"/>
    <n v="24.533333333333335"/>
  </r>
  <r>
    <x v="7"/>
    <x v="8"/>
    <x v="1"/>
    <n v="20"/>
    <d v="1899-12-30T00:28:46"/>
    <n v="28.766666666666666"/>
  </r>
  <r>
    <x v="7"/>
    <x v="8"/>
    <x v="2"/>
    <n v="19"/>
    <d v="1899-12-30T00:24:31"/>
    <n v="24.516666666666666"/>
  </r>
  <r>
    <x v="7"/>
    <x v="8"/>
    <x v="3"/>
    <n v="4"/>
    <d v="1899-12-30T00:05:33"/>
    <n v="5.55"/>
  </r>
  <r>
    <x v="7"/>
    <x v="8"/>
    <x v="4"/>
    <n v="7"/>
    <d v="1899-12-30T00:08:34"/>
    <n v="8.5666666666666664"/>
  </r>
  <r>
    <x v="7"/>
    <x v="8"/>
    <x v="5"/>
    <n v="4"/>
    <d v="1899-12-30T00:03:19"/>
    <n v="3.3166666666666664"/>
  </r>
  <r>
    <x v="7"/>
    <x v="9"/>
    <x v="0"/>
    <n v="16"/>
    <d v="1899-12-30T00:29:58"/>
    <n v="29.966666666666665"/>
  </r>
  <r>
    <x v="7"/>
    <x v="9"/>
    <x v="1"/>
    <n v="19"/>
    <d v="1899-12-30T00:29:33"/>
    <n v="29.55"/>
  </r>
  <r>
    <x v="7"/>
    <x v="9"/>
    <x v="2"/>
    <n v="21"/>
    <d v="1899-12-30T00:38:49"/>
    <n v="38.81666666666667"/>
  </r>
  <r>
    <x v="7"/>
    <x v="9"/>
    <x v="3"/>
    <n v="8"/>
    <d v="1899-12-30T00:08:07"/>
    <n v="8.1166666666666671"/>
  </r>
  <r>
    <x v="7"/>
    <x v="9"/>
    <x v="4"/>
    <n v="4"/>
    <d v="1899-12-30T00:05:56"/>
    <n v="5.9333333333333336"/>
  </r>
  <r>
    <x v="7"/>
    <x v="9"/>
    <x v="5"/>
    <n v="7"/>
    <d v="1899-12-30T00:05:21"/>
    <n v="5.35"/>
  </r>
  <r>
    <x v="7"/>
    <x v="10"/>
    <x v="0"/>
    <n v="32"/>
    <d v="1899-12-30T00:57:55"/>
    <n v="57.916666666666664"/>
  </r>
  <r>
    <x v="7"/>
    <x v="10"/>
    <x v="1"/>
    <n v="32"/>
    <d v="1899-12-30T00:56:08"/>
    <n v="56.133333333333333"/>
  </r>
  <r>
    <x v="7"/>
    <x v="10"/>
    <x v="2"/>
    <n v="12"/>
    <d v="1899-12-30T00:23:20"/>
    <n v="23.333333333333332"/>
  </r>
  <r>
    <x v="7"/>
    <x v="10"/>
    <x v="3"/>
    <n v="4"/>
    <d v="1899-12-30T00:04:08"/>
    <n v="4.1333333333333337"/>
  </r>
  <r>
    <x v="7"/>
    <x v="10"/>
    <x v="4"/>
    <n v="8"/>
    <d v="1899-12-30T00:08:52"/>
    <n v="8.8666666666666671"/>
  </r>
  <r>
    <x v="7"/>
    <x v="10"/>
    <x v="5"/>
    <n v="13"/>
    <d v="1899-12-30T00:12:01"/>
    <n v="12.016666666666667"/>
  </r>
  <r>
    <x v="7"/>
    <x v="11"/>
    <x v="0"/>
    <n v="26"/>
    <d v="1899-12-30T00:40:06"/>
    <n v="40.1"/>
  </r>
  <r>
    <x v="7"/>
    <x v="11"/>
    <x v="1"/>
    <n v="20"/>
    <d v="1899-12-30T00:32:05"/>
    <n v="32.083333333333336"/>
  </r>
  <r>
    <x v="7"/>
    <x v="11"/>
    <x v="2"/>
    <n v="15"/>
    <d v="1899-12-30T00:17:28"/>
    <n v="17.466666666666665"/>
  </r>
  <r>
    <x v="7"/>
    <x v="11"/>
    <x v="3"/>
    <n v="7"/>
    <d v="1899-12-30T00:07:59"/>
    <n v="7.9833333333333334"/>
  </r>
  <r>
    <x v="7"/>
    <x v="11"/>
    <x v="4"/>
    <n v="9"/>
    <d v="1899-12-30T00:13:14"/>
    <n v="13.233333333333333"/>
  </r>
  <r>
    <x v="7"/>
    <x v="11"/>
    <x v="5"/>
    <n v="14"/>
    <d v="1899-12-30T00:11:29"/>
    <n v="11.483333333333333"/>
  </r>
  <r>
    <x v="7"/>
    <x v="12"/>
    <x v="0"/>
    <n v="159"/>
    <d v="1899-12-30T04:34:33"/>
    <n v="274.55"/>
  </r>
  <r>
    <x v="7"/>
    <x v="12"/>
    <x v="1"/>
    <n v="139"/>
    <d v="1899-12-30T03:56:32"/>
    <n v="236.53333333333333"/>
  </r>
  <r>
    <x v="7"/>
    <x v="12"/>
    <x v="2"/>
    <n v="116"/>
    <d v="1899-12-30T03:19:10"/>
    <n v="199.16666666666666"/>
  </r>
  <r>
    <x v="7"/>
    <x v="12"/>
    <x v="3"/>
    <n v="39"/>
    <d v="1899-12-30T00:35:13"/>
    <n v="35.216666666666669"/>
  </r>
  <r>
    <x v="7"/>
    <x v="12"/>
    <x v="4"/>
    <n v="38"/>
    <d v="1899-12-30T01:09:04"/>
    <n v="69.066666666666663"/>
  </r>
  <r>
    <x v="7"/>
    <x v="12"/>
    <x v="5"/>
    <n v="54"/>
    <d v="1899-12-30T00:56:10"/>
    <n v="56.166666666666664"/>
  </r>
  <r>
    <x v="7"/>
    <x v="13"/>
    <x v="0"/>
    <n v="58"/>
    <d v="1899-12-30T01:17:11"/>
    <n v="77.183333333333337"/>
  </r>
  <r>
    <x v="7"/>
    <x v="13"/>
    <x v="1"/>
    <n v="69"/>
    <d v="1899-12-30T01:26:37"/>
    <n v="86.61666666666666"/>
  </r>
  <r>
    <x v="7"/>
    <x v="13"/>
    <x v="2"/>
    <n v="38"/>
    <d v="1899-12-30T00:49:15"/>
    <n v="49.25"/>
  </r>
  <r>
    <x v="7"/>
    <x v="13"/>
    <x v="3"/>
    <n v="28"/>
    <d v="1899-12-30T00:26:05"/>
    <n v="26.083333333333332"/>
  </r>
  <r>
    <x v="7"/>
    <x v="13"/>
    <x v="4"/>
    <n v="4"/>
    <d v="1899-12-30T00:03:24"/>
    <n v="3.4"/>
  </r>
  <r>
    <x v="7"/>
    <x v="13"/>
    <x v="5"/>
    <n v="43"/>
    <d v="1899-12-30T00:37:16"/>
    <n v="37.266666666666666"/>
  </r>
  <r>
    <x v="8"/>
    <x v="0"/>
    <x v="0"/>
    <n v="115"/>
    <d v="1899-12-30T03:02:41"/>
    <n v="182.68333333333334"/>
  </r>
  <r>
    <x v="8"/>
    <x v="0"/>
    <x v="1"/>
    <n v="102"/>
    <d v="1899-12-30T02:34:29"/>
    <n v="154.48333333333332"/>
  </r>
  <r>
    <x v="8"/>
    <x v="0"/>
    <x v="2"/>
    <n v="51"/>
    <d v="1899-12-30T01:13:41"/>
    <n v="73.683333333333337"/>
  </r>
  <r>
    <x v="8"/>
    <x v="0"/>
    <x v="3"/>
    <n v="19"/>
    <d v="1899-12-30T00:22:23"/>
    <n v="22.383333333333333"/>
  </r>
  <r>
    <x v="8"/>
    <x v="0"/>
    <x v="4"/>
    <n v="32"/>
    <d v="1899-12-30T00:45:55"/>
    <n v="45.916666666666664"/>
  </r>
  <r>
    <x v="8"/>
    <x v="0"/>
    <x v="5"/>
    <n v="46"/>
    <d v="1899-12-30T01:29:14"/>
    <n v="89.233333333333334"/>
  </r>
  <r>
    <x v="8"/>
    <x v="1"/>
    <x v="0"/>
    <n v="40"/>
    <d v="1899-12-30T01:08:06"/>
    <n v="68.099999999999994"/>
  </r>
  <r>
    <x v="8"/>
    <x v="1"/>
    <x v="1"/>
    <n v="55"/>
    <d v="1899-12-30T01:40:28"/>
    <n v="100.46666666666667"/>
  </r>
  <r>
    <x v="8"/>
    <x v="1"/>
    <x v="2"/>
    <n v="25"/>
    <d v="1899-12-30T00:48:16"/>
    <n v="48.266666666666666"/>
  </r>
  <r>
    <x v="8"/>
    <x v="1"/>
    <x v="3"/>
    <n v="5"/>
    <d v="1899-12-30T00:06:31"/>
    <n v="6.5166666666666666"/>
  </r>
  <r>
    <x v="8"/>
    <x v="1"/>
    <x v="4"/>
    <n v="1"/>
    <d v="1899-12-30T00:00:20"/>
    <n v="0.33333333333333331"/>
  </r>
  <r>
    <x v="8"/>
    <x v="1"/>
    <x v="5"/>
    <n v="17"/>
    <d v="1899-12-30T00:22:38"/>
    <n v="22.633333333333333"/>
  </r>
  <r>
    <x v="8"/>
    <x v="2"/>
    <x v="0"/>
    <n v="63"/>
    <d v="1899-12-30T01:37:42"/>
    <n v="97.7"/>
  </r>
  <r>
    <x v="8"/>
    <x v="2"/>
    <x v="1"/>
    <n v="39"/>
    <d v="1899-12-30T01:04:42"/>
    <n v="64.7"/>
  </r>
  <r>
    <x v="8"/>
    <x v="2"/>
    <x v="2"/>
    <n v="36"/>
    <d v="1899-12-30T01:08:02"/>
    <n v="68.033333333333331"/>
  </r>
  <r>
    <x v="8"/>
    <x v="2"/>
    <x v="3"/>
    <n v="21"/>
    <d v="1899-12-30T00:22:21"/>
    <n v="22.35"/>
  </r>
  <r>
    <x v="8"/>
    <x v="2"/>
    <x v="4"/>
    <n v="21"/>
    <d v="1899-12-30T00:25:33"/>
    <n v="25.55"/>
  </r>
  <r>
    <x v="8"/>
    <x v="2"/>
    <x v="5"/>
    <n v="28"/>
    <d v="1899-12-30T00:28:38"/>
    <n v="28.633333333333333"/>
  </r>
  <r>
    <x v="8"/>
    <x v="3"/>
    <x v="0"/>
    <n v="16"/>
    <d v="1899-12-30T00:27:07"/>
    <n v="27.116666666666667"/>
  </r>
  <r>
    <x v="8"/>
    <x v="3"/>
    <x v="1"/>
    <n v="19"/>
    <d v="1899-12-30T00:38:51"/>
    <n v="38.85"/>
  </r>
  <r>
    <x v="8"/>
    <x v="3"/>
    <x v="2"/>
    <n v="7"/>
    <d v="1899-12-30T00:14:47"/>
    <n v="14.783333333333333"/>
  </r>
  <r>
    <x v="8"/>
    <x v="3"/>
    <x v="3"/>
    <n v="3"/>
    <d v="1899-12-30T00:01:59"/>
    <n v="1.9833333333333334"/>
  </r>
  <r>
    <x v="8"/>
    <x v="3"/>
    <x v="4"/>
    <n v="0"/>
    <d v="1899-12-30T00:00:00"/>
    <n v="0"/>
  </r>
  <r>
    <x v="8"/>
    <x v="3"/>
    <x v="5"/>
    <n v="3"/>
    <d v="1899-12-30T00:03:20"/>
    <n v="3.3333333333333335"/>
  </r>
  <r>
    <x v="8"/>
    <x v="4"/>
    <x v="0"/>
    <n v="51"/>
    <d v="1899-12-30T01:09:08"/>
    <n v="69.13333333333334"/>
  </r>
  <r>
    <x v="8"/>
    <x v="4"/>
    <x v="1"/>
    <n v="34"/>
    <d v="1899-12-30T00:50:31"/>
    <n v="50.516666666666666"/>
  </r>
  <r>
    <x v="8"/>
    <x v="4"/>
    <x v="2"/>
    <n v="19"/>
    <d v="1899-12-30T00:25:49"/>
    <n v="25.816666666666666"/>
  </r>
  <r>
    <x v="8"/>
    <x v="4"/>
    <x v="3"/>
    <n v="1"/>
    <d v="1899-12-30T00:00:54"/>
    <n v="0.9"/>
  </r>
  <r>
    <x v="8"/>
    <x v="4"/>
    <x v="4"/>
    <n v="5"/>
    <d v="1899-12-30T00:03:08"/>
    <n v="3.1333333333333333"/>
  </r>
  <r>
    <x v="8"/>
    <x v="4"/>
    <x v="5"/>
    <n v="4"/>
    <d v="1899-12-30T00:05:49"/>
    <n v="5.8166666666666664"/>
  </r>
  <r>
    <x v="8"/>
    <x v="5"/>
    <x v="0"/>
    <n v="19"/>
    <d v="1899-12-30T00:30:57"/>
    <n v="30.95"/>
  </r>
  <r>
    <x v="8"/>
    <x v="5"/>
    <x v="1"/>
    <n v="17"/>
    <d v="1899-12-30T00:32:40"/>
    <n v="32.666666666666664"/>
  </r>
  <r>
    <x v="8"/>
    <x v="5"/>
    <x v="2"/>
    <n v="15"/>
    <d v="1899-12-30T00:23:32"/>
    <n v="23.533333333333335"/>
  </r>
  <r>
    <x v="8"/>
    <x v="5"/>
    <x v="3"/>
    <n v="7"/>
    <d v="1899-12-30T00:08:00"/>
    <n v="8"/>
  </r>
  <r>
    <x v="8"/>
    <x v="5"/>
    <x v="4"/>
    <n v="4"/>
    <d v="1899-12-30T00:03:29"/>
    <n v="3.4833333333333334"/>
  </r>
  <r>
    <x v="8"/>
    <x v="5"/>
    <x v="5"/>
    <n v="14"/>
    <d v="1899-12-30T00:10:57"/>
    <n v="10.95"/>
  </r>
  <r>
    <x v="8"/>
    <x v="6"/>
    <x v="0"/>
    <n v="7"/>
    <d v="1899-12-30T00:07:49"/>
    <n v="7.8166666666666664"/>
  </r>
  <r>
    <x v="8"/>
    <x v="6"/>
    <x v="1"/>
    <n v="10"/>
    <d v="1899-12-30T00:12:34"/>
    <n v="12.566666666666666"/>
  </r>
  <r>
    <x v="8"/>
    <x v="6"/>
    <x v="2"/>
    <n v="4"/>
    <d v="1899-12-30T00:07:56"/>
    <n v="7.9333333333333336"/>
  </r>
  <r>
    <x v="8"/>
    <x v="6"/>
    <x v="3"/>
    <n v="4"/>
    <d v="1899-12-30T00:03:45"/>
    <n v="3.75"/>
  </r>
  <r>
    <x v="8"/>
    <x v="6"/>
    <x v="4"/>
    <n v="5"/>
    <d v="1899-12-30T00:05:37"/>
    <n v="5.6166666666666671"/>
  </r>
  <r>
    <x v="8"/>
    <x v="6"/>
    <x v="5"/>
    <n v="3"/>
    <d v="1899-12-30T00:01:59"/>
    <n v="1.9833333333333334"/>
  </r>
  <r>
    <x v="8"/>
    <x v="7"/>
    <x v="0"/>
    <n v="65"/>
    <d v="1899-12-30T01:27:05"/>
    <n v="87.083333333333329"/>
  </r>
  <r>
    <x v="8"/>
    <x v="7"/>
    <x v="1"/>
    <n v="71"/>
    <d v="1899-12-30T01:36:50"/>
    <n v="96.833333333333329"/>
  </r>
  <r>
    <x v="8"/>
    <x v="7"/>
    <x v="2"/>
    <n v="45"/>
    <d v="1899-12-30T01:16:25"/>
    <n v="76.416666666666671"/>
  </r>
  <r>
    <x v="8"/>
    <x v="7"/>
    <x v="3"/>
    <n v="25"/>
    <d v="1899-12-30T00:29:11"/>
    <n v="29.183333333333334"/>
  </r>
  <r>
    <x v="8"/>
    <x v="7"/>
    <x v="4"/>
    <n v="133"/>
    <d v="1899-12-30T03:12:54"/>
    <n v="192.9"/>
  </r>
  <r>
    <x v="8"/>
    <x v="7"/>
    <x v="5"/>
    <n v="29"/>
    <d v="1899-12-30T00:21:32"/>
    <n v="21.533333333333335"/>
  </r>
  <r>
    <x v="8"/>
    <x v="8"/>
    <x v="0"/>
    <n v="25"/>
    <d v="1899-12-30T00:35:24"/>
    <n v="35.4"/>
  </r>
  <r>
    <x v="8"/>
    <x v="8"/>
    <x v="1"/>
    <n v="24"/>
    <d v="1899-12-30T00:39:16"/>
    <n v="39.266666666666666"/>
  </r>
  <r>
    <x v="8"/>
    <x v="8"/>
    <x v="2"/>
    <n v="20"/>
    <d v="1899-12-30T00:36:34"/>
    <n v="36.56666666666667"/>
  </r>
  <r>
    <x v="8"/>
    <x v="8"/>
    <x v="3"/>
    <n v="11"/>
    <d v="1899-12-30T00:11:20"/>
    <n v="11.333333333333334"/>
  </r>
  <r>
    <x v="8"/>
    <x v="8"/>
    <x v="4"/>
    <n v="12"/>
    <d v="1899-12-30T00:07:25"/>
    <n v="7.416666666666667"/>
  </r>
  <r>
    <x v="8"/>
    <x v="8"/>
    <x v="5"/>
    <n v="13"/>
    <d v="1899-12-30T00:13:30"/>
    <n v="13.5"/>
  </r>
  <r>
    <x v="8"/>
    <x v="9"/>
    <x v="0"/>
    <n v="47"/>
    <d v="1899-12-30T01:11:55"/>
    <n v="71.916666666666671"/>
  </r>
  <r>
    <x v="8"/>
    <x v="9"/>
    <x v="1"/>
    <n v="47"/>
    <d v="1899-12-30T01:07:05"/>
    <n v="67.083333333333329"/>
  </r>
  <r>
    <x v="8"/>
    <x v="9"/>
    <x v="2"/>
    <n v="46"/>
    <d v="1899-12-30T01:25:15"/>
    <n v="85.25"/>
  </r>
  <r>
    <x v="8"/>
    <x v="9"/>
    <x v="3"/>
    <n v="20"/>
    <d v="1899-12-30T00:21:44"/>
    <n v="21.733333333333334"/>
  </r>
  <r>
    <x v="8"/>
    <x v="9"/>
    <x v="4"/>
    <n v="9"/>
    <d v="1899-12-30T00:15:59"/>
    <n v="15.983333333333333"/>
  </r>
  <r>
    <x v="8"/>
    <x v="9"/>
    <x v="5"/>
    <n v="19"/>
    <d v="1899-12-30T00:23:13"/>
    <n v="23.216666666666665"/>
  </r>
  <r>
    <x v="8"/>
    <x v="10"/>
    <x v="0"/>
    <n v="29"/>
    <d v="1899-12-30T00:45:16"/>
    <n v="45.266666666666666"/>
  </r>
  <r>
    <x v="8"/>
    <x v="10"/>
    <x v="1"/>
    <n v="21"/>
    <d v="1899-12-30T00:40:46"/>
    <n v="40.766666666666666"/>
  </r>
  <r>
    <x v="8"/>
    <x v="10"/>
    <x v="2"/>
    <n v="18"/>
    <d v="1899-12-30T00:36:32"/>
    <n v="36.533333333333331"/>
  </r>
  <r>
    <x v="8"/>
    <x v="10"/>
    <x v="3"/>
    <n v="5"/>
    <d v="1899-12-30T00:05:22"/>
    <n v="5.3666666666666663"/>
  </r>
  <r>
    <x v="8"/>
    <x v="10"/>
    <x v="4"/>
    <n v="4"/>
    <d v="1899-12-30T00:04:28"/>
    <n v="4.4666666666666668"/>
  </r>
  <r>
    <x v="8"/>
    <x v="10"/>
    <x v="5"/>
    <n v="5"/>
    <d v="1899-12-30T00:07:42"/>
    <n v="7.7"/>
  </r>
  <r>
    <x v="8"/>
    <x v="11"/>
    <x v="0"/>
    <n v="10"/>
    <d v="1899-12-30T00:18:49"/>
    <n v="18.816666666666666"/>
  </r>
  <r>
    <x v="8"/>
    <x v="11"/>
    <x v="1"/>
    <n v="17"/>
    <d v="1899-12-30T00:27:17"/>
    <n v="27.283333333333335"/>
  </r>
  <r>
    <x v="8"/>
    <x v="11"/>
    <x v="2"/>
    <n v="8"/>
    <d v="1899-12-30T00:13:14"/>
    <n v="13.233333333333333"/>
  </r>
  <r>
    <x v="8"/>
    <x v="11"/>
    <x v="3"/>
    <n v="4"/>
    <d v="1899-12-30T00:05:09"/>
    <n v="5.15"/>
  </r>
  <r>
    <x v="8"/>
    <x v="11"/>
    <x v="4"/>
    <n v="3"/>
    <d v="1899-12-30T00:04:11"/>
    <n v="4.1833333333333336"/>
  </r>
  <r>
    <x v="8"/>
    <x v="11"/>
    <x v="5"/>
    <n v="5"/>
    <d v="1899-12-30T00:05:58"/>
    <n v="5.9666666666666668"/>
  </r>
  <r>
    <x v="8"/>
    <x v="12"/>
    <x v="0"/>
    <n v="124"/>
    <d v="1899-12-30T02:57:54"/>
    <n v="177.9"/>
  </r>
  <r>
    <x v="8"/>
    <x v="12"/>
    <x v="1"/>
    <n v="102"/>
    <d v="1899-12-30T02:50:12"/>
    <n v="170.2"/>
  </r>
  <r>
    <x v="8"/>
    <x v="12"/>
    <x v="2"/>
    <n v="78"/>
    <d v="1899-12-30T02:16:47"/>
    <n v="136.78333333333333"/>
  </r>
  <r>
    <x v="8"/>
    <x v="12"/>
    <x v="3"/>
    <n v="38"/>
    <d v="1899-12-30T00:44:30"/>
    <n v="44.5"/>
  </r>
  <r>
    <x v="8"/>
    <x v="12"/>
    <x v="4"/>
    <n v="32"/>
    <d v="1899-12-30T00:48:59"/>
    <n v="48.983333333333334"/>
  </r>
  <r>
    <x v="8"/>
    <x v="12"/>
    <x v="5"/>
    <n v="55"/>
    <d v="1899-12-30T00:57:08"/>
    <n v="57.133333333333333"/>
  </r>
  <r>
    <x v="8"/>
    <x v="13"/>
    <x v="0"/>
    <n v="41"/>
    <d v="1899-12-30T00:49:33"/>
    <n v="49.55"/>
  </r>
  <r>
    <x v="8"/>
    <x v="13"/>
    <x v="1"/>
    <n v="43"/>
    <d v="1899-12-30T00:46:06"/>
    <n v="46.1"/>
  </r>
  <r>
    <x v="8"/>
    <x v="13"/>
    <x v="2"/>
    <n v="25"/>
    <d v="1899-12-30T00:29:30"/>
    <n v="29.5"/>
  </r>
  <r>
    <x v="8"/>
    <x v="13"/>
    <x v="3"/>
    <n v="11"/>
    <d v="1899-12-30T00:14:23"/>
    <n v="14.383333333333333"/>
  </r>
  <r>
    <x v="8"/>
    <x v="13"/>
    <x v="4"/>
    <n v="0"/>
    <d v="1899-12-30T00:00:00"/>
    <n v="0"/>
  </r>
  <r>
    <x v="8"/>
    <x v="13"/>
    <x v="5"/>
    <n v="33"/>
    <d v="1899-12-30T00:29:13"/>
    <n v="29.216666666666665"/>
  </r>
  <r>
    <x v="9"/>
    <x v="0"/>
    <x v="0"/>
    <n v="47"/>
    <d v="1899-12-30T01:19:23"/>
    <n v="79.38333333333334"/>
  </r>
  <r>
    <x v="9"/>
    <x v="0"/>
    <x v="1"/>
    <n v="49"/>
    <d v="1899-12-30T01:13:22"/>
    <n v="73.36666666666666"/>
  </r>
  <r>
    <x v="9"/>
    <x v="0"/>
    <x v="2"/>
    <n v="30"/>
    <d v="1899-12-30T00:48:49"/>
    <n v="48.81666666666667"/>
  </r>
  <r>
    <x v="9"/>
    <x v="0"/>
    <x v="3"/>
    <n v="8"/>
    <d v="1899-12-30T00:10:09"/>
    <n v="10.15"/>
  </r>
  <r>
    <x v="9"/>
    <x v="0"/>
    <x v="4"/>
    <n v="39"/>
    <d v="1899-12-30T00:54:56"/>
    <n v="54.93333333333333"/>
  </r>
  <r>
    <x v="9"/>
    <x v="0"/>
    <x v="5"/>
    <n v="22"/>
    <d v="1899-12-30T00:23:03"/>
    <n v="23.05"/>
  </r>
  <r>
    <x v="9"/>
    <x v="1"/>
    <x v="0"/>
    <n v="42"/>
    <d v="1899-12-30T01:10:15"/>
    <n v="70.25"/>
  </r>
  <r>
    <x v="9"/>
    <x v="1"/>
    <x v="1"/>
    <n v="57"/>
    <d v="1899-12-30T01:50:30"/>
    <n v="110.5"/>
  </r>
  <r>
    <x v="9"/>
    <x v="1"/>
    <x v="2"/>
    <n v="32"/>
    <d v="1899-12-30T01:09:10"/>
    <n v="69.166666666666671"/>
  </r>
  <r>
    <x v="9"/>
    <x v="1"/>
    <x v="3"/>
    <n v="7"/>
    <d v="1899-12-30T00:07:45"/>
    <n v="7.75"/>
  </r>
  <r>
    <x v="9"/>
    <x v="1"/>
    <x v="4"/>
    <n v="3"/>
    <d v="1899-12-30T00:03:47"/>
    <n v="3.7833333333333332"/>
  </r>
  <r>
    <x v="9"/>
    <x v="1"/>
    <x v="5"/>
    <n v="26"/>
    <d v="1899-12-30T00:36:59"/>
    <n v="36.983333333333334"/>
  </r>
  <r>
    <x v="9"/>
    <x v="2"/>
    <x v="0"/>
    <n v="47"/>
    <d v="1899-12-30T01:22:31"/>
    <n v="82.516666666666666"/>
  </r>
  <r>
    <x v="9"/>
    <x v="2"/>
    <x v="1"/>
    <n v="31"/>
    <d v="1899-12-30T01:04:22"/>
    <n v="64.36666666666666"/>
  </r>
  <r>
    <x v="9"/>
    <x v="2"/>
    <x v="2"/>
    <n v="18"/>
    <d v="1899-12-30T00:33:31"/>
    <n v="33.516666666666666"/>
  </r>
  <r>
    <x v="9"/>
    <x v="2"/>
    <x v="3"/>
    <n v="10"/>
    <d v="1899-12-30T00:11:12"/>
    <n v="11.2"/>
  </r>
  <r>
    <x v="9"/>
    <x v="2"/>
    <x v="4"/>
    <n v="8"/>
    <d v="1899-12-30T00:08:27"/>
    <n v="8.4499999999999993"/>
  </r>
  <r>
    <x v="9"/>
    <x v="2"/>
    <x v="5"/>
    <n v="7"/>
    <d v="1899-12-30T00:05:46"/>
    <n v="5.7666666666666666"/>
  </r>
  <r>
    <x v="9"/>
    <x v="3"/>
    <x v="0"/>
    <n v="15"/>
    <d v="1899-12-30T00:29:22"/>
    <n v="29.366666666666667"/>
  </r>
  <r>
    <x v="9"/>
    <x v="3"/>
    <x v="1"/>
    <n v="8"/>
    <d v="1899-12-30T00:14:07"/>
    <n v="14.116666666666667"/>
  </r>
  <r>
    <x v="9"/>
    <x v="3"/>
    <x v="2"/>
    <n v="5"/>
    <d v="1899-12-30T00:08:48"/>
    <n v="8.8000000000000007"/>
  </r>
  <r>
    <x v="9"/>
    <x v="3"/>
    <x v="3"/>
    <n v="1"/>
    <d v="1899-12-30T00:01:48"/>
    <n v="1.8"/>
  </r>
  <r>
    <x v="9"/>
    <x v="3"/>
    <x v="4"/>
    <n v="0"/>
    <d v="1899-12-30T00:00:00"/>
    <n v="0"/>
  </r>
  <r>
    <x v="9"/>
    <x v="3"/>
    <x v="5"/>
    <n v="1"/>
    <d v="1899-12-30T00:01:54"/>
    <n v="1.9"/>
  </r>
  <r>
    <x v="9"/>
    <x v="4"/>
    <x v="0"/>
    <n v="22"/>
    <d v="1899-12-30T00:32:42"/>
    <n v="32.700000000000003"/>
  </r>
  <r>
    <x v="9"/>
    <x v="4"/>
    <x v="1"/>
    <n v="14"/>
    <d v="1899-12-30T00:22:26"/>
    <n v="22.433333333333334"/>
  </r>
  <r>
    <x v="9"/>
    <x v="4"/>
    <x v="2"/>
    <n v="8"/>
    <d v="1899-12-30T00:12:29"/>
    <n v="12.483333333333333"/>
  </r>
  <r>
    <x v="9"/>
    <x v="4"/>
    <x v="3"/>
    <n v="3"/>
    <d v="1899-12-30T00:02:42"/>
    <n v="2.7"/>
  </r>
  <r>
    <x v="9"/>
    <x v="4"/>
    <x v="4"/>
    <n v="2"/>
    <d v="1899-12-30T00:03:20"/>
    <n v="3.3333333333333335"/>
  </r>
  <r>
    <x v="9"/>
    <x v="4"/>
    <x v="5"/>
    <n v="9"/>
    <d v="1899-12-30T00:10:05"/>
    <n v="10.083333333333334"/>
  </r>
  <r>
    <x v="9"/>
    <x v="5"/>
    <x v="0"/>
    <n v="7"/>
    <d v="1899-12-30T00:14:00"/>
    <n v="14"/>
  </r>
  <r>
    <x v="9"/>
    <x v="5"/>
    <x v="1"/>
    <n v="11"/>
    <d v="1899-12-30T00:15:11"/>
    <n v="15.183333333333334"/>
  </r>
  <r>
    <x v="9"/>
    <x v="5"/>
    <x v="2"/>
    <n v="12"/>
    <d v="1899-12-30T00:19:24"/>
    <n v="19.399999999999999"/>
  </r>
  <r>
    <x v="9"/>
    <x v="5"/>
    <x v="3"/>
    <n v="4"/>
    <d v="1899-12-30T00:04:11"/>
    <n v="4.1833333333333336"/>
  </r>
  <r>
    <x v="9"/>
    <x v="5"/>
    <x v="4"/>
    <n v="3"/>
    <d v="1899-12-30T00:04:11"/>
    <n v="4.1833333333333336"/>
  </r>
  <r>
    <x v="9"/>
    <x v="5"/>
    <x v="5"/>
    <n v="2"/>
    <d v="1899-12-30T00:02:36"/>
    <n v="2.6"/>
  </r>
  <r>
    <x v="9"/>
    <x v="6"/>
    <x v="0"/>
    <n v="10"/>
    <d v="1899-12-30T00:12:04"/>
    <n v="12.066666666666666"/>
  </r>
  <r>
    <x v="9"/>
    <x v="6"/>
    <x v="1"/>
    <n v="6"/>
    <d v="1899-12-30T00:10:18"/>
    <n v="10.3"/>
  </r>
  <r>
    <x v="9"/>
    <x v="6"/>
    <x v="2"/>
    <n v="8"/>
    <d v="1899-12-30T00:12:09"/>
    <n v="12.15"/>
  </r>
  <r>
    <x v="9"/>
    <x v="6"/>
    <x v="3"/>
    <n v="0"/>
    <d v="1899-12-30T00:00:00"/>
    <n v="0"/>
  </r>
  <r>
    <x v="9"/>
    <x v="6"/>
    <x v="4"/>
    <n v="2"/>
    <d v="1899-12-30T00:02:25"/>
    <n v="2.4166666666666665"/>
  </r>
  <r>
    <x v="9"/>
    <x v="6"/>
    <x v="5"/>
    <n v="5"/>
    <d v="1899-12-30T00:04:20"/>
    <n v="4.333333333333333"/>
  </r>
  <r>
    <x v="9"/>
    <x v="7"/>
    <x v="0"/>
    <n v="69"/>
    <d v="1899-12-30T01:56:48"/>
    <n v="116.8"/>
  </r>
  <r>
    <x v="9"/>
    <x v="7"/>
    <x v="1"/>
    <n v="70"/>
    <d v="1899-12-30T01:41:40"/>
    <n v="101.66666666666667"/>
  </r>
  <r>
    <x v="9"/>
    <x v="7"/>
    <x v="2"/>
    <n v="59"/>
    <d v="1899-12-30T01:25:27"/>
    <n v="85.45"/>
  </r>
  <r>
    <x v="9"/>
    <x v="7"/>
    <x v="3"/>
    <n v="27"/>
    <d v="1899-12-30T00:36:55"/>
    <n v="36.916666666666664"/>
  </r>
  <r>
    <x v="9"/>
    <x v="7"/>
    <x v="4"/>
    <n v="114"/>
    <d v="1899-12-30T02:44:15"/>
    <n v="164.25"/>
  </r>
  <r>
    <x v="9"/>
    <x v="7"/>
    <x v="5"/>
    <n v="29"/>
    <d v="1899-12-30T00:28:31"/>
    <n v="28.516666666666666"/>
  </r>
  <r>
    <x v="9"/>
    <x v="8"/>
    <x v="0"/>
    <n v="40"/>
    <d v="1899-12-30T01:11:32"/>
    <n v="71.533333333333331"/>
  </r>
  <r>
    <x v="9"/>
    <x v="8"/>
    <x v="1"/>
    <n v="40"/>
    <d v="1899-12-30T01:13:23"/>
    <n v="73.38333333333334"/>
  </r>
  <r>
    <x v="9"/>
    <x v="8"/>
    <x v="2"/>
    <n v="34"/>
    <d v="1899-12-30T01:00:34"/>
    <n v="60.56666666666667"/>
  </r>
  <r>
    <x v="9"/>
    <x v="8"/>
    <x v="3"/>
    <n v="20"/>
    <d v="1899-12-30T00:25:05"/>
    <n v="25.083333333333332"/>
  </r>
  <r>
    <x v="9"/>
    <x v="8"/>
    <x v="4"/>
    <n v="16"/>
    <d v="1899-12-30T00:22:37"/>
    <n v="22.616666666666667"/>
  </r>
  <r>
    <x v="9"/>
    <x v="8"/>
    <x v="5"/>
    <n v="17"/>
    <d v="1899-12-30T00:20:36"/>
    <n v="20.6"/>
  </r>
  <r>
    <x v="9"/>
    <x v="9"/>
    <x v="0"/>
    <n v="23"/>
    <d v="1899-12-30T00:40:07"/>
    <n v="40.116666666666667"/>
  </r>
  <r>
    <x v="9"/>
    <x v="9"/>
    <x v="1"/>
    <n v="21"/>
    <d v="1899-12-30T00:37:35"/>
    <n v="37.583333333333336"/>
  </r>
  <r>
    <x v="9"/>
    <x v="9"/>
    <x v="2"/>
    <n v="13"/>
    <d v="1899-12-30T00:18:41"/>
    <n v="18.683333333333334"/>
  </r>
  <r>
    <x v="9"/>
    <x v="9"/>
    <x v="3"/>
    <n v="11"/>
    <d v="1899-12-30T00:14:08"/>
    <n v="14.133333333333333"/>
  </r>
  <r>
    <x v="9"/>
    <x v="9"/>
    <x v="4"/>
    <n v="3"/>
    <d v="1899-12-30T00:03:32"/>
    <n v="3.5333333333333332"/>
  </r>
  <r>
    <x v="9"/>
    <x v="9"/>
    <x v="5"/>
    <n v="9"/>
    <d v="1899-12-30T00:08:06"/>
    <n v="8.1"/>
  </r>
  <r>
    <x v="9"/>
    <x v="10"/>
    <x v="0"/>
    <n v="63"/>
    <d v="1899-12-30T01:43:27"/>
    <n v="103.45"/>
  </r>
  <r>
    <x v="9"/>
    <x v="10"/>
    <x v="1"/>
    <n v="70"/>
    <d v="1899-12-30T01:43:31"/>
    <n v="103.51666666666667"/>
  </r>
  <r>
    <x v="9"/>
    <x v="10"/>
    <x v="2"/>
    <n v="45"/>
    <d v="1899-12-30T01:31:25"/>
    <n v="91.416666666666671"/>
  </r>
  <r>
    <x v="9"/>
    <x v="10"/>
    <x v="3"/>
    <n v="15"/>
    <d v="1899-12-30T00:19:12"/>
    <n v="19.2"/>
  </r>
  <r>
    <x v="9"/>
    <x v="10"/>
    <x v="4"/>
    <n v="33"/>
    <d v="1899-12-30T00:49:28"/>
    <n v="49.466666666666669"/>
  </r>
  <r>
    <x v="9"/>
    <x v="10"/>
    <x v="5"/>
    <n v="24"/>
    <d v="1899-12-30T00:31:37"/>
    <n v="31.616666666666667"/>
  </r>
  <r>
    <x v="9"/>
    <x v="11"/>
    <x v="0"/>
    <n v="24"/>
    <d v="1899-12-30T00:33:41"/>
    <n v="33.68333333333333"/>
  </r>
  <r>
    <x v="9"/>
    <x v="11"/>
    <x v="1"/>
    <n v="22"/>
    <d v="1899-12-30T00:32:15"/>
    <n v="32.25"/>
  </r>
  <r>
    <x v="9"/>
    <x v="11"/>
    <x v="2"/>
    <n v="12"/>
    <d v="1899-12-30T00:18:29"/>
    <n v="18.483333333333334"/>
  </r>
  <r>
    <x v="9"/>
    <x v="11"/>
    <x v="3"/>
    <n v="4"/>
    <d v="1899-12-30T00:04:43"/>
    <n v="4.7166666666666668"/>
  </r>
  <r>
    <x v="9"/>
    <x v="11"/>
    <x v="4"/>
    <n v="7"/>
    <d v="1899-12-30T00:07:15"/>
    <n v="7.25"/>
  </r>
  <r>
    <x v="9"/>
    <x v="11"/>
    <x v="5"/>
    <n v="8"/>
    <d v="1899-12-30T00:10:23"/>
    <n v="10.383333333333333"/>
  </r>
  <r>
    <x v="9"/>
    <x v="12"/>
    <x v="0"/>
    <n v="153"/>
    <d v="1899-12-30T04:30:38"/>
    <n v="270.63333333333333"/>
  </r>
  <r>
    <x v="9"/>
    <x v="12"/>
    <x v="1"/>
    <n v="140"/>
    <d v="1899-12-30T03:41:21"/>
    <n v="221.35"/>
  </r>
  <r>
    <x v="9"/>
    <x v="12"/>
    <x v="2"/>
    <n v="109"/>
    <d v="1899-12-30T03:04:01"/>
    <n v="184.01666666666668"/>
  </r>
  <r>
    <x v="9"/>
    <x v="12"/>
    <x v="3"/>
    <n v="39"/>
    <d v="1899-12-30T00:50:53"/>
    <n v="50.883333333333333"/>
  </r>
  <r>
    <x v="9"/>
    <x v="12"/>
    <x v="4"/>
    <n v="44"/>
    <d v="1899-12-30T00:53:37"/>
    <n v="53.616666666666667"/>
  </r>
  <r>
    <x v="9"/>
    <x v="12"/>
    <x v="5"/>
    <n v="65"/>
    <d v="1899-12-30T01:19:07"/>
    <n v="79.11666666666666"/>
  </r>
  <r>
    <x v="9"/>
    <x v="13"/>
    <x v="0"/>
    <n v="40"/>
    <d v="1899-12-30T00:51:19"/>
    <n v="51.31666666666667"/>
  </r>
  <r>
    <x v="9"/>
    <x v="13"/>
    <x v="1"/>
    <n v="31"/>
    <d v="1899-12-30T00:34:15"/>
    <n v="34.25"/>
  </r>
  <r>
    <x v="9"/>
    <x v="13"/>
    <x v="2"/>
    <n v="23"/>
    <d v="1899-12-30T00:30:10"/>
    <n v="30.166666666666668"/>
  </r>
  <r>
    <x v="9"/>
    <x v="13"/>
    <x v="3"/>
    <n v="3"/>
    <d v="1899-12-30T00:04:27"/>
    <n v="4.45"/>
  </r>
  <r>
    <x v="9"/>
    <x v="13"/>
    <x v="4"/>
    <n v="0"/>
    <d v="1899-12-30T00:00:00"/>
    <n v="0"/>
  </r>
  <r>
    <x v="9"/>
    <x v="13"/>
    <x v="5"/>
    <n v="25"/>
    <d v="1899-12-30T00:23:17"/>
    <n v="23.283333333333335"/>
  </r>
  <r>
    <x v="10"/>
    <x v="0"/>
    <x v="0"/>
    <n v="29"/>
    <d v="1899-12-30T00:39:52"/>
    <n v="39.866666666666667"/>
  </r>
  <r>
    <x v="10"/>
    <x v="0"/>
    <x v="1"/>
    <n v="22"/>
    <d v="1899-12-30T00:23:53"/>
    <n v="23.883333333333333"/>
  </r>
  <r>
    <x v="10"/>
    <x v="0"/>
    <x v="2"/>
    <n v="9"/>
    <d v="1899-12-30T00:13:18"/>
    <n v="13.3"/>
  </r>
  <r>
    <x v="10"/>
    <x v="0"/>
    <x v="3"/>
    <n v="1"/>
    <d v="1899-12-30T00:01:59"/>
    <n v="1.9833333333333334"/>
  </r>
  <r>
    <x v="10"/>
    <x v="0"/>
    <x v="4"/>
    <n v="13"/>
    <d v="1899-12-30T00:09:42"/>
    <n v="9.6999999999999993"/>
  </r>
  <r>
    <x v="10"/>
    <x v="0"/>
    <x v="5"/>
    <n v="15"/>
    <d v="1899-12-30T00:15:28"/>
    <n v="15.466666666666667"/>
  </r>
  <r>
    <x v="10"/>
    <x v="1"/>
    <x v="0"/>
    <n v="50"/>
    <d v="1899-12-30T01:19:02"/>
    <n v="79.033333333333331"/>
  </r>
  <r>
    <x v="10"/>
    <x v="1"/>
    <x v="1"/>
    <n v="57"/>
    <d v="1899-12-30T01:47:26"/>
    <n v="107.43333333333334"/>
  </r>
  <r>
    <x v="10"/>
    <x v="1"/>
    <x v="2"/>
    <n v="43"/>
    <d v="1899-12-30T01:26:32"/>
    <n v="86.533333333333331"/>
  </r>
  <r>
    <x v="10"/>
    <x v="1"/>
    <x v="3"/>
    <n v="5"/>
    <d v="1899-12-30T00:06:27"/>
    <n v="6.45"/>
  </r>
  <r>
    <x v="10"/>
    <x v="1"/>
    <x v="4"/>
    <n v="11"/>
    <d v="1899-12-30T00:25:53"/>
    <n v="25.883333333333333"/>
  </r>
  <r>
    <x v="10"/>
    <x v="1"/>
    <x v="5"/>
    <n v="19"/>
    <d v="1899-12-30T00:26:39"/>
    <n v="26.65"/>
  </r>
  <r>
    <x v="10"/>
    <x v="2"/>
    <x v="0"/>
    <n v="51"/>
    <d v="1899-12-30T01:21:18"/>
    <n v="81.3"/>
  </r>
  <r>
    <x v="10"/>
    <x v="2"/>
    <x v="1"/>
    <n v="40"/>
    <d v="1899-12-30T01:12:27"/>
    <n v="72.45"/>
  </r>
  <r>
    <x v="10"/>
    <x v="2"/>
    <x v="2"/>
    <n v="33"/>
    <d v="1899-12-30T00:57:20"/>
    <n v="57.333333333333336"/>
  </r>
  <r>
    <x v="10"/>
    <x v="2"/>
    <x v="3"/>
    <n v="7"/>
    <d v="1899-12-30T00:07:34"/>
    <n v="7.5666666666666664"/>
  </r>
  <r>
    <x v="10"/>
    <x v="2"/>
    <x v="4"/>
    <n v="10"/>
    <d v="1899-12-30T00:12:33"/>
    <n v="12.55"/>
  </r>
  <r>
    <x v="10"/>
    <x v="2"/>
    <x v="5"/>
    <n v="17"/>
    <d v="1899-12-30T00:19:29"/>
    <n v="19.483333333333334"/>
  </r>
  <r>
    <x v="10"/>
    <x v="3"/>
    <x v="0"/>
    <n v="17"/>
    <d v="1899-12-30T00:31:29"/>
    <n v="31.483333333333334"/>
  </r>
  <r>
    <x v="10"/>
    <x v="3"/>
    <x v="1"/>
    <n v="16"/>
    <d v="1899-12-30T00:34:34"/>
    <n v="34.56666666666667"/>
  </r>
  <r>
    <x v="10"/>
    <x v="3"/>
    <x v="2"/>
    <n v="8"/>
    <d v="1899-12-30T00:15:19"/>
    <n v="15.316666666666666"/>
  </r>
  <r>
    <x v="10"/>
    <x v="3"/>
    <x v="3"/>
    <n v="5"/>
    <d v="1899-12-30T00:06:27"/>
    <n v="6.45"/>
  </r>
  <r>
    <x v="10"/>
    <x v="3"/>
    <x v="4"/>
    <n v="2"/>
    <d v="1899-12-30T00:00:40"/>
    <n v="0.66666666666666663"/>
  </r>
  <r>
    <x v="10"/>
    <x v="3"/>
    <x v="5"/>
    <n v="3"/>
    <d v="1899-12-30T00:03:16"/>
    <n v="3.2666666666666666"/>
  </r>
  <r>
    <x v="10"/>
    <x v="4"/>
    <x v="0"/>
    <n v="39"/>
    <d v="1899-12-30T00:57:03"/>
    <n v="57.05"/>
  </r>
  <r>
    <x v="10"/>
    <x v="4"/>
    <x v="1"/>
    <n v="34"/>
    <d v="1899-12-30T00:44:26"/>
    <n v="44.43333333333333"/>
  </r>
  <r>
    <x v="10"/>
    <x v="4"/>
    <x v="2"/>
    <n v="15"/>
    <d v="1899-12-30T00:25:37"/>
    <n v="25.616666666666667"/>
  </r>
  <r>
    <x v="10"/>
    <x v="4"/>
    <x v="3"/>
    <n v="4"/>
    <d v="1899-12-30T00:04:32"/>
    <n v="4.5333333333333332"/>
  </r>
  <r>
    <x v="10"/>
    <x v="4"/>
    <x v="4"/>
    <n v="16"/>
    <d v="1899-12-30T00:19:35"/>
    <n v="19.583333333333332"/>
  </r>
  <r>
    <x v="10"/>
    <x v="4"/>
    <x v="5"/>
    <n v="13"/>
    <d v="1899-12-30T00:10:32"/>
    <n v="10.533333333333333"/>
  </r>
  <r>
    <x v="10"/>
    <x v="5"/>
    <x v="0"/>
    <n v="24"/>
    <d v="1899-12-30T00:42:06"/>
    <n v="42.1"/>
  </r>
  <r>
    <x v="10"/>
    <x v="5"/>
    <x v="1"/>
    <n v="31"/>
    <d v="1899-12-30T00:53:57"/>
    <n v="53.95"/>
  </r>
  <r>
    <x v="10"/>
    <x v="5"/>
    <x v="2"/>
    <n v="18"/>
    <d v="1899-12-30T00:27:54"/>
    <n v="27.9"/>
  </r>
  <r>
    <x v="10"/>
    <x v="5"/>
    <x v="3"/>
    <n v="15"/>
    <d v="1899-12-30T00:17:13"/>
    <n v="17.216666666666665"/>
  </r>
  <r>
    <x v="10"/>
    <x v="5"/>
    <x v="4"/>
    <n v="1"/>
    <d v="1899-12-30T00:02:25"/>
    <n v="2.4166666666666665"/>
  </r>
  <r>
    <x v="10"/>
    <x v="5"/>
    <x v="5"/>
    <n v="18"/>
    <d v="1899-12-30T00:23:13"/>
    <n v="23.216666666666665"/>
  </r>
  <r>
    <x v="10"/>
    <x v="6"/>
    <x v="0"/>
    <n v="18"/>
    <d v="1899-12-30T00:30:53"/>
    <n v="30.883333333333333"/>
  </r>
  <r>
    <x v="10"/>
    <x v="6"/>
    <x v="1"/>
    <n v="12"/>
    <d v="1899-12-30T00:17:05"/>
    <n v="17.083333333333332"/>
  </r>
  <r>
    <x v="10"/>
    <x v="6"/>
    <x v="2"/>
    <n v="13"/>
    <d v="1899-12-30T00:22:33"/>
    <n v="22.55"/>
  </r>
  <r>
    <x v="10"/>
    <x v="6"/>
    <x v="3"/>
    <n v="1"/>
    <d v="1899-12-30T00:00:48"/>
    <n v="0.8"/>
  </r>
  <r>
    <x v="10"/>
    <x v="6"/>
    <x v="4"/>
    <n v="4"/>
    <d v="1899-12-30T00:06:07"/>
    <n v="6.1166666666666663"/>
  </r>
  <r>
    <x v="10"/>
    <x v="6"/>
    <x v="5"/>
    <n v="1"/>
    <d v="1899-12-30T00:02:00"/>
    <n v="2"/>
  </r>
  <r>
    <x v="10"/>
    <x v="7"/>
    <x v="0"/>
    <n v="67"/>
    <d v="1899-12-30T01:32:22"/>
    <n v="92.36666666666666"/>
  </r>
  <r>
    <x v="10"/>
    <x v="7"/>
    <x v="1"/>
    <n v="74"/>
    <d v="1899-12-30T01:52:39"/>
    <n v="112.65"/>
  </r>
  <r>
    <x v="10"/>
    <x v="7"/>
    <x v="2"/>
    <n v="39"/>
    <d v="1899-12-30T00:56:11"/>
    <n v="56.18333333333333"/>
  </r>
  <r>
    <x v="10"/>
    <x v="7"/>
    <x v="3"/>
    <n v="24"/>
    <d v="1899-12-30T00:29:30"/>
    <n v="29.5"/>
  </r>
  <r>
    <x v="10"/>
    <x v="7"/>
    <x v="4"/>
    <n v="127"/>
    <d v="1899-12-30T03:06:45"/>
    <n v="186.75"/>
  </r>
  <r>
    <x v="10"/>
    <x v="7"/>
    <x v="5"/>
    <n v="21"/>
    <d v="1899-12-30T00:15:02"/>
    <n v="15.033333333333333"/>
  </r>
  <r>
    <x v="10"/>
    <x v="8"/>
    <x v="0"/>
    <n v="45"/>
    <d v="1899-12-30T01:14:05"/>
    <n v="74.083333333333329"/>
  </r>
  <r>
    <x v="10"/>
    <x v="8"/>
    <x v="1"/>
    <n v="39"/>
    <d v="1899-12-30T00:54:11"/>
    <n v="54.18333333333333"/>
  </r>
  <r>
    <x v="10"/>
    <x v="8"/>
    <x v="2"/>
    <n v="40"/>
    <d v="1899-12-30T01:06:50"/>
    <n v="66.833333333333329"/>
  </r>
  <r>
    <x v="10"/>
    <x v="8"/>
    <x v="3"/>
    <n v="18"/>
    <d v="1899-12-30T00:24:27"/>
    <n v="24.45"/>
  </r>
  <r>
    <x v="10"/>
    <x v="8"/>
    <x v="4"/>
    <n v="19"/>
    <d v="1899-12-30T00:27:14"/>
    <n v="27.233333333333334"/>
  </r>
  <r>
    <x v="10"/>
    <x v="8"/>
    <x v="5"/>
    <n v="25"/>
    <d v="1899-12-30T00:29:51"/>
    <n v="29.85"/>
  </r>
  <r>
    <x v="10"/>
    <x v="9"/>
    <x v="0"/>
    <n v="32"/>
    <d v="1899-12-30T00:52:31"/>
    <n v="52.516666666666666"/>
  </r>
  <r>
    <x v="10"/>
    <x v="9"/>
    <x v="1"/>
    <n v="40"/>
    <d v="1899-12-30T00:59:03"/>
    <n v="59.05"/>
  </r>
  <r>
    <x v="10"/>
    <x v="9"/>
    <x v="2"/>
    <n v="26"/>
    <d v="1899-12-30T00:47:23"/>
    <n v="47.383333333333333"/>
  </r>
  <r>
    <x v="10"/>
    <x v="9"/>
    <x v="3"/>
    <n v="13"/>
    <d v="1899-12-30T00:18:17"/>
    <n v="18.283333333333335"/>
  </r>
  <r>
    <x v="10"/>
    <x v="9"/>
    <x v="4"/>
    <n v="7"/>
    <d v="1899-12-30T00:12:31"/>
    <n v="12.516666666666667"/>
  </r>
  <r>
    <x v="10"/>
    <x v="9"/>
    <x v="5"/>
    <n v="8"/>
    <d v="1899-12-30T00:12:10"/>
    <n v="12.166666666666666"/>
  </r>
  <r>
    <x v="10"/>
    <x v="10"/>
    <x v="0"/>
    <n v="47"/>
    <d v="1899-12-30T01:10:52"/>
    <n v="70.86666666666666"/>
  </r>
  <r>
    <x v="10"/>
    <x v="10"/>
    <x v="1"/>
    <n v="36"/>
    <d v="1899-12-30T00:59:14"/>
    <n v="59.233333333333334"/>
  </r>
  <r>
    <x v="10"/>
    <x v="10"/>
    <x v="2"/>
    <n v="26"/>
    <d v="1899-12-30T00:45:11"/>
    <n v="45.18333333333333"/>
  </r>
  <r>
    <x v="10"/>
    <x v="10"/>
    <x v="3"/>
    <n v="10"/>
    <d v="1899-12-30T00:14:07"/>
    <n v="14.116666666666667"/>
  </r>
  <r>
    <x v="10"/>
    <x v="10"/>
    <x v="4"/>
    <n v="12"/>
    <d v="1899-12-30T00:17:45"/>
    <n v="17.75"/>
  </r>
  <r>
    <x v="10"/>
    <x v="10"/>
    <x v="5"/>
    <n v="16"/>
    <d v="1899-12-30T00:19:28"/>
    <n v="19.466666666666665"/>
  </r>
  <r>
    <x v="10"/>
    <x v="11"/>
    <x v="0"/>
    <n v="20"/>
    <d v="1899-12-30T00:27:36"/>
    <n v="27.6"/>
  </r>
  <r>
    <x v="10"/>
    <x v="11"/>
    <x v="1"/>
    <n v="20"/>
    <d v="1899-12-30T00:29:22"/>
    <n v="29.366666666666667"/>
  </r>
  <r>
    <x v="10"/>
    <x v="11"/>
    <x v="2"/>
    <n v="10"/>
    <d v="1899-12-30T00:18:36"/>
    <n v="18.600000000000001"/>
  </r>
  <r>
    <x v="10"/>
    <x v="11"/>
    <x v="3"/>
    <n v="1"/>
    <d v="1899-12-30T00:00:35"/>
    <n v="0.58333333333333337"/>
  </r>
  <r>
    <x v="10"/>
    <x v="11"/>
    <x v="4"/>
    <n v="1"/>
    <d v="1899-12-30T00:03:06"/>
    <n v="3.1"/>
  </r>
  <r>
    <x v="10"/>
    <x v="11"/>
    <x v="5"/>
    <n v="8"/>
    <d v="1899-12-30T00:06:49"/>
    <n v="6.8166666666666664"/>
  </r>
  <r>
    <x v="10"/>
    <x v="12"/>
    <x v="0"/>
    <n v="291"/>
    <d v="1899-12-30T08:21:40"/>
    <n v="501.66666666666669"/>
  </r>
  <r>
    <x v="10"/>
    <x v="12"/>
    <x v="1"/>
    <n v="253"/>
    <d v="1899-12-30T06:45:55"/>
    <n v="405.91666666666669"/>
  </r>
  <r>
    <x v="10"/>
    <x v="12"/>
    <x v="2"/>
    <n v="203"/>
    <d v="1899-12-30T06:12:24"/>
    <n v="372.4"/>
  </r>
  <r>
    <x v="10"/>
    <x v="12"/>
    <x v="3"/>
    <n v="81"/>
    <d v="1899-12-30T01:39:14"/>
    <n v="99.233333333333334"/>
  </r>
  <r>
    <x v="10"/>
    <x v="12"/>
    <x v="4"/>
    <n v="104"/>
    <d v="1899-12-30T02:48:17"/>
    <n v="168.28333333333333"/>
  </r>
  <r>
    <x v="10"/>
    <x v="12"/>
    <x v="5"/>
    <n v="116"/>
    <d v="1899-12-30T02:39:09"/>
    <n v="159.15"/>
  </r>
  <r>
    <x v="10"/>
    <x v="13"/>
    <x v="0"/>
    <n v="47"/>
    <d v="1899-12-30T01:02:55"/>
    <n v="62.916666666666664"/>
  </r>
  <r>
    <x v="10"/>
    <x v="13"/>
    <x v="1"/>
    <n v="48"/>
    <d v="1899-12-30T00:47:50"/>
    <n v="47.833333333333336"/>
  </r>
  <r>
    <x v="10"/>
    <x v="13"/>
    <x v="2"/>
    <n v="22"/>
    <d v="1899-12-30T00:27:32"/>
    <n v="27.533333333333335"/>
  </r>
  <r>
    <x v="10"/>
    <x v="13"/>
    <x v="3"/>
    <n v="8"/>
    <d v="1899-12-30T00:09:48"/>
    <n v="9.8000000000000007"/>
  </r>
  <r>
    <x v="10"/>
    <x v="13"/>
    <x v="4"/>
    <n v="0"/>
    <d v="1899-12-30T00:00:00"/>
    <n v="0"/>
  </r>
  <r>
    <x v="10"/>
    <x v="13"/>
    <x v="5"/>
    <n v="33"/>
    <d v="1899-12-30T00:28:19"/>
    <n v="28.316666666666666"/>
  </r>
  <r>
    <x v="11"/>
    <x v="0"/>
    <x v="0"/>
    <n v="52"/>
    <d v="1899-12-30T01:28:40"/>
    <n v="88.666666666666671"/>
  </r>
  <r>
    <x v="11"/>
    <x v="0"/>
    <x v="1"/>
    <n v="42"/>
    <d v="1899-12-30T01:07:52"/>
    <n v="67.86666666666666"/>
  </r>
  <r>
    <x v="11"/>
    <x v="0"/>
    <x v="2"/>
    <n v="37"/>
    <d v="1899-12-30T00:52:47"/>
    <n v="52.783333333333331"/>
  </r>
  <r>
    <x v="11"/>
    <x v="0"/>
    <x v="3"/>
    <n v="4"/>
    <d v="1899-12-30T00:04:49"/>
    <n v="4.8166666666666664"/>
  </r>
  <r>
    <x v="11"/>
    <x v="0"/>
    <x v="4"/>
    <n v="12"/>
    <d v="1899-12-30T00:25:02"/>
    <n v="25.033333333333335"/>
  </r>
  <r>
    <x v="11"/>
    <x v="0"/>
    <x v="5"/>
    <n v="36"/>
    <d v="1899-12-30T00:56:13"/>
    <n v="56.216666666666669"/>
  </r>
  <r>
    <x v="11"/>
    <x v="1"/>
    <x v="0"/>
    <n v="60"/>
    <d v="1899-12-30T01:51:07"/>
    <n v="111.11666666666666"/>
  </r>
  <r>
    <x v="11"/>
    <x v="1"/>
    <x v="1"/>
    <n v="50"/>
    <d v="1899-12-30T01:37:19"/>
    <n v="97.316666666666663"/>
  </r>
  <r>
    <x v="11"/>
    <x v="1"/>
    <x v="2"/>
    <n v="30"/>
    <d v="1899-12-30T00:54:05"/>
    <n v="54.083333333333336"/>
  </r>
  <r>
    <x v="11"/>
    <x v="1"/>
    <x v="3"/>
    <n v="5"/>
    <d v="1899-12-30T00:07:17"/>
    <n v="7.2833333333333332"/>
  </r>
  <r>
    <x v="11"/>
    <x v="1"/>
    <x v="4"/>
    <n v="3"/>
    <d v="1899-12-30T00:03:57"/>
    <n v="3.95"/>
  </r>
  <r>
    <x v="11"/>
    <x v="1"/>
    <x v="5"/>
    <n v="18"/>
    <d v="1899-12-30T00:25:05"/>
    <n v="25.083333333333332"/>
  </r>
  <r>
    <x v="11"/>
    <x v="2"/>
    <x v="0"/>
    <n v="61"/>
    <d v="1899-12-30T01:37:25"/>
    <n v="97.416666666666671"/>
  </r>
  <r>
    <x v="11"/>
    <x v="2"/>
    <x v="1"/>
    <n v="64"/>
    <d v="1899-12-30T01:55:56"/>
    <n v="115.93333333333334"/>
  </r>
  <r>
    <x v="11"/>
    <x v="2"/>
    <x v="2"/>
    <n v="30"/>
    <d v="1899-12-30T00:58:16"/>
    <n v="58.266666666666666"/>
  </r>
  <r>
    <x v="11"/>
    <x v="2"/>
    <x v="3"/>
    <n v="18"/>
    <d v="1899-12-30T00:24:30"/>
    <n v="24.5"/>
  </r>
  <r>
    <x v="11"/>
    <x v="2"/>
    <x v="4"/>
    <n v="9"/>
    <d v="1899-12-30T00:14:16"/>
    <n v="14.266666666666667"/>
  </r>
  <r>
    <x v="11"/>
    <x v="2"/>
    <x v="5"/>
    <n v="19"/>
    <d v="1899-12-30T00:19:19"/>
    <n v="19.316666666666666"/>
  </r>
  <r>
    <x v="11"/>
    <x v="3"/>
    <x v="0"/>
    <n v="16"/>
    <d v="1899-12-30T00:27:23"/>
    <n v="27.383333333333333"/>
  </r>
  <r>
    <x v="11"/>
    <x v="3"/>
    <x v="1"/>
    <n v="14"/>
    <d v="1899-12-30T00:24:41"/>
    <n v="24.683333333333334"/>
  </r>
  <r>
    <x v="11"/>
    <x v="3"/>
    <x v="2"/>
    <n v="5"/>
    <d v="1899-12-30T00:11:41"/>
    <n v="11.683333333333334"/>
  </r>
  <r>
    <x v="11"/>
    <x v="3"/>
    <x v="3"/>
    <n v="3"/>
    <d v="1899-12-30T00:04:42"/>
    <n v="4.7"/>
  </r>
  <r>
    <x v="11"/>
    <x v="3"/>
    <x v="4"/>
    <n v="1"/>
    <d v="1899-12-30T00:03:01"/>
    <n v="3.0166666666666666"/>
  </r>
  <r>
    <x v="11"/>
    <x v="3"/>
    <x v="5"/>
    <n v="4"/>
    <d v="1899-12-30T00:04:39"/>
    <n v="4.6500000000000004"/>
  </r>
  <r>
    <x v="11"/>
    <x v="4"/>
    <x v="0"/>
    <n v="29"/>
    <d v="1899-12-30T00:37:41"/>
    <n v="37.68333333333333"/>
  </r>
  <r>
    <x v="11"/>
    <x v="4"/>
    <x v="1"/>
    <n v="37"/>
    <d v="1899-12-30T00:48:48"/>
    <n v="48.8"/>
  </r>
  <r>
    <x v="11"/>
    <x v="4"/>
    <x v="2"/>
    <n v="14"/>
    <d v="1899-12-30T00:26:32"/>
    <n v="26.533333333333335"/>
  </r>
  <r>
    <x v="11"/>
    <x v="4"/>
    <x v="3"/>
    <n v="6"/>
    <d v="1899-12-30T00:06:56"/>
    <n v="6.9333333333333336"/>
  </r>
  <r>
    <x v="11"/>
    <x v="4"/>
    <x v="4"/>
    <n v="9"/>
    <d v="1899-12-30T00:11:58"/>
    <n v="11.966666666666667"/>
  </r>
  <r>
    <x v="11"/>
    <x v="4"/>
    <x v="5"/>
    <n v="8"/>
    <d v="1899-12-30T00:08:01"/>
    <n v="8.0166666666666675"/>
  </r>
  <r>
    <x v="11"/>
    <x v="5"/>
    <x v="0"/>
    <n v="17"/>
    <d v="1899-12-30T00:25:49"/>
    <n v="25.816666666666666"/>
  </r>
  <r>
    <x v="11"/>
    <x v="5"/>
    <x v="1"/>
    <n v="13"/>
    <d v="1899-12-30T00:16:22"/>
    <n v="16.366666666666667"/>
  </r>
  <r>
    <x v="11"/>
    <x v="5"/>
    <x v="2"/>
    <n v="20"/>
    <d v="1899-12-30T00:32:30"/>
    <n v="32.5"/>
  </r>
  <r>
    <x v="11"/>
    <x v="5"/>
    <x v="3"/>
    <n v="7"/>
    <d v="1899-12-30T00:05:22"/>
    <n v="5.3666666666666663"/>
  </r>
  <r>
    <x v="11"/>
    <x v="5"/>
    <x v="4"/>
    <n v="2"/>
    <d v="1899-12-30T00:01:35"/>
    <n v="1.5833333333333335"/>
  </r>
  <r>
    <x v="11"/>
    <x v="5"/>
    <x v="5"/>
    <n v="8"/>
    <d v="1899-12-30T00:08:16"/>
    <n v="8.2666666666666675"/>
  </r>
  <r>
    <x v="11"/>
    <x v="6"/>
    <x v="0"/>
    <n v="13"/>
    <d v="1899-12-30T00:13:33"/>
    <n v="13.55"/>
  </r>
  <r>
    <x v="11"/>
    <x v="6"/>
    <x v="1"/>
    <n v="12"/>
    <d v="1899-12-30T00:18:02"/>
    <n v="18.033333333333335"/>
  </r>
  <r>
    <x v="11"/>
    <x v="6"/>
    <x v="2"/>
    <n v="6"/>
    <d v="1899-12-30T00:07:36"/>
    <n v="7.6"/>
  </r>
  <r>
    <x v="11"/>
    <x v="6"/>
    <x v="3"/>
    <n v="4"/>
    <d v="1899-12-30T00:04:16"/>
    <n v="4.2666666666666666"/>
  </r>
  <r>
    <x v="11"/>
    <x v="6"/>
    <x v="4"/>
    <n v="3"/>
    <d v="1899-12-30T00:22:13"/>
    <n v="22.216666666666665"/>
  </r>
  <r>
    <x v="11"/>
    <x v="6"/>
    <x v="5"/>
    <n v="5"/>
    <d v="1899-12-30T00:07:13"/>
    <n v="7.2166666666666668"/>
  </r>
  <r>
    <x v="11"/>
    <x v="7"/>
    <x v="0"/>
    <n v="52"/>
    <d v="1899-12-30T01:12:47"/>
    <n v="72.783333333333331"/>
  </r>
  <r>
    <x v="11"/>
    <x v="7"/>
    <x v="1"/>
    <n v="67"/>
    <d v="1899-12-30T01:31:04"/>
    <n v="91.066666666666663"/>
  </r>
  <r>
    <x v="11"/>
    <x v="7"/>
    <x v="2"/>
    <n v="52"/>
    <d v="1899-12-30T01:18:27"/>
    <n v="78.45"/>
  </r>
  <r>
    <x v="11"/>
    <x v="7"/>
    <x v="3"/>
    <n v="23"/>
    <d v="1899-12-30T00:32:58"/>
    <n v="32.966666666666669"/>
  </r>
  <r>
    <x v="11"/>
    <x v="7"/>
    <x v="4"/>
    <n v="107"/>
    <d v="1899-12-30T03:00:24"/>
    <n v="180.4"/>
  </r>
  <r>
    <x v="11"/>
    <x v="7"/>
    <x v="5"/>
    <n v="28"/>
    <d v="1899-12-30T00:22:18"/>
    <n v="22.3"/>
  </r>
  <r>
    <x v="11"/>
    <x v="8"/>
    <x v="0"/>
    <n v="32"/>
    <d v="1899-12-30T00:49:03"/>
    <n v="49.05"/>
  </r>
  <r>
    <x v="11"/>
    <x v="8"/>
    <x v="1"/>
    <n v="27"/>
    <d v="1899-12-30T00:35:33"/>
    <n v="35.549999999999997"/>
  </r>
  <r>
    <x v="11"/>
    <x v="8"/>
    <x v="2"/>
    <n v="28"/>
    <d v="1899-12-30T00:39:52"/>
    <n v="39.866666666666667"/>
  </r>
  <r>
    <x v="11"/>
    <x v="8"/>
    <x v="3"/>
    <n v="12"/>
    <d v="1899-12-30T00:17:35"/>
    <n v="17.583333333333332"/>
  </r>
  <r>
    <x v="11"/>
    <x v="8"/>
    <x v="4"/>
    <n v="13"/>
    <d v="1899-12-30T00:17:20"/>
    <n v="17.333333333333332"/>
  </r>
  <r>
    <x v="11"/>
    <x v="8"/>
    <x v="5"/>
    <n v="8"/>
    <d v="1899-12-30T00:09:10"/>
    <n v="9.1666666666666661"/>
  </r>
  <r>
    <x v="11"/>
    <x v="9"/>
    <x v="0"/>
    <n v="24"/>
    <d v="1899-12-30T00:37:22"/>
    <n v="37.366666666666667"/>
  </r>
  <r>
    <x v="11"/>
    <x v="9"/>
    <x v="1"/>
    <n v="16"/>
    <d v="1899-12-30T00:21:46"/>
    <n v="21.766666666666666"/>
  </r>
  <r>
    <x v="11"/>
    <x v="9"/>
    <x v="2"/>
    <n v="17"/>
    <d v="1899-12-30T00:37:51"/>
    <n v="37.85"/>
  </r>
  <r>
    <x v="11"/>
    <x v="9"/>
    <x v="3"/>
    <n v="5"/>
    <d v="1899-12-30T00:05:12"/>
    <n v="5.2"/>
  </r>
  <r>
    <x v="11"/>
    <x v="9"/>
    <x v="4"/>
    <n v="0"/>
    <d v="1899-12-30T00:00:00"/>
    <n v="0"/>
  </r>
  <r>
    <x v="11"/>
    <x v="9"/>
    <x v="5"/>
    <n v="16"/>
    <d v="1899-12-30T00:17:49"/>
    <n v="17.816666666666666"/>
  </r>
  <r>
    <x v="11"/>
    <x v="10"/>
    <x v="0"/>
    <n v="19"/>
    <d v="1899-12-30T00:28:08"/>
    <n v="28.133333333333333"/>
  </r>
  <r>
    <x v="11"/>
    <x v="10"/>
    <x v="1"/>
    <n v="19"/>
    <d v="1899-12-30T00:34:59"/>
    <n v="34.983333333333334"/>
  </r>
  <r>
    <x v="11"/>
    <x v="10"/>
    <x v="2"/>
    <n v="12"/>
    <d v="1899-12-30T00:23:34"/>
    <n v="23.566666666666666"/>
  </r>
  <r>
    <x v="11"/>
    <x v="10"/>
    <x v="3"/>
    <n v="1"/>
    <d v="1899-12-30T00:00:58"/>
    <n v="0.96666666666666667"/>
  </r>
  <r>
    <x v="11"/>
    <x v="10"/>
    <x v="4"/>
    <n v="4"/>
    <d v="1899-12-30T00:04:19"/>
    <n v="4.3166666666666664"/>
  </r>
  <r>
    <x v="11"/>
    <x v="10"/>
    <x v="5"/>
    <n v="7"/>
    <d v="1899-12-30T00:05:38"/>
    <n v="5.6333333333333329"/>
  </r>
  <r>
    <x v="11"/>
    <x v="11"/>
    <x v="0"/>
    <n v="30"/>
    <d v="1899-12-30T00:47:45"/>
    <n v="47.75"/>
  </r>
  <r>
    <x v="11"/>
    <x v="11"/>
    <x v="1"/>
    <n v="14"/>
    <d v="1899-12-30T00:21:31"/>
    <n v="21.516666666666666"/>
  </r>
  <r>
    <x v="11"/>
    <x v="11"/>
    <x v="2"/>
    <n v="10"/>
    <d v="1899-12-30T00:14:37"/>
    <n v="14.616666666666667"/>
  </r>
  <r>
    <x v="11"/>
    <x v="11"/>
    <x v="3"/>
    <n v="2"/>
    <d v="1899-12-30T00:03:12"/>
    <n v="3.2"/>
  </r>
  <r>
    <x v="11"/>
    <x v="11"/>
    <x v="4"/>
    <n v="2"/>
    <d v="1899-12-30T00:01:31"/>
    <n v="1.5166666666666666"/>
  </r>
  <r>
    <x v="11"/>
    <x v="11"/>
    <x v="5"/>
    <n v="6"/>
    <d v="1899-12-30T00:06:01"/>
    <n v="6.0166666666666666"/>
  </r>
  <r>
    <x v="11"/>
    <x v="12"/>
    <x v="0"/>
    <n v="186"/>
    <d v="1899-12-30T04:52:07"/>
    <n v="292.11666666666667"/>
  </r>
  <r>
    <x v="11"/>
    <x v="12"/>
    <x v="1"/>
    <n v="166"/>
    <d v="1899-12-30T04:31:44"/>
    <n v="271.73333333333335"/>
  </r>
  <r>
    <x v="11"/>
    <x v="12"/>
    <x v="2"/>
    <n v="104"/>
    <d v="1899-12-30T02:52:18"/>
    <n v="172.3"/>
  </r>
  <r>
    <x v="11"/>
    <x v="12"/>
    <x v="3"/>
    <n v="38"/>
    <d v="1899-12-30T00:45:02"/>
    <n v="45.033333333333331"/>
  </r>
  <r>
    <x v="11"/>
    <x v="12"/>
    <x v="4"/>
    <n v="56"/>
    <d v="1899-12-30T01:39:44"/>
    <n v="99.733333333333334"/>
  </r>
  <r>
    <x v="11"/>
    <x v="12"/>
    <x v="5"/>
    <n v="60"/>
    <d v="1899-12-30T01:05:55"/>
    <n v="65.916666666666671"/>
  </r>
  <r>
    <x v="11"/>
    <x v="13"/>
    <x v="0"/>
    <n v="29"/>
    <d v="1899-12-30T00:38:47"/>
    <n v="38.783333333333331"/>
  </r>
  <r>
    <x v="11"/>
    <x v="13"/>
    <x v="1"/>
    <n v="27"/>
    <d v="1899-12-30T00:33:57"/>
    <n v="33.950000000000003"/>
  </r>
  <r>
    <x v="11"/>
    <x v="13"/>
    <x v="2"/>
    <n v="21"/>
    <d v="1899-12-30T00:30:24"/>
    <n v="30.4"/>
  </r>
  <r>
    <x v="11"/>
    <x v="13"/>
    <x v="3"/>
    <n v="5"/>
    <d v="1899-12-30T00:06:15"/>
    <n v="6.25"/>
  </r>
  <r>
    <x v="11"/>
    <x v="13"/>
    <x v="4"/>
    <n v="2"/>
    <d v="1899-12-30T00:00:43"/>
    <n v="0.71666666666666667"/>
  </r>
  <r>
    <x v="11"/>
    <x v="13"/>
    <x v="5"/>
    <n v="26"/>
    <d v="1899-12-30T00:22:21"/>
    <n v="22.35"/>
  </r>
  <r>
    <x v="12"/>
    <x v="0"/>
    <x v="0"/>
    <n v="43"/>
    <d v="1899-12-30T01:02:08"/>
    <n v="62.133333333333333"/>
  </r>
  <r>
    <x v="12"/>
    <x v="0"/>
    <x v="1"/>
    <n v="30"/>
    <d v="1899-12-30T00:42:15"/>
    <n v="42.25"/>
  </r>
  <r>
    <x v="12"/>
    <x v="0"/>
    <x v="2"/>
    <n v="21"/>
    <d v="1899-12-30T00:23:11"/>
    <n v="23.183333333333334"/>
  </r>
  <r>
    <x v="12"/>
    <x v="0"/>
    <x v="3"/>
    <n v="6"/>
    <d v="1899-12-30T00:06:59"/>
    <n v="6.9833333333333334"/>
  </r>
  <r>
    <x v="12"/>
    <x v="0"/>
    <x v="4"/>
    <n v="7"/>
    <d v="1899-12-30T00:05:38"/>
    <n v="5.6333333333333329"/>
  </r>
  <r>
    <x v="12"/>
    <x v="0"/>
    <x v="5"/>
    <n v="20"/>
    <d v="1899-12-30T00:22:03"/>
    <n v="22.05"/>
  </r>
  <r>
    <x v="12"/>
    <x v="1"/>
    <x v="0"/>
    <n v="52"/>
    <d v="1899-12-30T01:24:24"/>
    <n v="84.4"/>
  </r>
  <r>
    <x v="12"/>
    <x v="1"/>
    <x v="1"/>
    <n v="63"/>
    <d v="1899-12-30T01:50:47"/>
    <n v="110.78333333333333"/>
  </r>
  <r>
    <x v="12"/>
    <x v="1"/>
    <x v="2"/>
    <n v="38"/>
    <d v="1899-12-30T01:11:12"/>
    <n v="71.2"/>
  </r>
  <r>
    <x v="12"/>
    <x v="1"/>
    <x v="3"/>
    <n v="11"/>
    <d v="1899-12-30T00:15:52"/>
    <n v="15.866666666666667"/>
  </r>
  <r>
    <x v="12"/>
    <x v="1"/>
    <x v="4"/>
    <n v="4"/>
    <d v="1899-12-30T00:07:09"/>
    <n v="7.15"/>
  </r>
  <r>
    <x v="12"/>
    <x v="1"/>
    <x v="5"/>
    <n v="33"/>
    <d v="1899-12-30T00:42:58"/>
    <n v="42.966666666666669"/>
  </r>
  <r>
    <x v="12"/>
    <x v="2"/>
    <x v="0"/>
    <n v="47"/>
    <d v="1899-12-30T01:17:07"/>
    <n v="77.11666666666666"/>
  </r>
  <r>
    <x v="12"/>
    <x v="2"/>
    <x v="1"/>
    <n v="39"/>
    <d v="1899-12-30T01:11:13"/>
    <n v="71.216666666666669"/>
  </r>
  <r>
    <x v="12"/>
    <x v="2"/>
    <x v="2"/>
    <n v="26"/>
    <d v="1899-12-30T00:42:11"/>
    <n v="42.18333333333333"/>
  </r>
  <r>
    <x v="12"/>
    <x v="2"/>
    <x v="3"/>
    <n v="8"/>
    <d v="1899-12-30T00:10:33"/>
    <n v="10.55"/>
  </r>
  <r>
    <x v="12"/>
    <x v="2"/>
    <x v="4"/>
    <n v="20"/>
    <d v="1899-12-30T00:23:40"/>
    <n v="23.666666666666668"/>
  </r>
  <r>
    <x v="12"/>
    <x v="2"/>
    <x v="5"/>
    <n v="15"/>
    <d v="1899-12-30T00:17:57"/>
    <n v="17.95"/>
  </r>
  <r>
    <x v="12"/>
    <x v="3"/>
    <x v="0"/>
    <n v="26"/>
    <d v="1899-12-30T00:44:29"/>
    <n v="44.483333333333334"/>
  </r>
  <r>
    <x v="12"/>
    <x v="3"/>
    <x v="1"/>
    <n v="12"/>
    <d v="1899-12-30T00:18:12"/>
    <n v="18.2"/>
  </r>
  <r>
    <x v="12"/>
    <x v="3"/>
    <x v="2"/>
    <n v="7"/>
    <d v="1899-12-30T00:13:42"/>
    <n v="13.7"/>
  </r>
  <r>
    <x v="12"/>
    <x v="3"/>
    <x v="3"/>
    <n v="4"/>
    <d v="1899-12-30T00:05:40"/>
    <n v="5.666666666666667"/>
  </r>
  <r>
    <x v="12"/>
    <x v="3"/>
    <x v="4"/>
    <n v="2"/>
    <d v="1899-12-30T00:06:06"/>
    <n v="6.1"/>
  </r>
  <r>
    <x v="12"/>
    <x v="3"/>
    <x v="5"/>
    <n v="5"/>
    <d v="1899-12-30T00:08:53"/>
    <n v="8.8833333333333329"/>
  </r>
  <r>
    <x v="12"/>
    <x v="4"/>
    <x v="0"/>
    <n v="42"/>
    <d v="1899-12-30T01:03:41"/>
    <n v="63.68333333333333"/>
  </r>
  <r>
    <x v="12"/>
    <x v="4"/>
    <x v="1"/>
    <n v="46"/>
    <d v="1899-12-30T00:57:14"/>
    <n v="57.233333333333334"/>
  </r>
  <r>
    <x v="12"/>
    <x v="4"/>
    <x v="2"/>
    <n v="24"/>
    <d v="1899-12-30T00:36:45"/>
    <n v="36.75"/>
  </r>
  <r>
    <x v="12"/>
    <x v="4"/>
    <x v="3"/>
    <n v="4"/>
    <d v="1899-12-30T00:04:39"/>
    <n v="4.6500000000000004"/>
  </r>
  <r>
    <x v="12"/>
    <x v="4"/>
    <x v="4"/>
    <n v="8"/>
    <d v="1899-12-30T00:03:45"/>
    <n v="3.75"/>
  </r>
  <r>
    <x v="12"/>
    <x v="4"/>
    <x v="5"/>
    <n v="15"/>
    <d v="1899-12-30T00:12:25"/>
    <n v="12.416666666666666"/>
  </r>
  <r>
    <x v="12"/>
    <x v="5"/>
    <x v="0"/>
    <n v="31"/>
    <d v="1899-12-30T00:57:17"/>
    <n v="57.283333333333331"/>
  </r>
  <r>
    <x v="12"/>
    <x v="5"/>
    <x v="1"/>
    <n v="32"/>
    <d v="1899-12-30T00:59:21"/>
    <n v="59.35"/>
  </r>
  <r>
    <x v="12"/>
    <x v="5"/>
    <x v="2"/>
    <n v="20"/>
    <d v="1899-12-30T00:30:03"/>
    <n v="30.05"/>
  </r>
  <r>
    <x v="12"/>
    <x v="5"/>
    <x v="3"/>
    <n v="6"/>
    <d v="1899-12-30T00:07:11"/>
    <n v="7.1833333333333336"/>
  </r>
  <r>
    <x v="12"/>
    <x v="5"/>
    <x v="4"/>
    <n v="2"/>
    <d v="1899-12-30T00:02:34"/>
    <n v="2.5666666666666664"/>
  </r>
  <r>
    <x v="12"/>
    <x v="5"/>
    <x v="5"/>
    <n v="18"/>
    <d v="1899-12-30T00:23:55"/>
    <n v="23.916666666666668"/>
  </r>
  <r>
    <x v="12"/>
    <x v="6"/>
    <x v="0"/>
    <n v="10"/>
    <d v="1899-12-30T00:22:32"/>
    <n v="22.533333333333335"/>
  </r>
  <r>
    <x v="12"/>
    <x v="6"/>
    <x v="1"/>
    <n v="10"/>
    <d v="1899-12-30T00:20:47"/>
    <n v="20.783333333333335"/>
  </r>
  <r>
    <x v="12"/>
    <x v="6"/>
    <x v="2"/>
    <n v="11"/>
    <d v="1899-12-30T00:19:35"/>
    <n v="19.583333333333332"/>
  </r>
  <r>
    <x v="12"/>
    <x v="6"/>
    <x v="3"/>
    <n v="6"/>
    <d v="1899-12-30T00:09:12"/>
    <n v="9.1999999999999993"/>
  </r>
  <r>
    <x v="12"/>
    <x v="6"/>
    <x v="4"/>
    <n v="4"/>
    <d v="1899-12-30T00:04:38"/>
    <n v="4.6333333333333329"/>
  </r>
  <r>
    <x v="12"/>
    <x v="6"/>
    <x v="5"/>
    <n v="2"/>
    <d v="1899-12-30T00:03:13"/>
    <n v="3.2166666666666668"/>
  </r>
  <r>
    <x v="12"/>
    <x v="7"/>
    <x v="0"/>
    <n v="79"/>
    <d v="1899-12-30T01:54:54"/>
    <n v="114.9"/>
  </r>
  <r>
    <x v="12"/>
    <x v="7"/>
    <x v="1"/>
    <n v="88"/>
    <d v="1899-12-30T02:18:53"/>
    <n v="138.88333333333333"/>
  </r>
  <r>
    <x v="12"/>
    <x v="7"/>
    <x v="2"/>
    <n v="79"/>
    <d v="1899-12-30T02:13:57"/>
    <n v="133.94999999999999"/>
  </r>
  <r>
    <x v="12"/>
    <x v="7"/>
    <x v="3"/>
    <n v="31"/>
    <d v="1899-12-30T00:46:18"/>
    <n v="46.3"/>
  </r>
  <r>
    <x v="12"/>
    <x v="7"/>
    <x v="4"/>
    <n v="138"/>
    <d v="1899-12-30T03:09:22"/>
    <n v="189.36666666666667"/>
  </r>
  <r>
    <x v="12"/>
    <x v="7"/>
    <x v="5"/>
    <n v="28"/>
    <d v="1899-12-30T00:31:18"/>
    <n v="31.3"/>
  </r>
  <r>
    <x v="12"/>
    <x v="8"/>
    <x v="0"/>
    <n v="54"/>
    <d v="1899-12-30T01:32:25"/>
    <n v="92.416666666666671"/>
  </r>
  <r>
    <x v="12"/>
    <x v="8"/>
    <x v="1"/>
    <n v="38"/>
    <d v="1899-12-30T01:02:34"/>
    <n v="62.56666666666667"/>
  </r>
  <r>
    <x v="12"/>
    <x v="8"/>
    <x v="2"/>
    <n v="34"/>
    <d v="1899-12-30T01:01:58"/>
    <n v="61.966666666666669"/>
  </r>
  <r>
    <x v="12"/>
    <x v="8"/>
    <x v="3"/>
    <n v="18"/>
    <d v="1899-12-30T00:22:34"/>
    <n v="22.566666666666666"/>
  </r>
  <r>
    <x v="12"/>
    <x v="8"/>
    <x v="4"/>
    <n v="23"/>
    <d v="1899-12-30T00:16:13"/>
    <n v="16.216666666666665"/>
  </r>
  <r>
    <x v="12"/>
    <x v="8"/>
    <x v="5"/>
    <n v="28"/>
    <d v="1899-12-30T00:31:06"/>
    <n v="31.1"/>
  </r>
  <r>
    <x v="12"/>
    <x v="9"/>
    <x v="0"/>
    <n v="26"/>
    <d v="1899-12-30T00:35:46"/>
    <n v="35.766666666666666"/>
  </r>
  <r>
    <x v="12"/>
    <x v="9"/>
    <x v="1"/>
    <n v="28"/>
    <d v="1899-12-30T00:42:43"/>
    <n v="42.716666666666669"/>
  </r>
  <r>
    <x v="12"/>
    <x v="9"/>
    <x v="2"/>
    <n v="26"/>
    <d v="1899-12-30T00:47:30"/>
    <n v="47.5"/>
  </r>
  <r>
    <x v="12"/>
    <x v="9"/>
    <x v="3"/>
    <n v="11"/>
    <d v="1899-12-30T00:14:35"/>
    <n v="14.583333333333334"/>
  </r>
  <r>
    <x v="12"/>
    <x v="9"/>
    <x v="4"/>
    <n v="20"/>
    <d v="1899-12-30T00:39:32"/>
    <n v="39.533333333333331"/>
  </r>
  <r>
    <x v="12"/>
    <x v="9"/>
    <x v="5"/>
    <n v="10"/>
    <d v="1899-12-30T00:13:42"/>
    <n v="13.7"/>
  </r>
  <r>
    <x v="12"/>
    <x v="10"/>
    <x v="0"/>
    <n v="50"/>
    <d v="1899-12-30T01:27:32"/>
    <n v="87.533333333333331"/>
  </r>
  <r>
    <x v="12"/>
    <x v="10"/>
    <x v="1"/>
    <n v="42"/>
    <d v="1899-12-30T01:09:02"/>
    <n v="69.033333333333331"/>
  </r>
  <r>
    <x v="12"/>
    <x v="10"/>
    <x v="2"/>
    <n v="24"/>
    <d v="1899-12-30T00:41:38"/>
    <n v="41.633333333333333"/>
  </r>
  <r>
    <x v="12"/>
    <x v="10"/>
    <x v="3"/>
    <n v="9"/>
    <d v="1899-12-30T00:10:51"/>
    <n v="10.85"/>
  </r>
  <r>
    <x v="12"/>
    <x v="10"/>
    <x v="4"/>
    <n v="27"/>
    <d v="1899-12-30T00:48:47"/>
    <n v="48.783333333333331"/>
  </r>
  <r>
    <x v="12"/>
    <x v="10"/>
    <x v="5"/>
    <n v="15"/>
    <d v="1899-12-30T00:19:16"/>
    <n v="19.266666666666666"/>
  </r>
  <r>
    <x v="12"/>
    <x v="11"/>
    <x v="0"/>
    <n v="22"/>
    <d v="1899-12-30T00:33:29"/>
    <n v="33.483333333333334"/>
  </r>
  <r>
    <x v="12"/>
    <x v="11"/>
    <x v="1"/>
    <n v="17"/>
    <d v="1899-12-30T00:25:56"/>
    <n v="25.933333333333334"/>
  </r>
  <r>
    <x v="12"/>
    <x v="11"/>
    <x v="2"/>
    <n v="17"/>
    <d v="1899-12-30T00:25:05"/>
    <n v="25.083333333333332"/>
  </r>
  <r>
    <x v="12"/>
    <x v="11"/>
    <x v="3"/>
    <n v="1"/>
    <d v="1899-12-30T00:01:30"/>
    <n v="1.5"/>
  </r>
  <r>
    <x v="12"/>
    <x v="11"/>
    <x v="4"/>
    <n v="7"/>
    <d v="1899-12-30T00:11:34"/>
    <n v="11.566666666666666"/>
  </r>
  <r>
    <x v="12"/>
    <x v="11"/>
    <x v="5"/>
    <n v="9"/>
    <d v="1899-12-30T00:06:08"/>
    <n v="6.1333333333333337"/>
  </r>
  <r>
    <x v="12"/>
    <x v="12"/>
    <x v="0"/>
    <n v="159"/>
    <d v="1899-12-30T04:06:01"/>
    <n v="246.01666666666668"/>
  </r>
  <r>
    <x v="12"/>
    <x v="12"/>
    <x v="1"/>
    <n v="142"/>
    <d v="1899-12-30T04:11:51"/>
    <n v="251.85"/>
  </r>
  <r>
    <x v="12"/>
    <x v="12"/>
    <x v="2"/>
    <n v="100"/>
    <d v="1899-12-30T02:53:35"/>
    <n v="173.58333333333334"/>
  </r>
  <r>
    <x v="12"/>
    <x v="12"/>
    <x v="3"/>
    <n v="34"/>
    <d v="1899-12-30T00:45:16"/>
    <n v="45.266666666666666"/>
  </r>
  <r>
    <x v="12"/>
    <x v="12"/>
    <x v="4"/>
    <n v="43"/>
    <d v="1899-12-30T00:57:17"/>
    <n v="57.283333333333331"/>
  </r>
  <r>
    <x v="12"/>
    <x v="12"/>
    <x v="5"/>
    <n v="55"/>
    <d v="1899-12-30T01:07:12"/>
    <n v="67.2"/>
  </r>
  <r>
    <x v="12"/>
    <x v="13"/>
    <x v="0"/>
    <n v="40"/>
    <d v="1899-12-30T00:51:21"/>
    <n v="51.35"/>
  </r>
  <r>
    <x v="12"/>
    <x v="13"/>
    <x v="1"/>
    <n v="42"/>
    <d v="1899-12-30T00:46:56"/>
    <n v="46.93333333333333"/>
  </r>
  <r>
    <x v="12"/>
    <x v="13"/>
    <x v="2"/>
    <n v="26"/>
    <d v="1899-12-30T00:37:11"/>
    <n v="37.18333333333333"/>
  </r>
  <r>
    <x v="12"/>
    <x v="13"/>
    <x v="3"/>
    <n v="5"/>
    <d v="1899-12-30T00:04:11"/>
    <n v="4.1833333333333336"/>
  </r>
  <r>
    <x v="12"/>
    <x v="13"/>
    <x v="4"/>
    <n v="2"/>
    <d v="1899-12-30T00:03:11"/>
    <n v="3.1833333333333331"/>
  </r>
  <r>
    <x v="12"/>
    <x v="13"/>
    <x v="5"/>
    <n v="35"/>
    <d v="1899-12-30T00:31:31"/>
    <n v="31.516666666666666"/>
  </r>
  <r>
    <x v="13"/>
    <x v="0"/>
    <x v="0"/>
    <n v="13"/>
    <d v="1899-12-30T00:21:43"/>
    <n v="21.716666666666665"/>
  </r>
  <r>
    <x v="13"/>
    <x v="0"/>
    <x v="1"/>
    <n v="16"/>
    <d v="1899-12-30T00:20:38"/>
    <n v="20.633333333333333"/>
  </r>
  <r>
    <x v="13"/>
    <x v="0"/>
    <x v="2"/>
    <n v="7"/>
    <d v="1899-12-30T00:08:33"/>
    <n v="8.5500000000000007"/>
  </r>
  <r>
    <x v="13"/>
    <x v="0"/>
    <x v="3"/>
    <n v="5"/>
    <d v="1899-12-30T00:07:04"/>
    <n v="7.0666666666666664"/>
  </r>
  <r>
    <x v="13"/>
    <x v="0"/>
    <x v="4"/>
    <n v="12"/>
    <d v="1899-12-30T00:12:57"/>
    <n v="12.95"/>
  </r>
  <r>
    <x v="13"/>
    <x v="0"/>
    <x v="5"/>
    <n v="13"/>
    <d v="1899-12-30T00:05:37"/>
    <n v="5.6166666666666671"/>
  </r>
  <r>
    <x v="13"/>
    <x v="1"/>
    <x v="0"/>
    <n v="42"/>
    <d v="1899-12-30T01:15:15"/>
    <n v="75.25"/>
  </r>
  <r>
    <x v="13"/>
    <x v="1"/>
    <x v="1"/>
    <n v="47"/>
    <d v="1899-12-30T01:34:17"/>
    <n v="94.283333333333331"/>
  </r>
  <r>
    <x v="13"/>
    <x v="1"/>
    <x v="2"/>
    <n v="26"/>
    <d v="1899-12-30T00:52:06"/>
    <n v="52.1"/>
  </r>
  <r>
    <x v="13"/>
    <x v="1"/>
    <x v="3"/>
    <n v="11"/>
    <d v="1899-12-30T00:15:58"/>
    <n v="15.966666666666667"/>
  </r>
  <r>
    <x v="13"/>
    <x v="1"/>
    <x v="4"/>
    <n v="2"/>
    <d v="1899-12-30T00:00:45"/>
    <n v="0.75"/>
  </r>
  <r>
    <x v="13"/>
    <x v="1"/>
    <x v="5"/>
    <n v="21"/>
    <d v="1899-12-30T00:22:22"/>
    <n v="22.366666666666667"/>
  </r>
  <r>
    <x v="13"/>
    <x v="2"/>
    <x v="0"/>
    <n v="46"/>
    <d v="1899-12-30T01:08:31"/>
    <n v="68.516666666666666"/>
  </r>
  <r>
    <x v="13"/>
    <x v="2"/>
    <x v="1"/>
    <n v="44"/>
    <d v="1899-12-30T01:17:49"/>
    <n v="77.816666666666663"/>
  </r>
  <r>
    <x v="13"/>
    <x v="2"/>
    <x v="2"/>
    <n v="18"/>
    <d v="1899-12-30T00:36:10"/>
    <n v="36.166666666666664"/>
  </r>
  <r>
    <x v="13"/>
    <x v="2"/>
    <x v="3"/>
    <n v="11"/>
    <d v="1899-12-30T00:16:08"/>
    <n v="16.133333333333333"/>
  </r>
  <r>
    <x v="13"/>
    <x v="2"/>
    <x v="4"/>
    <n v="11"/>
    <d v="1899-12-30T00:15:56"/>
    <n v="15.933333333333334"/>
  </r>
  <r>
    <x v="13"/>
    <x v="2"/>
    <x v="5"/>
    <n v="18"/>
    <d v="1899-12-30T00:17:49"/>
    <n v="17.816666666666666"/>
  </r>
  <r>
    <x v="13"/>
    <x v="3"/>
    <x v="0"/>
    <n v="6"/>
    <d v="1899-12-30T00:10:13"/>
    <n v="10.216666666666667"/>
  </r>
  <r>
    <x v="13"/>
    <x v="3"/>
    <x v="1"/>
    <n v="6"/>
    <d v="1899-12-30T00:15:09"/>
    <n v="15.15"/>
  </r>
  <r>
    <x v="13"/>
    <x v="3"/>
    <x v="2"/>
    <n v="2"/>
    <d v="1899-12-30T00:04:24"/>
    <n v="4.4000000000000004"/>
  </r>
  <r>
    <x v="13"/>
    <x v="3"/>
    <x v="3"/>
    <n v="0"/>
    <d v="1899-12-30T00:00:00"/>
    <n v="0"/>
  </r>
  <r>
    <x v="13"/>
    <x v="3"/>
    <x v="4"/>
    <n v="3"/>
    <d v="1899-12-30T00:05:57"/>
    <n v="5.95"/>
  </r>
  <r>
    <x v="13"/>
    <x v="3"/>
    <x v="5"/>
    <n v="1"/>
    <d v="1899-12-30T00:01:43"/>
    <n v="1.7166666666666668"/>
  </r>
  <r>
    <x v="13"/>
    <x v="4"/>
    <x v="0"/>
    <n v="32"/>
    <d v="1899-12-30T00:50:56"/>
    <n v="50.93333333333333"/>
  </r>
  <r>
    <x v="13"/>
    <x v="4"/>
    <x v="1"/>
    <n v="21"/>
    <d v="1899-12-30T00:35:39"/>
    <n v="35.65"/>
  </r>
  <r>
    <x v="13"/>
    <x v="4"/>
    <x v="2"/>
    <n v="19"/>
    <d v="1899-12-30T00:30:13"/>
    <n v="30.216666666666665"/>
  </r>
  <r>
    <x v="13"/>
    <x v="4"/>
    <x v="3"/>
    <n v="8"/>
    <d v="1899-12-30T00:11:45"/>
    <n v="11.75"/>
  </r>
  <r>
    <x v="13"/>
    <x v="4"/>
    <x v="4"/>
    <n v="9"/>
    <d v="1899-12-30T00:09:49"/>
    <n v="9.8166666666666664"/>
  </r>
  <r>
    <x v="13"/>
    <x v="4"/>
    <x v="5"/>
    <n v="11"/>
    <d v="1899-12-30T00:11:07"/>
    <n v="11.116666666666667"/>
  </r>
  <r>
    <x v="13"/>
    <x v="5"/>
    <x v="0"/>
    <n v="32"/>
    <d v="1899-12-30T00:48:15"/>
    <n v="48.25"/>
  </r>
  <r>
    <x v="13"/>
    <x v="5"/>
    <x v="1"/>
    <n v="28"/>
    <d v="1899-12-30T00:43:05"/>
    <n v="43.083333333333336"/>
  </r>
  <r>
    <x v="13"/>
    <x v="5"/>
    <x v="2"/>
    <n v="27"/>
    <d v="1899-12-30T00:47:01"/>
    <n v="47.016666666666666"/>
  </r>
  <r>
    <x v="13"/>
    <x v="5"/>
    <x v="3"/>
    <n v="10"/>
    <d v="1899-12-30T00:17:09"/>
    <n v="17.149999999999999"/>
  </r>
  <r>
    <x v="13"/>
    <x v="5"/>
    <x v="4"/>
    <n v="7"/>
    <d v="1899-12-30T00:09:10"/>
    <n v="9.1666666666666661"/>
  </r>
  <r>
    <x v="13"/>
    <x v="5"/>
    <x v="5"/>
    <n v="12"/>
    <d v="1899-12-30T00:15:57"/>
    <n v="15.95"/>
  </r>
  <r>
    <x v="13"/>
    <x v="6"/>
    <x v="0"/>
    <n v="11"/>
    <d v="1899-12-30T00:14:31"/>
    <n v="14.516666666666667"/>
  </r>
  <r>
    <x v="13"/>
    <x v="6"/>
    <x v="1"/>
    <n v="3"/>
    <d v="1899-12-30T00:04:55"/>
    <n v="4.916666666666667"/>
  </r>
  <r>
    <x v="13"/>
    <x v="6"/>
    <x v="2"/>
    <n v="2"/>
    <d v="1899-12-30T00:03:47"/>
    <n v="3.7833333333333332"/>
  </r>
  <r>
    <x v="13"/>
    <x v="6"/>
    <x v="3"/>
    <n v="2"/>
    <d v="1899-12-30T00:03:44"/>
    <n v="3.7333333333333334"/>
  </r>
  <r>
    <x v="13"/>
    <x v="6"/>
    <x v="4"/>
    <n v="4"/>
    <d v="1899-12-30T00:02:19"/>
    <n v="2.3166666666666664"/>
  </r>
  <r>
    <x v="13"/>
    <x v="6"/>
    <x v="5"/>
    <n v="1"/>
    <d v="1899-12-30T00:02:03"/>
    <n v="2.0499999999999998"/>
  </r>
  <r>
    <x v="13"/>
    <x v="7"/>
    <x v="0"/>
    <n v="42"/>
    <d v="1899-12-30T01:06:54"/>
    <n v="66.900000000000006"/>
  </r>
  <r>
    <x v="13"/>
    <x v="7"/>
    <x v="1"/>
    <n v="40"/>
    <d v="1899-12-30T00:57:57"/>
    <n v="57.95"/>
  </r>
  <r>
    <x v="13"/>
    <x v="7"/>
    <x v="2"/>
    <n v="45"/>
    <d v="1899-12-30T01:23:11"/>
    <n v="83.183333333333337"/>
  </r>
  <r>
    <x v="13"/>
    <x v="7"/>
    <x v="3"/>
    <n v="30"/>
    <d v="1899-12-30T00:45:18"/>
    <n v="45.3"/>
  </r>
  <r>
    <x v="13"/>
    <x v="7"/>
    <x v="4"/>
    <n v="104"/>
    <d v="1899-12-30T02:21:47"/>
    <n v="141.78333333333333"/>
  </r>
  <r>
    <x v="13"/>
    <x v="7"/>
    <x v="5"/>
    <n v="20"/>
    <d v="1899-12-30T00:11:51"/>
    <n v="11.85"/>
  </r>
  <r>
    <x v="13"/>
    <x v="8"/>
    <x v="0"/>
    <n v="49"/>
    <d v="1899-12-30T01:41:39"/>
    <n v="101.65"/>
  </r>
  <r>
    <x v="13"/>
    <x v="8"/>
    <x v="1"/>
    <n v="44"/>
    <d v="1899-12-30T01:19:38"/>
    <n v="79.63333333333334"/>
  </r>
  <r>
    <x v="13"/>
    <x v="8"/>
    <x v="2"/>
    <n v="27"/>
    <d v="1899-12-30T00:56:09"/>
    <n v="56.15"/>
  </r>
  <r>
    <x v="13"/>
    <x v="8"/>
    <x v="3"/>
    <n v="17"/>
    <d v="1899-12-30T00:24:58"/>
    <n v="24.966666666666665"/>
  </r>
  <r>
    <x v="13"/>
    <x v="8"/>
    <x v="4"/>
    <n v="17"/>
    <d v="1899-12-30T00:20:03"/>
    <n v="20.05"/>
  </r>
  <r>
    <x v="13"/>
    <x v="8"/>
    <x v="5"/>
    <n v="21"/>
    <d v="1899-12-30T00:23:50"/>
    <n v="23.833333333333332"/>
  </r>
  <r>
    <x v="13"/>
    <x v="9"/>
    <x v="0"/>
    <n v="29"/>
    <d v="1899-12-30T00:43:38"/>
    <n v="43.633333333333333"/>
  </r>
  <r>
    <x v="13"/>
    <x v="9"/>
    <x v="1"/>
    <n v="21"/>
    <d v="1899-12-30T00:33:42"/>
    <n v="33.700000000000003"/>
  </r>
  <r>
    <x v="13"/>
    <x v="9"/>
    <x v="2"/>
    <n v="23"/>
    <d v="1899-12-30T00:41:03"/>
    <n v="41.05"/>
  </r>
  <r>
    <x v="13"/>
    <x v="9"/>
    <x v="3"/>
    <n v="9"/>
    <d v="1899-12-30T00:10:39"/>
    <n v="10.65"/>
  </r>
  <r>
    <x v="13"/>
    <x v="9"/>
    <x v="4"/>
    <n v="11"/>
    <d v="1899-12-30T00:13:17"/>
    <n v="13.283333333333333"/>
  </r>
  <r>
    <x v="13"/>
    <x v="9"/>
    <x v="5"/>
    <n v="8"/>
    <d v="1899-12-30T00:08:45"/>
    <n v="8.75"/>
  </r>
  <r>
    <x v="13"/>
    <x v="10"/>
    <x v="0"/>
    <n v="99"/>
    <d v="1899-12-30T02:23:55"/>
    <n v="143.91666666666666"/>
  </r>
  <r>
    <x v="13"/>
    <x v="10"/>
    <x v="1"/>
    <n v="94"/>
    <d v="1899-12-30T02:28:35"/>
    <n v="148.58333333333334"/>
  </r>
  <r>
    <x v="13"/>
    <x v="10"/>
    <x v="2"/>
    <n v="54"/>
    <d v="1899-12-30T01:33:28"/>
    <n v="93.466666666666669"/>
  </r>
  <r>
    <x v="13"/>
    <x v="10"/>
    <x v="3"/>
    <n v="29"/>
    <d v="1899-12-30T00:35:32"/>
    <n v="35.533333333333331"/>
  </r>
  <r>
    <x v="13"/>
    <x v="10"/>
    <x v="4"/>
    <n v="38"/>
    <d v="1899-12-30T00:57:05"/>
    <n v="57.083333333333336"/>
  </r>
  <r>
    <x v="13"/>
    <x v="10"/>
    <x v="5"/>
    <n v="36"/>
    <d v="1899-12-30T00:51:47"/>
    <n v="51.783333333333331"/>
  </r>
  <r>
    <x v="13"/>
    <x v="11"/>
    <x v="0"/>
    <n v="19"/>
    <d v="1899-12-30T00:35:59"/>
    <n v="35.983333333333334"/>
  </r>
  <r>
    <x v="13"/>
    <x v="11"/>
    <x v="1"/>
    <n v="12"/>
    <d v="1899-12-30T00:20:10"/>
    <n v="20.166666666666668"/>
  </r>
  <r>
    <x v="13"/>
    <x v="11"/>
    <x v="2"/>
    <n v="11"/>
    <d v="1899-12-30T00:19:31"/>
    <n v="19.516666666666666"/>
  </r>
  <r>
    <x v="13"/>
    <x v="11"/>
    <x v="3"/>
    <n v="5"/>
    <d v="1899-12-30T00:07:29"/>
    <n v="7.4833333333333334"/>
  </r>
  <r>
    <x v="13"/>
    <x v="11"/>
    <x v="4"/>
    <n v="3"/>
    <d v="1899-12-30T00:02:33"/>
    <n v="2.5499999999999998"/>
  </r>
  <r>
    <x v="13"/>
    <x v="11"/>
    <x v="5"/>
    <n v="4"/>
    <d v="1899-12-30T00:02:39"/>
    <n v="2.65"/>
  </r>
  <r>
    <x v="13"/>
    <x v="12"/>
    <x v="0"/>
    <n v="124"/>
    <d v="1899-12-30T03:16:29"/>
    <n v="196.48333333333332"/>
  </r>
  <r>
    <x v="13"/>
    <x v="12"/>
    <x v="1"/>
    <n v="104"/>
    <d v="1899-12-30T02:49:02"/>
    <n v="169.03333333333333"/>
  </r>
  <r>
    <x v="13"/>
    <x v="12"/>
    <x v="2"/>
    <n v="76"/>
    <d v="1899-12-30T02:10:53"/>
    <n v="130.88333333333333"/>
  </r>
  <r>
    <x v="13"/>
    <x v="12"/>
    <x v="3"/>
    <n v="40"/>
    <d v="1899-12-30T00:53:41"/>
    <n v="53.68333333333333"/>
  </r>
  <r>
    <x v="13"/>
    <x v="12"/>
    <x v="4"/>
    <n v="55"/>
    <d v="1899-12-30T01:19:56"/>
    <n v="79.933333333333337"/>
  </r>
  <r>
    <x v="13"/>
    <x v="12"/>
    <x v="5"/>
    <n v="58"/>
    <d v="1899-12-30T01:11:15"/>
    <n v="71.25"/>
  </r>
  <r>
    <x v="13"/>
    <x v="13"/>
    <x v="0"/>
    <n v="45"/>
    <d v="1899-12-30T01:08:01"/>
    <n v="68.016666666666666"/>
  </r>
  <r>
    <x v="13"/>
    <x v="13"/>
    <x v="1"/>
    <n v="69"/>
    <d v="1899-12-30T01:36:46"/>
    <n v="96.766666666666666"/>
  </r>
  <r>
    <x v="13"/>
    <x v="13"/>
    <x v="2"/>
    <n v="42"/>
    <d v="1899-12-30T00:58:02"/>
    <n v="58.033333333333331"/>
  </r>
  <r>
    <x v="13"/>
    <x v="13"/>
    <x v="3"/>
    <n v="5"/>
    <d v="1899-12-30T00:05:36"/>
    <n v="5.6"/>
  </r>
  <r>
    <x v="13"/>
    <x v="13"/>
    <x v="4"/>
    <n v="5"/>
    <d v="1899-12-30T00:07:12"/>
    <n v="7.2"/>
  </r>
  <r>
    <x v="13"/>
    <x v="13"/>
    <x v="5"/>
    <n v="42"/>
    <d v="1899-12-30T00:48:54"/>
    <n v="48.9"/>
  </r>
  <r>
    <x v="14"/>
    <x v="0"/>
    <x v="0"/>
    <n v="25"/>
    <d v="1899-12-30T00:36:02"/>
    <n v="36.033333333333331"/>
  </r>
  <r>
    <x v="14"/>
    <x v="0"/>
    <x v="1"/>
    <n v="18"/>
    <d v="1899-12-30T00:24:42"/>
    <n v="24.7"/>
  </r>
  <r>
    <x v="14"/>
    <x v="0"/>
    <x v="2"/>
    <n v="7"/>
    <d v="1899-12-30T00:09:48"/>
    <n v="9.8000000000000007"/>
  </r>
  <r>
    <x v="14"/>
    <x v="0"/>
    <x v="3"/>
    <n v="4"/>
    <d v="1899-12-30T00:05:38"/>
    <n v="5.6333333333333329"/>
  </r>
  <r>
    <x v="14"/>
    <x v="0"/>
    <x v="4"/>
    <n v="3"/>
    <d v="1899-12-30T00:01:05"/>
    <n v="1.0833333333333333"/>
  </r>
  <r>
    <x v="14"/>
    <x v="0"/>
    <x v="5"/>
    <n v="7"/>
    <d v="1899-12-30T00:08:20"/>
    <n v="8.3333333333333339"/>
  </r>
  <r>
    <x v="14"/>
    <x v="1"/>
    <x v="0"/>
    <n v="46"/>
    <d v="1899-12-30T01:27:11"/>
    <n v="87.183333333333337"/>
  </r>
  <r>
    <x v="14"/>
    <x v="1"/>
    <x v="1"/>
    <n v="48"/>
    <d v="1899-12-30T01:19:49"/>
    <n v="79.816666666666663"/>
  </r>
  <r>
    <x v="14"/>
    <x v="1"/>
    <x v="2"/>
    <n v="28"/>
    <d v="1899-12-30T00:51:36"/>
    <n v="51.6"/>
  </r>
  <r>
    <x v="14"/>
    <x v="1"/>
    <x v="3"/>
    <n v="12"/>
    <d v="1899-12-30T00:16:09"/>
    <n v="16.149999999999999"/>
  </r>
  <r>
    <x v="14"/>
    <x v="1"/>
    <x v="4"/>
    <n v="2"/>
    <d v="1899-12-30T00:01:05"/>
    <n v="1.0833333333333333"/>
  </r>
  <r>
    <x v="14"/>
    <x v="1"/>
    <x v="5"/>
    <n v="16"/>
    <d v="1899-12-30T00:23:07"/>
    <n v="23.116666666666667"/>
  </r>
  <r>
    <x v="14"/>
    <x v="2"/>
    <x v="0"/>
    <n v="37"/>
    <d v="1899-12-30T00:56:20"/>
    <n v="56.333333333333336"/>
  </r>
  <r>
    <x v="14"/>
    <x v="2"/>
    <x v="1"/>
    <n v="29"/>
    <d v="1899-12-30T00:59:12"/>
    <n v="59.2"/>
  </r>
  <r>
    <x v="14"/>
    <x v="2"/>
    <x v="2"/>
    <n v="18"/>
    <d v="1899-12-30T00:34:50"/>
    <n v="34.833333333333336"/>
  </r>
  <r>
    <x v="14"/>
    <x v="2"/>
    <x v="3"/>
    <n v="9"/>
    <d v="1899-12-30T00:12:50"/>
    <n v="12.833333333333334"/>
  </r>
  <r>
    <x v="14"/>
    <x v="2"/>
    <x v="4"/>
    <n v="12"/>
    <d v="1899-12-30T00:11:46"/>
    <n v="11.766666666666667"/>
  </r>
  <r>
    <x v="14"/>
    <x v="2"/>
    <x v="5"/>
    <n v="7"/>
    <d v="1899-12-30T00:08:47"/>
    <n v="8.7833333333333332"/>
  </r>
  <r>
    <x v="14"/>
    <x v="3"/>
    <x v="0"/>
    <n v="37"/>
    <d v="1899-12-30T01:01:14"/>
    <n v="61.233333333333334"/>
  </r>
  <r>
    <x v="14"/>
    <x v="3"/>
    <x v="1"/>
    <n v="46"/>
    <d v="1899-12-30T01:12:41"/>
    <n v="72.683333333333337"/>
  </r>
  <r>
    <x v="14"/>
    <x v="3"/>
    <x v="2"/>
    <n v="30"/>
    <d v="1899-12-30T00:54:08"/>
    <n v="54.133333333333333"/>
  </r>
  <r>
    <x v="14"/>
    <x v="3"/>
    <x v="3"/>
    <n v="9"/>
    <d v="1899-12-30T00:11:03"/>
    <n v="11.05"/>
  </r>
  <r>
    <x v="14"/>
    <x v="3"/>
    <x v="4"/>
    <n v="10"/>
    <d v="1899-12-30T00:17:02"/>
    <n v="17.033333333333335"/>
  </r>
  <r>
    <x v="14"/>
    <x v="3"/>
    <x v="5"/>
    <n v="20"/>
    <d v="1899-12-30T00:33:01"/>
    <n v="33.016666666666666"/>
  </r>
  <r>
    <x v="14"/>
    <x v="4"/>
    <x v="0"/>
    <n v="40"/>
    <d v="1899-12-30T01:04:02"/>
    <n v="64.033333333333331"/>
  </r>
  <r>
    <x v="14"/>
    <x v="4"/>
    <x v="1"/>
    <n v="24"/>
    <d v="1899-12-30T00:30:44"/>
    <n v="30.733333333333334"/>
  </r>
  <r>
    <x v="14"/>
    <x v="4"/>
    <x v="2"/>
    <n v="20"/>
    <d v="1899-12-30T00:28:25"/>
    <n v="28.416666666666668"/>
  </r>
  <r>
    <x v="14"/>
    <x v="4"/>
    <x v="3"/>
    <n v="4"/>
    <d v="1899-12-30T00:05:13"/>
    <n v="5.2166666666666668"/>
  </r>
  <r>
    <x v="14"/>
    <x v="4"/>
    <x v="4"/>
    <n v="18"/>
    <d v="1899-12-30T00:30:17"/>
    <n v="30.283333333333335"/>
  </r>
  <r>
    <x v="14"/>
    <x v="4"/>
    <x v="5"/>
    <n v="6"/>
    <d v="1899-12-30T00:05:50"/>
    <n v="5.833333333333333"/>
  </r>
  <r>
    <x v="14"/>
    <x v="5"/>
    <x v="0"/>
    <n v="16"/>
    <d v="1899-12-30T00:23:29"/>
    <n v="23.483333333333334"/>
  </r>
  <r>
    <x v="14"/>
    <x v="5"/>
    <x v="1"/>
    <n v="8"/>
    <d v="1899-12-30T00:19:46"/>
    <n v="19.766666666666666"/>
  </r>
  <r>
    <x v="14"/>
    <x v="5"/>
    <x v="2"/>
    <n v="13"/>
    <d v="1899-12-30T00:19:41"/>
    <n v="19.683333333333334"/>
  </r>
  <r>
    <x v="14"/>
    <x v="5"/>
    <x v="3"/>
    <n v="6"/>
    <d v="1899-12-30T00:06:00"/>
    <n v="6"/>
  </r>
  <r>
    <x v="14"/>
    <x v="5"/>
    <x v="4"/>
    <n v="3"/>
    <d v="1899-12-30T00:05:11"/>
    <n v="5.1833333333333336"/>
  </r>
  <r>
    <x v="14"/>
    <x v="5"/>
    <x v="5"/>
    <n v="12"/>
    <d v="1899-12-30T00:14:04"/>
    <n v="14.066666666666666"/>
  </r>
  <r>
    <x v="14"/>
    <x v="6"/>
    <x v="0"/>
    <n v="6"/>
    <d v="1899-12-30T00:08:44"/>
    <n v="8.7333333333333325"/>
  </r>
  <r>
    <x v="14"/>
    <x v="6"/>
    <x v="1"/>
    <n v="2"/>
    <d v="1899-12-30T00:04:19"/>
    <n v="4.3166666666666664"/>
  </r>
  <r>
    <x v="14"/>
    <x v="6"/>
    <x v="2"/>
    <n v="5"/>
    <d v="1899-12-30T00:09:32"/>
    <n v="9.5333333333333332"/>
  </r>
  <r>
    <x v="14"/>
    <x v="6"/>
    <x v="3"/>
    <n v="0"/>
    <d v="1899-12-30T00:00:00"/>
    <n v="0"/>
  </r>
  <r>
    <x v="14"/>
    <x v="6"/>
    <x v="4"/>
    <n v="2"/>
    <d v="1899-12-30T00:01:28"/>
    <n v="1.4666666666666668"/>
  </r>
  <r>
    <x v="14"/>
    <x v="6"/>
    <x v="5"/>
    <n v="1"/>
    <d v="1899-12-30T00:01:55"/>
    <n v="1.9166666666666665"/>
  </r>
  <r>
    <x v="14"/>
    <x v="7"/>
    <x v="0"/>
    <n v="57"/>
    <d v="1899-12-30T01:19:35"/>
    <n v="79.583333333333329"/>
  </r>
  <r>
    <x v="14"/>
    <x v="7"/>
    <x v="1"/>
    <n v="72"/>
    <d v="1899-12-30T01:28:45"/>
    <n v="88.75"/>
  </r>
  <r>
    <x v="14"/>
    <x v="7"/>
    <x v="2"/>
    <n v="41"/>
    <d v="1899-12-30T01:12:21"/>
    <n v="72.349999999999994"/>
  </r>
  <r>
    <x v="14"/>
    <x v="7"/>
    <x v="3"/>
    <n v="46"/>
    <d v="1899-12-30T01:04:28"/>
    <n v="64.466666666666669"/>
  </r>
  <r>
    <x v="14"/>
    <x v="7"/>
    <x v="4"/>
    <n v="133"/>
    <d v="1899-12-30T03:24:09"/>
    <n v="204.15"/>
  </r>
  <r>
    <x v="14"/>
    <x v="7"/>
    <x v="5"/>
    <n v="30"/>
    <d v="1899-12-30T00:29:52"/>
    <n v="29.866666666666667"/>
  </r>
  <r>
    <x v="14"/>
    <x v="8"/>
    <x v="0"/>
    <n v="45"/>
    <d v="1899-12-30T01:03:24"/>
    <n v="63.4"/>
  </r>
  <r>
    <x v="14"/>
    <x v="8"/>
    <x v="1"/>
    <n v="38"/>
    <d v="1899-12-30T01:01:08"/>
    <n v="61.133333333333333"/>
  </r>
  <r>
    <x v="14"/>
    <x v="8"/>
    <x v="2"/>
    <n v="31"/>
    <d v="1899-12-30T00:54:26"/>
    <n v="54.43333333333333"/>
  </r>
  <r>
    <x v="14"/>
    <x v="8"/>
    <x v="3"/>
    <n v="26"/>
    <d v="1899-12-30T00:31:29"/>
    <n v="31.483333333333334"/>
  </r>
  <r>
    <x v="14"/>
    <x v="8"/>
    <x v="4"/>
    <n v="34"/>
    <d v="1899-12-30T00:43:13"/>
    <n v="43.216666666666669"/>
  </r>
  <r>
    <x v="14"/>
    <x v="8"/>
    <x v="5"/>
    <n v="19"/>
    <d v="1899-12-30T00:17:19"/>
    <n v="17.316666666666666"/>
  </r>
  <r>
    <x v="14"/>
    <x v="9"/>
    <x v="0"/>
    <n v="32"/>
    <d v="1899-12-30T00:48:01"/>
    <n v="48.016666666666666"/>
  </r>
  <r>
    <x v="14"/>
    <x v="9"/>
    <x v="1"/>
    <n v="16"/>
    <d v="1899-12-30T00:19:44"/>
    <n v="19.733333333333334"/>
  </r>
  <r>
    <x v="14"/>
    <x v="9"/>
    <x v="2"/>
    <n v="22"/>
    <d v="1899-12-30T00:45:46"/>
    <n v="45.766666666666666"/>
  </r>
  <r>
    <x v="14"/>
    <x v="9"/>
    <x v="3"/>
    <n v="10"/>
    <d v="1899-12-30T00:10:11"/>
    <n v="10.183333333333334"/>
  </r>
  <r>
    <x v="14"/>
    <x v="9"/>
    <x v="4"/>
    <n v="3"/>
    <d v="1899-12-30T00:02:14"/>
    <n v="2.2333333333333334"/>
  </r>
  <r>
    <x v="14"/>
    <x v="9"/>
    <x v="5"/>
    <n v="8"/>
    <d v="1899-12-30T00:09:23"/>
    <n v="9.3833333333333329"/>
  </r>
  <r>
    <x v="14"/>
    <x v="10"/>
    <x v="0"/>
    <n v="59"/>
    <d v="1899-12-30T01:37:02"/>
    <n v="97.033333333333331"/>
  </r>
  <r>
    <x v="14"/>
    <x v="10"/>
    <x v="1"/>
    <n v="50"/>
    <d v="1899-12-30T01:17:45"/>
    <n v="77.75"/>
  </r>
  <r>
    <x v="14"/>
    <x v="10"/>
    <x v="2"/>
    <n v="21"/>
    <d v="1899-12-30T00:37:06"/>
    <n v="37.1"/>
  </r>
  <r>
    <x v="14"/>
    <x v="10"/>
    <x v="3"/>
    <n v="12"/>
    <d v="1899-12-30T00:13:46"/>
    <n v="13.766666666666667"/>
  </r>
  <r>
    <x v="14"/>
    <x v="10"/>
    <x v="4"/>
    <n v="19"/>
    <d v="1899-12-30T00:31:18"/>
    <n v="31.3"/>
  </r>
  <r>
    <x v="14"/>
    <x v="10"/>
    <x v="5"/>
    <n v="15"/>
    <d v="1899-12-30T00:18:55"/>
    <n v="18.916666666666668"/>
  </r>
  <r>
    <x v="14"/>
    <x v="11"/>
    <x v="0"/>
    <n v="14"/>
    <d v="1899-12-30T00:17:49"/>
    <n v="17.816666666666666"/>
  </r>
  <r>
    <x v="14"/>
    <x v="11"/>
    <x v="1"/>
    <n v="15"/>
    <d v="1899-12-30T00:22:52"/>
    <n v="22.866666666666667"/>
  </r>
  <r>
    <x v="14"/>
    <x v="11"/>
    <x v="2"/>
    <n v="10"/>
    <d v="1899-12-30T00:18:29"/>
    <n v="18.483333333333334"/>
  </r>
  <r>
    <x v="14"/>
    <x v="11"/>
    <x v="3"/>
    <n v="10"/>
    <d v="1899-12-30T00:14:35"/>
    <n v="14.583333333333334"/>
  </r>
  <r>
    <x v="14"/>
    <x v="11"/>
    <x v="4"/>
    <n v="7"/>
    <d v="1899-12-30T00:03:22"/>
    <n v="3.3666666666666667"/>
  </r>
  <r>
    <x v="14"/>
    <x v="11"/>
    <x v="5"/>
    <n v="8"/>
    <d v="1899-12-30T00:05:52"/>
    <n v="5.8666666666666671"/>
  </r>
  <r>
    <x v="14"/>
    <x v="12"/>
    <x v="0"/>
    <n v="211"/>
    <d v="1899-12-30T05:58:44"/>
    <n v="358.73333333333335"/>
  </r>
  <r>
    <x v="14"/>
    <x v="12"/>
    <x v="1"/>
    <n v="230"/>
    <d v="1899-12-30T06:15:24"/>
    <n v="375.4"/>
  </r>
  <r>
    <x v="14"/>
    <x v="12"/>
    <x v="2"/>
    <n v="147"/>
    <d v="1899-12-30T04:42:23"/>
    <n v="282.38333333333333"/>
  </r>
  <r>
    <x v="14"/>
    <x v="12"/>
    <x v="3"/>
    <n v="60"/>
    <d v="1899-12-30T01:13:22"/>
    <n v="73.36666666666666"/>
  </r>
  <r>
    <x v="14"/>
    <x v="12"/>
    <x v="4"/>
    <n v="67"/>
    <d v="1899-12-30T01:41:19"/>
    <n v="101.31666666666666"/>
  </r>
  <r>
    <x v="14"/>
    <x v="12"/>
    <x v="5"/>
    <n v="78"/>
    <d v="1899-12-30T02:04:06"/>
    <n v="124.1"/>
  </r>
  <r>
    <x v="14"/>
    <x v="13"/>
    <x v="0"/>
    <n v="47"/>
    <d v="1899-12-30T00:58:42"/>
    <n v="58.7"/>
  </r>
  <r>
    <x v="14"/>
    <x v="13"/>
    <x v="1"/>
    <n v="42"/>
    <d v="1899-12-30T00:50:28"/>
    <n v="50.466666666666669"/>
  </r>
  <r>
    <x v="14"/>
    <x v="13"/>
    <x v="2"/>
    <n v="23"/>
    <d v="1899-12-30T00:34:01"/>
    <n v="34.016666666666666"/>
  </r>
  <r>
    <x v="14"/>
    <x v="13"/>
    <x v="3"/>
    <n v="7"/>
    <d v="1899-12-30T00:10:01"/>
    <n v="10.016666666666667"/>
  </r>
  <r>
    <x v="14"/>
    <x v="13"/>
    <x v="4"/>
    <n v="2"/>
    <d v="1899-12-30T00:05:46"/>
    <n v="5.7666666666666666"/>
  </r>
  <r>
    <x v="14"/>
    <x v="13"/>
    <x v="5"/>
    <n v="23"/>
    <d v="1899-12-30T00:22:23"/>
    <n v="22.383333333333333"/>
  </r>
  <r>
    <x v="15"/>
    <x v="0"/>
    <x v="0"/>
    <n v="12"/>
    <d v="1899-12-30T00:16:01"/>
    <n v="16.016666666666666"/>
  </r>
  <r>
    <x v="15"/>
    <x v="0"/>
    <x v="1"/>
    <n v="9"/>
    <d v="1899-12-30T00:12:26"/>
    <n v="12.433333333333334"/>
  </r>
  <r>
    <x v="15"/>
    <x v="0"/>
    <x v="2"/>
    <n v="8"/>
    <d v="1899-12-30T00:08:46"/>
    <n v="8.7666666666666675"/>
  </r>
  <r>
    <x v="15"/>
    <x v="0"/>
    <x v="3"/>
    <n v="1"/>
    <d v="1899-12-30T00:01:19"/>
    <n v="1.3166666666666667"/>
  </r>
  <r>
    <x v="15"/>
    <x v="0"/>
    <x v="4"/>
    <n v="13"/>
    <d v="1899-12-30T00:13:09"/>
    <n v="13.15"/>
  </r>
  <r>
    <x v="15"/>
    <x v="0"/>
    <x v="5"/>
    <n v="5"/>
    <d v="1899-12-30T00:03:52"/>
    <n v="3.8666666666666667"/>
  </r>
  <r>
    <x v="15"/>
    <x v="1"/>
    <x v="0"/>
    <n v="37"/>
    <d v="1899-12-30T00:58:57"/>
    <n v="58.95"/>
  </r>
  <r>
    <x v="15"/>
    <x v="1"/>
    <x v="1"/>
    <n v="66"/>
    <d v="1899-12-30T01:57:14"/>
    <n v="117.23333333333333"/>
  </r>
  <r>
    <x v="15"/>
    <x v="1"/>
    <x v="2"/>
    <n v="24"/>
    <d v="1899-12-30T00:47:16"/>
    <n v="47.266666666666666"/>
  </r>
  <r>
    <x v="15"/>
    <x v="1"/>
    <x v="3"/>
    <n v="11"/>
    <d v="1899-12-30T00:16:15"/>
    <n v="16.25"/>
  </r>
  <r>
    <x v="15"/>
    <x v="1"/>
    <x v="4"/>
    <n v="2"/>
    <d v="1899-12-30T00:04:05"/>
    <n v="4.083333333333333"/>
  </r>
  <r>
    <x v="15"/>
    <x v="1"/>
    <x v="5"/>
    <n v="16"/>
    <d v="1899-12-30T00:23:20"/>
    <n v="23.333333333333332"/>
  </r>
  <r>
    <x v="15"/>
    <x v="2"/>
    <x v="0"/>
    <n v="53"/>
    <d v="1899-12-30T01:27:49"/>
    <n v="87.816666666666663"/>
  </r>
  <r>
    <x v="15"/>
    <x v="2"/>
    <x v="1"/>
    <n v="51"/>
    <d v="1899-12-30T01:30:40"/>
    <n v="90.666666666666671"/>
  </r>
  <r>
    <x v="15"/>
    <x v="2"/>
    <x v="2"/>
    <n v="37"/>
    <d v="1899-12-30T01:04:56"/>
    <n v="64.933333333333337"/>
  </r>
  <r>
    <x v="15"/>
    <x v="2"/>
    <x v="3"/>
    <n v="15"/>
    <d v="1899-12-30T00:20:18"/>
    <n v="20.3"/>
  </r>
  <r>
    <x v="15"/>
    <x v="2"/>
    <x v="4"/>
    <n v="10"/>
    <d v="1899-12-30T00:14:42"/>
    <n v="14.7"/>
  </r>
  <r>
    <x v="15"/>
    <x v="2"/>
    <x v="5"/>
    <n v="19"/>
    <d v="1899-12-30T00:23:15"/>
    <n v="23.25"/>
  </r>
  <r>
    <x v="15"/>
    <x v="3"/>
    <x v="0"/>
    <n v="22"/>
    <d v="1899-12-30T00:38:44"/>
    <n v="38.733333333333334"/>
  </r>
  <r>
    <x v="15"/>
    <x v="3"/>
    <x v="1"/>
    <n v="24"/>
    <d v="1899-12-30T00:38:49"/>
    <n v="38.81666666666667"/>
  </r>
  <r>
    <x v="15"/>
    <x v="3"/>
    <x v="2"/>
    <n v="16"/>
    <d v="1899-12-30T00:29:14"/>
    <n v="29.233333333333334"/>
  </r>
  <r>
    <x v="15"/>
    <x v="3"/>
    <x v="3"/>
    <n v="4"/>
    <d v="1899-12-30T00:03:56"/>
    <n v="3.9333333333333336"/>
  </r>
  <r>
    <x v="15"/>
    <x v="3"/>
    <x v="4"/>
    <n v="3"/>
    <d v="1899-12-30T00:04:50"/>
    <n v="4.833333333333333"/>
  </r>
  <r>
    <x v="15"/>
    <x v="3"/>
    <x v="5"/>
    <n v="9"/>
    <d v="1899-12-30T00:12:49"/>
    <n v="12.816666666666666"/>
  </r>
  <r>
    <x v="15"/>
    <x v="4"/>
    <x v="0"/>
    <n v="39"/>
    <d v="1899-12-30T01:02:12"/>
    <n v="62.2"/>
  </r>
  <r>
    <x v="15"/>
    <x v="4"/>
    <x v="1"/>
    <n v="26"/>
    <d v="1899-12-30T00:36:43"/>
    <n v="36.716666666666669"/>
  </r>
  <r>
    <x v="15"/>
    <x v="4"/>
    <x v="2"/>
    <n v="13"/>
    <d v="1899-12-30T00:19:33"/>
    <n v="19.55"/>
  </r>
  <r>
    <x v="15"/>
    <x v="4"/>
    <x v="3"/>
    <n v="3"/>
    <d v="1899-12-30T00:03:39"/>
    <n v="3.65"/>
  </r>
  <r>
    <x v="15"/>
    <x v="4"/>
    <x v="4"/>
    <n v="8"/>
    <d v="1899-12-30T00:13:14"/>
    <n v="13.233333333333333"/>
  </r>
  <r>
    <x v="15"/>
    <x v="4"/>
    <x v="5"/>
    <n v="9"/>
    <d v="1899-12-30T00:08:16"/>
    <n v="8.2666666666666675"/>
  </r>
  <r>
    <x v="15"/>
    <x v="5"/>
    <x v="0"/>
    <n v="19"/>
    <d v="1899-12-30T00:29:47"/>
    <n v="29.783333333333335"/>
  </r>
  <r>
    <x v="15"/>
    <x v="5"/>
    <x v="1"/>
    <n v="15"/>
    <d v="1899-12-30T00:20:29"/>
    <n v="20.483333333333334"/>
  </r>
  <r>
    <x v="15"/>
    <x v="5"/>
    <x v="2"/>
    <n v="11"/>
    <d v="1899-12-30T00:17:46"/>
    <n v="17.766666666666666"/>
  </r>
  <r>
    <x v="15"/>
    <x v="5"/>
    <x v="3"/>
    <n v="4"/>
    <d v="1899-12-30T00:04:26"/>
    <n v="4.4333333333333336"/>
  </r>
  <r>
    <x v="15"/>
    <x v="5"/>
    <x v="4"/>
    <n v="4"/>
    <d v="1899-12-30T00:08:38"/>
    <n v="8.6333333333333329"/>
  </r>
  <r>
    <x v="15"/>
    <x v="5"/>
    <x v="5"/>
    <n v="16"/>
    <d v="1899-12-30T00:16:17"/>
    <n v="16.283333333333335"/>
  </r>
  <r>
    <x v="15"/>
    <x v="6"/>
    <x v="0"/>
    <n v="5"/>
    <d v="1899-12-30T00:07:22"/>
    <n v="7.3666666666666663"/>
  </r>
  <r>
    <x v="15"/>
    <x v="6"/>
    <x v="1"/>
    <n v="9"/>
    <d v="1899-12-30T00:11:08"/>
    <n v="11.133333333333333"/>
  </r>
  <r>
    <x v="15"/>
    <x v="6"/>
    <x v="2"/>
    <n v="6"/>
    <d v="1899-12-30T00:09:48"/>
    <n v="9.8000000000000007"/>
  </r>
  <r>
    <x v="15"/>
    <x v="6"/>
    <x v="3"/>
    <n v="3"/>
    <d v="1899-12-30T00:05:31"/>
    <n v="5.5166666666666666"/>
  </r>
  <r>
    <x v="15"/>
    <x v="6"/>
    <x v="4"/>
    <n v="4"/>
    <d v="1899-12-30T00:05:12"/>
    <n v="5.2"/>
  </r>
  <r>
    <x v="15"/>
    <x v="6"/>
    <x v="5"/>
    <n v="3"/>
    <d v="1899-12-30T00:03:32"/>
    <n v="3.5333333333333332"/>
  </r>
  <r>
    <x v="15"/>
    <x v="7"/>
    <x v="0"/>
    <n v="49"/>
    <d v="1899-12-30T01:15:42"/>
    <n v="75.7"/>
  </r>
  <r>
    <x v="15"/>
    <x v="7"/>
    <x v="1"/>
    <n v="80"/>
    <d v="1899-12-30T02:01:15"/>
    <n v="121.25"/>
  </r>
  <r>
    <x v="15"/>
    <x v="7"/>
    <x v="2"/>
    <n v="61"/>
    <d v="1899-12-30T01:33:58"/>
    <n v="93.966666666666669"/>
  </r>
  <r>
    <x v="15"/>
    <x v="7"/>
    <x v="3"/>
    <n v="48"/>
    <d v="1899-12-30T01:12:17"/>
    <n v="72.283333333333331"/>
  </r>
  <r>
    <x v="15"/>
    <x v="7"/>
    <x v="4"/>
    <n v="140"/>
    <d v="1899-12-30T03:27:22"/>
    <n v="207.36666666666667"/>
  </r>
  <r>
    <x v="15"/>
    <x v="7"/>
    <x v="5"/>
    <n v="19"/>
    <d v="1899-12-30T00:24:27"/>
    <n v="24.45"/>
  </r>
  <r>
    <x v="15"/>
    <x v="8"/>
    <x v="0"/>
    <n v="33"/>
    <d v="1899-12-30T00:49:23"/>
    <n v="49.383333333333333"/>
  </r>
  <r>
    <x v="15"/>
    <x v="8"/>
    <x v="1"/>
    <n v="31"/>
    <d v="1899-12-30T00:53:59"/>
    <n v="53.983333333333334"/>
  </r>
  <r>
    <x v="15"/>
    <x v="8"/>
    <x v="2"/>
    <n v="30"/>
    <d v="1899-12-30T00:55:27"/>
    <n v="55.45"/>
  </r>
  <r>
    <x v="15"/>
    <x v="8"/>
    <x v="3"/>
    <n v="15"/>
    <d v="1899-12-30T00:20:52"/>
    <n v="20.866666666666667"/>
  </r>
  <r>
    <x v="15"/>
    <x v="8"/>
    <x v="4"/>
    <n v="13"/>
    <d v="1899-12-30T00:17:48"/>
    <n v="17.8"/>
  </r>
  <r>
    <x v="15"/>
    <x v="8"/>
    <x v="5"/>
    <n v="13"/>
    <d v="1899-12-30T00:20:20"/>
    <n v="20.333333333333332"/>
  </r>
  <r>
    <x v="15"/>
    <x v="9"/>
    <x v="0"/>
    <n v="20"/>
    <d v="1899-12-30T00:50:49"/>
    <n v="50.81666666666667"/>
  </r>
  <r>
    <x v="15"/>
    <x v="9"/>
    <x v="1"/>
    <n v="27"/>
    <d v="1899-12-30T00:37:04"/>
    <n v="37.06666666666667"/>
  </r>
  <r>
    <x v="15"/>
    <x v="9"/>
    <x v="2"/>
    <n v="26"/>
    <d v="1899-12-30T00:34:52"/>
    <n v="34.866666666666667"/>
  </r>
  <r>
    <x v="15"/>
    <x v="9"/>
    <x v="3"/>
    <n v="6"/>
    <d v="1899-12-30T00:10:20"/>
    <n v="10.333333333333334"/>
  </r>
  <r>
    <x v="15"/>
    <x v="9"/>
    <x v="4"/>
    <n v="13"/>
    <d v="1899-12-30T00:15:28"/>
    <n v="15.466666666666667"/>
  </r>
  <r>
    <x v="15"/>
    <x v="9"/>
    <x v="5"/>
    <n v="7"/>
    <d v="1899-12-30T00:10:10"/>
    <n v="10.166666666666666"/>
  </r>
  <r>
    <x v="15"/>
    <x v="10"/>
    <x v="0"/>
    <n v="39"/>
    <d v="1899-12-30T01:11:23"/>
    <n v="71.38333333333334"/>
  </r>
  <r>
    <x v="15"/>
    <x v="10"/>
    <x v="1"/>
    <n v="31"/>
    <d v="1899-12-30T01:01:12"/>
    <n v="61.2"/>
  </r>
  <r>
    <x v="15"/>
    <x v="10"/>
    <x v="2"/>
    <n v="29"/>
    <d v="1899-12-30T00:59:54"/>
    <n v="59.9"/>
  </r>
  <r>
    <x v="15"/>
    <x v="10"/>
    <x v="3"/>
    <n v="5"/>
    <d v="1899-12-30T00:05:16"/>
    <n v="5.2666666666666666"/>
  </r>
  <r>
    <x v="15"/>
    <x v="10"/>
    <x v="4"/>
    <n v="7"/>
    <d v="1899-12-30T00:09:59"/>
    <n v="9.9833333333333325"/>
  </r>
  <r>
    <x v="15"/>
    <x v="10"/>
    <x v="5"/>
    <n v="12"/>
    <d v="1899-12-30T00:17:36"/>
    <n v="17.600000000000001"/>
  </r>
  <r>
    <x v="15"/>
    <x v="11"/>
    <x v="0"/>
    <n v="25"/>
    <d v="1899-12-30T00:39:06"/>
    <n v="39.1"/>
  </r>
  <r>
    <x v="15"/>
    <x v="11"/>
    <x v="1"/>
    <n v="28"/>
    <d v="1899-12-30T00:55:09"/>
    <n v="55.15"/>
  </r>
  <r>
    <x v="15"/>
    <x v="11"/>
    <x v="2"/>
    <n v="12"/>
    <d v="1899-12-30T00:24:46"/>
    <n v="24.766666666666666"/>
  </r>
  <r>
    <x v="15"/>
    <x v="11"/>
    <x v="3"/>
    <n v="9"/>
    <d v="1899-12-30T00:12:46"/>
    <n v="12.766666666666667"/>
  </r>
  <r>
    <x v="15"/>
    <x v="11"/>
    <x v="4"/>
    <n v="13"/>
    <d v="1899-12-30T00:15:16"/>
    <n v="15.266666666666667"/>
  </r>
  <r>
    <x v="15"/>
    <x v="11"/>
    <x v="5"/>
    <n v="10"/>
    <d v="1899-12-30T00:18:45"/>
    <n v="18.75"/>
  </r>
  <r>
    <x v="15"/>
    <x v="12"/>
    <x v="0"/>
    <n v="196"/>
    <d v="1899-12-30T05:07:50"/>
    <n v="307.83333333333331"/>
  </r>
  <r>
    <x v="15"/>
    <x v="12"/>
    <x v="1"/>
    <n v="163"/>
    <d v="1899-12-30T04:23:21"/>
    <n v="263.35000000000002"/>
  </r>
  <r>
    <x v="15"/>
    <x v="12"/>
    <x v="2"/>
    <n v="112"/>
    <d v="1899-12-30T03:17:41"/>
    <n v="197.68333333333334"/>
  </r>
  <r>
    <x v="15"/>
    <x v="12"/>
    <x v="3"/>
    <n v="50"/>
    <d v="1899-12-30T01:14:54"/>
    <n v="74.900000000000006"/>
  </r>
  <r>
    <x v="15"/>
    <x v="12"/>
    <x v="4"/>
    <n v="55"/>
    <d v="1899-12-30T01:19:10"/>
    <n v="79.166666666666671"/>
  </r>
  <r>
    <x v="15"/>
    <x v="12"/>
    <x v="5"/>
    <n v="67"/>
    <d v="1899-12-30T01:27:52"/>
    <n v="87.86666666666666"/>
  </r>
  <r>
    <x v="15"/>
    <x v="13"/>
    <x v="0"/>
    <n v="47"/>
    <d v="1899-12-30T01:03:18"/>
    <n v="63.3"/>
  </r>
  <r>
    <x v="15"/>
    <x v="13"/>
    <x v="1"/>
    <n v="53"/>
    <d v="1899-12-30T00:53:52"/>
    <n v="53.866666666666667"/>
  </r>
  <r>
    <x v="15"/>
    <x v="13"/>
    <x v="2"/>
    <n v="30"/>
    <d v="1899-12-30T00:34:06"/>
    <n v="34.1"/>
  </r>
  <r>
    <x v="15"/>
    <x v="13"/>
    <x v="3"/>
    <n v="7"/>
    <d v="1899-12-30T00:07:23"/>
    <n v="7.3833333333333337"/>
  </r>
  <r>
    <x v="15"/>
    <x v="13"/>
    <x v="4"/>
    <n v="1"/>
    <d v="1899-12-30T00:02:32"/>
    <n v="2.5333333333333332"/>
  </r>
  <r>
    <x v="15"/>
    <x v="13"/>
    <x v="5"/>
    <n v="32"/>
    <d v="1899-12-30T00:32:03"/>
    <n v="32.049999999999997"/>
  </r>
  <r>
    <x v="16"/>
    <x v="0"/>
    <x v="0"/>
    <n v="35"/>
    <d v="1899-12-30T00:48:01"/>
    <n v="48.016666666666666"/>
  </r>
  <r>
    <x v="16"/>
    <x v="0"/>
    <x v="1"/>
    <n v="29"/>
    <d v="1899-12-30T00:38:33"/>
    <n v="38.549999999999997"/>
  </r>
  <r>
    <x v="16"/>
    <x v="0"/>
    <x v="2"/>
    <n v="17"/>
    <d v="1899-12-30T00:22:27"/>
    <n v="22.45"/>
  </r>
  <r>
    <x v="16"/>
    <x v="0"/>
    <x v="3"/>
    <n v="4"/>
    <d v="1899-12-30T00:04:46"/>
    <n v="4.7666666666666666"/>
  </r>
  <r>
    <x v="16"/>
    <x v="0"/>
    <x v="4"/>
    <n v="9"/>
    <d v="1899-12-30T00:12:10"/>
    <n v="12.166666666666666"/>
  </r>
  <r>
    <x v="16"/>
    <x v="0"/>
    <x v="5"/>
    <n v="11"/>
    <d v="1899-12-30T00:13:58"/>
    <n v="13.966666666666667"/>
  </r>
  <r>
    <x v="16"/>
    <x v="1"/>
    <x v="0"/>
    <n v="63"/>
    <d v="1899-12-30T01:38:59"/>
    <n v="98.983333333333334"/>
  </r>
  <r>
    <x v="16"/>
    <x v="1"/>
    <x v="1"/>
    <n v="60"/>
    <d v="1899-12-30T01:57:25"/>
    <n v="117.41666666666667"/>
  </r>
  <r>
    <x v="16"/>
    <x v="1"/>
    <x v="2"/>
    <n v="43"/>
    <d v="1899-12-30T01:24:38"/>
    <n v="84.63333333333334"/>
  </r>
  <r>
    <x v="16"/>
    <x v="1"/>
    <x v="3"/>
    <n v="6"/>
    <d v="1899-12-30T00:07:49"/>
    <n v="7.8166666666666664"/>
  </r>
  <r>
    <x v="16"/>
    <x v="1"/>
    <x v="4"/>
    <n v="5"/>
    <d v="1899-12-30T00:08:24"/>
    <n v="8.4"/>
  </r>
  <r>
    <x v="16"/>
    <x v="1"/>
    <x v="5"/>
    <n v="23"/>
    <d v="1899-12-30T00:50:41"/>
    <n v="50.68333333333333"/>
  </r>
  <r>
    <x v="16"/>
    <x v="2"/>
    <x v="0"/>
    <n v="64"/>
    <d v="1899-12-30T01:38:24"/>
    <n v="98.4"/>
  </r>
  <r>
    <x v="16"/>
    <x v="2"/>
    <x v="1"/>
    <n v="49"/>
    <d v="1899-12-30T01:16:08"/>
    <n v="76.13333333333334"/>
  </r>
  <r>
    <x v="16"/>
    <x v="2"/>
    <x v="2"/>
    <n v="30"/>
    <d v="1899-12-30T00:52:11"/>
    <n v="52.18333333333333"/>
  </r>
  <r>
    <x v="16"/>
    <x v="2"/>
    <x v="3"/>
    <n v="14"/>
    <d v="1899-12-30T00:21:52"/>
    <n v="21.866666666666667"/>
  </r>
  <r>
    <x v="16"/>
    <x v="2"/>
    <x v="4"/>
    <n v="13"/>
    <d v="1899-12-30T00:17:03"/>
    <n v="17.05"/>
  </r>
  <r>
    <x v="16"/>
    <x v="2"/>
    <x v="5"/>
    <n v="13"/>
    <d v="1899-12-30T00:19:38"/>
    <n v="19.633333333333333"/>
  </r>
  <r>
    <x v="16"/>
    <x v="3"/>
    <x v="0"/>
    <n v="23"/>
    <d v="1899-12-30T00:41:30"/>
    <n v="41.5"/>
  </r>
  <r>
    <x v="16"/>
    <x v="3"/>
    <x v="1"/>
    <n v="17"/>
    <d v="1899-12-30T00:36:37"/>
    <n v="36.616666666666667"/>
  </r>
  <r>
    <x v="16"/>
    <x v="3"/>
    <x v="2"/>
    <n v="5"/>
    <d v="1899-12-30T00:11:33"/>
    <n v="11.55"/>
  </r>
  <r>
    <x v="16"/>
    <x v="3"/>
    <x v="3"/>
    <n v="1"/>
    <d v="1899-12-30T00:01:34"/>
    <n v="1.5666666666666667"/>
  </r>
  <r>
    <x v="16"/>
    <x v="3"/>
    <x v="4"/>
    <n v="2"/>
    <d v="1899-12-30T00:05:05"/>
    <n v="5.083333333333333"/>
  </r>
  <r>
    <x v="16"/>
    <x v="3"/>
    <x v="5"/>
    <n v="6"/>
    <d v="1899-12-30T00:08:43"/>
    <n v="8.7166666666666668"/>
  </r>
  <r>
    <x v="16"/>
    <x v="4"/>
    <x v="0"/>
    <n v="34"/>
    <d v="1899-12-30T00:55:26"/>
    <n v="55.43333333333333"/>
  </r>
  <r>
    <x v="16"/>
    <x v="4"/>
    <x v="1"/>
    <n v="33"/>
    <d v="1899-12-30T00:50:54"/>
    <n v="50.9"/>
  </r>
  <r>
    <x v="16"/>
    <x v="4"/>
    <x v="2"/>
    <n v="18"/>
    <d v="1899-12-30T00:33:13"/>
    <n v="33.216666666666669"/>
  </r>
  <r>
    <x v="16"/>
    <x v="4"/>
    <x v="3"/>
    <n v="4"/>
    <d v="1899-12-30T00:05:11"/>
    <n v="5.1833333333333336"/>
  </r>
  <r>
    <x v="16"/>
    <x v="4"/>
    <x v="4"/>
    <n v="9"/>
    <d v="1899-12-30T00:16:19"/>
    <n v="16.316666666666666"/>
  </r>
  <r>
    <x v="16"/>
    <x v="4"/>
    <x v="5"/>
    <n v="11"/>
    <d v="1899-12-30T00:12:49"/>
    <n v="12.816666666666666"/>
  </r>
  <r>
    <x v="16"/>
    <x v="5"/>
    <x v="0"/>
    <n v="20"/>
    <d v="1899-12-30T00:27:42"/>
    <n v="27.7"/>
  </r>
  <r>
    <x v="16"/>
    <x v="5"/>
    <x v="1"/>
    <n v="15"/>
    <d v="1899-12-30T00:21:37"/>
    <n v="21.616666666666667"/>
  </r>
  <r>
    <x v="16"/>
    <x v="5"/>
    <x v="2"/>
    <n v="16"/>
    <d v="1899-12-30T00:27:25"/>
    <n v="27.416666666666668"/>
  </r>
  <r>
    <x v="16"/>
    <x v="5"/>
    <x v="3"/>
    <n v="6"/>
    <d v="1899-12-30T00:07:42"/>
    <n v="7.7"/>
  </r>
  <r>
    <x v="16"/>
    <x v="5"/>
    <x v="4"/>
    <n v="8"/>
    <d v="1899-12-30T00:09:53"/>
    <n v="9.8833333333333329"/>
  </r>
  <r>
    <x v="16"/>
    <x v="5"/>
    <x v="5"/>
    <n v="16"/>
    <d v="1899-12-30T00:24:58"/>
    <n v="24.966666666666665"/>
  </r>
  <r>
    <x v="16"/>
    <x v="6"/>
    <x v="0"/>
    <n v="12"/>
    <d v="1899-12-30T00:18:24"/>
    <n v="18.399999999999999"/>
  </r>
  <r>
    <x v="16"/>
    <x v="6"/>
    <x v="1"/>
    <n v="7"/>
    <d v="1899-12-30T00:12:15"/>
    <n v="12.25"/>
  </r>
  <r>
    <x v="16"/>
    <x v="6"/>
    <x v="2"/>
    <n v="9"/>
    <d v="1899-12-30T00:17:44"/>
    <n v="17.733333333333334"/>
  </r>
  <r>
    <x v="16"/>
    <x v="6"/>
    <x v="3"/>
    <n v="3"/>
    <d v="1899-12-30T00:03:01"/>
    <n v="3.0166666666666666"/>
  </r>
  <r>
    <x v="16"/>
    <x v="6"/>
    <x v="4"/>
    <n v="6"/>
    <d v="1899-12-30T00:08:36"/>
    <n v="8.6"/>
  </r>
  <r>
    <x v="16"/>
    <x v="6"/>
    <x v="5"/>
    <n v="7"/>
    <d v="1899-12-30T00:10:29"/>
    <n v="10.483333333333333"/>
  </r>
  <r>
    <x v="16"/>
    <x v="7"/>
    <x v="0"/>
    <n v="43"/>
    <d v="1899-12-30T01:02:10"/>
    <n v="62.166666666666664"/>
  </r>
  <r>
    <x v="16"/>
    <x v="7"/>
    <x v="1"/>
    <n v="66"/>
    <d v="1899-12-30T01:29:50"/>
    <n v="89.833333333333329"/>
  </r>
  <r>
    <x v="16"/>
    <x v="7"/>
    <x v="2"/>
    <n v="39"/>
    <d v="1899-12-30T01:02:06"/>
    <n v="62.1"/>
  </r>
  <r>
    <x v="16"/>
    <x v="7"/>
    <x v="3"/>
    <n v="40"/>
    <d v="1899-12-30T01:00:12"/>
    <n v="60.2"/>
  </r>
  <r>
    <x v="16"/>
    <x v="7"/>
    <x v="4"/>
    <n v="146"/>
    <d v="1899-12-30T03:20:48"/>
    <n v="200.8"/>
  </r>
  <r>
    <x v="16"/>
    <x v="7"/>
    <x v="5"/>
    <n v="19"/>
    <d v="1899-12-30T00:11:00"/>
    <n v="11"/>
  </r>
  <r>
    <x v="16"/>
    <x v="8"/>
    <x v="0"/>
    <n v="75"/>
    <d v="1899-12-30T02:07:48"/>
    <n v="127.8"/>
  </r>
  <r>
    <x v="16"/>
    <x v="8"/>
    <x v="1"/>
    <n v="84"/>
    <d v="1899-12-30T02:32:16"/>
    <n v="152.26666666666668"/>
  </r>
  <r>
    <x v="16"/>
    <x v="8"/>
    <x v="2"/>
    <n v="78"/>
    <d v="1899-12-30T02:27:05"/>
    <n v="147.08333333333334"/>
  </r>
  <r>
    <x v="16"/>
    <x v="8"/>
    <x v="3"/>
    <n v="42"/>
    <d v="1899-12-30T00:53:46"/>
    <n v="53.766666666666666"/>
  </r>
  <r>
    <x v="16"/>
    <x v="8"/>
    <x v="4"/>
    <n v="36"/>
    <d v="1899-12-30T00:51:49"/>
    <n v="51.81666666666667"/>
  </r>
  <r>
    <x v="16"/>
    <x v="8"/>
    <x v="5"/>
    <n v="39"/>
    <d v="1899-12-30T00:54:48"/>
    <n v="54.8"/>
  </r>
  <r>
    <x v="16"/>
    <x v="9"/>
    <x v="0"/>
    <n v="37"/>
    <d v="1899-12-30T00:51:48"/>
    <n v="51.8"/>
  </r>
  <r>
    <x v="16"/>
    <x v="9"/>
    <x v="1"/>
    <n v="35"/>
    <d v="1899-12-30T00:50:32"/>
    <n v="50.533333333333331"/>
  </r>
  <r>
    <x v="16"/>
    <x v="9"/>
    <x v="2"/>
    <n v="25"/>
    <d v="1899-12-30T00:40:15"/>
    <n v="40.25"/>
  </r>
  <r>
    <x v="16"/>
    <x v="9"/>
    <x v="3"/>
    <n v="15"/>
    <d v="1899-12-30T00:17:48"/>
    <n v="17.8"/>
  </r>
  <r>
    <x v="16"/>
    <x v="9"/>
    <x v="4"/>
    <n v="17"/>
    <d v="1899-12-30T00:30:06"/>
    <n v="30.1"/>
  </r>
  <r>
    <x v="16"/>
    <x v="9"/>
    <x v="5"/>
    <n v="7"/>
    <d v="1899-12-30T00:10:16"/>
    <n v="10.266666666666667"/>
  </r>
  <r>
    <x v="16"/>
    <x v="10"/>
    <x v="0"/>
    <n v="27"/>
    <d v="1899-12-30T00:44:37"/>
    <n v="44.616666666666667"/>
  </r>
  <r>
    <x v="16"/>
    <x v="10"/>
    <x v="1"/>
    <n v="29"/>
    <d v="1899-12-30T00:58:27"/>
    <n v="58.45"/>
  </r>
  <r>
    <x v="16"/>
    <x v="10"/>
    <x v="2"/>
    <n v="19"/>
    <d v="1899-12-30T00:37:40"/>
    <n v="37.666666666666664"/>
  </r>
  <r>
    <x v="16"/>
    <x v="10"/>
    <x v="3"/>
    <n v="3"/>
    <d v="1899-12-30T00:03:36"/>
    <n v="3.6"/>
  </r>
  <r>
    <x v="16"/>
    <x v="10"/>
    <x v="4"/>
    <n v="11"/>
    <d v="1899-12-30T00:11:07"/>
    <n v="11.116666666666667"/>
  </r>
  <r>
    <x v="16"/>
    <x v="10"/>
    <x v="5"/>
    <n v="10"/>
    <d v="1899-12-30T00:10:56"/>
    <n v="10.933333333333334"/>
  </r>
  <r>
    <x v="16"/>
    <x v="11"/>
    <x v="0"/>
    <n v="28"/>
    <d v="1899-12-30T00:42:01"/>
    <n v="42.016666666666666"/>
  </r>
  <r>
    <x v="16"/>
    <x v="11"/>
    <x v="1"/>
    <n v="15"/>
    <d v="1899-12-30T00:24:57"/>
    <n v="24.95"/>
  </r>
  <r>
    <x v="16"/>
    <x v="11"/>
    <x v="2"/>
    <n v="14"/>
    <d v="1899-12-30T00:29:01"/>
    <n v="29.016666666666666"/>
  </r>
  <r>
    <x v="16"/>
    <x v="11"/>
    <x v="3"/>
    <n v="6"/>
    <d v="1899-12-30T00:08:26"/>
    <n v="8.4333333333333336"/>
  </r>
  <r>
    <x v="16"/>
    <x v="11"/>
    <x v="4"/>
    <n v="2"/>
    <d v="1899-12-30T00:02:43"/>
    <n v="2.7166666666666668"/>
  </r>
  <r>
    <x v="16"/>
    <x v="11"/>
    <x v="5"/>
    <n v="5"/>
    <d v="1899-12-30T00:05:58"/>
    <n v="5.9666666666666668"/>
  </r>
  <r>
    <x v="16"/>
    <x v="12"/>
    <x v="0"/>
    <n v="157"/>
    <d v="1899-12-30T04:06:18"/>
    <n v="246.3"/>
  </r>
  <r>
    <x v="16"/>
    <x v="12"/>
    <x v="1"/>
    <n v="127"/>
    <d v="1899-12-30T03:39:52"/>
    <n v="219.86666666666667"/>
  </r>
  <r>
    <x v="16"/>
    <x v="12"/>
    <x v="2"/>
    <n v="70"/>
    <d v="1899-12-30T02:04:02"/>
    <n v="124.03333333333333"/>
  </r>
  <r>
    <x v="16"/>
    <x v="12"/>
    <x v="3"/>
    <n v="52"/>
    <d v="1899-12-30T01:04:52"/>
    <n v="64.86666666666666"/>
  </r>
  <r>
    <x v="16"/>
    <x v="12"/>
    <x v="4"/>
    <n v="37"/>
    <d v="1899-12-30T00:50:00"/>
    <n v="50"/>
  </r>
  <r>
    <x v="16"/>
    <x v="12"/>
    <x v="5"/>
    <n v="44"/>
    <d v="1899-12-30T00:53:34"/>
    <n v="53.56666666666667"/>
  </r>
  <r>
    <x v="16"/>
    <x v="13"/>
    <x v="0"/>
    <n v="61"/>
    <d v="1899-12-30T01:23:49"/>
    <n v="83.816666666666663"/>
  </r>
  <r>
    <x v="16"/>
    <x v="13"/>
    <x v="1"/>
    <n v="50"/>
    <d v="1899-12-30T01:01:11"/>
    <n v="61.18333333333333"/>
  </r>
  <r>
    <x v="16"/>
    <x v="13"/>
    <x v="2"/>
    <n v="28"/>
    <d v="1899-12-30T00:44:43"/>
    <n v="44.716666666666669"/>
  </r>
  <r>
    <x v="16"/>
    <x v="13"/>
    <x v="3"/>
    <n v="19"/>
    <d v="1899-12-30T00:20:46"/>
    <n v="20.766666666666666"/>
  </r>
  <r>
    <x v="16"/>
    <x v="13"/>
    <x v="4"/>
    <n v="4"/>
    <d v="1899-12-30T00:09:19"/>
    <n v="9.3166666666666664"/>
  </r>
  <r>
    <x v="16"/>
    <x v="13"/>
    <x v="5"/>
    <n v="23"/>
    <d v="1899-12-30T00:28:47"/>
    <n v="28.783333333333335"/>
  </r>
  <r>
    <x v="17"/>
    <x v="0"/>
    <x v="0"/>
    <n v="10"/>
    <d v="1899-12-30T00:10:40"/>
    <n v="10.666666666666666"/>
  </r>
  <r>
    <x v="17"/>
    <x v="0"/>
    <x v="1"/>
    <n v="11"/>
    <d v="1899-12-30T00:12:42"/>
    <n v="12.7"/>
  </r>
  <r>
    <x v="17"/>
    <x v="0"/>
    <x v="2"/>
    <n v="7"/>
    <d v="1899-12-30T00:06:41"/>
    <n v="6.6833333333333336"/>
  </r>
  <r>
    <x v="17"/>
    <x v="0"/>
    <x v="3"/>
    <n v="3"/>
    <d v="1899-12-30T00:04:14"/>
    <n v="4.2333333333333334"/>
  </r>
  <r>
    <x v="17"/>
    <x v="0"/>
    <x v="4"/>
    <n v="6"/>
    <d v="1899-12-30T00:07:51"/>
    <n v="7.85"/>
  </r>
  <r>
    <x v="17"/>
    <x v="0"/>
    <x v="5"/>
    <n v="4"/>
    <d v="1899-12-30T00:01:12"/>
    <n v="1.2"/>
  </r>
  <r>
    <x v="17"/>
    <x v="1"/>
    <x v="0"/>
    <n v="41"/>
    <d v="1899-12-30T01:01:56"/>
    <n v="61.93333333333333"/>
  </r>
  <r>
    <x v="17"/>
    <x v="1"/>
    <x v="1"/>
    <n v="41"/>
    <d v="1899-12-30T01:23:29"/>
    <n v="83.483333333333334"/>
  </r>
  <r>
    <x v="17"/>
    <x v="1"/>
    <x v="2"/>
    <n v="31"/>
    <d v="1899-12-30T00:59:09"/>
    <n v="59.15"/>
  </r>
  <r>
    <x v="17"/>
    <x v="1"/>
    <x v="3"/>
    <n v="14"/>
    <d v="1899-12-30T00:20:08"/>
    <n v="20.133333333333333"/>
  </r>
  <r>
    <x v="17"/>
    <x v="1"/>
    <x v="4"/>
    <n v="0"/>
    <d v="1899-12-30T00:00:00"/>
    <n v="0"/>
  </r>
  <r>
    <x v="17"/>
    <x v="1"/>
    <x v="5"/>
    <n v="19"/>
    <d v="1899-12-30T00:23:15"/>
    <n v="23.25"/>
  </r>
  <r>
    <x v="17"/>
    <x v="2"/>
    <x v="0"/>
    <n v="33"/>
    <d v="1899-12-30T00:47:27"/>
    <n v="47.45"/>
  </r>
  <r>
    <x v="17"/>
    <x v="2"/>
    <x v="1"/>
    <n v="39"/>
    <d v="1899-12-30T01:04:13"/>
    <n v="64.216666666666669"/>
  </r>
  <r>
    <x v="17"/>
    <x v="2"/>
    <x v="2"/>
    <n v="37"/>
    <d v="1899-12-30T01:07:16"/>
    <n v="67.266666666666666"/>
  </r>
  <r>
    <x v="17"/>
    <x v="2"/>
    <x v="3"/>
    <n v="11"/>
    <d v="1899-12-30T00:16:40"/>
    <n v="16.666666666666668"/>
  </r>
  <r>
    <x v="17"/>
    <x v="2"/>
    <x v="4"/>
    <n v="17"/>
    <d v="1899-12-30T00:31:37"/>
    <n v="31.616666666666667"/>
  </r>
  <r>
    <x v="17"/>
    <x v="2"/>
    <x v="5"/>
    <n v="13"/>
    <d v="1899-12-30T00:12:49"/>
    <n v="12.816666666666666"/>
  </r>
  <r>
    <x v="17"/>
    <x v="3"/>
    <x v="0"/>
    <n v="27"/>
    <d v="1899-12-30T00:45:28"/>
    <n v="45.466666666666669"/>
  </r>
  <r>
    <x v="17"/>
    <x v="3"/>
    <x v="1"/>
    <n v="20"/>
    <d v="1899-12-30T00:39:06"/>
    <n v="39.1"/>
  </r>
  <r>
    <x v="17"/>
    <x v="3"/>
    <x v="2"/>
    <n v="8"/>
    <d v="1899-12-30T00:16:05"/>
    <n v="16.083333333333332"/>
  </r>
  <r>
    <x v="17"/>
    <x v="3"/>
    <x v="3"/>
    <n v="1"/>
    <d v="1899-12-30T00:01:16"/>
    <n v="1.2666666666666666"/>
  </r>
  <r>
    <x v="17"/>
    <x v="3"/>
    <x v="4"/>
    <n v="1"/>
    <d v="1899-12-30T00:02:23"/>
    <n v="2.3833333333333333"/>
  </r>
  <r>
    <x v="17"/>
    <x v="3"/>
    <x v="5"/>
    <n v="10"/>
    <d v="1899-12-30T00:12:40"/>
    <n v="12.666666666666666"/>
  </r>
  <r>
    <x v="17"/>
    <x v="4"/>
    <x v="0"/>
    <n v="32"/>
    <d v="1899-12-30T00:44:38"/>
    <n v="44.633333333333333"/>
  </r>
  <r>
    <x v="17"/>
    <x v="4"/>
    <x v="1"/>
    <n v="23"/>
    <d v="1899-12-30T00:28:17"/>
    <n v="28.283333333333335"/>
  </r>
  <r>
    <x v="17"/>
    <x v="4"/>
    <x v="2"/>
    <n v="9"/>
    <d v="1899-12-30T00:14:08"/>
    <n v="14.133333333333333"/>
  </r>
  <r>
    <x v="17"/>
    <x v="4"/>
    <x v="3"/>
    <n v="4"/>
    <d v="1899-12-30T00:06:02"/>
    <n v="6.0333333333333332"/>
  </r>
  <r>
    <x v="17"/>
    <x v="4"/>
    <x v="4"/>
    <n v="6"/>
    <d v="1899-12-30T00:08:49"/>
    <n v="8.8166666666666664"/>
  </r>
  <r>
    <x v="17"/>
    <x v="4"/>
    <x v="5"/>
    <n v="11"/>
    <d v="1899-12-30T00:12:44"/>
    <n v="12.733333333333333"/>
  </r>
  <r>
    <x v="17"/>
    <x v="5"/>
    <x v="0"/>
    <n v="26"/>
    <d v="1899-12-30T00:39:19"/>
    <n v="39.31666666666667"/>
  </r>
  <r>
    <x v="17"/>
    <x v="5"/>
    <x v="1"/>
    <n v="21"/>
    <d v="1899-12-30T00:29:50"/>
    <n v="29.833333333333332"/>
  </r>
  <r>
    <x v="17"/>
    <x v="5"/>
    <x v="2"/>
    <n v="20"/>
    <d v="1899-12-30T00:37:22"/>
    <n v="37.366666666666667"/>
  </r>
  <r>
    <x v="17"/>
    <x v="5"/>
    <x v="3"/>
    <n v="5"/>
    <d v="1899-12-30T00:08:01"/>
    <n v="8.0166666666666675"/>
  </r>
  <r>
    <x v="17"/>
    <x v="5"/>
    <x v="4"/>
    <n v="3"/>
    <d v="1899-12-30T00:03:29"/>
    <n v="3.4833333333333334"/>
  </r>
  <r>
    <x v="17"/>
    <x v="5"/>
    <x v="5"/>
    <n v="13"/>
    <d v="1899-12-30T00:12:36"/>
    <n v="12.6"/>
  </r>
  <r>
    <x v="17"/>
    <x v="6"/>
    <x v="0"/>
    <n v="7"/>
    <d v="1899-12-30T00:10:34"/>
    <n v="10.566666666666666"/>
  </r>
  <r>
    <x v="17"/>
    <x v="6"/>
    <x v="1"/>
    <n v="13"/>
    <d v="1899-12-30T00:22:31"/>
    <n v="22.516666666666666"/>
  </r>
  <r>
    <x v="17"/>
    <x v="6"/>
    <x v="2"/>
    <n v="7"/>
    <d v="1899-12-30T00:10:32"/>
    <n v="10.533333333333333"/>
  </r>
  <r>
    <x v="17"/>
    <x v="6"/>
    <x v="3"/>
    <n v="1"/>
    <d v="1899-12-30T00:00:48"/>
    <n v="0.8"/>
  </r>
  <r>
    <x v="17"/>
    <x v="6"/>
    <x v="4"/>
    <n v="4"/>
    <d v="1899-12-30T00:05:02"/>
    <n v="5.0333333333333332"/>
  </r>
  <r>
    <x v="17"/>
    <x v="6"/>
    <x v="5"/>
    <n v="2"/>
    <d v="1899-12-30T00:01:23"/>
    <n v="1.3833333333333333"/>
  </r>
  <r>
    <x v="17"/>
    <x v="7"/>
    <x v="0"/>
    <n v="41"/>
    <d v="1899-12-30T01:03:36"/>
    <n v="63.6"/>
  </r>
  <r>
    <x v="17"/>
    <x v="7"/>
    <x v="1"/>
    <n v="45"/>
    <d v="1899-12-30T01:01:01"/>
    <n v="61.016666666666666"/>
  </r>
  <r>
    <x v="17"/>
    <x v="7"/>
    <x v="2"/>
    <n v="39"/>
    <d v="1899-12-30T01:01:15"/>
    <n v="61.25"/>
  </r>
  <r>
    <x v="17"/>
    <x v="7"/>
    <x v="3"/>
    <n v="38"/>
    <d v="1899-12-30T00:55:31"/>
    <n v="55.516666666666666"/>
  </r>
  <r>
    <x v="17"/>
    <x v="7"/>
    <x v="4"/>
    <n v="121"/>
    <d v="1899-12-30T02:59:49"/>
    <n v="179.81666666666666"/>
  </r>
  <r>
    <x v="17"/>
    <x v="7"/>
    <x v="5"/>
    <n v="11"/>
    <d v="1899-12-30T00:08:14"/>
    <n v="8.2333333333333325"/>
  </r>
  <r>
    <x v="17"/>
    <x v="8"/>
    <x v="0"/>
    <n v="40"/>
    <d v="1899-12-30T00:53:56"/>
    <n v="53.93333333333333"/>
  </r>
  <r>
    <x v="17"/>
    <x v="8"/>
    <x v="1"/>
    <n v="52"/>
    <d v="1899-12-30T01:18:45"/>
    <n v="78.75"/>
  </r>
  <r>
    <x v="17"/>
    <x v="8"/>
    <x v="2"/>
    <n v="38"/>
    <d v="1899-12-30T01:14:14"/>
    <n v="74.233333333333334"/>
  </r>
  <r>
    <x v="17"/>
    <x v="8"/>
    <x v="3"/>
    <n v="19"/>
    <d v="1899-12-30T00:27:38"/>
    <n v="27.633333333333333"/>
  </r>
  <r>
    <x v="17"/>
    <x v="8"/>
    <x v="4"/>
    <n v="23"/>
    <d v="1899-12-30T00:37:41"/>
    <n v="37.68333333333333"/>
  </r>
  <r>
    <x v="17"/>
    <x v="8"/>
    <x v="5"/>
    <n v="23"/>
    <d v="1899-12-30T00:24:50"/>
    <n v="24.833333333333332"/>
  </r>
  <r>
    <x v="17"/>
    <x v="9"/>
    <x v="0"/>
    <n v="29"/>
    <d v="1899-12-30T00:51:18"/>
    <n v="51.3"/>
  </r>
  <r>
    <x v="17"/>
    <x v="9"/>
    <x v="1"/>
    <n v="46"/>
    <d v="1899-12-30T01:46:36"/>
    <n v="106.6"/>
  </r>
  <r>
    <x v="17"/>
    <x v="9"/>
    <x v="2"/>
    <n v="31"/>
    <d v="1899-12-30T01:04:21"/>
    <n v="64.349999999999994"/>
  </r>
  <r>
    <x v="17"/>
    <x v="9"/>
    <x v="3"/>
    <n v="11"/>
    <d v="1899-12-30T00:17:27"/>
    <n v="17.45"/>
  </r>
  <r>
    <x v="17"/>
    <x v="9"/>
    <x v="4"/>
    <n v="11"/>
    <d v="1899-12-30T00:16:01"/>
    <n v="16.016666666666666"/>
  </r>
  <r>
    <x v="17"/>
    <x v="9"/>
    <x v="5"/>
    <n v="16"/>
    <d v="1899-12-30T00:16:27"/>
    <n v="16.45"/>
  </r>
  <r>
    <x v="17"/>
    <x v="10"/>
    <x v="0"/>
    <n v="18"/>
    <d v="1899-12-30T00:31:02"/>
    <n v="31.033333333333335"/>
  </r>
  <r>
    <x v="17"/>
    <x v="10"/>
    <x v="1"/>
    <n v="15"/>
    <d v="1899-12-30T00:26:53"/>
    <n v="26.883333333333333"/>
  </r>
  <r>
    <x v="17"/>
    <x v="10"/>
    <x v="2"/>
    <n v="14"/>
    <d v="1899-12-30T00:29:47"/>
    <n v="29.783333333333335"/>
  </r>
  <r>
    <x v="17"/>
    <x v="10"/>
    <x v="3"/>
    <n v="4"/>
    <d v="1899-12-30T00:05:07"/>
    <n v="5.1166666666666663"/>
  </r>
  <r>
    <x v="17"/>
    <x v="10"/>
    <x v="4"/>
    <n v="5"/>
    <d v="1899-12-30T00:10:10"/>
    <n v="10.166666666666666"/>
  </r>
  <r>
    <x v="17"/>
    <x v="10"/>
    <x v="5"/>
    <n v="9"/>
    <d v="1899-12-30T00:08:40"/>
    <n v="8.6666666666666661"/>
  </r>
  <r>
    <x v="17"/>
    <x v="11"/>
    <x v="0"/>
    <n v="13"/>
    <d v="1899-12-30T00:16:41"/>
    <n v="16.683333333333334"/>
  </r>
  <r>
    <x v="17"/>
    <x v="11"/>
    <x v="1"/>
    <n v="16"/>
    <d v="1899-12-30T00:32:00"/>
    <n v="32"/>
  </r>
  <r>
    <x v="17"/>
    <x v="11"/>
    <x v="2"/>
    <n v="12"/>
    <d v="1899-12-30T00:17:18"/>
    <n v="17.3"/>
  </r>
  <r>
    <x v="17"/>
    <x v="11"/>
    <x v="3"/>
    <n v="1"/>
    <d v="1899-12-30T00:01:24"/>
    <n v="1.4"/>
  </r>
  <r>
    <x v="17"/>
    <x v="11"/>
    <x v="4"/>
    <n v="3"/>
    <d v="1899-12-30T00:03:41"/>
    <n v="3.6833333333333336"/>
  </r>
  <r>
    <x v="17"/>
    <x v="11"/>
    <x v="5"/>
    <n v="2"/>
    <d v="1899-12-30T00:02:42"/>
    <n v="2.7"/>
  </r>
  <r>
    <x v="17"/>
    <x v="12"/>
    <x v="0"/>
    <n v="109"/>
    <d v="1899-12-30T02:49:22"/>
    <n v="169.36666666666667"/>
  </r>
  <r>
    <x v="17"/>
    <x v="12"/>
    <x v="1"/>
    <n v="120"/>
    <d v="1899-12-30T03:06:08"/>
    <n v="186.13333333333333"/>
  </r>
  <r>
    <x v="17"/>
    <x v="12"/>
    <x v="2"/>
    <n v="76"/>
    <d v="1899-12-30T02:24:55"/>
    <n v="144.91666666666666"/>
  </r>
  <r>
    <x v="17"/>
    <x v="12"/>
    <x v="3"/>
    <n v="29"/>
    <d v="1899-12-30T00:46:04"/>
    <n v="46.06666666666667"/>
  </r>
  <r>
    <x v="17"/>
    <x v="12"/>
    <x v="4"/>
    <n v="40"/>
    <d v="1899-12-30T00:57:39"/>
    <n v="57.65"/>
  </r>
  <r>
    <x v="17"/>
    <x v="12"/>
    <x v="5"/>
    <n v="34"/>
    <d v="1899-12-30T00:43:21"/>
    <n v="43.35"/>
  </r>
  <r>
    <x v="17"/>
    <x v="13"/>
    <x v="0"/>
    <n v="218"/>
    <d v="1899-12-30T05:22:49"/>
    <n v="322.81666666666666"/>
  </r>
  <r>
    <x v="17"/>
    <x v="13"/>
    <x v="1"/>
    <n v="163"/>
    <d v="1899-12-30T04:00:17"/>
    <n v="240.28333333333333"/>
  </r>
  <r>
    <x v="17"/>
    <x v="13"/>
    <x v="2"/>
    <n v="79"/>
    <d v="1899-12-30T01:54:33"/>
    <n v="114.55"/>
  </r>
  <r>
    <x v="17"/>
    <x v="13"/>
    <x v="3"/>
    <n v="26"/>
    <d v="1899-12-30T00:31:05"/>
    <n v="31.083333333333332"/>
  </r>
  <r>
    <x v="17"/>
    <x v="13"/>
    <x v="4"/>
    <n v="29"/>
    <d v="1899-12-30T00:47:57"/>
    <n v="47.95"/>
  </r>
  <r>
    <x v="17"/>
    <x v="13"/>
    <x v="5"/>
    <n v="75"/>
    <d v="1899-12-30T01:17:21"/>
    <n v="77.349999999999994"/>
  </r>
  <r>
    <x v="18"/>
    <x v="0"/>
    <x v="0"/>
    <n v="22"/>
    <d v="1899-12-30T00:32:02"/>
    <n v="32.033333333333331"/>
  </r>
  <r>
    <x v="18"/>
    <x v="0"/>
    <x v="1"/>
    <n v="11"/>
    <d v="1899-12-30T00:13:37"/>
    <n v="13.616666666666667"/>
  </r>
  <r>
    <x v="18"/>
    <x v="0"/>
    <x v="2"/>
    <n v="12"/>
    <d v="1899-12-30T00:16:16"/>
    <n v="16.266666666666666"/>
  </r>
  <r>
    <x v="18"/>
    <x v="0"/>
    <x v="3"/>
    <n v="4"/>
    <d v="1899-12-30T00:04:57"/>
    <n v="4.95"/>
  </r>
  <r>
    <x v="18"/>
    <x v="0"/>
    <x v="4"/>
    <n v="5"/>
    <d v="1899-12-30T00:06:39"/>
    <n v="6.65"/>
  </r>
  <r>
    <x v="18"/>
    <x v="0"/>
    <x v="5"/>
    <n v="10"/>
    <d v="1899-12-30T00:06:00"/>
    <n v="6"/>
  </r>
  <r>
    <x v="18"/>
    <x v="1"/>
    <x v="0"/>
    <n v="41"/>
    <d v="1899-12-30T01:09:04"/>
    <n v="69.066666666666663"/>
  </r>
  <r>
    <x v="18"/>
    <x v="1"/>
    <x v="1"/>
    <n v="59"/>
    <d v="1899-12-30T01:56:59"/>
    <n v="116.98333333333333"/>
  </r>
  <r>
    <x v="18"/>
    <x v="1"/>
    <x v="2"/>
    <n v="37"/>
    <d v="1899-12-30T01:14:38"/>
    <n v="74.63333333333334"/>
  </r>
  <r>
    <x v="18"/>
    <x v="1"/>
    <x v="3"/>
    <n v="9"/>
    <d v="1899-12-30T00:11:04"/>
    <n v="11.066666666666666"/>
  </r>
  <r>
    <x v="18"/>
    <x v="1"/>
    <x v="4"/>
    <n v="2"/>
    <d v="1899-12-30T00:03:31"/>
    <n v="3.5166666666666666"/>
  </r>
  <r>
    <x v="18"/>
    <x v="1"/>
    <x v="5"/>
    <n v="18"/>
    <d v="1899-12-30T00:23:14"/>
    <n v="23.233333333333334"/>
  </r>
  <r>
    <x v="18"/>
    <x v="2"/>
    <x v="0"/>
    <n v="31"/>
    <d v="1899-12-30T00:49:48"/>
    <n v="49.8"/>
  </r>
  <r>
    <x v="18"/>
    <x v="2"/>
    <x v="1"/>
    <n v="31"/>
    <d v="1899-12-30T00:52:12"/>
    <n v="52.2"/>
  </r>
  <r>
    <x v="18"/>
    <x v="2"/>
    <x v="2"/>
    <n v="17"/>
    <d v="1899-12-30T00:32:42"/>
    <n v="32.700000000000003"/>
  </r>
  <r>
    <x v="18"/>
    <x v="2"/>
    <x v="3"/>
    <n v="3"/>
    <d v="1899-12-30T00:02:13"/>
    <n v="2.2166666666666668"/>
  </r>
  <r>
    <x v="18"/>
    <x v="2"/>
    <x v="4"/>
    <n v="8"/>
    <d v="1899-12-30T00:13:32"/>
    <n v="13.533333333333333"/>
  </r>
  <r>
    <x v="18"/>
    <x v="2"/>
    <x v="5"/>
    <n v="9"/>
    <d v="1899-12-30T00:08:27"/>
    <n v="8.4499999999999993"/>
  </r>
  <r>
    <x v="18"/>
    <x v="3"/>
    <x v="0"/>
    <n v="9"/>
    <d v="1899-12-30T00:18:23"/>
    <n v="18.383333333333333"/>
  </r>
  <r>
    <x v="18"/>
    <x v="3"/>
    <x v="1"/>
    <n v="10"/>
    <d v="1899-12-30T00:20:30"/>
    <n v="20.5"/>
  </r>
  <r>
    <x v="18"/>
    <x v="3"/>
    <x v="2"/>
    <n v="2"/>
    <d v="1899-12-30T00:03:37"/>
    <n v="3.6166666666666667"/>
  </r>
  <r>
    <x v="18"/>
    <x v="3"/>
    <x v="3"/>
    <n v="2"/>
    <d v="1899-12-30T00:02:00"/>
    <n v="2"/>
  </r>
  <r>
    <x v="18"/>
    <x v="3"/>
    <x v="4"/>
    <n v="2"/>
    <d v="1899-12-30T00:00:39"/>
    <n v="0.65"/>
  </r>
  <r>
    <x v="18"/>
    <x v="3"/>
    <x v="5"/>
    <n v="3"/>
    <d v="1899-12-30T00:04:16"/>
    <n v="4.2666666666666666"/>
  </r>
  <r>
    <x v="18"/>
    <x v="4"/>
    <x v="0"/>
    <n v="46"/>
    <d v="1899-12-30T01:17:38"/>
    <n v="77.63333333333334"/>
  </r>
  <r>
    <x v="18"/>
    <x v="4"/>
    <x v="1"/>
    <n v="42"/>
    <d v="1899-12-30T00:59:09"/>
    <n v="59.15"/>
  </r>
  <r>
    <x v="18"/>
    <x v="4"/>
    <x v="2"/>
    <n v="23"/>
    <d v="1899-12-30T00:39:31"/>
    <n v="39.516666666666666"/>
  </r>
  <r>
    <x v="18"/>
    <x v="4"/>
    <x v="3"/>
    <n v="2"/>
    <d v="1899-12-30T00:01:04"/>
    <n v="1.0666666666666667"/>
  </r>
  <r>
    <x v="18"/>
    <x v="4"/>
    <x v="4"/>
    <n v="5"/>
    <d v="1899-12-30T00:08:58"/>
    <n v="8.9666666666666668"/>
  </r>
  <r>
    <x v="18"/>
    <x v="4"/>
    <x v="5"/>
    <n v="14"/>
    <d v="1899-12-30T00:12:13"/>
    <n v="12.216666666666667"/>
  </r>
  <r>
    <x v="18"/>
    <x v="5"/>
    <x v="0"/>
    <n v="9"/>
    <d v="1899-12-30T00:14:08"/>
    <n v="14.133333333333333"/>
  </r>
  <r>
    <x v="18"/>
    <x v="5"/>
    <x v="1"/>
    <n v="17"/>
    <d v="1899-12-30T00:24:24"/>
    <n v="24.4"/>
  </r>
  <r>
    <x v="18"/>
    <x v="5"/>
    <x v="2"/>
    <n v="18"/>
    <d v="1899-12-30T00:21:08"/>
    <n v="21.133333333333333"/>
  </r>
  <r>
    <x v="18"/>
    <x v="5"/>
    <x v="3"/>
    <n v="0"/>
    <d v="1899-12-30T00:00:00"/>
    <n v="0"/>
  </r>
  <r>
    <x v="18"/>
    <x v="5"/>
    <x v="4"/>
    <n v="0"/>
    <d v="1899-12-30T00:00:00"/>
    <n v="0"/>
  </r>
  <r>
    <x v="18"/>
    <x v="5"/>
    <x v="5"/>
    <n v="7"/>
    <d v="1899-12-30T00:04:31"/>
    <n v="4.5166666666666666"/>
  </r>
  <r>
    <x v="18"/>
    <x v="6"/>
    <x v="0"/>
    <n v="5"/>
    <d v="1899-12-30T00:07:24"/>
    <n v="7.4"/>
  </r>
  <r>
    <x v="18"/>
    <x v="6"/>
    <x v="1"/>
    <n v="8"/>
    <d v="1899-12-30T00:12:24"/>
    <n v="12.4"/>
  </r>
  <r>
    <x v="18"/>
    <x v="6"/>
    <x v="2"/>
    <n v="6"/>
    <d v="1899-12-30T00:07:33"/>
    <n v="7.55"/>
  </r>
  <r>
    <x v="18"/>
    <x v="6"/>
    <x v="3"/>
    <n v="3"/>
    <d v="1899-12-30T00:04:22"/>
    <n v="4.3666666666666663"/>
  </r>
  <r>
    <x v="18"/>
    <x v="6"/>
    <x v="4"/>
    <n v="3"/>
    <d v="1899-12-30T00:02:50"/>
    <n v="2.8333333333333335"/>
  </r>
  <r>
    <x v="18"/>
    <x v="6"/>
    <x v="5"/>
    <n v="1"/>
    <d v="1899-12-30T00:00:55"/>
    <n v="0.91666666666666663"/>
  </r>
  <r>
    <x v="18"/>
    <x v="7"/>
    <x v="0"/>
    <n v="129"/>
    <d v="1899-12-30T03:18:04"/>
    <n v="198.06666666666666"/>
  </r>
  <r>
    <x v="18"/>
    <x v="7"/>
    <x v="1"/>
    <n v="142"/>
    <d v="1899-12-30T03:19:46"/>
    <n v="199.76666666666668"/>
  </r>
  <r>
    <x v="18"/>
    <x v="7"/>
    <x v="2"/>
    <n v="103"/>
    <d v="1899-12-30T03:11:40"/>
    <n v="191.66666666666666"/>
  </r>
  <r>
    <x v="18"/>
    <x v="7"/>
    <x v="3"/>
    <n v="49"/>
    <d v="1899-12-30T01:08:01"/>
    <n v="68.016666666666666"/>
  </r>
  <r>
    <x v="18"/>
    <x v="7"/>
    <x v="4"/>
    <n v="172"/>
    <d v="1899-12-30T04:26:21"/>
    <n v="266.35000000000002"/>
  </r>
  <r>
    <x v="18"/>
    <x v="7"/>
    <x v="5"/>
    <n v="49"/>
    <d v="1899-12-30T01:05:58"/>
    <n v="65.966666666666669"/>
  </r>
  <r>
    <x v="18"/>
    <x v="8"/>
    <x v="0"/>
    <n v="12"/>
    <d v="1899-12-30T00:17:49"/>
    <n v="17.816666666666666"/>
  </r>
  <r>
    <x v="18"/>
    <x v="8"/>
    <x v="1"/>
    <n v="19"/>
    <d v="1899-12-30T00:27:36"/>
    <n v="27.6"/>
  </r>
  <r>
    <x v="18"/>
    <x v="8"/>
    <x v="2"/>
    <n v="24"/>
    <d v="1899-12-30T00:35:52"/>
    <n v="35.866666666666667"/>
  </r>
  <r>
    <x v="18"/>
    <x v="8"/>
    <x v="3"/>
    <n v="7"/>
    <d v="1899-12-30T00:08:36"/>
    <n v="8.6"/>
  </r>
  <r>
    <x v="18"/>
    <x v="8"/>
    <x v="4"/>
    <n v="8"/>
    <d v="1899-12-30T00:09:09"/>
    <n v="9.15"/>
  </r>
  <r>
    <x v="18"/>
    <x v="8"/>
    <x v="5"/>
    <n v="8"/>
    <d v="1899-12-30T00:09:24"/>
    <n v="9.4"/>
  </r>
  <r>
    <x v="18"/>
    <x v="9"/>
    <x v="0"/>
    <n v="23"/>
    <d v="1899-12-30T00:38:58"/>
    <n v="38.966666666666669"/>
  </r>
  <r>
    <x v="18"/>
    <x v="9"/>
    <x v="1"/>
    <n v="18"/>
    <d v="1899-12-30T00:26:51"/>
    <n v="26.85"/>
  </r>
  <r>
    <x v="18"/>
    <x v="9"/>
    <x v="2"/>
    <n v="19"/>
    <d v="1899-12-30T00:32:53"/>
    <n v="32.883333333333333"/>
  </r>
  <r>
    <x v="18"/>
    <x v="9"/>
    <x v="3"/>
    <n v="10"/>
    <d v="1899-12-30T00:11:43"/>
    <n v="11.716666666666667"/>
  </r>
  <r>
    <x v="18"/>
    <x v="9"/>
    <x v="4"/>
    <n v="6"/>
    <d v="1899-12-30T00:08:09"/>
    <n v="8.15"/>
  </r>
  <r>
    <x v="18"/>
    <x v="9"/>
    <x v="5"/>
    <n v="9"/>
    <d v="1899-12-30T00:10:30"/>
    <n v="10.5"/>
  </r>
  <r>
    <x v="18"/>
    <x v="10"/>
    <x v="0"/>
    <n v="29"/>
    <d v="1899-12-30T00:46:33"/>
    <n v="46.55"/>
  </r>
  <r>
    <x v="18"/>
    <x v="10"/>
    <x v="1"/>
    <n v="32"/>
    <d v="1899-12-30T00:44:08"/>
    <n v="44.133333333333333"/>
  </r>
  <r>
    <x v="18"/>
    <x v="10"/>
    <x v="2"/>
    <n v="23"/>
    <d v="1899-12-30T00:41:48"/>
    <n v="41.8"/>
  </r>
  <r>
    <x v="18"/>
    <x v="10"/>
    <x v="3"/>
    <n v="9"/>
    <d v="1899-12-30T00:10:42"/>
    <n v="10.7"/>
  </r>
  <r>
    <x v="18"/>
    <x v="10"/>
    <x v="4"/>
    <n v="3"/>
    <d v="1899-12-30T00:04:04"/>
    <n v="4.0666666666666664"/>
  </r>
  <r>
    <x v="18"/>
    <x v="10"/>
    <x v="5"/>
    <n v="13"/>
    <d v="1899-12-30T00:17:30"/>
    <n v="17.5"/>
  </r>
  <r>
    <x v="18"/>
    <x v="11"/>
    <x v="0"/>
    <n v="10"/>
    <d v="1899-12-30T00:17:40"/>
    <n v="17.666666666666668"/>
  </r>
  <r>
    <x v="18"/>
    <x v="11"/>
    <x v="1"/>
    <n v="15"/>
    <d v="1899-12-30T00:18:06"/>
    <n v="18.100000000000001"/>
  </r>
  <r>
    <x v="18"/>
    <x v="11"/>
    <x v="2"/>
    <n v="9"/>
    <d v="1899-12-30T00:12:51"/>
    <n v="12.85"/>
  </r>
  <r>
    <x v="18"/>
    <x v="11"/>
    <x v="3"/>
    <n v="2"/>
    <d v="1899-12-30T00:01:55"/>
    <n v="1.9166666666666665"/>
  </r>
  <r>
    <x v="18"/>
    <x v="11"/>
    <x v="4"/>
    <n v="8"/>
    <d v="1899-12-30T00:07:01"/>
    <n v="7.0166666666666666"/>
  </r>
  <r>
    <x v="18"/>
    <x v="11"/>
    <x v="5"/>
    <n v="5"/>
    <d v="1899-12-30T00:06:22"/>
    <n v="6.3666666666666663"/>
  </r>
  <r>
    <x v="18"/>
    <x v="12"/>
    <x v="0"/>
    <n v="82"/>
    <d v="1899-12-30T02:08:30"/>
    <n v="128.5"/>
  </r>
  <r>
    <x v="18"/>
    <x v="12"/>
    <x v="1"/>
    <n v="104"/>
    <d v="1899-12-30T02:35:36"/>
    <n v="155.6"/>
  </r>
  <r>
    <x v="18"/>
    <x v="12"/>
    <x v="2"/>
    <n v="84"/>
    <d v="1899-12-30T02:21:39"/>
    <n v="141.65"/>
  </r>
  <r>
    <x v="18"/>
    <x v="12"/>
    <x v="3"/>
    <n v="29"/>
    <d v="1899-12-30T00:38:04"/>
    <n v="38.06666666666667"/>
  </r>
  <r>
    <x v="18"/>
    <x v="12"/>
    <x v="4"/>
    <n v="36"/>
    <d v="1899-12-30T01:02:11"/>
    <n v="62.18333333333333"/>
  </r>
  <r>
    <x v="18"/>
    <x v="12"/>
    <x v="5"/>
    <n v="42"/>
    <d v="1899-12-30T00:41:47"/>
    <n v="41.783333333333331"/>
  </r>
  <r>
    <x v="18"/>
    <x v="13"/>
    <x v="0"/>
    <n v="174"/>
    <d v="1899-12-30T04:46:29"/>
    <n v="286.48333333333335"/>
  </r>
  <r>
    <x v="18"/>
    <x v="13"/>
    <x v="1"/>
    <n v="161"/>
    <d v="1899-12-30T04:07:40"/>
    <n v="247.66666666666666"/>
  </r>
  <r>
    <x v="18"/>
    <x v="13"/>
    <x v="2"/>
    <n v="96"/>
    <d v="1899-12-30T02:49:06"/>
    <n v="169.1"/>
  </r>
  <r>
    <x v="18"/>
    <x v="13"/>
    <x v="3"/>
    <n v="20"/>
    <d v="1899-12-30T00:22:56"/>
    <n v="22.933333333333334"/>
  </r>
  <r>
    <x v="18"/>
    <x v="13"/>
    <x v="4"/>
    <n v="27"/>
    <d v="1899-12-30T00:40:21"/>
    <n v="40.35"/>
  </r>
  <r>
    <x v="18"/>
    <x v="13"/>
    <x v="5"/>
    <n v="83"/>
    <d v="1899-12-30T01:50:12"/>
    <n v="110.2"/>
  </r>
  <r>
    <x v="19"/>
    <x v="0"/>
    <x v="0"/>
    <n v="37"/>
    <d v="1899-12-30T00:55:02"/>
    <n v="55.033333333333331"/>
  </r>
  <r>
    <x v="19"/>
    <x v="0"/>
    <x v="1"/>
    <n v="42"/>
    <d v="1899-12-30T01:08:20"/>
    <n v="68.333333333333329"/>
  </r>
  <r>
    <x v="19"/>
    <x v="0"/>
    <x v="2"/>
    <n v="29"/>
    <d v="1899-12-30T00:37:08"/>
    <n v="37.133333333333333"/>
  </r>
  <r>
    <x v="19"/>
    <x v="0"/>
    <x v="3"/>
    <n v="5"/>
    <d v="1899-12-30T00:06:16"/>
    <n v="6.2666666666666666"/>
  </r>
  <r>
    <x v="19"/>
    <x v="0"/>
    <x v="4"/>
    <n v="14"/>
    <d v="1899-12-30T00:15:15"/>
    <n v="15.25"/>
  </r>
  <r>
    <x v="19"/>
    <x v="0"/>
    <x v="5"/>
    <n v="29"/>
    <d v="1899-12-30T00:39:12"/>
    <n v="39.200000000000003"/>
  </r>
  <r>
    <x v="19"/>
    <x v="1"/>
    <x v="0"/>
    <n v="37"/>
    <d v="1899-12-30T01:03:06"/>
    <n v="63.1"/>
  </r>
  <r>
    <x v="19"/>
    <x v="1"/>
    <x v="1"/>
    <n v="60"/>
    <d v="1899-12-30T01:57:47"/>
    <n v="117.78333333333333"/>
  </r>
  <r>
    <x v="19"/>
    <x v="1"/>
    <x v="2"/>
    <n v="32"/>
    <d v="1899-12-30T01:05:29"/>
    <n v="65.483333333333334"/>
  </r>
  <r>
    <x v="19"/>
    <x v="1"/>
    <x v="3"/>
    <n v="8"/>
    <d v="1899-12-30T00:09:57"/>
    <n v="9.9499999999999993"/>
  </r>
  <r>
    <x v="19"/>
    <x v="1"/>
    <x v="4"/>
    <n v="3"/>
    <d v="1899-12-30T00:04:03"/>
    <n v="4.05"/>
  </r>
  <r>
    <x v="19"/>
    <x v="1"/>
    <x v="5"/>
    <n v="16"/>
    <d v="1899-12-30T00:24:29"/>
    <n v="24.483333333333334"/>
  </r>
  <r>
    <x v="19"/>
    <x v="2"/>
    <x v="0"/>
    <n v="56"/>
    <d v="1899-12-30T01:34:05"/>
    <n v="94.083333333333329"/>
  </r>
  <r>
    <x v="19"/>
    <x v="2"/>
    <x v="1"/>
    <n v="45"/>
    <d v="1899-12-30T01:19:56"/>
    <n v="79.933333333333337"/>
  </r>
  <r>
    <x v="19"/>
    <x v="2"/>
    <x v="2"/>
    <n v="28"/>
    <d v="1899-12-30T00:48:06"/>
    <n v="48.1"/>
  </r>
  <r>
    <x v="19"/>
    <x v="2"/>
    <x v="3"/>
    <n v="6"/>
    <d v="1899-12-30T00:06:45"/>
    <n v="6.75"/>
  </r>
  <r>
    <x v="19"/>
    <x v="2"/>
    <x v="4"/>
    <n v="8"/>
    <d v="1899-12-30T00:08:37"/>
    <n v="8.6166666666666671"/>
  </r>
  <r>
    <x v="19"/>
    <x v="2"/>
    <x v="5"/>
    <n v="9"/>
    <d v="1899-12-30T00:11:52"/>
    <n v="11.866666666666667"/>
  </r>
  <r>
    <x v="19"/>
    <x v="3"/>
    <x v="0"/>
    <n v="20"/>
    <d v="1899-12-30T00:35:47"/>
    <n v="35.783333333333331"/>
  </r>
  <r>
    <x v="19"/>
    <x v="3"/>
    <x v="1"/>
    <n v="21"/>
    <d v="1899-12-30T00:38:02"/>
    <n v="38.033333333333331"/>
  </r>
  <r>
    <x v="19"/>
    <x v="3"/>
    <x v="2"/>
    <n v="8"/>
    <d v="1899-12-30T00:14:48"/>
    <n v="14.8"/>
  </r>
  <r>
    <x v="19"/>
    <x v="3"/>
    <x v="3"/>
    <n v="3"/>
    <d v="1899-12-30T00:03:59"/>
    <n v="3.9833333333333334"/>
  </r>
  <r>
    <x v="19"/>
    <x v="3"/>
    <x v="4"/>
    <n v="1"/>
    <d v="1899-12-30T00:01:36"/>
    <n v="1.6"/>
  </r>
  <r>
    <x v="19"/>
    <x v="3"/>
    <x v="5"/>
    <n v="8"/>
    <d v="1899-12-30T00:12:29"/>
    <n v="12.483333333333333"/>
  </r>
  <r>
    <x v="19"/>
    <x v="4"/>
    <x v="0"/>
    <n v="57"/>
    <d v="1899-12-30T01:36:22"/>
    <n v="96.36666666666666"/>
  </r>
  <r>
    <x v="19"/>
    <x v="4"/>
    <x v="1"/>
    <n v="33"/>
    <d v="1899-12-30T00:53:05"/>
    <n v="53.083333333333336"/>
  </r>
  <r>
    <x v="19"/>
    <x v="4"/>
    <x v="2"/>
    <n v="35"/>
    <d v="1899-12-30T00:55:03"/>
    <n v="55.05"/>
  </r>
  <r>
    <x v="19"/>
    <x v="4"/>
    <x v="3"/>
    <n v="9"/>
    <d v="1899-12-30T00:13:00"/>
    <n v="13"/>
  </r>
  <r>
    <x v="19"/>
    <x v="4"/>
    <x v="4"/>
    <n v="17"/>
    <d v="1899-12-30T00:15:37"/>
    <n v="15.616666666666667"/>
  </r>
  <r>
    <x v="19"/>
    <x v="4"/>
    <x v="5"/>
    <n v="10"/>
    <d v="1899-12-30T00:08:12"/>
    <n v="8.1999999999999993"/>
  </r>
  <r>
    <x v="19"/>
    <x v="5"/>
    <x v="0"/>
    <n v="22"/>
    <d v="1899-12-30T00:35:55"/>
    <n v="35.916666666666664"/>
  </r>
  <r>
    <x v="19"/>
    <x v="5"/>
    <x v="1"/>
    <n v="23"/>
    <d v="1899-12-30T00:41:37"/>
    <n v="41.616666666666667"/>
  </r>
  <r>
    <x v="19"/>
    <x v="5"/>
    <x v="2"/>
    <n v="16"/>
    <d v="1899-12-30T00:20:03"/>
    <n v="20.05"/>
  </r>
  <r>
    <x v="19"/>
    <x v="5"/>
    <x v="3"/>
    <n v="4"/>
    <d v="1899-12-30T00:04:46"/>
    <n v="4.7666666666666666"/>
  </r>
  <r>
    <x v="19"/>
    <x v="5"/>
    <x v="4"/>
    <n v="1"/>
    <d v="1899-12-30T00:02:26"/>
    <n v="2.4333333333333336"/>
  </r>
  <r>
    <x v="19"/>
    <x v="5"/>
    <x v="5"/>
    <n v="11"/>
    <d v="1899-12-30T00:15:44"/>
    <n v="15.733333333333333"/>
  </r>
  <r>
    <x v="19"/>
    <x v="6"/>
    <x v="0"/>
    <n v="4"/>
    <d v="1899-12-30T00:05:00"/>
    <n v="5"/>
  </r>
  <r>
    <x v="19"/>
    <x v="6"/>
    <x v="1"/>
    <n v="4"/>
    <d v="1899-12-30T00:05:03"/>
    <n v="5.05"/>
  </r>
  <r>
    <x v="19"/>
    <x v="6"/>
    <x v="2"/>
    <n v="2"/>
    <d v="1899-12-30T00:01:26"/>
    <n v="1.4333333333333333"/>
  </r>
  <r>
    <x v="19"/>
    <x v="6"/>
    <x v="3"/>
    <n v="2"/>
    <d v="1899-12-30T00:01:48"/>
    <n v="1.8"/>
  </r>
  <r>
    <x v="19"/>
    <x v="6"/>
    <x v="4"/>
    <n v="7"/>
    <d v="1899-12-30T00:11:12"/>
    <n v="11.2"/>
  </r>
  <r>
    <x v="19"/>
    <x v="6"/>
    <x v="5"/>
    <n v="2"/>
    <d v="1899-12-30T00:00:46"/>
    <n v="0.76666666666666672"/>
  </r>
  <r>
    <x v="19"/>
    <x v="7"/>
    <x v="0"/>
    <n v="134"/>
    <d v="1899-12-30T03:20:13"/>
    <n v="200.21666666666667"/>
  </r>
  <r>
    <x v="19"/>
    <x v="7"/>
    <x v="1"/>
    <n v="134"/>
    <d v="1899-12-30T03:23:15"/>
    <n v="203.25"/>
  </r>
  <r>
    <x v="19"/>
    <x v="7"/>
    <x v="2"/>
    <n v="111"/>
    <d v="1899-12-30T03:27:24"/>
    <n v="207.4"/>
  </r>
  <r>
    <x v="19"/>
    <x v="7"/>
    <x v="3"/>
    <n v="59"/>
    <d v="1899-12-30T01:16:11"/>
    <n v="76.183333333333337"/>
  </r>
  <r>
    <x v="19"/>
    <x v="7"/>
    <x v="4"/>
    <n v="172"/>
    <d v="1899-12-30T04:32:59"/>
    <n v="272.98333333333335"/>
  </r>
  <r>
    <x v="19"/>
    <x v="7"/>
    <x v="5"/>
    <n v="44"/>
    <d v="1899-12-30T01:08:12"/>
    <n v="68.2"/>
  </r>
  <r>
    <x v="19"/>
    <x v="8"/>
    <x v="0"/>
    <n v="13"/>
    <d v="1899-12-30T00:21:49"/>
    <n v="21.816666666666666"/>
  </r>
  <r>
    <x v="19"/>
    <x v="8"/>
    <x v="1"/>
    <n v="10"/>
    <d v="1899-12-30T00:13:31"/>
    <n v="13.516666666666667"/>
  </r>
  <r>
    <x v="19"/>
    <x v="8"/>
    <x v="2"/>
    <n v="18"/>
    <d v="1899-12-30T00:24:00"/>
    <n v="24"/>
  </r>
  <r>
    <x v="19"/>
    <x v="8"/>
    <x v="3"/>
    <n v="2"/>
    <d v="1899-12-30T00:02:41"/>
    <n v="2.6833333333333336"/>
  </r>
  <r>
    <x v="19"/>
    <x v="8"/>
    <x v="4"/>
    <n v="10"/>
    <d v="1899-12-30T00:11:01"/>
    <n v="11.016666666666667"/>
  </r>
  <r>
    <x v="19"/>
    <x v="8"/>
    <x v="5"/>
    <n v="6"/>
    <d v="1899-12-30T00:06:37"/>
    <n v="6.6166666666666671"/>
  </r>
  <r>
    <x v="19"/>
    <x v="9"/>
    <x v="0"/>
    <n v="37"/>
    <d v="1899-12-30T01:04:02"/>
    <n v="64.033333333333331"/>
  </r>
  <r>
    <x v="19"/>
    <x v="9"/>
    <x v="1"/>
    <n v="49"/>
    <d v="1899-12-30T01:22:56"/>
    <n v="82.933333333333337"/>
  </r>
  <r>
    <x v="19"/>
    <x v="9"/>
    <x v="2"/>
    <n v="38"/>
    <d v="1899-12-30T01:14:33"/>
    <n v="74.55"/>
  </r>
  <r>
    <x v="19"/>
    <x v="9"/>
    <x v="3"/>
    <n v="21"/>
    <d v="1899-12-30T00:22:01"/>
    <n v="22.016666666666666"/>
  </r>
  <r>
    <x v="19"/>
    <x v="9"/>
    <x v="4"/>
    <n v="14"/>
    <d v="1899-12-30T00:18:57"/>
    <n v="18.95"/>
  </r>
  <r>
    <x v="19"/>
    <x v="9"/>
    <x v="5"/>
    <n v="25"/>
    <d v="1899-12-30T00:36:27"/>
    <n v="36.450000000000003"/>
  </r>
  <r>
    <x v="19"/>
    <x v="10"/>
    <x v="0"/>
    <n v="25"/>
    <d v="1899-12-30T00:40:00"/>
    <n v="40"/>
  </r>
  <r>
    <x v="19"/>
    <x v="10"/>
    <x v="1"/>
    <n v="22"/>
    <d v="1899-12-30T00:35:25"/>
    <n v="35.416666666666664"/>
  </r>
  <r>
    <x v="19"/>
    <x v="10"/>
    <x v="2"/>
    <n v="13"/>
    <d v="1899-12-30T00:25:32"/>
    <n v="25.533333333333335"/>
  </r>
  <r>
    <x v="19"/>
    <x v="10"/>
    <x v="3"/>
    <n v="7"/>
    <d v="1899-12-30T00:09:04"/>
    <n v="9.0666666666666664"/>
  </r>
  <r>
    <x v="19"/>
    <x v="10"/>
    <x v="4"/>
    <n v="10"/>
    <d v="1899-12-30T00:10:45"/>
    <n v="10.75"/>
  </r>
  <r>
    <x v="19"/>
    <x v="10"/>
    <x v="5"/>
    <n v="10"/>
    <d v="1899-12-30T00:13:49"/>
    <n v="13.816666666666666"/>
  </r>
  <r>
    <x v="19"/>
    <x v="11"/>
    <x v="0"/>
    <n v="27"/>
    <d v="1899-12-30T00:44:30"/>
    <n v="44.5"/>
  </r>
  <r>
    <x v="19"/>
    <x v="11"/>
    <x v="1"/>
    <n v="30"/>
    <d v="1899-12-30T00:51:56"/>
    <n v="51.93333333333333"/>
  </r>
  <r>
    <x v="19"/>
    <x v="11"/>
    <x v="2"/>
    <n v="14"/>
    <d v="1899-12-30T00:24:13"/>
    <n v="24.216666666666665"/>
  </r>
  <r>
    <x v="19"/>
    <x v="11"/>
    <x v="3"/>
    <n v="3"/>
    <d v="1899-12-30T00:03:47"/>
    <n v="3.7833333333333332"/>
  </r>
  <r>
    <x v="19"/>
    <x v="11"/>
    <x v="4"/>
    <n v="2"/>
    <d v="1899-12-30T00:01:46"/>
    <n v="1.7666666666666666"/>
  </r>
  <r>
    <x v="19"/>
    <x v="11"/>
    <x v="5"/>
    <n v="13"/>
    <d v="1899-12-30T00:13:03"/>
    <n v="13.05"/>
  </r>
  <r>
    <x v="19"/>
    <x v="12"/>
    <x v="0"/>
    <n v="107"/>
    <d v="1899-12-30T02:59:23"/>
    <n v="179.38333333333333"/>
  </r>
  <r>
    <x v="19"/>
    <x v="12"/>
    <x v="1"/>
    <n v="84"/>
    <d v="1899-12-30T02:17:33"/>
    <n v="137.55000000000001"/>
  </r>
  <r>
    <x v="19"/>
    <x v="12"/>
    <x v="2"/>
    <n v="78"/>
    <d v="1899-12-30T02:16:17"/>
    <n v="136.28333333333333"/>
  </r>
  <r>
    <x v="19"/>
    <x v="12"/>
    <x v="3"/>
    <n v="24"/>
    <d v="1899-12-30T00:30:04"/>
    <n v="30.066666666666666"/>
  </r>
  <r>
    <x v="19"/>
    <x v="12"/>
    <x v="4"/>
    <n v="42"/>
    <d v="1899-12-30T00:54:54"/>
    <n v="54.9"/>
  </r>
  <r>
    <x v="19"/>
    <x v="12"/>
    <x v="5"/>
    <n v="43"/>
    <d v="1899-12-30T00:46:10"/>
    <n v="46.166666666666664"/>
  </r>
  <r>
    <x v="19"/>
    <x v="13"/>
    <x v="0"/>
    <n v="65"/>
    <d v="1899-12-30T01:25:49"/>
    <n v="85.816666666666663"/>
  </r>
  <r>
    <x v="19"/>
    <x v="13"/>
    <x v="1"/>
    <n v="58"/>
    <d v="1899-12-30T01:19:36"/>
    <n v="79.599999999999994"/>
  </r>
  <r>
    <x v="19"/>
    <x v="13"/>
    <x v="2"/>
    <n v="42"/>
    <d v="1899-12-30T00:46:50"/>
    <n v="46.833333333333336"/>
  </r>
  <r>
    <x v="19"/>
    <x v="13"/>
    <x v="3"/>
    <n v="21"/>
    <d v="1899-12-30T00:22:34"/>
    <n v="22.566666666666666"/>
  </r>
  <r>
    <x v="19"/>
    <x v="13"/>
    <x v="4"/>
    <n v="1"/>
    <d v="1899-12-30T00:01:08"/>
    <n v="1.1333333333333333"/>
  </r>
  <r>
    <x v="19"/>
    <x v="13"/>
    <x v="5"/>
    <n v="37"/>
    <d v="1899-12-30T00:25:58"/>
    <n v="25.966666666666665"/>
  </r>
  <r>
    <x v="20"/>
    <x v="0"/>
    <x v="0"/>
    <n v="29"/>
    <d v="1899-12-30T00:34:23"/>
    <n v="34.383333333333333"/>
  </r>
  <r>
    <x v="20"/>
    <x v="0"/>
    <x v="1"/>
    <n v="18"/>
    <d v="1899-12-30T00:24:01"/>
    <n v="24.016666666666666"/>
  </r>
  <r>
    <x v="20"/>
    <x v="0"/>
    <x v="2"/>
    <n v="15"/>
    <d v="1899-12-30T00:24:37"/>
    <n v="24.616666666666667"/>
  </r>
  <r>
    <x v="20"/>
    <x v="0"/>
    <x v="3"/>
    <n v="3"/>
    <d v="1899-12-30T00:02:31"/>
    <n v="2.5166666666666666"/>
  </r>
  <r>
    <x v="20"/>
    <x v="0"/>
    <x v="4"/>
    <n v="11"/>
    <d v="1899-12-30T00:11:17"/>
    <n v="11.283333333333333"/>
  </r>
  <r>
    <x v="20"/>
    <x v="0"/>
    <x v="5"/>
    <n v="7"/>
    <d v="1899-12-30T00:05:50"/>
    <n v="5.833333333333333"/>
  </r>
  <r>
    <x v="20"/>
    <x v="1"/>
    <x v="0"/>
    <n v="37"/>
    <d v="1899-12-30T00:59:29"/>
    <n v="59.483333333333334"/>
  </r>
  <r>
    <x v="20"/>
    <x v="1"/>
    <x v="1"/>
    <n v="55"/>
    <d v="1899-12-30T01:56:03"/>
    <n v="116.05"/>
  </r>
  <r>
    <x v="20"/>
    <x v="1"/>
    <x v="2"/>
    <n v="38"/>
    <d v="1899-12-30T01:13:39"/>
    <n v="73.650000000000006"/>
  </r>
  <r>
    <x v="20"/>
    <x v="1"/>
    <x v="3"/>
    <n v="15"/>
    <d v="1899-12-30T00:21:24"/>
    <n v="21.4"/>
  </r>
  <r>
    <x v="20"/>
    <x v="1"/>
    <x v="4"/>
    <n v="1"/>
    <d v="1899-12-30T00:01:08"/>
    <n v="1.1333333333333333"/>
  </r>
  <r>
    <x v="20"/>
    <x v="1"/>
    <x v="5"/>
    <n v="13"/>
    <d v="1899-12-30T00:19:08"/>
    <n v="19.133333333333333"/>
  </r>
  <r>
    <x v="20"/>
    <x v="2"/>
    <x v="0"/>
    <n v="49"/>
    <d v="1899-12-30T01:14:58"/>
    <n v="74.966666666666669"/>
  </r>
  <r>
    <x v="20"/>
    <x v="2"/>
    <x v="1"/>
    <n v="48"/>
    <d v="1899-12-30T01:20:53"/>
    <n v="80.88333333333334"/>
  </r>
  <r>
    <x v="20"/>
    <x v="2"/>
    <x v="2"/>
    <n v="25"/>
    <d v="1899-12-30T00:54:19"/>
    <n v="54.31666666666667"/>
  </r>
  <r>
    <x v="20"/>
    <x v="2"/>
    <x v="3"/>
    <n v="10"/>
    <d v="1899-12-30T00:12:43"/>
    <n v="12.716666666666667"/>
  </r>
  <r>
    <x v="20"/>
    <x v="2"/>
    <x v="4"/>
    <n v="15"/>
    <d v="1899-12-30T00:20:35"/>
    <n v="20.583333333333332"/>
  </r>
  <r>
    <x v="20"/>
    <x v="2"/>
    <x v="5"/>
    <n v="13"/>
    <d v="1899-12-30T00:17:58"/>
    <n v="17.966666666666665"/>
  </r>
  <r>
    <x v="20"/>
    <x v="3"/>
    <x v="0"/>
    <n v="35"/>
    <d v="1899-12-30T00:58:41"/>
    <n v="58.68333333333333"/>
  </r>
  <r>
    <x v="20"/>
    <x v="3"/>
    <x v="1"/>
    <n v="25"/>
    <d v="1899-12-30T00:50:52"/>
    <n v="50.866666666666667"/>
  </r>
  <r>
    <x v="20"/>
    <x v="3"/>
    <x v="2"/>
    <n v="14"/>
    <d v="1899-12-30T00:27:30"/>
    <n v="27.5"/>
  </r>
  <r>
    <x v="20"/>
    <x v="3"/>
    <x v="3"/>
    <n v="7"/>
    <d v="1899-12-30T00:06:08"/>
    <n v="6.1333333333333337"/>
  </r>
  <r>
    <x v="20"/>
    <x v="3"/>
    <x v="4"/>
    <n v="4"/>
    <d v="1899-12-30T00:06:05"/>
    <n v="6.083333333333333"/>
  </r>
  <r>
    <x v="20"/>
    <x v="3"/>
    <x v="5"/>
    <n v="12"/>
    <d v="1899-12-30T00:18:39"/>
    <n v="18.649999999999999"/>
  </r>
  <r>
    <x v="20"/>
    <x v="4"/>
    <x v="0"/>
    <n v="32"/>
    <d v="1899-12-30T00:49:24"/>
    <n v="49.4"/>
  </r>
  <r>
    <x v="20"/>
    <x v="4"/>
    <x v="1"/>
    <n v="29"/>
    <d v="1899-12-30T00:45:10"/>
    <n v="45.166666666666664"/>
  </r>
  <r>
    <x v="20"/>
    <x v="4"/>
    <x v="2"/>
    <n v="17"/>
    <d v="1899-12-30T00:33:11"/>
    <n v="33.18333333333333"/>
  </r>
  <r>
    <x v="20"/>
    <x v="4"/>
    <x v="3"/>
    <n v="8"/>
    <d v="1899-12-30T00:10:48"/>
    <n v="10.8"/>
  </r>
  <r>
    <x v="20"/>
    <x v="4"/>
    <x v="4"/>
    <n v="10"/>
    <d v="1899-12-30T00:14:39"/>
    <n v="14.65"/>
  </r>
  <r>
    <x v="20"/>
    <x v="4"/>
    <x v="5"/>
    <n v="6"/>
    <d v="1899-12-30T00:07:28"/>
    <n v="7.4666666666666668"/>
  </r>
  <r>
    <x v="20"/>
    <x v="5"/>
    <x v="0"/>
    <n v="19"/>
    <d v="1899-12-30T00:43:09"/>
    <n v="43.15"/>
  </r>
  <r>
    <x v="20"/>
    <x v="5"/>
    <x v="1"/>
    <n v="29"/>
    <d v="1899-12-30T00:44:26"/>
    <n v="44.43333333333333"/>
  </r>
  <r>
    <x v="20"/>
    <x v="5"/>
    <x v="2"/>
    <n v="23"/>
    <d v="1899-12-30T00:36:06"/>
    <n v="36.1"/>
  </r>
  <r>
    <x v="20"/>
    <x v="5"/>
    <x v="3"/>
    <n v="13"/>
    <d v="1899-12-30T00:15:42"/>
    <n v="15.7"/>
  </r>
  <r>
    <x v="20"/>
    <x v="5"/>
    <x v="4"/>
    <n v="5"/>
    <d v="1899-12-30T00:01:58"/>
    <n v="1.9666666666666668"/>
  </r>
  <r>
    <x v="20"/>
    <x v="5"/>
    <x v="5"/>
    <n v="14"/>
    <d v="1899-12-30T00:18:31"/>
    <n v="18.516666666666666"/>
  </r>
  <r>
    <x v="20"/>
    <x v="6"/>
    <x v="0"/>
    <n v="10"/>
    <d v="1899-12-30T00:26:17"/>
    <n v="26.283333333333335"/>
  </r>
  <r>
    <x v="20"/>
    <x v="6"/>
    <x v="1"/>
    <n v="13"/>
    <d v="1899-12-30T00:23:52"/>
    <n v="23.866666666666667"/>
  </r>
  <r>
    <x v="20"/>
    <x v="6"/>
    <x v="2"/>
    <n v="10"/>
    <d v="1899-12-30T00:18:28"/>
    <n v="18.466666666666665"/>
  </r>
  <r>
    <x v="20"/>
    <x v="6"/>
    <x v="3"/>
    <n v="0"/>
    <d v="1899-12-30T00:00:00"/>
    <n v="0"/>
  </r>
  <r>
    <x v="20"/>
    <x v="6"/>
    <x v="4"/>
    <n v="2"/>
    <d v="1899-12-30T00:02:39"/>
    <n v="2.65"/>
  </r>
  <r>
    <x v="20"/>
    <x v="6"/>
    <x v="5"/>
    <n v="6"/>
    <d v="1899-12-30T00:09:07"/>
    <n v="9.1166666666666671"/>
  </r>
  <r>
    <x v="20"/>
    <x v="7"/>
    <x v="0"/>
    <n v="93"/>
    <d v="1899-12-30T02:08:51"/>
    <n v="128.85"/>
  </r>
  <r>
    <x v="20"/>
    <x v="7"/>
    <x v="1"/>
    <n v="78"/>
    <d v="1899-12-30T01:45:46"/>
    <n v="105.76666666666667"/>
  </r>
  <r>
    <x v="20"/>
    <x v="7"/>
    <x v="2"/>
    <n v="55"/>
    <d v="1899-12-30T01:22:32"/>
    <n v="82.533333333333331"/>
  </r>
  <r>
    <x v="20"/>
    <x v="7"/>
    <x v="3"/>
    <n v="36"/>
    <d v="1899-12-30T00:50:33"/>
    <n v="50.55"/>
  </r>
  <r>
    <x v="20"/>
    <x v="7"/>
    <x v="4"/>
    <n v="169"/>
    <d v="1899-12-30T03:51:55"/>
    <n v="231.91666666666666"/>
  </r>
  <r>
    <x v="20"/>
    <x v="7"/>
    <x v="5"/>
    <n v="18"/>
    <d v="1899-12-30T00:21:49"/>
    <n v="21.816666666666666"/>
  </r>
  <r>
    <x v="20"/>
    <x v="8"/>
    <x v="0"/>
    <n v="39"/>
    <d v="1899-12-30T00:53:03"/>
    <n v="53.05"/>
  </r>
  <r>
    <x v="20"/>
    <x v="8"/>
    <x v="1"/>
    <n v="34"/>
    <d v="1899-12-30T00:54:40"/>
    <n v="54.666666666666664"/>
  </r>
  <r>
    <x v="20"/>
    <x v="8"/>
    <x v="2"/>
    <n v="32"/>
    <d v="1899-12-30T00:58:32"/>
    <n v="58.533333333333331"/>
  </r>
  <r>
    <x v="20"/>
    <x v="8"/>
    <x v="3"/>
    <n v="19"/>
    <d v="1899-12-30T00:24:41"/>
    <n v="24.683333333333334"/>
  </r>
  <r>
    <x v="20"/>
    <x v="8"/>
    <x v="4"/>
    <n v="14"/>
    <d v="1899-12-30T00:13:25"/>
    <n v="13.416666666666666"/>
  </r>
  <r>
    <x v="20"/>
    <x v="8"/>
    <x v="5"/>
    <n v="20"/>
    <d v="1899-12-30T00:30:19"/>
    <n v="30.316666666666666"/>
  </r>
  <r>
    <x v="20"/>
    <x v="9"/>
    <x v="0"/>
    <n v="63"/>
    <d v="1899-12-30T01:40:12"/>
    <n v="100.2"/>
  </r>
  <r>
    <x v="20"/>
    <x v="9"/>
    <x v="1"/>
    <n v="51"/>
    <d v="1899-12-30T01:18:10"/>
    <n v="78.166666666666671"/>
  </r>
  <r>
    <x v="20"/>
    <x v="9"/>
    <x v="2"/>
    <n v="49"/>
    <d v="1899-12-30T01:47:00"/>
    <n v="107"/>
  </r>
  <r>
    <x v="20"/>
    <x v="9"/>
    <x v="3"/>
    <n v="20"/>
    <d v="1899-12-30T00:24:53"/>
    <n v="24.883333333333333"/>
  </r>
  <r>
    <x v="20"/>
    <x v="9"/>
    <x v="4"/>
    <n v="14"/>
    <d v="1899-12-30T00:18:23"/>
    <n v="18.383333333333333"/>
  </r>
  <r>
    <x v="20"/>
    <x v="9"/>
    <x v="5"/>
    <n v="19"/>
    <d v="1899-12-30T00:27:09"/>
    <n v="27.15"/>
  </r>
  <r>
    <x v="20"/>
    <x v="10"/>
    <x v="0"/>
    <n v="35"/>
    <d v="1899-12-30T00:48:37"/>
    <n v="48.616666666666667"/>
  </r>
  <r>
    <x v="20"/>
    <x v="10"/>
    <x v="1"/>
    <n v="35"/>
    <d v="1899-12-30T01:02:21"/>
    <n v="62.35"/>
  </r>
  <r>
    <x v="20"/>
    <x v="10"/>
    <x v="2"/>
    <n v="24"/>
    <d v="1899-12-30T00:43:32"/>
    <n v="43.533333333333331"/>
  </r>
  <r>
    <x v="20"/>
    <x v="10"/>
    <x v="3"/>
    <n v="9"/>
    <d v="1899-12-30T00:09:37"/>
    <n v="9.6166666666666671"/>
  </r>
  <r>
    <x v="20"/>
    <x v="10"/>
    <x v="4"/>
    <n v="3"/>
    <d v="1899-12-30T00:04:59"/>
    <n v="4.9833333333333334"/>
  </r>
  <r>
    <x v="20"/>
    <x v="10"/>
    <x v="5"/>
    <n v="13"/>
    <d v="1899-12-30T00:14:50"/>
    <n v="14.833333333333334"/>
  </r>
  <r>
    <x v="20"/>
    <x v="11"/>
    <x v="0"/>
    <n v="28"/>
    <d v="1899-12-30T00:38:13"/>
    <n v="38.216666666666669"/>
  </r>
  <r>
    <x v="20"/>
    <x v="11"/>
    <x v="1"/>
    <n v="13"/>
    <d v="1899-12-30T00:19:31"/>
    <n v="19.516666666666666"/>
  </r>
  <r>
    <x v="20"/>
    <x v="11"/>
    <x v="2"/>
    <n v="18"/>
    <d v="1899-12-30T00:17:09"/>
    <n v="17.149999999999999"/>
  </r>
  <r>
    <x v="20"/>
    <x v="11"/>
    <x v="3"/>
    <n v="4"/>
    <d v="1899-12-30T00:05:51"/>
    <n v="5.85"/>
  </r>
  <r>
    <x v="20"/>
    <x v="11"/>
    <x v="4"/>
    <n v="7"/>
    <d v="1899-12-30T00:04:14"/>
    <n v="4.2333333333333334"/>
  </r>
  <r>
    <x v="20"/>
    <x v="11"/>
    <x v="5"/>
    <n v="9"/>
    <d v="1899-12-30T00:08:13"/>
    <n v="8.2166666666666668"/>
  </r>
  <r>
    <x v="20"/>
    <x v="12"/>
    <x v="0"/>
    <n v="134"/>
    <d v="1899-12-30T03:13:34"/>
    <n v="193.56666666666666"/>
  </r>
  <r>
    <x v="20"/>
    <x v="12"/>
    <x v="1"/>
    <n v="113"/>
    <d v="1899-12-30T03:21:54"/>
    <n v="201.9"/>
  </r>
  <r>
    <x v="20"/>
    <x v="12"/>
    <x v="2"/>
    <n v="80"/>
    <d v="1899-12-30T02:25:47"/>
    <n v="145.78333333333333"/>
  </r>
  <r>
    <x v="20"/>
    <x v="12"/>
    <x v="3"/>
    <n v="36"/>
    <d v="1899-12-30T00:44:22"/>
    <n v="44.366666666666667"/>
  </r>
  <r>
    <x v="20"/>
    <x v="12"/>
    <x v="4"/>
    <n v="41"/>
    <d v="1899-12-30T00:59:23"/>
    <n v="59.383333333333333"/>
  </r>
  <r>
    <x v="20"/>
    <x v="12"/>
    <x v="5"/>
    <n v="53"/>
    <d v="1899-12-30T01:11:06"/>
    <n v="71.099999999999994"/>
  </r>
  <r>
    <x v="20"/>
    <x v="13"/>
    <x v="0"/>
    <n v="47"/>
    <d v="1899-12-30T00:56:39"/>
    <n v="56.65"/>
  </r>
  <r>
    <x v="20"/>
    <x v="13"/>
    <x v="1"/>
    <n v="42"/>
    <d v="1899-12-30T00:44:11"/>
    <n v="44.18333333333333"/>
  </r>
  <r>
    <x v="20"/>
    <x v="13"/>
    <x v="2"/>
    <n v="15"/>
    <d v="1899-12-30T00:17:21"/>
    <n v="17.350000000000001"/>
  </r>
  <r>
    <x v="20"/>
    <x v="13"/>
    <x v="3"/>
    <n v="11"/>
    <d v="1899-12-30T00:11:12"/>
    <n v="11.2"/>
  </r>
  <r>
    <x v="20"/>
    <x v="13"/>
    <x v="4"/>
    <n v="0"/>
    <d v="1899-12-30T00:00:00"/>
    <n v="0"/>
  </r>
  <r>
    <x v="20"/>
    <x v="13"/>
    <x v="5"/>
    <n v="28"/>
    <d v="1899-12-30T00:27:33"/>
    <n v="27.55"/>
  </r>
  <r>
    <x v="21"/>
    <x v="0"/>
    <x v="0"/>
    <n v="32"/>
    <d v="1899-12-30T00:43:17"/>
    <n v="43.283333333333331"/>
  </r>
  <r>
    <x v="21"/>
    <x v="0"/>
    <x v="1"/>
    <n v="34"/>
    <d v="1899-12-30T00:48:21"/>
    <n v="48.35"/>
  </r>
  <r>
    <x v="21"/>
    <x v="0"/>
    <x v="2"/>
    <n v="19"/>
    <d v="1899-12-30T00:26:46"/>
    <n v="26.766666666666666"/>
  </r>
  <r>
    <x v="21"/>
    <x v="0"/>
    <x v="3"/>
    <n v="7"/>
    <d v="1899-12-30T00:07:55"/>
    <n v="7.916666666666667"/>
  </r>
  <r>
    <x v="21"/>
    <x v="0"/>
    <x v="4"/>
    <n v="6"/>
    <d v="1899-12-30T00:04:42"/>
    <n v="4.7"/>
  </r>
  <r>
    <x v="21"/>
    <x v="0"/>
    <x v="5"/>
    <n v="16"/>
    <d v="1899-12-30T00:24:09"/>
    <n v="24.15"/>
  </r>
  <r>
    <x v="21"/>
    <x v="1"/>
    <x v="0"/>
    <n v="58"/>
    <d v="1899-12-30T01:29:43"/>
    <n v="89.716666666666669"/>
  </r>
  <r>
    <x v="21"/>
    <x v="1"/>
    <x v="1"/>
    <n v="77"/>
    <d v="1899-12-30T02:25:48"/>
    <n v="145.80000000000001"/>
  </r>
  <r>
    <x v="21"/>
    <x v="1"/>
    <x v="2"/>
    <n v="36"/>
    <d v="1899-12-30T01:06:39"/>
    <n v="66.650000000000006"/>
  </r>
  <r>
    <x v="21"/>
    <x v="1"/>
    <x v="3"/>
    <n v="13"/>
    <d v="1899-12-30T00:17:54"/>
    <n v="17.899999999999999"/>
  </r>
  <r>
    <x v="21"/>
    <x v="1"/>
    <x v="4"/>
    <n v="7"/>
    <d v="1899-12-30T00:10:35"/>
    <n v="10.583333333333334"/>
  </r>
  <r>
    <x v="21"/>
    <x v="1"/>
    <x v="5"/>
    <n v="18"/>
    <d v="1899-12-30T00:25:33"/>
    <n v="25.55"/>
  </r>
  <r>
    <x v="21"/>
    <x v="2"/>
    <x v="0"/>
    <n v="57"/>
    <d v="1899-12-30T01:29:04"/>
    <n v="89.066666666666663"/>
  </r>
  <r>
    <x v="21"/>
    <x v="2"/>
    <x v="1"/>
    <n v="44"/>
    <d v="1899-12-30T01:19:25"/>
    <n v="79.416666666666671"/>
  </r>
  <r>
    <x v="21"/>
    <x v="2"/>
    <x v="2"/>
    <n v="27"/>
    <d v="1899-12-30T00:48:00"/>
    <n v="48"/>
  </r>
  <r>
    <x v="21"/>
    <x v="2"/>
    <x v="3"/>
    <n v="8"/>
    <d v="1899-12-30T00:10:00"/>
    <n v="10"/>
  </r>
  <r>
    <x v="21"/>
    <x v="2"/>
    <x v="4"/>
    <n v="21"/>
    <d v="1899-12-30T00:33:28"/>
    <n v="33.466666666666669"/>
  </r>
  <r>
    <x v="21"/>
    <x v="2"/>
    <x v="5"/>
    <n v="15"/>
    <d v="1899-12-30T00:21:34"/>
    <n v="21.566666666666666"/>
  </r>
  <r>
    <x v="21"/>
    <x v="3"/>
    <x v="0"/>
    <n v="28"/>
    <d v="1899-12-30T00:48:10"/>
    <n v="48.166666666666664"/>
  </r>
  <r>
    <x v="21"/>
    <x v="3"/>
    <x v="1"/>
    <n v="18"/>
    <d v="1899-12-30T00:37:13"/>
    <n v="37.216666666666669"/>
  </r>
  <r>
    <x v="21"/>
    <x v="3"/>
    <x v="2"/>
    <n v="8"/>
    <d v="1899-12-30T00:17:17"/>
    <n v="17.283333333333335"/>
  </r>
  <r>
    <x v="21"/>
    <x v="3"/>
    <x v="3"/>
    <n v="0"/>
    <d v="1899-12-30T00:00:00"/>
    <n v="0"/>
  </r>
  <r>
    <x v="21"/>
    <x v="3"/>
    <x v="4"/>
    <n v="0"/>
    <d v="1899-12-30T00:00:00"/>
    <n v="0"/>
  </r>
  <r>
    <x v="21"/>
    <x v="3"/>
    <x v="5"/>
    <n v="2"/>
    <d v="1899-12-30T00:03:19"/>
    <n v="3.3166666666666664"/>
  </r>
  <r>
    <x v="21"/>
    <x v="4"/>
    <x v="0"/>
    <n v="55"/>
    <d v="1899-12-30T01:17:18"/>
    <n v="77.3"/>
  </r>
  <r>
    <x v="21"/>
    <x v="4"/>
    <x v="1"/>
    <n v="32"/>
    <d v="1899-12-30T00:46:39"/>
    <n v="46.65"/>
  </r>
  <r>
    <x v="21"/>
    <x v="4"/>
    <x v="2"/>
    <n v="14"/>
    <d v="1899-12-30T00:19:08"/>
    <n v="19.133333333333333"/>
  </r>
  <r>
    <x v="21"/>
    <x v="4"/>
    <x v="3"/>
    <n v="6"/>
    <d v="1899-12-30T00:06:25"/>
    <n v="6.416666666666667"/>
  </r>
  <r>
    <x v="21"/>
    <x v="4"/>
    <x v="4"/>
    <n v="9"/>
    <d v="1899-12-30T00:11:41"/>
    <n v="11.683333333333334"/>
  </r>
  <r>
    <x v="21"/>
    <x v="4"/>
    <x v="5"/>
    <n v="7"/>
    <d v="1899-12-30T00:08:05"/>
    <n v="8.0833333333333339"/>
  </r>
  <r>
    <x v="21"/>
    <x v="5"/>
    <x v="0"/>
    <n v="16"/>
    <d v="1899-12-30T00:24:13"/>
    <n v="24.216666666666665"/>
  </r>
  <r>
    <x v="21"/>
    <x v="5"/>
    <x v="1"/>
    <n v="23"/>
    <d v="1899-12-30T00:35:49"/>
    <n v="35.81666666666667"/>
  </r>
  <r>
    <x v="21"/>
    <x v="5"/>
    <x v="2"/>
    <n v="12"/>
    <d v="1899-12-30T00:15:46"/>
    <n v="15.766666666666667"/>
  </r>
  <r>
    <x v="21"/>
    <x v="5"/>
    <x v="3"/>
    <n v="11"/>
    <d v="1899-12-30T00:14:27"/>
    <n v="14.45"/>
  </r>
  <r>
    <x v="21"/>
    <x v="5"/>
    <x v="4"/>
    <n v="5"/>
    <d v="1899-12-30T00:06:24"/>
    <n v="6.4"/>
  </r>
  <r>
    <x v="21"/>
    <x v="5"/>
    <x v="5"/>
    <n v="20"/>
    <d v="1899-12-30T00:27:00"/>
    <n v="27"/>
  </r>
  <r>
    <x v="21"/>
    <x v="6"/>
    <x v="0"/>
    <n v="6"/>
    <d v="1899-12-30T00:08:08"/>
    <n v="8.1333333333333329"/>
  </r>
  <r>
    <x v="21"/>
    <x v="6"/>
    <x v="1"/>
    <n v="9"/>
    <d v="1899-12-30T00:16:49"/>
    <n v="16.816666666666666"/>
  </r>
  <r>
    <x v="21"/>
    <x v="6"/>
    <x v="2"/>
    <n v="7"/>
    <d v="1899-12-30T00:13:30"/>
    <n v="13.5"/>
  </r>
  <r>
    <x v="21"/>
    <x v="6"/>
    <x v="3"/>
    <n v="0"/>
    <d v="1899-12-30T00:00:00"/>
    <n v="0"/>
  </r>
  <r>
    <x v="21"/>
    <x v="6"/>
    <x v="4"/>
    <n v="8"/>
    <d v="1899-12-30T00:10:39"/>
    <n v="10.65"/>
  </r>
  <r>
    <x v="21"/>
    <x v="6"/>
    <x v="5"/>
    <n v="0"/>
    <d v="1899-12-30T00:00:00"/>
    <n v="0"/>
  </r>
  <r>
    <x v="21"/>
    <x v="7"/>
    <x v="0"/>
    <n v="59"/>
    <d v="1899-12-30T01:23:09"/>
    <n v="83.15"/>
  </r>
  <r>
    <x v="21"/>
    <x v="7"/>
    <x v="1"/>
    <n v="58"/>
    <d v="1899-12-30T01:28:31"/>
    <n v="88.516666666666666"/>
  </r>
  <r>
    <x v="21"/>
    <x v="7"/>
    <x v="2"/>
    <n v="54"/>
    <d v="1899-12-30T01:28:15"/>
    <n v="88.25"/>
  </r>
  <r>
    <x v="21"/>
    <x v="7"/>
    <x v="3"/>
    <n v="35"/>
    <d v="1899-12-30T00:50:41"/>
    <n v="50.68333333333333"/>
  </r>
  <r>
    <x v="21"/>
    <x v="7"/>
    <x v="4"/>
    <n v="153"/>
    <d v="1899-12-30T03:10:00"/>
    <n v="190"/>
  </r>
  <r>
    <x v="21"/>
    <x v="7"/>
    <x v="5"/>
    <n v="13"/>
    <d v="1899-12-30T00:16:35"/>
    <n v="16.583333333333332"/>
  </r>
  <r>
    <x v="21"/>
    <x v="8"/>
    <x v="0"/>
    <n v="54"/>
    <d v="1899-12-30T01:29:54"/>
    <n v="89.9"/>
  </r>
  <r>
    <x v="21"/>
    <x v="8"/>
    <x v="1"/>
    <n v="57"/>
    <d v="1899-12-30T01:31:00"/>
    <n v="91"/>
  </r>
  <r>
    <x v="21"/>
    <x v="8"/>
    <x v="2"/>
    <n v="44"/>
    <d v="1899-12-30T01:06:36"/>
    <n v="66.599999999999994"/>
  </r>
  <r>
    <x v="21"/>
    <x v="8"/>
    <x v="3"/>
    <n v="43"/>
    <d v="1899-12-30T00:51:59"/>
    <n v="51.983333333333334"/>
  </r>
  <r>
    <x v="21"/>
    <x v="8"/>
    <x v="4"/>
    <n v="16"/>
    <d v="1899-12-30T00:13:55"/>
    <n v="13.916666666666666"/>
  </r>
  <r>
    <x v="21"/>
    <x v="8"/>
    <x v="5"/>
    <n v="24"/>
    <d v="1899-12-30T00:32:36"/>
    <n v="32.6"/>
  </r>
  <r>
    <x v="21"/>
    <x v="9"/>
    <x v="0"/>
    <n v="55"/>
    <d v="1899-12-30T01:26:45"/>
    <n v="86.75"/>
  </r>
  <r>
    <x v="21"/>
    <x v="9"/>
    <x v="1"/>
    <n v="54"/>
    <d v="1899-12-30T01:26:29"/>
    <n v="86.483333333333334"/>
  </r>
  <r>
    <x v="21"/>
    <x v="9"/>
    <x v="2"/>
    <n v="50"/>
    <d v="1899-12-30T01:26:42"/>
    <n v="86.7"/>
  </r>
  <r>
    <x v="21"/>
    <x v="9"/>
    <x v="3"/>
    <n v="20"/>
    <d v="1899-12-30T00:22:00"/>
    <n v="22"/>
  </r>
  <r>
    <x v="21"/>
    <x v="9"/>
    <x v="4"/>
    <n v="20"/>
    <d v="1899-12-30T00:33:35"/>
    <n v="33.583333333333336"/>
  </r>
  <r>
    <x v="21"/>
    <x v="9"/>
    <x v="5"/>
    <n v="21"/>
    <d v="1899-12-30T00:24:13"/>
    <n v="24.216666666666665"/>
  </r>
  <r>
    <x v="21"/>
    <x v="10"/>
    <x v="0"/>
    <n v="50"/>
    <d v="1899-12-30T01:18:01"/>
    <n v="78.016666666666666"/>
  </r>
  <r>
    <x v="21"/>
    <x v="10"/>
    <x v="1"/>
    <n v="45"/>
    <d v="1899-12-30T01:27:08"/>
    <n v="87.13333333333334"/>
  </r>
  <r>
    <x v="21"/>
    <x v="10"/>
    <x v="2"/>
    <n v="26"/>
    <d v="1899-12-30T00:48:12"/>
    <n v="48.2"/>
  </r>
  <r>
    <x v="21"/>
    <x v="10"/>
    <x v="3"/>
    <n v="1"/>
    <d v="1899-12-30T00:00:35"/>
    <n v="0.58333333333333337"/>
  </r>
  <r>
    <x v="21"/>
    <x v="10"/>
    <x v="4"/>
    <n v="5"/>
    <d v="1899-12-30T00:06:06"/>
    <n v="6.1"/>
  </r>
  <r>
    <x v="21"/>
    <x v="10"/>
    <x v="5"/>
    <n v="10"/>
    <d v="1899-12-30T00:13:54"/>
    <n v="13.9"/>
  </r>
  <r>
    <x v="21"/>
    <x v="11"/>
    <x v="0"/>
    <n v="44"/>
    <d v="1899-12-30T01:03:34"/>
    <n v="63.56666666666667"/>
  </r>
  <r>
    <x v="21"/>
    <x v="11"/>
    <x v="1"/>
    <n v="31"/>
    <d v="1899-12-30T00:49:45"/>
    <n v="49.75"/>
  </r>
  <r>
    <x v="21"/>
    <x v="11"/>
    <x v="2"/>
    <n v="11"/>
    <d v="1899-12-30T00:14:54"/>
    <n v="14.9"/>
  </r>
  <r>
    <x v="21"/>
    <x v="11"/>
    <x v="3"/>
    <n v="11"/>
    <d v="1899-12-30T00:15:24"/>
    <n v="15.4"/>
  </r>
  <r>
    <x v="21"/>
    <x v="11"/>
    <x v="4"/>
    <n v="17"/>
    <d v="1899-12-30T00:25:21"/>
    <n v="25.35"/>
  </r>
  <r>
    <x v="21"/>
    <x v="11"/>
    <x v="5"/>
    <n v="13"/>
    <d v="1899-12-30T00:16:36"/>
    <n v="16.600000000000001"/>
  </r>
  <r>
    <x v="21"/>
    <x v="12"/>
    <x v="0"/>
    <n v="190"/>
    <d v="1899-12-30T04:49:16"/>
    <n v="289.26666666666665"/>
  </r>
  <r>
    <x v="21"/>
    <x v="12"/>
    <x v="1"/>
    <n v="153"/>
    <d v="1899-12-30T03:59:53"/>
    <n v="239.88333333333333"/>
  </r>
  <r>
    <x v="21"/>
    <x v="12"/>
    <x v="2"/>
    <n v="131"/>
    <d v="1899-12-30T03:51:44"/>
    <n v="231.73333333333332"/>
  </r>
  <r>
    <x v="21"/>
    <x v="12"/>
    <x v="3"/>
    <n v="54"/>
    <d v="1899-12-30T01:07:34"/>
    <n v="67.566666666666663"/>
  </r>
  <r>
    <x v="21"/>
    <x v="12"/>
    <x v="4"/>
    <n v="80"/>
    <d v="1899-12-30T02:02:53"/>
    <n v="122.88333333333334"/>
  </r>
  <r>
    <x v="21"/>
    <x v="12"/>
    <x v="5"/>
    <n v="73"/>
    <d v="1899-12-30T01:40:17"/>
    <n v="100.28333333333333"/>
  </r>
  <r>
    <x v="21"/>
    <x v="13"/>
    <x v="0"/>
    <n v="55"/>
    <d v="1899-12-30T01:11:10"/>
    <n v="71.166666666666671"/>
  </r>
  <r>
    <x v="21"/>
    <x v="13"/>
    <x v="1"/>
    <n v="48"/>
    <d v="1899-12-30T00:58:55"/>
    <n v="58.916666666666664"/>
  </r>
  <r>
    <x v="21"/>
    <x v="13"/>
    <x v="2"/>
    <n v="28"/>
    <d v="1899-12-30T00:36:46"/>
    <n v="36.766666666666666"/>
  </r>
  <r>
    <x v="21"/>
    <x v="13"/>
    <x v="3"/>
    <n v="22"/>
    <d v="1899-12-30T00:17:16"/>
    <n v="17.266666666666666"/>
  </r>
  <r>
    <x v="21"/>
    <x v="13"/>
    <x v="4"/>
    <n v="1"/>
    <d v="1899-12-30T00:02:35"/>
    <n v="2.5833333333333335"/>
  </r>
  <r>
    <x v="21"/>
    <x v="13"/>
    <x v="5"/>
    <n v="35"/>
    <d v="1899-12-30T00:40:25"/>
    <n v="40.416666666666664"/>
  </r>
  <r>
    <x v="22"/>
    <x v="0"/>
    <x v="0"/>
    <n v="15"/>
    <d v="1899-12-30T00:17:17"/>
    <n v="17.283333333333335"/>
  </r>
  <r>
    <x v="22"/>
    <x v="0"/>
    <x v="1"/>
    <n v="14"/>
    <d v="1899-12-30T00:14:00"/>
    <n v="14"/>
  </r>
  <r>
    <x v="22"/>
    <x v="0"/>
    <x v="2"/>
    <n v="6"/>
    <d v="1899-12-30T00:08:55"/>
    <n v="8.9166666666666661"/>
  </r>
  <r>
    <x v="22"/>
    <x v="0"/>
    <x v="3"/>
    <n v="1"/>
    <d v="1899-12-30T00:01:18"/>
    <n v="1.3"/>
  </r>
  <r>
    <x v="22"/>
    <x v="0"/>
    <x v="4"/>
    <n v="3"/>
    <d v="1899-12-30T00:04:29"/>
    <n v="4.4833333333333334"/>
  </r>
  <r>
    <x v="22"/>
    <x v="0"/>
    <x v="5"/>
    <n v="3"/>
    <d v="1899-12-30T00:04:18"/>
    <n v="4.3"/>
  </r>
  <r>
    <x v="22"/>
    <x v="1"/>
    <x v="0"/>
    <n v="36"/>
    <d v="1899-12-30T00:54:25"/>
    <n v="54.416666666666664"/>
  </r>
  <r>
    <x v="22"/>
    <x v="1"/>
    <x v="1"/>
    <n v="54"/>
    <d v="1899-12-30T01:34:30"/>
    <n v="94.5"/>
  </r>
  <r>
    <x v="22"/>
    <x v="1"/>
    <x v="2"/>
    <n v="28"/>
    <d v="1899-12-30T00:50:42"/>
    <n v="50.7"/>
  </r>
  <r>
    <x v="22"/>
    <x v="1"/>
    <x v="3"/>
    <n v="19"/>
    <d v="1899-12-30T00:26:18"/>
    <n v="26.3"/>
  </r>
  <r>
    <x v="22"/>
    <x v="1"/>
    <x v="4"/>
    <n v="2"/>
    <d v="1899-12-30T00:04:26"/>
    <n v="4.4333333333333336"/>
  </r>
  <r>
    <x v="22"/>
    <x v="1"/>
    <x v="5"/>
    <n v="17"/>
    <d v="1899-12-30T00:22:29"/>
    <n v="22.483333333333334"/>
  </r>
  <r>
    <x v="22"/>
    <x v="2"/>
    <x v="0"/>
    <n v="53"/>
    <d v="1899-12-30T01:26:35"/>
    <n v="86.583333333333329"/>
  </r>
  <r>
    <x v="22"/>
    <x v="2"/>
    <x v="1"/>
    <n v="47"/>
    <d v="1899-12-30T01:19:36"/>
    <n v="79.599999999999994"/>
  </r>
  <r>
    <x v="22"/>
    <x v="2"/>
    <x v="2"/>
    <n v="22"/>
    <d v="1899-12-30T00:39:48"/>
    <n v="39.799999999999997"/>
  </r>
  <r>
    <x v="22"/>
    <x v="2"/>
    <x v="3"/>
    <n v="4"/>
    <d v="1899-12-30T00:03:48"/>
    <n v="3.8"/>
  </r>
  <r>
    <x v="22"/>
    <x v="2"/>
    <x v="4"/>
    <n v="14"/>
    <d v="1899-12-30T00:09:29"/>
    <n v="9.4833333333333325"/>
  </r>
  <r>
    <x v="22"/>
    <x v="2"/>
    <x v="5"/>
    <n v="14"/>
    <d v="1899-12-30T00:15:37"/>
    <n v="15.616666666666667"/>
  </r>
  <r>
    <x v="22"/>
    <x v="3"/>
    <x v="0"/>
    <n v="22"/>
    <d v="1899-12-30T00:38:57"/>
    <n v="38.950000000000003"/>
  </r>
  <r>
    <x v="22"/>
    <x v="3"/>
    <x v="1"/>
    <n v="13"/>
    <d v="1899-12-30T00:22:56"/>
    <n v="22.933333333333334"/>
  </r>
  <r>
    <x v="22"/>
    <x v="3"/>
    <x v="2"/>
    <n v="4"/>
    <d v="1899-12-30T00:05:09"/>
    <n v="5.15"/>
  </r>
  <r>
    <x v="22"/>
    <x v="3"/>
    <x v="3"/>
    <n v="0"/>
    <d v="1899-12-30T00:00:00"/>
    <n v="0"/>
  </r>
  <r>
    <x v="22"/>
    <x v="3"/>
    <x v="4"/>
    <n v="1"/>
    <d v="1899-12-30T00:02:20"/>
    <n v="2.3333333333333335"/>
  </r>
  <r>
    <x v="22"/>
    <x v="3"/>
    <x v="5"/>
    <n v="4"/>
    <d v="1899-12-30T00:06:37"/>
    <n v="6.6166666666666671"/>
  </r>
  <r>
    <x v="22"/>
    <x v="4"/>
    <x v="0"/>
    <n v="30"/>
    <d v="1899-12-30T00:48:34"/>
    <n v="48.56666666666667"/>
  </r>
  <r>
    <x v="22"/>
    <x v="4"/>
    <x v="1"/>
    <n v="34"/>
    <d v="1899-12-30T00:48:47"/>
    <n v="48.783333333333331"/>
  </r>
  <r>
    <x v="22"/>
    <x v="4"/>
    <x v="2"/>
    <n v="11"/>
    <d v="1899-12-30T00:18:23"/>
    <n v="18.383333333333333"/>
  </r>
  <r>
    <x v="22"/>
    <x v="4"/>
    <x v="3"/>
    <n v="1"/>
    <d v="1899-12-30T00:01:31"/>
    <n v="1.5166666666666666"/>
  </r>
  <r>
    <x v="22"/>
    <x v="4"/>
    <x v="4"/>
    <n v="8"/>
    <d v="1899-12-30T00:10:00"/>
    <n v="10"/>
  </r>
  <r>
    <x v="22"/>
    <x v="4"/>
    <x v="5"/>
    <n v="8"/>
    <d v="1899-12-30T00:08:53"/>
    <n v="8.8833333333333329"/>
  </r>
  <r>
    <x v="22"/>
    <x v="5"/>
    <x v="0"/>
    <n v="15"/>
    <d v="1899-12-30T00:24:14"/>
    <n v="24.233333333333334"/>
  </r>
  <r>
    <x v="22"/>
    <x v="5"/>
    <x v="1"/>
    <n v="20"/>
    <d v="1899-12-30T00:26:04"/>
    <n v="26.066666666666666"/>
  </r>
  <r>
    <x v="22"/>
    <x v="5"/>
    <x v="2"/>
    <n v="9"/>
    <d v="1899-12-30T00:09:56"/>
    <n v="9.9333333333333336"/>
  </r>
  <r>
    <x v="22"/>
    <x v="5"/>
    <x v="3"/>
    <n v="5"/>
    <d v="1899-12-30T00:05:36"/>
    <n v="5.6"/>
  </r>
  <r>
    <x v="22"/>
    <x v="5"/>
    <x v="4"/>
    <n v="1"/>
    <d v="1899-12-30T00:00:20"/>
    <n v="0.33333333333333331"/>
  </r>
  <r>
    <x v="22"/>
    <x v="5"/>
    <x v="5"/>
    <n v="10"/>
    <d v="1899-12-30T00:15:39"/>
    <n v="15.65"/>
  </r>
  <r>
    <x v="22"/>
    <x v="6"/>
    <x v="0"/>
    <n v="13"/>
    <d v="1899-12-30T00:26:20"/>
    <n v="26.333333333333332"/>
  </r>
  <r>
    <x v="22"/>
    <x v="6"/>
    <x v="1"/>
    <n v="13"/>
    <d v="1899-12-30T00:18:13"/>
    <n v="18.216666666666665"/>
  </r>
  <r>
    <x v="22"/>
    <x v="6"/>
    <x v="2"/>
    <n v="6"/>
    <d v="1899-12-30T00:09:22"/>
    <n v="9.3666666666666671"/>
  </r>
  <r>
    <x v="22"/>
    <x v="6"/>
    <x v="3"/>
    <n v="2"/>
    <d v="1899-12-30T00:02:57"/>
    <n v="2.95"/>
  </r>
  <r>
    <x v="22"/>
    <x v="6"/>
    <x v="4"/>
    <n v="6"/>
    <d v="1899-12-30T00:04:01"/>
    <n v="4.0166666666666666"/>
  </r>
  <r>
    <x v="22"/>
    <x v="6"/>
    <x v="5"/>
    <n v="4"/>
    <d v="1899-12-30T00:04:37"/>
    <n v="4.6166666666666671"/>
  </r>
  <r>
    <x v="22"/>
    <x v="7"/>
    <x v="0"/>
    <n v="61"/>
    <d v="1899-12-30T01:26:33"/>
    <n v="86.55"/>
  </r>
  <r>
    <x v="22"/>
    <x v="7"/>
    <x v="1"/>
    <n v="84"/>
    <d v="1899-12-30T01:51:33"/>
    <n v="111.55"/>
  </r>
  <r>
    <x v="22"/>
    <x v="7"/>
    <x v="2"/>
    <n v="54"/>
    <d v="1899-12-30T01:25:32"/>
    <n v="85.533333333333331"/>
  </r>
  <r>
    <x v="22"/>
    <x v="7"/>
    <x v="3"/>
    <n v="32"/>
    <d v="1899-12-30T00:44:26"/>
    <n v="44.43333333333333"/>
  </r>
  <r>
    <x v="22"/>
    <x v="7"/>
    <x v="4"/>
    <n v="145"/>
    <d v="1899-12-30T03:28:00"/>
    <n v="208"/>
  </r>
  <r>
    <x v="22"/>
    <x v="7"/>
    <x v="5"/>
    <n v="19"/>
    <d v="1899-12-30T00:26:32"/>
    <n v="26.533333333333335"/>
  </r>
  <r>
    <x v="22"/>
    <x v="8"/>
    <x v="0"/>
    <n v="48"/>
    <d v="1899-12-30T01:19:10"/>
    <n v="79.166666666666671"/>
  </r>
  <r>
    <x v="22"/>
    <x v="8"/>
    <x v="1"/>
    <n v="54"/>
    <d v="1899-12-30T01:22:52"/>
    <n v="82.86666666666666"/>
  </r>
  <r>
    <x v="22"/>
    <x v="8"/>
    <x v="2"/>
    <n v="45"/>
    <d v="1899-12-30T01:13:58"/>
    <n v="73.966666666666669"/>
  </r>
  <r>
    <x v="22"/>
    <x v="8"/>
    <x v="3"/>
    <n v="29"/>
    <d v="1899-12-30T00:33:16"/>
    <n v="33.266666666666666"/>
  </r>
  <r>
    <x v="22"/>
    <x v="8"/>
    <x v="4"/>
    <n v="20"/>
    <d v="1899-12-30T00:24:16"/>
    <n v="24.266666666666666"/>
  </r>
  <r>
    <x v="22"/>
    <x v="8"/>
    <x v="5"/>
    <n v="24"/>
    <d v="1899-12-30T00:32:11"/>
    <n v="32.18333333333333"/>
  </r>
  <r>
    <x v="22"/>
    <x v="9"/>
    <x v="0"/>
    <n v="53"/>
    <d v="1899-12-30T01:51:53"/>
    <n v="111.88333333333334"/>
  </r>
  <r>
    <x v="22"/>
    <x v="9"/>
    <x v="1"/>
    <n v="53"/>
    <d v="1899-12-30T01:39:11"/>
    <n v="99.183333333333337"/>
  </r>
  <r>
    <x v="22"/>
    <x v="9"/>
    <x v="2"/>
    <n v="35"/>
    <d v="1899-12-30T00:56:57"/>
    <n v="56.95"/>
  </r>
  <r>
    <x v="22"/>
    <x v="9"/>
    <x v="3"/>
    <n v="27"/>
    <d v="1899-12-30T00:32:04"/>
    <n v="32.06666666666667"/>
  </r>
  <r>
    <x v="22"/>
    <x v="9"/>
    <x v="4"/>
    <n v="13"/>
    <d v="1899-12-30T00:26:15"/>
    <n v="26.25"/>
  </r>
  <r>
    <x v="22"/>
    <x v="9"/>
    <x v="5"/>
    <n v="20"/>
    <d v="1899-12-30T00:28:49"/>
    <n v="28.816666666666666"/>
  </r>
  <r>
    <x v="22"/>
    <x v="10"/>
    <x v="0"/>
    <n v="23"/>
    <d v="1899-12-30T00:36:44"/>
    <n v="36.733333333333334"/>
  </r>
  <r>
    <x v="22"/>
    <x v="10"/>
    <x v="1"/>
    <n v="22"/>
    <d v="1899-12-30T00:27:03"/>
    <n v="27.05"/>
  </r>
  <r>
    <x v="22"/>
    <x v="10"/>
    <x v="2"/>
    <n v="17"/>
    <d v="1899-12-30T00:28:42"/>
    <n v="28.7"/>
  </r>
  <r>
    <x v="22"/>
    <x v="10"/>
    <x v="3"/>
    <n v="5"/>
    <d v="1899-12-30T00:05:56"/>
    <n v="5.9333333333333336"/>
  </r>
  <r>
    <x v="22"/>
    <x v="10"/>
    <x v="4"/>
    <n v="4"/>
    <d v="1899-12-30T00:04:49"/>
    <n v="4.8166666666666664"/>
  </r>
  <r>
    <x v="22"/>
    <x v="10"/>
    <x v="5"/>
    <n v="5"/>
    <d v="1899-12-30T00:08:02"/>
    <n v="8.0333333333333332"/>
  </r>
  <r>
    <x v="22"/>
    <x v="11"/>
    <x v="0"/>
    <n v="29"/>
    <d v="1899-12-30T00:43:46"/>
    <n v="43.766666666666666"/>
  </r>
  <r>
    <x v="22"/>
    <x v="11"/>
    <x v="1"/>
    <n v="12"/>
    <d v="1899-12-30T00:18:06"/>
    <n v="18.100000000000001"/>
  </r>
  <r>
    <x v="22"/>
    <x v="11"/>
    <x v="2"/>
    <n v="3"/>
    <d v="1899-12-30T00:05:00"/>
    <n v="5"/>
  </r>
  <r>
    <x v="22"/>
    <x v="11"/>
    <x v="3"/>
    <n v="4"/>
    <d v="1899-12-30T00:05:04"/>
    <n v="5.0666666666666664"/>
  </r>
  <r>
    <x v="22"/>
    <x v="11"/>
    <x v="4"/>
    <n v="7"/>
    <d v="1899-12-30T00:06:25"/>
    <n v="6.416666666666667"/>
  </r>
  <r>
    <x v="22"/>
    <x v="11"/>
    <x v="5"/>
    <n v="4"/>
    <d v="1899-12-30T00:05:46"/>
    <n v="5.7666666666666666"/>
  </r>
  <r>
    <x v="22"/>
    <x v="12"/>
    <x v="0"/>
    <n v="142"/>
    <d v="1899-12-30T03:22:12"/>
    <n v="202.2"/>
  </r>
  <r>
    <x v="22"/>
    <x v="12"/>
    <x v="1"/>
    <n v="134"/>
    <d v="1899-12-30T03:32:42"/>
    <n v="212.7"/>
  </r>
  <r>
    <x v="22"/>
    <x v="12"/>
    <x v="2"/>
    <n v="95"/>
    <d v="1899-12-30T02:38:38"/>
    <n v="158.63333333333333"/>
  </r>
  <r>
    <x v="22"/>
    <x v="12"/>
    <x v="3"/>
    <n v="30"/>
    <d v="1899-12-30T00:34:15"/>
    <n v="34.25"/>
  </r>
  <r>
    <x v="22"/>
    <x v="12"/>
    <x v="4"/>
    <n v="54"/>
    <d v="1899-12-30T01:13:43"/>
    <n v="73.716666666666669"/>
  </r>
  <r>
    <x v="22"/>
    <x v="12"/>
    <x v="5"/>
    <n v="53"/>
    <d v="1899-12-30T01:02:45"/>
    <n v="62.75"/>
  </r>
  <r>
    <x v="22"/>
    <x v="13"/>
    <x v="0"/>
    <n v="59"/>
    <d v="1899-12-30T01:25:28"/>
    <n v="85.466666666666669"/>
  </r>
  <r>
    <x v="22"/>
    <x v="13"/>
    <x v="1"/>
    <n v="60"/>
    <d v="1899-12-30T01:08:26"/>
    <n v="68.433333333333337"/>
  </r>
  <r>
    <x v="22"/>
    <x v="13"/>
    <x v="2"/>
    <n v="33"/>
    <d v="1899-12-30T00:43:44"/>
    <n v="43.733333333333334"/>
  </r>
  <r>
    <x v="22"/>
    <x v="13"/>
    <x v="3"/>
    <n v="20"/>
    <d v="1899-12-30T00:16:30"/>
    <n v="16.5"/>
  </r>
  <r>
    <x v="22"/>
    <x v="13"/>
    <x v="4"/>
    <n v="2"/>
    <d v="1899-12-30T00:02:22"/>
    <n v="2.3666666666666667"/>
  </r>
  <r>
    <x v="22"/>
    <x v="13"/>
    <x v="5"/>
    <n v="32"/>
    <d v="1899-12-30T00:41:33"/>
    <n v="41.55"/>
  </r>
  <r>
    <x v="23"/>
    <x v="0"/>
    <x v="0"/>
    <n v="22"/>
    <d v="1899-12-30T00:33:04"/>
    <n v="33.06666666666667"/>
  </r>
  <r>
    <x v="23"/>
    <x v="0"/>
    <x v="1"/>
    <n v="26"/>
    <d v="1899-12-30T00:36:47"/>
    <n v="36.783333333333331"/>
  </r>
  <r>
    <x v="23"/>
    <x v="0"/>
    <x v="2"/>
    <n v="10"/>
    <d v="1899-12-30T00:13:04"/>
    <n v="13.066666666666666"/>
  </r>
  <r>
    <x v="23"/>
    <x v="0"/>
    <x v="3"/>
    <n v="3"/>
    <d v="1899-12-30T00:02:57"/>
    <n v="2.95"/>
  </r>
  <r>
    <x v="23"/>
    <x v="0"/>
    <x v="4"/>
    <n v="13"/>
    <d v="1899-12-30T00:12:57"/>
    <n v="12.95"/>
  </r>
  <r>
    <x v="23"/>
    <x v="0"/>
    <x v="5"/>
    <n v="8"/>
    <d v="1899-12-30T00:09:14"/>
    <n v="9.2333333333333325"/>
  </r>
  <r>
    <x v="23"/>
    <x v="1"/>
    <x v="0"/>
    <n v="53"/>
    <d v="1899-12-30T01:32:21"/>
    <n v="92.35"/>
  </r>
  <r>
    <x v="23"/>
    <x v="1"/>
    <x v="1"/>
    <n v="70"/>
    <d v="1899-12-30T02:10:21"/>
    <n v="130.35"/>
  </r>
  <r>
    <x v="23"/>
    <x v="1"/>
    <x v="2"/>
    <n v="34"/>
    <d v="1899-12-30T01:04:28"/>
    <n v="64.466666666666669"/>
  </r>
  <r>
    <x v="23"/>
    <x v="1"/>
    <x v="3"/>
    <n v="16"/>
    <d v="1899-12-30T00:18:28"/>
    <n v="18.466666666666665"/>
  </r>
  <r>
    <x v="23"/>
    <x v="1"/>
    <x v="4"/>
    <n v="5"/>
    <d v="1899-12-30T00:07:48"/>
    <n v="7.8"/>
  </r>
  <r>
    <x v="23"/>
    <x v="1"/>
    <x v="5"/>
    <n v="16"/>
    <d v="1899-12-30T00:24:14"/>
    <n v="24.233333333333334"/>
  </r>
  <r>
    <x v="23"/>
    <x v="2"/>
    <x v="0"/>
    <n v="58"/>
    <d v="1899-12-30T01:30:32"/>
    <n v="90.533333333333331"/>
  </r>
  <r>
    <x v="23"/>
    <x v="2"/>
    <x v="1"/>
    <n v="45"/>
    <d v="1899-12-30T01:27:27"/>
    <n v="87.45"/>
  </r>
  <r>
    <x v="23"/>
    <x v="2"/>
    <x v="2"/>
    <n v="21"/>
    <d v="1899-12-30T00:38:48"/>
    <n v="38.799999999999997"/>
  </r>
  <r>
    <x v="23"/>
    <x v="2"/>
    <x v="3"/>
    <n v="12"/>
    <d v="1899-12-30T00:17:37"/>
    <n v="17.616666666666667"/>
  </r>
  <r>
    <x v="23"/>
    <x v="2"/>
    <x v="4"/>
    <n v="14"/>
    <d v="1899-12-30T00:22:14"/>
    <n v="22.233333333333334"/>
  </r>
  <r>
    <x v="23"/>
    <x v="2"/>
    <x v="5"/>
    <n v="19"/>
    <d v="1899-12-30T00:31:22"/>
    <n v="31.366666666666667"/>
  </r>
  <r>
    <x v="23"/>
    <x v="3"/>
    <x v="0"/>
    <n v="16"/>
    <d v="1899-12-30T00:28:46"/>
    <n v="28.766666666666666"/>
  </r>
  <r>
    <x v="23"/>
    <x v="3"/>
    <x v="1"/>
    <n v="16"/>
    <d v="1899-12-30T00:28:05"/>
    <n v="28.083333333333332"/>
  </r>
  <r>
    <x v="23"/>
    <x v="3"/>
    <x v="2"/>
    <n v="9"/>
    <d v="1899-12-30T00:20:26"/>
    <n v="20.433333333333334"/>
  </r>
  <r>
    <x v="23"/>
    <x v="3"/>
    <x v="3"/>
    <n v="1"/>
    <d v="1899-12-30T00:01:25"/>
    <n v="1.4166666666666667"/>
  </r>
  <r>
    <x v="23"/>
    <x v="3"/>
    <x v="4"/>
    <n v="3"/>
    <d v="1899-12-30T00:03:04"/>
    <n v="3.0666666666666669"/>
  </r>
  <r>
    <x v="23"/>
    <x v="3"/>
    <x v="5"/>
    <n v="6"/>
    <d v="1899-12-30T00:08:41"/>
    <n v="8.6833333333333336"/>
  </r>
  <r>
    <x v="23"/>
    <x v="4"/>
    <x v="0"/>
    <n v="31"/>
    <d v="1899-12-30T00:39:56"/>
    <n v="39.93333333333333"/>
  </r>
  <r>
    <x v="23"/>
    <x v="4"/>
    <x v="1"/>
    <n v="27"/>
    <d v="1899-12-30T00:34:52"/>
    <n v="34.866666666666667"/>
  </r>
  <r>
    <x v="23"/>
    <x v="4"/>
    <x v="2"/>
    <n v="14"/>
    <d v="1899-12-30T00:24:16"/>
    <n v="24.266666666666666"/>
  </r>
  <r>
    <x v="23"/>
    <x v="4"/>
    <x v="3"/>
    <n v="3"/>
    <d v="1899-12-30T00:02:29"/>
    <n v="2.4833333333333334"/>
  </r>
  <r>
    <x v="23"/>
    <x v="4"/>
    <x v="4"/>
    <n v="6"/>
    <d v="1899-12-30T00:07:41"/>
    <n v="7.6833333333333336"/>
  </r>
  <r>
    <x v="23"/>
    <x v="4"/>
    <x v="5"/>
    <n v="4"/>
    <d v="1899-12-30T00:03:44"/>
    <n v="3.7333333333333334"/>
  </r>
  <r>
    <x v="23"/>
    <x v="5"/>
    <x v="0"/>
    <n v="33"/>
    <d v="1899-12-30T00:52:22"/>
    <n v="52.366666666666667"/>
  </r>
  <r>
    <x v="23"/>
    <x v="5"/>
    <x v="1"/>
    <n v="37"/>
    <d v="1899-12-30T00:50:23"/>
    <n v="50.383333333333333"/>
  </r>
  <r>
    <x v="23"/>
    <x v="5"/>
    <x v="2"/>
    <n v="28"/>
    <d v="1899-12-30T00:42:32"/>
    <n v="42.533333333333331"/>
  </r>
  <r>
    <x v="23"/>
    <x v="5"/>
    <x v="3"/>
    <n v="12"/>
    <d v="1899-12-30T00:17:25"/>
    <n v="17.416666666666668"/>
  </r>
  <r>
    <x v="23"/>
    <x v="5"/>
    <x v="4"/>
    <n v="9"/>
    <d v="1899-12-30T00:10:24"/>
    <n v="10.4"/>
  </r>
  <r>
    <x v="23"/>
    <x v="5"/>
    <x v="5"/>
    <n v="20"/>
    <d v="1899-12-30T00:22:36"/>
    <n v="22.6"/>
  </r>
  <r>
    <x v="23"/>
    <x v="6"/>
    <x v="0"/>
    <n v="11"/>
    <d v="1899-12-30T00:18:44"/>
    <n v="18.733333333333334"/>
  </r>
  <r>
    <x v="23"/>
    <x v="6"/>
    <x v="1"/>
    <n v="16"/>
    <d v="1899-12-30T00:21:53"/>
    <n v="21.883333333333333"/>
  </r>
  <r>
    <x v="23"/>
    <x v="6"/>
    <x v="2"/>
    <n v="8"/>
    <d v="1899-12-30T00:14:47"/>
    <n v="14.783333333333333"/>
  </r>
  <r>
    <x v="23"/>
    <x v="6"/>
    <x v="3"/>
    <n v="5"/>
    <d v="1899-12-30T00:06:27"/>
    <n v="6.45"/>
  </r>
  <r>
    <x v="23"/>
    <x v="6"/>
    <x v="4"/>
    <n v="11"/>
    <d v="1899-12-30T00:14:19"/>
    <n v="14.316666666666666"/>
  </r>
  <r>
    <x v="23"/>
    <x v="6"/>
    <x v="5"/>
    <n v="8"/>
    <d v="1899-12-30T00:09:48"/>
    <n v="9.8000000000000007"/>
  </r>
  <r>
    <x v="23"/>
    <x v="7"/>
    <x v="0"/>
    <n v="59"/>
    <d v="1899-12-30T01:18:28"/>
    <n v="78.466666666666669"/>
  </r>
  <r>
    <x v="23"/>
    <x v="7"/>
    <x v="1"/>
    <n v="61"/>
    <d v="1899-12-30T01:05:43"/>
    <n v="65.716666666666669"/>
  </r>
  <r>
    <x v="23"/>
    <x v="7"/>
    <x v="2"/>
    <n v="45"/>
    <d v="1899-12-30T01:10:34"/>
    <n v="70.566666666666663"/>
  </r>
  <r>
    <x v="23"/>
    <x v="7"/>
    <x v="3"/>
    <n v="27"/>
    <d v="1899-12-30T00:37:45"/>
    <n v="37.75"/>
  </r>
  <r>
    <x v="23"/>
    <x v="7"/>
    <x v="4"/>
    <n v="124"/>
    <d v="1899-12-30T02:39:04"/>
    <n v="159.06666666666666"/>
  </r>
  <r>
    <x v="23"/>
    <x v="7"/>
    <x v="5"/>
    <n v="21"/>
    <d v="1899-12-30T00:24:41"/>
    <n v="24.683333333333334"/>
  </r>
  <r>
    <x v="23"/>
    <x v="8"/>
    <x v="0"/>
    <n v="32"/>
    <d v="1899-12-30T00:46:08"/>
    <n v="46.133333333333333"/>
  </r>
  <r>
    <x v="23"/>
    <x v="8"/>
    <x v="1"/>
    <n v="44"/>
    <d v="1899-12-30T00:52:44"/>
    <n v="52.733333333333334"/>
  </r>
  <r>
    <x v="23"/>
    <x v="8"/>
    <x v="2"/>
    <n v="41"/>
    <d v="1899-12-30T01:04:03"/>
    <n v="64.05"/>
  </r>
  <r>
    <x v="23"/>
    <x v="8"/>
    <x v="3"/>
    <n v="14"/>
    <d v="1899-12-30T00:19:37"/>
    <n v="19.616666666666667"/>
  </r>
  <r>
    <x v="23"/>
    <x v="8"/>
    <x v="4"/>
    <n v="27"/>
    <d v="1899-12-30T00:26:58"/>
    <n v="26.966666666666665"/>
  </r>
  <r>
    <x v="23"/>
    <x v="8"/>
    <x v="5"/>
    <n v="27"/>
    <d v="1899-12-30T00:28:03"/>
    <n v="28.05"/>
  </r>
  <r>
    <x v="23"/>
    <x v="9"/>
    <x v="0"/>
    <n v="36"/>
    <d v="1899-12-30T01:02:14"/>
    <n v="62.233333333333334"/>
  </r>
  <r>
    <x v="23"/>
    <x v="9"/>
    <x v="1"/>
    <n v="38"/>
    <d v="1899-12-30T00:46:36"/>
    <n v="46.6"/>
  </r>
  <r>
    <x v="23"/>
    <x v="9"/>
    <x v="2"/>
    <n v="44"/>
    <d v="1899-12-30T01:23:33"/>
    <n v="83.55"/>
  </r>
  <r>
    <x v="23"/>
    <x v="9"/>
    <x v="3"/>
    <n v="17"/>
    <d v="1899-12-30T00:19:56"/>
    <n v="19.933333333333334"/>
  </r>
  <r>
    <x v="23"/>
    <x v="9"/>
    <x v="4"/>
    <n v="13"/>
    <d v="1899-12-30T00:17:14"/>
    <n v="17.233333333333334"/>
  </r>
  <r>
    <x v="23"/>
    <x v="9"/>
    <x v="5"/>
    <n v="11"/>
    <d v="1899-12-30T00:14:46"/>
    <n v="14.766666666666667"/>
  </r>
  <r>
    <x v="23"/>
    <x v="10"/>
    <x v="0"/>
    <n v="23"/>
    <d v="1899-12-30T00:33:25"/>
    <n v="33.416666666666664"/>
  </r>
  <r>
    <x v="23"/>
    <x v="10"/>
    <x v="1"/>
    <n v="21"/>
    <d v="1899-12-30T00:35:01"/>
    <n v="35.016666666666666"/>
  </r>
  <r>
    <x v="23"/>
    <x v="10"/>
    <x v="2"/>
    <n v="13"/>
    <d v="1899-12-30T00:16:40"/>
    <n v="16.666666666666668"/>
  </r>
  <r>
    <x v="23"/>
    <x v="10"/>
    <x v="3"/>
    <n v="4"/>
    <d v="1899-12-30T00:05:13"/>
    <n v="5.2166666666666668"/>
  </r>
  <r>
    <x v="23"/>
    <x v="10"/>
    <x v="4"/>
    <n v="6"/>
    <d v="1899-12-30T00:05:10"/>
    <n v="5.166666666666667"/>
  </r>
  <r>
    <x v="23"/>
    <x v="10"/>
    <x v="5"/>
    <n v="6"/>
    <d v="1899-12-30T00:08:41"/>
    <n v="8.6833333333333336"/>
  </r>
  <r>
    <x v="23"/>
    <x v="11"/>
    <x v="0"/>
    <n v="19"/>
    <d v="1899-12-30T00:26:42"/>
    <n v="26.7"/>
  </r>
  <r>
    <x v="23"/>
    <x v="11"/>
    <x v="1"/>
    <n v="19"/>
    <d v="1899-12-30T00:27:28"/>
    <n v="27.466666666666665"/>
  </r>
  <r>
    <x v="23"/>
    <x v="11"/>
    <x v="2"/>
    <n v="10"/>
    <d v="1899-12-30T00:14:11"/>
    <n v="14.183333333333334"/>
  </r>
  <r>
    <x v="23"/>
    <x v="11"/>
    <x v="3"/>
    <n v="5"/>
    <d v="1899-12-30T00:06:30"/>
    <n v="6.5"/>
  </r>
  <r>
    <x v="23"/>
    <x v="11"/>
    <x v="4"/>
    <n v="6"/>
    <d v="1899-12-30T00:03:16"/>
    <n v="3.2666666666666666"/>
  </r>
  <r>
    <x v="23"/>
    <x v="11"/>
    <x v="5"/>
    <n v="13"/>
    <d v="1899-12-30T00:16:45"/>
    <n v="16.75"/>
  </r>
  <r>
    <x v="23"/>
    <x v="12"/>
    <x v="0"/>
    <n v="186"/>
    <d v="1899-12-30T04:52:03"/>
    <n v="292.05"/>
  </r>
  <r>
    <x v="23"/>
    <x v="12"/>
    <x v="1"/>
    <n v="166"/>
    <d v="1899-12-30T04:23:13"/>
    <n v="263.21666666666664"/>
  </r>
  <r>
    <x v="23"/>
    <x v="12"/>
    <x v="2"/>
    <n v="116"/>
    <d v="1899-12-30T03:01:56"/>
    <n v="181.93333333333334"/>
  </r>
  <r>
    <x v="23"/>
    <x v="12"/>
    <x v="3"/>
    <n v="36"/>
    <d v="1899-12-30T00:44:17"/>
    <n v="44.283333333333331"/>
  </r>
  <r>
    <x v="23"/>
    <x v="12"/>
    <x v="4"/>
    <n v="37"/>
    <d v="1899-12-30T01:03:33"/>
    <n v="63.55"/>
  </r>
  <r>
    <x v="23"/>
    <x v="12"/>
    <x v="5"/>
    <n v="46"/>
    <d v="1899-12-30T00:58:56"/>
    <n v="58.93333333333333"/>
  </r>
  <r>
    <x v="23"/>
    <x v="13"/>
    <x v="0"/>
    <n v="31"/>
    <d v="1899-12-30T00:40:48"/>
    <n v="40.799999999999997"/>
  </r>
  <r>
    <x v="23"/>
    <x v="13"/>
    <x v="1"/>
    <n v="47"/>
    <d v="1899-12-30T00:38:39"/>
    <n v="38.65"/>
  </r>
  <r>
    <x v="23"/>
    <x v="13"/>
    <x v="2"/>
    <n v="15"/>
    <d v="1899-12-30T00:18:09"/>
    <n v="18.149999999999999"/>
  </r>
  <r>
    <x v="23"/>
    <x v="13"/>
    <x v="3"/>
    <n v="10"/>
    <d v="1899-12-30T00:07:19"/>
    <n v="7.3166666666666664"/>
  </r>
  <r>
    <x v="23"/>
    <x v="13"/>
    <x v="4"/>
    <n v="1"/>
    <d v="1899-12-30T00:00:20"/>
    <n v="0.33333333333333331"/>
  </r>
  <r>
    <x v="23"/>
    <x v="13"/>
    <x v="5"/>
    <n v="16"/>
    <d v="1899-12-30T00:14:01"/>
    <n v="14.016666666666667"/>
  </r>
  <r>
    <x v="24"/>
    <x v="0"/>
    <x v="0"/>
    <n v="55"/>
    <d v="1899-12-30T01:11:00"/>
    <n v="71"/>
  </r>
  <r>
    <x v="24"/>
    <x v="0"/>
    <x v="1"/>
    <n v="31"/>
    <d v="1899-12-30T00:36:51"/>
    <n v="36.85"/>
  </r>
  <r>
    <x v="24"/>
    <x v="0"/>
    <x v="2"/>
    <n v="18"/>
    <d v="1899-12-30T00:20:51"/>
    <n v="20.85"/>
  </r>
  <r>
    <x v="24"/>
    <x v="0"/>
    <x v="3"/>
    <n v="11"/>
    <d v="1899-12-30T00:08:07"/>
    <n v="8.1166666666666671"/>
  </r>
  <r>
    <x v="24"/>
    <x v="0"/>
    <x v="4"/>
    <n v="6"/>
    <d v="1899-12-30T00:05:58"/>
    <n v="5.9666666666666668"/>
  </r>
  <r>
    <x v="24"/>
    <x v="0"/>
    <x v="5"/>
    <n v="12"/>
    <d v="1899-12-30T00:16:05"/>
    <n v="16.083333333333332"/>
  </r>
  <r>
    <x v="24"/>
    <x v="1"/>
    <x v="0"/>
    <n v="68"/>
    <d v="1899-12-30T01:42:23"/>
    <n v="102.38333333333334"/>
  </r>
  <r>
    <x v="24"/>
    <x v="1"/>
    <x v="1"/>
    <n v="80"/>
    <d v="1899-12-30T02:29:07"/>
    <n v="149.11666666666667"/>
  </r>
  <r>
    <x v="24"/>
    <x v="1"/>
    <x v="2"/>
    <n v="45"/>
    <d v="1899-12-30T01:27:42"/>
    <n v="87.7"/>
  </r>
  <r>
    <x v="24"/>
    <x v="1"/>
    <x v="3"/>
    <n v="21"/>
    <d v="1899-12-30T00:23:12"/>
    <n v="23.2"/>
  </r>
  <r>
    <x v="24"/>
    <x v="1"/>
    <x v="4"/>
    <n v="2"/>
    <d v="1899-12-30T00:03:21"/>
    <n v="3.35"/>
  </r>
  <r>
    <x v="24"/>
    <x v="1"/>
    <x v="5"/>
    <n v="27"/>
    <d v="1899-12-30T00:37:00"/>
    <n v="37"/>
  </r>
  <r>
    <x v="24"/>
    <x v="2"/>
    <x v="0"/>
    <n v="49"/>
    <d v="1899-12-30T01:13:18"/>
    <n v="73.3"/>
  </r>
  <r>
    <x v="24"/>
    <x v="2"/>
    <x v="1"/>
    <n v="49"/>
    <d v="1899-12-30T01:34:30"/>
    <n v="94.5"/>
  </r>
  <r>
    <x v="24"/>
    <x v="2"/>
    <x v="2"/>
    <n v="39"/>
    <d v="1899-12-30T01:12:42"/>
    <n v="72.7"/>
  </r>
  <r>
    <x v="24"/>
    <x v="2"/>
    <x v="3"/>
    <n v="11"/>
    <d v="1899-12-30T00:10:03"/>
    <n v="10.050000000000001"/>
  </r>
  <r>
    <x v="24"/>
    <x v="2"/>
    <x v="4"/>
    <n v="12"/>
    <d v="1899-12-30T00:20:46"/>
    <n v="20.766666666666666"/>
  </r>
  <r>
    <x v="24"/>
    <x v="2"/>
    <x v="5"/>
    <n v="15"/>
    <d v="1899-12-30T00:23:14"/>
    <n v="23.233333333333334"/>
  </r>
  <r>
    <x v="24"/>
    <x v="3"/>
    <x v="0"/>
    <n v="20"/>
    <d v="1899-12-30T00:33:40"/>
    <n v="33.666666666666664"/>
  </r>
  <r>
    <x v="24"/>
    <x v="3"/>
    <x v="1"/>
    <n v="7"/>
    <d v="1899-12-30T00:17:05"/>
    <n v="17.083333333333332"/>
  </r>
  <r>
    <x v="24"/>
    <x v="3"/>
    <x v="2"/>
    <n v="2"/>
    <d v="1899-12-30T00:04:01"/>
    <n v="4.0166666666666666"/>
  </r>
  <r>
    <x v="24"/>
    <x v="3"/>
    <x v="3"/>
    <n v="0"/>
    <d v="1899-12-30T00:00:00"/>
    <n v="0"/>
  </r>
  <r>
    <x v="24"/>
    <x v="3"/>
    <x v="4"/>
    <n v="2"/>
    <d v="1899-12-30T00:02:57"/>
    <n v="2.95"/>
  </r>
  <r>
    <x v="24"/>
    <x v="3"/>
    <x v="5"/>
    <n v="2"/>
    <d v="1899-12-30T00:02:43"/>
    <n v="2.7166666666666668"/>
  </r>
  <r>
    <x v="24"/>
    <x v="4"/>
    <x v="0"/>
    <n v="80"/>
    <d v="1899-12-30T01:47:58"/>
    <n v="107.96666666666667"/>
  </r>
  <r>
    <x v="24"/>
    <x v="4"/>
    <x v="1"/>
    <n v="69"/>
    <d v="1899-12-30T01:48:31"/>
    <n v="108.51666666666667"/>
  </r>
  <r>
    <x v="24"/>
    <x v="4"/>
    <x v="2"/>
    <n v="39"/>
    <d v="1899-12-30T00:55:47"/>
    <n v="55.783333333333331"/>
  </r>
  <r>
    <x v="24"/>
    <x v="4"/>
    <x v="3"/>
    <n v="10"/>
    <d v="1899-12-30T00:08:45"/>
    <n v="8.75"/>
  </r>
  <r>
    <x v="24"/>
    <x v="4"/>
    <x v="4"/>
    <n v="14"/>
    <d v="1899-12-30T00:25:29"/>
    <n v="25.483333333333334"/>
  </r>
  <r>
    <x v="24"/>
    <x v="4"/>
    <x v="5"/>
    <n v="21"/>
    <d v="1899-12-30T00:22:31"/>
    <n v="22.516666666666666"/>
  </r>
  <r>
    <x v="24"/>
    <x v="5"/>
    <x v="0"/>
    <n v="33"/>
    <d v="1899-12-30T00:46:08"/>
    <n v="46.133333333333333"/>
  </r>
  <r>
    <x v="24"/>
    <x v="5"/>
    <x v="1"/>
    <n v="32"/>
    <d v="1899-12-30T00:48:16"/>
    <n v="48.266666666666666"/>
  </r>
  <r>
    <x v="24"/>
    <x v="5"/>
    <x v="2"/>
    <n v="34"/>
    <d v="1899-12-30T00:46:56"/>
    <n v="46.93333333333333"/>
  </r>
  <r>
    <x v="24"/>
    <x v="5"/>
    <x v="3"/>
    <n v="18"/>
    <d v="1899-12-30T00:21:08"/>
    <n v="21.133333333333333"/>
  </r>
  <r>
    <x v="24"/>
    <x v="5"/>
    <x v="4"/>
    <n v="3"/>
    <d v="1899-12-30T00:02:05"/>
    <n v="2.0833333333333335"/>
  </r>
  <r>
    <x v="24"/>
    <x v="5"/>
    <x v="5"/>
    <n v="26"/>
    <d v="1899-12-30T00:36:45"/>
    <n v="36.75"/>
  </r>
  <r>
    <x v="24"/>
    <x v="6"/>
    <x v="0"/>
    <n v="33"/>
    <d v="1899-12-30T00:57:24"/>
    <n v="57.4"/>
  </r>
  <r>
    <x v="24"/>
    <x v="6"/>
    <x v="1"/>
    <n v="33"/>
    <d v="1899-12-30T01:05:08"/>
    <n v="65.13333333333334"/>
  </r>
  <r>
    <x v="24"/>
    <x v="6"/>
    <x v="2"/>
    <n v="21"/>
    <d v="1899-12-30T00:36:32"/>
    <n v="36.533333333333331"/>
  </r>
  <r>
    <x v="24"/>
    <x v="6"/>
    <x v="3"/>
    <n v="5"/>
    <d v="1899-12-30T00:07:05"/>
    <n v="7.083333333333333"/>
  </r>
  <r>
    <x v="24"/>
    <x v="6"/>
    <x v="4"/>
    <n v="15"/>
    <d v="1899-12-30T00:20:19"/>
    <n v="20.316666666666666"/>
  </r>
  <r>
    <x v="24"/>
    <x v="6"/>
    <x v="5"/>
    <n v="11"/>
    <d v="1899-12-30T00:17:02"/>
    <n v="17.033333333333335"/>
  </r>
  <r>
    <x v="24"/>
    <x v="7"/>
    <x v="0"/>
    <n v="86"/>
    <d v="1899-12-30T01:26:57"/>
    <n v="86.95"/>
  </r>
  <r>
    <x v="24"/>
    <x v="7"/>
    <x v="1"/>
    <n v="79"/>
    <d v="1899-12-30T01:38:21"/>
    <n v="98.35"/>
  </r>
  <r>
    <x v="24"/>
    <x v="7"/>
    <x v="2"/>
    <n v="65"/>
    <d v="1899-12-30T01:24:37"/>
    <n v="84.61666666666666"/>
  </r>
  <r>
    <x v="24"/>
    <x v="7"/>
    <x v="3"/>
    <n v="52"/>
    <d v="1899-12-30T00:35:50"/>
    <n v="35.833333333333336"/>
  </r>
  <r>
    <x v="24"/>
    <x v="7"/>
    <x v="4"/>
    <n v="157"/>
    <d v="1899-12-30T03:41:27"/>
    <n v="221.45"/>
  </r>
  <r>
    <x v="24"/>
    <x v="7"/>
    <x v="5"/>
    <n v="25"/>
    <d v="1899-12-30T00:27:37"/>
    <n v="27.616666666666667"/>
  </r>
  <r>
    <x v="24"/>
    <x v="8"/>
    <x v="0"/>
    <n v="45"/>
    <d v="1899-12-30T00:56:54"/>
    <n v="56.9"/>
  </r>
  <r>
    <x v="24"/>
    <x v="8"/>
    <x v="1"/>
    <n v="40"/>
    <d v="1899-12-30T00:47:35"/>
    <n v="47.583333333333336"/>
  </r>
  <r>
    <x v="24"/>
    <x v="8"/>
    <x v="2"/>
    <n v="27"/>
    <d v="1899-12-30T00:47:26"/>
    <n v="47.43333333333333"/>
  </r>
  <r>
    <x v="24"/>
    <x v="8"/>
    <x v="3"/>
    <n v="16"/>
    <d v="1899-12-30T00:17:23"/>
    <n v="17.383333333333333"/>
  </r>
  <r>
    <x v="24"/>
    <x v="8"/>
    <x v="4"/>
    <n v="22"/>
    <d v="1899-12-30T00:29:38"/>
    <n v="29.633333333333333"/>
  </r>
  <r>
    <x v="24"/>
    <x v="8"/>
    <x v="5"/>
    <n v="13"/>
    <d v="1899-12-30T00:16:04"/>
    <n v="16.066666666666666"/>
  </r>
  <r>
    <x v="24"/>
    <x v="9"/>
    <x v="0"/>
    <n v="67"/>
    <d v="1899-12-30T01:52:27"/>
    <n v="112.45"/>
  </r>
  <r>
    <x v="24"/>
    <x v="9"/>
    <x v="1"/>
    <n v="73"/>
    <d v="1899-12-30T01:39:10"/>
    <n v="99.166666666666671"/>
  </r>
  <r>
    <x v="24"/>
    <x v="9"/>
    <x v="2"/>
    <n v="70"/>
    <d v="1899-12-30T01:44:55"/>
    <n v="104.91666666666667"/>
  </r>
  <r>
    <x v="24"/>
    <x v="9"/>
    <x v="3"/>
    <n v="34"/>
    <d v="1899-12-30T00:42:01"/>
    <n v="42.016666666666666"/>
  </r>
  <r>
    <x v="24"/>
    <x v="9"/>
    <x v="4"/>
    <n v="15"/>
    <d v="1899-12-30T00:25:00"/>
    <n v="25"/>
  </r>
  <r>
    <x v="24"/>
    <x v="9"/>
    <x v="5"/>
    <n v="42"/>
    <d v="1899-12-30T00:56:59"/>
    <n v="56.983333333333334"/>
  </r>
  <r>
    <x v="24"/>
    <x v="10"/>
    <x v="0"/>
    <n v="51"/>
    <d v="1899-12-30T01:22:45"/>
    <n v="82.75"/>
  </r>
  <r>
    <x v="24"/>
    <x v="10"/>
    <x v="1"/>
    <n v="39"/>
    <d v="1899-12-30T01:06:11"/>
    <n v="66.183333333333337"/>
  </r>
  <r>
    <x v="24"/>
    <x v="10"/>
    <x v="2"/>
    <n v="21"/>
    <d v="1899-12-30T00:38:28"/>
    <n v="38.466666666666669"/>
  </r>
  <r>
    <x v="24"/>
    <x v="10"/>
    <x v="3"/>
    <n v="8"/>
    <d v="1899-12-30T00:05:07"/>
    <n v="5.1166666666666663"/>
  </r>
  <r>
    <x v="24"/>
    <x v="10"/>
    <x v="4"/>
    <n v="7"/>
    <d v="1899-12-30T00:09:59"/>
    <n v="9.9833333333333325"/>
  </r>
  <r>
    <x v="24"/>
    <x v="10"/>
    <x v="5"/>
    <n v="8"/>
    <d v="1899-12-30T00:13:37"/>
    <n v="13.616666666666667"/>
  </r>
  <r>
    <x v="24"/>
    <x v="11"/>
    <x v="0"/>
    <n v="22"/>
    <d v="1899-12-30T00:26:56"/>
    <n v="26.933333333333334"/>
  </r>
  <r>
    <x v="24"/>
    <x v="11"/>
    <x v="1"/>
    <n v="19"/>
    <d v="1899-12-30T00:25:52"/>
    <n v="25.866666666666667"/>
  </r>
  <r>
    <x v="24"/>
    <x v="11"/>
    <x v="2"/>
    <n v="4"/>
    <d v="1899-12-30T00:06:02"/>
    <n v="6.0333333333333332"/>
  </r>
  <r>
    <x v="24"/>
    <x v="11"/>
    <x v="3"/>
    <n v="4"/>
    <d v="1899-12-30T00:01:09"/>
    <n v="1.1499999999999999"/>
  </r>
  <r>
    <x v="24"/>
    <x v="11"/>
    <x v="4"/>
    <n v="3"/>
    <d v="1899-12-30T00:04:58"/>
    <n v="4.9666666666666668"/>
  </r>
  <r>
    <x v="24"/>
    <x v="11"/>
    <x v="5"/>
    <n v="1"/>
    <d v="1899-12-30T00:01:22"/>
    <n v="1.3666666666666667"/>
  </r>
  <r>
    <x v="24"/>
    <x v="12"/>
    <x v="0"/>
    <n v="200"/>
    <d v="1899-12-30T05:13:32"/>
    <n v="313.53333333333336"/>
  </r>
  <r>
    <x v="24"/>
    <x v="12"/>
    <x v="1"/>
    <n v="156"/>
    <d v="1899-12-30T04:04:05"/>
    <n v="244.08333333333334"/>
  </r>
  <r>
    <x v="24"/>
    <x v="12"/>
    <x v="2"/>
    <n v="94"/>
    <d v="1899-12-30T02:41:12"/>
    <n v="161.19999999999999"/>
  </r>
  <r>
    <x v="24"/>
    <x v="12"/>
    <x v="3"/>
    <n v="43"/>
    <d v="1899-12-30T00:32:34"/>
    <n v="32.56666666666667"/>
  </r>
  <r>
    <x v="24"/>
    <x v="12"/>
    <x v="4"/>
    <n v="60"/>
    <d v="1899-12-30T01:38:35"/>
    <n v="98.583333333333329"/>
  </r>
  <r>
    <x v="24"/>
    <x v="12"/>
    <x v="5"/>
    <n v="52"/>
    <d v="1899-12-30T01:09:17"/>
    <n v="69.283333333333331"/>
  </r>
  <r>
    <x v="24"/>
    <x v="13"/>
    <x v="0"/>
    <n v="59"/>
    <d v="1899-12-30T00:48:42"/>
    <n v="48.7"/>
  </r>
  <r>
    <x v="24"/>
    <x v="13"/>
    <x v="1"/>
    <n v="67"/>
    <d v="1899-12-30T01:12:43"/>
    <n v="72.716666666666669"/>
  </r>
  <r>
    <x v="24"/>
    <x v="13"/>
    <x v="2"/>
    <n v="37"/>
    <d v="1899-12-30T00:44:01"/>
    <n v="44.016666666666666"/>
  </r>
  <r>
    <x v="24"/>
    <x v="13"/>
    <x v="3"/>
    <n v="17"/>
    <d v="1899-12-30T00:16:17"/>
    <n v="16.283333333333335"/>
  </r>
  <r>
    <x v="24"/>
    <x v="13"/>
    <x v="4"/>
    <n v="1"/>
    <d v="1899-12-30T00:02:02"/>
    <n v="2.0333333333333332"/>
  </r>
  <r>
    <x v="24"/>
    <x v="13"/>
    <x v="5"/>
    <n v="29"/>
    <d v="1899-12-30T00:25:44"/>
    <n v="25.733333333333334"/>
  </r>
  <r>
    <x v="25"/>
    <x v="0"/>
    <x v="0"/>
    <n v="29"/>
    <d v="1899-12-30T00:34:57"/>
    <n v="34.950000000000003"/>
  </r>
  <r>
    <x v="25"/>
    <x v="0"/>
    <x v="1"/>
    <n v="30"/>
    <d v="1899-12-30T00:38:47"/>
    <n v="38.783333333333331"/>
  </r>
  <r>
    <x v="25"/>
    <x v="0"/>
    <x v="2"/>
    <n v="16"/>
    <d v="1899-12-30T00:23:02"/>
    <n v="23.033333333333335"/>
  </r>
  <r>
    <x v="25"/>
    <x v="0"/>
    <x v="3"/>
    <n v="5"/>
    <d v="1899-12-30T00:04:06"/>
    <n v="4.0999999999999996"/>
  </r>
  <r>
    <x v="25"/>
    <x v="0"/>
    <x v="4"/>
    <n v="8"/>
    <d v="1899-12-30T00:06:38"/>
    <n v="6.6333333333333329"/>
  </r>
  <r>
    <x v="25"/>
    <x v="0"/>
    <x v="5"/>
    <n v="12"/>
    <d v="1899-12-30T00:16:00"/>
    <n v="16"/>
  </r>
  <r>
    <x v="25"/>
    <x v="1"/>
    <x v="0"/>
    <n v="59"/>
    <d v="1899-12-30T01:31:23"/>
    <n v="91.38333333333334"/>
  </r>
  <r>
    <x v="25"/>
    <x v="1"/>
    <x v="1"/>
    <n v="68"/>
    <d v="1899-12-30T02:04:24"/>
    <n v="124.4"/>
  </r>
  <r>
    <x v="25"/>
    <x v="1"/>
    <x v="2"/>
    <n v="41"/>
    <d v="1899-12-30T01:25:17"/>
    <n v="85.283333333333331"/>
  </r>
  <r>
    <x v="25"/>
    <x v="1"/>
    <x v="3"/>
    <n v="20"/>
    <d v="1899-12-30T00:25:48"/>
    <n v="25.8"/>
  </r>
  <r>
    <x v="25"/>
    <x v="1"/>
    <x v="4"/>
    <n v="6"/>
    <d v="1899-12-30T00:08:33"/>
    <n v="8.5500000000000007"/>
  </r>
  <r>
    <x v="25"/>
    <x v="1"/>
    <x v="5"/>
    <n v="26"/>
    <d v="1899-12-30T00:34:54"/>
    <n v="34.9"/>
  </r>
  <r>
    <x v="25"/>
    <x v="2"/>
    <x v="0"/>
    <n v="71"/>
    <d v="1899-12-30T01:43:05"/>
    <n v="103.08333333333333"/>
  </r>
  <r>
    <x v="25"/>
    <x v="2"/>
    <x v="1"/>
    <n v="47"/>
    <d v="1899-12-30T01:28:50"/>
    <n v="88.833333333333329"/>
  </r>
  <r>
    <x v="25"/>
    <x v="2"/>
    <x v="2"/>
    <n v="43"/>
    <d v="1899-12-30T01:15:36"/>
    <n v="75.599999999999994"/>
  </r>
  <r>
    <x v="25"/>
    <x v="2"/>
    <x v="3"/>
    <n v="17"/>
    <d v="1899-12-30T00:19:52"/>
    <n v="19.866666666666667"/>
  </r>
  <r>
    <x v="25"/>
    <x v="2"/>
    <x v="4"/>
    <n v="28"/>
    <d v="1899-12-30T00:44:49"/>
    <n v="44.81666666666667"/>
  </r>
  <r>
    <x v="25"/>
    <x v="2"/>
    <x v="5"/>
    <n v="18"/>
    <d v="1899-12-30T00:23:59"/>
    <n v="23.983333333333334"/>
  </r>
  <r>
    <x v="25"/>
    <x v="3"/>
    <x v="0"/>
    <n v="20"/>
    <d v="1899-12-30T00:34:47"/>
    <n v="34.783333333333331"/>
  </r>
  <r>
    <x v="25"/>
    <x v="3"/>
    <x v="1"/>
    <n v="11"/>
    <d v="1899-12-30T00:19:36"/>
    <n v="19.600000000000001"/>
  </r>
  <r>
    <x v="25"/>
    <x v="3"/>
    <x v="2"/>
    <n v="3"/>
    <d v="1899-12-30T00:06:03"/>
    <n v="6.05"/>
  </r>
  <r>
    <x v="25"/>
    <x v="3"/>
    <x v="3"/>
    <n v="0"/>
    <d v="1899-12-30T00:00:00"/>
    <n v="0"/>
  </r>
  <r>
    <x v="25"/>
    <x v="3"/>
    <x v="4"/>
    <n v="0"/>
    <d v="1899-12-30T00:00:00"/>
    <n v="0"/>
  </r>
  <r>
    <x v="25"/>
    <x v="3"/>
    <x v="5"/>
    <n v="5"/>
    <d v="1899-12-30T00:08:04"/>
    <n v="8.0666666666666664"/>
  </r>
  <r>
    <x v="25"/>
    <x v="4"/>
    <x v="0"/>
    <n v="61"/>
    <d v="1899-12-30T01:30:01"/>
    <n v="90.016666666666666"/>
  </r>
  <r>
    <x v="25"/>
    <x v="4"/>
    <x v="1"/>
    <n v="29"/>
    <d v="1899-12-30T00:46:56"/>
    <n v="46.93333333333333"/>
  </r>
  <r>
    <x v="25"/>
    <x v="4"/>
    <x v="2"/>
    <n v="22"/>
    <d v="1899-12-30T00:38:43"/>
    <n v="38.716666666666669"/>
  </r>
  <r>
    <x v="25"/>
    <x v="4"/>
    <x v="3"/>
    <n v="8"/>
    <d v="1899-12-30T00:04:52"/>
    <n v="4.8666666666666671"/>
  </r>
  <r>
    <x v="25"/>
    <x v="4"/>
    <x v="4"/>
    <n v="10"/>
    <d v="1899-12-30T00:17:01"/>
    <n v="17.016666666666666"/>
  </r>
  <r>
    <x v="25"/>
    <x v="4"/>
    <x v="5"/>
    <n v="12"/>
    <d v="1899-12-30T00:11:51"/>
    <n v="11.85"/>
  </r>
  <r>
    <x v="25"/>
    <x v="5"/>
    <x v="0"/>
    <n v="30"/>
    <d v="1899-12-30T00:35:41"/>
    <n v="35.68333333333333"/>
  </r>
  <r>
    <x v="25"/>
    <x v="5"/>
    <x v="1"/>
    <n v="15"/>
    <d v="1899-12-30T00:18:31"/>
    <n v="18.516666666666666"/>
  </r>
  <r>
    <x v="25"/>
    <x v="5"/>
    <x v="2"/>
    <n v="20"/>
    <d v="1899-12-30T00:24:29"/>
    <n v="24.483333333333334"/>
  </r>
  <r>
    <x v="25"/>
    <x v="5"/>
    <x v="3"/>
    <n v="12"/>
    <d v="1899-12-30T00:08:20"/>
    <n v="8.3333333333333339"/>
  </r>
  <r>
    <x v="25"/>
    <x v="5"/>
    <x v="4"/>
    <n v="3"/>
    <d v="1899-12-30T00:03:26"/>
    <n v="3.4333333333333336"/>
  </r>
  <r>
    <x v="25"/>
    <x v="5"/>
    <x v="5"/>
    <n v="14"/>
    <d v="1899-12-30T00:14:51"/>
    <n v="14.85"/>
  </r>
  <r>
    <x v="25"/>
    <x v="6"/>
    <x v="0"/>
    <n v="15"/>
    <d v="1899-12-30T00:18:29"/>
    <n v="18.483333333333334"/>
  </r>
  <r>
    <x v="25"/>
    <x v="6"/>
    <x v="1"/>
    <n v="6"/>
    <d v="1899-12-30T00:08:41"/>
    <n v="8.6833333333333336"/>
  </r>
  <r>
    <x v="25"/>
    <x v="6"/>
    <x v="2"/>
    <n v="6"/>
    <d v="1899-12-30T00:11:50"/>
    <n v="11.833333333333334"/>
  </r>
  <r>
    <x v="25"/>
    <x v="6"/>
    <x v="3"/>
    <n v="5"/>
    <d v="1899-12-30T00:04:20"/>
    <n v="4.333333333333333"/>
  </r>
  <r>
    <x v="25"/>
    <x v="6"/>
    <x v="4"/>
    <n v="3"/>
    <d v="1899-12-30T00:04:38"/>
    <n v="4.6333333333333329"/>
  </r>
  <r>
    <x v="25"/>
    <x v="6"/>
    <x v="5"/>
    <n v="5"/>
    <d v="1899-12-30T00:06:12"/>
    <n v="6.2"/>
  </r>
  <r>
    <x v="25"/>
    <x v="7"/>
    <x v="0"/>
    <n v="72"/>
    <d v="1899-12-30T01:12:54"/>
    <n v="72.900000000000006"/>
  </r>
  <r>
    <x v="25"/>
    <x v="7"/>
    <x v="1"/>
    <n v="70"/>
    <d v="1899-12-30T01:37:43"/>
    <n v="97.716666666666669"/>
  </r>
  <r>
    <x v="25"/>
    <x v="7"/>
    <x v="2"/>
    <n v="38"/>
    <d v="1899-12-30T01:00:47"/>
    <n v="60.783333333333331"/>
  </r>
  <r>
    <x v="25"/>
    <x v="7"/>
    <x v="3"/>
    <n v="39"/>
    <d v="1899-12-30T00:28:47"/>
    <n v="28.783333333333335"/>
  </r>
  <r>
    <x v="25"/>
    <x v="7"/>
    <x v="4"/>
    <n v="130"/>
    <d v="1899-12-30T02:22:27"/>
    <n v="142.44999999999999"/>
  </r>
  <r>
    <x v="25"/>
    <x v="7"/>
    <x v="5"/>
    <n v="26"/>
    <d v="1899-12-30T00:23:54"/>
    <n v="23.9"/>
  </r>
  <r>
    <x v="25"/>
    <x v="8"/>
    <x v="0"/>
    <n v="41"/>
    <d v="1899-12-30T00:52:17"/>
    <n v="52.283333333333331"/>
  </r>
  <r>
    <x v="25"/>
    <x v="8"/>
    <x v="1"/>
    <n v="31"/>
    <d v="1899-12-30T00:49:11"/>
    <n v="49.18333333333333"/>
  </r>
  <r>
    <x v="25"/>
    <x v="8"/>
    <x v="2"/>
    <n v="28"/>
    <d v="1899-12-30T00:50:04"/>
    <n v="50.06666666666667"/>
  </r>
  <r>
    <x v="25"/>
    <x v="8"/>
    <x v="3"/>
    <n v="19"/>
    <d v="1899-12-30T00:17:28"/>
    <n v="17.466666666666665"/>
  </r>
  <r>
    <x v="25"/>
    <x v="8"/>
    <x v="4"/>
    <n v="26"/>
    <d v="1899-12-30T00:32:11"/>
    <n v="32.18333333333333"/>
  </r>
  <r>
    <x v="25"/>
    <x v="8"/>
    <x v="5"/>
    <n v="14"/>
    <d v="1899-12-30T00:18:27"/>
    <n v="18.45"/>
  </r>
  <r>
    <x v="25"/>
    <x v="9"/>
    <x v="0"/>
    <n v="79"/>
    <d v="1899-12-30T01:26:46"/>
    <n v="86.766666666666666"/>
  </r>
  <r>
    <x v="25"/>
    <x v="9"/>
    <x v="1"/>
    <n v="79"/>
    <d v="1899-12-30T01:58:41"/>
    <n v="118.68333333333334"/>
  </r>
  <r>
    <x v="25"/>
    <x v="9"/>
    <x v="2"/>
    <n v="70"/>
    <d v="1899-12-30T02:01:46"/>
    <n v="121.76666666666667"/>
  </r>
  <r>
    <x v="25"/>
    <x v="9"/>
    <x v="3"/>
    <n v="34"/>
    <d v="1899-12-30T00:35:43"/>
    <n v="35.716666666666669"/>
  </r>
  <r>
    <x v="25"/>
    <x v="9"/>
    <x v="4"/>
    <n v="16"/>
    <d v="1899-12-30T00:25:40"/>
    <n v="25.666666666666668"/>
  </r>
  <r>
    <x v="25"/>
    <x v="9"/>
    <x v="5"/>
    <n v="40"/>
    <d v="1899-12-30T00:55:08"/>
    <n v="55.133333333333333"/>
  </r>
  <r>
    <x v="25"/>
    <x v="10"/>
    <x v="0"/>
    <n v="39"/>
    <d v="1899-12-30T01:04:00"/>
    <n v="64"/>
  </r>
  <r>
    <x v="25"/>
    <x v="10"/>
    <x v="1"/>
    <n v="39"/>
    <d v="1899-12-30T01:05:43"/>
    <n v="65.716666666666669"/>
  </r>
  <r>
    <x v="25"/>
    <x v="10"/>
    <x v="2"/>
    <n v="14"/>
    <d v="1899-12-30T00:24:28"/>
    <n v="24.466666666666665"/>
  </r>
  <r>
    <x v="25"/>
    <x v="10"/>
    <x v="3"/>
    <n v="6"/>
    <d v="1899-12-30T00:06:42"/>
    <n v="6.7"/>
  </r>
  <r>
    <x v="25"/>
    <x v="10"/>
    <x v="4"/>
    <n v="16"/>
    <d v="1899-12-30T00:19:00"/>
    <n v="19"/>
  </r>
  <r>
    <x v="25"/>
    <x v="10"/>
    <x v="5"/>
    <n v="13"/>
    <d v="1899-12-30T00:17:24"/>
    <n v="17.399999999999999"/>
  </r>
  <r>
    <x v="25"/>
    <x v="11"/>
    <x v="0"/>
    <n v="15"/>
    <d v="1899-12-30T00:21:03"/>
    <n v="21.05"/>
  </r>
  <r>
    <x v="25"/>
    <x v="11"/>
    <x v="1"/>
    <n v="17"/>
    <d v="1899-12-30T00:26:57"/>
    <n v="26.95"/>
  </r>
  <r>
    <x v="25"/>
    <x v="11"/>
    <x v="2"/>
    <n v="8"/>
    <d v="1899-12-30T00:14:20"/>
    <n v="14.333333333333334"/>
  </r>
  <r>
    <x v="25"/>
    <x v="11"/>
    <x v="3"/>
    <n v="1"/>
    <d v="1899-12-30T00:00:25"/>
    <n v="0.41666666666666669"/>
  </r>
  <r>
    <x v="25"/>
    <x v="11"/>
    <x v="4"/>
    <n v="1"/>
    <d v="1899-12-30T00:00:45"/>
    <n v="0.75"/>
  </r>
  <r>
    <x v="25"/>
    <x v="11"/>
    <x v="5"/>
    <n v="5"/>
    <d v="1899-12-30T00:05:23"/>
    <n v="5.3833333333333337"/>
  </r>
  <r>
    <x v="25"/>
    <x v="12"/>
    <x v="0"/>
    <n v="128"/>
    <d v="1899-12-30T03:05:29"/>
    <n v="185.48333333333332"/>
  </r>
  <r>
    <x v="25"/>
    <x v="12"/>
    <x v="1"/>
    <n v="102"/>
    <d v="1899-12-30T02:36:03"/>
    <n v="156.05000000000001"/>
  </r>
  <r>
    <x v="25"/>
    <x v="12"/>
    <x v="2"/>
    <n v="69"/>
    <d v="1899-12-30T01:49:57"/>
    <n v="109.95"/>
  </r>
  <r>
    <x v="25"/>
    <x v="12"/>
    <x v="3"/>
    <n v="24"/>
    <d v="1899-12-30T00:19:33"/>
    <n v="19.55"/>
  </r>
  <r>
    <x v="25"/>
    <x v="12"/>
    <x v="4"/>
    <n v="43"/>
    <d v="1899-12-30T01:21:12"/>
    <n v="81.2"/>
  </r>
  <r>
    <x v="25"/>
    <x v="12"/>
    <x v="5"/>
    <n v="32"/>
    <d v="1899-12-30T00:41:00"/>
    <n v="41"/>
  </r>
  <r>
    <x v="25"/>
    <x v="13"/>
    <x v="0"/>
    <n v="50"/>
    <d v="1899-12-30T00:48:01"/>
    <n v="48.016666666666666"/>
  </r>
  <r>
    <x v="25"/>
    <x v="13"/>
    <x v="1"/>
    <n v="60"/>
    <d v="1899-12-30T00:49:05"/>
    <n v="49.083333333333336"/>
  </r>
  <r>
    <x v="25"/>
    <x v="13"/>
    <x v="2"/>
    <n v="34"/>
    <d v="1899-12-30T00:37:59"/>
    <n v="37.983333333333334"/>
  </r>
  <r>
    <x v="25"/>
    <x v="13"/>
    <x v="3"/>
    <n v="8"/>
    <d v="1899-12-30T00:08:24"/>
    <n v="8.4"/>
  </r>
  <r>
    <x v="25"/>
    <x v="13"/>
    <x v="4"/>
    <n v="6"/>
    <d v="1899-12-30T00:08:39"/>
    <n v="8.65"/>
  </r>
  <r>
    <x v="25"/>
    <x v="13"/>
    <x v="5"/>
    <n v="20"/>
    <d v="1899-12-30T00:18:56"/>
    <n v="18.933333333333334"/>
  </r>
  <r>
    <x v="26"/>
    <x v="0"/>
    <x v="0"/>
    <n v="23"/>
    <d v="1899-12-30T00:22:08"/>
    <n v="22.133333333333333"/>
  </r>
  <r>
    <x v="26"/>
    <x v="0"/>
    <x v="1"/>
    <n v="18"/>
    <d v="1899-12-30T00:19:18"/>
    <n v="19.3"/>
  </r>
  <r>
    <x v="26"/>
    <x v="0"/>
    <x v="2"/>
    <n v="8"/>
    <d v="1899-12-30T00:07:50"/>
    <n v="7.833333333333333"/>
  </r>
  <r>
    <x v="26"/>
    <x v="0"/>
    <x v="3"/>
    <n v="5"/>
    <d v="1899-12-30T00:01:37"/>
    <n v="1.6166666666666667"/>
  </r>
  <r>
    <x v="26"/>
    <x v="0"/>
    <x v="4"/>
    <n v="6"/>
    <d v="1899-12-30T00:02:41"/>
    <n v="2.6833333333333336"/>
  </r>
  <r>
    <x v="26"/>
    <x v="0"/>
    <x v="5"/>
    <n v="9"/>
    <d v="1899-12-30T00:08:27"/>
    <n v="8.4499999999999993"/>
  </r>
  <r>
    <x v="26"/>
    <x v="1"/>
    <x v="0"/>
    <n v="53"/>
    <d v="1899-12-30T01:12:28"/>
    <n v="72.466666666666669"/>
  </r>
  <r>
    <x v="26"/>
    <x v="1"/>
    <x v="1"/>
    <n v="56"/>
    <d v="1899-12-30T01:40:06"/>
    <n v="100.1"/>
  </r>
  <r>
    <x v="26"/>
    <x v="1"/>
    <x v="2"/>
    <n v="27"/>
    <d v="1899-12-30T00:55:31"/>
    <n v="55.516666666666666"/>
  </r>
  <r>
    <x v="26"/>
    <x v="1"/>
    <x v="3"/>
    <n v="7"/>
    <d v="1899-12-30T00:07:57"/>
    <n v="7.95"/>
  </r>
  <r>
    <x v="26"/>
    <x v="1"/>
    <x v="4"/>
    <n v="2"/>
    <d v="1899-12-30T00:01:04"/>
    <n v="1.0666666666666667"/>
  </r>
  <r>
    <x v="26"/>
    <x v="1"/>
    <x v="5"/>
    <n v="12"/>
    <d v="1899-12-30T00:19:15"/>
    <n v="19.25"/>
  </r>
  <r>
    <x v="26"/>
    <x v="2"/>
    <x v="0"/>
    <n v="72"/>
    <d v="1899-12-30T01:45:13"/>
    <n v="105.21666666666667"/>
  </r>
  <r>
    <x v="26"/>
    <x v="2"/>
    <x v="1"/>
    <n v="34"/>
    <d v="1899-12-30T01:01:17"/>
    <n v="61.283333333333331"/>
  </r>
  <r>
    <x v="26"/>
    <x v="2"/>
    <x v="2"/>
    <n v="28"/>
    <d v="1899-12-30T00:49:17"/>
    <n v="49.283333333333331"/>
  </r>
  <r>
    <x v="26"/>
    <x v="2"/>
    <x v="3"/>
    <n v="11"/>
    <d v="1899-12-30T00:09:15"/>
    <n v="9.25"/>
  </r>
  <r>
    <x v="26"/>
    <x v="2"/>
    <x v="4"/>
    <n v="16"/>
    <d v="1899-12-30T00:28:12"/>
    <n v="28.2"/>
  </r>
  <r>
    <x v="26"/>
    <x v="2"/>
    <x v="5"/>
    <n v="13"/>
    <d v="1899-12-30T00:18:41"/>
    <n v="18.683333333333334"/>
  </r>
  <r>
    <x v="26"/>
    <x v="3"/>
    <x v="0"/>
    <n v="25"/>
    <d v="1899-12-30T00:34:13"/>
    <n v="34.216666666666669"/>
  </r>
  <r>
    <x v="26"/>
    <x v="3"/>
    <x v="1"/>
    <n v="17"/>
    <d v="1899-12-30T00:26:40"/>
    <n v="26.666666666666668"/>
  </r>
  <r>
    <x v="26"/>
    <x v="3"/>
    <x v="2"/>
    <n v="6"/>
    <d v="1899-12-30T00:10:14"/>
    <n v="10.233333333333333"/>
  </r>
  <r>
    <x v="26"/>
    <x v="3"/>
    <x v="3"/>
    <n v="3"/>
    <d v="1899-12-30T00:03:21"/>
    <n v="3.35"/>
  </r>
  <r>
    <x v="26"/>
    <x v="3"/>
    <x v="4"/>
    <n v="4"/>
    <d v="1899-12-30T00:10:05"/>
    <n v="10.083333333333334"/>
  </r>
  <r>
    <x v="26"/>
    <x v="3"/>
    <x v="5"/>
    <n v="3"/>
    <d v="1899-12-30T00:04:12"/>
    <n v="4.2"/>
  </r>
  <r>
    <x v="26"/>
    <x v="4"/>
    <x v="0"/>
    <n v="44"/>
    <d v="1899-12-30T00:51:12"/>
    <n v="51.2"/>
  </r>
  <r>
    <x v="26"/>
    <x v="4"/>
    <x v="1"/>
    <n v="30"/>
    <d v="1899-12-30T00:38:21"/>
    <n v="38.35"/>
  </r>
  <r>
    <x v="26"/>
    <x v="4"/>
    <x v="2"/>
    <n v="10"/>
    <d v="1899-12-30T00:14:18"/>
    <n v="14.3"/>
  </r>
  <r>
    <x v="26"/>
    <x v="4"/>
    <x v="3"/>
    <n v="5"/>
    <d v="1899-12-30T00:03:15"/>
    <n v="3.25"/>
  </r>
  <r>
    <x v="26"/>
    <x v="4"/>
    <x v="4"/>
    <n v="12"/>
    <d v="1899-12-30T00:17:17"/>
    <n v="17.283333333333335"/>
  </r>
  <r>
    <x v="26"/>
    <x v="4"/>
    <x v="5"/>
    <n v="8"/>
    <d v="1899-12-30T00:07:14"/>
    <n v="7.2333333333333334"/>
  </r>
  <r>
    <x v="26"/>
    <x v="5"/>
    <x v="0"/>
    <n v="25"/>
    <d v="1899-12-30T00:24:55"/>
    <n v="24.916666666666668"/>
  </r>
  <r>
    <x v="26"/>
    <x v="5"/>
    <x v="1"/>
    <n v="19"/>
    <d v="1899-12-30T00:19:58"/>
    <n v="19.966666666666665"/>
  </r>
  <r>
    <x v="26"/>
    <x v="5"/>
    <x v="2"/>
    <n v="17"/>
    <d v="1899-12-30T00:25:22"/>
    <n v="25.366666666666667"/>
  </r>
  <r>
    <x v="26"/>
    <x v="5"/>
    <x v="3"/>
    <n v="6"/>
    <d v="1899-12-30T00:05:11"/>
    <n v="5.1833333333333336"/>
  </r>
  <r>
    <x v="26"/>
    <x v="5"/>
    <x v="4"/>
    <n v="3"/>
    <d v="1899-12-30T00:05:14"/>
    <n v="5.2333333333333334"/>
  </r>
  <r>
    <x v="26"/>
    <x v="5"/>
    <x v="5"/>
    <n v="19"/>
    <d v="1899-12-30T00:19:02"/>
    <n v="19.033333333333335"/>
  </r>
  <r>
    <x v="26"/>
    <x v="6"/>
    <x v="0"/>
    <n v="7"/>
    <d v="1899-12-30T00:07:55"/>
    <n v="7.916666666666667"/>
  </r>
  <r>
    <x v="26"/>
    <x v="6"/>
    <x v="1"/>
    <n v="4"/>
    <d v="1899-12-30T00:05:59"/>
    <n v="5.9833333333333334"/>
  </r>
  <r>
    <x v="26"/>
    <x v="6"/>
    <x v="2"/>
    <n v="4"/>
    <d v="1899-12-30T00:09:13"/>
    <n v="9.2166666666666668"/>
  </r>
  <r>
    <x v="26"/>
    <x v="6"/>
    <x v="3"/>
    <n v="2"/>
    <d v="1899-12-30T00:01:46"/>
    <n v="1.7666666666666666"/>
  </r>
  <r>
    <x v="26"/>
    <x v="6"/>
    <x v="4"/>
    <n v="1"/>
    <d v="1899-12-30T00:01:58"/>
    <n v="1.9666666666666668"/>
  </r>
  <r>
    <x v="26"/>
    <x v="6"/>
    <x v="5"/>
    <n v="2"/>
    <d v="1899-12-30T00:03:27"/>
    <n v="3.45"/>
  </r>
  <r>
    <x v="26"/>
    <x v="7"/>
    <x v="0"/>
    <n v="68"/>
    <d v="1899-12-30T01:07:30"/>
    <n v="67.5"/>
  </r>
  <r>
    <x v="26"/>
    <x v="7"/>
    <x v="1"/>
    <n v="66"/>
    <d v="1899-12-30T01:26:36"/>
    <n v="86.6"/>
  </r>
  <r>
    <x v="26"/>
    <x v="7"/>
    <x v="2"/>
    <n v="47"/>
    <d v="1899-12-30T01:15:51"/>
    <n v="75.849999999999994"/>
  </r>
  <r>
    <x v="26"/>
    <x v="7"/>
    <x v="3"/>
    <n v="49"/>
    <d v="1899-12-30T00:34:12"/>
    <n v="34.200000000000003"/>
  </r>
  <r>
    <x v="26"/>
    <x v="7"/>
    <x v="4"/>
    <n v="123"/>
    <d v="1899-12-30T02:39:59"/>
    <n v="159.98333333333332"/>
  </r>
  <r>
    <x v="26"/>
    <x v="7"/>
    <x v="5"/>
    <n v="17"/>
    <d v="1899-12-30T00:13:32"/>
    <n v="13.533333333333333"/>
  </r>
  <r>
    <x v="26"/>
    <x v="8"/>
    <x v="0"/>
    <n v="44"/>
    <d v="1899-12-30T00:40:28"/>
    <n v="40.466666666666669"/>
  </r>
  <r>
    <x v="26"/>
    <x v="8"/>
    <x v="1"/>
    <n v="24"/>
    <d v="1899-12-30T00:33:15"/>
    <n v="33.25"/>
  </r>
  <r>
    <x v="26"/>
    <x v="8"/>
    <x v="2"/>
    <n v="30"/>
    <d v="1899-12-30T00:53:26"/>
    <n v="53.43333333333333"/>
  </r>
  <r>
    <x v="26"/>
    <x v="8"/>
    <x v="3"/>
    <n v="24"/>
    <d v="1899-12-30T00:24:41"/>
    <n v="24.683333333333334"/>
  </r>
  <r>
    <x v="26"/>
    <x v="8"/>
    <x v="4"/>
    <n v="19"/>
    <d v="1899-12-30T00:21:17"/>
    <n v="21.283333333333335"/>
  </r>
  <r>
    <x v="26"/>
    <x v="8"/>
    <x v="5"/>
    <n v="15"/>
    <d v="1899-12-30T00:18:57"/>
    <n v="18.95"/>
  </r>
  <r>
    <x v="26"/>
    <x v="9"/>
    <x v="0"/>
    <n v="96"/>
    <d v="1899-12-30T02:51:00"/>
    <n v="171"/>
  </r>
  <r>
    <x v="26"/>
    <x v="9"/>
    <x v="1"/>
    <n v="119"/>
    <d v="1899-12-30T03:34:21"/>
    <n v="214.35"/>
  </r>
  <r>
    <x v="26"/>
    <x v="9"/>
    <x v="2"/>
    <n v="75"/>
    <d v="1899-12-30T02:44:46"/>
    <n v="164.76666666666668"/>
  </r>
  <r>
    <x v="26"/>
    <x v="9"/>
    <x v="3"/>
    <n v="49"/>
    <d v="1899-12-30T00:43:23"/>
    <n v="43.383333333333333"/>
  </r>
  <r>
    <x v="26"/>
    <x v="9"/>
    <x v="4"/>
    <n v="29"/>
    <d v="1899-12-30T00:48:28"/>
    <n v="48.466666666666669"/>
  </r>
  <r>
    <x v="26"/>
    <x v="9"/>
    <x v="5"/>
    <n v="51"/>
    <d v="1899-12-30T01:05:37"/>
    <n v="65.61666666666666"/>
  </r>
  <r>
    <x v="26"/>
    <x v="10"/>
    <x v="0"/>
    <n v="31"/>
    <d v="1899-12-30T00:45:28"/>
    <n v="45.466666666666669"/>
  </r>
  <r>
    <x v="26"/>
    <x v="10"/>
    <x v="1"/>
    <n v="25"/>
    <d v="1899-12-30T00:39:48"/>
    <n v="39.799999999999997"/>
  </r>
  <r>
    <x v="26"/>
    <x v="10"/>
    <x v="2"/>
    <n v="14"/>
    <d v="1899-12-30T00:27:56"/>
    <n v="27.933333333333334"/>
  </r>
  <r>
    <x v="26"/>
    <x v="10"/>
    <x v="3"/>
    <n v="6"/>
    <d v="1899-12-30T00:04:40"/>
    <n v="4.666666666666667"/>
  </r>
  <r>
    <x v="26"/>
    <x v="10"/>
    <x v="4"/>
    <n v="3"/>
    <d v="1899-12-30T00:05:57"/>
    <n v="5.95"/>
  </r>
  <r>
    <x v="26"/>
    <x v="10"/>
    <x v="5"/>
    <n v="6"/>
    <d v="1899-12-30T00:07:18"/>
    <n v="7.3"/>
  </r>
  <r>
    <x v="26"/>
    <x v="11"/>
    <x v="0"/>
    <n v="33"/>
    <d v="1899-12-30T00:38:52"/>
    <n v="38.866666666666667"/>
  </r>
  <r>
    <x v="26"/>
    <x v="11"/>
    <x v="1"/>
    <n v="12"/>
    <d v="1899-12-30T00:17:45"/>
    <n v="17.75"/>
  </r>
  <r>
    <x v="26"/>
    <x v="11"/>
    <x v="2"/>
    <n v="2"/>
    <d v="1899-12-30T00:00:54"/>
    <n v="0.9"/>
  </r>
  <r>
    <x v="26"/>
    <x v="11"/>
    <x v="3"/>
    <n v="5"/>
    <d v="1899-12-30T00:02:33"/>
    <n v="2.5499999999999998"/>
  </r>
  <r>
    <x v="26"/>
    <x v="11"/>
    <x v="4"/>
    <n v="3"/>
    <d v="1899-12-30T00:02:57"/>
    <n v="2.95"/>
  </r>
  <r>
    <x v="26"/>
    <x v="11"/>
    <x v="5"/>
    <n v="10"/>
    <d v="1899-12-30T00:11:09"/>
    <n v="11.15"/>
  </r>
  <r>
    <x v="26"/>
    <x v="12"/>
    <x v="0"/>
    <n v="155"/>
    <d v="1899-12-30T03:31:32"/>
    <n v="211.53333333333333"/>
  </r>
  <r>
    <x v="26"/>
    <x v="12"/>
    <x v="1"/>
    <n v="115"/>
    <d v="1899-12-30T02:59:16"/>
    <n v="179.26666666666668"/>
  </r>
  <r>
    <x v="26"/>
    <x v="12"/>
    <x v="2"/>
    <n v="80"/>
    <d v="1899-12-30T02:21:07"/>
    <n v="141.11666666666667"/>
  </r>
  <r>
    <x v="26"/>
    <x v="12"/>
    <x v="3"/>
    <n v="44"/>
    <d v="1899-12-30T00:37:30"/>
    <n v="37.5"/>
  </r>
  <r>
    <x v="26"/>
    <x v="12"/>
    <x v="4"/>
    <n v="46"/>
    <d v="1899-12-30T01:07:43"/>
    <n v="67.716666666666669"/>
  </r>
  <r>
    <x v="26"/>
    <x v="12"/>
    <x v="5"/>
    <n v="47"/>
    <d v="1899-12-30T00:54:21"/>
    <n v="54.35"/>
  </r>
  <r>
    <x v="26"/>
    <x v="13"/>
    <x v="0"/>
    <n v="53"/>
    <d v="1899-12-30T01:04:15"/>
    <n v="64.25"/>
  </r>
  <r>
    <x v="26"/>
    <x v="13"/>
    <x v="1"/>
    <n v="63"/>
    <d v="1899-12-30T01:05:17"/>
    <n v="65.283333333333331"/>
  </r>
  <r>
    <x v="26"/>
    <x v="13"/>
    <x v="2"/>
    <n v="29"/>
    <d v="1899-12-30T00:47:00"/>
    <n v="47"/>
  </r>
  <r>
    <x v="26"/>
    <x v="13"/>
    <x v="3"/>
    <n v="20"/>
    <d v="1899-12-30T00:15:32"/>
    <n v="15.533333333333333"/>
  </r>
  <r>
    <x v="26"/>
    <x v="13"/>
    <x v="4"/>
    <n v="0"/>
    <d v="1899-12-30T00:00:00"/>
    <n v="0"/>
  </r>
  <r>
    <x v="26"/>
    <x v="13"/>
    <x v="5"/>
    <n v="26"/>
    <d v="1899-12-30T00:29:32"/>
    <n v="29.533333333333335"/>
  </r>
  <r>
    <x v="27"/>
    <x v="0"/>
    <x v="0"/>
    <n v="19"/>
    <d v="1899-12-30T00:16:43"/>
    <n v="16.716666666666665"/>
  </r>
  <r>
    <x v="27"/>
    <x v="0"/>
    <x v="1"/>
    <n v="20"/>
    <d v="1899-12-30T00:21:59"/>
    <n v="21.983333333333334"/>
  </r>
  <r>
    <x v="27"/>
    <x v="0"/>
    <x v="2"/>
    <n v="5"/>
    <d v="1899-12-30T00:04:50"/>
    <n v="4.833333333333333"/>
  </r>
  <r>
    <x v="27"/>
    <x v="0"/>
    <x v="3"/>
    <n v="6"/>
    <d v="1899-12-30T00:02:55"/>
    <n v="2.9166666666666665"/>
  </r>
  <r>
    <x v="27"/>
    <x v="0"/>
    <x v="4"/>
    <n v="6"/>
    <d v="1899-12-30T00:03:46"/>
    <n v="3.7666666666666666"/>
  </r>
  <r>
    <x v="27"/>
    <x v="0"/>
    <x v="5"/>
    <n v="9"/>
    <d v="1899-12-30T00:07:10"/>
    <n v="7.166666666666667"/>
  </r>
  <r>
    <x v="27"/>
    <x v="1"/>
    <x v="0"/>
    <n v="30"/>
    <d v="1899-12-30T00:45:57"/>
    <n v="45.95"/>
  </r>
  <r>
    <x v="27"/>
    <x v="1"/>
    <x v="1"/>
    <n v="30"/>
    <d v="1899-12-30T00:58:40"/>
    <n v="58.666666666666664"/>
  </r>
  <r>
    <x v="27"/>
    <x v="1"/>
    <x v="2"/>
    <n v="25"/>
    <d v="1899-12-30T00:53:42"/>
    <n v="53.7"/>
  </r>
  <r>
    <x v="27"/>
    <x v="1"/>
    <x v="3"/>
    <n v="6"/>
    <d v="1899-12-30T00:05:50"/>
    <n v="5.833333333333333"/>
  </r>
  <r>
    <x v="27"/>
    <x v="1"/>
    <x v="4"/>
    <n v="0"/>
    <d v="1899-12-30T00:00:00"/>
    <n v="0"/>
  </r>
  <r>
    <x v="27"/>
    <x v="1"/>
    <x v="5"/>
    <n v="14"/>
    <d v="1899-12-30T00:23:15"/>
    <n v="23.25"/>
  </r>
  <r>
    <x v="27"/>
    <x v="2"/>
    <x v="0"/>
    <n v="37"/>
    <d v="1899-12-30T00:49:48"/>
    <n v="49.8"/>
  </r>
  <r>
    <x v="27"/>
    <x v="2"/>
    <x v="1"/>
    <n v="19"/>
    <d v="1899-12-30T00:30:35"/>
    <n v="30.583333333333332"/>
  </r>
  <r>
    <x v="27"/>
    <x v="2"/>
    <x v="2"/>
    <n v="10"/>
    <d v="1899-12-30T00:18:30"/>
    <n v="18.5"/>
  </r>
  <r>
    <x v="27"/>
    <x v="2"/>
    <x v="3"/>
    <n v="5"/>
    <d v="1899-12-30T00:04:26"/>
    <n v="4.4333333333333336"/>
  </r>
  <r>
    <x v="27"/>
    <x v="2"/>
    <x v="4"/>
    <n v="11"/>
    <d v="1899-12-30T00:06:12"/>
    <n v="6.2"/>
  </r>
  <r>
    <x v="27"/>
    <x v="2"/>
    <x v="5"/>
    <n v="5"/>
    <d v="1899-12-30T00:05:27"/>
    <n v="5.45"/>
  </r>
  <r>
    <x v="27"/>
    <x v="3"/>
    <x v="0"/>
    <n v="7"/>
    <d v="1899-12-30T00:11:24"/>
    <n v="11.4"/>
  </r>
  <r>
    <x v="27"/>
    <x v="3"/>
    <x v="1"/>
    <n v="6"/>
    <d v="1899-12-30T00:11:22"/>
    <n v="11.366666666666667"/>
  </r>
  <r>
    <x v="27"/>
    <x v="3"/>
    <x v="2"/>
    <n v="1"/>
    <d v="1899-12-30T00:01:52"/>
    <n v="1.8666666666666667"/>
  </r>
  <r>
    <x v="27"/>
    <x v="3"/>
    <x v="3"/>
    <n v="1"/>
    <d v="1899-12-30T00:00:38"/>
    <n v="0.6333333333333333"/>
  </r>
  <r>
    <x v="27"/>
    <x v="3"/>
    <x v="4"/>
    <n v="2"/>
    <d v="1899-12-30T00:03:17"/>
    <n v="3.2833333333333332"/>
  </r>
  <r>
    <x v="27"/>
    <x v="3"/>
    <x v="5"/>
    <n v="0"/>
    <d v="1899-12-30T00:00:00"/>
    <n v="0"/>
  </r>
  <r>
    <x v="27"/>
    <x v="4"/>
    <x v="0"/>
    <n v="37"/>
    <d v="1899-12-30T00:50:42"/>
    <n v="50.7"/>
  </r>
  <r>
    <x v="27"/>
    <x v="4"/>
    <x v="1"/>
    <n v="24"/>
    <d v="1899-12-30T00:34:00"/>
    <n v="34"/>
  </r>
  <r>
    <x v="27"/>
    <x v="4"/>
    <x v="2"/>
    <n v="8"/>
    <d v="1899-12-30T00:15:54"/>
    <n v="15.9"/>
  </r>
  <r>
    <x v="27"/>
    <x v="4"/>
    <x v="3"/>
    <n v="6"/>
    <d v="1899-12-30T00:04:54"/>
    <n v="4.9000000000000004"/>
  </r>
  <r>
    <x v="27"/>
    <x v="4"/>
    <x v="4"/>
    <n v="9"/>
    <d v="1899-12-30T00:14:52"/>
    <n v="14.866666666666667"/>
  </r>
  <r>
    <x v="27"/>
    <x v="4"/>
    <x v="5"/>
    <n v="8"/>
    <d v="1899-12-30T00:09:25"/>
    <n v="9.4166666666666661"/>
  </r>
  <r>
    <x v="27"/>
    <x v="5"/>
    <x v="0"/>
    <n v="42"/>
    <d v="1899-12-30T00:52:50"/>
    <n v="52.833333333333336"/>
  </r>
  <r>
    <x v="27"/>
    <x v="5"/>
    <x v="1"/>
    <n v="50"/>
    <d v="1899-12-30T00:56:50"/>
    <n v="56.833333333333336"/>
  </r>
  <r>
    <x v="27"/>
    <x v="5"/>
    <x v="2"/>
    <n v="40"/>
    <d v="1899-12-30T00:53:31"/>
    <n v="53.516666666666666"/>
  </r>
  <r>
    <x v="27"/>
    <x v="5"/>
    <x v="3"/>
    <n v="21"/>
    <d v="1899-12-30T00:18:47"/>
    <n v="18.783333333333335"/>
  </r>
  <r>
    <x v="27"/>
    <x v="5"/>
    <x v="4"/>
    <n v="6"/>
    <d v="1899-12-30T00:08:07"/>
    <n v="8.1166666666666671"/>
  </r>
  <r>
    <x v="27"/>
    <x v="5"/>
    <x v="5"/>
    <n v="27"/>
    <d v="1899-12-30T00:32:26"/>
    <n v="32.43333333333333"/>
  </r>
  <r>
    <x v="27"/>
    <x v="6"/>
    <x v="0"/>
    <n v="15"/>
    <d v="1899-12-30T00:15:58"/>
    <n v="15.966666666666667"/>
  </r>
  <r>
    <x v="27"/>
    <x v="6"/>
    <x v="1"/>
    <n v="10"/>
    <d v="1899-12-30T00:14:36"/>
    <n v="14.6"/>
  </r>
  <r>
    <x v="27"/>
    <x v="6"/>
    <x v="2"/>
    <n v="10"/>
    <d v="1899-12-30T00:15:03"/>
    <n v="15.05"/>
  </r>
  <r>
    <x v="27"/>
    <x v="6"/>
    <x v="3"/>
    <n v="6"/>
    <d v="1899-12-30T00:05:23"/>
    <n v="5.3833333333333337"/>
  </r>
  <r>
    <x v="27"/>
    <x v="6"/>
    <x v="4"/>
    <n v="9"/>
    <d v="1899-12-30T00:12:04"/>
    <n v="12.066666666666666"/>
  </r>
  <r>
    <x v="27"/>
    <x v="6"/>
    <x v="5"/>
    <n v="7"/>
    <d v="1899-12-30T00:07:31"/>
    <n v="7.5166666666666666"/>
  </r>
  <r>
    <x v="27"/>
    <x v="7"/>
    <x v="0"/>
    <n v="62"/>
    <d v="1899-12-30T01:04:28"/>
    <n v="64.466666666666669"/>
  </r>
  <r>
    <x v="27"/>
    <x v="7"/>
    <x v="1"/>
    <n v="53"/>
    <d v="1899-12-30T01:01:59"/>
    <n v="61.983333333333334"/>
  </r>
  <r>
    <x v="27"/>
    <x v="7"/>
    <x v="2"/>
    <n v="38"/>
    <d v="1899-12-30T00:56:20"/>
    <n v="56.333333333333336"/>
  </r>
  <r>
    <x v="27"/>
    <x v="7"/>
    <x v="3"/>
    <n v="52"/>
    <d v="1899-12-30T00:33:26"/>
    <n v="33.43333333333333"/>
  </r>
  <r>
    <x v="27"/>
    <x v="7"/>
    <x v="4"/>
    <n v="149"/>
    <d v="1899-12-30T03:08:22"/>
    <n v="188.36666666666667"/>
  </r>
  <r>
    <x v="27"/>
    <x v="7"/>
    <x v="5"/>
    <n v="16"/>
    <d v="1899-12-30T00:13:32"/>
    <n v="13.533333333333333"/>
  </r>
  <r>
    <x v="27"/>
    <x v="8"/>
    <x v="0"/>
    <n v="34"/>
    <d v="1899-12-30T00:37:17"/>
    <n v="37.283333333333331"/>
  </r>
  <r>
    <x v="27"/>
    <x v="8"/>
    <x v="1"/>
    <n v="22"/>
    <d v="1899-12-30T00:28:11"/>
    <n v="28.183333333333334"/>
  </r>
  <r>
    <x v="27"/>
    <x v="8"/>
    <x v="2"/>
    <n v="22"/>
    <d v="1899-12-30T00:39:43"/>
    <n v="39.716666666666669"/>
  </r>
  <r>
    <x v="27"/>
    <x v="8"/>
    <x v="3"/>
    <n v="18"/>
    <d v="1899-12-30T00:17:41"/>
    <n v="17.683333333333334"/>
  </r>
  <r>
    <x v="27"/>
    <x v="8"/>
    <x v="4"/>
    <n v="15"/>
    <d v="1899-12-30T00:11:22"/>
    <n v="11.366666666666667"/>
  </r>
  <r>
    <x v="27"/>
    <x v="8"/>
    <x v="5"/>
    <n v="14"/>
    <d v="1899-12-30T00:17:36"/>
    <n v="17.600000000000001"/>
  </r>
  <r>
    <x v="27"/>
    <x v="9"/>
    <x v="0"/>
    <n v="133"/>
    <d v="1899-12-30T03:48:31"/>
    <n v="228.51666666666668"/>
  </r>
  <r>
    <x v="27"/>
    <x v="9"/>
    <x v="1"/>
    <n v="148"/>
    <d v="1899-12-30T03:56:43"/>
    <n v="236.71666666666667"/>
  </r>
  <r>
    <x v="27"/>
    <x v="9"/>
    <x v="2"/>
    <n v="118"/>
    <d v="1899-12-30T04:13:30"/>
    <n v="253.5"/>
  </r>
  <r>
    <x v="27"/>
    <x v="9"/>
    <x v="3"/>
    <n v="49"/>
    <d v="1899-12-30T00:51:22"/>
    <n v="51.366666666666667"/>
  </r>
  <r>
    <x v="27"/>
    <x v="9"/>
    <x v="4"/>
    <n v="39"/>
    <d v="1899-12-30T01:24:00"/>
    <n v="84"/>
  </r>
  <r>
    <x v="27"/>
    <x v="9"/>
    <x v="5"/>
    <n v="74"/>
    <d v="1899-12-30T01:29:36"/>
    <n v="89.6"/>
  </r>
  <r>
    <x v="27"/>
    <x v="10"/>
    <x v="0"/>
    <n v="26"/>
    <d v="1899-12-30T00:41:02"/>
    <n v="41.033333333333331"/>
  </r>
  <r>
    <x v="27"/>
    <x v="10"/>
    <x v="1"/>
    <n v="23"/>
    <d v="1899-12-30T00:34:59"/>
    <n v="34.983333333333334"/>
  </r>
  <r>
    <x v="27"/>
    <x v="10"/>
    <x v="2"/>
    <n v="11"/>
    <d v="1899-12-30T00:17:34"/>
    <n v="17.566666666666666"/>
  </r>
  <r>
    <x v="27"/>
    <x v="10"/>
    <x v="3"/>
    <n v="7"/>
    <d v="1899-12-30T00:05:53"/>
    <n v="5.8833333333333329"/>
  </r>
  <r>
    <x v="27"/>
    <x v="10"/>
    <x v="4"/>
    <n v="0"/>
    <d v="1899-12-30T00:00:00"/>
    <n v="0"/>
  </r>
  <r>
    <x v="27"/>
    <x v="10"/>
    <x v="5"/>
    <n v="9"/>
    <d v="1899-12-30T00:09:54"/>
    <n v="9.9"/>
  </r>
  <r>
    <x v="27"/>
    <x v="11"/>
    <x v="0"/>
    <n v="19"/>
    <d v="1899-12-30T00:16:51"/>
    <n v="16.850000000000001"/>
  </r>
  <r>
    <x v="27"/>
    <x v="11"/>
    <x v="1"/>
    <n v="22"/>
    <d v="1899-12-30T00:28:31"/>
    <n v="28.516666666666666"/>
  </r>
  <r>
    <x v="27"/>
    <x v="11"/>
    <x v="2"/>
    <n v="13"/>
    <d v="1899-12-30T00:22:31"/>
    <n v="22.516666666666666"/>
  </r>
  <r>
    <x v="27"/>
    <x v="11"/>
    <x v="3"/>
    <n v="11"/>
    <d v="1899-12-30T00:06:44"/>
    <n v="6.7333333333333334"/>
  </r>
  <r>
    <x v="27"/>
    <x v="11"/>
    <x v="4"/>
    <n v="2"/>
    <d v="1899-12-30T00:02:13"/>
    <n v="2.2166666666666668"/>
  </r>
  <r>
    <x v="27"/>
    <x v="11"/>
    <x v="5"/>
    <n v="6"/>
    <d v="1899-12-30T00:07:52"/>
    <n v="7.8666666666666671"/>
  </r>
  <r>
    <x v="27"/>
    <x v="12"/>
    <x v="0"/>
    <n v="127"/>
    <d v="1899-12-30T02:29:15"/>
    <n v="149.25"/>
  </r>
  <r>
    <x v="27"/>
    <x v="12"/>
    <x v="1"/>
    <n v="107"/>
    <d v="1899-12-30T02:39:50"/>
    <n v="159.83333333333334"/>
  </r>
  <r>
    <x v="27"/>
    <x v="12"/>
    <x v="2"/>
    <n v="51"/>
    <d v="1899-12-30T01:36:17"/>
    <n v="96.283333333333331"/>
  </r>
  <r>
    <x v="27"/>
    <x v="12"/>
    <x v="3"/>
    <n v="33"/>
    <d v="1899-12-30T00:26:41"/>
    <n v="26.683333333333334"/>
  </r>
  <r>
    <x v="27"/>
    <x v="12"/>
    <x v="4"/>
    <n v="32"/>
    <d v="1899-12-30T00:43:05"/>
    <n v="43.083333333333336"/>
  </r>
  <r>
    <x v="27"/>
    <x v="12"/>
    <x v="5"/>
    <n v="36"/>
    <d v="1899-12-30T00:41:41"/>
    <n v="41.68333333333333"/>
  </r>
  <r>
    <x v="27"/>
    <x v="13"/>
    <x v="0"/>
    <n v="46"/>
    <d v="1899-12-30T00:43:01"/>
    <n v="43.016666666666666"/>
  </r>
  <r>
    <x v="27"/>
    <x v="13"/>
    <x v="1"/>
    <n v="40"/>
    <d v="1899-12-30T00:39:05"/>
    <n v="39.083333333333336"/>
  </r>
  <r>
    <x v="27"/>
    <x v="13"/>
    <x v="2"/>
    <n v="20"/>
    <d v="1899-12-30T00:27:50"/>
    <n v="27.833333333333332"/>
  </r>
  <r>
    <x v="27"/>
    <x v="13"/>
    <x v="3"/>
    <n v="13"/>
    <d v="1899-12-30T00:12:27"/>
    <n v="12.45"/>
  </r>
  <r>
    <x v="27"/>
    <x v="13"/>
    <x v="4"/>
    <n v="0"/>
    <d v="1899-12-30T00:00:00"/>
    <n v="0"/>
  </r>
  <r>
    <x v="27"/>
    <x v="13"/>
    <x v="5"/>
    <n v="28"/>
    <d v="1899-12-30T00:20:54"/>
    <n v="20.9"/>
  </r>
  <r>
    <x v="28"/>
    <x v="0"/>
    <x v="0"/>
    <n v="25"/>
    <d v="1899-12-30T00:28:11"/>
    <n v="28.183333333333334"/>
  </r>
  <r>
    <x v="28"/>
    <x v="0"/>
    <x v="1"/>
    <n v="21"/>
    <d v="1899-12-30T00:26:21"/>
    <n v="26.35"/>
  </r>
  <r>
    <x v="28"/>
    <x v="0"/>
    <x v="2"/>
    <n v="16"/>
    <d v="1899-12-30T00:17:58"/>
    <n v="17.966666666666665"/>
  </r>
  <r>
    <x v="28"/>
    <x v="0"/>
    <x v="3"/>
    <n v="4"/>
    <d v="1899-12-30T00:03:36"/>
    <n v="3.6"/>
  </r>
  <r>
    <x v="28"/>
    <x v="0"/>
    <x v="4"/>
    <n v="1"/>
    <d v="1899-12-30T00:01:04"/>
    <n v="1.0666666666666667"/>
  </r>
  <r>
    <x v="28"/>
    <x v="0"/>
    <x v="5"/>
    <n v="12"/>
    <d v="1899-12-30T00:12:09"/>
    <n v="12.15"/>
  </r>
  <r>
    <x v="28"/>
    <x v="1"/>
    <x v="0"/>
    <n v="61"/>
    <d v="1899-12-30T01:26:33"/>
    <n v="86.55"/>
  </r>
  <r>
    <x v="28"/>
    <x v="1"/>
    <x v="1"/>
    <n v="73"/>
    <d v="1899-12-30T02:08:42"/>
    <n v="128.69999999999999"/>
  </r>
  <r>
    <x v="28"/>
    <x v="1"/>
    <x v="2"/>
    <n v="52"/>
    <d v="1899-12-30T01:38:26"/>
    <n v="98.433333333333337"/>
  </r>
  <r>
    <x v="28"/>
    <x v="1"/>
    <x v="3"/>
    <n v="9"/>
    <d v="1899-12-30T00:08:22"/>
    <n v="8.3666666666666671"/>
  </r>
  <r>
    <x v="28"/>
    <x v="1"/>
    <x v="4"/>
    <n v="4"/>
    <d v="1899-12-30T00:07:06"/>
    <n v="7.1"/>
  </r>
  <r>
    <x v="28"/>
    <x v="1"/>
    <x v="5"/>
    <n v="27"/>
    <d v="1899-12-30T00:52:15"/>
    <n v="52.25"/>
  </r>
  <r>
    <x v="28"/>
    <x v="2"/>
    <x v="0"/>
    <n v="45"/>
    <d v="1899-12-30T01:04:47"/>
    <n v="64.783333333333331"/>
  </r>
  <r>
    <x v="28"/>
    <x v="2"/>
    <x v="1"/>
    <n v="37"/>
    <d v="1899-12-30T01:06:20"/>
    <n v="66.333333333333329"/>
  </r>
  <r>
    <x v="28"/>
    <x v="2"/>
    <x v="2"/>
    <n v="16"/>
    <d v="1899-12-30T00:28:07"/>
    <n v="28.116666666666667"/>
  </r>
  <r>
    <x v="28"/>
    <x v="2"/>
    <x v="3"/>
    <n v="16"/>
    <d v="1899-12-30T00:15:23"/>
    <n v="15.383333333333333"/>
  </r>
  <r>
    <x v="28"/>
    <x v="2"/>
    <x v="4"/>
    <n v="19"/>
    <d v="1899-12-30T00:20:06"/>
    <n v="20.100000000000001"/>
  </r>
  <r>
    <x v="28"/>
    <x v="2"/>
    <x v="5"/>
    <n v="14"/>
    <d v="1899-12-30T00:14:45"/>
    <n v="14.75"/>
  </r>
  <r>
    <x v="28"/>
    <x v="3"/>
    <x v="0"/>
    <n v="22"/>
    <d v="1899-12-30T00:31:28"/>
    <n v="31.466666666666665"/>
  </r>
  <r>
    <x v="28"/>
    <x v="3"/>
    <x v="1"/>
    <n v="18"/>
    <d v="1899-12-30T00:31:11"/>
    <n v="31.183333333333334"/>
  </r>
  <r>
    <x v="28"/>
    <x v="3"/>
    <x v="2"/>
    <n v="6"/>
    <d v="1899-12-30T00:10:40"/>
    <n v="10.666666666666666"/>
  </r>
  <r>
    <x v="28"/>
    <x v="3"/>
    <x v="3"/>
    <n v="1"/>
    <d v="1899-12-30T00:01:12"/>
    <n v="1.2"/>
  </r>
  <r>
    <x v="28"/>
    <x v="3"/>
    <x v="4"/>
    <n v="0"/>
    <d v="1899-12-30T00:00:00"/>
    <n v="0"/>
  </r>
  <r>
    <x v="28"/>
    <x v="3"/>
    <x v="5"/>
    <n v="3"/>
    <d v="1899-12-30T00:03:27"/>
    <n v="3.45"/>
  </r>
  <r>
    <x v="28"/>
    <x v="4"/>
    <x v="0"/>
    <n v="60"/>
    <d v="1899-12-30T01:20:59"/>
    <n v="80.983333333333334"/>
  </r>
  <r>
    <x v="28"/>
    <x v="4"/>
    <x v="1"/>
    <n v="52"/>
    <d v="1899-12-30T01:20:04"/>
    <n v="80.066666666666663"/>
  </r>
  <r>
    <x v="28"/>
    <x v="4"/>
    <x v="2"/>
    <n v="14"/>
    <d v="1899-12-30T00:20:44"/>
    <n v="20.733333333333334"/>
  </r>
  <r>
    <x v="28"/>
    <x v="4"/>
    <x v="3"/>
    <n v="9"/>
    <d v="1899-12-30T00:07:45"/>
    <n v="7.75"/>
  </r>
  <r>
    <x v="28"/>
    <x v="4"/>
    <x v="4"/>
    <n v="10"/>
    <d v="1899-12-30T00:17:18"/>
    <n v="17.3"/>
  </r>
  <r>
    <x v="28"/>
    <x v="4"/>
    <x v="5"/>
    <n v="11"/>
    <d v="1899-12-30T00:11:59"/>
    <n v="11.983333333333333"/>
  </r>
  <r>
    <x v="28"/>
    <x v="5"/>
    <x v="0"/>
    <n v="26"/>
    <d v="1899-12-30T00:30:20"/>
    <n v="30.333333333333332"/>
  </r>
  <r>
    <x v="28"/>
    <x v="5"/>
    <x v="1"/>
    <n v="19"/>
    <d v="1899-12-30T00:26:09"/>
    <n v="26.15"/>
  </r>
  <r>
    <x v="28"/>
    <x v="5"/>
    <x v="2"/>
    <n v="18"/>
    <d v="1899-12-30T00:25:23"/>
    <n v="25.383333333333333"/>
  </r>
  <r>
    <x v="28"/>
    <x v="5"/>
    <x v="3"/>
    <n v="10"/>
    <d v="1899-12-30T00:07:09"/>
    <n v="7.15"/>
  </r>
  <r>
    <x v="28"/>
    <x v="5"/>
    <x v="4"/>
    <n v="0"/>
    <d v="1899-12-30T00:00:00"/>
    <n v="0"/>
  </r>
  <r>
    <x v="28"/>
    <x v="5"/>
    <x v="5"/>
    <n v="12"/>
    <d v="1899-12-30T00:11:09"/>
    <n v="11.15"/>
  </r>
  <r>
    <x v="28"/>
    <x v="6"/>
    <x v="0"/>
    <n v="16"/>
    <d v="1899-12-30T00:29:22"/>
    <n v="29.366666666666667"/>
  </r>
  <r>
    <x v="28"/>
    <x v="6"/>
    <x v="1"/>
    <n v="8"/>
    <d v="1899-12-30T00:13:15"/>
    <n v="13.25"/>
  </r>
  <r>
    <x v="28"/>
    <x v="6"/>
    <x v="2"/>
    <n v="14"/>
    <d v="1899-12-30T00:26:37"/>
    <n v="26.616666666666667"/>
  </r>
  <r>
    <x v="28"/>
    <x v="6"/>
    <x v="3"/>
    <n v="4"/>
    <d v="1899-12-30T00:03:35"/>
    <n v="3.5833333333333335"/>
  </r>
  <r>
    <x v="28"/>
    <x v="6"/>
    <x v="4"/>
    <n v="10"/>
    <d v="1899-12-30T00:07:53"/>
    <n v="7.8833333333333329"/>
  </r>
  <r>
    <x v="28"/>
    <x v="6"/>
    <x v="5"/>
    <n v="6"/>
    <d v="1899-12-30T00:08:42"/>
    <n v="8.6999999999999993"/>
  </r>
  <r>
    <x v="28"/>
    <x v="7"/>
    <x v="0"/>
    <n v="108"/>
    <d v="1899-12-30T01:54:49"/>
    <n v="114.81666666666666"/>
  </r>
  <r>
    <x v="28"/>
    <x v="7"/>
    <x v="1"/>
    <n v="90"/>
    <d v="1899-12-30T01:59:51"/>
    <n v="119.85"/>
  </r>
  <r>
    <x v="28"/>
    <x v="7"/>
    <x v="2"/>
    <n v="82"/>
    <d v="1899-12-30T01:50:30"/>
    <n v="110.5"/>
  </r>
  <r>
    <x v="28"/>
    <x v="7"/>
    <x v="3"/>
    <n v="55"/>
    <d v="1899-12-30T00:47:22"/>
    <n v="47.366666666666667"/>
  </r>
  <r>
    <x v="28"/>
    <x v="7"/>
    <x v="4"/>
    <n v="182"/>
    <d v="1899-12-30T04:13:51"/>
    <n v="253.85"/>
  </r>
  <r>
    <x v="28"/>
    <x v="7"/>
    <x v="5"/>
    <n v="38"/>
    <d v="1899-12-30T00:34:55"/>
    <n v="34.916666666666664"/>
  </r>
  <r>
    <x v="28"/>
    <x v="8"/>
    <x v="0"/>
    <n v="27"/>
    <d v="1899-12-30T00:43:48"/>
    <n v="43.8"/>
  </r>
  <r>
    <x v="28"/>
    <x v="8"/>
    <x v="1"/>
    <n v="29"/>
    <d v="1899-12-30T00:43:31"/>
    <n v="43.516666666666666"/>
  </r>
  <r>
    <x v="28"/>
    <x v="8"/>
    <x v="2"/>
    <n v="21"/>
    <d v="1899-12-30T00:33:49"/>
    <n v="33.81666666666667"/>
  </r>
  <r>
    <x v="28"/>
    <x v="8"/>
    <x v="3"/>
    <n v="19"/>
    <d v="1899-12-30T00:21:14"/>
    <n v="21.233333333333334"/>
  </r>
  <r>
    <x v="28"/>
    <x v="8"/>
    <x v="4"/>
    <n v="21"/>
    <d v="1899-12-30T00:28:58"/>
    <n v="28.966666666666665"/>
  </r>
  <r>
    <x v="28"/>
    <x v="8"/>
    <x v="5"/>
    <n v="19"/>
    <d v="1899-12-30T00:18:23"/>
    <n v="18.383333333333333"/>
  </r>
  <r>
    <x v="28"/>
    <x v="9"/>
    <x v="0"/>
    <n v="148"/>
    <d v="1899-12-30T04:21:22"/>
    <n v="261.36666666666667"/>
  </r>
  <r>
    <x v="28"/>
    <x v="9"/>
    <x v="1"/>
    <n v="168"/>
    <d v="1899-12-30T05:00:11"/>
    <n v="300.18333333333334"/>
  </r>
  <r>
    <x v="28"/>
    <x v="9"/>
    <x v="2"/>
    <n v="126"/>
    <d v="1899-12-30T04:14:41"/>
    <n v="254.68333333333334"/>
  </r>
  <r>
    <x v="28"/>
    <x v="9"/>
    <x v="3"/>
    <n v="49"/>
    <d v="1899-12-30T01:02:21"/>
    <n v="62.35"/>
  </r>
  <r>
    <x v="28"/>
    <x v="9"/>
    <x v="4"/>
    <n v="38"/>
    <d v="1899-12-30T01:09:00"/>
    <n v="69"/>
  </r>
  <r>
    <x v="28"/>
    <x v="9"/>
    <x v="5"/>
    <n v="83"/>
    <d v="1899-12-30T01:52:54"/>
    <n v="112.9"/>
  </r>
  <r>
    <x v="28"/>
    <x v="10"/>
    <x v="0"/>
    <n v="32"/>
    <d v="1899-12-30T00:55:07"/>
    <n v="55.116666666666667"/>
  </r>
  <r>
    <x v="28"/>
    <x v="10"/>
    <x v="1"/>
    <n v="14"/>
    <d v="1899-12-30T00:24:06"/>
    <n v="24.1"/>
  </r>
  <r>
    <x v="28"/>
    <x v="10"/>
    <x v="2"/>
    <n v="10"/>
    <d v="1899-12-30T00:17:39"/>
    <n v="17.649999999999999"/>
  </r>
  <r>
    <x v="28"/>
    <x v="10"/>
    <x v="3"/>
    <n v="4"/>
    <d v="1899-12-30T00:02:33"/>
    <n v="2.5499999999999998"/>
  </r>
  <r>
    <x v="28"/>
    <x v="10"/>
    <x v="4"/>
    <n v="1"/>
    <d v="1899-12-30T00:01:38"/>
    <n v="1.6333333333333333"/>
  </r>
  <r>
    <x v="28"/>
    <x v="10"/>
    <x v="5"/>
    <n v="5"/>
    <d v="1899-12-30T00:06:04"/>
    <n v="6.0666666666666664"/>
  </r>
  <r>
    <x v="28"/>
    <x v="11"/>
    <x v="0"/>
    <n v="33"/>
    <d v="1899-12-30T00:53:22"/>
    <n v="53.366666666666667"/>
  </r>
  <r>
    <x v="28"/>
    <x v="11"/>
    <x v="1"/>
    <n v="12"/>
    <d v="1899-12-30T00:20:11"/>
    <n v="20.183333333333334"/>
  </r>
  <r>
    <x v="28"/>
    <x v="11"/>
    <x v="2"/>
    <n v="2"/>
    <d v="1899-12-30T00:04:18"/>
    <n v="4.3"/>
  </r>
  <r>
    <x v="28"/>
    <x v="11"/>
    <x v="3"/>
    <n v="6"/>
    <d v="1899-12-30T00:02:36"/>
    <n v="2.6"/>
  </r>
  <r>
    <x v="28"/>
    <x v="11"/>
    <x v="4"/>
    <n v="7"/>
    <d v="1899-12-30T00:12:27"/>
    <n v="12.45"/>
  </r>
  <r>
    <x v="28"/>
    <x v="11"/>
    <x v="5"/>
    <n v="6"/>
    <d v="1899-12-30T00:04:23"/>
    <n v="4.3833333333333337"/>
  </r>
  <r>
    <x v="28"/>
    <x v="12"/>
    <x v="0"/>
    <n v="167"/>
    <d v="1899-12-30T03:55:19"/>
    <n v="235.31666666666666"/>
  </r>
  <r>
    <x v="28"/>
    <x v="12"/>
    <x v="1"/>
    <n v="114"/>
    <d v="1899-12-30T02:55:24"/>
    <n v="175.4"/>
  </r>
  <r>
    <x v="28"/>
    <x v="12"/>
    <x v="2"/>
    <n v="89"/>
    <d v="1899-12-30T02:30:49"/>
    <n v="150.81666666666666"/>
  </r>
  <r>
    <x v="28"/>
    <x v="12"/>
    <x v="3"/>
    <n v="41"/>
    <d v="1899-12-30T00:37:17"/>
    <n v="37.283333333333331"/>
  </r>
  <r>
    <x v="28"/>
    <x v="12"/>
    <x v="4"/>
    <n v="49"/>
    <d v="1899-12-30T00:59:50"/>
    <n v="59.833333333333336"/>
  </r>
  <r>
    <x v="28"/>
    <x v="12"/>
    <x v="5"/>
    <n v="58"/>
    <d v="1899-12-30T00:53:44"/>
    <n v="53.733333333333334"/>
  </r>
  <r>
    <x v="28"/>
    <x v="13"/>
    <x v="0"/>
    <n v="58"/>
    <d v="1899-12-30T01:02:17"/>
    <n v="62.283333333333331"/>
  </r>
  <r>
    <x v="28"/>
    <x v="13"/>
    <x v="1"/>
    <n v="53"/>
    <d v="1899-12-30T00:56:47"/>
    <n v="56.783333333333331"/>
  </r>
  <r>
    <x v="28"/>
    <x v="13"/>
    <x v="2"/>
    <n v="29"/>
    <d v="1899-12-30T00:35:17"/>
    <n v="35.283333333333331"/>
  </r>
  <r>
    <x v="28"/>
    <x v="13"/>
    <x v="3"/>
    <n v="24"/>
    <d v="1899-12-30T00:25:22"/>
    <n v="25.366666666666667"/>
  </r>
  <r>
    <x v="28"/>
    <x v="13"/>
    <x v="4"/>
    <n v="3"/>
    <d v="1899-12-30T00:04:37"/>
    <n v="4.6166666666666671"/>
  </r>
  <r>
    <x v="28"/>
    <x v="13"/>
    <x v="5"/>
    <n v="27"/>
    <d v="1899-12-30T00:22:27"/>
    <n v="22.45"/>
  </r>
  <r>
    <x v="29"/>
    <x v="0"/>
    <x v="0"/>
    <n v="32"/>
    <d v="1899-12-30T00:40:09"/>
    <n v="40.15"/>
  </r>
  <r>
    <x v="29"/>
    <x v="0"/>
    <x v="1"/>
    <n v="19"/>
    <d v="1899-12-30T00:30:05"/>
    <n v="30.083333333333332"/>
  </r>
  <r>
    <x v="29"/>
    <x v="0"/>
    <x v="2"/>
    <n v="8"/>
    <d v="1899-12-30T00:10:57"/>
    <n v="10.95"/>
  </r>
  <r>
    <x v="29"/>
    <x v="0"/>
    <x v="3"/>
    <n v="2"/>
    <d v="1899-12-30T00:02:04"/>
    <n v="2.0666666666666669"/>
  </r>
  <r>
    <x v="29"/>
    <x v="0"/>
    <x v="4"/>
    <n v="2"/>
    <d v="1899-12-30T00:00:46"/>
    <n v="0.76666666666666672"/>
  </r>
  <r>
    <x v="29"/>
    <x v="0"/>
    <x v="5"/>
    <n v="4"/>
    <d v="1899-12-30T00:04:12"/>
    <n v="4.2"/>
  </r>
  <r>
    <x v="29"/>
    <x v="1"/>
    <x v="0"/>
    <n v="38"/>
    <d v="1899-12-30T00:58:11"/>
    <n v="58.18333333333333"/>
  </r>
  <r>
    <x v="29"/>
    <x v="1"/>
    <x v="1"/>
    <n v="43"/>
    <d v="1899-12-30T01:22:52"/>
    <n v="82.86666666666666"/>
  </r>
  <r>
    <x v="29"/>
    <x v="1"/>
    <x v="2"/>
    <n v="25"/>
    <d v="1899-12-30T00:52:18"/>
    <n v="52.3"/>
  </r>
  <r>
    <x v="29"/>
    <x v="1"/>
    <x v="3"/>
    <n v="20"/>
    <d v="1899-12-30T00:18:33"/>
    <n v="18.55"/>
  </r>
  <r>
    <x v="29"/>
    <x v="1"/>
    <x v="4"/>
    <n v="7"/>
    <d v="1899-12-30T00:06:41"/>
    <n v="6.6833333333333336"/>
  </r>
  <r>
    <x v="29"/>
    <x v="1"/>
    <x v="5"/>
    <n v="11"/>
    <d v="1899-12-30T00:13:43"/>
    <n v="13.716666666666667"/>
  </r>
  <r>
    <x v="29"/>
    <x v="2"/>
    <x v="0"/>
    <n v="46"/>
    <d v="1899-12-30T01:00:40"/>
    <n v="60.666666666666664"/>
  </r>
  <r>
    <x v="29"/>
    <x v="2"/>
    <x v="1"/>
    <n v="38"/>
    <d v="1899-12-30T01:15:46"/>
    <n v="75.766666666666666"/>
  </r>
  <r>
    <x v="29"/>
    <x v="2"/>
    <x v="2"/>
    <n v="24"/>
    <d v="1899-12-30T00:50:46"/>
    <n v="50.766666666666666"/>
  </r>
  <r>
    <x v="29"/>
    <x v="2"/>
    <x v="3"/>
    <n v="11"/>
    <d v="1899-12-30T00:13:14"/>
    <n v="13.233333333333333"/>
  </r>
  <r>
    <x v="29"/>
    <x v="2"/>
    <x v="4"/>
    <n v="8"/>
    <d v="1899-12-30T00:12:14"/>
    <n v="12.233333333333333"/>
  </r>
  <r>
    <x v="29"/>
    <x v="2"/>
    <x v="5"/>
    <n v="5"/>
    <d v="1899-12-30T00:06:26"/>
    <n v="6.4333333333333336"/>
  </r>
  <r>
    <x v="29"/>
    <x v="3"/>
    <x v="0"/>
    <n v="27"/>
    <d v="1899-12-30T00:42:46"/>
    <n v="42.766666666666666"/>
  </r>
  <r>
    <x v="29"/>
    <x v="3"/>
    <x v="1"/>
    <n v="27"/>
    <d v="1899-12-30T00:47:39"/>
    <n v="47.65"/>
  </r>
  <r>
    <x v="29"/>
    <x v="3"/>
    <x v="2"/>
    <n v="16"/>
    <d v="1899-12-30T00:27:20"/>
    <n v="27.333333333333332"/>
  </r>
  <r>
    <x v="29"/>
    <x v="3"/>
    <x v="3"/>
    <n v="8"/>
    <d v="1899-12-30T00:10:43"/>
    <n v="10.716666666666667"/>
  </r>
  <r>
    <x v="29"/>
    <x v="3"/>
    <x v="4"/>
    <n v="2"/>
    <d v="1899-12-30T00:04:54"/>
    <n v="4.9000000000000004"/>
  </r>
  <r>
    <x v="29"/>
    <x v="3"/>
    <x v="5"/>
    <n v="10"/>
    <d v="1899-12-30T00:11:07"/>
    <n v="11.116666666666667"/>
  </r>
  <r>
    <x v="29"/>
    <x v="4"/>
    <x v="0"/>
    <n v="38"/>
    <d v="1899-12-30T00:52:06"/>
    <n v="52.1"/>
  </r>
  <r>
    <x v="29"/>
    <x v="4"/>
    <x v="1"/>
    <n v="39"/>
    <d v="1899-12-30T00:49:24"/>
    <n v="49.4"/>
  </r>
  <r>
    <x v="29"/>
    <x v="4"/>
    <x v="2"/>
    <n v="25"/>
    <d v="1899-12-30T00:40:05"/>
    <n v="40.083333333333336"/>
  </r>
  <r>
    <x v="29"/>
    <x v="4"/>
    <x v="3"/>
    <n v="12"/>
    <d v="1899-12-30T00:06:28"/>
    <n v="6.4666666666666668"/>
  </r>
  <r>
    <x v="29"/>
    <x v="4"/>
    <x v="4"/>
    <n v="9"/>
    <d v="1899-12-30T00:12:52"/>
    <n v="12.866666666666667"/>
  </r>
  <r>
    <x v="29"/>
    <x v="4"/>
    <x v="5"/>
    <n v="10"/>
    <d v="1899-12-30T00:10:14"/>
    <n v="10.233333333333333"/>
  </r>
  <r>
    <x v="29"/>
    <x v="5"/>
    <x v="0"/>
    <n v="23"/>
    <d v="1899-12-30T00:29:31"/>
    <n v="29.516666666666666"/>
  </r>
  <r>
    <x v="29"/>
    <x v="5"/>
    <x v="1"/>
    <n v="14"/>
    <d v="1899-12-30T00:19:01"/>
    <n v="19.016666666666666"/>
  </r>
  <r>
    <x v="29"/>
    <x v="5"/>
    <x v="2"/>
    <n v="15"/>
    <d v="1899-12-30T00:19:14"/>
    <n v="19.233333333333334"/>
  </r>
  <r>
    <x v="29"/>
    <x v="5"/>
    <x v="3"/>
    <n v="13"/>
    <d v="1899-12-30T00:11:46"/>
    <n v="11.766666666666667"/>
  </r>
  <r>
    <x v="29"/>
    <x v="5"/>
    <x v="4"/>
    <n v="0"/>
    <d v="1899-12-30T00:00:00"/>
    <n v="0"/>
  </r>
  <r>
    <x v="29"/>
    <x v="5"/>
    <x v="5"/>
    <n v="12"/>
    <d v="1899-12-30T00:16:09"/>
    <n v="16.149999999999999"/>
  </r>
  <r>
    <x v="29"/>
    <x v="6"/>
    <x v="0"/>
    <n v="6"/>
    <d v="1899-12-30T00:05:46"/>
    <n v="5.7666666666666666"/>
  </r>
  <r>
    <x v="29"/>
    <x v="6"/>
    <x v="1"/>
    <n v="10"/>
    <d v="1899-12-30T00:16:14"/>
    <n v="16.233333333333334"/>
  </r>
  <r>
    <x v="29"/>
    <x v="6"/>
    <x v="2"/>
    <n v="4"/>
    <d v="1899-12-30T00:03:40"/>
    <n v="3.6666666666666665"/>
  </r>
  <r>
    <x v="29"/>
    <x v="6"/>
    <x v="3"/>
    <n v="3"/>
    <d v="1899-12-30T00:01:36"/>
    <n v="1.6"/>
  </r>
  <r>
    <x v="29"/>
    <x v="6"/>
    <x v="4"/>
    <n v="3"/>
    <d v="1899-12-30T00:06:52"/>
    <n v="6.8666666666666671"/>
  </r>
  <r>
    <x v="29"/>
    <x v="6"/>
    <x v="5"/>
    <n v="2"/>
    <d v="1899-12-30T00:02:47"/>
    <n v="2.7833333333333332"/>
  </r>
  <r>
    <x v="29"/>
    <x v="7"/>
    <x v="0"/>
    <n v="95"/>
    <d v="1899-12-30T01:57:46"/>
    <n v="117.76666666666667"/>
  </r>
  <r>
    <x v="29"/>
    <x v="7"/>
    <x v="1"/>
    <n v="76"/>
    <d v="1899-12-30T01:38:56"/>
    <n v="98.933333333333337"/>
  </r>
  <r>
    <x v="29"/>
    <x v="7"/>
    <x v="2"/>
    <n v="68"/>
    <d v="1899-12-30T01:51:38"/>
    <n v="111.63333333333334"/>
  </r>
  <r>
    <x v="29"/>
    <x v="7"/>
    <x v="3"/>
    <n v="48"/>
    <d v="1899-12-30T00:40:55"/>
    <n v="40.916666666666664"/>
  </r>
  <r>
    <x v="29"/>
    <x v="7"/>
    <x v="4"/>
    <n v="123"/>
    <d v="1899-12-30T03:15:08"/>
    <n v="195.13333333333333"/>
  </r>
  <r>
    <x v="29"/>
    <x v="7"/>
    <x v="5"/>
    <n v="30"/>
    <d v="1899-12-30T00:40:24"/>
    <n v="40.4"/>
  </r>
  <r>
    <x v="29"/>
    <x v="8"/>
    <x v="0"/>
    <n v="42"/>
    <d v="1899-12-30T00:46:23"/>
    <n v="46.383333333333333"/>
  </r>
  <r>
    <x v="29"/>
    <x v="8"/>
    <x v="1"/>
    <n v="47"/>
    <d v="1899-12-30T01:06:15"/>
    <n v="66.25"/>
  </r>
  <r>
    <x v="29"/>
    <x v="8"/>
    <x v="2"/>
    <n v="30"/>
    <d v="1899-12-30T00:46:05"/>
    <n v="46.083333333333336"/>
  </r>
  <r>
    <x v="29"/>
    <x v="8"/>
    <x v="3"/>
    <n v="29"/>
    <d v="1899-12-30T00:29:44"/>
    <n v="29.733333333333334"/>
  </r>
  <r>
    <x v="29"/>
    <x v="8"/>
    <x v="4"/>
    <n v="17"/>
    <d v="1899-12-30T00:18:29"/>
    <n v="18.483333333333334"/>
  </r>
  <r>
    <x v="29"/>
    <x v="8"/>
    <x v="5"/>
    <n v="22"/>
    <d v="1899-12-30T00:21:24"/>
    <n v="21.4"/>
  </r>
  <r>
    <x v="29"/>
    <x v="9"/>
    <x v="0"/>
    <n v="96"/>
    <d v="1899-12-30T02:57:11"/>
    <n v="177.18333333333334"/>
  </r>
  <r>
    <x v="29"/>
    <x v="9"/>
    <x v="1"/>
    <n v="97"/>
    <d v="1899-12-30T02:40:41"/>
    <n v="160.68333333333334"/>
  </r>
  <r>
    <x v="29"/>
    <x v="9"/>
    <x v="2"/>
    <n v="64"/>
    <d v="1899-12-30T02:04:47"/>
    <n v="124.78333333333333"/>
  </r>
  <r>
    <x v="29"/>
    <x v="9"/>
    <x v="3"/>
    <n v="34"/>
    <d v="1899-12-30T00:39:58"/>
    <n v="39.966666666666669"/>
  </r>
  <r>
    <x v="29"/>
    <x v="9"/>
    <x v="4"/>
    <n v="18"/>
    <d v="1899-12-30T00:33:37"/>
    <n v="33.616666666666667"/>
  </r>
  <r>
    <x v="29"/>
    <x v="9"/>
    <x v="5"/>
    <n v="43"/>
    <d v="1899-12-30T00:57:23"/>
    <n v="57.383333333333333"/>
  </r>
  <r>
    <x v="29"/>
    <x v="10"/>
    <x v="0"/>
    <n v="27"/>
    <d v="1899-12-30T00:45:05"/>
    <n v="45.083333333333336"/>
  </r>
  <r>
    <x v="29"/>
    <x v="10"/>
    <x v="1"/>
    <n v="15"/>
    <d v="1899-12-30T00:30:04"/>
    <n v="30.066666666666666"/>
  </r>
  <r>
    <x v="29"/>
    <x v="10"/>
    <x v="2"/>
    <n v="8"/>
    <d v="1899-12-30T00:12:44"/>
    <n v="12.733333333333333"/>
  </r>
  <r>
    <x v="29"/>
    <x v="10"/>
    <x v="3"/>
    <n v="8"/>
    <d v="1899-12-30T00:08:45"/>
    <n v="8.75"/>
  </r>
  <r>
    <x v="29"/>
    <x v="10"/>
    <x v="4"/>
    <n v="5"/>
    <d v="1899-12-30T00:05:45"/>
    <n v="5.75"/>
  </r>
  <r>
    <x v="29"/>
    <x v="10"/>
    <x v="5"/>
    <n v="5"/>
    <d v="1899-12-30T00:07:05"/>
    <n v="7.083333333333333"/>
  </r>
  <r>
    <x v="29"/>
    <x v="11"/>
    <x v="0"/>
    <n v="19"/>
    <d v="1899-12-30T00:23:11"/>
    <n v="23.183333333333334"/>
  </r>
  <r>
    <x v="29"/>
    <x v="11"/>
    <x v="1"/>
    <n v="11"/>
    <d v="1899-12-30T00:12:01"/>
    <n v="12.016666666666667"/>
  </r>
  <r>
    <x v="29"/>
    <x v="11"/>
    <x v="2"/>
    <n v="4"/>
    <d v="1899-12-30T00:07:26"/>
    <n v="7.4333333333333336"/>
  </r>
  <r>
    <x v="29"/>
    <x v="11"/>
    <x v="3"/>
    <n v="7"/>
    <d v="1899-12-30T00:04:43"/>
    <n v="4.7166666666666668"/>
  </r>
  <r>
    <x v="29"/>
    <x v="11"/>
    <x v="4"/>
    <n v="4"/>
    <d v="1899-12-30T00:04:38"/>
    <n v="4.6333333333333329"/>
  </r>
  <r>
    <x v="29"/>
    <x v="11"/>
    <x v="5"/>
    <n v="6"/>
    <d v="1899-12-30T00:04:31"/>
    <n v="4.5166666666666666"/>
  </r>
  <r>
    <x v="29"/>
    <x v="12"/>
    <x v="0"/>
    <n v="137"/>
    <d v="1899-12-30T03:09:56"/>
    <n v="189.93333333333334"/>
  </r>
  <r>
    <x v="29"/>
    <x v="12"/>
    <x v="1"/>
    <n v="93"/>
    <d v="1899-12-30T02:26:33"/>
    <n v="146.55000000000001"/>
  </r>
  <r>
    <x v="29"/>
    <x v="12"/>
    <x v="2"/>
    <n v="60"/>
    <d v="1899-12-30T01:42:39"/>
    <n v="102.65"/>
  </r>
  <r>
    <x v="29"/>
    <x v="12"/>
    <x v="3"/>
    <n v="55"/>
    <d v="1899-12-30T00:47:06"/>
    <n v="47.1"/>
  </r>
  <r>
    <x v="29"/>
    <x v="12"/>
    <x v="4"/>
    <n v="33"/>
    <d v="1899-12-30T00:45:14"/>
    <n v="45.233333333333334"/>
  </r>
  <r>
    <x v="29"/>
    <x v="12"/>
    <x v="5"/>
    <n v="51"/>
    <d v="1899-12-30T00:57:14"/>
    <n v="57.233333333333334"/>
  </r>
  <r>
    <x v="29"/>
    <x v="13"/>
    <x v="0"/>
    <n v="69"/>
    <d v="1899-12-30T01:02:39"/>
    <n v="62.65"/>
  </r>
  <r>
    <x v="29"/>
    <x v="13"/>
    <x v="1"/>
    <n v="59"/>
    <d v="1899-12-30T01:02:52"/>
    <n v="62.866666666666667"/>
  </r>
  <r>
    <x v="29"/>
    <x v="13"/>
    <x v="2"/>
    <n v="34"/>
    <d v="1899-12-30T00:35:13"/>
    <n v="35.216666666666669"/>
  </r>
  <r>
    <x v="29"/>
    <x v="13"/>
    <x v="3"/>
    <n v="27"/>
    <d v="1899-12-30T00:23:40"/>
    <n v="23.666666666666668"/>
  </r>
  <r>
    <x v="29"/>
    <x v="13"/>
    <x v="4"/>
    <n v="2"/>
    <d v="1899-12-30T00:00:41"/>
    <n v="0.68333333333333335"/>
  </r>
  <r>
    <x v="29"/>
    <x v="13"/>
    <x v="5"/>
    <n v="28"/>
    <d v="1899-12-30T00:22:18"/>
    <n v="22.3"/>
  </r>
  <r>
    <x v="30"/>
    <x v="0"/>
    <x v="0"/>
    <n v="65"/>
    <d v="1899-12-30T01:23:51"/>
    <n v="83.85"/>
  </r>
  <r>
    <x v="30"/>
    <x v="0"/>
    <x v="1"/>
    <n v="59"/>
    <d v="1899-12-30T01:16:53"/>
    <n v="76.88333333333334"/>
  </r>
  <r>
    <x v="30"/>
    <x v="0"/>
    <x v="2"/>
    <n v="36"/>
    <d v="1899-12-30T00:53:41"/>
    <n v="53.68333333333333"/>
  </r>
  <r>
    <x v="30"/>
    <x v="0"/>
    <x v="3"/>
    <n v="16"/>
    <d v="1899-12-30T00:11:33"/>
    <n v="11.55"/>
  </r>
  <r>
    <x v="30"/>
    <x v="0"/>
    <x v="4"/>
    <n v="20"/>
    <d v="1899-12-30T00:15:11"/>
    <n v="15.183333333333334"/>
  </r>
  <r>
    <x v="30"/>
    <x v="0"/>
    <x v="5"/>
    <n v="26"/>
    <d v="1899-12-30T00:29:46"/>
    <n v="29.766666666666666"/>
  </r>
  <r>
    <x v="30"/>
    <x v="1"/>
    <x v="0"/>
    <n v="53"/>
    <d v="1899-12-30T01:31:45"/>
    <n v="91.75"/>
  </r>
  <r>
    <x v="30"/>
    <x v="1"/>
    <x v="1"/>
    <n v="84"/>
    <d v="1899-12-30T02:40:04"/>
    <n v="160.06666666666666"/>
  </r>
  <r>
    <x v="30"/>
    <x v="1"/>
    <x v="2"/>
    <n v="55"/>
    <d v="1899-12-30T01:45:29"/>
    <n v="105.48333333333333"/>
  </r>
  <r>
    <x v="30"/>
    <x v="1"/>
    <x v="3"/>
    <n v="15"/>
    <d v="1899-12-30T00:13:02"/>
    <n v="13.033333333333333"/>
  </r>
  <r>
    <x v="30"/>
    <x v="1"/>
    <x v="4"/>
    <n v="1"/>
    <d v="1899-12-30T00:00:21"/>
    <n v="0.35"/>
  </r>
  <r>
    <x v="30"/>
    <x v="1"/>
    <x v="5"/>
    <n v="24"/>
    <d v="1899-12-30T00:31:26"/>
    <n v="31.433333333333334"/>
  </r>
  <r>
    <x v="30"/>
    <x v="2"/>
    <x v="0"/>
    <n v="65"/>
    <d v="1899-12-30T01:39:15"/>
    <n v="99.25"/>
  </r>
  <r>
    <x v="30"/>
    <x v="2"/>
    <x v="1"/>
    <n v="49"/>
    <d v="1899-12-30T01:18:03"/>
    <n v="78.05"/>
  </r>
  <r>
    <x v="30"/>
    <x v="2"/>
    <x v="2"/>
    <n v="47"/>
    <d v="1899-12-30T01:22:00"/>
    <n v="82"/>
  </r>
  <r>
    <x v="30"/>
    <x v="2"/>
    <x v="3"/>
    <n v="14"/>
    <d v="1899-12-30T00:12:05"/>
    <n v="12.083333333333334"/>
  </r>
  <r>
    <x v="30"/>
    <x v="2"/>
    <x v="4"/>
    <n v="29"/>
    <d v="1899-12-30T00:54:29"/>
    <n v="54.483333333333334"/>
  </r>
  <r>
    <x v="30"/>
    <x v="2"/>
    <x v="5"/>
    <n v="16"/>
    <d v="1899-12-30T00:19:49"/>
    <n v="19.816666666666666"/>
  </r>
  <r>
    <x v="30"/>
    <x v="3"/>
    <x v="0"/>
    <n v="16"/>
    <d v="1899-12-30T00:24:16"/>
    <n v="24.266666666666666"/>
  </r>
  <r>
    <x v="30"/>
    <x v="3"/>
    <x v="1"/>
    <n v="9"/>
    <d v="1899-12-30T00:18:24"/>
    <n v="18.399999999999999"/>
  </r>
  <r>
    <x v="30"/>
    <x v="3"/>
    <x v="2"/>
    <n v="7"/>
    <d v="1899-12-30T00:13:25"/>
    <n v="13.416666666666666"/>
  </r>
  <r>
    <x v="30"/>
    <x v="3"/>
    <x v="3"/>
    <n v="2"/>
    <d v="1899-12-30T00:02:15"/>
    <n v="2.25"/>
  </r>
  <r>
    <x v="30"/>
    <x v="3"/>
    <x v="4"/>
    <n v="3"/>
    <d v="1899-12-30T00:08:54"/>
    <n v="8.9"/>
  </r>
  <r>
    <x v="30"/>
    <x v="3"/>
    <x v="5"/>
    <n v="5"/>
    <d v="1899-12-30T00:05:39"/>
    <n v="5.65"/>
  </r>
  <r>
    <x v="30"/>
    <x v="4"/>
    <x v="0"/>
    <n v="62"/>
    <d v="1899-12-30T01:25:54"/>
    <n v="85.9"/>
  </r>
  <r>
    <x v="30"/>
    <x v="4"/>
    <x v="1"/>
    <n v="55"/>
    <d v="1899-12-30T01:22:11"/>
    <n v="82.183333333333337"/>
  </r>
  <r>
    <x v="30"/>
    <x v="4"/>
    <x v="2"/>
    <n v="24"/>
    <d v="1899-12-30T00:35:35"/>
    <n v="35.583333333333336"/>
  </r>
  <r>
    <x v="30"/>
    <x v="4"/>
    <x v="3"/>
    <n v="7"/>
    <d v="1899-12-30T00:03:51"/>
    <n v="3.85"/>
  </r>
  <r>
    <x v="30"/>
    <x v="4"/>
    <x v="4"/>
    <n v="17"/>
    <d v="1899-12-30T00:21:55"/>
    <n v="21.916666666666668"/>
  </r>
  <r>
    <x v="30"/>
    <x v="4"/>
    <x v="5"/>
    <n v="27"/>
    <d v="1899-12-30T00:29:47"/>
    <n v="29.783333333333335"/>
  </r>
  <r>
    <x v="30"/>
    <x v="5"/>
    <x v="0"/>
    <n v="28"/>
    <d v="1899-12-30T00:33:13"/>
    <n v="33.216666666666669"/>
  </r>
  <r>
    <x v="30"/>
    <x v="5"/>
    <x v="1"/>
    <n v="18"/>
    <d v="1899-12-30T00:24:11"/>
    <n v="24.183333333333334"/>
  </r>
  <r>
    <x v="30"/>
    <x v="5"/>
    <x v="2"/>
    <n v="19"/>
    <d v="1899-12-30T00:25:44"/>
    <n v="25.733333333333334"/>
  </r>
  <r>
    <x v="30"/>
    <x v="5"/>
    <x v="3"/>
    <n v="10"/>
    <d v="1899-12-30T00:09:39"/>
    <n v="9.65"/>
  </r>
  <r>
    <x v="30"/>
    <x v="5"/>
    <x v="4"/>
    <n v="4"/>
    <d v="1899-12-30T00:03:04"/>
    <n v="3.0666666666666669"/>
  </r>
  <r>
    <x v="30"/>
    <x v="5"/>
    <x v="5"/>
    <n v="9"/>
    <d v="1899-12-30T00:07:13"/>
    <n v="7.2166666666666668"/>
  </r>
  <r>
    <x v="30"/>
    <x v="6"/>
    <x v="0"/>
    <n v="13"/>
    <d v="1899-12-30T00:20:10"/>
    <n v="20.166666666666668"/>
  </r>
  <r>
    <x v="30"/>
    <x v="6"/>
    <x v="1"/>
    <n v="8"/>
    <d v="1899-12-30T00:13:16"/>
    <n v="13.266666666666667"/>
  </r>
  <r>
    <x v="30"/>
    <x v="6"/>
    <x v="2"/>
    <n v="6"/>
    <d v="1899-12-30T00:07:45"/>
    <n v="7.75"/>
  </r>
  <r>
    <x v="30"/>
    <x v="6"/>
    <x v="3"/>
    <n v="4"/>
    <d v="1899-12-30T00:05:26"/>
    <n v="5.4333333333333336"/>
  </r>
  <r>
    <x v="30"/>
    <x v="6"/>
    <x v="4"/>
    <n v="4"/>
    <d v="1899-12-30T00:02:36"/>
    <n v="2.6"/>
  </r>
  <r>
    <x v="30"/>
    <x v="6"/>
    <x v="5"/>
    <n v="4"/>
    <d v="1899-12-30T00:03:33"/>
    <n v="3.55"/>
  </r>
  <r>
    <x v="30"/>
    <x v="7"/>
    <x v="0"/>
    <n v="101"/>
    <d v="1899-12-30T02:07:34"/>
    <n v="127.56666666666666"/>
  </r>
  <r>
    <x v="30"/>
    <x v="7"/>
    <x v="1"/>
    <n v="75"/>
    <d v="1899-12-30T01:39:54"/>
    <n v="99.9"/>
  </r>
  <r>
    <x v="30"/>
    <x v="7"/>
    <x v="2"/>
    <n v="84"/>
    <d v="1899-12-30T02:23:47"/>
    <n v="143.78333333333333"/>
  </r>
  <r>
    <x v="30"/>
    <x v="7"/>
    <x v="3"/>
    <n v="49"/>
    <d v="1899-12-30T00:36:22"/>
    <n v="36.366666666666667"/>
  </r>
  <r>
    <x v="30"/>
    <x v="7"/>
    <x v="4"/>
    <n v="168"/>
    <d v="1899-12-30T03:28:09"/>
    <n v="208.15"/>
  </r>
  <r>
    <x v="30"/>
    <x v="7"/>
    <x v="5"/>
    <n v="26"/>
    <d v="1899-12-30T00:31:50"/>
    <n v="31.833333333333332"/>
  </r>
  <r>
    <x v="30"/>
    <x v="8"/>
    <x v="0"/>
    <n v="58"/>
    <d v="1899-12-30T01:20:41"/>
    <n v="80.683333333333337"/>
  </r>
  <r>
    <x v="30"/>
    <x v="8"/>
    <x v="1"/>
    <n v="62"/>
    <d v="1899-12-30T01:39:00"/>
    <n v="99"/>
  </r>
  <r>
    <x v="30"/>
    <x v="8"/>
    <x v="2"/>
    <n v="48"/>
    <d v="1899-12-30T01:23:55"/>
    <n v="83.916666666666671"/>
  </r>
  <r>
    <x v="30"/>
    <x v="8"/>
    <x v="3"/>
    <n v="37"/>
    <d v="1899-12-30T00:38:44"/>
    <n v="38.733333333333334"/>
  </r>
  <r>
    <x v="30"/>
    <x v="8"/>
    <x v="4"/>
    <n v="22"/>
    <d v="1899-12-30T00:30:58"/>
    <n v="30.966666666666665"/>
  </r>
  <r>
    <x v="30"/>
    <x v="8"/>
    <x v="5"/>
    <n v="30"/>
    <d v="1899-12-30T00:35:45"/>
    <n v="35.75"/>
  </r>
  <r>
    <x v="30"/>
    <x v="9"/>
    <x v="0"/>
    <n v="48"/>
    <d v="1899-12-30T01:15:31"/>
    <n v="75.516666666666666"/>
  </r>
  <r>
    <x v="30"/>
    <x v="9"/>
    <x v="1"/>
    <n v="37"/>
    <d v="1899-12-30T01:01:04"/>
    <n v="61.06666666666667"/>
  </r>
  <r>
    <x v="30"/>
    <x v="9"/>
    <x v="2"/>
    <n v="32"/>
    <d v="1899-12-30T01:01:45"/>
    <n v="61.75"/>
  </r>
  <r>
    <x v="30"/>
    <x v="9"/>
    <x v="3"/>
    <n v="7"/>
    <d v="1899-12-30T00:09:50"/>
    <n v="9.8333333333333339"/>
  </r>
  <r>
    <x v="30"/>
    <x v="9"/>
    <x v="4"/>
    <n v="10"/>
    <d v="1899-12-30T00:11:48"/>
    <n v="11.8"/>
  </r>
  <r>
    <x v="30"/>
    <x v="9"/>
    <x v="5"/>
    <n v="16"/>
    <d v="1899-12-30T00:18:18"/>
    <n v="18.3"/>
  </r>
  <r>
    <x v="30"/>
    <x v="10"/>
    <x v="0"/>
    <n v="22"/>
    <d v="1899-12-30T00:32:37"/>
    <n v="32.616666666666667"/>
  </r>
  <r>
    <x v="30"/>
    <x v="10"/>
    <x v="1"/>
    <n v="18"/>
    <d v="1899-12-30T00:31:25"/>
    <n v="31.416666666666668"/>
  </r>
  <r>
    <x v="30"/>
    <x v="10"/>
    <x v="2"/>
    <n v="15"/>
    <d v="1899-12-30T00:29:41"/>
    <n v="29.683333333333334"/>
  </r>
  <r>
    <x v="30"/>
    <x v="10"/>
    <x v="3"/>
    <n v="8"/>
    <d v="1899-12-30T00:08:33"/>
    <n v="8.5500000000000007"/>
  </r>
  <r>
    <x v="30"/>
    <x v="10"/>
    <x v="4"/>
    <n v="5"/>
    <d v="1899-12-30T00:08:07"/>
    <n v="8.1166666666666671"/>
  </r>
  <r>
    <x v="30"/>
    <x v="10"/>
    <x v="5"/>
    <n v="14"/>
    <d v="1899-12-30T00:15:29"/>
    <n v="15.483333333333333"/>
  </r>
  <r>
    <x v="30"/>
    <x v="11"/>
    <x v="0"/>
    <n v="23"/>
    <d v="1899-12-30T00:36:26"/>
    <n v="36.43333333333333"/>
  </r>
  <r>
    <x v="30"/>
    <x v="11"/>
    <x v="1"/>
    <n v="24"/>
    <d v="1899-12-30T00:41:02"/>
    <n v="41.033333333333331"/>
  </r>
  <r>
    <x v="30"/>
    <x v="11"/>
    <x v="2"/>
    <n v="4"/>
    <d v="1899-12-30T00:03:14"/>
    <n v="3.2333333333333334"/>
  </r>
  <r>
    <x v="30"/>
    <x v="11"/>
    <x v="3"/>
    <n v="10"/>
    <d v="1899-12-30T00:03:02"/>
    <n v="3.0333333333333332"/>
  </r>
  <r>
    <x v="30"/>
    <x v="11"/>
    <x v="4"/>
    <n v="8"/>
    <d v="1899-12-30T00:06:49"/>
    <n v="6.8166666666666664"/>
  </r>
  <r>
    <x v="30"/>
    <x v="11"/>
    <x v="5"/>
    <n v="9"/>
    <d v="1899-12-30T00:10:55"/>
    <n v="10.916666666666666"/>
  </r>
  <r>
    <x v="30"/>
    <x v="12"/>
    <x v="0"/>
    <n v="169"/>
    <d v="1899-12-30T03:57:06"/>
    <n v="237.1"/>
  </r>
  <r>
    <x v="30"/>
    <x v="12"/>
    <x v="1"/>
    <n v="146"/>
    <d v="1899-12-30T03:25:05"/>
    <n v="205.08333333333334"/>
  </r>
  <r>
    <x v="30"/>
    <x v="12"/>
    <x v="2"/>
    <n v="90"/>
    <d v="1899-12-30T02:26:55"/>
    <n v="146.91666666666666"/>
  </r>
  <r>
    <x v="30"/>
    <x v="12"/>
    <x v="3"/>
    <n v="42"/>
    <d v="1899-12-30T00:35:51"/>
    <n v="35.85"/>
  </r>
  <r>
    <x v="30"/>
    <x v="12"/>
    <x v="4"/>
    <n v="43"/>
    <d v="1899-12-30T01:16:43"/>
    <n v="76.716666666666669"/>
  </r>
  <r>
    <x v="30"/>
    <x v="12"/>
    <x v="5"/>
    <n v="69"/>
    <d v="1899-12-30T01:26:22"/>
    <n v="86.36666666666666"/>
  </r>
  <r>
    <x v="30"/>
    <x v="13"/>
    <x v="0"/>
    <n v="105"/>
    <d v="1899-12-30T02:07:25"/>
    <n v="127.41666666666667"/>
  </r>
  <r>
    <x v="30"/>
    <x v="13"/>
    <x v="1"/>
    <n v="112"/>
    <d v="1899-12-30T02:48:49"/>
    <n v="168.81666666666666"/>
  </r>
  <r>
    <x v="30"/>
    <x v="13"/>
    <x v="2"/>
    <n v="76"/>
    <d v="1899-12-30T01:49:56"/>
    <n v="109.93333333333334"/>
  </r>
  <r>
    <x v="30"/>
    <x v="13"/>
    <x v="3"/>
    <n v="33"/>
    <d v="1899-12-30T00:25:46"/>
    <n v="25.766666666666666"/>
  </r>
  <r>
    <x v="30"/>
    <x v="13"/>
    <x v="4"/>
    <n v="10"/>
    <d v="1899-12-30T00:19:01"/>
    <n v="19.016666666666666"/>
  </r>
  <r>
    <x v="30"/>
    <x v="13"/>
    <x v="5"/>
    <n v="43"/>
    <d v="1899-12-30T00:36:13"/>
    <n v="36.216666666666669"/>
  </r>
  <r>
    <x v="31"/>
    <x v="0"/>
    <x v="0"/>
    <n v="69"/>
    <d v="1899-12-30T01:32:58"/>
    <n v="92.966666666666669"/>
  </r>
  <r>
    <x v="31"/>
    <x v="0"/>
    <x v="1"/>
    <n v="65"/>
    <d v="1899-12-30T01:31:17"/>
    <n v="91.283333333333331"/>
  </r>
  <r>
    <x v="31"/>
    <x v="0"/>
    <x v="2"/>
    <n v="42"/>
    <d v="1899-12-30T01:13:55"/>
    <n v="73.916666666666671"/>
  </r>
  <r>
    <x v="31"/>
    <x v="0"/>
    <x v="3"/>
    <n v="17"/>
    <d v="1899-12-30T00:15:40"/>
    <n v="15.666666666666666"/>
  </r>
  <r>
    <x v="31"/>
    <x v="0"/>
    <x v="4"/>
    <n v="32"/>
    <d v="1899-12-30T00:37:03"/>
    <n v="37.049999999999997"/>
  </r>
  <r>
    <x v="31"/>
    <x v="0"/>
    <x v="5"/>
    <n v="39"/>
    <d v="1899-12-30T00:46:25"/>
    <n v="46.416666666666664"/>
  </r>
  <r>
    <x v="31"/>
    <x v="1"/>
    <x v="0"/>
    <n v="52"/>
    <d v="1899-12-30T01:25:58"/>
    <n v="85.966666666666669"/>
  </r>
  <r>
    <x v="31"/>
    <x v="1"/>
    <x v="1"/>
    <n v="45"/>
    <d v="1899-12-30T01:32:34"/>
    <n v="92.566666666666663"/>
  </r>
  <r>
    <x v="31"/>
    <x v="1"/>
    <x v="2"/>
    <n v="22"/>
    <d v="1899-12-30T00:42:24"/>
    <n v="42.4"/>
  </r>
  <r>
    <x v="31"/>
    <x v="1"/>
    <x v="3"/>
    <n v="6"/>
    <d v="1899-12-30T00:05:05"/>
    <n v="5.083333333333333"/>
  </r>
  <r>
    <x v="31"/>
    <x v="1"/>
    <x v="4"/>
    <n v="7"/>
    <d v="1899-12-30T00:05:40"/>
    <n v="5.666666666666667"/>
  </r>
  <r>
    <x v="31"/>
    <x v="1"/>
    <x v="5"/>
    <n v="12"/>
    <d v="1899-12-30T00:19:30"/>
    <n v="19.5"/>
  </r>
  <r>
    <x v="31"/>
    <x v="2"/>
    <x v="0"/>
    <n v="57"/>
    <d v="1899-12-30T01:29:48"/>
    <n v="89.8"/>
  </r>
  <r>
    <x v="31"/>
    <x v="2"/>
    <x v="1"/>
    <n v="55"/>
    <d v="1899-12-30T01:46:46"/>
    <n v="106.76666666666667"/>
  </r>
  <r>
    <x v="31"/>
    <x v="2"/>
    <x v="2"/>
    <n v="42"/>
    <d v="1899-12-30T01:19:08"/>
    <n v="79.13333333333334"/>
  </r>
  <r>
    <x v="31"/>
    <x v="2"/>
    <x v="3"/>
    <n v="15"/>
    <d v="1899-12-30T00:18:11"/>
    <n v="18.183333333333334"/>
  </r>
  <r>
    <x v="31"/>
    <x v="2"/>
    <x v="4"/>
    <n v="23"/>
    <d v="1899-12-30T00:36:27"/>
    <n v="36.450000000000003"/>
  </r>
  <r>
    <x v="31"/>
    <x v="2"/>
    <x v="5"/>
    <n v="12"/>
    <d v="1899-12-30T00:17:16"/>
    <n v="17.266666666666666"/>
  </r>
  <r>
    <x v="31"/>
    <x v="3"/>
    <x v="0"/>
    <n v="24"/>
    <d v="1899-12-30T00:36:16"/>
    <n v="36.266666666666666"/>
  </r>
  <r>
    <x v="31"/>
    <x v="3"/>
    <x v="1"/>
    <n v="21"/>
    <d v="1899-12-30T00:33:48"/>
    <n v="33.799999999999997"/>
  </r>
  <r>
    <x v="31"/>
    <x v="3"/>
    <x v="2"/>
    <n v="9"/>
    <d v="1899-12-30T00:13:33"/>
    <n v="13.55"/>
  </r>
  <r>
    <x v="31"/>
    <x v="3"/>
    <x v="3"/>
    <n v="2"/>
    <d v="1899-12-30T00:02:22"/>
    <n v="2.3666666666666667"/>
  </r>
  <r>
    <x v="31"/>
    <x v="3"/>
    <x v="4"/>
    <n v="1"/>
    <d v="1899-12-30T00:03:10"/>
    <n v="3.1666666666666665"/>
  </r>
  <r>
    <x v="31"/>
    <x v="3"/>
    <x v="5"/>
    <n v="7"/>
    <d v="1899-12-30T00:08:34"/>
    <n v="8.5666666666666664"/>
  </r>
  <r>
    <x v="31"/>
    <x v="4"/>
    <x v="0"/>
    <n v="53"/>
    <d v="1899-12-30T01:11:48"/>
    <n v="71.8"/>
  </r>
  <r>
    <x v="31"/>
    <x v="4"/>
    <x v="1"/>
    <n v="36"/>
    <d v="1899-12-30T00:50:27"/>
    <n v="50.45"/>
  </r>
  <r>
    <x v="31"/>
    <x v="4"/>
    <x v="2"/>
    <n v="15"/>
    <d v="1899-12-30T00:21:34"/>
    <n v="21.566666666666666"/>
  </r>
  <r>
    <x v="31"/>
    <x v="4"/>
    <x v="3"/>
    <n v="5"/>
    <d v="1899-12-30T00:03:16"/>
    <n v="3.2666666666666666"/>
  </r>
  <r>
    <x v="31"/>
    <x v="4"/>
    <x v="4"/>
    <n v="8"/>
    <d v="1899-12-30T00:15:22"/>
    <n v="15.366666666666667"/>
  </r>
  <r>
    <x v="31"/>
    <x v="4"/>
    <x v="5"/>
    <n v="8"/>
    <d v="1899-12-30T00:08:16"/>
    <n v="8.2666666666666675"/>
  </r>
  <r>
    <x v="31"/>
    <x v="5"/>
    <x v="0"/>
    <n v="22"/>
    <d v="1899-12-30T00:31:21"/>
    <n v="31.35"/>
  </r>
  <r>
    <x v="31"/>
    <x v="5"/>
    <x v="1"/>
    <n v="30"/>
    <d v="1899-12-30T00:48:35"/>
    <n v="48.583333333333336"/>
  </r>
  <r>
    <x v="31"/>
    <x v="5"/>
    <x v="2"/>
    <n v="22"/>
    <d v="1899-12-30T00:31:33"/>
    <n v="31.55"/>
  </r>
  <r>
    <x v="31"/>
    <x v="5"/>
    <x v="3"/>
    <n v="11"/>
    <d v="1899-12-30T00:08:53"/>
    <n v="8.8833333333333329"/>
  </r>
  <r>
    <x v="31"/>
    <x v="5"/>
    <x v="4"/>
    <n v="6"/>
    <d v="1899-12-30T00:09:55"/>
    <n v="9.9166666666666661"/>
  </r>
  <r>
    <x v="31"/>
    <x v="5"/>
    <x v="5"/>
    <n v="16"/>
    <d v="1899-12-30T00:20:31"/>
    <n v="20.516666666666666"/>
  </r>
  <r>
    <x v="31"/>
    <x v="6"/>
    <x v="0"/>
    <n v="15"/>
    <d v="1899-12-30T00:25:50"/>
    <n v="25.833333333333332"/>
  </r>
  <r>
    <x v="31"/>
    <x v="6"/>
    <x v="1"/>
    <n v="11"/>
    <d v="1899-12-30T00:19:50"/>
    <n v="19.833333333333332"/>
  </r>
  <r>
    <x v="31"/>
    <x v="6"/>
    <x v="2"/>
    <n v="10"/>
    <d v="1899-12-30T00:12:49"/>
    <n v="12.816666666666666"/>
  </r>
  <r>
    <x v="31"/>
    <x v="6"/>
    <x v="3"/>
    <n v="4"/>
    <d v="1899-12-30T00:04:13"/>
    <n v="4.2166666666666668"/>
  </r>
  <r>
    <x v="31"/>
    <x v="6"/>
    <x v="4"/>
    <n v="7"/>
    <d v="1899-12-30T00:08:48"/>
    <n v="8.8000000000000007"/>
  </r>
  <r>
    <x v="31"/>
    <x v="6"/>
    <x v="5"/>
    <n v="11"/>
    <d v="1899-12-30T00:11:50"/>
    <n v="11.833333333333334"/>
  </r>
  <r>
    <x v="31"/>
    <x v="7"/>
    <x v="0"/>
    <n v="52"/>
    <d v="1899-12-30T01:07:02"/>
    <n v="67.033333333333331"/>
  </r>
  <r>
    <x v="31"/>
    <x v="7"/>
    <x v="1"/>
    <n v="31"/>
    <d v="1899-12-30T00:43:07"/>
    <n v="43.116666666666667"/>
  </r>
  <r>
    <x v="31"/>
    <x v="7"/>
    <x v="2"/>
    <n v="38"/>
    <d v="1899-12-30T00:53:22"/>
    <n v="53.366666666666667"/>
  </r>
  <r>
    <x v="31"/>
    <x v="7"/>
    <x v="3"/>
    <n v="37"/>
    <d v="1899-12-30T00:22:44"/>
    <n v="22.733333333333334"/>
  </r>
  <r>
    <x v="31"/>
    <x v="7"/>
    <x v="4"/>
    <n v="117"/>
    <d v="1899-12-30T02:16:01"/>
    <n v="136.01666666666668"/>
  </r>
  <r>
    <x v="31"/>
    <x v="7"/>
    <x v="5"/>
    <n v="13"/>
    <d v="1899-12-30T00:08:27"/>
    <n v="8.4499999999999993"/>
  </r>
  <r>
    <x v="31"/>
    <x v="8"/>
    <x v="0"/>
    <n v="32"/>
    <d v="1899-12-30T00:57:27"/>
    <n v="57.45"/>
  </r>
  <r>
    <x v="31"/>
    <x v="8"/>
    <x v="1"/>
    <n v="26"/>
    <d v="1899-12-30T00:51:19"/>
    <n v="51.31666666666667"/>
  </r>
  <r>
    <x v="31"/>
    <x v="8"/>
    <x v="2"/>
    <n v="19"/>
    <d v="1899-12-30T00:31:58"/>
    <n v="31.966666666666665"/>
  </r>
  <r>
    <x v="31"/>
    <x v="8"/>
    <x v="3"/>
    <n v="15"/>
    <d v="1899-12-30T00:14:34"/>
    <n v="14.566666666666666"/>
  </r>
  <r>
    <x v="31"/>
    <x v="8"/>
    <x v="4"/>
    <n v="10"/>
    <d v="1899-12-30T00:12:51"/>
    <n v="12.85"/>
  </r>
  <r>
    <x v="31"/>
    <x v="8"/>
    <x v="5"/>
    <n v="8"/>
    <d v="1899-12-30T00:13:35"/>
    <n v="13.583333333333334"/>
  </r>
  <r>
    <x v="31"/>
    <x v="9"/>
    <x v="0"/>
    <n v="33"/>
    <d v="1899-12-30T00:42:03"/>
    <n v="42.05"/>
  </r>
  <r>
    <x v="31"/>
    <x v="9"/>
    <x v="1"/>
    <n v="25"/>
    <d v="1899-12-30T00:50:11"/>
    <n v="50.18333333333333"/>
  </r>
  <r>
    <x v="31"/>
    <x v="9"/>
    <x v="2"/>
    <n v="27"/>
    <d v="1899-12-30T00:52:49"/>
    <n v="52.81666666666667"/>
  </r>
  <r>
    <x v="31"/>
    <x v="9"/>
    <x v="3"/>
    <n v="8"/>
    <d v="1899-12-30T00:09:01"/>
    <n v="9.0166666666666675"/>
  </r>
  <r>
    <x v="31"/>
    <x v="9"/>
    <x v="4"/>
    <n v="8"/>
    <d v="1899-12-30T00:13:26"/>
    <n v="13.433333333333334"/>
  </r>
  <r>
    <x v="31"/>
    <x v="9"/>
    <x v="5"/>
    <n v="13"/>
    <d v="1899-12-30T00:16:39"/>
    <n v="16.649999999999999"/>
  </r>
  <r>
    <x v="31"/>
    <x v="10"/>
    <x v="0"/>
    <n v="15"/>
    <d v="1899-12-30T00:23:28"/>
    <n v="23.466666666666665"/>
  </r>
  <r>
    <x v="31"/>
    <x v="10"/>
    <x v="1"/>
    <n v="7"/>
    <d v="1899-12-30T00:14:21"/>
    <n v="14.35"/>
  </r>
  <r>
    <x v="31"/>
    <x v="10"/>
    <x v="2"/>
    <n v="3"/>
    <d v="1899-12-30T00:05:37"/>
    <n v="5.6166666666666671"/>
  </r>
  <r>
    <x v="31"/>
    <x v="10"/>
    <x v="3"/>
    <n v="5"/>
    <d v="1899-12-30T00:03:30"/>
    <n v="3.5"/>
  </r>
  <r>
    <x v="31"/>
    <x v="10"/>
    <x v="4"/>
    <n v="8"/>
    <d v="1899-12-30T00:14:05"/>
    <n v="14.083333333333334"/>
  </r>
  <r>
    <x v="31"/>
    <x v="10"/>
    <x v="5"/>
    <n v="5"/>
    <d v="1899-12-30T00:06:34"/>
    <n v="6.5666666666666664"/>
  </r>
  <r>
    <x v="31"/>
    <x v="11"/>
    <x v="0"/>
    <n v="27"/>
    <d v="1899-12-30T00:38:26"/>
    <n v="38.43333333333333"/>
  </r>
  <r>
    <x v="31"/>
    <x v="11"/>
    <x v="1"/>
    <n v="19"/>
    <d v="1899-12-30T00:29:08"/>
    <n v="29.133333333333333"/>
  </r>
  <r>
    <x v="31"/>
    <x v="11"/>
    <x v="2"/>
    <n v="18"/>
    <d v="1899-12-30T00:30:33"/>
    <n v="30.55"/>
  </r>
  <r>
    <x v="31"/>
    <x v="11"/>
    <x v="3"/>
    <n v="5"/>
    <d v="1899-12-30T00:02:41"/>
    <n v="2.6833333333333336"/>
  </r>
  <r>
    <x v="31"/>
    <x v="11"/>
    <x v="4"/>
    <n v="5"/>
    <d v="1899-12-30T00:03:37"/>
    <n v="3.6166666666666667"/>
  </r>
  <r>
    <x v="31"/>
    <x v="11"/>
    <x v="5"/>
    <n v="9"/>
    <d v="1899-12-30T00:10:06"/>
    <n v="10.1"/>
  </r>
  <r>
    <x v="31"/>
    <x v="12"/>
    <x v="0"/>
    <n v="129"/>
    <d v="1899-12-30T02:55:56"/>
    <n v="175.93333333333334"/>
  </r>
  <r>
    <x v="31"/>
    <x v="12"/>
    <x v="1"/>
    <n v="127"/>
    <d v="1899-12-30T03:23:15"/>
    <n v="203.25"/>
  </r>
  <r>
    <x v="31"/>
    <x v="12"/>
    <x v="2"/>
    <n v="88"/>
    <d v="1899-12-30T02:25:53"/>
    <n v="145.88333333333333"/>
  </r>
  <r>
    <x v="31"/>
    <x v="12"/>
    <x v="3"/>
    <n v="34"/>
    <d v="1899-12-30T00:30:00"/>
    <n v="30"/>
  </r>
  <r>
    <x v="31"/>
    <x v="12"/>
    <x v="4"/>
    <n v="53"/>
    <d v="1899-12-30T01:12:40"/>
    <n v="72.666666666666671"/>
  </r>
  <r>
    <x v="31"/>
    <x v="12"/>
    <x v="5"/>
    <n v="54"/>
    <d v="1899-12-30T01:10:29"/>
    <n v="70.483333333333334"/>
  </r>
  <r>
    <x v="31"/>
    <x v="13"/>
    <x v="0"/>
    <n v="89"/>
    <d v="1899-12-30T01:31:55"/>
    <n v="91.916666666666671"/>
  </r>
  <r>
    <x v="31"/>
    <x v="13"/>
    <x v="1"/>
    <n v="74"/>
    <d v="1899-12-30T01:32:19"/>
    <n v="92.316666666666663"/>
  </r>
  <r>
    <x v="31"/>
    <x v="13"/>
    <x v="2"/>
    <n v="43"/>
    <d v="1899-12-30T00:57:00"/>
    <n v="57"/>
  </r>
  <r>
    <x v="31"/>
    <x v="13"/>
    <x v="3"/>
    <n v="27"/>
    <d v="1899-12-30T00:27:12"/>
    <n v="27.2"/>
  </r>
  <r>
    <x v="31"/>
    <x v="13"/>
    <x v="4"/>
    <n v="5"/>
    <d v="1899-12-30T00:10:03"/>
    <n v="10.050000000000001"/>
  </r>
  <r>
    <x v="31"/>
    <x v="13"/>
    <x v="5"/>
    <n v="36"/>
    <d v="1899-12-30T00:30:54"/>
    <n v="30.9"/>
  </r>
  <r>
    <x v="32"/>
    <x v="0"/>
    <x v="0"/>
    <n v="23"/>
    <d v="1899-12-30T00:21:03"/>
    <n v="21.05"/>
  </r>
  <r>
    <x v="32"/>
    <x v="0"/>
    <x v="1"/>
    <n v="20"/>
    <d v="1899-12-30T00:17:48"/>
    <n v="17.8"/>
  </r>
  <r>
    <x v="32"/>
    <x v="0"/>
    <x v="2"/>
    <n v="13"/>
    <d v="1899-12-30T00:20:47"/>
    <n v="20.783333333333335"/>
  </r>
  <r>
    <x v="32"/>
    <x v="0"/>
    <x v="3"/>
    <n v="5"/>
    <d v="1899-12-30T00:03:27"/>
    <n v="3.45"/>
  </r>
  <r>
    <x v="32"/>
    <x v="0"/>
    <x v="4"/>
    <n v="13"/>
    <d v="1899-12-30T00:15:38"/>
    <n v="15.633333333333333"/>
  </r>
  <r>
    <x v="32"/>
    <x v="0"/>
    <x v="5"/>
    <n v="7"/>
    <d v="1899-12-30T00:05:50"/>
    <n v="5.833333333333333"/>
  </r>
  <r>
    <x v="32"/>
    <x v="1"/>
    <x v="0"/>
    <n v="46"/>
    <d v="1899-12-30T01:16:04"/>
    <n v="76.066666666666663"/>
  </r>
  <r>
    <x v="32"/>
    <x v="1"/>
    <x v="1"/>
    <n v="54"/>
    <d v="1899-12-30T01:52:12"/>
    <n v="112.2"/>
  </r>
  <r>
    <x v="32"/>
    <x v="1"/>
    <x v="2"/>
    <n v="31"/>
    <d v="1899-12-30T01:04:04"/>
    <n v="64.066666666666663"/>
  </r>
  <r>
    <x v="32"/>
    <x v="1"/>
    <x v="3"/>
    <n v="18"/>
    <d v="1899-12-30T00:20:54"/>
    <n v="20.9"/>
  </r>
  <r>
    <x v="32"/>
    <x v="1"/>
    <x v="4"/>
    <n v="5"/>
    <d v="1899-12-30T00:03:23"/>
    <n v="3.3833333333333333"/>
  </r>
  <r>
    <x v="32"/>
    <x v="1"/>
    <x v="5"/>
    <n v="26"/>
    <d v="1899-12-30T00:35:11"/>
    <n v="35.18333333333333"/>
  </r>
  <r>
    <x v="32"/>
    <x v="2"/>
    <x v="0"/>
    <n v="52"/>
    <d v="1899-12-30T01:16:58"/>
    <n v="76.966666666666669"/>
  </r>
  <r>
    <x v="32"/>
    <x v="2"/>
    <x v="1"/>
    <n v="45"/>
    <d v="1899-12-30T01:11:59"/>
    <n v="71.983333333333334"/>
  </r>
  <r>
    <x v="32"/>
    <x v="2"/>
    <x v="2"/>
    <n v="29"/>
    <d v="1899-12-30T01:01:43"/>
    <n v="61.716666666666669"/>
  </r>
  <r>
    <x v="32"/>
    <x v="2"/>
    <x v="3"/>
    <n v="23"/>
    <d v="1899-12-30T00:25:08"/>
    <n v="25.133333333333333"/>
  </r>
  <r>
    <x v="32"/>
    <x v="2"/>
    <x v="4"/>
    <n v="20"/>
    <d v="1899-12-30T00:29:55"/>
    <n v="29.916666666666668"/>
  </r>
  <r>
    <x v="32"/>
    <x v="2"/>
    <x v="5"/>
    <n v="11"/>
    <d v="1899-12-30T00:14:47"/>
    <n v="14.783333333333333"/>
  </r>
  <r>
    <x v="32"/>
    <x v="3"/>
    <x v="0"/>
    <n v="21"/>
    <d v="1899-12-30T00:35:41"/>
    <n v="35.68333333333333"/>
  </r>
  <r>
    <x v="32"/>
    <x v="3"/>
    <x v="1"/>
    <n v="27"/>
    <d v="1899-12-30T00:50:50"/>
    <n v="50.833333333333336"/>
  </r>
  <r>
    <x v="32"/>
    <x v="3"/>
    <x v="2"/>
    <n v="11"/>
    <d v="1899-12-30T00:24:49"/>
    <n v="24.816666666666666"/>
  </r>
  <r>
    <x v="32"/>
    <x v="3"/>
    <x v="3"/>
    <n v="7"/>
    <d v="1899-12-30T00:08:39"/>
    <n v="8.65"/>
  </r>
  <r>
    <x v="32"/>
    <x v="3"/>
    <x v="4"/>
    <n v="4"/>
    <d v="1899-12-30T00:07:47"/>
    <n v="7.7833333333333332"/>
  </r>
  <r>
    <x v="32"/>
    <x v="3"/>
    <x v="5"/>
    <n v="6"/>
    <d v="1899-12-30T00:08:33"/>
    <n v="8.5500000000000007"/>
  </r>
  <r>
    <x v="32"/>
    <x v="4"/>
    <x v="0"/>
    <n v="34"/>
    <d v="1899-12-30T00:49:00"/>
    <n v="49"/>
  </r>
  <r>
    <x v="32"/>
    <x v="4"/>
    <x v="1"/>
    <n v="28"/>
    <d v="1899-12-30T00:40:07"/>
    <n v="40.116666666666667"/>
  </r>
  <r>
    <x v="32"/>
    <x v="4"/>
    <x v="2"/>
    <n v="5"/>
    <d v="1899-12-30T00:09:04"/>
    <n v="9.0666666666666664"/>
  </r>
  <r>
    <x v="32"/>
    <x v="4"/>
    <x v="3"/>
    <n v="5"/>
    <d v="1899-12-30T00:05:39"/>
    <n v="5.65"/>
  </r>
  <r>
    <x v="32"/>
    <x v="4"/>
    <x v="4"/>
    <n v="16"/>
    <d v="1899-12-30T00:19:51"/>
    <n v="19.850000000000001"/>
  </r>
  <r>
    <x v="32"/>
    <x v="4"/>
    <x v="5"/>
    <n v="4"/>
    <d v="1899-12-30T00:06:01"/>
    <n v="6.0166666666666666"/>
  </r>
  <r>
    <x v="32"/>
    <x v="5"/>
    <x v="0"/>
    <n v="26"/>
    <d v="1899-12-30T00:30:31"/>
    <n v="30.516666666666666"/>
  </r>
  <r>
    <x v="32"/>
    <x v="5"/>
    <x v="1"/>
    <n v="28"/>
    <d v="1899-12-30T00:40:33"/>
    <n v="40.549999999999997"/>
  </r>
  <r>
    <x v="32"/>
    <x v="5"/>
    <x v="2"/>
    <n v="12"/>
    <d v="1899-12-30T00:18:19"/>
    <n v="18.316666666666666"/>
  </r>
  <r>
    <x v="32"/>
    <x v="5"/>
    <x v="3"/>
    <n v="12"/>
    <d v="1899-12-30T00:09:04"/>
    <n v="9.0666666666666664"/>
  </r>
  <r>
    <x v="32"/>
    <x v="5"/>
    <x v="4"/>
    <n v="4"/>
    <d v="1899-12-30T00:05:05"/>
    <n v="5.083333333333333"/>
  </r>
  <r>
    <x v="32"/>
    <x v="5"/>
    <x v="5"/>
    <n v="25"/>
    <d v="1899-12-30T00:27:01"/>
    <n v="27.016666666666666"/>
  </r>
  <r>
    <x v="32"/>
    <x v="6"/>
    <x v="0"/>
    <n v="12"/>
    <d v="1899-12-30T00:17:37"/>
    <n v="17.616666666666667"/>
  </r>
  <r>
    <x v="32"/>
    <x v="6"/>
    <x v="1"/>
    <n v="11"/>
    <d v="1899-12-30T00:18:54"/>
    <n v="18.899999999999999"/>
  </r>
  <r>
    <x v="32"/>
    <x v="6"/>
    <x v="2"/>
    <n v="10"/>
    <d v="1899-12-30T00:20:22"/>
    <n v="20.366666666666667"/>
  </r>
  <r>
    <x v="32"/>
    <x v="6"/>
    <x v="3"/>
    <n v="6"/>
    <d v="1899-12-30T00:05:47"/>
    <n v="5.7833333333333332"/>
  </r>
  <r>
    <x v="32"/>
    <x v="6"/>
    <x v="4"/>
    <n v="3"/>
    <d v="1899-12-30T00:03:06"/>
    <n v="3.1"/>
  </r>
  <r>
    <x v="32"/>
    <x v="6"/>
    <x v="5"/>
    <n v="6"/>
    <d v="1899-12-30T00:07:14"/>
    <n v="7.2333333333333334"/>
  </r>
  <r>
    <x v="32"/>
    <x v="7"/>
    <x v="0"/>
    <n v="78"/>
    <d v="1899-12-30T01:38:04"/>
    <n v="98.066666666666663"/>
  </r>
  <r>
    <x v="32"/>
    <x v="7"/>
    <x v="1"/>
    <n v="78"/>
    <d v="1899-12-30T01:45:35"/>
    <n v="105.58333333333333"/>
  </r>
  <r>
    <x v="32"/>
    <x v="7"/>
    <x v="2"/>
    <n v="37"/>
    <d v="1899-12-30T01:06:23"/>
    <n v="66.38333333333334"/>
  </r>
  <r>
    <x v="32"/>
    <x v="7"/>
    <x v="3"/>
    <n v="52"/>
    <d v="1899-12-30T00:54:27"/>
    <n v="54.45"/>
  </r>
  <r>
    <x v="32"/>
    <x v="7"/>
    <x v="4"/>
    <n v="135"/>
    <d v="1899-12-30T02:52:25"/>
    <n v="172.41666666666666"/>
  </r>
  <r>
    <x v="32"/>
    <x v="7"/>
    <x v="5"/>
    <n v="23"/>
    <d v="1899-12-30T00:18:37"/>
    <n v="18.616666666666667"/>
  </r>
  <r>
    <x v="32"/>
    <x v="8"/>
    <x v="0"/>
    <n v="39"/>
    <d v="1899-12-30T00:47:55"/>
    <n v="47.916666666666664"/>
  </r>
  <r>
    <x v="32"/>
    <x v="8"/>
    <x v="1"/>
    <n v="30"/>
    <d v="1899-12-30T00:35:15"/>
    <n v="35.25"/>
  </r>
  <r>
    <x v="32"/>
    <x v="8"/>
    <x v="2"/>
    <n v="25"/>
    <d v="1899-12-30T00:44:18"/>
    <n v="44.3"/>
  </r>
  <r>
    <x v="32"/>
    <x v="8"/>
    <x v="3"/>
    <n v="35"/>
    <d v="1899-12-30T00:37:08"/>
    <n v="37.133333333333333"/>
  </r>
  <r>
    <x v="32"/>
    <x v="8"/>
    <x v="4"/>
    <n v="13"/>
    <d v="1899-12-30T00:11:27"/>
    <n v="11.45"/>
  </r>
  <r>
    <x v="32"/>
    <x v="8"/>
    <x v="5"/>
    <n v="22"/>
    <d v="1899-12-30T00:24:23"/>
    <n v="24.383333333333333"/>
  </r>
  <r>
    <x v="32"/>
    <x v="9"/>
    <x v="0"/>
    <n v="55"/>
    <d v="1899-12-30T01:07:12"/>
    <n v="67.2"/>
  </r>
  <r>
    <x v="32"/>
    <x v="9"/>
    <x v="1"/>
    <n v="42"/>
    <d v="1899-12-30T01:48:06"/>
    <n v="108.1"/>
  </r>
  <r>
    <x v="32"/>
    <x v="9"/>
    <x v="2"/>
    <n v="40"/>
    <d v="1899-12-30T01:16:33"/>
    <n v="76.55"/>
  </r>
  <r>
    <x v="32"/>
    <x v="9"/>
    <x v="3"/>
    <n v="23"/>
    <d v="1899-12-30T00:29:42"/>
    <n v="29.7"/>
  </r>
  <r>
    <x v="32"/>
    <x v="9"/>
    <x v="4"/>
    <n v="14"/>
    <d v="1899-12-30T00:17:18"/>
    <n v="17.3"/>
  </r>
  <r>
    <x v="32"/>
    <x v="9"/>
    <x v="5"/>
    <n v="23"/>
    <d v="1899-12-30T00:28:45"/>
    <n v="28.75"/>
  </r>
  <r>
    <x v="32"/>
    <x v="10"/>
    <x v="0"/>
    <n v="25"/>
    <d v="1899-12-30T00:34:43"/>
    <n v="34.716666666666669"/>
  </r>
  <r>
    <x v="32"/>
    <x v="10"/>
    <x v="1"/>
    <n v="21"/>
    <d v="1899-12-30T00:32:35"/>
    <n v="32.583333333333336"/>
  </r>
  <r>
    <x v="32"/>
    <x v="10"/>
    <x v="2"/>
    <n v="19"/>
    <d v="1899-12-30T00:41:03"/>
    <n v="41.05"/>
  </r>
  <r>
    <x v="32"/>
    <x v="10"/>
    <x v="3"/>
    <n v="7"/>
    <d v="1899-12-30T00:04:34"/>
    <n v="4.5666666666666664"/>
  </r>
  <r>
    <x v="32"/>
    <x v="10"/>
    <x v="4"/>
    <n v="2"/>
    <d v="1899-12-30T00:02:27"/>
    <n v="2.4500000000000002"/>
  </r>
  <r>
    <x v="32"/>
    <x v="10"/>
    <x v="5"/>
    <n v="8"/>
    <d v="1899-12-30T00:09:04"/>
    <n v="9.0666666666666664"/>
  </r>
  <r>
    <x v="32"/>
    <x v="11"/>
    <x v="0"/>
    <n v="17"/>
    <d v="1899-12-30T00:23:12"/>
    <n v="23.2"/>
  </r>
  <r>
    <x v="32"/>
    <x v="11"/>
    <x v="1"/>
    <n v="11"/>
    <d v="1899-12-30T00:22:03"/>
    <n v="22.05"/>
  </r>
  <r>
    <x v="32"/>
    <x v="11"/>
    <x v="2"/>
    <n v="2"/>
    <d v="1899-12-30T00:05:07"/>
    <n v="5.1166666666666663"/>
  </r>
  <r>
    <x v="32"/>
    <x v="11"/>
    <x v="3"/>
    <n v="4"/>
    <d v="1899-12-30T00:03:29"/>
    <n v="3.4833333333333334"/>
  </r>
  <r>
    <x v="32"/>
    <x v="11"/>
    <x v="4"/>
    <n v="1"/>
    <d v="1899-12-30T00:00:20"/>
    <n v="0.33333333333333331"/>
  </r>
  <r>
    <x v="32"/>
    <x v="11"/>
    <x v="5"/>
    <n v="4"/>
    <d v="1899-12-30T00:05:30"/>
    <n v="5.5"/>
  </r>
  <r>
    <x v="32"/>
    <x v="12"/>
    <x v="0"/>
    <n v="123"/>
    <d v="1899-12-30T03:28:36"/>
    <n v="208.6"/>
  </r>
  <r>
    <x v="32"/>
    <x v="12"/>
    <x v="1"/>
    <n v="133"/>
    <d v="1899-12-30T03:35:28"/>
    <n v="215.46666666666667"/>
  </r>
  <r>
    <x v="32"/>
    <x v="12"/>
    <x v="2"/>
    <n v="70"/>
    <d v="1899-12-30T02:12:41"/>
    <n v="132.68333333333334"/>
  </r>
  <r>
    <x v="32"/>
    <x v="12"/>
    <x v="3"/>
    <n v="52"/>
    <d v="1899-12-30T00:49:11"/>
    <n v="49.18333333333333"/>
  </r>
  <r>
    <x v="32"/>
    <x v="12"/>
    <x v="4"/>
    <n v="41"/>
    <d v="1899-12-30T01:03:36"/>
    <n v="63.6"/>
  </r>
  <r>
    <x v="32"/>
    <x v="12"/>
    <x v="5"/>
    <n v="38"/>
    <d v="1899-12-30T00:46:38"/>
    <n v="46.633333333333333"/>
  </r>
  <r>
    <x v="32"/>
    <x v="13"/>
    <x v="0"/>
    <n v="131"/>
    <d v="1899-12-30T02:24:02"/>
    <n v="144.03333333333333"/>
  </r>
  <r>
    <x v="32"/>
    <x v="13"/>
    <x v="1"/>
    <n v="78"/>
    <d v="1899-12-30T01:21:44"/>
    <n v="81.733333333333334"/>
  </r>
  <r>
    <x v="32"/>
    <x v="13"/>
    <x v="2"/>
    <n v="47"/>
    <d v="1899-12-30T01:13:05"/>
    <n v="73.083333333333329"/>
  </r>
  <r>
    <x v="32"/>
    <x v="13"/>
    <x v="3"/>
    <n v="14"/>
    <d v="1899-12-30T00:15:42"/>
    <n v="15.7"/>
  </r>
  <r>
    <x v="32"/>
    <x v="13"/>
    <x v="4"/>
    <n v="9"/>
    <d v="1899-12-30T00:15:44"/>
    <n v="15.733333333333333"/>
  </r>
  <r>
    <x v="32"/>
    <x v="13"/>
    <x v="5"/>
    <n v="39"/>
    <d v="1899-12-30T00:47:14"/>
    <n v="47.233333333333334"/>
  </r>
  <r>
    <x v="33"/>
    <x v="0"/>
    <x v="0"/>
    <n v="37"/>
    <d v="1899-12-30T00:33:54"/>
    <n v="33.9"/>
  </r>
  <r>
    <x v="33"/>
    <x v="0"/>
    <x v="1"/>
    <n v="26"/>
    <d v="1899-12-30T00:27:37"/>
    <n v="27.616666666666667"/>
  </r>
  <r>
    <x v="33"/>
    <x v="0"/>
    <x v="2"/>
    <n v="21"/>
    <d v="1899-12-30T00:26:59"/>
    <n v="26.983333333333334"/>
  </r>
  <r>
    <x v="33"/>
    <x v="0"/>
    <x v="3"/>
    <n v="11"/>
    <d v="1899-12-30T00:10:48"/>
    <n v="10.8"/>
  </r>
  <r>
    <x v="33"/>
    <x v="0"/>
    <x v="4"/>
    <n v="11"/>
    <d v="1899-12-30T00:06:31"/>
    <n v="6.5166666666666666"/>
  </r>
  <r>
    <x v="33"/>
    <x v="0"/>
    <x v="5"/>
    <n v="13"/>
    <d v="1899-12-30T00:13:00"/>
    <n v="13"/>
  </r>
  <r>
    <x v="33"/>
    <x v="1"/>
    <x v="0"/>
    <n v="60"/>
    <d v="1899-12-30T01:40:29"/>
    <n v="100.48333333333333"/>
  </r>
  <r>
    <x v="33"/>
    <x v="1"/>
    <x v="1"/>
    <n v="61"/>
    <d v="1899-12-30T01:54:56"/>
    <n v="114.93333333333334"/>
  </r>
  <r>
    <x v="33"/>
    <x v="1"/>
    <x v="2"/>
    <n v="42"/>
    <d v="1899-12-30T01:32:23"/>
    <n v="92.38333333333334"/>
  </r>
  <r>
    <x v="33"/>
    <x v="1"/>
    <x v="3"/>
    <n v="33"/>
    <d v="1899-12-30T00:36:25"/>
    <n v="36.416666666666664"/>
  </r>
  <r>
    <x v="33"/>
    <x v="1"/>
    <x v="4"/>
    <n v="6"/>
    <d v="1899-12-30T00:10:13"/>
    <n v="10.216666666666667"/>
  </r>
  <r>
    <x v="33"/>
    <x v="1"/>
    <x v="5"/>
    <n v="32"/>
    <d v="1899-12-30T00:40:47"/>
    <n v="40.783333333333331"/>
  </r>
  <r>
    <x v="33"/>
    <x v="2"/>
    <x v="0"/>
    <n v="54"/>
    <d v="1899-12-30T01:15:31"/>
    <n v="75.516666666666666"/>
  </r>
  <r>
    <x v="33"/>
    <x v="2"/>
    <x v="1"/>
    <n v="46"/>
    <d v="1899-12-30T01:14:47"/>
    <n v="74.783333333333331"/>
  </r>
  <r>
    <x v="33"/>
    <x v="2"/>
    <x v="2"/>
    <n v="20"/>
    <d v="1899-12-30T00:40:31"/>
    <n v="40.516666666666666"/>
  </r>
  <r>
    <x v="33"/>
    <x v="2"/>
    <x v="3"/>
    <n v="21"/>
    <d v="1899-12-30T00:23:42"/>
    <n v="23.7"/>
  </r>
  <r>
    <x v="33"/>
    <x v="2"/>
    <x v="4"/>
    <n v="13"/>
    <d v="1899-12-30T00:15:51"/>
    <n v="15.85"/>
  </r>
  <r>
    <x v="33"/>
    <x v="2"/>
    <x v="5"/>
    <n v="11"/>
    <d v="1899-12-30T00:13:20"/>
    <n v="13.333333333333334"/>
  </r>
  <r>
    <x v="33"/>
    <x v="3"/>
    <x v="0"/>
    <n v="21"/>
    <d v="1899-12-30T00:34:11"/>
    <n v="34.18333333333333"/>
  </r>
  <r>
    <x v="33"/>
    <x v="3"/>
    <x v="1"/>
    <n v="18"/>
    <d v="1899-12-30T00:38:50"/>
    <n v="38.833333333333336"/>
  </r>
  <r>
    <x v="33"/>
    <x v="3"/>
    <x v="2"/>
    <n v="8"/>
    <d v="1899-12-30T00:15:05"/>
    <n v="15.083333333333334"/>
  </r>
  <r>
    <x v="33"/>
    <x v="3"/>
    <x v="3"/>
    <n v="3"/>
    <d v="1899-12-30T00:03:34"/>
    <n v="3.5666666666666664"/>
  </r>
  <r>
    <x v="33"/>
    <x v="3"/>
    <x v="4"/>
    <n v="2"/>
    <d v="1899-12-30T00:05:23"/>
    <n v="5.3833333333333337"/>
  </r>
  <r>
    <x v="33"/>
    <x v="3"/>
    <x v="5"/>
    <n v="7"/>
    <d v="1899-12-30T00:12:44"/>
    <n v="12.733333333333333"/>
  </r>
  <r>
    <x v="33"/>
    <x v="4"/>
    <x v="0"/>
    <n v="40"/>
    <d v="1899-12-30T00:58:45"/>
    <n v="58.75"/>
  </r>
  <r>
    <x v="33"/>
    <x v="4"/>
    <x v="1"/>
    <n v="53"/>
    <d v="1899-12-30T01:35:26"/>
    <n v="95.433333333333337"/>
  </r>
  <r>
    <x v="33"/>
    <x v="4"/>
    <x v="2"/>
    <n v="20"/>
    <d v="1899-12-30T00:48:08"/>
    <n v="48.133333333333333"/>
  </r>
  <r>
    <x v="33"/>
    <x v="4"/>
    <x v="3"/>
    <n v="11"/>
    <d v="1899-12-30T00:09:39"/>
    <n v="9.65"/>
  </r>
  <r>
    <x v="33"/>
    <x v="4"/>
    <x v="4"/>
    <n v="9"/>
    <d v="1899-12-30T00:24:00"/>
    <n v="24"/>
  </r>
  <r>
    <x v="33"/>
    <x v="4"/>
    <x v="5"/>
    <n v="9"/>
    <d v="1899-12-30T00:12:34"/>
    <n v="12.566666666666666"/>
  </r>
  <r>
    <x v="33"/>
    <x v="5"/>
    <x v="0"/>
    <n v="37"/>
    <d v="1899-12-30T00:38:30"/>
    <n v="38.5"/>
  </r>
  <r>
    <x v="33"/>
    <x v="5"/>
    <x v="1"/>
    <n v="25"/>
    <d v="1899-12-30T00:33:25"/>
    <n v="33.416666666666664"/>
  </r>
  <r>
    <x v="33"/>
    <x v="5"/>
    <x v="2"/>
    <n v="11"/>
    <d v="1899-12-30T00:15:34"/>
    <n v="15.566666666666666"/>
  </r>
  <r>
    <x v="33"/>
    <x v="5"/>
    <x v="3"/>
    <n v="12"/>
    <d v="1899-12-30T00:11:31"/>
    <n v="11.516666666666667"/>
  </r>
  <r>
    <x v="33"/>
    <x v="5"/>
    <x v="4"/>
    <n v="4"/>
    <d v="1899-12-30T00:06:33"/>
    <n v="6.55"/>
  </r>
  <r>
    <x v="33"/>
    <x v="5"/>
    <x v="5"/>
    <n v="16"/>
    <d v="1899-12-30T00:16:46"/>
    <n v="16.766666666666666"/>
  </r>
  <r>
    <x v="33"/>
    <x v="6"/>
    <x v="0"/>
    <n v="8"/>
    <d v="1899-12-30T00:08:56"/>
    <n v="8.9333333333333336"/>
  </r>
  <r>
    <x v="33"/>
    <x v="6"/>
    <x v="1"/>
    <n v="5"/>
    <d v="1899-12-30T00:07:39"/>
    <n v="7.65"/>
  </r>
  <r>
    <x v="33"/>
    <x v="6"/>
    <x v="2"/>
    <n v="7"/>
    <d v="1899-12-30T00:11:11"/>
    <n v="11.183333333333334"/>
  </r>
  <r>
    <x v="33"/>
    <x v="6"/>
    <x v="3"/>
    <n v="4"/>
    <d v="1899-12-30T00:02:46"/>
    <n v="2.7666666666666666"/>
  </r>
  <r>
    <x v="33"/>
    <x v="6"/>
    <x v="4"/>
    <n v="8"/>
    <d v="1899-12-30T00:15:11"/>
    <n v="15.183333333333334"/>
  </r>
  <r>
    <x v="33"/>
    <x v="6"/>
    <x v="5"/>
    <n v="2"/>
    <d v="1899-12-30T00:01:46"/>
    <n v="1.7666666666666666"/>
  </r>
  <r>
    <x v="33"/>
    <x v="7"/>
    <x v="0"/>
    <n v="114"/>
    <d v="1899-12-30T02:01:52"/>
    <n v="121.86666666666666"/>
  </r>
  <r>
    <x v="33"/>
    <x v="7"/>
    <x v="1"/>
    <n v="114"/>
    <d v="1899-12-30T02:37:51"/>
    <n v="157.85"/>
  </r>
  <r>
    <x v="33"/>
    <x v="7"/>
    <x v="2"/>
    <n v="64"/>
    <d v="1899-12-30T01:48:48"/>
    <n v="108.8"/>
  </r>
  <r>
    <x v="33"/>
    <x v="7"/>
    <x v="3"/>
    <n v="71"/>
    <d v="1899-12-30T01:08:06"/>
    <n v="68.099999999999994"/>
  </r>
  <r>
    <x v="33"/>
    <x v="7"/>
    <x v="4"/>
    <n v="178"/>
    <d v="1899-12-30T04:18:41"/>
    <n v="258.68333333333334"/>
  </r>
  <r>
    <x v="33"/>
    <x v="7"/>
    <x v="5"/>
    <n v="28"/>
    <d v="1899-12-30T00:37:38"/>
    <n v="37.633333333333333"/>
  </r>
  <r>
    <x v="33"/>
    <x v="8"/>
    <x v="0"/>
    <n v="68"/>
    <d v="1899-12-30T01:18:27"/>
    <n v="78.45"/>
  </r>
  <r>
    <x v="33"/>
    <x v="8"/>
    <x v="1"/>
    <n v="51"/>
    <d v="1899-12-30T01:08:51"/>
    <n v="68.849999999999994"/>
  </r>
  <r>
    <x v="33"/>
    <x v="8"/>
    <x v="2"/>
    <n v="56"/>
    <d v="1899-12-30T01:37:22"/>
    <n v="97.36666666666666"/>
  </r>
  <r>
    <x v="33"/>
    <x v="8"/>
    <x v="3"/>
    <n v="52"/>
    <d v="1899-12-30T00:58:19"/>
    <n v="58.31666666666667"/>
  </r>
  <r>
    <x v="33"/>
    <x v="8"/>
    <x v="4"/>
    <n v="17"/>
    <d v="1899-12-30T00:25:15"/>
    <n v="25.25"/>
  </r>
  <r>
    <x v="33"/>
    <x v="8"/>
    <x v="5"/>
    <n v="29"/>
    <d v="1899-12-30T00:34:25"/>
    <n v="34.416666666666664"/>
  </r>
  <r>
    <x v="33"/>
    <x v="9"/>
    <x v="0"/>
    <n v="50"/>
    <d v="1899-12-30T01:08:47"/>
    <n v="68.783333333333331"/>
  </r>
  <r>
    <x v="33"/>
    <x v="9"/>
    <x v="1"/>
    <n v="44"/>
    <d v="1899-12-30T01:03:14"/>
    <n v="63.233333333333334"/>
  </r>
  <r>
    <x v="33"/>
    <x v="9"/>
    <x v="2"/>
    <n v="39"/>
    <d v="1899-12-30T01:12:13"/>
    <n v="72.216666666666669"/>
  </r>
  <r>
    <x v="33"/>
    <x v="9"/>
    <x v="3"/>
    <n v="19"/>
    <d v="1899-12-30T00:24:16"/>
    <n v="24.266666666666666"/>
  </r>
  <r>
    <x v="33"/>
    <x v="9"/>
    <x v="4"/>
    <n v="12"/>
    <d v="1899-12-30T00:20:43"/>
    <n v="20.716666666666665"/>
  </r>
  <r>
    <x v="33"/>
    <x v="9"/>
    <x v="5"/>
    <n v="16"/>
    <d v="1899-12-30T00:15:51"/>
    <n v="15.85"/>
  </r>
  <r>
    <x v="33"/>
    <x v="10"/>
    <x v="0"/>
    <n v="30"/>
    <d v="1899-12-30T00:37:51"/>
    <n v="37.85"/>
  </r>
  <r>
    <x v="33"/>
    <x v="10"/>
    <x v="1"/>
    <n v="36"/>
    <d v="1899-12-30T00:55:22"/>
    <n v="55.366666666666667"/>
  </r>
  <r>
    <x v="33"/>
    <x v="10"/>
    <x v="2"/>
    <n v="9"/>
    <d v="1899-12-30T00:13:57"/>
    <n v="13.95"/>
  </r>
  <r>
    <x v="33"/>
    <x v="10"/>
    <x v="3"/>
    <n v="9"/>
    <d v="1899-12-30T00:10:24"/>
    <n v="10.4"/>
  </r>
  <r>
    <x v="33"/>
    <x v="10"/>
    <x v="4"/>
    <n v="1"/>
    <d v="1899-12-30T00:02:14"/>
    <n v="2.2333333333333334"/>
  </r>
  <r>
    <x v="33"/>
    <x v="10"/>
    <x v="5"/>
    <n v="9"/>
    <d v="1899-12-30T00:12:34"/>
    <n v="12.566666666666666"/>
  </r>
  <r>
    <x v="33"/>
    <x v="11"/>
    <x v="0"/>
    <n v="22"/>
    <d v="1899-12-30T00:32:29"/>
    <n v="32.483333333333334"/>
  </r>
  <r>
    <x v="33"/>
    <x v="11"/>
    <x v="1"/>
    <n v="10"/>
    <d v="1899-12-30T00:17:17"/>
    <n v="17.283333333333335"/>
  </r>
  <r>
    <x v="33"/>
    <x v="11"/>
    <x v="2"/>
    <n v="10"/>
    <d v="1899-12-30T00:21:14"/>
    <n v="21.233333333333334"/>
  </r>
  <r>
    <x v="33"/>
    <x v="11"/>
    <x v="3"/>
    <n v="1"/>
    <d v="1899-12-30T00:00:48"/>
    <n v="0.8"/>
  </r>
  <r>
    <x v="33"/>
    <x v="11"/>
    <x v="4"/>
    <n v="2"/>
    <d v="1899-12-30T00:01:22"/>
    <n v="1.3666666666666667"/>
  </r>
  <r>
    <x v="33"/>
    <x v="11"/>
    <x v="5"/>
    <n v="8"/>
    <d v="1899-12-30T00:09:04"/>
    <n v="9.0666666666666664"/>
  </r>
  <r>
    <x v="33"/>
    <x v="12"/>
    <x v="0"/>
    <n v="176"/>
    <d v="1899-12-30T04:05:38"/>
    <n v="245.63333333333333"/>
  </r>
  <r>
    <x v="33"/>
    <x v="12"/>
    <x v="1"/>
    <n v="179"/>
    <d v="1899-12-30T04:24:59"/>
    <n v="264.98333333333335"/>
  </r>
  <r>
    <x v="33"/>
    <x v="12"/>
    <x v="2"/>
    <n v="88"/>
    <d v="1899-12-30T02:44:31"/>
    <n v="164.51666666666668"/>
  </r>
  <r>
    <x v="33"/>
    <x v="12"/>
    <x v="3"/>
    <n v="69"/>
    <d v="1899-12-30T01:18:27"/>
    <n v="78.45"/>
  </r>
  <r>
    <x v="33"/>
    <x v="12"/>
    <x v="4"/>
    <n v="54"/>
    <d v="1899-12-30T01:21:03"/>
    <n v="81.05"/>
  </r>
  <r>
    <x v="33"/>
    <x v="12"/>
    <x v="5"/>
    <n v="61"/>
    <d v="1899-12-30T01:16:33"/>
    <n v="76.55"/>
  </r>
  <r>
    <x v="33"/>
    <x v="13"/>
    <x v="0"/>
    <n v="146"/>
    <d v="1899-12-30T03:21:56"/>
    <n v="201.93333333333334"/>
  </r>
  <r>
    <x v="33"/>
    <x v="13"/>
    <x v="1"/>
    <n v="118"/>
    <d v="1899-12-30T02:27:59"/>
    <n v="147.98333333333332"/>
  </r>
  <r>
    <x v="33"/>
    <x v="13"/>
    <x v="2"/>
    <n v="69"/>
    <d v="1899-12-30T01:49:32"/>
    <n v="109.53333333333333"/>
  </r>
  <r>
    <x v="33"/>
    <x v="13"/>
    <x v="3"/>
    <n v="30"/>
    <d v="1899-12-30T00:35:02"/>
    <n v="35.033333333333331"/>
  </r>
  <r>
    <x v="33"/>
    <x v="13"/>
    <x v="4"/>
    <n v="7"/>
    <d v="1899-12-30T00:08:01"/>
    <n v="8.0166666666666675"/>
  </r>
  <r>
    <x v="33"/>
    <x v="13"/>
    <x v="5"/>
    <n v="53"/>
    <d v="1899-12-30T01:05:30"/>
    <n v="65.5"/>
  </r>
  <r>
    <x v="34"/>
    <x v="0"/>
    <x v="0"/>
    <n v="29"/>
    <d v="1899-12-30T00:30:23"/>
    <n v="30.383333333333333"/>
  </r>
  <r>
    <x v="34"/>
    <x v="0"/>
    <x v="1"/>
    <n v="28"/>
    <d v="1899-12-30T00:31:30"/>
    <n v="31.5"/>
  </r>
  <r>
    <x v="34"/>
    <x v="0"/>
    <x v="2"/>
    <n v="12"/>
    <d v="1899-12-30T00:17:57"/>
    <n v="17.95"/>
  </r>
  <r>
    <x v="34"/>
    <x v="0"/>
    <x v="3"/>
    <n v="10"/>
    <d v="1899-12-30T00:04:45"/>
    <n v="4.75"/>
  </r>
  <r>
    <x v="34"/>
    <x v="0"/>
    <x v="4"/>
    <n v="12"/>
    <d v="1899-12-30T00:12:01"/>
    <n v="12.016666666666667"/>
  </r>
  <r>
    <x v="34"/>
    <x v="0"/>
    <x v="5"/>
    <n v="10"/>
    <d v="1899-12-30T00:07:16"/>
    <n v="7.2666666666666666"/>
  </r>
  <r>
    <x v="34"/>
    <x v="1"/>
    <x v="0"/>
    <n v="43"/>
    <d v="1899-12-30T01:06:14"/>
    <n v="66.233333333333334"/>
  </r>
  <r>
    <x v="34"/>
    <x v="1"/>
    <x v="1"/>
    <n v="41"/>
    <d v="1899-12-30T01:31:25"/>
    <n v="91.416666666666671"/>
  </r>
  <r>
    <x v="34"/>
    <x v="1"/>
    <x v="2"/>
    <n v="27"/>
    <d v="1899-12-30T01:02:31"/>
    <n v="62.516666666666666"/>
  </r>
  <r>
    <x v="34"/>
    <x v="1"/>
    <x v="3"/>
    <n v="16"/>
    <d v="1899-12-30T00:15:34"/>
    <n v="15.566666666666666"/>
  </r>
  <r>
    <x v="34"/>
    <x v="1"/>
    <x v="4"/>
    <n v="3"/>
    <d v="1899-12-30T00:05:06"/>
    <n v="5.0999999999999996"/>
  </r>
  <r>
    <x v="34"/>
    <x v="1"/>
    <x v="5"/>
    <n v="16"/>
    <d v="1899-12-30T00:19:55"/>
    <n v="19.916666666666668"/>
  </r>
  <r>
    <x v="34"/>
    <x v="2"/>
    <x v="0"/>
    <n v="44"/>
    <d v="1899-12-30T01:05:41"/>
    <n v="65.683333333333337"/>
  </r>
  <r>
    <x v="34"/>
    <x v="2"/>
    <x v="1"/>
    <n v="51"/>
    <d v="1899-12-30T01:15:20"/>
    <n v="75.333333333333329"/>
  </r>
  <r>
    <x v="34"/>
    <x v="2"/>
    <x v="2"/>
    <n v="26"/>
    <d v="1899-12-30T00:51:42"/>
    <n v="51.7"/>
  </r>
  <r>
    <x v="34"/>
    <x v="2"/>
    <x v="3"/>
    <n v="29"/>
    <d v="1899-12-30T00:26:50"/>
    <n v="26.833333333333332"/>
  </r>
  <r>
    <x v="34"/>
    <x v="2"/>
    <x v="4"/>
    <n v="17"/>
    <d v="1899-12-30T00:26:41"/>
    <n v="26.683333333333334"/>
  </r>
  <r>
    <x v="34"/>
    <x v="2"/>
    <x v="5"/>
    <n v="15"/>
    <d v="1899-12-30T00:18:10"/>
    <n v="18.166666666666668"/>
  </r>
  <r>
    <x v="34"/>
    <x v="3"/>
    <x v="0"/>
    <n v="41"/>
    <d v="1899-12-30T00:43:06"/>
    <n v="43.1"/>
  </r>
  <r>
    <x v="34"/>
    <x v="3"/>
    <x v="1"/>
    <n v="40"/>
    <d v="1899-12-30T00:48:47"/>
    <n v="48.783333333333331"/>
  </r>
  <r>
    <x v="34"/>
    <x v="3"/>
    <x v="2"/>
    <n v="18"/>
    <d v="1899-12-30T00:31:19"/>
    <n v="31.316666666666666"/>
  </r>
  <r>
    <x v="34"/>
    <x v="3"/>
    <x v="3"/>
    <n v="14"/>
    <d v="1899-12-30T00:16:14"/>
    <n v="16.233333333333334"/>
  </r>
  <r>
    <x v="34"/>
    <x v="3"/>
    <x v="4"/>
    <n v="8"/>
    <d v="1899-12-30T00:11:31"/>
    <n v="11.516666666666667"/>
  </r>
  <r>
    <x v="34"/>
    <x v="3"/>
    <x v="5"/>
    <n v="13"/>
    <d v="1899-12-30T00:16:37"/>
    <n v="16.616666666666667"/>
  </r>
  <r>
    <x v="34"/>
    <x v="4"/>
    <x v="0"/>
    <n v="26"/>
    <d v="1899-12-30T00:38:09"/>
    <n v="38.15"/>
  </r>
  <r>
    <x v="34"/>
    <x v="4"/>
    <x v="1"/>
    <n v="24"/>
    <d v="1899-12-30T00:33:29"/>
    <n v="33.483333333333334"/>
  </r>
  <r>
    <x v="34"/>
    <x v="4"/>
    <x v="2"/>
    <n v="8"/>
    <d v="1899-12-30T00:10:40"/>
    <n v="10.666666666666666"/>
  </r>
  <r>
    <x v="34"/>
    <x v="4"/>
    <x v="3"/>
    <n v="5"/>
    <d v="1899-12-30T00:02:14"/>
    <n v="2.2333333333333334"/>
  </r>
  <r>
    <x v="34"/>
    <x v="4"/>
    <x v="4"/>
    <n v="9"/>
    <d v="1899-12-30T00:15:47"/>
    <n v="15.783333333333333"/>
  </r>
  <r>
    <x v="34"/>
    <x v="4"/>
    <x v="5"/>
    <n v="7"/>
    <d v="1899-12-30T00:08:21"/>
    <n v="8.35"/>
  </r>
  <r>
    <x v="34"/>
    <x v="5"/>
    <x v="0"/>
    <n v="21"/>
    <d v="1899-12-30T00:26:54"/>
    <n v="26.9"/>
  </r>
  <r>
    <x v="34"/>
    <x v="5"/>
    <x v="1"/>
    <n v="17"/>
    <d v="1899-12-30T00:19:15"/>
    <n v="19.25"/>
  </r>
  <r>
    <x v="34"/>
    <x v="5"/>
    <x v="2"/>
    <n v="20"/>
    <d v="1899-12-30T00:27:26"/>
    <n v="27.433333333333334"/>
  </r>
  <r>
    <x v="34"/>
    <x v="5"/>
    <x v="3"/>
    <n v="14"/>
    <d v="1899-12-30T00:14:21"/>
    <n v="14.35"/>
  </r>
  <r>
    <x v="34"/>
    <x v="5"/>
    <x v="4"/>
    <n v="1"/>
    <d v="1899-12-30T00:02:36"/>
    <n v="2.6"/>
  </r>
  <r>
    <x v="34"/>
    <x v="5"/>
    <x v="5"/>
    <n v="14"/>
    <d v="1899-12-30T00:16:41"/>
    <n v="16.683333333333334"/>
  </r>
  <r>
    <x v="34"/>
    <x v="6"/>
    <x v="0"/>
    <n v="16"/>
    <d v="1899-12-30T00:18:36"/>
    <n v="18.600000000000001"/>
  </r>
  <r>
    <x v="34"/>
    <x v="6"/>
    <x v="1"/>
    <n v="14"/>
    <d v="1899-12-30T00:19:31"/>
    <n v="19.516666666666666"/>
  </r>
  <r>
    <x v="34"/>
    <x v="6"/>
    <x v="2"/>
    <n v="10"/>
    <d v="1899-12-30T00:18:56"/>
    <n v="18.933333333333334"/>
  </r>
  <r>
    <x v="34"/>
    <x v="6"/>
    <x v="3"/>
    <n v="5"/>
    <d v="1899-12-30T00:06:07"/>
    <n v="6.1166666666666663"/>
  </r>
  <r>
    <x v="34"/>
    <x v="6"/>
    <x v="4"/>
    <n v="5"/>
    <d v="1899-12-30T00:07:07"/>
    <n v="7.1166666666666663"/>
  </r>
  <r>
    <x v="34"/>
    <x v="6"/>
    <x v="5"/>
    <n v="3"/>
    <d v="1899-12-30T00:03:51"/>
    <n v="3.85"/>
  </r>
  <r>
    <x v="34"/>
    <x v="7"/>
    <x v="0"/>
    <n v="103"/>
    <d v="1899-12-30T02:18:07"/>
    <n v="138.11666666666667"/>
  </r>
  <r>
    <x v="34"/>
    <x v="7"/>
    <x v="1"/>
    <n v="91"/>
    <d v="1899-12-30T02:10:41"/>
    <n v="130.68333333333334"/>
  </r>
  <r>
    <x v="34"/>
    <x v="7"/>
    <x v="2"/>
    <n v="55"/>
    <d v="1899-12-30T01:31:09"/>
    <n v="91.15"/>
  </r>
  <r>
    <x v="34"/>
    <x v="7"/>
    <x v="3"/>
    <n v="56"/>
    <d v="1899-12-30T00:56:47"/>
    <n v="56.783333333333331"/>
  </r>
  <r>
    <x v="34"/>
    <x v="7"/>
    <x v="4"/>
    <n v="142"/>
    <d v="1899-12-30T03:05:07"/>
    <n v="185.11666666666667"/>
  </r>
  <r>
    <x v="34"/>
    <x v="7"/>
    <x v="5"/>
    <n v="38"/>
    <d v="1899-12-30T00:48:04"/>
    <n v="48.06666666666667"/>
  </r>
  <r>
    <x v="34"/>
    <x v="8"/>
    <x v="0"/>
    <n v="52"/>
    <d v="1899-12-30T00:58:27"/>
    <n v="58.45"/>
  </r>
  <r>
    <x v="34"/>
    <x v="8"/>
    <x v="1"/>
    <n v="45"/>
    <d v="1899-12-30T01:08:57"/>
    <n v="68.95"/>
  </r>
  <r>
    <x v="34"/>
    <x v="8"/>
    <x v="2"/>
    <n v="43"/>
    <d v="1899-12-30T01:08:01"/>
    <n v="68.016666666666666"/>
  </r>
  <r>
    <x v="34"/>
    <x v="8"/>
    <x v="3"/>
    <n v="30"/>
    <d v="1899-12-30T00:35:56"/>
    <n v="35.93333333333333"/>
  </r>
  <r>
    <x v="34"/>
    <x v="8"/>
    <x v="4"/>
    <n v="12"/>
    <d v="1899-12-30T00:18:59"/>
    <n v="18.983333333333334"/>
  </r>
  <r>
    <x v="34"/>
    <x v="8"/>
    <x v="5"/>
    <n v="28"/>
    <d v="1899-12-30T00:36:20"/>
    <n v="36.333333333333336"/>
  </r>
  <r>
    <x v="34"/>
    <x v="9"/>
    <x v="0"/>
    <n v="33"/>
    <d v="1899-12-30T00:36:41"/>
    <n v="36.68333333333333"/>
  </r>
  <r>
    <x v="34"/>
    <x v="9"/>
    <x v="1"/>
    <n v="21"/>
    <d v="1899-12-30T00:29:02"/>
    <n v="29.033333333333335"/>
  </r>
  <r>
    <x v="34"/>
    <x v="9"/>
    <x v="2"/>
    <n v="15"/>
    <d v="1899-12-30T00:29:00"/>
    <n v="29"/>
  </r>
  <r>
    <x v="34"/>
    <x v="9"/>
    <x v="3"/>
    <n v="11"/>
    <d v="1899-12-30T00:12:12"/>
    <n v="12.2"/>
  </r>
  <r>
    <x v="34"/>
    <x v="9"/>
    <x v="4"/>
    <n v="5"/>
    <d v="1899-12-30T00:07:06"/>
    <n v="7.1"/>
  </r>
  <r>
    <x v="34"/>
    <x v="9"/>
    <x v="5"/>
    <n v="3"/>
    <d v="1899-12-30T00:02:19"/>
    <n v="2.3166666666666664"/>
  </r>
  <r>
    <x v="34"/>
    <x v="10"/>
    <x v="0"/>
    <n v="21"/>
    <d v="1899-12-30T00:33:37"/>
    <n v="33.616666666666667"/>
  </r>
  <r>
    <x v="34"/>
    <x v="10"/>
    <x v="1"/>
    <n v="6"/>
    <d v="1899-12-30T00:07:12"/>
    <n v="7.2"/>
  </r>
  <r>
    <x v="34"/>
    <x v="10"/>
    <x v="2"/>
    <n v="8"/>
    <d v="1899-12-30T00:12:59"/>
    <n v="12.983333333333333"/>
  </r>
  <r>
    <x v="34"/>
    <x v="10"/>
    <x v="3"/>
    <n v="5"/>
    <d v="1899-12-30T00:03:06"/>
    <n v="3.1"/>
  </r>
  <r>
    <x v="34"/>
    <x v="10"/>
    <x v="4"/>
    <n v="2"/>
    <d v="1899-12-30T00:00:39"/>
    <n v="0.65"/>
  </r>
  <r>
    <x v="34"/>
    <x v="10"/>
    <x v="5"/>
    <n v="8"/>
    <d v="1899-12-30T00:10:59"/>
    <n v="10.983333333333333"/>
  </r>
  <r>
    <x v="34"/>
    <x v="11"/>
    <x v="0"/>
    <n v="13"/>
    <d v="1899-12-30T00:17:40"/>
    <n v="17.666666666666668"/>
  </r>
  <r>
    <x v="34"/>
    <x v="11"/>
    <x v="1"/>
    <n v="5"/>
    <d v="1899-12-30T00:06:25"/>
    <n v="6.416666666666667"/>
  </r>
  <r>
    <x v="34"/>
    <x v="11"/>
    <x v="2"/>
    <n v="6"/>
    <d v="1899-12-30T00:10:34"/>
    <n v="10.566666666666666"/>
  </r>
  <r>
    <x v="34"/>
    <x v="11"/>
    <x v="3"/>
    <n v="2"/>
    <d v="1899-12-30T00:01:47"/>
    <n v="1.7833333333333332"/>
  </r>
  <r>
    <x v="34"/>
    <x v="11"/>
    <x v="4"/>
    <n v="4"/>
    <d v="1899-12-30T00:03:39"/>
    <n v="3.65"/>
  </r>
  <r>
    <x v="34"/>
    <x v="11"/>
    <x v="5"/>
    <n v="4"/>
    <d v="1899-12-30T00:02:42"/>
    <n v="2.7"/>
  </r>
  <r>
    <x v="34"/>
    <x v="12"/>
    <x v="0"/>
    <n v="203"/>
    <d v="1899-12-30T05:42:29"/>
    <n v="342.48333333333335"/>
  </r>
  <r>
    <x v="34"/>
    <x v="12"/>
    <x v="1"/>
    <n v="192"/>
    <d v="1899-12-30T05:33:33"/>
    <n v="333.55"/>
  </r>
  <r>
    <x v="34"/>
    <x v="12"/>
    <x v="2"/>
    <n v="109"/>
    <d v="1899-12-30T02:54:35"/>
    <n v="174.58333333333334"/>
  </r>
  <r>
    <x v="34"/>
    <x v="12"/>
    <x v="3"/>
    <n v="81"/>
    <d v="1899-12-30T01:29:52"/>
    <n v="89.86666666666666"/>
  </r>
  <r>
    <x v="34"/>
    <x v="12"/>
    <x v="4"/>
    <n v="50"/>
    <d v="1899-12-30T01:21:42"/>
    <n v="81.7"/>
  </r>
  <r>
    <x v="34"/>
    <x v="12"/>
    <x v="5"/>
    <n v="70"/>
    <d v="1899-12-30T01:30:34"/>
    <n v="90.566666666666663"/>
  </r>
  <r>
    <x v="34"/>
    <x v="13"/>
    <x v="0"/>
    <n v="51"/>
    <d v="1899-12-30T00:43:57"/>
    <n v="43.95"/>
  </r>
  <r>
    <x v="34"/>
    <x v="13"/>
    <x v="1"/>
    <n v="36"/>
    <d v="1899-12-30T00:43:31"/>
    <n v="43.516666666666666"/>
  </r>
  <r>
    <x v="34"/>
    <x v="13"/>
    <x v="2"/>
    <n v="20"/>
    <d v="1899-12-30T00:27:33"/>
    <n v="27.55"/>
  </r>
  <r>
    <x v="34"/>
    <x v="13"/>
    <x v="3"/>
    <n v="13"/>
    <d v="1899-12-30T00:13:08"/>
    <n v="13.133333333333333"/>
  </r>
  <r>
    <x v="34"/>
    <x v="13"/>
    <x v="4"/>
    <n v="2"/>
    <d v="1899-12-30T00:00:37"/>
    <n v="0.6166666666666667"/>
  </r>
  <r>
    <x v="34"/>
    <x v="13"/>
    <x v="5"/>
    <n v="18"/>
    <d v="1899-12-30T00:13:14"/>
    <n v="13.233333333333333"/>
  </r>
  <r>
    <x v="35"/>
    <x v="0"/>
    <x v="0"/>
    <n v="23"/>
    <d v="1899-12-30T00:23:20"/>
    <n v="23.333333333333332"/>
  </r>
  <r>
    <x v="35"/>
    <x v="0"/>
    <x v="1"/>
    <n v="17"/>
    <d v="1899-12-30T00:21:48"/>
    <n v="21.8"/>
  </r>
  <r>
    <x v="35"/>
    <x v="0"/>
    <x v="2"/>
    <n v="14"/>
    <d v="1899-12-30T00:34:23"/>
    <n v="34.383333333333333"/>
  </r>
  <r>
    <x v="35"/>
    <x v="0"/>
    <x v="3"/>
    <n v="5"/>
    <d v="1899-12-30T00:03:23"/>
    <n v="3.3833333333333333"/>
  </r>
  <r>
    <x v="35"/>
    <x v="0"/>
    <x v="4"/>
    <n v="3"/>
    <d v="1899-12-30T00:02:44"/>
    <n v="2.7333333333333334"/>
  </r>
  <r>
    <x v="35"/>
    <x v="0"/>
    <x v="5"/>
    <n v="2"/>
    <d v="1899-12-30T00:02:17"/>
    <n v="2.2833333333333332"/>
  </r>
  <r>
    <x v="35"/>
    <x v="1"/>
    <x v="0"/>
    <n v="68"/>
    <d v="1899-12-30T01:41:01"/>
    <n v="101.01666666666667"/>
  </r>
  <r>
    <x v="35"/>
    <x v="1"/>
    <x v="1"/>
    <n v="57"/>
    <d v="1899-12-30T01:58:52"/>
    <n v="118.86666666666666"/>
  </r>
  <r>
    <x v="35"/>
    <x v="1"/>
    <x v="2"/>
    <n v="35"/>
    <d v="1899-12-30T01:07:31"/>
    <n v="67.516666666666666"/>
  </r>
  <r>
    <x v="35"/>
    <x v="1"/>
    <x v="3"/>
    <n v="17"/>
    <d v="1899-12-30T00:16:43"/>
    <n v="16.716666666666665"/>
  </r>
  <r>
    <x v="35"/>
    <x v="1"/>
    <x v="4"/>
    <n v="8"/>
    <d v="1899-12-30T00:18:27"/>
    <n v="18.45"/>
  </r>
  <r>
    <x v="35"/>
    <x v="1"/>
    <x v="5"/>
    <n v="25"/>
    <d v="1899-12-30T00:33:16"/>
    <n v="33.266666666666666"/>
  </r>
  <r>
    <x v="35"/>
    <x v="2"/>
    <x v="0"/>
    <n v="61"/>
    <d v="1899-12-30T01:20:32"/>
    <n v="80.533333333333331"/>
  </r>
  <r>
    <x v="35"/>
    <x v="2"/>
    <x v="1"/>
    <n v="49"/>
    <d v="1899-12-30T01:23:34"/>
    <n v="83.566666666666663"/>
  </r>
  <r>
    <x v="35"/>
    <x v="2"/>
    <x v="2"/>
    <n v="38"/>
    <d v="1899-12-30T01:05:20"/>
    <n v="65.333333333333329"/>
  </r>
  <r>
    <x v="35"/>
    <x v="2"/>
    <x v="3"/>
    <n v="20"/>
    <d v="1899-12-30T00:23:09"/>
    <n v="23.15"/>
  </r>
  <r>
    <x v="35"/>
    <x v="2"/>
    <x v="4"/>
    <n v="13"/>
    <d v="1899-12-30T00:22:03"/>
    <n v="22.05"/>
  </r>
  <r>
    <x v="35"/>
    <x v="2"/>
    <x v="5"/>
    <n v="18"/>
    <d v="1899-12-30T00:19:51"/>
    <n v="19.850000000000001"/>
  </r>
  <r>
    <x v="35"/>
    <x v="3"/>
    <x v="0"/>
    <n v="17"/>
    <d v="1899-12-30T00:18:11"/>
    <n v="18.183333333333334"/>
  </r>
  <r>
    <x v="35"/>
    <x v="3"/>
    <x v="1"/>
    <n v="9"/>
    <d v="1899-12-30T00:16:33"/>
    <n v="16.55"/>
  </r>
  <r>
    <x v="35"/>
    <x v="3"/>
    <x v="2"/>
    <n v="5"/>
    <d v="1899-12-30T00:08:49"/>
    <n v="8.8166666666666664"/>
  </r>
  <r>
    <x v="35"/>
    <x v="3"/>
    <x v="3"/>
    <n v="1"/>
    <d v="1899-12-30T00:01:30"/>
    <n v="1.5"/>
  </r>
  <r>
    <x v="35"/>
    <x v="3"/>
    <x v="4"/>
    <n v="0"/>
    <d v="1899-12-30T00:00:00"/>
    <n v="0"/>
  </r>
  <r>
    <x v="35"/>
    <x v="3"/>
    <x v="5"/>
    <n v="1"/>
    <d v="1899-12-30T00:01:43"/>
    <n v="1.7166666666666668"/>
  </r>
  <r>
    <x v="35"/>
    <x v="4"/>
    <x v="0"/>
    <n v="56"/>
    <d v="1899-12-30T01:15:15"/>
    <n v="75.25"/>
  </r>
  <r>
    <x v="35"/>
    <x v="4"/>
    <x v="1"/>
    <n v="36"/>
    <d v="1899-12-30T00:50:17"/>
    <n v="50.283333333333331"/>
  </r>
  <r>
    <x v="35"/>
    <x v="4"/>
    <x v="2"/>
    <n v="18"/>
    <d v="1899-12-30T00:24:17"/>
    <n v="24.283333333333335"/>
  </r>
  <r>
    <x v="35"/>
    <x v="4"/>
    <x v="3"/>
    <n v="10"/>
    <d v="1899-12-30T00:10:19"/>
    <n v="10.316666666666666"/>
  </r>
  <r>
    <x v="35"/>
    <x v="4"/>
    <x v="4"/>
    <n v="16"/>
    <d v="1899-12-30T00:25:43"/>
    <n v="25.716666666666665"/>
  </r>
  <r>
    <x v="35"/>
    <x v="4"/>
    <x v="5"/>
    <n v="9"/>
    <d v="1899-12-30T00:10:32"/>
    <n v="10.533333333333333"/>
  </r>
  <r>
    <x v="35"/>
    <x v="5"/>
    <x v="0"/>
    <n v="38"/>
    <d v="1899-12-30T00:46:51"/>
    <n v="46.85"/>
  </r>
  <r>
    <x v="35"/>
    <x v="5"/>
    <x v="1"/>
    <n v="33"/>
    <d v="1899-12-30T00:48:27"/>
    <n v="48.45"/>
  </r>
  <r>
    <x v="35"/>
    <x v="5"/>
    <x v="2"/>
    <n v="16"/>
    <d v="1899-12-30T00:24:42"/>
    <n v="24.7"/>
  </r>
  <r>
    <x v="35"/>
    <x v="5"/>
    <x v="3"/>
    <n v="15"/>
    <d v="1899-12-30T00:16:44"/>
    <n v="16.733333333333334"/>
  </r>
  <r>
    <x v="35"/>
    <x v="5"/>
    <x v="4"/>
    <n v="4"/>
    <d v="1899-12-30T00:03:04"/>
    <n v="3.0666666666666669"/>
  </r>
  <r>
    <x v="35"/>
    <x v="5"/>
    <x v="5"/>
    <n v="23"/>
    <d v="1899-12-30T00:27:26"/>
    <n v="27.433333333333334"/>
  </r>
  <r>
    <x v="35"/>
    <x v="6"/>
    <x v="0"/>
    <n v="10"/>
    <d v="1899-12-30T00:07:13"/>
    <n v="7.2166666666666668"/>
  </r>
  <r>
    <x v="35"/>
    <x v="6"/>
    <x v="1"/>
    <n v="7"/>
    <d v="1899-12-30T00:05:46"/>
    <n v="5.7666666666666666"/>
  </r>
  <r>
    <x v="35"/>
    <x v="6"/>
    <x v="2"/>
    <n v="4"/>
    <d v="1899-12-30T00:06:36"/>
    <n v="6.6"/>
  </r>
  <r>
    <x v="35"/>
    <x v="6"/>
    <x v="3"/>
    <n v="5"/>
    <d v="1899-12-30T00:04:52"/>
    <n v="4.8666666666666671"/>
  </r>
  <r>
    <x v="35"/>
    <x v="6"/>
    <x v="4"/>
    <n v="2"/>
    <d v="1899-12-30T00:01:08"/>
    <n v="1.1333333333333333"/>
  </r>
  <r>
    <x v="35"/>
    <x v="6"/>
    <x v="5"/>
    <n v="2"/>
    <d v="1899-12-30T00:02:07"/>
    <n v="2.1166666666666667"/>
  </r>
  <r>
    <x v="35"/>
    <x v="7"/>
    <x v="0"/>
    <n v="109"/>
    <d v="1899-12-30T02:14:35"/>
    <n v="134.58333333333334"/>
  </r>
  <r>
    <x v="35"/>
    <x v="7"/>
    <x v="1"/>
    <n v="117"/>
    <d v="1899-12-30T02:37:58"/>
    <n v="157.96666666666667"/>
  </r>
  <r>
    <x v="35"/>
    <x v="7"/>
    <x v="2"/>
    <n v="69"/>
    <d v="1899-12-30T01:46:52"/>
    <n v="106.86666666666666"/>
  </r>
  <r>
    <x v="35"/>
    <x v="7"/>
    <x v="3"/>
    <n v="72"/>
    <d v="1899-12-30T01:12:44"/>
    <n v="72.733333333333334"/>
  </r>
  <r>
    <x v="35"/>
    <x v="7"/>
    <x v="4"/>
    <n v="149"/>
    <d v="1899-12-30T03:40:23"/>
    <n v="220.38333333333333"/>
  </r>
  <r>
    <x v="35"/>
    <x v="7"/>
    <x v="5"/>
    <n v="48"/>
    <d v="1899-12-30T00:46:34"/>
    <n v="46.56666666666667"/>
  </r>
  <r>
    <x v="35"/>
    <x v="8"/>
    <x v="0"/>
    <n v="65"/>
    <d v="1899-12-30T01:29:19"/>
    <n v="89.316666666666663"/>
  </r>
  <r>
    <x v="35"/>
    <x v="8"/>
    <x v="1"/>
    <n v="51"/>
    <d v="1899-12-30T01:13:11"/>
    <n v="73.183333333333337"/>
  </r>
  <r>
    <x v="35"/>
    <x v="8"/>
    <x v="2"/>
    <n v="45"/>
    <d v="1899-12-30T01:16:35"/>
    <n v="76.583333333333329"/>
  </r>
  <r>
    <x v="35"/>
    <x v="8"/>
    <x v="3"/>
    <n v="36"/>
    <d v="1899-12-30T00:43:57"/>
    <n v="43.95"/>
  </r>
  <r>
    <x v="35"/>
    <x v="8"/>
    <x v="4"/>
    <n v="16"/>
    <d v="1899-12-30T00:21:24"/>
    <n v="21.4"/>
  </r>
  <r>
    <x v="35"/>
    <x v="8"/>
    <x v="5"/>
    <n v="37"/>
    <d v="1899-12-30T00:48:02"/>
    <n v="48.033333333333331"/>
  </r>
  <r>
    <x v="35"/>
    <x v="9"/>
    <x v="0"/>
    <n v="46"/>
    <d v="1899-12-30T01:04:02"/>
    <n v="64.033333333333331"/>
  </r>
  <r>
    <x v="35"/>
    <x v="9"/>
    <x v="1"/>
    <n v="35"/>
    <d v="1899-12-30T01:07:47"/>
    <n v="67.783333333333331"/>
  </r>
  <r>
    <x v="35"/>
    <x v="9"/>
    <x v="2"/>
    <n v="30"/>
    <d v="1899-12-30T00:53:19"/>
    <n v="53.31666666666667"/>
  </r>
  <r>
    <x v="35"/>
    <x v="9"/>
    <x v="3"/>
    <n v="13"/>
    <d v="1899-12-30T00:18:43"/>
    <n v="18.716666666666665"/>
  </r>
  <r>
    <x v="35"/>
    <x v="9"/>
    <x v="4"/>
    <n v="10"/>
    <d v="1899-12-30T00:12:10"/>
    <n v="12.166666666666666"/>
  </r>
  <r>
    <x v="35"/>
    <x v="9"/>
    <x v="5"/>
    <n v="16"/>
    <d v="1899-12-30T00:18:42"/>
    <n v="18.7"/>
  </r>
  <r>
    <x v="35"/>
    <x v="10"/>
    <x v="0"/>
    <n v="24"/>
    <d v="1899-12-30T00:38:51"/>
    <n v="38.85"/>
  </r>
  <r>
    <x v="35"/>
    <x v="10"/>
    <x v="1"/>
    <n v="20"/>
    <d v="1899-12-30T00:37:36"/>
    <n v="37.6"/>
  </r>
  <r>
    <x v="35"/>
    <x v="10"/>
    <x v="2"/>
    <n v="19"/>
    <d v="1899-12-30T00:35:26"/>
    <n v="35.43333333333333"/>
  </r>
  <r>
    <x v="35"/>
    <x v="10"/>
    <x v="3"/>
    <n v="8"/>
    <d v="1899-12-30T00:08:13"/>
    <n v="8.2166666666666668"/>
  </r>
  <r>
    <x v="35"/>
    <x v="10"/>
    <x v="4"/>
    <n v="5"/>
    <d v="1899-12-30T00:06:53"/>
    <n v="6.8833333333333329"/>
  </r>
  <r>
    <x v="35"/>
    <x v="10"/>
    <x v="5"/>
    <n v="11"/>
    <d v="1899-12-30T00:16:45"/>
    <n v="16.75"/>
  </r>
  <r>
    <x v="35"/>
    <x v="11"/>
    <x v="0"/>
    <n v="18"/>
    <d v="1899-12-30T00:21:38"/>
    <n v="21.633333333333333"/>
  </r>
  <r>
    <x v="35"/>
    <x v="11"/>
    <x v="1"/>
    <n v="12"/>
    <d v="1899-12-30T00:24:32"/>
    <n v="24.533333333333335"/>
  </r>
  <r>
    <x v="35"/>
    <x v="11"/>
    <x v="2"/>
    <n v="3"/>
    <d v="1899-12-30T00:06:01"/>
    <n v="6.0166666666666666"/>
  </r>
  <r>
    <x v="35"/>
    <x v="11"/>
    <x v="3"/>
    <n v="7"/>
    <d v="1899-12-30T00:04:53"/>
    <n v="4.8833333333333329"/>
  </r>
  <r>
    <x v="35"/>
    <x v="11"/>
    <x v="4"/>
    <n v="5"/>
    <d v="1899-12-30T00:06:00"/>
    <n v="6"/>
  </r>
  <r>
    <x v="35"/>
    <x v="11"/>
    <x v="5"/>
    <n v="6"/>
    <d v="1899-12-30T00:05:07"/>
    <n v="5.1166666666666663"/>
  </r>
  <r>
    <x v="35"/>
    <x v="12"/>
    <x v="0"/>
    <n v="159"/>
    <d v="1899-12-30T03:36:34"/>
    <n v="216.56666666666666"/>
  </r>
  <r>
    <x v="35"/>
    <x v="12"/>
    <x v="1"/>
    <n v="149"/>
    <d v="1899-12-30T03:43:21"/>
    <n v="223.35"/>
  </r>
  <r>
    <x v="35"/>
    <x v="12"/>
    <x v="2"/>
    <n v="81"/>
    <d v="1899-12-30T02:10:36"/>
    <n v="130.6"/>
  </r>
  <r>
    <x v="35"/>
    <x v="12"/>
    <x v="3"/>
    <n v="63"/>
    <d v="1899-12-30T01:04:53"/>
    <n v="64.88333333333334"/>
  </r>
  <r>
    <x v="35"/>
    <x v="12"/>
    <x v="4"/>
    <n v="52"/>
    <d v="1899-12-30T01:13:37"/>
    <n v="73.61666666666666"/>
  </r>
  <r>
    <x v="35"/>
    <x v="12"/>
    <x v="5"/>
    <n v="46"/>
    <d v="1899-12-30T00:48:04"/>
    <n v="48.06666666666667"/>
  </r>
  <r>
    <x v="35"/>
    <x v="13"/>
    <x v="0"/>
    <n v="50"/>
    <d v="1899-12-30T00:44:59"/>
    <n v="44.983333333333334"/>
  </r>
  <r>
    <x v="35"/>
    <x v="13"/>
    <x v="1"/>
    <n v="40"/>
    <d v="1899-12-30T00:34:51"/>
    <n v="34.85"/>
  </r>
  <r>
    <x v="35"/>
    <x v="13"/>
    <x v="2"/>
    <n v="19"/>
    <d v="1899-12-30T00:15:29"/>
    <n v="15.483333333333333"/>
  </r>
  <r>
    <x v="35"/>
    <x v="13"/>
    <x v="3"/>
    <n v="7"/>
    <d v="1899-12-30T00:06:58"/>
    <n v="6.9666666666666668"/>
  </r>
  <r>
    <x v="35"/>
    <x v="13"/>
    <x v="4"/>
    <n v="0"/>
    <d v="1899-12-30T00:00:00"/>
    <n v="0"/>
  </r>
  <r>
    <x v="35"/>
    <x v="13"/>
    <x v="5"/>
    <n v="17"/>
    <d v="1899-12-30T00:12:16"/>
    <n v="12.266666666666667"/>
  </r>
  <r>
    <x v="36"/>
    <x v="0"/>
    <x v="0"/>
    <n v="24"/>
    <d v="1899-12-30T00:24:31"/>
    <n v="24.516666666666666"/>
  </r>
  <r>
    <x v="36"/>
    <x v="0"/>
    <x v="1"/>
    <n v="14"/>
    <d v="1899-12-30T00:14:35"/>
    <n v="14.583333333333334"/>
  </r>
  <r>
    <x v="36"/>
    <x v="0"/>
    <x v="2"/>
    <n v="10"/>
    <d v="1899-12-30T00:12:50"/>
    <n v="12.833333333333334"/>
  </r>
  <r>
    <x v="36"/>
    <x v="0"/>
    <x v="3"/>
    <n v="3"/>
    <d v="1899-12-30T00:02:25"/>
    <n v="2.4166666666666665"/>
  </r>
  <r>
    <x v="36"/>
    <x v="0"/>
    <x v="4"/>
    <n v="2"/>
    <d v="1899-12-30T00:01:36"/>
    <n v="1.6"/>
  </r>
  <r>
    <x v="36"/>
    <x v="0"/>
    <x v="5"/>
    <n v="4"/>
    <d v="1899-12-30T00:04:41"/>
    <n v="4.6833333333333336"/>
  </r>
  <r>
    <x v="36"/>
    <x v="1"/>
    <x v="0"/>
    <n v="76"/>
    <d v="1899-12-30T01:56:44"/>
    <n v="116.73333333333333"/>
  </r>
  <r>
    <x v="36"/>
    <x v="1"/>
    <x v="1"/>
    <n v="80"/>
    <d v="1899-12-30T02:11:20"/>
    <n v="131.33333333333334"/>
  </r>
  <r>
    <x v="36"/>
    <x v="1"/>
    <x v="2"/>
    <n v="53"/>
    <d v="1899-12-30T01:53:50"/>
    <n v="113.83333333333333"/>
  </r>
  <r>
    <x v="36"/>
    <x v="1"/>
    <x v="3"/>
    <n v="34"/>
    <d v="1899-12-30T00:35:02"/>
    <n v="35.033333333333331"/>
  </r>
  <r>
    <x v="36"/>
    <x v="1"/>
    <x v="4"/>
    <n v="9"/>
    <d v="1899-12-30T00:11:36"/>
    <n v="11.6"/>
  </r>
  <r>
    <x v="36"/>
    <x v="1"/>
    <x v="5"/>
    <n v="33"/>
    <d v="1899-12-30T00:45:11"/>
    <n v="45.18333333333333"/>
  </r>
  <r>
    <x v="36"/>
    <x v="2"/>
    <x v="0"/>
    <n v="83"/>
    <d v="1899-12-30T02:10:29"/>
    <n v="130.48333333333332"/>
  </r>
  <r>
    <x v="36"/>
    <x v="2"/>
    <x v="1"/>
    <n v="89"/>
    <d v="1899-12-30T02:12:52"/>
    <n v="132.86666666666667"/>
  </r>
  <r>
    <x v="36"/>
    <x v="2"/>
    <x v="2"/>
    <n v="44"/>
    <d v="1899-12-30T01:15:51"/>
    <n v="75.849999999999994"/>
  </r>
  <r>
    <x v="36"/>
    <x v="2"/>
    <x v="3"/>
    <n v="26"/>
    <d v="1899-12-30T00:31:37"/>
    <n v="31.616666666666667"/>
  </r>
  <r>
    <x v="36"/>
    <x v="2"/>
    <x v="4"/>
    <n v="29"/>
    <d v="1899-12-30T00:42:28"/>
    <n v="42.466666666666669"/>
  </r>
  <r>
    <x v="36"/>
    <x v="2"/>
    <x v="5"/>
    <n v="24"/>
    <d v="1899-12-30T00:27:26"/>
    <n v="27.433333333333334"/>
  </r>
  <r>
    <x v="36"/>
    <x v="3"/>
    <x v="0"/>
    <n v="11"/>
    <d v="1899-12-30T00:20:36"/>
    <n v="20.6"/>
  </r>
  <r>
    <x v="36"/>
    <x v="3"/>
    <x v="1"/>
    <n v="11"/>
    <d v="1899-12-30T00:17:00"/>
    <n v="17"/>
  </r>
  <r>
    <x v="36"/>
    <x v="3"/>
    <x v="2"/>
    <n v="5"/>
    <d v="1899-12-30T00:09:32"/>
    <n v="9.5333333333333332"/>
  </r>
  <r>
    <x v="36"/>
    <x v="3"/>
    <x v="3"/>
    <n v="4"/>
    <d v="1899-12-30T00:04:54"/>
    <n v="4.9000000000000004"/>
  </r>
  <r>
    <x v="36"/>
    <x v="3"/>
    <x v="4"/>
    <n v="2"/>
    <d v="1899-12-30T00:04:21"/>
    <n v="4.3499999999999996"/>
  </r>
  <r>
    <x v="36"/>
    <x v="3"/>
    <x v="5"/>
    <n v="2"/>
    <d v="1899-12-30T00:03:23"/>
    <n v="3.3833333333333333"/>
  </r>
  <r>
    <x v="36"/>
    <x v="4"/>
    <x v="0"/>
    <n v="38"/>
    <d v="1899-12-30T00:52:03"/>
    <n v="52.05"/>
  </r>
  <r>
    <x v="36"/>
    <x v="4"/>
    <x v="1"/>
    <n v="32"/>
    <d v="1899-12-30T00:42:32"/>
    <n v="42.533333333333331"/>
  </r>
  <r>
    <x v="36"/>
    <x v="4"/>
    <x v="2"/>
    <n v="16"/>
    <d v="1899-12-30T00:25:18"/>
    <n v="25.3"/>
  </r>
  <r>
    <x v="36"/>
    <x v="4"/>
    <x v="3"/>
    <n v="4"/>
    <d v="1899-12-30T00:02:40"/>
    <n v="2.6666666666666665"/>
  </r>
  <r>
    <x v="36"/>
    <x v="4"/>
    <x v="4"/>
    <n v="5"/>
    <d v="1899-12-30T00:10:30"/>
    <n v="10.5"/>
  </r>
  <r>
    <x v="36"/>
    <x v="4"/>
    <x v="5"/>
    <n v="7"/>
    <d v="1899-12-30T00:05:35"/>
    <n v="5.583333333333333"/>
  </r>
  <r>
    <x v="36"/>
    <x v="5"/>
    <x v="0"/>
    <n v="45"/>
    <d v="1899-12-30T00:53:00"/>
    <n v="53"/>
  </r>
  <r>
    <x v="36"/>
    <x v="5"/>
    <x v="1"/>
    <n v="36"/>
    <d v="1899-12-30T00:45:42"/>
    <n v="45.7"/>
  </r>
  <r>
    <x v="36"/>
    <x v="5"/>
    <x v="2"/>
    <n v="30"/>
    <d v="1899-12-30T00:39:31"/>
    <n v="39.516666666666666"/>
  </r>
  <r>
    <x v="36"/>
    <x v="5"/>
    <x v="3"/>
    <n v="17"/>
    <d v="1899-12-30T00:15:54"/>
    <n v="15.9"/>
  </r>
  <r>
    <x v="36"/>
    <x v="5"/>
    <x v="4"/>
    <n v="0"/>
    <d v="1899-12-30T00:00:00"/>
    <n v="0"/>
  </r>
  <r>
    <x v="36"/>
    <x v="5"/>
    <x v="5"/>
    <n v="27"/>
    <d v="1899-12-30T00:28:32"/>
    <n v="28.533333333333335"/>
  </r>
  <r>
    <x v="36"/>
    <x v="6"/>
    <x v="0"/>
    <n v="21"/>
    <d v="1899-12-30T00:22:01"/>
    <n v="22.016666666666666"/>
  </r>
  <r>
    <x v="36"/>
    <x v="6"/>
    <x v="1"/>
    <n v="15"/>
    <d v="1899-12-30T00:16:46"/>
    <n v="16.766666666666666"/>
  </r>
  <r>
    <x v="36"/>
    <x v="6"/>
    <x v="2"/>
    <n v="11"/>
    <d v="1899-12-30T00:14:16"/>
    <n v="14.266666666666667"/>
  </r>
  <r>
    <x v="36"/>
    <x v="6"/>
    <x v="3"/>
    <n v="7"/>
    <d v="1899-12-30T00:06:00"/>
    <n v="6"/>
  </r>
  <r>
    <x v="36"/>
    <x v="6"/>
    <x v="4"/>
    <n v="9"/>
    <d v="1899-12-30T00:05:04"/>
    <n v="5.0666666666666664"/>
  </r>
  <r>
    <x v="36"/>
    <x v="6"/>
    <x v="5"/>
    <n v="7"/>
    <d v="1899-12-30T00:07:10"/>
    <n v="7.166666666666667"/>
  </r>
  <r>
    <x v="36"/>
    <x v="7"/>
    <x v="0"/>
    <n v="151"/>
    <d v="1899-12-30T02:54:35"/>
    <n v="174.58333333333334"/>
  </r>
  <r>
    <x v="36"/>
    <x v="7"/>
    <x v="1"/>
    <n v="144"/>
    <d v="1899-12-30T03:20:40"/>
    <n v="200.66666666666666"/>
  </r>
  <r>
    <x v="36"/>
    <x v="7"/>
    <x v="2"/>
    <n v="98"/>
    <d v="1899-12-30T02:38:19"/>
    <n v="158.31666666666666"/>
  </r>
  <r>
    <x v="36"/>
    <x v="7"/>
    <x v="3"/>
    <n v="80"/>
    <d v="1899-12-30T01:16:14"/>
    <n v="76.233333333333334"/>
  </r>
  <r>
    <x v="36"/>
    <x v="7"/>
    <x v="4"/>
    <n v="212"/>
    <d v="1899-12-30T04:22:30"/>
    <n v="262.5"/>
  </r>
  <r>
    <x v="36"/>
    <x v="7"/>
    <x v="5"/>
    <n v="41"/>
    <d v="1899-12-30T00:41:11"/>
    <n v="41.18333333333333"/>
  </r>
  <r>
    <x v="36"/>
    <x v="8"/>
    <x v="0"/>
    <n v="58"/>
    <d v="1899-12-30T01:30:33"/>
    <n v="90.55"/>
  </r>
  <r>
    <x v="36"/>
    <x v="8"/>
    <x v="1"/>
    <n v="55"/>
    <d v="1899-12-30T01:27:26"/>
    <n v="87.433333333333337"/>
  </r>
  <r>
    <x v="36"/>
    <x v="8"/>
    <x v="2"/>
    <n v="36"/>
    <d v="1899-12-30T01:03:55"/>
    <n v="63.916666666666664"/>
  </r>
  <r>
    <x v="36"/>
    <x v="8"/>
    <x v="3"/>
    <n v="32"/>
    <d v="1899-12-30T00:38:57"/>
    <n v="38.950000000000003"/>
  </r>
  <r>
    <x v="36"/>
    <x v="8"/>
    <x v="4"/>
    <n v="21"/>
    <d v="1899-12-30T00:32:32"/>
    <n v="32.533333333333331"/>
  </r>
  <r>
    <x v="36"/>
    <x v="8"/>
    <x v="5"/>
    <n v="29"/>
    <d v="1899-12-30T00:36:58"/>
    <n v="36.966666666666669"/>
  </r>
  <r>
    <x v="36"/>
    <x v="9"/>
    <x v="0"/>
    <n v="72"/>
    <d v="1899-12-30T01:37:48"/>
    <n v="97.8"/>
  </r>
  <r>
    <x v="36"/>
    <x v="9"/>
    <x v="1"/>
    <n v="65"/>
    <d v="1899-12-30T01:41:42"/>
    <n v="101.7"/>
  </r>
  <r>
    <x v="36"/>
    <x v="9"/>
    <x v="2"/>
    <n v="50"/>
    <d v="1899-12-30T01:39:54"/>
    <n v="99.9"/>
  </r>
  <r>
    <x v="36"/>
    <x v="9"/>
    <x v="3"/>
    <n v="21"/>
    <d v="1899-12-30T00:25:00"/>
    <n v="25"/>
  </r>
  <r>
    <x v="36"/>
    <x v="9"/>
    <x v="4"/>
    <n v="10"/>
    <d v="1899-12-30T00:15:00"/>
    <n v="15"/>
  </r>
  <r>
    <x v="36"/>
    <x v="9"/>
    <x v="5"/>
    <n v="30"/>
    <d v="1899-12-30T00:32:24"/>
    <n v="32.4"/>
  </r>
  <r>
    <x v="36"/>
    <x v="10"/>
    <x v="0"/>
    <n v="44"/>
    <d v="1899-12-30T01:14:15"/>
    <n v="74.25"/>
  </r>
  <r>
    <x v="36"/>
    <x v="10"/>
    <x v="1"/>
    <n v="47"/>
    <d v="1899-12-30T01:19:15"/>
    <n v="79.25"/>
  </r>
  <r>
    <x v="36"/>
    <x v="10"/>
    <x v="2"/>
    <n v="30"/>
    <d v="1899-12-30T01:03:11"/>
    <n v="63.18333333333333"/>
  </r>
  <r>
    <x v="36"/>
    <x v="10"/>
    <x v="3"/>
    <n v="14"/>
    <d v="1899-12-30T00:15:24"/>
    <n v="15.4"/>
  </r>
  <r>
    <x v="36"/>
    <x v="10"/>
    <x v="4"/>
    <n v="6"/>
    <d v="1899-12-30T00:11:04"/>
    <n v="11.066666666666666"/>
  </r>
  <r>
    <x v="36"/>
    <x v="10"/>
    <x v="5"/>
    <n v="16"/>
    <d v="1899-12-30T00:22:24"/>
    <n v="22.4"/>
  </r>
  <r>
    <x v="36"/>
    <x v="11"/>
    <x v="0"/>
    <n v="19"/>
    <d v="1899-12-30T00:29:36"/>
    <n v="29.6"/>
  </r>
  <r>
    <x v="36"/>
    <x v="11"/>
    <x v="1"/>
    <n v="15"/>
    <d v="1899-12-30T00:19:52"/>
    <n v="19.866666666666667"/>
  </r>
  <r>
    <x v="36"/>
    <x v="11"/>
    <x v="2"/>
    <n v="5"/>
    <d v="1899-12-30T00:12:37"/>
    <n v="12.616666666666667"/>
  </r>
  <r>
    <x v="36"/>
    <x v="11"/>
    <x v="3"/>
    <n v="3"/>
    <d v="1899-12-30T00:02:00"/>
    <n v="2"/>
  </r>
  <r>
    <x v="36"/>
    <x v="11"/>
    <x v="4"/>
    <n v="1"/>
    <d v="1899-12-30T00:02:00"/>
    <n v="2"/>
  </r>
  <r>
    <x v="36"/>
    <x v="11"/>
    <x v="5"/>
    <n v="4"/>
    <d v="1899-12-30T00:03:54"/>
    <n v="3.9"/>
  </r>
  <r>
    <x v="36"/>
    <x v="12"/>
    <x v="0"/>
    <n v="166"/>
    <d v="1899-12-30T03:52:32"/>
    <n v="232.53333333333333"/>
  </r>
  <r>
    <x v="36"/>
    <x v="12"/>
    <x v="1"/>
    <n v="126"/>
    <d v="1899-12-30T03:16:08"/>
    <n v="196.13333333333333"/>
  </r>
  <r>
    <x v="36"/>
    <x v="12"/>
    <x v="2"/>
    <n v="73"/>
    <d v="1899-12-30T02:09:33"/>
    <n v="129.55000000000001"/>
  </r>
  <r>
    <x v="36"/>
    <x v="12"/>
    <x v="3"/>
    <n v="65"/>
    <d v="1899-12-30T01:12:09"/>
    <n v="72.150000000000006"/>
  </r>
  <r>
    <x v="36"/>
    <x v="12"/>
    <x v="4"/>
    <n v="43"/>
    <d v="1899-12-30T00:59:02"/>
    <n v="59.033333333333331"/>
  </r>
  <r>
    <x v="36"/>
    <x v="12"/>
    <x v="5"/>
    <n v="67"/>
    <d v="1899-12-30T01:15:50"/>
    <n v="75.833333333333329"/>
  </r>
  <r>
    <x v="36"/>
    <x v="13"/>
    <x v="0"/>
    <n v="91"/>
    <d v="1899-12-30T01:20:06"/>
    <n v="80.099999999999994"/>
  </r>
  <r>
    <x v="36"/>
    <x v="13"/>
    <x v="1"/>
    <n v="81"/>
    <d v="1899-12-30T01:29:52"/>
    <n v="89.86666666666666"/>
  </r>
  <r>
    <x v="36"/>
    <x v="13"/>
    <x v="2"/>
    <n v="40"/>
    <d v="1899-12-30T00:51:43"/>
    <n v="51.716666666666669"/>
  </r>
  <r>
    <x v="36"/>
    <x v="13"/>
    <x v="3"/>
    <n v="22"/>
    <d v="1899-12-30T00:18:25"/>
    <n v="18.416666666666668"/>
  </r>
  <r>
    <x v="36"/>
    <x v="13"/>
    <x v="4"/>
    <n v="3"/>
    <d v="1899-12-30T00:04:42"/>
    <n v="4.7"/>
  </r>
  <r>
    <x v="36"/>
    <x v="13"/>
    <x v="5"/>
    <n v="28"/>
    <d v="1899-12-30T00:30:23"/>
    <n v="30.383333333333333"/>
  </r>
  <r>
    <x v="37"/>
    <x v="0"/>
    <x v="0"/>
    <n v="15"/>
    <d v="1899-12-30T00:17:10"/>
    <n v="17.166666666666668"/>
  </r>
  <r>
    <x v="37"/>
    <x v="0"/>
    <x v="1"/>
    <n v="10"/>
    <d v="1899-12-30T00:11:02"/>
    <n v="11.033333333333333"/>
  </r>
  <r>
    <x v="37"/>
    <x v="0"/>
    <x v="2"/>
    <n v="5"/>
    <d v="1899-12-30T00:09:43"/>
    <n v="9.7166666666666668"/>
  </r>
  <r>
    <x v="37"/>
    <x v="0"/>
    <x v="3"/>
    <n v="3"/>
    <d v="1899-12-30T00:04:03"/>
    <n v="4.05"/>
  </r>
  <r>
    <x v="37"/>
    <x v="0"/>
    <x v="4"/>
    <n v="4"/>
    <d v="1899-12-30T00:02:29"/>
    <n v="2.4833333333333334"/>
  </r>
  <r>
    <x v="37"/>
    <x v="0"/>
    <x v="5"/>
    <n v="8"/>
    <d v="1899-12-30T00:06:36"/>
    <n v="6.6"/>
  </r>
  <r>
    <x v="37"/>
    <x v="1"/>
    <x v="0"/>
    <n v="68"/>
    <d v="1899-12-30T01:39:08"/>
    <n v="99.13333333333334"/>
  </r>
  <r>
    <x v="37"/>
    <x v="1"/>
    <x v="1"/>
    <n v="72"/>
    <d v="1899-12-30T02:30:24"/>
    <n v="150.4"/>
  </r>
  <r>
    <x v="37"/>
    <x v="1"/>
    <x v="2"/>
    <n v="47"/>
    <d v="1899-12-30T01:27:57"/>
    <n v="87.95"/>
  </r>
  <r>
    <x v="37"/>
    <x v="1"/>
    <x v="3"/>
    <n v="26"/>
    <d v="1899-12-30T00:25:44"/>
    <n v="25.733333333333334"/>
  </r>
  <r>
    <x v="37"/>
    <x v="1"/>
    <x v="4"/>
    <n v="9"/>
    <d v="1899-12-30T00:13:45"/>
    <n v="13.75"/>
  </r>
  <r>
    <x v="37"/>
    <x v="1"/>
    <x v="5"/>
    <n v="25"/>
    <d v="1899-12-30T00:29:29"/>
    <n v="29.483333333333334"/>
  </r>
  <r>
    <x v="37"/>
    <x v="2"/>
    <x v="0"/>
    <n v="73"/>
    <d v="1899-12-30T01:51:22"/>
    <n v="111.36666666666666"/>
  </r>
  <r>
    <x v="37"/>
    <x v="2"/>
    <x v="1"/>
    <n v="69"/>
    <d v="1899-12-30T02:02:12"/>
    <n v="122.2"/>
  </r>
  <r>
    <x v="37"/>
    <x v="2"/>
    <x v="2"/>
    <n v="30"/>
    <d v="1899-12-30T01:04:55"/>
    <n v="64.916666666666671"/>
  </r>
  <r>
    <x v="37"/>
    <x v="2"/>
    <x v="3"/>
    <n v="27"/>
    <d v="1899-12-30T00:30:59"/>
    <n v="30.983333333333334"/>
  </r>
  <r>
    <x v="37"/>
    <x v="2"/>
    <x v="4"/>
    <n v="18"/>
    <d v="1899-12-30T00:21:39"/>
    <n v="21.65"/>
  </r>
  <r>
    <x v="37"/>
    <x v="2"/>
    <x v="5"/>
    <n v="17"/>
    <d v="1899-12-30T00:22:34"/>
    <n v="22.566666666666666"/>
  </r>
  <r>
    <x v="37"/>
    <x v="3"/>
    <x v="0"/>
    <n v="20"/>
    <d v="1899-12-30T00:33:55"/>
    <n v="33.916666666666664"/>
  </r>
  <r>
    <x v="37"/>
    <x v="3"/>
    <x v="1"/>
    <n v="13"/>
    <d v="1899-12-30T00:22:30"/>
    <n v="22.5"/>
  </r>
  <r>
    <x v="37"/>
    <x v="3"/>
    <x v="2"/>
    <n v="11"/>
    <d v="1899-12-30T00:21:10"/>
    <n v="21.166666666666668"/>
  </r>
  <r>
    <x v="37"/>
    <x v="3"/>
    <x v="3"/>
    <n v="5"/>
    <d v="1899-12-30T00:07:03"/>
    <n v="7.05"/>
  </r>
  <r>
    <x v="37"/>
    <x v="3"/>
    <x v="4"/>
    <n v="2"/>
    <d v="1899-12-30T00:05:37"/>
    <n v="5.6166666666666671"/>
  </r>
  <r>
    <x v="37"/>
    <x v="3"/>
    <x v="5"/>
    <n v="7"/>
    <d v="1899-12-30T00:09:55"/>
    <n v="9.9166666666666661"/>
  </r>
  <r>
    <x v="37"/>
    <x v="4"/>
    <x v="0"/>
    <n v="28"/>
    <d v="1899-12-30T00:42:32"/>
    <n v="42.533333333333331"/>
  </r>
  <r>
    <x v="37"/>
    <x v="4"/>
    <x v="1"/>
    <n v="13"/>
    <d v="1899-12-30T00:21:12"/>
    <n v="21.2"/>
  </r>
  <r>
    <x v="37"/>
    <x v="4"/>
    <x v="2"/>
    <n v="9"/>
    <d v="1899-12-30T00:16:41"/>
    <n v="16.683333333333334"/>
  </r>
  <r>
    <x v="37"/>
    <x v="4"/>
    <x v="3"/>
    <n v="13"/>
    <d v="1899-12-30T00:08:25"/>
    <n v="8.4166666666666661"/>
  </r>
  <r>
    <x v="37"/>
    <x v="4"/>
    <x v="4"/>
    <n v="3"/>
    <d v="1899-12-30T00:04:21"/>
    <n v="4.3499999999999996"/>
  </r>
  <r>
    <x v="37"/>
    <x v="4"/>
    <x v="5"/>
    <n v="3"/>
    <d v="1899-12-30T00:03:26"/>
    <n v="3.4333333333333336"/>
  </r>
  <r>
    <x v="37"/>
    <x v="5"/>
    <x v="0"/>
    <n v="19"/>
    <d v="1899-12-30T00:25:19"/>
    <n v="25.316666666666666"/>
  </r>
  <r>
    <x v="37"/>
    <x v="5"/>
    <x v="1"/>
    <n v="9"/>
    <d v="1899-12-30T00:14:19"/>
    <n v="14.316666666666666"/>
  </r>
  <r>
    <x v="37"/>
    <x v="5"/>
    <x v="2"/>
    <n v="11"/>
    <d v="1899-12-30T00:11:34"/>
    <n v="11.566666666666666"/>
  </r>
  <r>
    <x v="37"/>
    <x v="5"/>
    <x v="3"/>
    <n v="11"/>
    <d v="1899-12-30T00:09:41"/>
    <n v="9.6833333333333336"/>
  </r>
  <r>
    <x v="37"/>
    <x v="5"/>
    <x v="4"/>
    <n v="3"/>
    <d v="1899-12-30T00:02:21"/>
    <n v="2.35"/>
  </r>
  <r>
    <x v="37"/>
    <x v="5"/>
    <x v="5"/>
    <n v="16"/>
    <d v="1899-12-30T00:14:52"/>
    <n v="14.866666666666667"/>
  </r>
  <r>
    <x v="37"/>
    <x v="6"/>
    <x v="0"/>
    <n v="15"/>
    <d v="1899-12-30T00:29:08"/>
    <n v="29.133333333333333"/>
  </r>
  <r>
    <x v="37"/>
    <x v="6"/>
    <x v="1"/>
    <n v="9"/>
    <d v="1899-12-30T00:16:55"/>
    <n v="16.916666666666668"/>
  </r>
  <r>
    <x v="37"/>
    <x v="6"/>
    <x v="2"/>
    <n v="2"/>
    <d v="1899-12-30T00:03:50"/>
    <n v="3.8333333333333335"/>
  </r>
  <r>
    <x v="37"/>
    <x v="6"/>
    <x v="3"/>
    <n v="5"/>
    <d v="1899-12-30T00:05:51"/>
    <n v="5.85"/>
  </r>
  <r>
    <x v="37"/>
    <x v="6"/>
    <x v="4"/>
    <n v="2"/>
    <d v="1899-12-30T00:02:01"/>
    <n v="2.0166666666666666"/>
  </r>
  <r>
    <x v="37"/>
    <x v="6"/>
    <x v="5"/>
    <n v="4"/>
    <d v="1899-12-30T00:07:32"/>
    <n v="7.5333333333333332"/>
  </r>
  <r>
    <x v="37"/>
    <x v="7"/>
    <x v="0"/>
    <n v="103"/>
    <d v="1899-12-30T01:43:19"/>
    <n v="103.31666666666666"/>
  </r>
  <r>
    <x v="37"/>
    <x v="7"/>
    <x v="1"/>
    <n v="102"/>
    <d v="1899-12-30T02:18:30"/>
    <n v="138.5"/>
  </r>
  <r>
    <x v="37"/>
    <x v="7"/>
    <x v="2"/>
    <n v="70"/>
    <d v="1899-12-30T01:57:05"/>
    <n v="117.08333333333333"/>
  </r>
  <r>
    <x v="37"/>
    <x v="7"/>
    <x v="3"/>
    <n v="73"/>
    <d v="1899-12-30T01:09:54"/>
    <n v="69.900000000000006"/>
  </r>
  <r>
    <x v="37"/>
    <x v="7"/>
    <x v="4"/>
    <n v="166"/>
    <d v="1899-12-30T03:24:12"/>
    <n v="204.2"/>
  </r>
  <r>
    <x v="37"/>
    <x v="7"/>
    <x v="5"/>
    <n v="36"/>
    <d v="1899-12-30T00:41:07"/>
    <n v="41.116666666666667"/>
  </r>
  <r>
    <x v="37"/>
    <x v="8"/>
    <x v="0"/>
    <n v="43"/>
    <d v="1899-12-30T01:10:53"/>
    <n v="70.88333333333334"/>
  </r>
  <r>
    <x v="37"/>
    <x v="8"/>
    <x v="1"/>
    <n v="46"/>
    <d v="1899-12-30T01:02:18"/>
    <n v="62.3"/>
  </r>
  <r>
    <x v="37"/>
    <x v="8"/>
    <x v="2"/>
    <n v="32"/>
    <d v="1899-12-30T00:49:15"/>
    <n v="49.25"/>
  </r>
  <r>
    <x v="37"/>
    <x v="8"/>
    <x v="3"/>
    <n v="34"/>
    <d v="1899-12-30T00:37:48"/>
    <n v="37.799999999999997"/>
  </r>
  <r>
    <x v="37"/>
    <x v="8"/>
    <x v="4"/>
    <n v="18"/>
    <d v="1899-12-30T00:19:16"/>
    <n v="19.266666666666666"/>
  </r>
  <r>
    <x v="37"/>
    <x v="8"/>
    <x v="5"/>
    <n v="20"/>
    <d v="1899-12-30T00:26:04"/>
    <n v="26.066666666666666"/>
  </r>
  <r>
    <x v="37"/>
    <x v="9"/>
    <x v="0"/>
    <n v="55"/>
    <d v="1899-12-30T01:18:25"/>
    <n v="78.416666666666671"/>
  </r>
  <r>
    <x v="37"/>
    <x v="9"/>
    <x v="1"/>
    <n v="53"/>
    <d v="1899-12-30T01:46:33"/>
    <n v="106.55"/>
  </r>
  <r>
    <x v="37"/>
    <x v="9"/>
    <x v="2"/>
    <n v="53"/>
    <d v="1899-12-30T01:39:23"/>
    <n v="99.38333333333334"/>
  </r>
  <r>
    <x v="37"/>
    <x v="9"/>
    <x v="3"/>
    <n v="22"/>
    <d v="1899-12-30T00:25:07"/>
    <n v="25.116666666666667"/>
  </r>
  <r>
    <x v="37"/>
    <x v="9"/>
    <x v="4"/>
    <n v="15"/>
    <d v="1899-12-30T00:23:32"/>
    <n v="23.533333333333335"/>
  </r>
  <r>
    <x v="37"/>
    <x v="9"/>
    <x v="5"/>
    <n v="26"/>
    <d v="1899-12-30T00:37:30"/>
    <n v="37.5"/>
  </r>
  <r>
    <x v="37"/>
    <x v="10"/>
    <x v="0"/>
    <n v="21"/>
    <d v="1899-12-30T00:36:22"/>
    <n v="36.366666666666667"/>
  </r>
  <r>
    <x v="37"/>
    <x v="10"/>
    <x v="1"/>
    <n v="21"/>
    <d v="1899-12-30T00:41:02"/>
    <n v="41.033333333333331"/>
  </r>
  <r>
    <x v="37"/>
    <x v="10"/>
    <x v="2"/>
    <n v="11"/>
    <d v="1899-12-30T00:22:18"/>
    <n v="22.3"/>
  </r>
  <r>
    <x v="37"/>
    <x v="10"/>
    <x v="3"/>
    <n v="10"/>
    <d v="1899-12-30T00:08:49"/>
    <n v="8.8166666666666664"/>
  </r>
  <r>
    <x v="37"/>
    <x v="10"/>
    <x v="4"/>
    <n v="3"/>
    <d v="1899-12-30T00:06:16"/>
    <n v="6.2666666666666666"/>
  </r>
  <r>
    <x v="37"/>
    <x v="10"/>
    <x v="5"/>
    <n v="11"/>
    <d v="1899-12-30T00:14:01"/>
    <n v="14.016666666666667"/>
  </r>
  <r>
    <x v="37"/>
    <x v="11"/>
    <x v="0"/>
    <n v="36"/>
    <d v="1899-12-30T00:52:43"/>
    <n v="52.716666666666669"/>
  </r>
  <r>
    <x v="37"/>
    <x v="11"/>
    <x v="1"/>
    <n v="11"/>
    <d v="1899-12-30T00:15:02"/>
    <n v="15.033333333333333"/>
  </r>
  <r>
    <x v="37"/>
    <x v="11"/>
    <x v="2"/>
    <n v="5"/>
    <d v="1899-12-30T00:08:55"/>
    <n v="8.9166666666666661"/>
  </r>
  <r>
    <x v="37"/>
    <x v="11"/>
    <x v="3"/>
    <n v="5"/>
    <d v="1899-12-30T00:02:10"/>
    <n v="2.1666666666666665"/>
  </r>
  <r>
    <x v="37"/>
    <x v="11"/>
    <x v="4"/>
    <n v="3"/>
    <d v="1899-12-30T00:01:29"/>
    <n v="1.4833333333333334"/>
  </r>
  <r>
    <x v="37"/>
    <x v="11"/>
    <x v="5"/>
    <n v="9"/>
    <d v="1899-12-30T00:07:05"/>
    <n v="7.083333333333333"/>
  </r>
  <r>
    <x v="37"/>
    <x v="12"/>
    <x v="0"/>
    <n v="136"/>
    <d v="1899-12-30T03:19:51"/>
    <n v="199.85"/>
  </r>
  <r>
    <x v="37"/>
    <x v="12"/>
    <x v="1"/>
    <n v="96"/>
    <d v="1899-12-30T02:37:46"/>
    <n v="157.76666666666668"/>
  </r>
  <r>
    <x v="37"/>
    <x v="12"/>
    <x v="2"/>
    <n v="72"/>
    <d v="1899-12-30T02:10:16"/>
    <n v="130.26666666666668"/>
  </r>
  <r>
    <x v="37"/>
    <x v="12"/>
    <x v="3"/>
    <n v="53"/>
    <d v="1899-12-30T00:52:39"/>
    <n v="52.65"/>
  </r>
  <r>
    <x v="37"/>
    <x v="12"/>
    <x v="4"/>
    <n v="35"/>
    <d v="1899-12-30T00:51:52"/>
    <n v="51.866666666666667"/>
  </r>
  <r>
    <x v="37"/>
    <x v="12"/>
    <x v="5"/>
    <n v="49"/>
    <d v="1899-12-30T00:52:19"/>
    <n v="52.31666666666667"/>
  </r>
  <r>
    <x v="37"/>
    <x v="13"/>
    <x v="0"/>
    <n v="56"/>
    <d v="1899-12-30T00:49:07"/>
    <n v="49.116666666666667"/>
  </r>
  <r>
    <x v="37"/>
    <x v="13"/>
    <x v="1"/>
    <n v="57"/>
    <d v="1899-12-30T01:02:15"/>
    <n v="62.25"/>
  </r>
  <r>
    <x v="37"/>
    <x v="13"/>
    <x v="2"/>
    <n v="31"/>
    <d v="1899-12-30T00:39:29"/>
    <n v="39.483333333333334"/>
  </r>
  <r>
    <x v="37"/>
    <x v="13"/>
    <x v="3"/>
    <n v="17"/>
    <d v="1899-12-30T00:12:07"/>
    <n v="12.116666666666667"/>
  </r>
  <r>
    <x v="37"/>
    <x v="13"/>
    <x v="4"/>
    <n v="0"/>
    <d v="1899-12-30T00:00:00"/>
    <n v="0"/>
  </r>
  <r>
    <x v="37"/>
    <x v="13"/>
    <x v="5"/>
    <n v="27"/>
    <d v="1899-12-30T00:27:41"/>
    <n v="27.683333333333334"/>
  </r>
  <r>
    <x v="38"/>
    <x v="0"/>
    <x v="0"/>
    <n v="16"/>
    <d v="1899-12-30T00:22:22"/>
    <n v="22.366666666666667"/>
  </r>
  <r>
    <x v="38"/>
    <x v="0"/>
    <x v="1"/>
    <n v="24"/>
    <d v="1899-12-30T00:26:29"/>
    <n v="26.483333333333334"/>
  </r>
  <r>
    <x v="38"/>
    <x v="0"/>
    <x v="2"/>
    <n v="10"/>
    <d v="1899-12-30T00:10:29"/>
    <n v="10.483333333333333"/>
  </r>
  <r>
    <x v="38"/>
    <x v="0"/>
    <x v="3"/>
    <n v="4"/>
    <d v="1899-12-30T00:01:47"/>
    <n v="1.7833333333333332"/>
  </r>
  <r>
    <x v="38"/>
    <x v="0"/>
    <x v="4"/>
    <n v="1"/>
    <d v="1899-12-30T00:00:21"/>
    <n v="0.35"/>
  </r>
  <r>
    <x v="38"/>
    <x v="0"/>
    <x v="5"/>
    <n v="6"/>
    <d v="1899-12-30T00:04:21"/>
    <n v="4.3499999999999996"/>
  </r>
  <r>
    <x v="38"/>
    <x v="1"/>
    <x v="0"/>
    <n v="51"/>
    <d v="1899-12-30T01:19:18"/>
    <n v="79.3"/>
  </r>
  <r>
    <x v="38"/>
    <x v="1"/>
    <x v="1"/>
    <n v="44"/>
    <d v="1899-12-30T01:20:53"/>
    <n v="80.88333333333334"/>
  </r>
  <r>
    <x v="38"/>
    <x v="1"/>
    <x v="2"/>
    <n v="29"/>
    <d v="1899-12-30T00:58:35"/>
    <n v="58.583333333333336"/>
  </r>
  <r>
    <x v="38"/>
    <x v="1"/>
    <x v="3"/>
    <n v="14"/>
    <d v="1899-12-30T00:15:42"/>
    <n v="15.7"/>
  </r>
  <r>
    <x v="38"/>
    <x v="1"/>
    <x v="4"/>
    <n v="2"/>
    <d v="1899-12-30T00:05:16"/>
    <n v="5.2666666666666666"/>
  </r>
  <r>
    <x v="38"/>
    <x v="1"/>
    <x v="5"/>
    <n v="19"/>
    <d v="1899-12-30T00:22:11"/>
    <n v="22.183333333333334"/>
  </r>
  <r>
    <x v="38"/>
    <x v="2"/>
    <x v="0"/>
    <n v="68"/>
    <d v="1899-12-30T01:39:06"/>
    <n v="99.1"/>
  </r>
  <r>
    <x v="38"/>
    <x v="2"/>
    <x v="1"/>
    <n v="51"/>
    <d v="1899-12-30T01:20:11"/>
    <n v="80.183333333333337"/>
  </r>
  <r>
    <x v="38"/>
    <x v="2"/>
    <x v="2"/>
    <n v="29"/>
    <d v="1899-12-30T00:41:09"/>
    <n v="41.15"/>
  </r>
  <r>
    <x v="38"/>
    <x v="2"/>
    <x v="3"/>
    <n v="27"/>
    <d v="1899-12-30T00:23:23"/>
    <n v="23.383333333333333"/>
  </r>
  <r>
    <x v="38"/>
    <x v="2"/>
    <x v="4"/>
    <n v="14"/>
    <d v="1899-12-30T00:19:40"/>
    <n v="19.666666666666668"/>
  </r>
  <r>
    <x v="38"/>
    <x v="2"/>
    <x v="5"/>
    <n v="15"/>
    <d v="1899-12-30T00:20:45"/>
    <n v="20.75"/>
  </r>
  <r>
    <x v="38"/>
    <x v="3"/>
    <x v="0"/>
    <n v="17"/>
    <d v="1899-12-30T00:26:58"/>
    <n v="26.966666666666665"/>
  </r>
  <r>
    <x v="38"/>
    <x v="3"/>
    <x v="1"/>
    <n v="12"/>
    <d v="1899-12-30T00:21:21"/>
    <n v="21.35"/>
  </r>
  <r>
    <x v="38"/>
    <x v="3"/>
    <x v="2"/>
    <n v="2"/>
    <d v="1899-12-30T00:03:11"/>
    <n v="3.1833333333333331"/>
  </r>
  <r>
    <x v="38"/>
    <x v="3"/>
    <x v="3"/>
    <n v="3"/>
    <d v="1899-12-30T00:03:05"/>
    <n v="3.0833333333333335"/>
  </r>
  <r>
    <x v="38"/>
    <x v="3"/>
    <x v="4"/>
    <n v="4"/>
    <d v="1899-12-30T00:03:11"/>
    <n v="3.1833333333333331"/>
  </r>
  <r>
    <x v="38"/>
    <x v="3"/>
    <x v="5"/>
    <n v="5"/>
    <d v="1899-12-30T00:05:43"/>
    <n v="5.7166666666666668"/>
  </r>
  <r>
    <x v="38"/>
    <x v="4"/>
    <x v="0"/>
    <n v="38"/>
    <d v="1899-12-30T00:52:22"/>
    <n v="52.366666666666667"/>
  </r>
  <r>
    <x v="38"/>
    <x v="4"/>
    <x v="1"/>
    <n v="21"/>
    <d v="1899-12-30T00:28:26"/>
    <n v="28.433333333333334"/>
  </r>
  <r>
    <x v="38"/>
    <x v="4"/>
    <x v="2"/>
    <n v="26"/>
    <d v="1899-12-30T00:33:10"/>
    <n v="33.166666666666664"/>
  </r>
  <r>
    <x v="38"/>
    <x v="4"/>
    <x v="3"/>
    <n v="12"/>
    <d v="1899-12-30T00:06:39"/>
    <n v="6.65"/>
  </r>
  <r>
    <x v="38"/>
    <x v="4"/>
    <x v="4"/>
    <n v="7"/>
    <d v="1899-12-30T00:07:37"/>
    <n v="7.6166666666666671"/>
  </r>
  <r>
    <x v="38"/>
    <x v="4"/>
    <x v="5"/>
    <n v="14"/>
    <d v="1899-12-30T00:16:04"/>
    <n v="16.066666666666666"/>
  </r>
  <r>
    <x v="38"/>
    <x v="5"/>
    <x v="0"/>
    <n v="22"/>
    <d v="1899-12-30T00:31:53"/>
    <n v="31.883333333333333"/>
  </r>
  <r>
    <x v="38"/>
    <x v="5"/>
    <x v="1"/>
    <n v="18"/>
    <d v="1899-12-30T00:29:07"/>
    <n v="29.116666666666667"/>
  </r>
  <r>
    <x v="38"/>
    <x v="5"/>
    <x v="2"/>
    <n v="13"/>
    <d v="1899-12-30T00:16:08"/>
    <n v="16.133333333333333"/>
  </r>
  <r>
    <x v="38"/>
    <x v="5"/>
    <x v="3"/>
    <n v="16"/>
    <d v="1899-12-30T00:16:39"/>
    <n v="16.649999999999999"/>
  </r>
  <r>
    <x v="38"/>
    <x v="5"/>
    <x v="4"/>
    <n v="2"/>
    <d v="1899-12-30T00:04:01"/>
    <n v="4.0166666666666666"/>
  </r>
  <r>
    <x v="38"/>
    <x v="5"/>
    <x v="5"/>
    <n v="9"/>
    <d v="1899-12-30T00:11:14"/>
    <n v="11.233333333333333"/>
  </r>
  <r>
    <x v="38"/>
    <x v="6"/>
    <x v="0"/>
    <n v="14"/>
    <d v="1899-12-30T00:20:50"/>
    <n v="20.833333333333332"/>
  </r>
  <r>
    <x v="38"/>
    <x v="6"/>
    <x v="1"/>
    <n v="21"/>
    <d v="1899-12-30T00:39:28"/>
    <n v="39.466666666666669"/>
  </r>
  <r>
    <x v="38"/>
    <x v="6"/>
    <x v="2"/>
    <n v="10"/>
    <d v="1899-12-30T00:23:34"/>
    <n v="23.566666666666666"/>
  </r>
  <r>
    <x v="38"/>
    <x v="6"/>
    <x v="3"/>
    <n v="7"/>
    <d v="1899-12-30T00:08:28"/>
    <n v="8.4666666666666668"/>
  </r>
  <r>
    <x v="38"/>
    <x v="6"/>
    <x v="4"/>
    <n v="8"/>
    <d v="1899-12-30T00:11:38"/>
    <n v="11.633333333333333"/>
  </r>
  <r>
    <x v="38"/>
    <x v="6"/>
    <x v="5"/>
    <n v="5"/>
    <d v="1899-12-30T00:05:49"/>
    <n v="5.8166666666666664"/>
  </r>
  <r>
    <x v="38"/>
    <x v="7"/>
    <x v="0"/>
    <n v="95"/>
    <d v="1899-12-30T01:51:11"/>
    <n v="111.18333333333334"/>
  </r>
  <r>
    <x v="38"/>
    <x v="7"/>
    <x v="1"/>
    <n v="99"/>
    <d v="1899-12-30T02:01:10"/>
    <n v="121.16666666666667"/>
  </r>
  <r>
    <x v="38"/>
    <x v="7"/>
    <x v="2"/>
    <n v="52"/>
    <d v="1899-12-30T01:19:23"/>
    <n v="79.38333333333334"/>
  </r>
  <r>
    <x v="38"/>
    <x v="7"/>
    <x v="3"/>
    <n v="61"/>
    <d v="1899-12-30T00:51:18"/>
    <n v="51.3"/>
  </r>
  <r>
    <x v="38"/>
    <x v="7"/>
    <x v="4"/>
    <n v="152"/>
    <d v="1899-12-30T03:14:12"/>
    <n v="194.2"/>
  </r>
  <r>
    <x v="38"/>
    <x v="7"/>
    <x v="5"/>
    <n v="27"/>
    <d v="1899-12-30T00:31:00"/>
    <n v="31"/>
  </r>
  <r>
    <x v="38"/>
    <x v="8"/>
    <x v="0"/>
    <n v="39"/>
    <d v="1899-12-30T00:48:35"/>
    <n v="48.583333333333336"/>
  </r>
  <r>
    <x v="38"/>
    <x v="8"/>
    <x v="1"/>
    <n v="43"/>
    <d v="1899-12-30T01:02:49"/>
    <n v="62.81666666666667"/>
  </r>
  <r>
    <x v="38"/>
    <x v="8"/>
    <x v="2"/>
    <n v="35"/>
    <d v="1899-12-30T01:15:03"/>
    <n v="75.05"/>
  </r>
  <r>
    <x v="38"/>
    <x v="8"/>
    <x v="3"/>
    <n v="39"/>
    <d v="1899-12-30T00:38:24"/>
    <n v="38.4"/>
  </r>
  <r>
    <x v="38"/>
    <x v="8"/>
    <x v="4"/>
    <n v="15"/>
    <d v="1899-12-30T00:12:10"/>
    <n v="12.166666666666666"/>
  </r>
  <r>
    <x v="38"/>
    <x v="8"/>
    <x v="5"/>
    <n v="29"/>
    <d v="1899-12-30T00:34:35"/>
    <n v="34.583333333333336"/>
  </r>
  <r>
    <x v="38"/>
    <x v="9"/>
    <x v="0"/>
    <n v="58"/>
    <d v="1899-12-30T01:38:34"/>
    <n v="98.566666666666663"/>
  </r>
  <r>
    <x v="38"/>
    <x v="9"/>
    <x v="1"/>
    <n v="67"/>
    <d v="1899-12-30T01:27:58"/>
    <n v="87.966666666666669"/>
  </r>
  <r>
    <x v="38"/>
    <x v="9"/>
    <x v="2"/>
    <n v="68"/>
    <d v="1899-12-30T02:14:28"/>
    <n v="134.46666666666667"/>
  </r>
  <r>
    <x v="38"/>
    <x v="9"/>
    <x v="3"/>
    <n v="42"/>
    <d v="1899-12-30T00:58:38"/>
    <n v="58.633333333333333"/>
  </r>
  <r>
    <x v="38"/>
    <x v="9"/>
    <x v="4"/>
    <n v="13"/>
    <d v="1899-12-30T00:27:42"/>
    <n v="27.7"/>
  </r>
  <r>
    <x v="38"/>
    <x v="9"/>
    <x v="5"/>
    <n v="37"/>
    <d v="1899-12-30T00:49:03"/>
    <n v="49.05"/>
  </r>
  <r>
    <x v="38"/>
    <x v="10"/>
    <x v="0"/>
    <n v="24"/>
    <d v="1899-12-30T00:39:48"/>
    <n v="39.799999999999997"/>
  </r>
  <r>
    <x v="38"/>
    <x v="10"/>
    <x v="1"/>
    <n v="19"/>
    <d v="1899-12-30T00:35:17"/>
    <n v="35.283333333333331"/>
  </r>
  <r>
    <x v="38"/>
    <x v="10"/>
    <x v="2"/>
    <n v="16"/>
    <d v="1899-12-30T00:36:05"/>
    <n v="36.083333333333336"/>
  </r>
  <r>
    <x v="38"/>
    <x v="10"/>
    <x v="3"/>
    <n v="13"/>
    <d v="1899-12-30T00:12:29"/>
    <n v="12.483333333333333"/>
  </r>
  <r>
    <x v="38"/>
    <x v="10"/>
    <x v="4"/>
    <n v="7"/>
    <d v="1899-12-30T00:12:05"/>
    <n v="12.083333333333334"/>
  </r>
  <r>
    <x v="38"/>
    <x v="10"/>
    <x v="5"/>
    <n v="20"/>
    <d v="1899-12-30T00:24:04"/>
    <n v="24.066666666666666"/>
  </r>
  <r>
    <x v="38"/>
    <x v="11"/>
    <x v="0"/>
    <n v="33"/>
    <d v="1899-12-30T00:47:37"/>
    <n v="47.616666666666667"/>
  </r>
  <r>
    <x v="38"/>
    <x v="11"/>
    <x v="1"/>
    <n v="13"/>
    <d v="1899-12-30T00:21:08"/>
    <n v="21.133333333333333"/>
  </r>
  <r>
    <x v="38"/>
    <x v="11"/>
    <x v="2"/>
    <n v="8"/>
    <d v="1899-12-30T00:11:45"/>
    <n v="11.75"/>
  </r>
  <r>
    <x v="38"/>
    <x v="11"/>
    <x v="3"/>
    <n v="4"/>
    <d v="1899-12-30T00:03:25"/>
    <n v="3.4166666666666665"/>
  </r>
  <r>
    <x v="38"/>
    <x v="11"/>
    <x v="4"/>
    <n v="6"/>
    <d v="1899-12-30T00:06:58"/>
    <n v="6.9666666666666668"/>
  </r>
  <r>
    <x v="38"/>
    <x v="11"/>
    <x v="5"/>
    <n v="3"/>
    <d v="1899-12-30T00:02:12"/>
    <n v="2.2000000000000002"/>
  </r>
  <r>
    <x v="38"/>
    <x v="12"/>
    <x v="0"/>
    <n v="134"/>
    <d v="1899-12-30T03:05:08"/>
    <n v="185.13333333333333"/>
  </r>
  <r>
    <x v="38"/>
    <x v="12"/>
    <x v="1"/>
    <n v="98"/>
    <d v="1899-12-30T03:00:16"/>
    <n v="180.26666666666668"/>
  </r>
  <r>
    <x v="38"/>
    <x v="12"/>
    <x v="2"/>
    <n v="45"/>
    <d v="1899-12-30T01:08:31"/>
    <n v="68.516666666666666"/>
  </r>
  <r>
    <x v="38"/>
    <x v="12"/>
    <x v="3"/>
    <n v="61"/>
    <d v="1899-12-30T00:54:37"/>
    <n v="54.616666666666667"/>
  </r>
  <r>
    <x v="38"/>
    <x v="12"/>
    <x v="4"/>
    <n v="42"/>
    <d v="1899-12-30T00:58:26"/>
    <n v="58.43333333333333"/>
  </r>
  <r>
    <x v="38"/>
    <x v="12"/>
    <x v="5"/>
    <n v="43"/>
    <d v="1899-12-30T00:46:22"/>
    <n v="46.366666666666667"/>
  </r>
  <r>
    <x v="38"/>
    <x v="13"/>
    <x v="0"/>
    <n v="69"/>
    <d v="1899-12-30T01:14:12"/>
    <n v="74.2"/>
  </r>
  <r>
    <x v="38"/>
    <x v="13"/>
    <x v="1"/>
    <n v="72"/>
    <d v="1899-12-30T01:11:25"/>
    <n v="71.416666666666671"/>
  </r>
  <r>
    <x v="38"/>
    <x v="13"/>
    <x v="2"/>
    <n v="35"/>
    <d v="1899-12-30T00:44:58"/>
    <n v="44.966666666666669"/>
  </r>
  <r>
    <x v="38"/>
    <x v="13"/>
    <x v="3"/>
    <n v="20"/>
    <d v="1899-12-30T00:13:51"/>
    <n v="13.85"/>
  </r>
  <r>
    <x v="38"/>
    <x v="13"/>
    <x v="4"/>
    <n v="6"/>
    <d v="1899-12-30T00:13:45"/>
    <n v="13.75"/>
  </r>
  <r>
    <x v="38"/>
    <x v="13"/>
    <x v="5"/>
    <n v="33"/>
    <d v="1899-12-30T00:32:56"/>
    <n v="32.93333333333333"/>
  </r>
  <r>
    <x v="39"/>
    <x v="0"/>
    <x v="0"/>
    <n v="19"/>
    <d v="1899-12-30T00:19:34"/>
    <n v="19.566666666666666"/>
  </r>
  <r>
    <x v="39"/>
    <x v="0"/>
    <x v="1"/>
    <n v="18"/>
    <d v="1899-12-30T00:22:42"/>
    <n v="22.7"/>
  </r>
  <r>
    <x v="39"/>
    <x v="0"/>
    <x v="2"/>
    <n v="12"/>
    <d v="1899-12-30T00:12:04"/>
    <n v="12.066666666666666"/>
  </r>
  <r>
    <x v="39"/>
    <x v="0"/>
    <x v="3"/>
    <n v="5"/>
    <d v="1899-12-30T00:03:19"/>
    <n v="3.3166666666666664"/>
  </r>
  <r>
    <x v="39"/>
    <x v="0"/>
    <x v="4"/>
    <n v="2"/>
    <d v="1899-12-30T00:00:43"/>
    <n v="0.71666666666666667"/>
  </r>
  <r>
    <x v="39"/>
    <x v="0"/>
    <x v="5"/>
    <n v="10"/>
    <d v="1899-12-30T00:09:38"/>
    <n v="9.6333333333333329"/>
  </r>
  <r>
    <x v="39"/>
    <x v="1"/>
    <x v="0"/>
    <n v="57"/>
    <d v="1899-12-30T01:29:06"/>
    <n v="89.1"/>
  </r>
  <r>
    <x v="39"/>
    <x v="1"/>
    <x v="1"/>
    <n v="55"/>
    <d v="1899-12-30T01:47:40"/>
    <n v="107.66666666666667"/>
  </r>
  <r>
    <x v="39"/>
    <x v="1"/>
    <x v="2"/>
    <n v="42"/>
    <d v="1899-12-30T01:27:42"/>
    <n v="87.7"/>
  </r>
  <r>
    <x v="39"/>
    <x v="1"/>
    <x v="3"/>
    <n v="19"/>
    <d v="1899-12-30T00:19:07"/>
    <n v="19.116666666666667"/>
  </r>
  <r>
    <x v="39"/>
    <x v="1"/>
    <x v="4"/>
    <n v="2"/>
    <d v="1899-12-30T00:00:45"/>
    <n v="0.75"/>
  </r>
  <r>
    <x v="39"/>
    <x v="1"/>
    <x v="5"/>
    <n v="31"/>
    <d v="1899-12-30T00:42:18"/>
    <n v="42.3"/>
  </r>
  <r>
    <x v="39"/>
    <x v="2"/>
    <x v="0"/>
    <n v="98"/>
    <d v="1899-12-30T02:18:01"/>
    <n v="138.01666666666668"/>
  </r>
  <r>
    <x v="39"/>
    <x v="2"/>
    <x v="1"/>
    <n v="83"/>
    <d v="1899-12-30T02:24:59"/>
    <n v="144.98333333333332"/>
  </r>
  <r>
    <x v="39"/>
    <x v="2"/>
    <x v="2"/>
    <n v="42"/>
    <d v="1899-12-30T01:31:46"/>
    <n v="91.766666666666666"/>
  </r>
  <r>
    <x v="39"/>
    <x v="2"/>
    <x v="3"/>
    <n v="38"/>
    <d v="1899-12-30T00:36:14"/>
    <n v="36.233333333333334"/>
  </r>
  <r>
    <x v="39"/>
    <x v="2"/>
    <x v="4"/>
    <n v="46"/>
    <d v="1899-12-30T00:47:59"/>
    <n v="47.983333333333334"/>
  </r>
  <r>
    <x v="39"/>
    <x v="2"/>
    <x v="5"/>
    <n v="29"/>
    <d v="1899-12-30T00:34:37"/>
    <n v="34.616666666666667"/>
  </r>
  <r>
    <x v="39"/>
    <x v="3"/>
    <x v="0"/>
    <n v="27"/>
    <d v="1899-12-30T00:35:57"/>
    <n v="35.950000000000003"/>
  </r>
  <r>
    <x v="39"/>
    <x v="3"/>
    <x v="1"/>
    <n v="28"/>
    <d v="1899-12-30T00:41:08"/>
    <n v="41.133333333333333"/>
  </r>
  <r>
    <x v="39"/>
    <x v="3"/>
    <x v="2"/>
    <n v="20"/>
    <d v="1899-12-30T00:42:25"/>
    <n v="42.416666666666664"/>
  </r>
  <r>
    <x v="39"/>
    <x v="3"/>
    <x v="3"/>
    <n v="19"/>
    <d v="1899-12-30T00:17:38"/>
    <n v="17.633333333333333"/>
  </r>
  <r>
    <x v="39"/>
    <x v="3"/>
    <x v="4"/>
    <n v="7"/>
    <d v="1899-12-30T00:12:37"/>
    <n v="12.616666666666667"/>
  </r>
  <r>
    <x v="39"/>
    <x v="3"/>
    <x v="5"/>
    <n v="16"/>
    <d v="1899-12-30T00:16:57"/>
    <n v="16.95"/>
  </r>
  <r>
    <x v="39"/>
    <x v="4"/>
    <x v="0"/>
    <n v="26"/>
    <d v="1899-12-30T00:42:06"/>
    <n v="42.1"/>
  </r>
  <r>
    <x v="39"/>
    <x v="4"/>
    <x v="1"/>
    <n v="34"/>
    <d v="1899-12-30T00:56:22"/>
    <n v="56.366666666666667"/>
  </r>
  <r>
    <x v="39"/>
    <x v="4"/>
    <x v="2"/>
    <n v="13"/>
    <d v="1899-12-30T00:20:36"/>
    <n v="20.6"/>
  </r>
  <r>
    <x v="39"/>
    <x v="4"/>
    <x v="3"/>
    <n v="1"/>
    <d v="1899-12-30T00:00:20"/>
    <n v="0.33333333333333331"/>
  </r>
  <r>
    <x v="39"/>
    <x v="4"/>
    <x v="4"/>
    <n v="4"/>
    <d v="1899-12-30T00:05:46"/>
    <n v="5.7666666666666666"/>
  </r>
  <r>
    <x v="39"/>
    <x v="4"/>
    <x v="5"/>
    <n v="10"/>
    <d v="1899-12-30T00:12:41"/>
    <n v="12.683333333333334"/>
  </r>
  <r>
    <x v="39"/>
    <x v="5"/>
    <x v="0"/>
    <n v="47"/>
    <d v="1899-12-30T01:08:49"/>
    <n v="68.816666666666663"/>
  </r>
  <r>
    <x v="39"/>
    <x v="5"/>
    <x v="1"/>
    <n v="41"/>
    <d v="1899-12-30T01:00:01"/>
    <n v="60.016666666666666"/>
  </r>
  <r>
    <x v="39"/>
    <x v="5"/>
    <x v="2"/>
    <n v="38"/>
    <d v="1899-12-30T00:57:17"/>
    <n v="57.283333333333331"/>
  </r>
  <r>
    <x v="39"/>
    <x v="5"/>
    <x v="3"/>
    <n v="29"/>
    <d v="1899-12-30T00:27:26"/>
    <n v="27.433333333333334"/>
  </r>
  <r>
    <x v="39"/>
    <x v="5"/>
    <x v="4"/>
    <n v="12"/>
    <d v="1899-12-30T00:07:43"/>
    <n v="7.7166666666666668"/>
  </r>
  <r>
    <x v="39"/>
    <x v="5"/>
    <x v="5"/>
    <n v="36"/>
    <d v="1899-12-30T00:40:41"/>
    <n v="40.68333333333333"/>
  </r>
  <r>
    <x v="39"/>
    <x v="6"/>
    <x v="0"/>
    <n v="31"/>
    <d v="1899-12-30T00:47:09"/>
    <n v="47.15"/>
  </r>
  <r>
    <x v="39"/>
    <x v="6"/>
    <x v="1"/>
    <n v="28"/>
    <d v="1899-12-30T00:32:12"/>
    <n v="32.200000000000003"/>
  </r>
  <r>
    <x v="39"/>
    <x v="6"/>
    <x v="2"/>
    <n v="26"/>
    <d v="1899-12-30T00:46:19"/>
    <n v="46.31666666666667"/>
  </r>
  <r>
    <x v="39"/>
    <x v="6"/>
    <x v="3"/>
    <n v="12"/>
    <d v="1899-12-30T00:10:24"/>
    <n v="10.4"/>
  </r>
  <r>
    <x v="39"/>
    <x v="6"/>
    <x v="4"/>
    <n v="7"/>
    <d v="1899-12-30T00:06:59"/>
    <n v="6.9833333333333334"/>
  </r>
  <r>
    <x v="39"/>
    <x v="6"/>
    <x v="5"/>
    <n v="8"/>
    <d v="1899-12-30T00:10:27"/>
    <n v="10.45"/>
  </r>
  <r>
    <x v="39"/>
    <x v="7"/>
    <x v="0"/>
    <n v="87"/>
    <d v="1899-12-30T02:03:19"/>
    <n v="123.31666666666666"/>
  </r>
  <r>
    <x v="39"/>
    <x v="7"/>
    <x v="1"/>
    <n v="98"/>
    <d v="1899-12-30T02:03:27"/>
    <n v="123.45"/>
  </r>
  <r>
    <x v="39"/>
    <x v="7"/>
    <x v="2"/>
    <n v="65"/>
    <d v="1899-12-30T01:40:31"/>
    <n v="100.51666666666667"/>
  </r>
  <r>
    <x v="39"/>
    <x v="7"/>
    <x v="3"/>
    <n v="80"/>
    <d v="1899-12-30T01:15:21"/>
    <n v="75.349999999999994"/>
  </r>
  <r>
    <x v="39"/>
    <x v="7"/>
    <x v="4"/>
    <n v="178"/>
    <d v="1899-12-30T03:31:50"/>
    <n v="211.83333333333334"/>
  </r>
  <r>
    <x v="39"/>
    <x v="7"/>
    <x v="5"/>
    <n v="23"/>
    <d v="1899-12-30T00:22:44"/>
    <n v="22.733333333333334"/>
  </r>
  <r>
    <x v="39"/>
    <x v="8"/>
    <x v="0"/>
    <n v="37"/>
    <d v="1899-12-30T00:52:59"/>
    <n v="52.983333333333334"/>
  </r>
  <r>
    <x v="39"/>
    <x v="8"/>
    <x v="1"/>
    <n v="41"/>
    <d v="1899-12-30T01:00:57"/>
    <n v="60.95"/>
  </r>
  <r>
    <x v="39"/>
    <x v="8"/>
    <x v="2"/>
    <n v="34"/>
    <d v="1899-12-30T01:02:03"/>
    <n v="62.05"/>
  </r>
  <r>
    <x v="39"/>
    <x v="8"/>
    <x v="3"/>
    <n v="28"/>
    <d v="1899-12-30T00:30:49"/>
    <n v="30.816666666666666"/>
  </r>
  <r>
    <x v="39"/>
    <x v="8"/>
    <x v="4"/>
    <n v="11"/>
    <d v="1899-12-30T00:15:03"/>
    <n v="15.05"/>
  </r>
  <r>
    <x v="39"/>
    <x v="8"/>
    <x v="5"/>
    <n v="23"/>
    <d v="1899-12-30T00:31:32"/>
    <n v="31.533333333333335"/>
  </r>
  <r>
    <x v="39"/>
    <x v="9"/>
    <x v="0"/>
    <n v="41"/>
    <d v="1899-12-30T00:56:04"/>
    <n v="56.06666666666667"/>
  </r>
  <r>
    <x v="39"/>
    <x v="9"/>
    <x v="1"/>
    <n v="37"/>
    <d v="1899-12-30T00:50:05"/>
    <n v="50.083333333333336"/>
  </r>
  <r>
    <x v="39"/>
    <x v="9"/>
    <x v="2"/>
    <n v="34"/>
    <d v="1899-12-30T00:57:36"/>
    <n v="57.6"/>
  </r>
  <r>
    <x v="39"/>
    <x v="9"/>
    <x v="3"/>
    <n v="25"/>
    <d v="1899-12-30T00:30:26"/>
    <n v="30.433333333333334"/>
  </r>
  <r>
    <x v="39"/>
    <x v="9"/>
    <x v="4"/>
    <n v="22"/>
    <d v="1899-12-30T00:35:38"/>
    <n v="35.633333333333333"/>
  </r>
  <r>
    <x v="39"/>
    <x v="9"/>
    <x v="5"/>
    <n v="10"/>
    <d v="1899-12-30T00:12:17"/>
    <n v="12.283333333333333"/>
  </r>
  <r>
    <x v="39"/>
    <x v="10"/>
    <x v="0"/>
    <n v="32"/>
    <d v="1899-12-30T00:55:10"/>
    <n v="55.166666666666664"/>
  </r>
  <r>
    <x v="39"/>
    <x v="10"/>
    <x v="1"/>
    <n v="31"/>
    <d v="1899-12-30T00:53:32"/>
    <n v="53.533333333333331"/>
  </r>
  <r>
    <x v="39"/>
    <x v="10"/>
    <x v="2"/>
    <n v="12"/>
    <d v="1899-12-30T00:21:29"/>
    <n v="21.483333333333334"/>
  </r>
  <r>
    <x v="39"/>
    <x v="10"/>
    <x v="3"/>
    <n v="11"/>
    <d v="1899-12-30T00:10:26"/>
    <n v="10.433333333333334"/>
  </r>
  <r>
    <x v="39"/>
    <x v="10"/>
    <x v="4"/>
    <n v="6"/>
    <d v="1899-12-30T00:09:01"/>
    <n v="9.0166666666666675"/>
  </r>
  <r>
    <x v="39"/>
    <x v="10"/>
    <x v="5"/>
    <n v="19"/>
    <d v="1899-12-30T00:25:32"/>
    <n v="25.533333333333335"/>
  </r>
  <r>
    <x v="39"/>
    <x v="11"/>
    <x v="0"/>
    <n v="31"/>
    <d v="1899-12-30T00:47:34"/>
    <n v="47.56666666666667"/>
  </r>
  <r>
    <x v="39"/>
    <x v="11"/>
    <x v="1"/>
    <n v="19"/>
    <d v="1899-12-30T00:30:39"/>
    <n v="30.65"/>
  </r>
  <r>
    <x v="39"/>
    <x v="11"/>
    <x v="2"/>
    <n v="4"/>
    <d v="1899-12-30T00:07:47"/>
    <n v="7.7833333333333332"/>
  </r>
  <r>
    <x v="39"/>
    <x v="11"/>
    <x v="3"/>
    <n v="6"/>
    <d v="1899-12-30T00:04:29"/>
    <n v="4.4833333333333334"/>
  </r>
  <r>
    <x v="39"/>
    <x v="11"/>
    <x v="4"/>
    <n v="2"/>
    <d v="1899-12-30T00:00:33"/>
    <n v="0.55000000000000004"/>
  </r>
  <r>
    <x v="39"/>
    <x v="11"/>
    <x v="5"/>
    <n v="10"/>
    <d v="1899-12-30T00:12:14"/>
    <n v="12.233333333333333"/>
  </r>
  <r>
    <x v="39"/>
    <x v="12"/>
    <x v="0"/>
    <n v="147"/>
    <d v="1899-12-30T03:42:24"/>
    <n v="222.4"/>
  </r>
  <r>
    <x v="39"/>
    <x v="12"/>
    <x v="1"/>
    <n v="148"/>
    <d v="1899-12-30T03:55:09"/>
    <n v="235.15"/>
  </r>
  <r>
    <x v="39"/>
    <x v="12"/>
    <x v="2"/>
    <n v="79"/>
    <d v="1899-12-30T02:23:37"/>
    <n v="143.61666666666667"/>
  </r>
  <r>
    <x v="39"/>
    <x v="12"/>
    <x v="3"/>
    <n v="57"/>
    <d v="1899-12-30T00:55:31"/>
    <n v="55.516666666666666"/>
  </r>
  <r>
    <x v="39"/>
    <x v="12"/>
    <x v="4"/>
    <n v="50"/>
    <d v="1899-12-30T01:15:34"/>
    <n v="75.566666666666663"/>
  </r>
  <r>
    <x v="39"/>
    <x v="12"/>
    <x v="5"/>
    <n v="51"/>
    <d v="1899-12-30T01:00:30"/>
    <n v="60.5"/>
  </r>
  <r>
    <x v="39"/>
    <x v="13"/>
    <x v="0"/>
    <n v="115"/>
    <d v="1899-12-30T02:15:21"/>
    <n v="135.35"/>
  </r>
  <r>
    <x v="39"/>
    <x v="13"/>
    <x v="1"/>
    <n v="115"/>
    <d v="1899-12-30T02:14:33"/>
    <n v="134.55000000000001"/>
  </r>
  <r>
    <x v="39"/>
    <x v="13"/>
    <x v="2"/>
    <n v="54"/>
    <d v="1899-12-30T01:13:28"/>
    <n v="73.466666666666669"/>
  </r>
  <r>
    <x v="39"/>
    <x v="13"/>
    <x v="3"/>
    <n v="51"/>
    <d v="1899-12-30T00:55:47"/>
    <n v="55.783333333333331"/>
  </r>
  <r>
    <x v="39"/>
    <x v="13"/>
    <x v="4"/>
    <n v="26"/>
    <d v="1899-12-30T00:34:22"/>
    <n v="34.366666666666667"/>
  </r>
  <r>
    <x v="39"/>
    <x v="13"/>
    <x v="5"/>
    <n v="55"/>
    <d v="1899-12-30T00:52:20"/>
    <n v="52.333333333333336"/>
  </r>
  <r>
    <x v="40"/>
    <x v="0"/>
    <x v="0"/>
    <n v="85"/>
    <d v="1899-12-30T01:58:52"/>
    <n v="118.86666666666666"/>
  </r>
  <r>
    <x v="40"/>
    <x v="0"/>
    <x v="1"/>
    <n v="84"/>
    <d v="1899-12-30T01:55:49"/>
    <n v="115.81666666666666"/>
  </r>
  <r>
    <x v="40"/>
    <x v="0"/>
    <x v="2"/>
    <n v="53"/>
    <d v="1899-12-30T01:16:59"/>
    <n v="76.983333333333334"/>
  </r>
  <r>
    <x v="40"/>
    <x v="0"/>
    <x v="3"/>
    <n v="36"/>
    <d v="1899-12-30T00:34:55"/>
    <n v="34.916666666666664"/>
  </r>
  <r>
    <x v="40"/>
    <x v="0"/>
    <x v="4"/>
    <n v="44"/>
    <d v="1899-12-30T01:01:21"/>
    <n v="61.35"/>
  </r>
  <r>
    <x v="40"/>
    <x v="0"/>
    <x v="5"/>
    <n v="29"/>
    <d v="1899-12-30T00:31:27"/>
    <n v="31.45"/>
  </r>
  <r>
    <x v="40"/>
    <x v="1"/>
    <x v="0"/>
    <n v="53"/>
    <d v="1899-12-30T01:13:44"/>
    <n v="73.733333333333334"/>
  </r>
  <r>
    <x v="40"/>
    <x v="1"/>
    <x v="1"/>
    <n v="59"/>
    <d v="1899-12-30T01:54:27"/>
    <n v="114.45"/>
  </r>
  <r>
    <x v="40"/>
    <x v="1"/>
    <x v="2"/>
    <n v="41"/>
    <d v="1899-12-30T01:22:59"/>
    <n v="82.983333333333334"/>
  </r>
  <r>
    <x v="40"/>
    <x v="1"/>
    <x v="3"/>
    <n v="18"/>
    <d v="1899-12-30T00:16:26"/>
    <n v="16.433333333333334"/>
  </r>
  <r>
    <x v="40"/>
    <x v="1"/>
    <x v="4"/>
    <n v="2"/>
    <d v="1899-12-30T00:00:57"/>
    <n v="0.95"/>
  </r>
  <r>
    <x v="40"/>
    <x v="1"/>
    <x v="5"/>
    <n v="27"/>
    <d v="1899-12-30T00:54:14"/>
    <n v="54.233333333333334"/>
  </r>
  <r>
    <x v="40"/>
    <x v="2"/>
    <x v="0"/>
    <n v="79"/>
    <d v="1899-12-30T01:41:22"/>
    <n v="101.36666666666666"/>
  </r>
  <r>
    <x v="40"/>
    <x v="2"/>
    <x v="1"/>
    <n v="75"/>
    <d v="1899-12-30T01:36:13"/>
    <n v="96.216666666666669"/>
  </r>
  <r>
    <x v="40"/>
    <x v="2"/>
    <x v="2"/>
    <n v="46"/>
    <d v="1899-12-30T01:11:43"/>
    <n v="71.716666666666669"/>
  </r>
  <r>
    <x v="40"/>
    <x v="2"/>
    <x v="3"/>
    <n v="30"/>
    <d v="1899-12-30T00:37:48"/>
    <n v="37.799999999999997"/>
  </r>
  <r>
    <x v="40"/>
    <x v="2"/>
    <x v="4"/>
    <n v="34"/>
    <d v="1899-12-30T00:53:30"/>
    <n v="53.5"/>
  </r>
  <r>
    <x v="40"/>
    <x v="2"/>
    <x v="5"/>
    <n v="15"/>
    <d v="1899-12-30T00:14:54"/>
    <n v="14.9"/>
  </r>
  <r>
    <x v="40"/>
    <x v="3"/>
    <x v="0"/>
    <n v="19"/>
    <d v="1899-12-30T00:35:14"/>
    <n v="35.233333333333334"/>
  </r>
  <r>
    <x v="40"/>
    <x v="3"/>
    <x v="1"/>
    <n v="18"/>
    <d v="1899-12-30T00:25:06"/>
    <n v="25.1"/>
  </r>
  <r>
    <x v="40"/>
    <x v="3"/>
    <x v="2"/>
    <n v="8"/>
    <d v="1899-12-30T00:14:09"/>
    <n v="14.15"/>
  </r>
  <r>
    <x v="40"/>
    <x v="3"/>
    <x v="3"/>
    <n v="4"/>
    <d v="1899-12-30T00:04:11"/>
    <n v="4.1833333333333336"/>
  </r>
  <r>
    <x v="40"/>
    <x v="3"/>
    <x v="4"/>
    <n v="5"/>
    <d v="1899-12-30T00:03:36"/>
    <n v="3.6"/>
  </r>
  <r>
    <x v="40"/>
    <x v="3"/>
    <x v="5"/>
    <n v="7"/>
    <d v="1899-12-30T00:06:45"/>
    <n v="6.75"/>
  </r>
  <r>
    <x v="40"/>
    <x v="4"/>
    <x v="0"/>
    <n v="22"/>
    <d v="1899-12-30T00:36:34"/>
    <n v="36.56666666666667"/>
  </r>
  <r>
    <x v="40"/>
    <x v="4"/>
    <x v="1"/>
    <n v="23"/>
    <d v="1899-12-30T00:28:44"/>
    <n v="28.733333333333334"/>
  </r>
  <r>
    <x v="40"/>
    <x v="4"/>
    <x v="2"/>
    <n v="8"/>
    <d v="1899-12-30T00:13:35"/>
    <n v="13.583333333333334"/>
  </r>
  <r>
    <x v="40"/>
    <x v="4"/>
    <x v="3"/>
    <n v="3"/>
    <d v="1899-12-30T00:03:01"/>
    <n v="3.0166666666666666"/>
  </r>
  <r>
    <x v="40"/>
    <x v="4"/>
    <x v="4"/>
    <n v="5"/>
    <d v="1899-12-30T00:05:53"/>
    <n v="5.8833333333333329"/>
  </r>
  <r>
    <x v="40"/>
    <x v="4"/>
    <x v="5"/>
    <n v="2"/>
    <d v="1899-12-30T00:01:15"/>
    <n v="1.25"/>
  </r>
  <r>
    <x v="40"/>
    <x v="5"/>
    <x v="0"/>
    <n v="24"/>
    <d v="1899-12-30T00:35:47"/>
    <n v="35.783333333333331"/>
  </r>
  <r>
    <x v="40"/>
    <x v="5"/>
    <x v="1"/>
    <n v="19"/>
    <d v="1899-12-30T00:34:31"/>
    <n v="34.516666666666666"/>
  </r>
  <r>
    <x v="40"/>
    <x v="5"/>
    <x v="2"/>
    <n v="18"/>
    <d v="1899-12-30T00:21:34"/>
    <n v="21.566666666666666"/>
  </r>
  <r>
    <x v="40"/>
    <x v="5"/>
    <x v="3"/>
    <n v="13"/>
    <d v="1899-12-30T00:10:52"/>
    <n v="10.866666666666667"/>
  </r>
  <r>
    <x v="40"/>
    <x v="5"/>
    <x v="4"/>
    <n v="0"/>
    <d v="1899-12-30T00:00:00"/>
    <n v="0"/>
  </r>
  <r>
    <x v="40"/>
    <x v="5"/>
    <x v="5"/>
    <n v="24"/>
    <d v="1899-12-30T00:26:32"/>
    <n v="26.533333333333335"/>
  </r>
  <r>
    <x v="40"/>
    <x v="6"/>
    <x v="0"/>
    <n v="23"/>
    <d v="1899-12-30T00:26:21"/>
    <n v="26.35"/>
  </r>
  <r>
    <x v="40"/>
    <x v="6"/>
    <x v="1"/>
    <n v="21"/>
    <d v="1899-12-30T00:37:19"/>
    <n v="37.31666666666667"/>
  </r>
  <r>
    <x v="40"/>
    <x v="6"/>
    <x v="2"/>
    <n v="11"/>
    <d v="1899-12-30T00:20:52"/>
    <n v="20.866666666666667"/>
  </r>
  <r>
    <x v="40"/>
    <x v="6"/>
    <x v="3"/>
    <n v="8"/>
    <d v="1899-12-30T00:07:45"/>
    <n v="7.75"/>
  </r>
  <r>
    <x v="40"/>
    <x v="6"/>
    <x v="4"/>
    <n v="11"/>
    <d v="1899-12-30T00:17:09"/>
    <n v="17.149999999999999"/>
  </r>
  <r>
    <x v="40"/>
    <x v="6"/>
    <x v="5"/>
    <n v="12"/>
    <d v="1899-12-30T00:15:56"/>
    <n v="15.933333333333334"/>
  </r>
  <r>
    <x v="40"/>
    <x v="7"/>
    <x v="0"/>
    <n v="58"/>
    <d v="1899-12-30T00:56:41"/>
    <n v="56.68333333333333"/>
  </r>
  <r>
    <x v="40"/>
    <x v="7"/>
    <x v="1"/>
    <n v="56"/>
    <d v="1899-12-30T01:09:21"/>
    <n v="69.349999999999994"/>
  </r>
  <r>
    <x v="40"/>
    <x v="7"/>
    <x v="2"/>
    <n v="31"/>
    <d v="1899-12-30T00:50:30"/>
    <n v="50.5"/>
  </r>
  <r>
    <x v="40"/>
    <x v="7"/>
    <x v="3"/>
    <n v="48"/>
    <d v="1899-12-30T00:42:03"/>
    <n v="42.05"/>
  </r>
  <r>
    <x v="40"/>
    <x v="7"/>
    <x v="4"/>
    <n v="130"/>
    <d v="1899-12-30T02:36:45"/>
    <n v="156.75"/>
  </r>
  <r>
    <x v="40"/>
    <x v="7"/>
    <x v="5"/>
    <n v="17"/>
    <d v="1899-12-30T00:17:49"/>
    <n v="17.816666666666666"/>
  </r>
  <r>
    <x v="40"/>
    <x v="8"/>
    <x v="0"/>
    <n v="29"/>
    <d v="1899-12-30T00:41:24"/>
    <n v="41.4"/>
  </r>
  <r>
    <x v="40"/>
    <x v="8"/>
    <x v="1"/>
    <n v="24"/>
    <d v="1899-12-30T00:33:55"/>
    <n v="33.916666666666664"/>
  </r>
  <r>
    <x v="40"/>
    <x v="8"/>
    <x v="2"/>
    <n v="26"/>
    <d v="1899-12-30T00:55:04"/>
    <n v="55.06666666666667"/>
  </r>
  <r>
    <x v="40"/>
    <x v="8"/>
    <x v="3"/>
    <n v="25"/>
    <d v="1899-12-30T00:30:15"/>
    <n v="30.25"/>
  </r>
  <r>
    <x v="40"/>
    <x v="8"/>
    <x v="4"/>
    <n v="11"/>
    <d v="1899-12-30T00:10:01"/>
    <n v="10.016666666666667"/>
  </r>
  <r>
    <x v="40"/>
    <x v="8"/>
    <x v="5"/>
    <n v="15"/>
    <d v="1899-12-30T00:23:35"/>
    <n v="23.583333333333332"/>
  </r>
  <r>
    <x v="40"/>
    <x v="9"/>
    <x v="0"/>
    <n v="35"/>
    <d v="1899-12-30T01:04:48"/>
    <n v="64.8"/>
  </r>
  <r>
    <x v="40"/>
    <x v="9"/>
    <x v="1"/>
    <n v="39"/>
    <d v="1899-12-30T01:03:55"/>
    <n v="63.916666666666664"/>
  </r>
  <r>
    <x v="40"/>
    <x v="9"/>
    <x v="2"/>
    <n v="25"/>
    <d v="1899-12-30T00:50:17"/>
    <n v="50.283333333333331"/>
  </r>
  <r>
    <x v="40"/>
    <x v="9"/>
    <x v="3"/>
    <n v="16"/>
    <d v="1899-12-30T00:20:08"/>
    <n v="20.133333333333333"/>
  </r>
  <r>
    <x v="40"/>
    <x v="9"/>
    <x v="4"/>
    <n v="9"/>
    <d v="1899-12-30T00:11:33"/>
    <n v="11.55"/>
  </r>
  <r>
    <x v="40"/>
    <x v="9"/>
    <x v="5"/>
    <n v="9"/>
    <d v="1899-12-30T00:12:33"/>
    <n v="12.55"/>
  </r>
  <r>
    <x v="40"/>
    <x v="10"/>
    <x v="0"/>
    <n v="15"/>
    <d v="1899-12-30T00:25:09"/>
    <n v="25.15"/>
  </r>
  <r>
    <x v="40"/>
    <x v="10"/>
    <x v="1"/>
    <n v="16"/>
    <d v="1899-12-30T00:34:42"/>
    <n v="34.700000000000003"/>
  </r>
  <r>
    <x v="40"/>
    <x v="10"/>
    <x v="2"/>
    <n v="9"/>
    <d v="1899-12-30T00:17:10"/>
    <n v="17.166666666666668"/>
  </r>
  <r>
    <x v="40"/>
    <x v="10"/>
    <x v="3"/>
    <n v="4"/>
    <d v="1899-12-30T00:03:55"/>
    <n v="3.9166666666666665"/>
  </r>
  <r>
    <x v="40"/>
    <x v="10"/>
    <x v="4"/>
    <n v="2"/>
    <d v="1899-12-30T00:03:35"/>
    <n v="3.5833333333333335"/>
  </r>
  <r>
    <x v="40"/>
    <x v="10"/>
    <x v="5"/>
    <n v="5"/>
    <d v="1899-12-30T00:08:24"/>
    <n v="8.4"/>
  </r>
  <r>
    <x v="40"/>
    <x v="11"/>
    <x v="0"/>
    <n v="18"/>
    <d v="1899-12-30T00:27:21"/>
    <n v="27.35"/>
  </r>
  <r>
    <x v="40"/>
    <x v="11"/>
    <x v="1"/>
    <n v="5"/>
    <d v="1899-12-30T00:07:24"/>
    <n v="7.4"/>
  </r>
  <r>
    <x v="40"/>
    <x v="11"/>
    <x v="2"/>
    <n v="7"/>
    <d v="1899-12-30T00:13:52"/>
    <n v="13.866666666666667"/>
  </r>
  <r>
    <x v="40"/>
    <x v="11"/>
    <x v="3"/>
    <n v="3"/>
    <d v="1899-12-30T00:02:23"/>
    <n v="2.3833333333333333"/>
  </r>
  <r>
    <x v="40"/>
    <x v="11"/>
    <x v="4"/>
    <n v="1"/>
    <d v="1899-12-30T00:01:22"/>
    <n v="1.3666666666666667"/>
  </r>
  <r>
    <x v="40"/>
    <x v="11"/>
    <x v="5"/>
    <n v="1"/>
    <d v="1899-12-30T00:00:53"/>
    <n v="0.8833333333333333"/>
  </r>
  <r>
    <x v="40"/>
    <x v="12"/>
    <x v="0"/>
    <n v="147"/>
    <d v="1899-12-30T03:37:15"/>
    <n v="217.25"/>
  </r>
  <r>
    <x v="40"/>
    <x v="12"/>
    <x v="1"/>
    <n v="119"/>
    <d v="1899-12-30T02:54:10"/>
    <n v="174.16666666666666"/>
  </r>
  <r>
    <x v="40"/>
    <x v="12"/>
    <x v="2"/>
    <n v="75"/>
    <d v="1899-12-30T02:10:40"/>
    <n v="130.66666666666666"/>
  </r>
  <r>
    <x v="40"/>
    <x v="12"/>
    <x v="3"/>
    <n v="51"/>
    <d v="1899-12-30T00:50:50"/>
    <n v="50.833333333333336"/>
  </r>
  <r>
    <x v="40"/>
    <x v="12"/>
    <x v="4"/>
    <n v="32"/>
    <d v="1899-12-30T00:40:25"/>
    <n v="40.416666666666664"/>
  </r>
  <r>
    <x v="40"/>
    <x v="12"/>
    <x v="5"/>
    <n v="40"/>
    <d v="1899-12-30T00:45:10"/>
    <n v="45.166666666666664"/>
  </r>
  <r>
    <x v="40"/>
    <x v="13"/>
    <x v="0"/>
    <n v="69"/>
    <d v="1899-12-30T01:25:43"/>
    <n v="85.716666666666669"/>
  </r>
  <r>
    <x v="40"/>
    <x v="13"/>
    <x v="1"/>
    <n v="56"/>
    <d v="1899-12-30T01:05:04"/>
    <n v="65.066666666666663"/>
  </r>
  <r>
    <x v="40"/>
    <x v="13"/>
    <x v="2"/>
    <n v="28"/>
    <d v="1899-12-30T00:37:13"/>
    <n v="37.216666666666669"/>
  </r>
  <r>
    <x v="40"/>
    <x v="13"/>
    <x v="3"/>
    <n v="22"/>
    <d v="1899-12-30T00:18:41"/>
    <n v="18.683333333333334"/>
  </r>
  <r>
    <x v="40"/>
    <x v="13"/>
    <x v="4"/>
    <n v="6"/>
    <d v="1899-12-30T00:07:57"/>
    <n v="7.95"/>
  </r>
  <r>
    <x v="40"/>
    <x v="13"/>
    <x v="5"/>
    <n v="34"/>
    <d v="1899-12-30T00:34:48"/>
    <n v="34.799999999999997"/>
  </r>
  <r>
    <x v="41"/>
    <x v="0"/>
    <x v="0"/>
    <n v="56"/>
    <d v="1899-12-30T00:50:27"/>
    <n v="50.45"/>
  </r>
  <r>
    <x v="41"/>
    <x v="0"/>
    <x v="1"/>
    <n v="45"/>
    <d v="1899-12-30T00:57:55"/>
    <n v="57.916666666666664"/>
  </r>
  <r>
    <x v="41"/>
    <x v="0"/>
    <x v="2"/>
    <n v="20"/>
    <d v="1899-12-30T00:24:24"/>
    <n v="24.4"/>
  </r>
  <r>
    <x v="41"/>
    <x v="0"/>
    <x v="3"/>
    <n v="19"/>
    <d v="1899-12-30T00:14:11"/>
    <n v="14.183333333333334"/>
  </r>
  <r>
    <x v="41"/>
    <x v="0"/>
    <x v="4"/>
    <n v="17"/>
    <d v="1899-12-30T00:17:35"/>
    <n v="17.583333333333332"/>
  </r>
  <r>
    <x v="41"/>
    <x v="0"/>
    <x v="5"/>
    <n v="19"/>
    <d v="1899-12-30T00:18:15"/>
    <n v="18.25"/>
  </r>
  <r>
    <x v="41"/>
    <x v="1"/>
    <x v="0"/>
    <n v="40"/>
    <d v="1899-12-30T00:57:04"/>
    <n v="57.06666666666667"/>
  </r>
  <r>
    <x v="41"/>
    <x v="1"/>
    <x v="1"/>
    <n v="69"/>
    <d v="1899-12-30T02:16:55"/>
    <n v="136.91666666666666"/>
  </r>
  <r>
    <x v="41"/>
    <x v="1"/>
    <x v="2"/>
    <n v="32"/>
    <d v="1899-12-30T01:10:09"/>
    <n v="70.150000000000006"/>
  </r>
  <r>
    <x v="41"/>
    <x v="1"/>
    <x v="3"/>
    <n v="16"/>
    <d v="1899-12-30T00:17:31"/>
    <n v="17.516666666666666"/>
  </r>
  <r>
    <x v="41"/>
    <x v="1"/>
    <x v="4"/>
    <n v="8"/>
    <d v="1899-12-30T00:13:32"/>
    <n v="13.533333333333333"/>
  </r>
  <r>
    <x v="41"/>
    <x v="1"/>
    <x v="5"/>
    <n v="21"/>
    <d v="1899-12-30T00:27:47"/>
    <n v="27.783333333333335"/>
  </r>
  <r>
    <x v="41"/>
    <x v="2"/>
    <x v="0"/>
    <n v="79"/>
    <d v="1899-12-30T01:57:31"/>
    <n v="117.51666666666667"/>
  </r>
  <r>
    <x v="41"/>
    <x v="2"/>
    <x v="1"/>
    <n v="62"/>
    <d v="1899-12-30T01:25:28"/>
    <n v="85.466666666666669"/>
  </r>
  <r>
    <x v="41"/>
    <x v="2"/>
    <x v="2"/>
    <n v="50"/>
    <d v="1899-12-30T01:34:29"/>
    <n v="94.483333333333334"/>
  </r>
  <r>
    <x v="41"/>
    <x v="2"/>
    <x v="3"/>
    <n v="25"/>
    <d v="1899-12-30T00:27:21"/>
    <n v="27.35"/>
  </r>
  <r>
    <x v="41"/>
    <x v="2"/>
    <x v="4"/>
    <n v="23"/>
    <d v="1899-12-30T00:34:22"/>
    <n v="34.366666666666667"/>
  </r>
  <r>
    <x v="41"/>
    <x v="2"/>
    <x v="5"/>
    <n v="18"/>
    <d v="1899-12-30T00:16:48"/>
    <n v="16.8"/>
  </r>
  <r>
    <x v="41"/>
    <x v="3"/>
    <x v="0"/>
    <n v="19"/>
    <d v="1899-12-30T00:29:24"/>
    <n v="29.4"/>
  </r>
  <r>
    <x v="41"/>
    <x v="3"/>
    <x v="1"/>
    <n v="23"/>
    <d v="1899-12-30T00:47:24"/>
    <n v="47.4"/>
  </r>
  <r>
    <x v="41"/>
    <x v="3"/>
    <x v="2"/>
    <n v="16"/>
    <d v="1899-12-30T00:43:30"/>
    <n v="43.5"/>
  </r>
  <r>
    <x v="41"/>
    <x v="3"/>
    <x v="3"/>
    <n v="7"/>
    <d v="1899-12-30T00:07:49"/>
    <n v="7.8166666666666664"/>
  </r>
  <r>
    <x v="41"/>
    <x v="3"/>
    <x v="4"/>
    <n v="5"/>
    <d v="1899-12-30T00:06:12"/>
    <n v="6.2"/>
  </r>
  <r>
    <x v="41"/>
    <x v="3"/>
    <x v="5"/>
    <n v="12"/>
    <d v="1899-12-30T00:13:19"/>
    <n v="13.316666666666666"/>
  </r>
  <r>
    <x v="41"/>
    <x v="4"/>
    <x v="0"/>
    <n v="34"/>
    <d v="1899-12-30T00:55:38"/>
    <n v="55.633333333333333"/>
  </r>
  <r>
    <x v="41"/>
    <x v="4"/>
    <x v="1"/>
    <n v="20"/>
    <d v="1899-12-30T00:39:55"/>
    <n v="39.916666666666664"/>
  </r>
  <r>
    <x v="41"/>
    <x v="4"/>
    <x v="2"/>
    <n v="5"/>
    <d v="1899-12-30T00:09:09"/>
    <n v="9.15"/>
  </r>
  <r>
    <x v="41"/>
    <x v="4"/>
    <x v="3"/>
    <n v="4"/>
    <d v="1899-12-30T00:04:26"/>
    <n v="4.4333333333333336"/>
  </r>
  <r>
    <x v="41"/>
    <x v="4"/>
    <x v="4"/>
    <n v="13"/>
    <d v="1899-12-30T00:10:34"/>
    <n v="10.566666666666666"/>
  </r>
  <r>
    <x v="41"/>
    <x v="4"/>
    <x v="5"/>
    <n v="1"/>
    <d v="1899-12-30T00:00:52"/>
    <n v="0.8666666666666667"/>
  </r>
  <r>
    <x v="41"/>
    <x v="5"/>
    <x v="0"/>
    <n v="20"/>
    <d v="1899-12-30T00:27:11"/>
    <n v="27.183333333333334"/>
  </r>
  <r>
    <x v="41"/>
    <x v="5"/>
    <x v="1"/>
    <n v="39"/>
    <d v="1899-12-30T00:52:17"/>
    <n v="52.283333333333331"/>
  </r>
  <r>
    <x v="41"/>
    <x v="5"/>
    <x v="2"/>
    <n v="19"/>
    <d v="1899-12-30T00:30:41"/>
    <n v="30.683333333333334"/>
  </r>
  <r>
    <x v="41"/>
    <x v="5"/>
    <x v="3"/>
    <n v="17"/>
    <d v="1899-12-30T00:15:10"/>
    <n v="15.166666666666666"/>
  </r>
  <r>
    <x v="41"/>
    <x v="5"/>
    <x v="4"/>
    <n v="5"/>
    <d v="1899-12-30T00:03:19"/>
    <n v="3.3166666666666664"/>
  </r>
  <r>
    <x v="41"/>
    <x v="5"/>
    <x v="5"/>
    <n v="21"/>
    <d v="1899-12-30T00:24:01"/>
    <n v="24.016666666666666"/>
  </r>
  <r>
    <x v="41"/>
    <x v="6"/>
    <x v="0"/>
    <n v="13"/>
    <d v="1899-12-30T00:16:50"/>
    <n v="16.833333333333332"/>
  </r>
  <r>
    <x v="41"/>
    <x v="6"/>
    <x v="1"/>
    <n v="7"/>
    <d v="1899-12-30T00:12:43"/>
    <n v="12.716666666666667"/>
  </r>
  <r>
    <x v="41"/>
    <x v="6"/>
    <x v="2"/>
    <n v="4"/>
    <d v="1899-12-30T00:05:35"/>
    <n v="5.583333333333333"/>
  </r>
  <r>
    <x v="41"/>
    <x v="6"/>
    <x v="3"/>
    <n v="6"/>
    <d v="1899-12-30T00:07:48"/>
    <n v="7.8"/>
  </r>
  <r>
    <x v="41"/>
    <x v="6"/>
    <x v="4"/>
    <n v="3"/>
    <d v="1899-12-30T00:05:07"/>
    <n v="5.1166666666666663"/>
  </r>
  <r>
    <x v="41"/>
    <x v="6"/>
    <x v="5"/>
    <n v="1"/>
    <d v="1899-12-30T00:01:22"/>
    <n v="1.3666666666666667"/>
  </r>
  <r>
    <x v="41"/>
    <x v="7"/>
    <x v="0"/>
    <n v="64"/>
    <d v="1899-12-30T01:21:55"/>
    <n v="81.916666666666671"/>
  </r>
  <r>
    <x v="41"/>
    <x v="7"/>
    <x v="1"/>
    <n v="96"/>
    <d v="1899-12-30T01:53:22"/>
    <n v="113.36666666666666"/>
  </r>
  <r>
    <x v="41"/>
    <x v="7"/>
    <x v="2"/>
    <n v="61"/>
    <d v="1899-12-30T01:37:11"/>
    <n v="97.183333333333337"/>
  </r>
  <r>
    <x v="41"/>
    <x v="7"/>
    <x v="3"/>
    <n v="69"/>
    <d v="1899-12-30T01:01:31"/>
    <n v="61.516666666666666"/>
  </r>
  <r>
    <x v="41"/>
    <x v="7"/>
    <x v="4"/>
    <n v="150"/>
    <d v="1899-12-30T03:13:56"/>
    <n v="193.93333333333334"/>
  </r>
  <r>
    <x v="41"/>
    <x v="7"/>
    <x v="5"/>
    <n v="17"/>
    <d v="1899-12-30T00:20:04"/>
    <n v="20.066666666666666"/>
  </r>
  <r>
    <x v="41"/>
    <x v="8"/>
    <x v="0"/>
    <n v="32"/>
    <d v="1899-12-30T00:36:36"/>
    <n v="36.6"/>
  </r>
  <r>
    <x v="41"/>
    <x v="8"/>
    <x v="1"/>
    <n v="23"/>
    <d v="1899-12-30T00:29:46"/>
    <n v="29.766666666666666"/>
  </r>
  <r>
    <x v="41"/>
    <x v="8"/>
    <x v="2"/>
    <n v="25"/>
    <d v="1899-12-30T00:41:09"/>
    <n v="41.15"/>
  </r>
  <r>
    <x v="41"/>
    <x v="8"/>
    <x v="3"/>
    <n v="17"/>
    <d v="1899-12-30T00:13:12"/>
    <n v="13.2"/>
  </r>
  <r>
    <x v="41"/>
    <x v="8"/>
    <x v="4"/>
    <n v="9"/>
    <d v="1899-12-30T00:09:06"/>
    <n v="9.1"/>
  </r>
  <r>
    <x v="41"/>
    <x v="8"/>
    <x v="5"/>
    <n v="19"/>
    <d v="1899-12-30T00:17:06"/>
    <n v="17.100000000000001"/>
  </r>
  <r>
    <x v="41"/>
    <x v="9"/>
    <x v="0"/>
    <n v="25"/>
    <d v="1899-12-30T00:41:53"/>
    <n v="41.883333333333333"/>
  </r>
  <r>
    <x v="41"/>
    <x v="9"/>
    <x v="1"/>
    <n v="29"/>
    <d v="1899-12-30T00:43:13"/>
    <n v="43.216666666666669"/>
  </r>
  <r>
    <x v="41"/>
    <x v="9"/>
    <x v="2"/>
    <n v="23"/>
    <d v="1899-12-30T00:44:31"/>
    <n v="44.516666666666666"/>
  </r>
  <r>
    <x v="41"/>
    <x v="9"/>
    <x v="3"/>
    <n v="11"/>
    <d v="1899-12-30T00:11:07"/>
    <n v="11.116666666666667"/>
  </r>
  <r>
    <x v="41"/>
    <x v="9"/>
    <x v="4"/>
    <n v="6"/>
    <d v="1899-12-30T00:14:11"/>
    <n v="14.183333333333334"/>
  </r>
  <r>
    <x v="41"/>
    <x v="9"/>
    <x v="5"/>
    <n v="5"/>
    <d v="1899-12-30T00:04:34"/>
    <n v="4.5666666666666664"/>
  </r>
  <r>
    <x v="41"/>
    <x v="10"/>
    <x v="0"/>
    <n v="24"/>
    <d v="1899-12-30T00:36:23"/>
    <n v="36.383333333333333"/>
  </r>
  <r>
    <x v="41"/>
    <x v="10"/>
    <x v="1"/>
    <n v="15"/>
    <d v="1899-12-30T00:26:09"/>
    <n v="26.15"/>
  </r>
  <r>
    <x v="41"/>
    <x v="10"/>
    <x v="2"/>
    <n v="18"/>
    <d v="1899-12-30T00:30:03"/>
    <n v="30.05"/>
  </r>
  <r>
    <x v="41"/>
    <x v="10"/>
    <x v="3"/>
    <n v="7"/>
    <d v="1899-12-30T00:05:31"/>
    <n v="5.5166666666666666"/>
  </r>
  <r>
    <x v="41"/>
    <x v="10"/>
    <x v="4"/>
    <n v="1"/>
    <d v="1899-12-30T00:00:21"/>
    <n v="0.35"/>
  </r>
  <r>
    <x v="41"/>
    <x v="10"/>
    <x v="5"/>
    <n v="6"/>
    <d v="1899-12-30T00:07:25"/>
    <n v="7.416666666666667"/>
  </r>
  <r>
    <x v="41"/>
    <x v="11"/>
    <x v="0"/>
    <n v="8"/>
    <d v="1899-12-30T00:18:12"/>
    <n v="18.2"/>
  </r>
  <r>
    <x v="41"/>
    <x v="11"/>
    <x v="1"/>
    <n v="10"/>
    <d v="1899-12-30T00:13:48"/>
    <n v="13.8"/>
  </r>
  <r>
    <x v="41"/>
    <x v="11"/>
    <x v="2"/>
    <n v="9"/>
    <d v="1899-12-30T00:15:40"/>
    <n v="15.666666666666666"/>
  </r>
  <r>
    <x v="41"/>
    <x v="11"/>
    <x v="3"/>
    <n v="5"/>
    <d v="1899-12-30T00:02:18"/>
    <n v="2.2999999999999998"/>
  </r>
  <r>
    <x v="41"/>
    <x v="11"/>
    <x v="4"/>
    <n v="4"/>
    <d v="1899-12-30T00:02:31"/>
    <n v="2.5166666666666666"/>
  </r>
  <r>
    <x v="41"/>
    <x v="11"/>
    <x v="5"/>
    <n v="5"/>
    <d v="1899-12-30T00:05:45"/>
    <n v="5.75"/>
  </r>
  <r>
    <x v="41"/>
    <x v="12"/>
    <x v="0"/>
    <n v="131"/>
    <d v="1899-12-30T02:41:24"/>
    <n v="161.4"/>
  </r>
  <r>
    <x v="41"/>
    <x v="12"/>
    <x v="1"/>
    <n v="97"/>
    <d v="1899-12-30T02:47:49"/>
    <n v="167.81666666666666"/>
  </r>
  <r>
    <x v="41"/>
    <x v="12"/>
    <x v="2"/>
    <n v="68"/>
    <d v="1899-12-30T01:52:50"/>
    <n v="112.83333333333333"/>
  </r>
  <r>
    <x v="41"/>
    <x v="12"/>
    <x v="3"/>
    <n v="53"/>
    <d v="1899-12-30T00:48:41"/>
    <n v="48.68333333333333"/>
  </r>
  <r>
    <x v="41"/>
    <x v="12"/>
    <x v="4"/>
    <n v="43"/>
    <d v="1899-12-30T00:47:48"/>
    <n v="47.8"/>
  </r>
  <r>
    <x v="41"/>
    <x v="12"/>
    <x v="5"/>
    <n v="45"/>
    <d v="1899-12-30T00:44:20"/>
    <n v="44.333333333333336"/>
  </r>
  <r>
    <x v="41"/>
    <x v="13"/>
    <x v="0"/>
    <n v="99"/>
    <d v="1899-12-30T02:01:51"/>
    <n v="121.85"/>
  </r>
  <r>
    <x v="41"/>
    <x v="13"/>
    <x v="1"/>
    <n v="91"/>
    <d v="1899-12-30T01:46:22"/>
    <n v="106.36666666666666"/>
  </r>
  <r>
    <x v="41"/>
    <x v="13"/>
    <x v="2"/>
    <n v="45"/>
    <d v="1899-12-30T00:56:48"/>
    <n v="56.8"/>
  </r>
  <r>
    <x v="41"/>
    <x v="13"/>
    <x v="3"/>
    <n v="26"/>
    <d v="1899-12-30T00:22:49"/>
    <n v="22.816666666666666"/>
  </r>
  <r>
    <x v="41"/>
    <x v="13"/>
    <x v="4"/>
    <n v="7"/>
    <d v="1899-12-30T00:07:44"/>
    <n v="7.7333333333333334"/>
  </r>
  <r>
    <x v="41"/>
    <x v="13"/>
    <x v="5"/>
    <n v="57"/>
    <d v="1899-12-30T00:56:26"/>
    <n v="56.43333333333333"/>
  </r>
  <r>
    <x v="42"/>
    <x v="0"/>
    <x v="0"/>
    <n v="28"/>
    <d v="1899-12-30T00:26:24"/>
    <n v="26.4"/>
  </r>
  <r>
    <x v="42"/>
    <x v="0"/>
    <x v="1"/>
    <n v="31"/>
    <d v="1899-12-30T00:34:01"/>
    <n v="34.016666666666666"/>
  </r>
  <r>
    <x v="42"/>
    <x v="0"/>
    <x v="2"/>
    <n v="13"/>
    <d v="1899-12-30T00:12:39"/>
    <n v="12.65"/>
  </r>
  <r>
    <x v="42"/>
    <x v="0"/>
    <x v="3"/>
    <n v="15"/>
    <d v="1899-12-30T00:09:21"/>
    <n v="9.35"/>
  </r>
  <r>
    <x v="42"/>
    <x v="0"/>
    <x v="4"/>
    <n v="2"/>
    <d v="1899-12-30T00:00:39"/>
    <n v="0.65"/>
  </r>
  <r>
    <x v="42"/>
    <x v="0"/>
    <x v="5"/>
    <n v="15"/>
    <d v="1899-12-30T00:09:49"/>
    <n v="9.8166666666666664"/>
  </r>
  <r>
    <x v="42"/>
    <x v="1"/>
    <x v="0"/>
    <n v="81"/>
    <d v="1899-12-30T02:04:02"/>
    <n v="124.03333333333333"/>
  </r>
  <r>
    <x v="42"/>
    <x v="1"/>
    <x v="1"/>
    <n v="75"/>
    <d v="1899-12-30T02:22:27"/>
    <n v="142.44999999999999"/>
  </r>
  <r>
    <x v="42"/>
    <x v="1"/>
    <x v="2"/>
    <n v="43"/>
    <d v="1899-12-30T01:31:15"/>
    <n v="91.25"/>
  </r>
  <r>
    <x v="42"/>
    <x v="1"/>
    <x v="3"/>
    <n v="16"/>
    <d v="1899-12-30T00:15:54"/>
    <n v="15.9"/>
  </r>
  <r>
    <x v="42"/>
    <x v="1"/>
    <x v="4"/>
    <n v="6"/>
    <d v="1899-12-30T00:07:53"/>
    <n v="7.8833333333333329"/>
  </r>
  <r>
    <x v="42"/>
    <x v="1"/>
    <x v="5"/>
    <n v="25"/>
    <d v="1899-12-30T00:35:18"/>
    <n v="35.299999999999997"/>
  </r>
  <r>
    <x v="42"/>
    <x v="2"/>
    <x v="0"/>
    <n v="65"/>
    <d v="1899-12-30T01:30:11"/>
    <n v="90.183333333333337"/>
  </r>
  <r>
    <x v="42"/>
    <x v="2"/>
    <x v="1"/>
    <n v="63"/>
    <d v="1899-12-30T01:44:38"/>
    <n v="104.63333333333334"/>
  </r>
  <r>
    <x v="42"/>
    <x v="2"/>
    <x v="2"/>
    <n v="34"/>
    <d v="1899-12-30T01:12:35"/>
    <n v="72.583333333333329"/>
  </r>
  <r>
    <x v="42"/>
    <x v="2"/>
    <x v="3"/>
    <n v="17"/>
    <d v="1899-12-30T00:17:04"/>
    <n v="17.066666666666666"/>
  </r>
  <r>
    <x v="42"/>
    <x v="2"/>
    <x v="4"/>
    <n v="31"/>
    <d v="1899-12-30T00:37:15"/>
    <n v="37.25"/>
  </r>
  <r>
    <x v="42"/>
    <x v="2"/>
    <x v="5"/>
    <n v="23"/>
    <d v="1899-12-30T00:27:51"/>
    <n v="27.85"/>
  </r>
  <r>
    <x v="42"/>
    <x v="3"/>
    <x v="0"/>
    <n v="16"/>
    <d v="1899-12-30T00:24:56"/>
    <n v="24.933333333333334"/>
  </r>
  <r>
    <x v="42"/>
    <x v="3"/>
    <x v="1"/>
    <n v="11"/>
    <d v="1899-12-30T00:15:45"/>
    <n v="15.75"/>
  </r>
  <r>
    <x v="42"/>
    <x v="3"/>
    <x v="2"/>
    <n v="2"/>
    <d v="1899-12-30T00:04:40"/>
    <n v="4.666666666666667"/>
  </r>
  <r>
    <x v="42"/>
    <x v="3"/>
    <x v="3"/>
    <n v="5"/>
    <d v="1899-12-30T00:05:49"/>
    <n v="5.8166666666666664"/>
  </r>
  <r>
    <x v="42"/>
    <x v="3"/>
    <x v="4"/>
    <n v="2"/>
    <d v="1899-12-30T00:05:44"/>
    <n v="5.7333333333333334"/>
  </r>
  <r>
    <x v="42"/>
    <x v="3"/>
    <x v="5"/>
    <n v="6"/>
    <d v="1899-12-30T00:07:05"/>
    <n v="7.083333333333333"/>
  </r>
  <r>
    <x v="42"/>
    <x v="4"/>
    <x v="0"/>
    <n v="43"/>
    <d v="1899-12-30T01:01:11"/>
    <n v="61.18333333333333"/>
  </r>
  <r>
    <x v="42"/>
    <x v="4"/>
    <x v="1"/>
    <n v="30"/>
    <d v="1899-12-30T00:55:19"/>
    <n v="55.31666666666667"/>
  </r>
  <r>
    <x v="42"/>
    <x v="4"/>
    <x v="2"/>
    <n v="20"/>
    <d v="1899-12-30T00:32:53"/>
    <n v="32.883333333333333"/>
  </r>
  <r>
    <x v="42"/>
    <x v="4"/>
    <x v="3"/>
    <n v="9"/>
    <d v="1899-12-30T00:07:34"/>
    <n v="7.5666666666666664"/>
  </r>
  <r>
    <x v="42"/>
    <x v="4"/>
    <x v="4"/>
    <n v="5"/>
    <d v="1899-12-30T00:05:37"/>
    <n v="5.6166666666666671"/>
  </r>
  <r>
    <x v="42"/>
    <x v="4"/>
    <x v="5"/>
    <n v="11"/>
    <d v="1899-12-30T00:13:45"/>
    <n v="13.75"/>
  </r>
  <r>
    <x v="42"/>
    <x v="5"/>
    <x v="0"/>
    <n v="51"/>
    <d v="1899-12-30T01:09:24"/>
    <n v="69.400000000000006"/>
  </r>
  <r>
    <x v="42"/>
    <x v="5"/>
    <x v="1"/>
    <n v="59"/>
    <d v="1899-12-30T01:24:17"/>
    <n v="84.283333333333331"/>
  </r>
  <r>
    <x v="42"/>
    <x v="5"/>
    <x v="2"/>
    <n v="35"/>
    <d v="1899-12-30T00:42:38"/>
    <n v="42.633333333333333"/>
  </r>
  <r>
    <x v="42"/>
    <x v="5"/>
    <x v="3"/>
    <n v="33"/>
    <d v="1899-12-30T00:30:57"/>
    <n v="30.95"/>
  </r>
  <r>
    <x v="42"/>
    <x v="5"/>
    <x v="4"/>
    <n v="3"/>
    <d v="1899-12-30T00:04:38"/>
    <n v="4.6333333333333329"/>
  </r>
  <r>
    <x v="42"/>
    <x v="5"/>
    <x v="5"/>
    <n v="44"/>
    <d v="1899-12-30T00:42:28"/>
    <n v="42.466666666666669"/>
  </r>
  <r>
    <x v="42"/>
    <x v="6"/>
    <x v="0"/>
    <n v="11"/>
    <d v="1899-12-30T00:11:16"/>
    <n v="11.266666666666667"/>
  </r>
  <r>
    <x v="42"/>
    <x v="6"/>
    <x v="1"/>
    <n v="6"/>
    <d v="1899-12-30T00:10:08"/>
    <n v="10.133333333333333"/>
  </r>
  <r>
    <x v="42"/>
    <x v="6"/>
    <x v="2"/>
    <n v="3"/>
    <d v="1899-12-30T00:02:32"/>
    <n v="2.5333333333333332"/>
  </r>
  <r>
    <x v="42"/>
    <x v="6"/>
    <x v="3"/>
    <n v="5"/>
    <d v="1899-12-30T00:05:12"/>
    <n v="5.2"/>
  </r>
  <r>
    <x v="42"/>
    <x v="6"/>
    <x v="4"/>
    <n v="2"/>
    <d v="1899-12-30T00:02:31"/>
    <n v="2.5166666666666666"/>
  </r>
  <r>
    <x v="42"/>
    <x v="6"/>
    <x v="5"/>
    <n v="2"/>
    <d v="1899-12-30T00:01:30"/>
    <n v="1.5"/>
  </r>
  <r>
    <x v="42"/>
    <x v="7"/>
    <x v="0"/>
    <n v="99"/>
    <d v="1899-12-30T02:30:10"/>
    <n v="150.16666666666666"/>
  </r>
  <r>
    <x v="42"/>
    <x v="7"/>
    <x v="1"/>
    <n v="111"/>
    <d v="1899-12-30T03:07:53"/>
    <n v="187.88333333333333"/>
  </r>
  <r>
    <x v="42"/>
    <x v="7"/>
    <x v="2"/>
    <n v="74"/>
    <d v="1899-12-30T02:41:39"/>
    <n v="161.65"/>
  </r>
  <r>
    <x v="42"/>
    <x v="7"/>
    <x v="3"/>
    <n v="84"/>
    <d v="1899-12-30T01:12:59"/>
    <n v="72.983333333333334"/>
  </r>
  <r>
    <x v="42"/>
    <x v="7"/>
    <x v="4"/>
    <n v="203"/>
    <d v="1899-12-30T04:26:53"/>
    <n v="266.88333333333333"/>
  </r>
  <r>
    <x v="42"/>
    <x v="7"/>
    <x v="5"/>
    <n v="37"/>
    <d v="1899-12-30T00:46:15"/>
    <n v="46.25"/>
  </r>
  <r>
    <x v="42"/>
    <x v="8"/>
    <x v="0"/>
    <n v="32"/>
    <d v="1899-12-30T00:43:50"/>
    <n v="43.833333333333336"/>
  </r>
  <r>
    <x v="42"/>
    <x v="8"/>
    <x v="1"/>
    <n v="28"/>
    <d v="1899-12-30T00:37:34"/>
    <n v="37.56666666666667"/>
  </r>
  <r>
    <x v="42"/>
    <x v="8"/>
    <x v="2"/>
    <n v="30"/>
    <d v="1899-12-30T00:55:01"/>
    <n v="55.016666666666666"/>
  </r>
  <r>
    <x v="42"/>
    <x v="8"/>
    <x v="3"/>
    <n v="24"/>
    <d v="1899-12-30T00:21:49"/>
    <n v="21.816666666666666"/>
  </r>
  <r>
    <x v="42"/>
    <x v="8"/>
    <x v="4"/>
    <n v="19"/>
    <d v="1899-12-30T00:21:17"/>
    <n v="21.283333333333335"/>
  </r>
  <r>
    <x v="42"/>
    <x v="8"/>
    <x v="5"/>
    <n v="16"/>
    <d v="1899-12-30T00:18:19"/>
    <n v="18.316666666666666"/>
  </r>
  <r>
    <x v="42"/>
    <x v="9"/>
    <x v="0"/>
    <n v="70"/>
    <d v="1899-12-30T01:56:33"/>
    <n v="116.55"/>
  </r>
  <r>
    <x v="42"/>
    <x v="9"/>
    <x v="1"/>
    <n v="80"/>
    <d v="1899-12-30T02:19:19"/>
    <n v="139.31666666666666"/>
  </r>
  <r>
    <x v="42"/>
    <x v="9"/>
    <x v="2"/>
    <n v="54"/>
    <d v="1899-12-30T01:43:59"/>
    <n v="103.98333333333333"/>
  </r>
  <r>
    <x v="42"/>
    <x v="9"/>
    <x v="3"/>
    <n v="29"/>
    <d v="1899-12-30T00:40:49"/>
    <n v="40.81666666666667"/>
  </r>
  <r>
    <x v="42"/>
    <x v="9"/>
    <x v="4"/>
    <n v="20"/>
    <d v="1899-12-30T00:37:53"/>
    <n v="37.883333333333333"/>
  </r>
  <r>
    <x v="42"/>
    <x v="9"/>
    <x v="5"/>
    <n v="27"/>
    <d v="1899-12-30T00:30:17"/>
    <n v="30.283333333333335"/>
  </r>
  <r>
    <x v="42"/>
    <x v="10"/>
    <x v="0"/>
    <n v="24"/>
    <d v="1899-12-30T00:42:20"/>
    <n v="42.333333333333336"/>
  </r>
  <r>
    <x v="42"/>
    <x v="10"/>
    <x v="1"/>
    <n v="22"/>
    <d v="1899-12-30T00:34:44"/>
    <n v="34.733333333333334"/>
  </r>
  <r>
    <x v="42"/>
    <x v="10"/>
    <x v="2"/>
    <n v="8"/>
    <d v="1899-12-30T00:15:47"/>
    <n v="15.783333333333333"/>
  </r>
  <r>
    <x v="42"/>
    <x v="10"/>
    <x v="3"/>
    <n v="11"/>
    <d v="1899-12-30T00:11:12"/>
    <n v="11.2"/>
  </r>
  <r>
    <x v="42"/>
    <x v="10"/>
    <x v="4"/>
    <n v="0"/>
    <d v="1899-12-30T00:00:00"/>
    <n v="0"/>
  </r>
  <r>
    <x v="42"/>
    <x v="10"/>
    <x v="5"/>
    <n v="7"/>
    <d v="1899-12-30T00:09:07"/>
    <n v="9.1166666666666671"/>
  </r>
  <r>
    <x v="42"/>
    <x v="11"/>
    <x v="0"/>
    <n v="32"/>
    <d v="1899-12-30T00:49:10"/>
    <n v="49.166666666666664"/>
  </r>
  <r>
    <x v="42"/>
    <x v="11"/>
    <x v="1"/>
    <n v="23"/>
    <d v="1899-12-30T00:41:50"/>
    <n v="41.833333333333336"/>
  </r>
  <r>
    <x v="42"/>
    <x v="11"/>
    <x v="2"/>
    <n v="17"/>
    <d v="1899-12-30T00:28:26"/>
    <n v="28.433333333333334"/>
  </r>
  <r>
    <x v="42"/>
    <x v="11"/>
    <x v="3"/>
    <n v="12"/>
    <d v="1899-12-30T00:12:50"/>
    <n v="12.833333333333334"/>
  </r>
  <r>
    <x v="42"/>
    <x v="11"/>
    <x v="4"/>
    <n v="11"/>
    <d v="1899-12-30T00:18:40"/>
    <n v="18.666666666666668"/>
  </r>
  <r>
    <x v="42"/>
    <x v="11"/>
    <x v="5"/>
    <n v="18"/>
    <d v="1899-12-30T00:21:53"/>
    <n v="21.883333333333333"/>
  </r>
  <r>
    <x v="42"/>
    <x v="12"/>
    <x v="0"/>
    <n v="134"/>
    <d v="1899-12-30T03:31:54"/>
    <n v="211.9"/>
  </r>
  <r>
    <x v="42"/>
    <x v="12"/>
    <x v="1"/>
    <n v="99"/>
    <d v="1899-12-30T02:45:13"/>
    <n v="165.21666666666667"/>
  </r>
  <r>
    <x v="42"/>
    <x v="12"/>
    <x v="2"/>
    <n v="77"/>
    <d v="1899-12-30T02:37:44"/>
    <n v="157.73333333333332"/>
  </r>
  <r>
    <x v="42"/>
    <x v="12"/>
    <x v="3"/>
    <n v="52"/>
    <d v="1899-12-30T00:45:15"/>
    <n v="45.25"/>
  </r>
  <r>
    <x v="42"/>
    <x v="12"/>
    <x v="4"/>
    <n v="53"/>
    <d v="1899-12-30T01:01:03"/>
    <n v="61.05"/>
  </r>
  <r>
    <x v="42"/>
    <x v="12"/>
    <x v="5"/>
    <n v="63"/>
    <d v="1899-12-30T01:15:43"/>
    <n v="75.716666666666669"/>
  </r>
  <r>
    <x v="42"/>
    <x v="13"/>
    <x v="0"/>
    <n v="104"/>
    <d v="1899-12-30T02:15:36"/>
    <n v="135.6"/>
  </r>
  <r>
    <x v="42"/>
    <x v="13"/>
    <x v="1"/>
    <n v="113"/>
    <d v="1899-12-30T02:43:37"/>
    <n v="163.61666666666667"/>
  </r>
  <r>
    <x v="42"/>
    <x v="13"/>
    <x v="2"/>
    <n v="70"/>
    <d v="1899-12-30T01:46:51"/>
    <n v="106.85"/>
  </r>
  <r>
    <x v="42"/>
    <x v="13"/>
    <x v="3"/>
    <n v="54"/>
    <d v="1899-12-30T00:49:00"/>
    <n v="49"/>
  </r>
  <r>
    <x v="42"/>
    <x v="13"/>
    <x v="4"/>
    <n v="12"/>
    <d v="1899-12-30T00:15:00"/>
    <n v="15"/>
  </r>
  <r>
    <x v="42"/>
    <x v="13"/>
    <x v="5"/>
    <n v="44"/>
    <d v="1899-12-30T00:39:43"/>
    <n v="39.716666666666669"/>
  </r>
  <r>
    <x v="43"/>
    <x v="0"/>
    <x v="0"/>
    <n v="48"/>
    <d v="1899-12-30T01:07:40"/>
    <n v="67.666666666666671"/>
  </r>
  <r>
    <x v="43"/>
    <x v="0"/>
    <x v="1"/>
    <n v="50"/>
    <d v="1899-12-30T00:58:42"/>
    <n v="58.7"/>
  </r>
  <r>
    <x v="43"/>
    <x v="0"/>
    <x v="2"/>
    <n v="24"/>
    <d v="1899-12-30T00:28:11"/>
    <n v="28.183333333333334"/>
  </r>
  <r>
    <x v="43"/>
    <x v="0"/>
    <x v="3"/>
    <n v="15"/>
    <d v="1899-12-30T00:15:38"/>
    <n v="15.633333333333333"/>
  </r>
  <r>
    <x v="43"/>
    <x v="0"/>
    <x v="4"/>
    <n v="11"/>
    <d v="1899-12-30T00:06:46"/>
    <n v="6.7666666666666666"/>
  </r>
  <r>
    <x v="43"/>
    <x v="0"/>
    <x v="5"/>
    <n v="22"/>
    <d v="1899-12-30T00:24:22"/>
    <n v="24.366666666666667"/>
  </r>
  <r>
    <x v="43"/>
    <x v="1"/>
    <x v="0"/>
    <n v="38"/>
    <d v="1899-12-30T01:04:10"/>
    <n v="64.166666666666671"/>
  </r>
  <r>
    <x v="43"/>
    <x v="1"/>
    <x v="1"/>
    <n v="51"/>
    <d v="1899-12-30T01:36:24"/>
    <n v="96.4"/>
  </r>
  <r>
    <x v="43"/>
    <x v="1"/>
    <x v="2"/>
    <n v="20"/>
    <d v="1899-12-30T00:42:32"/>
    <n v="42.533333333333331"/>
  </r>
  <r>
    <x v="43"/>
    <x v="1"/>
    <x v="3"/>
    <n v="11"/>
    <d v="1899-12-30T00:11:04"/>
    <n v="11.066666666666666"/>
  </r>
  <r>
    <x v="43"/>
    <x v="1"/>
    <x v="4"/>
    <n v="1"/>
    <d v="1899-12-30T00:03:23"/>
    <n v="3.3833333333333333"/>
  </r>
  <r>
    <x v="43"/>
    <x v="1"/>
    <x v="5"/>
    <n v="20"/>
    <d v="1899-12-30T00:25:34"/>
    <n v="25.566666666666666"/>
  </r>
  <r>
    <x v="43"/>
    <x v="2"/>
    <x v="0"/>
    <n v="43"/>
    <d v="1899-12-30T01:10:09"/>
    <n v="70.150000000000006"/>
  </r>
  <r>
    <x v="43"/>
    <x v="2"/>
    <x v="1"/>
    <n v="40"/>
    <d v="1899-12-30T01:00:47"/>
    <n v="60.783333333333331"/>
  </r>
  <r>
    <x v="43"/>
    <x v="2"/>
    <x v="2"/>
    <n v="28"/>
    <d v="1899-12-30T00:53:18"/>
    <n v="53.3"/>
  </r>
  <r>
    <x v="43"/>
    <x v="2"/>
    <x v="3"/>
    <n v="18"/>
    <d v="1899-12-30T00:20:40"/>
    <n v="20.666666666666668"/>
  </r>
  <r>
    <x v="43"/>
    <x v="2"/>
    <x v="4"/>
    <n v="14"/>
    <d v="1899-12-30T00:13:45"/>
    <n v="13.75"/>
  </r>
  <r>
    <x v="43"/>
    <x v="2"/>
    <x v="5"/>
    <n v="12"/>
    <d v="1899-12-30T00:16:42"/>
    <n v="16.7"/>
  </r>
  <r>
    <x v="43"/>
    <x v="3"/>
    <x v="0"/>
    <n v="19"/>
    <d v="1899-12-30T00:30:13"/>
    <n v="30.216666666666665"/>
  </r>
  <r>
    <x v="43"/>
    <x v="3"/>
    <x v="1"/>
    <n v="7"/>
    <d v="1899-12-30T00:11:31"/>
    <n v="11.516666666666667"/>
  </r>
  <r>
    <x v="43"/>
    <x v="3"/>
    <x v="2"/>
    <n v="4"/>
    <d v="1899-12-30T00:08:03"/>
    <n v="8.0500000000000007"/>
  </r>
  <r>
    <x v="43"/>
    <x v="3"/>
    <x v="3"/>
    <n v="4"/>
    <d v="1899-12-30T00:04:29"/>
    <n v="4.4833333333333334"/>
  </r>
  <r>
    <x v="43"/>
    <x v="3"/>
    <x v="5"/>
    <n v="2"/>
    <d v="1899-12-30T00:03:41"/>
    <n v="3.6833333333333336"/>
  </r>
  <r>
    <x v="43"/>
    <x v="4"/>
    <x v="0"/>
    <n v="20"/>
    <d v="1899-12-30T00:29:36"/>
    <n v="29.6"/>
  </r>
  <r>
    <x v="43"/>
    <x v="4"/>
    <x v="1"/>
    <n v="17"/>
    <d v="1899-12-30T00:20:04"/>
    <n v="20.066666666666666"/>
  </r>
  <r>
    <x v="43"/>
    <x v="4"/>
    <x v="2"/>
    <n v="14"/>
    <d v="1899-12-30T00:19:05"/>
    <n v="19.083333333333332"/>
  </r>
  <r>
    <x v="43"/>
    <x v="4"/>
    <x v="3"/>
    <n v="6"/>
    <d v="1899-12-30T00:04:00"/>
    <n v="4"/>
  </r>
  <r>
    <x v="43"/>
    <x v="4"/>
    <x v="4"/>
    <n v="6"/>
    <d v="1899-12-30T00:08:49"/>
    <n v="8.8166666666666664"/>
  </r>
  <r>
    <x v="43"/>
    <x v="4"/>
    <x v="5"/>
    <n v="5"/>
    <d v="1899-12-30T00:04:09"/>
    <n v="4.1500000000000004"/>
  </r>
  <r>
    <x v="43"/>
    <x v="5"/>
    <x v="0"/>
    <n v="27"/>
    <d v="1899-12-30T00:30:59"/>
    <n v="30.983333333333334"/>
  </r>
  <r>
    <x v="43"/>
    <x v="5"/>
    <x v="1"/>
    <n v="18"/>
    <d v="1899-12-30T00:17:52"/>
    <n v="17.866666666666667"/>
  </r>
  <r>
    <x v="43"/>
    <x v="5"/>
    <x v="2"/>
    <n v="12"/>
    <d v="1899-12-30T00:16:49"/>
    <n v="16.816666666666666"/>
  </r>
  <r>
    <x v="43"/>
    <x v="5"/>
    <x v="3"/>
    <n v="11"/>
    <d v="1899-12-30T00:11:49"/>
    <n v="11.816666666666666"/>
  </r>
  <r>
    <x v="43"/>
    <x v="5"/>
    <x v="4"/>
    <n v="2"/>
    <d v="1899-12-30T00:03:00"/>
    <n v="3"/>
  </r>
  <r>
    <x v="43"/>
    <x v="5"/>
    <x v="5"/>
    <n v="18"/>
    <d v="1899-12-30T00:17:20"/>
    <n v="17.333333333333332"/>
  </r>
  <r>
    <x v="43"/>
    <x v="6"/>
    <x v="0"/>
    <n v="8"/>
    <d v="1899-12-30T00:09:00"/>
    <n v="9"/>
  </r>
  <r>
    <x v="43"/>
    <x v="6"/>
    <x v="1"/>
    <n v="13"/>
    <d v="1899-12-30T00:14:22"/>
    <n v="14.366666666666667"/>
  </r>
  <r>
    <x v="43"/>
    <x v="6"/>
    <x v="2"/>
    <n v="11"/>
    <d v="1899-12-30T00:15:34"/>
    <n v="15.566666666666666"/>
  </r>
  <r>
    <x v="43"/>
    <x v="6"/>
    <x v="3"/>
    <n v="6"/>
    <d v="1899-12-30T00:05:46"/>
    <n v="5.7666666666666666"/>
  </r>
  <r>
    <x v="43"/>
    <x v="6"/>
    <x v="4"/>
    <n v="7"/>
    <d v="1899-12-30T00:07:08"/>
    <n v="7.1333333333333337"/>
  </r>
  <r>
    <x v="43"/>
    <x v="6"/>
    <x v="5"/>
    <n v="4"/>
    <d v="1899-12-30T00:03:26"/>
    <n v="3.4333333333333336"/>
  </r>
  <r>
    <x v="43"/>
    <x v="7"/>
    <x v="0"/>
    <n v="115"/>
    <d v="1899-12-30T02:48:34"/>
    <n v="168.56666666666666"/>
  </r>
  <r>
    <x v="43"/>
    <x v="7"/>
    <x v="1"/>
    <n v="119"/>
    <d v="1899-12-30T03:07:05"/>
    <n v="187.08333333333334"/>
  </r>
  <r>
    <x v="43"/>
    <x v="7"/>
    <x v="2"/>
    <n v="92"/>
    <d v="1899-12-30T02:38:07"/>
    <n v="158.11666666666667"/>
  </r>
  <r>
    <x v="43"/>
    <x v="7"/>
    <x v="3"/>
    <n v="74"/>
    <d v="1899-12-30T01:19:02"/>
    <n v="79.033333333333331"/>
  </r>
  <r>
    <x v="43"/>
    <x v="7"/>
    <x v="4"/>
    <n v="151"/>
    <d v="1899-12-30T03:24:59"/>
    <n v="204.98333333333332"/>
  </r>
  <r>
    <x v="43"/>
    <x v="7"/>
    <x v="5"/>
    <n v="45"/>
    <d v="1899-12-30T00:51:03"/>
    <n v="51.05"/>
  </r>
  <r>
    <x v="43"/>
    <x v="8"/>
    <x v="0"/>
    <n v="18"/>
    <d v="1899-12-30T00:30:30"/>
    <n v="30.5"/>
  </r>
  <r>
    <x v="43"/>
    <x v="8"/>
    <x v="1"/>
    <n v="24"/>
    <d v="1899-12-30T00:32:58"/>
    <n v="32.966666666666669"/>
  </r>
  <r>
    <x v="43"/>
    <x v="8"/>
    <x v="2"/>
    <n v="20"/>
    <d v="1899-12-30T00:29:23"/>
    <n v="29.383333333333333"/>
  </r>
  <r>
    <x v="43"/>
    <x v="8"/>
    <x v="3"/>
    <n v="13"/>
    <d v="1899-12-30T00:12:04"/>
    <n v="12.066666666666666"/>
  </r>
  <r>
    <x v="43"/>
    <x v="8"/>
    <x v="4"/>
    <n v="17"/>
    <d v="1899-12-30T00:15:27"/>
    <n v="15.45"/>
  </r>
  <r>
    <x v="43"/>
    <x v="8"/>
    <x v="5"/>
    <n v="12"/>
    <d v="1899-12-30T00:14:43"/>
    <n v="14.716666666666667"/>
  </r>
  <r>
    <x v="43"/>
    <x v="9"/>
    <x v="0"/>
    <n v="14"/>
    <d v="1899-12-30T00:20:43"/>
    <n v="20.716666666666665"/>
  </r>
  <r>
    <x v="43"/>
    <x v="9"/>
    <x v="1"/>
    <n v="16"/>
    <d v="1899-12-30T00:23:23"/>
    <n v="23.383333333333333"/>
  </r>
  <r>
    <x v="43"/>
    <x v="9"/>
    <x v="2"/>
    <n v="11"/>
    <d v="1899-12-30T00:22:17"/>
    <n v="22.283333333333335"/>
  </r>
  <r>
    <x v="43"/>
    <x v="9"/>
    <x v="3"/>
    <n v="4"/>
    <d v="1899-12-30T00:06:21"/>
    <n v="6.35"/>
  </r>
  <r>
    <x v="43"/>
    <x v="9"/>
    <x v="4"/>
    <n v="3"/>
    <d v="1899-12-30T00:06:14"/>
    <n v="6.2333333333333334"/>
  </r>
  <r>
    <x v="43"/>
    <x v="9"/>
    <x v="5"/>
    <n v="10"/>
    <d v="1899-12-30T00:12:03"/>
    <n v="12.05"/>
  </r>
  <r>
    <x v="43"/>
    <x v="10"/>
    <x v="0"/>
    <n v="19"/>
    <d v="1899-12-30T00:26:24"/>
    <n v="26.4"/>
  </r>
  <r>
    <x v="43"/>
    <x v="10"/>
    <x v="1"/>
    <n v="17"/>
    <d v="1899-12-30T00:32:50"/>
    <n v="32.833333333333336"/>
  </r>
  <r>
    <x v="43"/>
    <x v="10"/>
    <x v="2"/>
    <n v="9"/>
    <d v="1899-12-30T00:15:20"/>
    <n v="15.333333333333334"/>
  </r>
  <r>
    <x v="43"/>
    <x v="10"/>
    <x v="3"/>
    <n v="7"/>
    <d v="1899-12-30T00:08:00"/>
    <n v="8"/>
  </r>
  <r>
    <x v="43"/>
    <x v="10"/>
    <x v="4"/>
    <n v="2"/>
    <d v="1899-12-30T00:03:10"/>
    <n v="3.1666666666666665"/>
  </r>
  <r>
    <x v="43"/>
    <x v="10"/>
    <x v="5"/>
    <n v="8"/>
    <d v="1899-12-30T00:10:44"/>
    <n v="10.733333333333333"/>
  </r>
  <r>
    <x v="43"/>
    <x v="11"/>
    <x v="0"/>
    <n v="9"/>
    <d v="1899-12-30T00:14:11"/>
    <n v="14.183333333333334"/>
  </r>
  <r>
    <x v="43"/>
    <x v="11"/>
    <x v="1"/>
    <n v="12"/>
    <d v="1899-12-30T00:15:04"/>
    <n v="15.066666666666666"/>
  </r>
  <r>
    <x v="43"/>
    <x v="11"/>
    <x v="2"/>
    <n v="5"/>
    <d v="1899-12-30T00:05:46"/>
    <n v="5.7666666666666666"/>
  </r>
  <r>
    <x v="43"/>
    <x v="11"/>
    <x v="3"/>
    <n v="11"/>
    <d v="1899-12-30T00:06:14"/>
    <n v="6.2333333333333334"/>
  </r>
  <r>
    <x v="43"/>
    <x v="11"/>
    <x v="4"/>
    <n v="3"/>
    <d v="1899-12-30T00:05:35"/>
    <n v="5.583333333333333"/>
  </r>
  <r>
    <x v="43"/>
    <x v="11"/>
    <x v="5"/>
    <n v="6"/>
    <d v="1899-12-30T00:05:38"/>
    <n v="5.6333333333333329"/>
  </r>
  <r>
    <x v="43"/>
    <x v="12"/>
    <x v="0"/>
    <n v="92"/>
    <d v="1899-12-30T02:04:27"/>
    <n v="124.45"/>
  </r>
  <r>
    <x v="43"/>
    <x v="12"/>
    <x v="1"/>
    <n v="76"/>
    <d v="1899-12-30T01:48:06"/>
    <n v="108.1"/>
  </r>
  <r>
    <x v="43"/>
    <x v="12"/>
    <x v="2"/>
    <n v="63"/>
    <d v="1899-12-30T01:41:43"/>
    <n v="101.71666666666667"/>
  </r>
  <r>
    <x v="43"/>
    <x v="12"/>
    <x v="3"/>
    <n v="37"/>
    <d v="1899-12-30T00:36:27"/>
    <n v="36.450000000000003"/>
  </r>
  <r>
    <x v="43"/>
    <x v="12"/>
    <x v="4"/>
    <n v="39"/>
    <d v="1899-12-30T01:06:46"/>
    <n v="66.766666666666666"/>
  </r>
  <r>
    <x v="43"/>
    <x v="12"/>
    <x v="5"/>
    <n v="41"/>
    <d v="1899-12-30T00:46:08"/>
    <n v="46.133333333333333"/>
  </r>
  <r>
    <x v="43"/>
    <x v="13"/>
    <x v="0"/>
    <n v="128"/>
    <d v="1899-12-30T03:32:28"/>
    <n v="212.46666666666667"/>
  </r>
  <r>
    <x v="43"/>
    <x v="13"/>
    <x v="1"/>
    <n v="149"/>
    <d v="1899-12-30T03:35:09"/>
    <n v="215.15"/>
  </r>
  <r>
    <x v="43"/>
    <x v="13"/>
    <x v="2"/>
    <n v="88"/>
    <d v="1899-12-30T02:36:46"/>
    <n v="156.76666666666668"/>
  </r>
  <r>
    <x v="43"/>
    <x v="13"/>
    <x v="3"/>
    <n v="56"/>
    <d v="1899-12-30T01:05:56"/>
    <n v="65.933333333333337"/>
  </r>
  <r>
    <x v="43"/>
    <x v="13"/>
    <x v="4"/>
    <n v="17"/>
    <d v="1899-12-30T00:30:37"/>
    <n v="30.616666666666667"/>
  </r>
  <r>
    <x v="43"/>
    <x v="13"/>
    <x v="5"/>
    <n v="63"/>
    <d v="1899-12-30T01:06:58"/>
    <n v="66.966666666666669"/>
  </r>
  <r>
    <x v="44"/>
    <x v="0"/>
    <x v="0"/>
    <n v="49"/>
    <d v="1899-12-30T00:57:35"/>
    <n v="57.583333333333336"/>
  </r>
  <r>
    <x v="44"/>
    <x v="0"/>
    <x v="1"/>
    <n v="49"/>
    <d v="1899-12-30T00:52:52"/>
    <n v="52.866666666666667"/>
  </r>
  <r>
    <x v="44"/>
    <x v="0"/>
    <x v="2"/>
    <n v="33"/>
    <d v="1899-12-30T00:44:50"/>
    <n v="44.833333333333336"/>
  </r>
  <r>
    <x v="44"/>
    <x v="0"/>
    <x v="3"/>
    <n v="20"/>
    <d v="1899-12-30T00:14:45"/>
    <n v="14.75"/>
  </r>
  <r>
    <x v="44"/>
    <x v="0"/>
    <x v="4"/>
    <n v="21"/>
    <d v="1899-12-30T00:19:49"/>
    <n v="19.816666666666666"/>
  </r>
  <r>
    <x v="44"/>
    <x v="0"/>
    <x v="5"/>
    <n v="27"/>
    <d v="1899-12-30T00:30:23"/>
    <n v="30.383333333333333"/>
  </r>
  <r>
    <x v="44"/>
    <x v="1"/>
    <x v="0"/>
    <n v="55"/>
    <d v="1899-12-30T01:44:00"/>
    <n v="104"/>
  </r>
  <r>
    <x v="44"/>
    <x v="1"/>
    <x v="1"/>
    <n v="72"/>
    <d v="1899-12-30T02:16:44"/>
    <n v="136.73333333333332"/>
  </r>
  <r>
    <x v="44"/>
    <x v="1"/>
    <x v="2"/>
    <n v="50"/>
    <d v="1899-12-30T01:32:06"/>
    <n v="92.1"/>
  </r>
  <r>
    <x v="44"/>
    <x v="1"/>
    <x v="3"/>
    <n v="20"/>
    <d v="1899-12-30T00:15:44"/>
    <n v="15.733333333333333"/>
  </r>
  <r>
    <x v="44"/>
    <x v="1"/>
    <x v="4"/>
    <n v="5"/>
    <d v="1899-12-30T00:08:31"/>
    <n v="8.5166666666666675"/>
  </r>
  <r>
    <x v="44"/>
    <x v="1"/>
    <x v="5"/>
    <n v="28"/>
    <d v="1899-12-30T00:38:09"/>
    <n v="38.15"/>
  </r>
  <r>
    <x v="44"/>
    <x v="2"/>
    <x v="0"/>
    <n v="122"/>
    <d v="1899-12-30T03:03:13"/>
    <n v="183.21666666666667"/>
  </r>
  <r>
    <x v="44"/>
    <x v="2"/>
    <x v="1"/>
    <n v="127"/>
    <d v="1899-12-30T03:27:07"/>
    <n v="207.11666666666667"/>
  </r>
  <r>
    <x v="44"/>
    <x v="2"/>
    <x v="2"/>
    <n v="76"/>
    <d v="1899-12-30T02:26:43"/>
    <n v="146.71666666666667"/>
  </r>
  <r>
    <x v="44"/>
    <x v="2"/>
    <x v="3"/>
    <n v="62"/>
    <d v="1899-12-30T01:14:15"/>
    <n v="74.25"/>
  </r>
  <r>
    <x v="44"/>
    <x v="2"/>
    <x v="4"/>
    <n v="65"/>
    <d v="1899-12-30T01:35:18"/>
    <n v="95.3"/>
  </r>
  <r>
    <x v="44"/>
    <x v="2"/>
    <x v="5"/>
    <n v="45"/>
    <d v="1899-12-30T00:58:28"/>
    <n v="58.466666666666669"/>
  </r>
  <r>
    <x v="44"/>
    <x v="3"/>
    <x v="0"/>
    <n v="40"/>
    <d v="1899-12-30T01:19:57"/>
    <n v="79.95"/>
  </r>
  <r>
    <x v="44"/>
    <x v="3"/>
    <x v="1"/>
    <n v="26"/>
    <d v="1899-12-30T00:56:04"/>
    <n v="56.06666666666667"/>
  </r>
  <r>
    <x v="44"/>
    <x v="3"/>
    <x v="2"/>
    <n v="10"/>
    <d v="1899-12-30T00:18:58"/>
    <n v="18.966666666666665"/>
  </r>
  <r>
    <x v="44"/>
    <x v="3"/>
    <x v="3"/>
    <n v="12"/>
    <d v="1899-12-30T00:15:28"/>
    <n v="15.466666666666667"/>
  </r>
  <r>
    <x v="44"/>
    <x v="3"/>
    <x v="4"/>
    <n v="3"/>
    <d v="1899-12-30T00:07:56"/>
    <n v="7.9333333333333336"/>
  </r>
  <r>
    <x v="44"/>
    <x v="3"/>
    <x v="5"/>
    <n v="19"/>
    <d v="1899-12-30T00:27:01"/>
    <n v="27.016666666666666"/>
  </r>
  <r>
    <x v="44"/>
    <x v="4"/>
    <x v="0"/>
    <n v="32"/>
    <d v="1899-12-30T00:45:27"/>
    <n v="45.45"/>
  </r>
  <r>
    <x v="44"/>
    <x v="4"/>
    <x v="1"/>
    <n v="29"/>
    <d v="1899-12-30T00:42:32"/>
    <n v="42.533333333333331"/>
  </r>
  <r>
    <x v="44"/>
    <x v="4"/>
    <x v="2"/>
    <n v="17"/>
    <d v="1899-12-30T00:30:34"/>
    <n v="30.566666666666666"/>
  </r>
  <r>
    <x v="44"/>
    <x v="4"/>
    <x v="3"/>
    <n v="7"/>
    <d v="1899-12-30T00:06:12"/>
    <n v="6.2"/>
  </r>
  <r>
    <x v="44"/>
    <x v="4"/>
    <x v="4"/>
    <n v="3"/>
    <d v="1899-12-30T00:01:25"/>
    <n v="1.4166666666666667"/>
  </r>
  <r>
    <x v="44"/>
    <x v="4"/>
    <x v="5"/>
    <n v="9"/>
    <d v="1899-12-30T00:10:35"/>
    <n v="10.583333333333334"/>
  </r>
  <r>
    <x v="44"/>
    <x v="5"/>
    <x v="0"/>
    <n v="51"/>
    <d v="1899-12-30T01:07:38"/>
    <n v="67.63333333333334"/>
  </r>
  <r>
    <x v="44"/>
    <x v="5"/>
    <x v="1"/>
    <n v="57"/>
    <d v="1899-12-30T01:19:22"/>
    <n v="79.36666666666666"/>
  </r>
  <r>
    <x v="44"/>
    <x v="5"/>
    <x v="2"/>
    <n v="38"/>
    <d v="1899-12-30T00:59:19"/>
    <n v="59.31666666666667"/>
  </r>
  <r>
    <x v="44"/>
    <x v="5"/>
    <x v="3"/>
    <n v="20"/>
    <d v="1899-12-30T00:23:01"/>
    <n v="23.016666666666666"/>
  </r>
  <r>
    <x v="44"/>
    <x v="5"/>
    <x v="4"/>
    <n v="6"/>
    <d v="1899-12-30T00:06:27"/>
    <n v="6.45"/>
  </r>
  <r>
    <x v="44"/>
    <x v="5"/>
    <x v="5"/>
    <n v="31"/>
    <d v="1899-12-30T00:40:40"/>
    <n v="40.666666666666664"/>
  </r>
  <r>
    <x v="44"/>
    <x v="6"/>
    <x v="0"/>
    <n v="9"/>
    <d v="1899-12-30T00:13:24"/>
    <n v="13.4"/>
  </r>
  <r>
    <x v="44"/>
    <x v="6"/>
    <x v="1"/>
    <n v="14"/>
    <d v="1899-12-30T00:21:56"/>
    <n v="21.933333333333334"/>
  </r>
  <r>
    <x v="44"/>
    <x v="6"/>
    <x v="2"/>
    <n v="2"/>
    <d v="1899-12-30T00:03:36"/>
    <n v="3.6"/>
  </r>
  <r>
    <x v="44"/>
    <x v="6"/>
    <x v="3"/>
    <n v="4"/>
    <d v="1899-12-30T00:04:25"/>
    <n v="4.416666666666667"/>
  </r>
  <r>
    <x v="44"/>
    <x v="6"/>
    <x v="4"/>
    <n v="6"/>
    <d v="1899-12-30T00:09:59"/>
    <n v="9.9833333333333325"/>
  </r>
  <r>
    <x v="44"/>
    <x v="6"/>
    <x v="5"/>
    <n v="4"/>
    <d v="1899-12-30T00:03:59"/>
    <n v="3.9833333333333334"/>
  </r>
  <r>
    <x v="44"/>
    <x v="7"/>
    <x v="0"/>
    <n v="75"/>
    <d v="1899-12-30T01:41:17"/>
    <n v="101.28333333333333"/>
  </r>
  <r>
    <x v="44"/>
    <x v="7"/>
    <x v="1"/>
    <n v="107"/>
    <d v="1899-12-30T02:32:00"/>
    <n v="152"/>
  </r>
  <r>
    <x v="44"/>
    <x v="7"/>
    <x v="2"/>
    <n v="64"/>
    <d v="1899-12-30T01:57:54"/>
    <n v="117.9"/>
  </r>
  <r>
    <x v="44"/>
    <x v="7"/>
    <x v="3"/>
    <n v="79"/>
    <d v="1899-12-30T01:08:29"/>
    <n v="68.483333333333334"/>
  </r>
  <r>
    <x v="44"/>
    <x v="7"/>
    <x v="4"/>
    <n v="158"/>
    <d v="1899-12-30T03:46:11"/>
    <n v="226.18333333333334"/>
  </r>
  <r>
    <x v="44"/>
    <x v="7"/>
    <x v="5"/>
    <n v="35"/>
    <d v="1899-12-30T00:36:30"/>
    <n v="36.5"/>
  </r>
  <r>
    <x v="44"/>
    <x v="8"/>
    <x v="0"/>
    <n v="26"/>
    <d v="1899-12-30T00:36:45"/>
    <n v="36.75"/>
  </r>
  <r>
    <x v="44"/>
    <x v="8"/>
    <x v="1"/>
    <n v="25"/>
    <d v="1899-12-30T00:38:19"/>
    <n v="38.31666666666667"/>
  </r>
  <r>
    <x v="44"/>
    <x v="8"/>
    <x v="2"/>
    <n v="16"/>
    <d v="1899-12-30T00:26:42"/>
    <n v="26.7"/>
  </r>
  <r>
    <x v="44"/>
    <x v="8"/>
    <x v="3"/>
    <n v="22"/>
    <d v="1899-12-30T00:21:06"/>
    <n v="21.1"/>
  </r>
  <r>
    <x v="44"/>
    <x v="8"/>
    <x v="4"/>
    <n v="6"/>
    <d v="1899-12-30T00:05:49"/>
    <n v="5.8166666666666664"/>
  </r>
  <r>
    <x v="44"/>
    <x v="8"/>
    <x v="5"/>
    <n v="14"/>
    <d v="1899-12-30T00:19:11"/>
    <n v="19.183333333333334"/>
  </r>
  <r>
    <x v="44"/>
    <x v="9"/>
    <x v="0"/>
    <n v="43"/>
    <d v="1899-12-30T01:00:05"/>
    <n v="60.083333333333336"/>
  </r>
  <r>
    <x v="44"/>
    <x v="9"/>
    <x v="1"/>
    <n v="60"/>
    <d v="1899-12-30T01:23:10"/>
    <n v="83.166666666666671"/>
  </r>
  <r>
    <x v="44"/>
    <x v="9"/>
    <x v="2"/>
    <n v="47"/>
    <d v="1899-12-30T01:25:14"/>
    <n v="85.233333333333334"/>
  </r>
  <r>
    <x v="44"/>
    <x v="9"/>
    <x v="3"/>
    <n v="25"/>
    <d v="1899-12-30T00:25:33"/>
    <n v="25.55"/>
  </r>
  <r>
    <x v="44"/>
    <x v="9"/>
    <x v="4"/>
    <n v="12"/>
    <d v="1899-12-30T00:23:06"/>
    <n v="23.1"/>
  </r>
  <r>
    <x v="44"/>
    <x v="9"/>
    <x v="5"/>
    <n v="16"/>
    <d v="1899-12-30T00:17:59"/>
    <n v="17.983333333333334"/>
  </r>
  <r>
    <x v="44"/>
    <x v="10"/>
    <x v="0"/>
    <n v="42"/>
    <d v="1899-12-30T01:15:25"/>
    <n v="75.416666666666671"/>
  </r>
  <r>
    <x v="44"/>
    <x v="10"/>
    <x v="1"/>
    <n v="35"/>
    <d v="1899-12-30T00:56:03"/>
    <n v="56.05"/>
  </r>
  <r>
    <x v="44"/>
    <x v="10"/>
    <x v="2"/>
    <n v="14"/>
    <d v="1899-12-30T00:23:02"/>
    <n v="23.033333333333335"/>
  </r>
  <r>
    <x v="44"/>
    <x v="10"/>
    <x v="3"/>
    <n v="11"/>
    <d v="1899-12-30T00:11:46"/>
    <n v="11.766666666666667"/>
  </r>
  <r>
    <x v="44"/>
    <x v="10"/>
    <x v="4"/>
    <n v="5"/>
    <d v="1899-12-30T00:06:14"/>
    <n v="6.2333333333333334"/>
  </r>
  <r>
    <x v="44"/>
    <x v="10"/>
    <x v="5"/>
    <n v="20"/>
    <d v="1899-12-30T00:25:22"/>
    <n v="25.366666666666667"/>
  </r>
  <r>
    <x v="44"/>
    <x v="11"/>
    <x v="0"/>
    <n v="18"/>
    <d v="1899-12-30T00:30:42"/>
    <n v="30.7"/>
  </r>
  <r>
    <x v="44"/>
    <x v="11"/>
    <x v="1"/>
    <n v="13"/>
    <d v="1899-12-30T00:21:22"/>
    <n v="21.366666666666667"/>
  </r>
  <r>
    <x v="44"/>
    <x v="11"/>
    <x v="2"/>
    <n v="7"/>
    <d v="1899-12-30T00:09:34"/>
    <n v="9.5666666666666664"/>
  </r>
  <r>
    <x v="44"/>
    <x v="11"/>
    <x v="3"/>
    <n v="6"/>
    <d v="1899-12-30T00:05:08"/>
    <n v="5.1333333333333337"/>
  </r>
  <r>
    <x v="44"/>
    <x v="11"/>
    <x v="4"/>
    <n v="10"/>
    <d v="1899-12-30T00:10:17"/>
    <n v="10.283333333333333"/>
  </r>
  <r>
    <x v="44"/>
    <x v="11"/>
    <x v="5"/>
    <n v="6"/>
    <d v="1899-12-30T00:08:52"/>
    <n v="8.8666666666666671"/>
  </r>
  <r>
    <x v="44"/>
    <x v="12"/>
    <x v="0"/>
    <n v="125"/>
    <d v="1899-12-30T03:09:46"/>
    <n v="189.76666666666668"/>
  </r>
  <r>
    <x v="44"/>
    <x v="12"/>
    <x v="1"/>
    <n v="112"/>
    <d v="1899-12-30T02:51:42"/>
    <n v="171.7"/>
  </r>
  <r>
    <x v="44"/>
    <x v="12"/>
    <x v="2"/>
    <n v="75"/>
    <d v="1899-12-30T02:16:43"/>
    <n v="136.71666666666667"/>
  </r>
  <r>
    <x v="44"/>
    <x v="12"/>
    <x v="3"/>
    <n v="69"/>
    <d v="1899-12-30T01:14:53"/>
    <n v="74.88333333333334"/>
  </r>
  <r>
    <x v="44"/>
    <x v="12"/>
    <x v="4"/>
    <n v="38"/>
    <d v="1899-12-30T00:49:31"/>
    <n v="49.516666666666666"/>
  </r>
  <r>
    <x v="44"/>
    <x v="12"/>
    <x v="5"/>
    <n v="50"/>
    <d v="1899-12-30T01:02:21"/>
    <n v="62.35"/>
  </r>
  <r>
    <x v="44"/>
    <x v="13"/>
    <x v="0"/>
    <n v="63"/>
    <d v="1899-12-30T01:04:32"/>
    <n v="64.533333333333331"/>
  </r>
  <r>
    <x v="44"/>
    <x v="13"/>
    <x v="1"/>
    <n v="59"/>
    <d v="1899-12-30T01:03:23"/>
    <n v="63.383333333333333"/>
  </r>
  <r>
    <x v="44"/>
    <x v="13"/>
    <x v="2"/>
    <n v="23"/>
    <d v="1899-12-30T00:22:34"/>
    <n v="22.566666666666666"/>
  </r>
  <r>
    <x v="44"/>
    <x v="13"/>
    <x v="3"/>
    <n v="16"/>
    <d v="1899-12-30T00:15:13"/>
    <n v="15.216666666666667"/>
  </r>
  <r>
    <x v="44"/>
    <x v="13"/>
    <x v="4"/>
    <n v="1"/>
    <d v="1899-12-30T00:00:27"/>
    <n v="0.45"/>
  </r>
  <r>
    <x v="44"/>
    <x v="13"/>
    <x v="5"/>
    <n v="32"/>
    <d v="1899-12-30T00:28:44"/>
    <n v="28.733333333333334"/>
  </r>
  <r>
    <x v="45"/>
    <x v="0"/>
    <x v="0"/>
    <n v="7"/>
    <d v="1899-12-30T00:04:58"/>
    <n v="4.9666666666666668"/>
  </r>
  <r>
    <x v="45"/>
    <x v="0"/>
    <x v="1"/>
    <n v="5"/>
    <d v="1899-12-30T00:05:07"/>
    <n v="5.1166666666666663"/>
  </r>
  <r>
    <x v="45"/>
    <x v="0"/>
    <x v="2"/>
    <n v="4"/>
    <d v="1899-12-30T00:04:40"/>
    <n v="4.666666666666667"/>
  </r>
  <r>
    <x v="45"/>
    <x v="0"/>
    <x v="3"/>
    <n v="6"/>
    <d v="1899-12-30T00:01:53"/>
    <n v="1.8833333333333333"/>
  </r>
  <r>
    <x v="45"/>
    <x v="0"/>
    <x v="4"/>
    <n v="5"/>
    <d v="1899-12-30T00:03:02"/>
    <n v="3.0333333333333332"/>
  </r>
  <r>
    <x v="45"/>
    <x v="0"/>
    <x v="5"/>
    <n v="3"/>
    <d v="1899-12-30T00:01:30"/>
    <n v="1.5"/>
  </r>
  <r>
    <x v="45"/>
    <x v="1"/>
    <x v="0"/>
    <n v="51"/>
    <d v="1899-12-30T01:23:19"/>
    <n v="83.316666666666663"/>
  </r>
  <r>
    <x v="45"/>
    <x v="1"/>
    <x v="1"/>
    <n v="65"/>
    <d v="1899-12-30T02:15:41"/>
    <n v="135.68333333333334"/>
  </r>
  <r>
    <x v="45"/>
    <x v="1"/>
    <x v="2"/>
    <n v="33"/>
    <d v="1899-12-30T01:12:12"/>
    <n v="72.2"/>
  </r>
  <r>
    <x v="45"/>
    <x v="1"/>
    <x v="3"/>
    <n v="18"/>
    <d v="1899-12-30T00:18:38"/>
    <n v="18.633333333333333"/>
  </r>
  <r>
    <x v="45"/>
    <x v="1"/>
    <x v="4"/>
    <n v="4"/>
    <d v="1899-12-30T00:02:42"/>
    <n v="2.7"/>
  </r>
  <r>
    <x v="45"/>
    <x v="1"/>
    <x v="5"/>
    <n v="25"/>
    <d v="1899-12-30T00:33:11"/>
    <n v="33.18333333333333"/>
  </r>
  <r>
    <x v="45"/>
    <x v="2"/>
    <x v="0"/>
    <n v="128"/>
    <d v="1899-12-30T03:19:16"/>
    <n v="199.26666666666668"/>
  </r>
  <r>
    <x v="45"/>
    <x v="2"/>
    <x v="1"/>
    <n v="154"/>
    <d v="1899-12-30T03:31:56"/>
    <n v="211.93333333333334"/>
  </r>
  <r>
    <x v="45"/>
    <x v="2"/>
    <x v="2"/>
    <n v="97"/>
    <d v="1899-12-30T03:07:25"/>
    <n v="187.41666666666666"/>
  </r>
  <r>
    <x v="45"/>
    <x v="2"/>
    <x v="3"/>
    <n v="85"/>
    <d v="1899-12-30T01:22:05"/>
    <n v="82.083333333333329"/>
  </r>
  <r>
    <x v="45"/>
    <x v="2"/>
    <x v="4"/>
    <n v="76"/>
    <d v="1899-12-30T02:31:36"/>
    <n v="151.6"/>
  </r>
  <r>
    <x v="45"/>
    <x v="2"/>
    <x v="5"/>
    <n v="66"/>
    <d v="1899-12-30T01:14:59"/>
    <n v="74.983333333333334"/>
  </r>
  <r>
    <x v="45"/>
    <x v="3"/>
    <x v="0"/>
    <n v="14"/>
    <d v="1899-12-30T00:32:13"/>
    <n v="32.216666666666669"/>
  </r>
  <r>
    <x v="45"/>
    <x v="3"/>
    <x v="1"/>
    <n v="6"/>
    <d v="1899-12-30T00:09:38"/>
    <n v="9.6333333333333329"/>
  </r>
  <r>
    <x v="45"/>
    <x v="3"/>
    <x v="2"/>
    <n v="6"/>
    <d v="1899-12-30T00:13:33"/>
    <n v="13.55"/>
  </r>
  <r>
    <x v="45"/>
    <x v="3"/>
    <x v="3"/>
    <n v="5"/>
    <d v="1899-12-30T00:05:13"/>
    <n v="5.2166666666666668"/>
  </r>
  <r>
    <x v="45"/>
    <x v="3"/>
    <x v="4"/>
    <n v="4"/>
    <d v="1899-12-30T00:07:17"/>
    <n v="7.2833333333333332"/>
  </r>
  <r>
    <x v="45"/>
    <x v="3"/>
    <x v="5"/>
    <n v="6"/>
    <d v="1899-12-30T00:07:51"/>
    <n v="7.85"/>
  </r>
  <r>
    <x v="45"/>
    <x v="4"/>
    <x v="0"/>
    <n v="27"/>
    <d v="1899-12-30T00:51:15"/>
    <n v="51.25"/>
  </r>
  <r>
    <x v="45"/>
    <x v="4"/>
    <x v="1"/>
    <n v="19"/>
    <d v="1899-12-30T00:24:40"/>
    <n v="24.666666666666668"/>
  </r>
  <r>
    <x v="45"/>
    <x v="4"/>
    <x v="2"/>
    <n v="4"/>
    <d v="1899-12-30T00:02:11"/>
    <n v="2.1833333333333331"/>
  </r>
  <r>
    <x v="45"/>
    <x v="4"/>
    <x v="3"/>
    <n v="1"/>
    <d v="1899-12-30T00:00:21"/>
    <n v="0.35"/>
  </r>
  <r>
    <x v="45"/>
    <x v="4"/>
    <x v="4"/>
    <n v="8"/>
    <d v="1899-12-30T00:08:59"/>
    <n v="8.9833333333333325"/>
  </r>
  <r>
    <x v="45"/>
    <x v="4"/>
    <x v="5"/>
    <n v="5"/>
    <d v="1899-12-30T00:05:37"/>
    <n v="5.6166666666666671"/>
  </r>
  <r>
    <x v="45"/>
    <x v="5"/>
    <x v="0"/>
    <n v="22"/>
    <d v="1899-12-30T00:24:52"/>
    <n v="24.866666666666667"/>
  </r>
  <r>
    <x v="45"/>
    <x v="5"/>
    <x v="1"/>
    <n v="15"/>
    <d v="1899-12-30T00:12:35"/>
    <n v="12.583333333333334"/>
  </r>
  <r>
    <x v="45"/>
    <x v="5"/>
    <x v="2"/>
    <n v="11"/>
    <d v="1899-12-30T00:15:25"/>
    <n v="15.416666666666666"/>
  </r>
  <r>
    <x v="45"/>
    <x v="5"/>
    <x v="3"/>
    <n v="15"/>
    <d v="1899-12-30T00:15:03"/>
    <n v="15.05"/>
  </r>
  <r>
    <x v="45"/>
    <x v="5"/>
    <x v="4"/>
    <n v="1"/>
    <d v="1899-12-30T00:00:43"/>
    <n v="0.71666666666666667"/>
  </r>
  <r>
    <x v="45"/>
    <x v="5"/>
    <x v="5"/>
    <n v="12"/>
    <d v="1899-12-30T00:15:56"/>
    <n v="15.933333333333334"/>
  </r>
  <r>
    <x v="45"/>
    <x v="6"/>
    <x v="0"/>
    <n v="25"/>
    <d v="1899-12-30T00:41:25"/>
    <n v="41.416666666666664"/>
  </r>
  <r>
    <x v="45"/>
    <x v="6"/>
    <x v="1"/>
    <n v="20"/>
    <d v="1899-12-30T00:31:37"/>
    <n v="31.616666666666667"/>
  </r>
  <r>
    <x v="45"/>
    <x v="6"/>
    <x v="2"/>
    <n v="14"/>
    <d v="1899-12-30T00:28:29"/>
    <n v="28.483333333333334"/>
  </r>
  <r>
    <x v="45"/>
    <x v="6"/>
    <x v="3"/>
    <n v="10"/>
    <d v="1899-12-30T00:10:45"/>
    <n v="10.75"/>
  </r>
  <r>
    <x v="45"/>
    <x v="6"/>
    <x v="4"/>
    <n v="7"/>
    <d v="1899-12-30T00:05:58"/>
    <n v="5.9666666666666668"/>
  </r>
  <r>
    <x v="45"/>
    <x v="6"/>
    <x v="5"/>
    <n v="10"/>
    <d v="1899-12-30T00:13:29"/>
    <n v="13.483333333333333"/>
  </r>
  <r>
    <x v="45"/>
    <x v="7"/>
    <x v="0"/>
    <n v="55"/>
    <d v="1899-12-30T01:14:10"/>
    <n v="74.166666666666671"/>
  </r>
  <r>
    <x v="45"/>
    <x v="7"/>
    <x v="1"/>
    <n v="72"/>
    <d v="1899-12-30T01:37:25"/>
    <n v="97.416666666666671"/>
  </r>
  <r>
    <x v="45"/>
    <x v="7"/>
    <x v="2"/>
    <n v="34"/>
    <d v="1899-12-30T00:55:35"/>
    <n v="55.583333333333336"/>
  </r>
  <r>
    <x v="45"/>
    <x v="7"/>
    <x v="3"/>
    <n v="69"/>
    <d v="1899-12-30T01:01:04"/>
    <n v="61.06666666666667"/>
  </r>
  <r>
    <x v="45"/>
    <x v="7"/>
    <x v="4"/>
    <n v="109"/>
    <d v="1899-12-30T01:57:21"/>
    <n v="117.35"/>
  </r>
  <r>
    <x v="45"/>
    <x v="7"/>
    <x v="5"/>
    <n v="12"/>
    <d v="1899-12-30T00:11:55"/>
    <n v="11.916666666666666"/>
  </r>
  <r>
    <x v="45"/>
    <x v="8"/>
    <x v="0"/>
    <n v="49"/>
    <d v="1899-12-30T01:10:15"/>
    <n v="70.25"/>
  </r>
  <r>
    <x v="45"/>
    <x v="8"/>
    <x v="1"/>
    <n v="49"/>
    <d v="1899-12-30T01:12:15"/>
    <n v="72.25"/>
  </r>
  <r>
    <x v="45"/>
    <x v="8"/>
    <x v="2"/>
    <n v="37"/>
    <d v="1899-12-30T00:58:38"/>
    <n v="58.633333333333333"/>
  </r>
  <r>
    <x v="45"/>
    <x v="8"/>
    <x v="3"/>
    <n v="36"/>
    <d v="1899-12-30T00:38:38"/>
    <n v="38.633333333333333"/>
  </r>
  <r>
    <x v="45"/>
    <x v="8"/>
    <x v="4"/>
    <n v="20"/>
    <d v="1899-12-30T00:15:30"/>
    <n v="15.5"/>
  </r>
  <r>
    <x v="45"/>
    <x v="8"/>
    <x v="5"/>
    <n v="34"/>
    <d v="1899-12-30T00:35:43"/>
    <n v="35.716666666666669"/>
  </r>
  <r>
    <x v="45"/>
    <x v="9"/>
    <x v="0"/>
    <n v="19"/>
    <d v="1899-12-30T00:27:33"/>
    <n v="27.55"/>
  </r>
  <r>
    <x v="45"/>
    <x v="9"/>
    <x v="1"/>
    <n v="27"/>
    <d v="1899-12-30T00:36:48"/>
    <n v="36.799999999999997"/>
  </r>
  <r>
    <x v="45"/>
    <x v="9"/>
    <x v="2"/>
    <n v="18"/>
    <d v="1899-12-30T00:32:10"/>
    <n v="32.166666666666664"/>
  </r>
  <r>
    <x v="45"/>
    <x v="9"/>
    <x v="3"/>
    <n v="5"/>
    <d v="1899-12-30T00:06:29"/>
    <n v="6.4833333333333334"/>
  </r>
  <r>
    <x v="45"/>
    <x v="9"/>
    <x v="4"/>
    <n v="4"/>
    <d v="1899-12-30T00:04:42"/>
    <n v="4.7"/>
  </r>
  <r>
    <x v="45"/>
    <x v="9"/>
    <x v="5"/>
    <n v="6"/>
    <d v="1899-12-30T00:06:30"/>
    <n v="6.5"/>
  </r>
  <r>
    <x v="45"/>
    <x v="10"/>
    <x v="0"/>
    <n v="29"/>
    <d v="1899-12-30T00:53:04"/>
    <n v="53.06666666666667"/>
  </r>
  <r>
    <x v="45"/>
    <x v="10"/>
    <x v="1"/>
    <n v="31"/>
    <d v="1899-12-30T00:47:49"/>
    <n v="47.81666666666667"/>
  </r>
  <r>
    <x v="45"/>
    <x v="10"/>
    <x v="2"/>
    <n v="15"/>
    <d v="1899-12-30T00:27:43"/>
    <n v="27.716666666666665"/>
  </r>
  <r>
    <x v="45"/>
    <x v="10"/>
    <x v="3"/>
    <n v="9"/>
    <d v="1899-12-30T00:06:03"/>
    <n v="6.05"/>
  </r>
  <r>
    <x v="45"/>
    <x v="10"/>
    <x v="4"/>
    <n v="2"/>
    <d v="1899-12-30T00:05:58"/>
    <n v="5.9666666666666668"/>
  </r>
  <r>
    <x v="45"/>
    <x v="10"/>
    <x v="5"/>
    <n v="13"/>
    <d v="1899-12-30T00:16:58"/>
    <n v="16.966666666666665"/>
  </r>
  <r>
    <x v="45"/>
    <x v="11"/>
    <x v="0"/>
    <n v="11"/>
    <d v="1899-12-30T00:16:29"/>
    <n v="16.483333333333334"/>
  </r>
  <r>
    <x v="45"/>
    <x v="11"/>
    <x v="1"/>
    <n v="4"/>
    <d v="1899-12-30T00:07:35"/>
    <n v="7.583333333333333"/>
  </r>
  <r>
    <x v="45"/>
    <x v="11"/>
    <x v="2"/>
    <n v="4"/>
    <d v="1899-12-30T00:04:47"/>
    <n v="4.7833333333333332"/>
  </r>
  <r>
    <x v="45"/>
    <x v="11"/>
    <x v="3"/>
    <n v="1"/>
    <d v="1899-12-30T00:00:19"/>
    <n v="0.31666666666666665"/>
  </r>
  <r>
    <x v="45"/>
    <x v="11"/>
    <x v="4"/>
    <n v="3"/>
    <d v="1899-12-30T00:03:26"/>
    <n v="3.4333333333333336"/>
  </r>
  <r>
    <x v="45"/>
    <x v="11"/>
    <x v="5"/>
    <n v="6"/>
    <d v="1899-12-30T00:05:18"/>
    <n v="5.3"/>
  </r>
  <r>
    <x v="45"/>
    <x v="12"/>
    <x v="0"/>
    <n v="115"/>
    <d v="1899-12-30T02:53:20"/>
    <n v="173.33333333333334"/>
  </r>
  <r>
    <x v="45"/>
    <x v="12"/>
    <x v="1"/>
    <n v="97"/>
    <d v="1899-12-30T02:24:25"/>
    <n v="144.41666666666666"/>
  </r>
  <r>
    <x v="45"/>
    <x v="12"/>
    <x v="2"/>
    <n v="63"/>
    <d v="1899-12-30T01:50:48"/>
    <n v="110.8"/>
  </r>
  <r>
    <x v="45"/>
    <x v="12"/>
    <x v="3"/>
    <n v="53"/>
    <d v="1899-12-30T00:46:27"/>
    <n v="46.45"/>
  </r>
  <r>
    <x v="45"/>
    <x v="12"/>
    <x v="4"/>
    <n v="30"/>
    <d v="1899-12-30T00:36:57"/>
    <n v="36.950000000000003"/>
  </r>
  <r>
    <x v="45"/>
    <x v="12"/>
    <x v="5"/>
    <n v="59"/>
    <d v="1899-12-30T01:11:30"/>
    <n v="71.5"/>
  </r>
  <r>
    <x v="45"/>
    <x v="13"/>
    <x v="0"/>
    <n v="47"/>
    <d v="1899-12-30T01:05:00"/>
    <n v="65"/>
  </r>
  <r>
    <x v="45"/>
    <x v="13"/>
    <x v="1"/>
    <n v="45"/>
    <d v="1899-12-30T00:44:48"/>
    <n v="44.8"/>
  </r>
  <r>
    <x v="45"/>
    <x v="13"/>
    <x v="2"/>
    <n v="22"/>
    <d v="1899-12-30T00:24:10"/>
    <n v="24.166666666666668"/>
  </r>
  <r>
    <x v="45"/>
    <x v="13"/>
    <x v="3"/>
    <n v="13"/>
    <d v="1899-12-30T00:10:01"/>
    <n v="10.016666666666667"/>
  </r>
  <r>
    <x v="45"/>
    <x v="13"/>
    <x v="4"/>
    <n v="1"/>
    <d v="1899-12-30T00:00:20"/>
    <n v="0.33333333333333331"/>
  </r>
  <r>
    <x v="45"/>
    <x v="13"/>
    <x v="5"/>
    <n v="23"/>
    <d v="1899-12-30T00:20:08"/>
    <n v="20.133333333333333"/>
  </r>
  <r>
    <x v="46"/>
    <x v="0"/>
    <x v="0"/>
    <n v="27"/>
    <d v="1899-12-30T00:28:34"/>
    <n v="28.566666666666666"/>
  </r>
  <r>
    <x v="46"/>
    <x v="0"/>
    <x v="1"/>
    <n v="28"/>
    <d v="1899-12-30T00:33:58"/>
    <n v="33.966666666666669"/>
  </r>
  <r>
    <x v="46"/>
    <x v="0"/>
    <x v="2"/>
    <n v="13"/>
    <d v="1899-12-30T00:19:30"/>
    <n v="19.5"/>
  </r>
  <r>
    <x v="46"/>
    <x v="0"/>
    <x v="3"/>
    <n v="6"/>
    <d v="1899-12-30T00:04:14"/>
    <n v="4.2333333333333334"/>
  </r>
  <r>
    <x v="46"/>
    <x v="0"/>
    <x v="4"/>
    <n v="5"/>
    <d v="1899-12-30T00:04:23"/>
    <n v="4.3833333333333337"/>
  </r>
  <r>
    <x v="46"/>
    <x v="0"/>
    <x v="5"/>
    <n v="10"/>
    <d v="1899-12-30T00:07:06"/>
    <n v="7.1"/>
  </r>
  <r>
    <x v="46"/>
    <x v="1"/>
    <x v="0"/>
    <n v="55"/>
    <d v="1899-12-30T01:35:27"/>
    <n v="95.45"/>
  </r>
  <r>
    <x v="46"/>
    <x v="1"/>
    <x v="1"/>
    <n v="50"/>
    <d v="1899-12-30T01:37:04"/>
    <n v="97.066666666666663"/>
  </r>
  <r>
    <x v="46"/>
    <x v="1"/>
    <x v="2"/>
    <n v="38"/>
    <d v="1899-12-30T01:16:36"/>
    <n v="76.599999999999994"/>
  </r>
  <r>
    <x v="46"/>
    <x v="1"/>
    <x v="3"/>
    <n v="24"/>
    <d v="1899-12-30T00:17:22"/>
    <n v="17.366666666666667"/>
  </r>
  <r>
    <x v="46"/>
    <x v="1"/>
    <x v="4"/>
    <n v="2"/>
    <d v="1899-12-30T00:00:38"/>
    <n v="0.6333333333333333"/>
  </r>
  <r>
    <x v="46"/>
    <x v="1"/>
    <x v="5"/>
    <n v="27"/>
    <d v="1899-12-30T00:37:59"/>
    <n v="37.983333333333334"/>
  </r>
  <r>
    <x v="46"/>
    <x v="2"/>
    <x v="0"/>
    <n v="79"/>
    <d v="1899-12-30T01:55:54"/>
    <n v="115.9"/>
  </r>
  <r>
    <x v="46"/>
    <x v="2"/>
    <x v="1"/>
    <n v="66"/>
    <d v="1899-12-30T01:48:25"/>
    <n v="108.41666666666667"/>
  </r>
  <r>
    <x v="46"/>
    <x v="2"/>
    <x v="2"/>
    <n v="46"/>
    <d v="1899-12-30T01:21:22"/>
    <n v="81.36666666666666"/>
  </r>
  <r>
    <x v="46"/>
    <x v="2"/>
    <x v="3"/>
    <n v="45"/>
    <d v="1899-12-30T00:31:28"/>
    <n v="31.466666666666665"/>
  </r>
  <r>
    <x v="46"/>
    <x v="2"/>
    <x v="4"/>
    <n v="51"/>
    <d v="1899-12-30T01:21:34"/>
    <n v="81.566666666666663"/>
  </r>
  <r>
    <x v="46"/>
    <x v="2"/>
    <x v="5"/>
    <n v="28"/>
    <d v="1899-12-30T00:30:00"/>
    <n v="30"/>
  </r>
  <r>
    <x v="46"/>
    <x v="3"/>
    <x v="0"/>
    <n v="12"/>
    <d v="1899-12-30T00:23:47"/>
    <n v="23.783333333333335"/>
  </r>
  <r>
    <x v="46"/>
    <x v="3"/>
    <x v="1"/>
    <n v="8"/>
    <d v="1899-12-30T00:12:27"/>
    <n v="12.45"/>
  </r>
  <r>
    <x v="46"/>
    <x v="3"/>
    <x v="2"/>
    <n v="6"/>
    <d v="1899-12-30T00:12:00"/>
    <n v="12"/>
  </r>
  <r>
    <x v="46"/>
    <x v="3"/>
    <x v="3"/>
    <n v="2"/>
    <d v="1899-12-30T00:02:09"/>
    <n v="2.15"/>
  </r>
  <r>
    <x v="46"/>
    <x v="3"/>
    <x v="4"/>
    <n v="4"/>
    <d v="1899-12-30T00:05:53"/>
    <n v="5.8833333333333329"/>
  </r>
  <r>
    <x v="46"/>
    <x v="3"/>
    <x v="5"/>
    <n v="4"/>
    <d v="1899-12-30T00:04:34"/>
    <n v="4.5666666666666664"/>
  </r>
  <r>
    <x v="46"/>
    <x v="4"/>
    <x v="0"/>
    <n v="20"/>
    <d v="1899-12-30T00:29:16"/>
    <n v="29.266666666666666"/>
  </r>
  <r>
    <x v="46"/>
    <x v="4"/>
    <x v="1"/>
    <n v="21"/>
    <d v="1899-12-30T00:20:50"/>
    <n v="20.833333333333332"/>
  </r>
  <r>
    <x v="46"/>
    <x v="4"/>
    <x v="2"/>
    <n v="9"/>
    <d v="1899-12-30T00:08:59"/>
    <n v="8.9833333333333325"/>
  </r>
  <r>
    <x v="46"/>
    <x v="4"/>
    <x v="3"/>
    <n v="5"/>
    <d v="1899-12-30T00:03:39"/>
    <n v="3.65"/>
  </r>
  <r>
    <x v="46"/>
    <x v="4"/>
    <x v="4"/>
    <n v="3"/>
    <d v="1899-12-30T00:02:37"/>
    <n v="2.6166666666666667"/>
  </r>
  <r>
    <x v="46"/>
    <x v="4"/>
    <x v="5"/>
    <n v="9"/>
    <d v="1899-12-30T00:10:26"/>
    <n v="10.433333333333334"/>
  </r>
  <r>
    <x v="46"/>
    <x v="5"/>
    <x v="0"/>
    <n v="42"/>
    <d v="1899-12-30T01:01:58"/>
    <n v="61.966666666666669"/>
  </r>
  <r>
    <x v="46"/>
    <x v="5"/>
    <x v="1"/>
    <n v="35"/>
    <d v="1899-12-30T00:46:32"/>
    <n v="46.533333333333331"/>
  </r>
  <r>
    <x v="46"/>
    <x v="5"/>
    <x v="2"/>
    <n v="26"/>
    <d v="1899-12-30T00:42:28"/>
    <n v="42.466666666666669"/>
  </r>
  <r>
    <x v="46"/>
    <x v="5"/>
    <x v="3"/>
    <n v="34"/>
    <d v="1899-12-30T00:24:10"/>
    <n v="24.166666666666668"/>
  </r>
  <r>
    <x v="46"/>
    <x v="5"/>
    <x v="4"/>
    <n v="8"/>
    <d v="1899-12-30T00:09:32"/>
    <n v="9.5333333333333332"/>
  </r>
  <r>
    <x v="46"/>
    <x v="5"/>
    <x v="5"/>
    <n v="25"/>
    <d v="1899-12-30T00:27:19"/>
    <n v="27.316666666666666"/>
  </r>
  <r>
    <x v="46"/>
    <x v="6"/>
    <x v="0"/>
    <n v="8"/>
    <d v="1899-12-30T00:13:11"/>
    <n v="13.183333333333334"/>
  </r>
  <r>
    <x v="46"/>
    <x v="6"/>
    <x v="1"/>
    <n v="11"/>
    <d v="1899-12-30T00:15:25"/>
    <n v="15.416666666666666"/>
  </r>
  <r>
    <x v="46"/>
    <x v="6"/>
    <x v="2"/>
    <n v="6"/>
    <d v="1899-12-30T00:13:52"/>
    <n v="13.866666666666667"/>
  </r>
  <r>
    <x v="46"/>
    <x v="6"/>
    <x v="3"/>
    <n v="3"/>
    <d v="1899-12-30T00:03:52"/>
    <n v="3.8666666666666667"/>
  </r>
  <r>
    <x v="46"/>
    <x v="6"/>
    <x v="4"/>
    <n v="6"/>
    <d v="1899-12-30T00:08:17"/>
    <n v="8.2833333333333332"/>
  </r>
  <r>
    <x v="46"/>
    <x v="6"/>
    <x v="5"/>
    <n v="5"/>
    <d v="1899-12-30T00:07:02"/>
    <n v="7.0333333333333332"/>
  </r>
  <r>
    <x v="46"/>
    <x v="7"/>
    <x v="0"/>
    <n v="102"/>
    <d v="1899-12-30T02:25:30"/>
    <n v="145.5"/>
  </r>
  <r>
    <x v="46"/>
    <x v="7"/>
    <x v="1"/>
    <n v="139"/>
    <d v="1899-12-30T03:33:29"/>
    <n v="213.48333333333332"/>
  </r>
  <r>
    <x v="46"/>
    <x v="7"/>
    <x v="2"/>
    <n v="61"/>
    <d v="1899-12-30T02:01:57"/>
    <n v="121.95"/>
  </r>
  <r>
    <x v="46"/>
    <x v="7"/>
    <x v="3"/>
    <n v="69"/>
    <d v="1899-12-30T01:04:54"/>
    <n v="64.900000000000006"/>
  </r>
  <r>
    <x v="46"/>
    <x v="7"/>
    <x v="4"/>
    <n v="130"/>
    <d v="1899-12-30T02:56:04"/>
    <n v="176.06666666666666"/>
  </r>
  <r>
    <x v="46"/>
    <x v="7"/>
    <x v="5"/>
    <n v="35"/>
    <d v="1899-12-30T00:44:37"/>
    <n v="44.616666666666667"/>
  </r>
  <r>
    <x v="46"/>
    <x v="8"/>
    <x v="0"/>
    <n v="26"/>
    <d v="1899-12-30T00:31:07"/>
    <n v="31.116666666666667"/>
  </r>
  <r>
    <x v="46"/>
    <x v="8"/>
    <x v="1"/>
    <n v="28"/>
    <d v="1899-12-30T00:40:19"/>
    <n v="40.31666666666667"/>
  </r>
  <r>
    <x v="46"/>
    <x v="8"/>
    <x v="2"/>
    <n v="24"/>
    <d v="1899-12-30T00:34:24"/>
    <n v="34.4"/>
  </r>
  <r>
    <x v="46"/>
    <x v="8"/>
    <x v="3"/>
    <n v="29"/>
    <d v="1899-12-30T00:23:33"/>
    <n v="23.55"/>
  </r>
  <r>
    <x v="46"/>
    <x v="8"/>
    <x v="4"/>
    <n v="18"/>
    <d v="1899-12-30T00:15:13"/>
    <n v="15.216666666666667"/>
  </r>
  <r>
    <x v="46"/>
    <x v="8"/>
    <x v="5"/>
    <n v="19"/>
    <d v="1899-12-30T00:18:56"/>
    <n v="18.933333333333334"/>
  </r>
  <r>
    <x v="46"/>
    <x v="9"/>
    <x v="0"/>
    <n v="41"/>
    <d v="1899-12-30T01:15:08"/>
    <n v="75.13333333333334"/>
  </r>
  <r>
    <x v="46"/>
    <x v="9"/>
    <x v="1"/>
    <n v="57"/>
    <d v="1899-12-30T01:25:10"/>
    <n v="85.166666666666671"/>
  </r>
  <r>
    <x v="46"/>
    <x v="9"/>
    <x v="2"/>
    <n v="43"/>
    <d v="1899-12-30T01:35:37"/>
    <n v="95.61666666666666"/>
  </r>
  <r>
    <x v="46"/>
    <x v="9"/>
    <x v="3"/>
    <n v="38"/>
    <d v="1899-12-30T00:40:03"/>
    <n v="40.049999999999997"/>
  </r>
  <r>
    <x v="46"/>
    <x v="9"/>
    <x v="4"/>
    <n v="14"/>
    <d v="1899-12-30T00:22:11"/>
    <n v="22.183333333333334"/>
  </r>
  <r>
    <x v="46"/>
    <x v="9"/>
    <x v="5"/>
    <n v="23"/>
    <d v="1899-12-30T00:35:55"/>
    <n v="35.916666666666664"/>
  </r>
  <r>
    <x v="46"/>
    <x v="10"/>
    <x v="0"/>
    <n v="21"/>
    <d v="1899-12-30T00:37:56"/>
    <n v="37.93333333333333"/>
  </r>
  <r>
    <x v="46"/>
    <x v="10"/>
    <x v="1"/>
    <n v="15"/>
    <d v="1899-12-30T00:24:42"/>
    <n v="24.7"/>
  </r>
  <r>
    <x v="46"/>
    <x v="10"/>
    <x v="2"/>
    <n v="7"/>
    <d v="1899-12-30T00:12:49"/>
    <n v="12.816666666666666"/>
  </r>
  <r>
    <x v="46"/>
    <x v="10"/>
    <x v="3"/>
    <n v="7"/>
    <d v="1899-12-30T00:06:34"/>
    <n v="6.5666666666666664"/>
  </r>
  <r>
    <x v="46"/>
    <x v="10"/>
    <x v="4"/>
    <n v="2"/>
    <d v="1899-12-30T00:03:00"/>
    <n v="3"/>
  </r>
  <r>
    <x v="46"/>
    <x v="10"/>
    <x v="5"/>
    <n v="8"/>
    <d v="1899-12-30T00:08:56"/>
    <n v="8.9333333333333336"/>
  </r>
  <r>
    <x v="46"/>
    <x v="11"/>
    <x v="0"/>
    <n v="11"/>
    <d v="1899-12-30T00:13:03"/>
    <n v="13.05"/>
  </r>
  <r>
    <x v="46"/>
    <x v="11"/>
    <x v="1"/>
    <n v="11"/>
    <d v="1899-12-30T00:14:48"/>
    <n v="14.8"/>
  </r>
  <r>
    <x v="46"/>
    <x v="11"/>
    <x v="2"/>
    <n v="9"/>
    <d v="1899-12-30T00:14:27"/>
    <n v="14.45"/>
  </r>
  <r>
    <x v="46"/>
    <x v="11"/>
    <x v="3"/>
    <n v="6"/>
    <d v="1899-12-30T00:04:04"/>
    <n v="4.0666666666666664"/>
  </r>
  <r>
    <x v="46"/>
    <x v="11"/>
    <x v="4"/>
    <n v="6"/>
    <d v="1899-12-30T00:06:59"/>
    <n v="6.9833333333333334"/>
  </r>
  <r>
    <x v="46"/>
    <x v="11"/>
    <x v="5"/>
    <n v="10"/>
    <d v="1899-12-30T00:08:37"/>
    <n v="8.6166666666666671"/>
  </r>
  <r>
    <x v="46"/>
    <x v="12"/>
    <x v="0"/>
    <n v="133"/>
    <d v="1899-12-30T03:23:27"/>
    <n v="203.45"/>
  </r>
  <r>
    <x v="46"/>
    <x v="12"/>
    <x v="1"/>
    <n v="111"/>
    <d v="1899-12-30T02:54:14"/>
    <n v="174.23333333333332"/>
  </r>
  <r>
    <x v="46"/>
    <x v="12"/>
    <x v="2"/>
    <n v="63"/>
    <d v="1899-12-30T01:44:51"/>
    <n v="104.85"/>
  </r>
  <r>
    <x v="46"/>
    <x v="12"/>
    <x v="3"/>
    <n v="74"/>
    <d v="1899-12-30T00:58:49"/>
    <n v="58.81666666666667"/>
  </r>
  <r>
    <x v="46"/>
    <x v="12"/>
    <x v="4"/>
    <n v="38"/>
    <d v="1899-12-30T00:48:12"/>
    <n v="48.2"/>
  </r>
  <r>
    <x v="46"/>
    <x v="12"/>
    <x v="5"/>
    <n v="64"/>
    <d v="1899-12-30T01:12:23"/>
    <n v="72.38333333333334"/>
  </r>
  <r>
    <x v="46"/>
    <x v="13"/>
    <x v="0"/>
    <n v="56"/>
    <d v="1899-12-30T01:07:06"/>
    <n v="67.099999999999994"/>
  </r>
  <r>
    <x v="46"/>
    <x v="13"/>
    <x v="1"/>
    <n v="45"/>
    <d v="1899-12-30T00:41:49"/>
    <n v="41.81666666666667"/>
  </r>
  <r>
    <x v="46"/>
    <x v="13"/>
    <x v="2"/>
    <n v="20"/>
    <d v="1899-12-30T00:30:53"/>
    <n v="30.883333333333333"/>
  </r>
  <r>
    <x v="46"/>
    <x v="13"/>
    <x v="3"/>
    <n v="19"/>
    <d v="1899-12-30T00:15:23"/>
    <n v="15.383333333333333"/>
  </r>
  <r>
    <x v="46"/>
    <x v="13"/>
    <x v="4"/>
    <n v="0"/>
    <d v="1899-12-30T00:00:00"/>
    <n v="0"/>
  </r>
  <r>
    <x v="46"/>
    <x v="13"/>
    <x v="5"/>
    <n v="27"/>
    <d v="1899-12-30T00:22:49"/>
    <n v="22.816666666666666"/>
  </r>
  <r>
    <x v="47"/>
    <x v="0"/>
    <x v="0"/>
    <n v="43"/>
    <d v="1899-12-30T00:59:28"/>
    <n v="59.466666666666669"/>
  </r>
  <r>
    <x v="47"/>
    <x v="0"/>
    <x v="1"/>
    <n v="40"/>
    <d v="1899-12-30T00:42:08"/>
    <n v="42.133333333333333"/>
  </r>
  <r>
    <x v="47"/>
    <x v="0"/>
    <x v="2"/>
    <n v="14"/>
    <d v="1899-12-30T00:19:12"/>
    <n v="19.2"/>
  </r>
  <r>
    <x v="47"/>
    <x v="0"/>
    <x v="3"/>
    <n v="9"/>
    <d v="1899-12-30T00:08:42"/>
    <n v="8.6999999999999993"/>
  </r>
  <r>
    <x v="47"/>
    <x v="0"/>
    <x v="4"/>
    <n v="2"/>
    <d v="1899-12-30T00:00:42"/>
    <n v="0.7"/>
  </r>
  <r>
    <x v="47"/>
    <x v="0"/>
    <x v="5"/>
    <n v="13"/>
    <d v="1899-12-30T00:13:43"/>
    <n v="13.716666666666667"/>
  </r>
  <r>
    <x v="47"/>
    <x v="1"/>
    <x v="0"/>
    <n v="83"/>
    <d v="1899-12-30T02:22:53"/>
    <n v="142.88333333333333"/>
  </r>
  <r>
    <x v="47"/>
    <x v="1"/>
    <x v="1"/>
    <n v="75"/>
    <d v="1899-12-30T02:33:57"/>
    <n v="153.94999999999999"/>
  </r>
  <r>
    <x v="47"/>
    <x v="1"/>
    <x v="2"/>
    <n v="53"/>
    <d v="1899-12-30T01:44:17"/>
    <n v="104.28333333333333"/>
  </r>
  <r>
    <x v="47"/>
    <x v="1"/>
    <x v="3"/>
    <n v="27"/>
    <d v="1899-12-30T00:24:20"/>
    <n v="24.333333333333332"/>
  </r>
  <r>
    <x v="47"/>
    <x v="1"/>
    <x v="4"/>
    <n v="7"/>
    <d v="1899-12-30T00:10:43"/>
    <n v="10.716666666666667"/>
  </r>
  <r>
    <x v="47"/>
    <x v="1"/>
    <x v="5"/>
    <n v="39"/>
    <d v="1899-12-30T00:54:45"/>
    <n v="54.75"/>
  </r>
  <r>
    <x v="47"/>
    <x v="2"/>
    <x v="0"/>
    <n v="91"/>
    <d v="1899-12-30T02:09:55"/>
    <n v="129.91666666666666"/>
  </r>
  <r>
    <x v="47"/>
    <x v="2"/>
    <x v="1"/>
    <n v="104"/>
    <d v="1899-12-30T02:58:15"/>
    <n v="178.25"/>
  </r>
  <r>
    <x v="47"/>
    <x v="2"/>
    <x v="2"/>
    <n v="59"/>
    <d v="1899-12-30T01:49:44"/>
    <n v="109.73333333333333"/>
  </r>
  <r>
    <x v="47"/>
    <x v="2"/>
    <x v="3"/>
    <n v="47"/>
    <d v="1899-12-30T00:40:52"/>
    <n v="40.866666666666667"/>
  </r>
  <r>
    <x v="47"/>
    <x v="2"/>
    <x v="4"/>
    <n v="47"/>
    <d v="1899-12-30T01:08:14"/>
    <n v="68.233333333333334"/>
  </r>
  <r>
    <x v="47"/>
    <x v="2"/>
    <x v="5"/>
    <n v="26"/>
    <d v="1899-12-30T00:32:40"/>
    <n v="32.666666666666664"/>
  </r>
  <r>
    <x v="47"/>
    <x v="3"/>
    <x v="0"/>
    <n v="19"/>
    <d v="1899-12-30T00:26:30"/>
    <n v="26.5"/>
  </r>
  <r>
    <x v="47"/>
    <x v="3"/>
    <x v="1"/>
    <n v="14"/>
    <d v="1899-12-30T00:25:35"/>
    <n v="25.583333333333332"/>
  </r>
  <r>
    <x v="47"/>
    <x v="3"/>
    <x v="2"/>
    <n v="19"/>
    <d v="1899-12-30T00:30:42"/>
    <n v="30.7"/>
  </r>
  <r>
    <x v="47"/>
    <x v="3"/>
    <x v="3"/>
    <n v="7"/>
    <d v="1899-12-30T00:08:04"/>
    <n v="8.0666666666666664"/>
  </r>
  <r>
    <x v="47"/>
    <x v="3"/>
    <x v="4"/>
    <n v="1"/>
    <d v="1899-12-30T00:00:25"/>
    <n v="0.41666666666666669"/>
  </r>
  <r>
    <x v="47"/>
    <x v="3"/>
    <x v="5"/>
    <n v="9"/>
    <d v="1899-12-30T00:12:30"/>
    <n v="12.5"/>
  </r>
  <r>
    <x v="47"/>
    <x v="4"/>
    <x v="0"/>
    <n v="62"/>
    <d v="1899-12-30T01:23:20"/>
    <n v="83.333333333333329"/>
  </r>
  <r>
    <x v="47"/>
    <x v="4"/>
    <x v="1"/>
    <n v="55"/>
    <d v="1899-12-30T01:18:29"/>
    <n v="78.483333333333334"/>
  </r>
  <r>
    <x v="47"/>
    <x v="4"/>
    <x v="2"/>
    <n v="27"/>
    <d v="1899-12-30T00:35:09"/>
    <n v="35.15"/>
  </r>
  <r>
    <x v="47"/>
    <x v="4"/>
    <x v="3"/>
    <n v="14"/>
    <d v="1899-12-30T00:10:04"/>
    <n v="10.066666666666666"/>
  </r>
  <r>
    <x v="47"/>
    <x v="4"/>
    <x v="4"/>
    <n v="10"/>
    <d v="1899-12-30T00:16:39"/>
    <n v="16.649999999999999"/>
  </r>
  <r>
    <x v="47"/>
    <x v="4"/>
    <x v="5"/>
    <n v="10"/>
    <d v="1899-12-30T00:11:24"/>
    <n v="11.4"/>
  </r>
  <r>
    <x v="47"/>
    <x v="5"/>
    <x v="0"/>
    <n v="48"/>
    <d v="1899-12-30T01:13:32"/>
    <n v="73.533333333333331"/>
  </r>
  <r>
    <x v="47"/>
    <x v="5"/>
    <x v="1"/>
    <n v="46"/>
    <d v="1899-12-30T01:05:02"/>
    <n v="65.033333333333331"/>
  </r>
  <r>
    <x v="47"/>
    <x v="5"/>
    <x v="2"/>
    <n v="39"/>
    <d v="1899-12-30T01:01:47"/>
    <n v="61.783333333333331"/>
  </r>
  <r>
    <x v="47"/>
    <x v="5"/>
    <x v="3"/>
    <n v="36"/>
    <d v="1899-12-30T00:29:11"/>
    <n v="29.183333333333334"/>
  </r>
  <r>
    <x v="47"/>
    <x v="5"/>
    <x v="4"/>
    <n v="10"/>
    <d v="1899-12-30T00:15:30"/>
    <n v="15.5"/>
  </r>
  <r>
    <x v="47"/>
    <x v="5"/>
    <x v="5"/>
    <n v="43"/>
    <d v="1899-12-30T00:43:49"/>
    <n v="43.81666666666667"/>
  </r>
  <r>
    <x v="47"/>
    <x v="6"/>
    <x v="0"/>
    <n v="5"/>
    <d v="1899-12-30T00:04:05"/>
    <n v="4.083333333333333"/>
  </r>
  <r>
    <x v="47"/>
    <x v="6"/>
    <x v="1"/>
    <n v="3"/>
    <d v="1899-12-30T00:03:31"/>
    <n v="3.5166666666666666"/>
  </r>
  <r>
    <x v="47"/>
    <x v="6"/>
    <x v="2"/>
    <n v="3"/>
    <d v="1899-12-30T00:06:44"/>
    <n v="6.7333333333333334"/>
  </r>
  <r>
    <x v="47"/>
    <x v="6"/>
    <x v="3"/>
    <n v="4"/>
    <d v="1899-12-30T00:02:50"/>
    <n v="2.8333333333333335"/>
  </r>
  <r>
    <x v="47"/>
    <x v="6"/>
    <x v="4"/>
    <n v="5"/>
    <d v="1899-12-30T00:09:09"/>
    <n v="9.15"/>
  </r>
  <r>
    <x v="47"/>
    <x v="6"/>
    <x v="5"/>
    <n v="4"/>
    <d v="1899-12-30T00:03:15"/>
    <n v="3.25"/>
  </r>
  <r>
    <x v="47"/>
    <x v="7"/>
    <x v="0"/>
    <n v="88"/>
    <d v="1899-12-30T02:03:48"/>
    <n v="123.8"/>
  </r>
  <r>
    <x v="47"/>
    <x v="7"/>
    <x v="1"/>
    <n v="104"/>
    <d v="1899-12-30T02:03:59"/>
    <n v="123.98333333333333"/>
  </r>
  <r>
    <x v="47"/>
    <x v="7"/>
    <x v="2"/>
    <n v="74"/>
    <d v="1899-12-30T02:05:51"/>
    <n v="125.85"/>
  </r>
  <r>
    <x v="47"/>
    <x v="7"/>
    <x v="3"/>
    <n v="88"/>
    <d v="1899-12-30T01:17:10"/>
    <n v="77.166666666666671"/>
  </r>
  <r>
    <x v="47"/>
    <x v="7"/>
    <x v="4"/>
    <n v="165"/>
    <d v="1899-12-30T03:15:03"/>
    <n v="195.05"/>
  </r>
  <r>
    <x v="47"/>
    <x v="7"/>
    <x v="5"/>
    <n v="29"/>
    <d v="1899-12-30T00:32:11"/>
    <n v="32.18333333333333"/>
  </r>
  <r>
    <x v="47"/>
    <x v="8"/>
    <x v="0"/>
    <n v="38"/>
    <d v="1899-12-30T01:02:09"/>
    <n v="62.15"/>
  </r>
  <r>
    <x v="47"/>
    <x v="8"/>
    <x v="1"/>
    <n v="52"/>
    <d v="1899-12-30T01:12:24"/>
    <n v="72.400000000000006"/>
  </r>
  <r>
    <x v="47"/>
    <x v="8"/>
    <x v="2"/>
    <n v="29"/>
    <d v="1899-12-30T00:47:26"/>
    <n v="47.43333333333333"/>
  </r>
  <r>
    <x v="47"/>
    <x v="8"/>
    <x v="3"/>
    <n v="52"/>
    <d v="1899-12-30T00:45:23"/>
    <n v="45.383333333333333"/>
  </r>
  <r>
    <x v="47"/>
    <x v="8"/>
    <x v="4"/>
    <n v="22"/>
    <d v="1899-12-30T00:30:43"/>
    <n v="30.716666666666665"/>
  </r>
  <r>
    <x v="47"/>
    <x v="8"/>
    <x v="5"/>
    <n v="26"/>
    <d v="1899-12-30T00:27:41"/>
    <n v="27.683333333333334"/>
  </r>
  <r>
    <x v="47"/>
    <x v="9"/>
    <x v="0"/>
    <n v="20"/>
    <d v="1899-12-30T00:27:05"/>
    <n v="27.083333333333332"/>
  </r>
  <r>
    <x v="47"/>
    <x v="9"/>
    <x v="1"/>
    <n v="34"/>
    <d v="1899-12-30T00:45:00"/>
    <n v="45"/>
  </r>
  <r>
    <x v="47"/>
    <x v="9"/>
    <x v="2"/>
    <n v="23"/>
    <d v="1899-12-30T00:44:12"/>
    <n v="44.2"/>
  </r>
  <r>
    <x v="47"/>
    <x v="9"/>
    <x v="3"/>
    <n v="19"/>
    <d v="1899-12-30T00:14:52"/>
    <n v="14.866666666666667"/>
  </r>
  <r>
    <x v="47"/>
    <x v="9"/>
    <x v="4"/>
    <n v="7"/>
    <d v="1899-12-30T00:08:45"/>
    <n v="8.75"/>
  </r>
  <r>
    <x v="47"/>
    <x v="9"/>
    <x v="5"/>
    <n v="14"/>
    <d v="1899-12-30T00:16:30"/>
    <n v="16.5"/>
  </r>
  <r>
    <x v="47"/>
    <x v="10"/>
    <x v="0"/>
    <n v="42"/>
    <d v="1899-12-30T01:08:22"/>
    <n v="68.36666666666666"/>
  </r>
  <r>
    <x v="47"/>
    <x v="10"/>
    <x v="1"/>
    <n v="43"/>
    <d v="1899-12-30T01:18:44"/>
    <n v="78.733333333333334"/>
  </r>
  <r>
    <x v="47"/>
    <x v="10"/>
    <x v="2"/>
    <n v="16"/>
    <d v="1899-12-30T00:32:54"/>
    <n v="32.9"/>
  </r>
  <r>
    <x v="47"/>
    <x v="10"/>
    <x v="3"/>
    <n v="15"/>
    <d v="1899-12-30T00:14:01"/>
    <n v="14.016666666666667"/>
  </r>
  <r>
    <x v="47"/>
    <x v="10"/>
    <x v="4"/>
    <n v="10"/>
    <d v="1899-12-30T00:11:53"/>
    <n v="11.883333333333333"/>
  </r>
  <r>
    <x v="47"/>
    <x v="10"/>
    <x v="5"/>
    <n v="21"/>
    <d v="1899-12-30T00:27:19"/>
    <n v="27.316666666666666"/>
  </r>
  <r>
    <x v="47"/>
    <x v="11"/>
    <x v="0"/>
    <n v="8"/>
    <d v="1899-12-30T00:14:14"/>
    <n v="14.233333333333333"/>
  </r>
  <r>
    <x v="47"/>
    <x v="11"/>
    <x v="1"/>
    <n v="8"/>
    <d v="1899-12-30T00:12:17"/>
    <n v="12.283333333333333"/>
  </r>
  <r>
    <x v="47"/>
    <x v="11"/>
    <x v="2"/>
    <n v="8"/>
    <d v="1899-12-30T00:11:02"/>
    <n v="11.033333333333333"/>
  </r>
  <r>
    <x v="47"/>
    <x v="11"/>
    <x v="3"/>
    <n v="3"/>
    <d v="1899-12-30T00:01:39"/>
    <n v="1.65"/>
  </r>
  <r>
    <x v="47"/>
    <x v="11"/>
    <x v="4"/>
    <n v="4"/>
    <d v="1899-12-30T00:07:16"/>
    <n v="7.2666666666666666"/>
  </r>
  <r>
    <x v="47"/>
    <x v="11"/>
    <x v="5"/>
    <n v="2"/>
    <d v="1899-12-30T00:02:17"/>
    <n v="2.2833333333333332"/>
  </r>
  <r>
    <x v="47"/>
    <x v="12"/>
    <x v="0"/>
    <n v="172"/>
    <d v="1899-12-30T04:13:41"/>
    <n v="253.68333333333334"/>
  </r>
  <r>
    <x v="47"/>
    <x v="12"/>
    <x v="1"/>
    <n v="137"/>
    <d v="1899-12-30T03:32:10"/>
    <n v="212.16666666666666"/>
  </r>
  <r>
    <x v="47"/>
    <x v="12"/>
    <x v="2"/>
    <n v="100"/>
    <d v="1899-12-30T02:37:54"/>
    <n v="157.9"/>
  </r>
  <r>
    <x v="47"/>
    <x v="12"/>
    <x v="3"/>
    <n v="80"/>
    <d v="1899-12-30T01:06:21"/>
    <n v="66.349999999999994"/>
  </r>
  <r>
    <x v="47"/>
    <x v="12"/>
    <x v="4"/>
    <n v="55"/>
    <d v="1899-12-30T01:41:33"/>
    <n v="101.55"/>
  </r>
  <r>
    <x v="47"/>
    <x v="12"/>
    <x v="5"/>
    <n v="75"/>
    <d v="1899-12-30T01:20:47"/>
    <n v="80.783333333333331"/>
  </r>
  <r>
    <x v="47"/>
    <x v="13"/>
    <x v="0"/>
    <n v="51"/>
    <d v="1899-12-30T01:10:21"/>
    <n v="70.349999999999994"/>
  </r>
  <r>
    <x v="47"/>
    <x v="13"/>
    <x v="1"/>
    <n v="54"/>
    <d v="1899-12-30T00:57:57"/>
    <n v="57.95"/>
  </r>
  <r>
    <x v="47"/>
    <x v="13"/>
    <x v="2"/>
    <n v="37"/>
    <d v="1899-12-30T00:47:54"/>
    <n v="47.9"/>
  </r>
  <r>
    <x v="47"/>
    <x v="13"/>
    <x v="3"/>
    <n v="20"/>
    <d v="1899-12-30T00:16:19"/>
    <n v="16.316666666666666"/>
  </r>
  <r>
    <x v="47"/>
    <x v="13"/>
    <x v="4"/>
    <n v="0"/>
    <d v="1899-12-30T00:00:00"/>
    <n v="0"/>
  </r>
  <r>
    <x v="47"/>
    <x v="13"/>
    <x v="5"/>
    <n v="36"/>
    <d v="1899-12-30T00:31:33"/>
    <n v="31.55"/>
  </r>
  <r>
    <x v="48"/>
    <x v="0"/>
    <x v="0"/>
    <n v="70"/>
    <d v="1899-12-30T01:43:22"/>
    <n v="103.36666666666666"/>
  </r>
  <r>
    <x v="48"/>
    <x v="0"/>
    <x v="1"/>
    <n v="66"/>
    <d v="1899-12-30T01:22:16"/>
    <n v="82.266666666666666"/>
  </r>
  <r>
    <x v="48"/>
    <x v="0"/>
    <x v="2"/>
    <n v="41"/>
    <d v="1899-12-30T01:11:04"/>
    <n v="71.066666666666663"/>
  </r>
  <r>
    <x v="48"/>
    <x v="0"/>
    <x v="3"/>
    <n v="18"/>
    <d v="1899-12-30T00:14:11"/>
    <n v="14.183333333333334"/>
  </r>
  <r>
    <x v="48"/>
    <x v="0"/>
    <x v="4"/>
    <n v="5"/>
    <d v="1899-12-30T00:01:53"/>
    <n v="1.8833333333333333"/>
  </r>
  <r>
    <x v="48"/>
    <x v="0"/>
    <x v="5"/>
    <n v="33"/>
    <d v="1899-12-30T00:42:14"/>
    <n v="42.233333333333334"/>
  </r>
  <r>
    <x v="48"/>
    <x v="1"/>
    <x v="0"/>
    <n v="47"/>
    <d v="1899-12-30T01:23:43"/>
    <n v="83.716666666666669"/>
  </r>
  <r>
    <x v="48"/>
    <x v="1"/>
    <x v="1"/>
    <n v="48"/>
    <d v="1899-12-30T01:17:35"/>
    <n v="77.583333333333329"/>
  </r>
  <r>
    <x v="48"/>
    <x v="1"/>
    <x v="2"/>
    <n v="37"/>
    <d v="1899-12-30T01:19:42"/>
    <n v="79.7"/>
  </r>
  <r>
    <x v="48"/>
    <x v="1"/>
    <x v="3"/>
    <n v="18"/>
    <d v="1899-12-30T00:15:31"/>
    <n v="15.516666666666667"/>
  </r>
  <r>
    <x v="48"/>
    <x v="1"/>
    <x v="4"/>
    <n v="2"/>
    <d v="1899-12-30T00:01:20"/>
    <n v="1.3333333333333333"/>
  </r>
  <r>
    <x v="48"/>
    <x v="1"/>
    <x v="5"/>
    <n v="25"/>
    <d v="1899-12-30T00:35:23"/>
    <n v="35.383333333333333"/>
  </r>
  <r>
    <x v="48"/>
    <x v="2"/>
    <x v="0"/>
    <n v="52"/>
    <d v="1899-12-30T01:18:02"/>
    <n v="78.033333333333331"/>
  </r>
  <r>
    <x v="48"/>
    <x v="2"/>
    <x v="1"/>
    <n v="44"/>
    <d v="1899-12-30T00:53:08"/>
    <n v="53.133333333333333"/>
  </r>
  <r>
    <x v="48"/>
    <x v="2"/>
    <x v="2"/>
    <n v="30"/>
    <d v="1899-12-30T00:54:12"/>
    <n v="54.2"/>
  </r>
  <r>
    <x v="48"/>
    <x v="2"/>
    <x v="3"/>
    <n v="41"/>
    <d v="1899-12-30T00:33:46"/>
    <n v="33.766666666666666"/>
  </r>
  <r>
    <x v="48"/>
    <x v="2"/>
    <x v="4"/>
    <n v="42"/>
    <d v="1899-12-30T00:55:07"/>
    <n v="55.116666666666667"/>
  </r>
  <r>
    <x v="48"/>
    <x v="2"/>
    <x v="5"/>
    <n v="19"/>
    <d v="1899-12-30T00:23:09"/>
    <n v="23.15"/>
  </r>
  <r>
    <x v="48"/>
    <x v="3"/>
    <x v="0"/>
    <n v="19"/>
    <d v="1899-12-30T00:30:59"/>
    <n v="30.983333333333334"/>
  </r>
  <r>
    <x v="48"/>
    <x v="3"/>
    <x v="1"/>
    <n v="12"/>
    <d v="1899-12-30T00:15:49"/>
    <n v="15.816666666666666"/>
  </r>
  <r>
    <x v="48"/>
    <x v="3"/>
    <x v="2"/>
    <n v="12"/>
    <d v="1899-12-30T00:24:31"/>
    <n v="24.516666666666666"/>
  </r>
  <r>
    <x v="48"/>
    <x v="3"/>
    <x v="3"/>
    <n v="8"/>
    <d v="1899-12-30T00:09:29"/>
    <n v="9.4833333333333325"/>
  </r>
  <r>
    <x v="48"/>
    <x v="3"/>
    <x v="4"/>
    <n v="5"/>
    <d v="1899-12-30T00:06:20"/>
    <n v="6.333333333333333"/>
  </r>
  <r>
    <x v="48"/>
    <x v="3"/>
    <x v="5"/>
    <n v="13"/>
    <d v="1899-12-30T00:16:10"/>
    <n v="16.166666666666668"/>
  </r>
  <r>
    <x v="48"/>
    <x v="4"/>
    <x v="0"/>
    <n v="22"/>
    <d v="1899-12-30T00:34:10"/>
    <n v="34.166666666666664"/>
  </r>
  <r>
    <x v="48"/>
    <x v="4"/>
    <x v="1"/>
    <n v="20"/>
    <d v="1899-12-30T00:26:19"/>
    <n v="26.316666666666666"/>
  </r>
  <r>
    <x v="48"/>
    <x v="4"/>
    <x v="2"/>
    <n v="13"/>
    <d v="1899-12-30T00:22:47"/>
    <n v="22.783333333333335"/>
  </r>
  <r>
    <x v="48"/>
    <x v="4"/>
    <x v="3"/>
    <n v="15"/>
    <d v="1899-12-30T00:10:33"/>
    <n v="10.55"/>
  </r>
  <r>
    <x v="48"/>
    <x v="4"/>
    <x v="4"/>
    <n v="2"/>
    <d v="1899-12-30T00:00:42"/>
    <n v="0.7"/>
  </r>
  <r>
    <x v="48"/>
    <x v="4"/>
    <x v="5"/>
    <n v="14"/>
    <d v="1899-12-30T00:16:12"/>
    <n v="16.2"/>
  </r>
  <r>
    <x v="48"/>
    <x v="5"/>
    <x v="0"/>
    <n v="29"/>
    <d v="1899-12-30T00:42:42"/>
    <n v="42.7"/>
  </r>
  <r>
    <x v="48"/>
    <x v="5"/>
    <x v="1"/>
    <n v="26"/>
    <d v="1899-12-30T00:30:01"/>
    <n v="30.016666666666666"/>
  </r>
  <r>
    <x v="48"/>
    <x v="5"/>
    <x v="2"/>
    <n v="17"/>
    <d v="1899-12-30T00:18:25"/>
    <n v="18.416666666666668"/>
  </r>
  <r>
    <x v="48"/>
    <x v="5"/>
    <x v="3"/>
    <n v="28"/>
    <d v="1899-12-30T00:18:12"/>
    <n v="18.2"/>
  </r>
  <r>
    <x v="48"/>
    <x v="5"/>
    <x v="4"/>
    <n v="5"/>
    <d v="1899-12-30T00:02:56"/>
    <n v="2.9333333333333336"/>
  </r>
  <r>
    <x v="48"/>
    <x v="5"/>
    <x v="5"/>
    <n v="24"/>
    <d v="1899-12-30T00:23:34"/>
    <n v="23.566666666666666"/>
  </r>
  <r>
    <x v="48"/>
    <x v="6"/>
    <x v="0"/>
    <n v="10"/>
    <d v="1899-12-30T00:14:00"/>
    <n v="14"/>
  </r>
  <r>
    <x v="48"/>
    <x v="6"/>
    <x v="1"/>
    <n v="7"/>
    <d v="1899-12-30T00:07:10"/>
    <n v="7.166666666666667"/>
  </r>
  <r>
    <x v="48"/>
    <x v="6"/>
    <x v="2"/>
    <n v="4"/>
    <d v="1899-12-30T00:03:59"/>
    <n v="3.9833333333333334"/>
  </r>
  <r>
    <x v="48"/>
    <x v="6"/>
    <x v="3"/>
    <n v="4"/>
    <d v="1899-12-30T00:03:16"/>
    <n v="3.2666666666666666"/>
  </r>
  <r>
    <x v="48"/>
    <x v="6"/>
    <x v="4"/>
    <n v="5"/>
    <d v="1899-12-30T00:13:11"/>
    <n v="13.183333333333334"/>
  </r>
  <r>
    <x v="48"/>
    <x v="6"/>
    <x v="5"/>
    <n v="1"/>
    <d v="1899-12-30T00:00:32"/>
    <n v="0.53333333333333333"/>
  </r>
  <r>
    <x v="48"/>
    <x v="7"/>
    <x v="0"/>
    <n v="93"/>
    <d v="1899-12-30T02:09:52"/>
    <n v="129.86666666666667"/>
  </r>
  <r>
    <x v="48"/>
    <x v="7"/>
    <x v="1"/>
    <n v="135"/>
    <d v="1899-12-30T02:47:19"/>
    <n v="167.31666666666666"/>
  </r>
  <r>
    <x v="48"/>
    <x v="7"/>
    <x v="2"/>
    <n v="92"/>
    <d v="1899-12-30T02:57:06"/>
    <n v="177.1"/>
  </r>
  <r>
    <x v="48"/>
    <x v="7"/>
    <x v="3"/>
    <n v="93"/>
    <d v="1899-12-30T01:26:47"/>
    <n v="86.783333333333331"/>
  </r>
  <r>
    <x v="48"/>
    <x v="7"/>
    <x v="4"/>
    <n v="150"/>
    <d v="1899-12-30T03:24:52"/>
    <n v="204.86666666666667"/>
  </r>
  <r>
    <x v="48"/>
    <x v="7"/>
    <x v="5"/>
    <n v="56"/>
    <d v="1899-12-30T01:08:17"/>
    <n v="68.283333333333331"/>
  </r>
  <r>
    <x v="48"/>
    <x v="8"/>
    <x v="0"/>
    <n v="21"/>
    <d v="1899-12-30T00:28:50"/>
    <n v="28.833333333333332"/>
  </r>
  <r>
    <x v="48"/>
    <x v="8"/>
    <x v="1"/>
    <n v="19"/>
    <d v="1899-12-30T00:24:35"/>
    <n v="24.583333333333332"/>
  </r>
  <r>
    <x v="48"/>
    <x v="8"/>
    <x v="2"/>
    <n v="16"/>
    <d v="1899-12-30T00:29:23"/>
    <n v="29.383333333333333"/>
  </r>
  <r>
    <x v="48"/>
    <x v="8"/>
    <x v="3"/>
    <n v="22"/>
    <d v="1899-12-30T00:17:23"/>
    <n v="17.383333333333333"/>
  </r>
  <r>
    <x v="48"/>
    <x v="8"/>
    <x v="4"/>
    <n v="8"/>
    <d v="1899-12-30T00:16:01"/>
    <n v="16.016666666666666"/>
  </r>
  <r>
    <x v="48"/>
    <x v="8"/>
    <x v="5"/>
    <n v="11"/>
    <d v="1899-12-30T00:11:51"/>
    <n v="11.85"/>
  </r>
  <r>
    <x v="48"/>
    <x v="9"/>
    <x v="0"/>
    <n v="26"/>
    <d v="1899-12-30T00:35:53"/>
    <n v="35.883333333333333"/>
  </r>
  <r>
    <x v="48"/>
    <x v="9"/>
    <x v="1"/>
    <n v="22"/>
    <d v="1899-12-30T00:27:26"/>
    <n v="27.433333333333334"/>
  </r>
  <r>
    <x v="48"/>
    <x v="9"/>
    <x v="2"/>
    <n v="17"/>
    <d v="1899-12-30T00:28:09"/>
    <n v="28.15"/>
  </r>
  <r>
    <x v="48"/>
    <x v="9"/>
    <x v="3"/>
    <n v="11"/>
    <d v="1899-12-30T00:12:33"/>
    <n v="12.55"/>
  </r>
  <r>
    <x v="48"/>
    <x v="9"/>
    <x v="4"/>
    <n v="6"/>
    <d v="1899-12-30T00:07:17"/>
    <n v="7.2833333333333332"/>
  </r>
  <r>
    <x v="48"/>
    <x v="9"/>
    <x v="5"/>
    <n v="12"/>
    <d v="1899-12-30T00:15:02"/>
    <n v="15.033333333333333"/>
  </r>
  <r>
    <x v="48"/>
    <x v="10"/>
    <x v="0"/>
    <n v="27"/>
    <d v="1899-12-30T00:49:01"/>
    <n v="49.016666666666666"/>
  </r>
  <r>
    <x v="48"/>
    <x v="10"/>
    <x v="1"/>
    <n v="30"/>
    <d v="1899-12-30T00:45:41"/>
    <n v="45.68333333333333"/>
  </r>
  <r>
    <x v="48"/>
    <x v="10"/>
    <x v="2"/>
    <n v="14"/>
    <d v="1899-12-30T00:21:13"/>
    <n v="21.216666666666665"/>
  </r>
  <r>
    <x v="48"/>
    <x v="10"/>
    <x v="3"/>
    <n v="13"/>
    <d v="1899-12-30T00:07:58"/>
    <n v="7.9666666666666668"/>
  </r>
  <r>
    <x v="48"/>
    <x v="10"/>
    <x v="4"/>
    <n v="5"/>
    <d v="1899-12-30T00:01:41"/>
    <n v="1.6833333333333333"/>
  </r>
  <r>
    <x v="48"/>
    <x v="10"/>
    <x v="5"/>
    <n v="15"/>
    <d v="1899-12-30T00:16:37"/>
    <n v="16.616666666666667"/>
  </r>
  <r>
    <x v="48"/>
    <x v="11"/>
    <x v="0"/>
    <n v="11"/>
    <d v="1899-12-30T00:19:49"/>
    <n v="19.816666666666666"/>
  </r>
  <r>
    <x v="48"/>
    <x v="11"/>
    <x v="1"/>
    <n v="2"/>
    <d v="1899-12-30T00:03:17"/>
    <n v="3.2833333333333332"/>
  </r>
  <r>
    <x v="48"/>
    <x v="11"/>
    <x v="2"/>
    <n v="8"/>
    <d v="1899-12-30T00:17:13"/>
    <n v="17.216666666666665"/>
  </r>
  <r>
    <x v="48"/>
    <x v="11"/>
    <x v="3"/>
    <n v="0"/>
    <d v="1899-12-30T00:00:00"/>
    <n v="0"/>
  </r>
  <r>
    <x v="48"/>
    <x v="11"/>
    <x v="4"/>
    <n v="2"/>
    <d v="1899-12-30T00:00:40"/>
    <n v="0.66666666666666663"/>
  </r>
  <r>
    <x v="48"/>
    <x v="11"/>
    <x v="5"/>
    <n v="3"/>
    <d v="1899-12-30T00:02:58"/>
    <n v="2.9666666666666668"/>
  </r>
  <r>
    <x v="48"/>
    <x v="12"/>
    <x v="0"/>
    <n v="110"/>
    <d v="1899-12-30T03:04:03"/>
    <n v="184.05"/>
  </r>
  <r>
    <x v="48"/>
    <x v="12"/>
    <x v="1"/>
    <n v="97"/>
    <d v="1899-12-30T02:33:22"/>
    <n v="153.36666666666667"/>
  </r>
  <r>
    <x v="48"/>
    <x v="12"/>
    <x v="2"/>
    <n v="67"/>
    <d v="1899-12-30T01:59:40"/>
    <n v="119.66666666666667"/>
  </r>
  <r>
    <x v="48"/>
    <x v="12"/>
    <x v="3"/>
    <n v="70"/>
    <d v="1899-12-30T00:49:40"/>
    <n v="49.666666666666664"/>
  </r>
  <r>
    <x v="48"/>
    <x v="12"/>
    <x v="4"/>
    <n v="34"/>
    <d v="1899-12-30T00:52:40"/>
    <n v="52.666666666666664"/>
  </r>
  <r>
    <x v="48"/>
    <x v="12"/>
    <x v="5"/>
    <n v="38"/>
    <d v="1899-12-30T00:45:32"/>
    <n v="45.533333333333331"/>
  </r>
  <r>
    <x v="48"/>
    <x v="13"/>
    <x v="0"/>
    <n v="40"/>
    <d v="1899-12-30T00:47:46"/>
    <n v="47.766666666666666"/>
  </r>
  <r>
    <x v="48"/>
    <x v="13"/>
    <x v="1"/>
    <n v="51"/>
    <d v="1899-12-30T00:50:30"/>
    <n v="50.5"/>
  </r>
  <r>
    <x v="48"/>
    <x v="13"/>
    <x v="2"/>
    <n v="21"/>
    <d v="1899-12-30T00:25:08"/>
    <n v="25.133333333333333"/>
  </r>
  <r>
    <x v="48"/>
    <x v="13"/>
    <x v="3"/>
    <n v="17"/>
    <d v="1899-12-30T00:10:49"/>
    <n v="10.816666666666666"/>
  </r>
  <r>
    <x v="48"/>
    <x v="13"/>
    <x v="4"/>
    <n v="0"/>
    <d v="1899-12-30T00:00:00"/>
    <n v="0"/>
  </r>
  <r>
    <x v="48"/>
    <x v="13"/>
    <x v="5"/>
    <n v="24"/>
    <d v="1899-12-30T00:19:17"/>
    <n v="19.283333333333335"/>
  </r>
  <r>
    <x v="49"/>
    <x v="0"/>
    <x v="0"/>
    <n v="49"/>
    <d v="1899-12-30T01:07:33"/>
    <n v="67.55"/>
  </r>
  <r>
    <x v="49"/>
    <x v="0"/>
    <x v="1"/>
    <n v="33"/>
    <d v="1899-12-30T00:37:48"/>
    <n v="37.799999999999997"/>
  </r>
  <r>
    <x v="49"/>
    <x v="0"/>
    <x v="2"/>
    <n v="21"/>
    <d v="1899-12-30T00:27:36"/>
    <n v="27.6"/>
  </r>
  <r>
    <x v="49"/>
    <x v="0"/>
    <x v="3"/>
    <n v="16"/>
    <d v="1899-12-30T00:14:06"/>
    <n v="14.1"/>
  </r>
  <r>
    <x v="49"/>
    <x v="0"/>
    <x v="4"/>
    <n v="7"/>
    <d v="1899-12-30T00:03:51"/>
    <n v="3.85"/>
  </r>
  <r>
    <x v="49"/>
    <x v="0"/>
    <x v="5"/>
    <n v="15"/>
    <d v="1899-12-30T00:17:21"/>
    <n v="17.350000000000001"/>
  </r>
  <r>
    <x v="49"/>
    <x v="1"/>
    <x v="0"/>
    <n v="47"/>
    <d v="1899-12-30T01:17:19"/>
    <n v="77.316666666666663"/>
  </r>
  <r>
    <x v="49"/>
    <x v="1"/>
    <x v="1"/>
    <n v="40"/>
    <d v="1899-12-30T01:24:21"/>
    <n v="84.35"/>
  </r>
  <r>
    <x v="49"/>
    <x v="1"/>
    <x v="2"/>
    <n v="31"/>
    <d v="1899-12-30T01:06:59"/>
    <n v="66.983333333333334"/>
  </r>
  <r>
    <x v="49"/>
    <x v="1"/>
    <x v="3"/>
    <n v="21"/>
    <d v="1899-12-30T00:21:49"/>
    <n v="21.816666666666666"/>
  </r>
  <r>
    <x v="49"/>
    <x v="1"/>
    <x v="4"/>
    <n v="5"/>
    <d v="1899-12-30T00:08:15"/>
    <n v="8.25"/>
  </r>
  <r>
    <x v="49"/>
    <x v="1"/>
    <x v="5"/>
    <n v="29"/>
    <d v="1899-12-30T00:41:42"/>
    <n v="41.7"/>
  </r>
  <r>
    <x v="49"/>
    <x v="2"/>
    <x v="0"/>
    <n v="99"/>
    <d v="1899-12-30T02:29:22"/>
    <n v="149.36666666666667"/>
  </r>
  <r>
    <x v="49"/>
    <x v="2"/>
    <x v="1"/>
    <n v="83"/>
    <d v="1899-12-30T01:57:56"/>
    <n v="117.93333333333334"/>
  </r>
  <r>
    <x v="49"/>
    <x v="2"/>
    <x v="2"/>
    <n v="51"/>
    <d v="1899-12-30T01:26:23"/>
    <n v="86.38333333333334"/>
  </r>
  <r>
    <x v="49"/>
    <x v="2"/>
    <x v="3"/>
    <n v="62"/>
    <d v="1899-12-30T00:59:17"/>
    <n v="59.283333333333331"/>
  </r>
  <r>
    <x v="49"/>
    <x v="2"/>
    <x v="4"/>
    <n v="49"/>
    <d v="1899-12-30T01:08:37"/>
    <n v="68.61666666666666"/>
  </r>
  <r>
    <x v="49"/>
    <x v="2"/>
    <x v="5"/>
    <n v="38"/>
    <d v="1899-12-30T00:43:39"/>
    <n v="43.65"/>
  </r>
  <r>
    <x v="49"/>
    <x v="3"/>
    <x v="0"/>
    <n v="16"/>
    <d v="1899-12-30T00:19:05"/>
    <n v="19.083333333333332"/>
  </r>
  <r>
    <x v="49"/>
    <x v="3"/>
    <x v="1"/>
    <n v="19"/>
    <d v="1899-12-30T00:36:31"/>
    <n v="36.516666666666666"/>
  </r>
  <r>
    <x v="49"/>
    <x v="3"/>
    <x v="2"/>
    <n v="9"/>
    <d v="1899-12-30T00:16:37"/>
    <n v="16.616666666666667"/>
  </r>
  <r>
    <x v="49"/>
    <x v="3"/>
    <x v="3"/>
    <n v="12"/>
    <d v="1899-12-30T00:10:08"/>
    <n v="10.133333333333333"/>
  </r>
  <r>
    <x v="49"/>
    <x v="3"/>
    <x v="4"/>
    <n v="5"/>
    <d v="1899-12-30T00:04:18"/>
    <n v="4.3"/>
  </r>
  <r>
    <x v="49"/>
    <x v="3"/>
    <x v="5"/>
    <n v="5"/>
    <d v="1899-12-30T00:04:13"/>
    <n v="4.2166666666666668"/>
  </r>
  <r>
    <x v="49"/>
    <x v="4"/>
    <x v="0"/>
    <n v="15"/>
    <d v="1899-12-30T00:21:59"/>
    <n v="21.983333333333334"/>
  </r>
  <r>
    <x v="49"/>
    <x v="4"/>
    <x v="1"/>
    <n v="25"/>
    <d v="1899-12-30T00:33:33"/>
    <n v="33.549999999999997"/>
  </r>
  <r>
    <x v="49"/>
    <x v="4"/>
    <x v="2"/>
    <n v="7"/>
    <d v="1899-12-30T00:11:34"/>
    <n v="11.566666666666666"/>
  </r>
  <r>
    <x v="49"/>
    <x v="4"/>
    <x v="3"/>
    <n v="12"/>
    <d v="1899-12-30T00:06:54"/>
    <n v="6.9"/>
  </r>
  <r>
    <x v="49"/>
    <x v="4"/>
    <x v="4"/>
    <n v="2"/>
    <d v="1899-12-30T00:02:49"/>
    <n v="2.8166666666666664"/>
  </r>
  <r>
    <x v="49"/>
    <x v="4"/>
    <x v="5"/>
    <n v="6"/>
    <d v="1899-12-30T00:06:34"/>
    <n v="6.5666666666666664"/>
  </r>
  <r>
    <x v="49"/>
    <x v="5"/>
    <x v="0"/>
    <n v="26"/>
    <d v="1899-12-30T00:36:49"/>
    <n v="36.81666666666667"/>
  </r>
  <r>
    <x v="49"/>
    <x v="5"/>
    <x v="1"/>
    <n v="33"/>
    <d v="1899-12-30T00:40:08"/>
    <n v="40.133333333333333"/>
  </r>
  <r>
    <x v="49"/>
    <x v="5"/>
    <x v="2"/>
    <n v="18"/>
    <d v="1899-12-30T00:32:55"/>
    <n v="32.916666666666664"/>
  </r>
  <r>
    <x v="49"/>
    <x v="5"/>
    <x v="3"/>
    <n v="26"/>
    <d v="1899-12-30T00:24:31"/>
    <n v="24.516666666666666"/>
  </r>
  <r>
    <x v="49"/>
    <x v="5"/>
    <x v="4"/>
    <n v="2"/>
    <d v="1899-12-30T00:00:40"/>
    <n v="0.66666666666666663"/>
  </r>
  <r>
    <x v="49"/>
    <x v="5"/>
    <x v="5"/>
    <n v="20"/>
    <d v="1899-12-30T00:24:18"/>
    <n v="24.3"/>
  </r>
  <r>
    <x v="49"/>
    <x v="6"/>
    <x v="0"/>
    <n v="7"/>
    <d v="1899-12-30T00:07:31"/>
    <n v="7.5166666666666666"/>
  </r>
  <r>
    <x v="49"/>
    <x v="6"/>
    <x v="1"/>
    <n v="4"/>
    <d v="1899-12-30T00:04:16"/>
    <n v="4.2666666666666666"/>
  </r>
  <r>
    <x v="49"/>
    <x v="6"/>
    <x v="2"/>
    <n v="4"/>
    <d v="1899-12-30T00:07:09"/>
    <n v="7.15"/>
  </r>
  <r>
    <x v="49"/>
    <x v="6"/>
    <x v="3"/>
    <n v="3"/>
    <d v="1899-12-30T00:01:54"/>
    <n v="1.9"/>
  </r>
  <r>
    <x v="49"/>
    <x v="6"/>
    <x v="4"/>
    <n v="10"/>
    <d v="1899-12-30T00:15:16"/>
    <n v="15.266666666666667"/>
  </r>
  <r>
    <x v="49"/>
    <x v="6"/>
    <x v="5"/>
    <n v="1"/>
    <d v="1899-12-30T00:00:27"/>
    <n v="0.45"/>
  </r>
  <r>
    <x v="49"/>
    <x v="7"/>
    <x v="0"/>
    <n v="46"/>
    <d v="1899-12-30T00:52:33"/>
    <n v="52.55"/>
  </r>
  <r>
    <x v="49"/>
    <x v="7"/>
    <x v="1"/>
    <n v="52"/>
    <d v="1899-12-30T00:56:10"/>
    <n v="56.166666666666664"/>
  </r>
  <r>
    <x v="49"/>
    <x v="7"/>
    <x v="2"/>
    <n v="40"/>
    <d v="1899-12-30T01:01:00"/>
    <n v="61"/>
  </r>
  <r>
    <x v="49"/>
    <x v="7"/>
    <x v="3"/>
    <n v="54"/>
    <d v="1899-12-30T00:40:33"/>
    <n v="40.549999999999997"/>
  </r>
  <r>
    <x v="49"/>
    <x v="7"/>
    <x v="4"/>
    <n v="127"/>
    <d v="1899-12-30T02:38:18"/>
    <n v="158.30000000000001"/>
  </r>
  <r>
    <x v="49"/>
    <x v="7"/>
    <x v="5"/>
    <n v="23"/>
    <d v="1899-12-30T00:13:55"/>
    <n v="13.916666666666666"/>
  </r>
  <r>
    <x v="49"/>
    <x v="8"/>
    <x v="0"/>
    <n v="44"/>
    <d v="1899-12-30T01:14:21"/>
    <n v="74.349999999999994"/>
  </r>
  <r>
    <x v="49"/>
    <x v="8"/>
    <x v="1"/>
    <n v="45"/>
    <d v="1899-12-30T01:06:20"/>
    <n v="66.333333333333329"/>
  </r>
  <r>
    <x v="49"/>
    <x v="8"/>
    <x v="2"/>
    <n v="44"/>
    <d v="1899-12-30T01:29:49"/>
    <n v="89.816666666666663"/>
  </r>
  <r>
    <x v="49"/>
    <x v="8"/>
    <x v="3"/>
    <n v="54"/>
    <d v="1899-12-30T00:50:41"/>
    <n v="50.68333333333333"/>
  </r>
  <r>
    <x v="49"/>
    <x v="8"/>
    <x v="4"/>
    <n v="13"/>
    <d v="1899-12-30T00:21:58"/>
    <n v="21.966666666666665"/>
  </r>
  <r>
    <x v="49"/>
    <x v="8"/>
    <x v="5"/>
    <n v="36"/>
    <d v="1899-12-30T00:40:10"/>
    <n v="40.166666666666664"/>
  </r>
  <r>
    <x v="49"/>
    <x v="9"/>
    <x v="0"/>
    <n v="15"/>
    <d v="1899-12-30T00:23:42"/>
    <n v="23.7"/>
  </r>
  <r>
    <x v="49"/>
    <x v="9"/>
    <x v="1"/>
    <n v="25"/>
    <d v="1899-12-30T00:27:33"/>
    <n v="27.55"/>
  </r>
  <r>
    <x v="49"/>
    <x v="9"/>
    <x v="2"/>
    <n v="14"/>
    <d v="1899-12-30T00:27:07"/>
    <n v="27.116666666666667"/>
  </r>
  <r>
    <x v="49"/>
    <x v="9"/>
    <x v="3"/>
    <n v="12"/>
    <d v="1899-12-30T00:10:12"/>
    <n v="10.199999999999999"/>
  </r>
  <r>
    <x v="49"/>
    <x v="9"/>
    <x v="4"/>
    <n v="5"/>
    <d v="1899-12-30T00:06:41"/>
    <n v="6.6833333333333336"/>
  </r>
  <r>
    <x v="49"/>
    <x v="9"/>
    <x v="5"/>
    <n v="9"/>
    <d v="1899-12-30T00:11:10"/>
    <n v="11.166666666666666"/>
  </r>
  <r>
    <x v="49"/>
    <x v="10"/>
    <x v="0"/>
    <n v="17"/>
    <d v="1899-12-30T00:44:26"/>
    <n v="44.43333333333333"/>
  </r>
  <r>
    <x v="49"/>
    <x v="10"/>
    <x v="1"/>
    <n v="15"/>
    <d v="1899-12-30T00:26:09"/>
    <n v="26.15"/>
  </r>
  <r>
    <x v="49"/>
    <x v="10"/>
    <x v="2"/>
    <n v="7"/>
    <d v="1899-12-30T00:12:49"/>
    <n v="12.816666666666666"/>
  </r>
  <r>
    <x v="49"/>
    <x v="10"/>
    <x v="3"/>
    <n v="4"/>
    <d v="1899-12-30T00:02:51"/>
    <n v="2.85"/>
  </r>
  <r>
    <x v="49"/>
    <x v="10"/>
    <x v="4"/>
    <n v="2"/>
    <d v="1899-12-30T00:02:52"/>
    <n v="2.8666666666666667"/>
  </r>
  <r>
    <x v="49"/>
    <x v="10"/>
    <x v="5"/>
    <n v="12"/>
    <d v="1899-12-30T00:19:13"/>
    <n v="19.216666666666665"/>
  </r>
  <r>
    <x v="49"/>
    <x v="11"/>
    <x v="0"/>
    <n v="15"/>
    <d v="1899-12-30T00:19:55"/>
    <n v="19.916666666666668"/>
  </r>
  <r>
    <x v="49"/>
    <x v="11"/>
    <x v="1"/>
    <n v="6"/>
    <d v="1899-12-30T00:08:19"/>
    <n v="8.3166666666666664"/>
  </r>
  <r>
    <x v="49"/>
    <x v="11"/>
    <x v="2"/>
    <n v="7"/>
    <d v="1899-12-30T00:15:41"/>
    <n v="15.683333333333334"/>
  </r>
  <r>
    <x v="49"/>
    <x v="11"/>
    <x v="3"/>
    <n v="4"/>
    <d v="1899-12-30T00:01:55"/>
    <n v="1.9166666666666665"/>
  </r>
  <r>
    <x v="49"/>
    <x v="11"/>
    <x v="4"/>
    <n v="1"/>
    <d v="1899-12-30T00:01:33"/>
    <n v="1.55"/>
  </r>
  <r>
    <x v="49"/>
    <x v="11"/>
    <x v="5"/>
    <n v="8"/>
    <d v="1899-12-30T00:10:54"/>
    <n v="10.9"/>
  </r>
  <r>
    <x v="49"/>
    <x v="12"/>
    <x v="0"/>
    <n v="133"/>
    <d v="1899-12-30T03:19:06"/>
    <n v="199.1"/>
  </r>
  <r>
    <x v="49"/>
    <x v="12"/>
    <x v="1"/>
    <n v="126"/>
    <d v="1899-12-30T03:14:46"/>
    <n v="194.76666666666668"/>
  </r>
  <r>
    <x v="49"/>
    <x v="12"/>
    <x v="2"/>
    <n v="94"/>
    <d v="1899-12-30T02:58:15"/>
    <n v="178.25"/>
  </r>
  <r>
    <x v="49"/>
    <x v="12"/>
    <x v="3"/>
    <n v="66"/>
    <d v="1899-12-30T00:56:30"/>
    <n v="56.5"/>
  </r>
  <r>
    <x v="49"/>
    <x v="12"/>
    <x v="4"/>
    <n v="56"/>
    <d v="1899-12-30T01:14:40"/>
    <n v="74.666666666666671"/>
  </r>
  <r>
    <x v="49"/>
    <x v="12"/>
    <x v="5"/>
    <n v="69"/>
    <d v="1899-12-30T01:20:11"/>
    <n v="80.183333333333337"/>
  </r>
  <r>
    <x v="49"/>
    <x v="13"/>
    <x v="0"/>
    <n v="51"/>
    <d v="1899-12-30T00:59:25"/>
    <n v="59.416666666666664"/>
  </r>
  <r>
    <x v="49"/>
    <x v="13"/>
    <x v="1"/>
    <n v="48"/>
    <d v="1899-12-30T00:47:17"/>
    <n v="47.283333333333331"/>
  </r>
  <r>
    <x v="49"/>
    <x v="13"/>
    <x v="2"/>
    <n v="32"/>
    <d v="1899-12-30T00:45:59"/>
    <n v="45.983333333333334"/>
  </r>
  <r>
    <x v="49"/>
    <x v="13"/>
    <x v="3"/>
    <n v="16"/>
    <d v="1899-12-30T00:09:03"/>
    <n v="9.0500000000000007"/>
  </r>
  <r>
    <x v="49"/>
    <x v="13"/>
    <x v="4"/>
    <n v="0"/>
    <d v="1899-12-30T00:00:00"/>
    <n v="0"/>
  </r>
  <r>
    <x v="49"/>
    <x v="13"/>
    <x v="5"/>
    <n v="28"/>
    <d v="1899-12-30T00:22:07"/>
    <n v="22.116666666666667"/>
  </r>
  <r>
    <x v="50"/>
    <x v="0"/>
    <x v="0"/>
    <n v="23"/>
    <d v="1899-12-30T00:29:36"/>
    <n v="29.6"/>
  </r>
  <r>
    <x v="50"/>
    <x v="0"/>
    <x v="1"/>
    <n v="17"/>
    <d v="1899-12-30T00:18:44"/>
    <n v="18.733333333333334"/>
  </r>
  <r>
    <x v="50"/>
    <x v="0"/>
    <x v="2"/>
    <n v="12"/>
    <d v="1899-12-30T00:14:35"/>
    <n v="14.583333333333334"/>
  </r>
  <r>
    <x v="50"/>
    <x v="0"/>
    <x v="3"/>
    <n v="12"/>
    <d v="1899-12-30T00:07:41"/>
    <n v="7.6833333333333336"/>
  </r>
  <r>
    <x v="50"/>
    <x v="0"/>
    <x v="4"/>
    <n v="1"/>
    <d v="1899-12-30T00:00:21"/>
    <n v="0.35"/>
  </r>
  <r>
    <x v="50"/>
    <x v="0"/>
    <x v="5"/>
    <n v="19"/>
    <d v="1899-12-30T00:21:11"/>
    <n v="21.183333333333334"/>
  </r>
  <r>
    <x v="50"/>
    <x v="1"/>
    <x v="0"/>
    <n v="67"/>
    <d v="1899-12-30T01:53:58"/>
    <n v="113.96666666666667"/>
  </r>
  <r>
    <x v="50"/>
    <x v="1"/>
    <x v="1"/>
    <n v="65"/>
    <d v="1899-12-30T01:51:27"/>
    <n v="111.45"/>
  </r>
  <r>
    <x v="50"/>
    <x v="1"/>
    <x v="2"/>
    <n v="50"/>
    <d v="1899-12-30T01:41:48"/>
    <n v="101.8"/>
  </r>
  <r>
    <x v="50"/>
    <x v="1"/>
    <x v="3"/>
    <n v="29"/>
    <d v="1899-12-30T00:33:50"/>
    <n v="33.833333333333336"/>
  </r>
  <r>
    <x v="50"/>
    <x v="1"/>
    <x v="4"/>
    <n v="5"/>
    <d v="1899-12-30T00:07:23"/>
    <n v="7.3833333333333337"/>
  </r>
  <r>
    <x v="50"/>
    <x v="1"/>
    <x v="5"/>
    <n v="33"/>
    <d v="1899-12-30T00:47:36"/>
    <n v="47.6"/>
  </r>
  <r>
    <x v="50"/>
    <x v="2"/>
    <x v="0"/>
    <n v="101"/>
    <d v="1899-12-30T02:30:48"/>
    <n v="150.80000000000001"/>
  </r>
  <r>
    <x v="50"/>
    <x v="2"/>
    <x v="1"/>
    <n v="116"/>
    <d v="1899-12-30T02:31:43"/>
    <n v="151.71666666666667"/>
  </r>
  <r>
    <x v="50"/>
    <x v="2"/>
    <x v="2"/>
    <n v="93"/>
    <d v="1899-12-30T02:43:55"/>
    <n v="163.91666666666666"/>
  </r>
  <r>
    <x v="50"/>
    <x v="2"/>
    <x v="3"/>
    <n v="76"/>
    <d v="1899-12-30T01:10:06"/>
    <n v="70.099999999999994"/>
  </r>
  <r>
    <x v="50"/>
    <x v="2"/>
    <x v="4"/>
    <n v="53"/>
    <d v="1899-12-30T01:27:14"/>
    <n v="87.233333333333334"/>
  </r>
  <r>
    <x v="50"/>
    <x v="2"/>
    <x v="5"/>
    <n v="40"/>
    <d v="1899-12-30T00:50:49"/>
    <n v="50.81666666666667"/>
  </r>
  <r>
    <x v="50"/>
    <x v="3"/>
    <x v="0"/>
    <n v="27"/>
    <d v="1899-12-30T00:37:10"/>
    <n v="37.166666666666664"/>
  </r>
  <r>
    <x v="50"/>
    <x v="3"/>
    <x v="1"/>
    <n v="15"/>
    <d v="1899-12-30T00:23:03"/>
    <n v="23.05"/>
  </r>
  <r>
    <x v="50"/>
    <x v="3"/>
    <x v="2"/>
    <n v="15"/>
    <d v="1899-12-30T00:25:28"/>
    <n v="25.466666666666665"/>
  </r>
  <r>
    <x v="50"/>
    <x v="3"/>
    <x v="3"/>
    <n v="7"/>
    <d v="1899-12-30T00:05:40"/>
    <n v="5.666666666666667"/>
  </r>
  <r>
    <x v="50"/>
    <x v="3"/>
    <x v="4"/>
    <n v="8"/>
    <d v="1899-12-30T00:17:31"/>
    <n v="17.516666666666666"/>
  </r>
  <r>
    <x v="50"/>
    <x v="3"/>
    <x v="5"/>
    <n v="10"/>
    <d v="1899-12-30T00:11:24"/>
    <n v="11.4"/>
  </r>
  <r>
    <x v="50"/>
    <x v="4"/>
    <x v="0"/>
    <n v="40"/>
    <d v="1899-12-30T00:59:16"/>
    <n v="59.266666666666666"/>
  </r>
  <r>
    <x v="50"/>
    <x v="4"/>
    <x v="1"/>
    <n v="19"/>
    <d v="1899-12-30T00:28:34"/>
    <n v="28.566666666666666"/>
  </r>
  <r>
    <x v="50"/>
    <x v="4"/>
    <x v="2"/>
    <n v="12"/>
    <d v="1899-12-30T00:18:36"/>
    <n v="18.600000000000001"/>
  </r>
  <r>
    <x v="50"/>
    <x v="4"/>
    <x v="3"/>
    <n v="6"/>
    <d v="1899-12-30T00:05:05"/>
    <n v="5.083333333333333"/>
  </r>
  <r>
    <x v="50"/>
    <x v="4"/>
    <x v="4"/>
    <n v="10"/>
    <d v="1899-12-30T00:22:25"/>
    <n v="22.416666666666668"/>
  </r>
  <r>
    <x v="50"/>
    <x v="4"/>
    <x v="5"/>
    <n v="9"/>
    <d v="1899-12-30T00:08:41"/>
    <n v="8.6833333333333336"/>
  </r>
  <r>
    <x v="50"/>
    <x v="5"/>
    <x v="0"/>
    <n v="37"/>
    <d v="1899-12-30T00:53:59"/>
    <n v="53.983333333333334"/>
  </r>
  <r>
    <x v="50"/>
    <x v="5"/>
    <x v="1"/>
    <n v="33"/>
    <d v="1899-12-30T00:43:28"/>
    <n v="43.466666666666669"/>
  </r>
  <r>
    <x v="50"/>
    <x v="5"/>
    <x v="2"/>
    <n v="27"/>
    <d v="1899-12-30T00:37:58"/>
    <n v="37.966666666666669"/>
  </r>
  <r>
    <x v="50"/>
    <x v="5"/>
    <x v="3"/>
    <n v="23"/>
    <d v="1899-12-30T00:21:16"/>
    <n v="21.266666666666666"/>
  </r>
  <r>
    <x v="50"/>
    <x v="5"/>
    <x v="4"/>
    <n v="11"/>
    <d v="1899-12-30T00:09:52"/>
    <n v="9.8666666666666671"/>
  </r>
  <r>
    <x v="50"/>
    <x v="5"/>
    <x v="5"/>
    <n v="27"/>
    <d v="1899-12-30T00:30:34"/>
    <n v="30.566666666666666"/>
  </r>
  <r>
    <x v="50"/>
    <x v="6"/>
    <x v="0"/>
    <n v="9"/>
    <d v="1899-12-30T00:17:23"/>
    <n v="17.383333333333333"/>
  </r>
  <r>
    <x v="50"/>
    <x v="6"/>
    <x v="1"/>
    <n v="14"/>
    <d v="1899-12-30T00:22:09"/>
    <n v="22.15"/>
  </r>
  <r>
    <x v="50"/>
    <x v="6"/>
    <x v="2"/>
    <n v="7"/>
    <d v="1899-12-30T00:13:04"/>
    <n v="13.066666666666666"/>
  </r>
  <r>
    <x v="50"/>
    <x v="6"/>
    <x v="3"/>
    <n v="4"/>
    <d v="1899-12-30T00:04:25"/>
    <n v="4.416666666666667"/>
  </r>
  <r>
    <x v="50"/>
    <x v="6"/>
    <x v="4"/>
    <n v="6"/>
    <d v="1899-12-30T00:04:55"/>
    <n v="4.916666666666667"/>
  </r>
  <r>
    <x v="50"/>
    <x v="6"/>
    <x v="5"/>
    <n v="5"/>
    <d v="1899-12-30T00:09:52"/>
    <n v="9.8666666666666671"/>
  </r>
  <r>
    <x v="50"/>
    <x v="7"/>
    <x v="0"/>
    <n v="66"/>
    <d v="1899-12-30T01:19:47"/>
    <n v="79.783333333333331"/>
  </r>
  <r>
    <x v="50"/>
    <x v="7"/>
    <x v="1"/>
    <n v="89"/>
    <d v="1899-12-30T01:58:34"/>
    <n v="118.56666666666666"/>
  </r>
  <r>
    <x v="50"/>
    <x v="7"/>
    <x v="2"/>
    <n v="51"/>
    <d v="1899-12-30T01:25:29"/>
    <n v="85.483333333333334"/>
  </r>
  <r>
    <x v="50"/>
    <x v="7"/>
    <x v="3"/>
    <n v="81"/>
    <d v="1899-12-30T01:04:38"/>
    <n v="64.63333333333334"/>
  </r>
  <r>
    <x v="50"/>
    <x v="7"/>
    <x v="4"/>
    <n v="153"/>
    <d v="1899-12-30T03:14:17"/>
    <n v="194.28333333333333"/>
  </r>
  <r>
    <x v="50"/>
    <x v="7"/>
    <x v="5"/>
    <n v="25"/>
    <d v="1899-12-30T00:20:38"/>
    <n v="20.633333333333333"/>
  </r>
  <r>
    <x v="50"/>
    <x v="8"/>
    <x v="0"/>
    <n v="41"/>
    <d v="1899-12-30T01:03:03"/>
    <n v="63.05"/>
  </r>
  <r>
    <x v="50"/>
    <x v="8"/>
    <x v="1"/>
    <n v="57"/>
    <d v="1899-12-30T01:12:49"/>
    <n v="72.816666666666663"/>
  </r>
  <r>
    <x v="50"/>
    <x v="8"/>
    <x v="2"/>
    <n v="45"/>
    <d v="1899-12-30T01:07:41"/>
    <n v="67.683333333333337"/>
  </r>
  <r>
    <x v="50"/>
    <x v="8"/>
    <x v="3"/>
    <n v="56"/>
    <d v="1899-12-30T00:51:27"/>
    <n v="51.45"/>
  </r>
  <r>
    <x v="50"/>
    <x v="8"/>
    <x v="4"/>
    <n v="36"/>
    <d v="1899-12-30T00:36:36"/>
    <n v="36.6"/>
  </r>
  <r>
    <x v="50"/>
    <x v="8"/>
    <x v="5"/>
    <n v="30"/>
    <d v="1899-12-30T00:38:51"/>
    <n v="38.85"/>
  </r>
  <r>
    <x v="50"/>
    <x v="9"/>
    <x v="0"/>
    <n v="25"/>
    <d v="1899-12-30T00:34:58"/>
    <n v="34.966666666666669"/>
  </r>
  <r>
    <x v="50"/>
    <x v="9"/>
    <x v="1"/>
    <n v="33"/>
    <d v="1899-12-30T00:51:20"/>
    <n v="51.333333333333336"/>
  </r>
  <r>
    <x v="50"/>
    <x v="9"/>
    <x v="2"/>
    <n v="23"/>
    <d v="1899-12-30T00:41:13"/>
    <n v="41.216666666666669"/>
  </r>
  <r>
    <x v="50"/>
    <x v="9"/>
    <x v="3"/>
    <n v="10"/>
    <d v="1899-12-30T00:08:12"/>
    <n v="8.1999999999999993"/>
  </r>
  <r>
    <x v="50"/>
    <x v="9"/>
    <x v="4"/>
    <n v="6"/>
    <d v="1899-12-30T00:05:51"/>
    <n v="5.85"/>
  </r>
  <r>
    <x v="50"/>
    <x v="9"/>
    <x v="5"/>
    <n v="13"/>
    <d v="1899-12-30T00:17:50"/>
    <n v="17.833333333333332"/>
  </r>
  <r>
    <x v="50"/>
    <x v="10"/>
    <x v="0"/>
    <n v="34"/>
    <d v="1899-12-30T01:04:13"/>
    <n v="64.216666666666669"/>
  </r>
  <r>
    <x v="50"/>
    <x v="10"/>
    <x v="1"/>
    <n v="38"/>
    <d v="1899-12-30T01:10:33"/>
    <n v="70.55"/>
  </r>
  <r>
    <x v="50"/>
    <x v="10"/>
    <x v="2"/>
    <n v="14"/>
    <d v="1899-12-30T00:33:25"/>
    <n v="33.416666666666664"/>
  </r>
  <r>
    <x v="50"/>
    <x v="10"/>
    <x v="3"/>
    <n v="8"/>
    <d v="1899-12-30T00:08:01"/>
    <n v="8.0166666666666675"/>
  </r>
  <r>
    <x v="50"/>
    <x v="10"/>
    <x v="4"/>
    <n v="4"/>
    <d v="1899-12-30T00:07:15"/>
    <n v="7.25"/>
  </r>
  <r>
    <x v="50"/>
    <x v="10"/>
    <x v="5"/>
    <n v="16"/>
    <d v="1899-12-30T00:22:23"/>
    <n v="22.383333333333333"/>
  </r>
  <r>
    <x v="50"/>
    <x v="11"/>
    <x v="0"/>
    <n v="22"/>
    <d v="1899-12-30T00:29:12"/>
    <n v="29.2"/>
  </r>
  <r>
    <x v="50"/>
    <x v="11"/>
    <x v="1"/>
    <n v="14"/>
    <d v="1899-12-30T00:19:17"/>
    <n v="19.283333333333335"/>
  </r>
  <r>
    <x v="50"/>
    <x v="11"/>
    <x v="2"/>
    <n v="10"/>
    <d v="1899-12-30T00:18:23"/>
    <n v="18.383333333333333"/>
  </r>
  <r>
    <x v="50"/>
    <x v="11"/>
    <x v="3"/>
    <n v="11"/>
    <d v="1899-12-30T00:08:02"/>
    <n v="8.0333333333333332"/>
  </r>
  <r>
    <x v="50"/>
    <x v="11"/>
    <x v="4"/>
    <n v="8"/>
    <d v="1899-12-30T00:08:44"/>
    <n v="8.7333333333333325"/>
  </r>
  <r>
    <x v="50"/>
    <x v="11"/>
    <x v="5"/>
    <n v="10"/>
    <d v="1899-12-30T00:09:38"/>
    <n v="9.6333333333333329"/>
  </r>
  <r>
    <x v="50"/>
    <x v="12"/>
    <x v="0"/>
    <n v="174"/>
    <d v="1899-12-30T04:38:46"/>
    <n v="278.76666666666665"/>
  </r>
  <r>
    <x v="50"/>
    <x v="12"/>
    <x v="1"/>
    <n v="146"/>
    <d v="1899-12-30T03:36:32"/>
    <n v="216.53333333333333"/>
  </r>
  <r>
    <x v="50"/>
    <x v="12"/>
    <x v="2"/>
    <n v="113"/>
    <d v="1899-12-30T03:18:05"/>
    <n v="198.08333333333334"/>
  </r>
  <r>
    <x v="50"/>
    <x v="12"/>
    <x v="3"/>
    <n v="86"/>
    <d v="1899-12-30T01:17:53"/>
    <n v="77.88333333333334"/>
  </r>
  <r>
    <x v="50"/>
    <x v="12"/>
    <x v="4"/>
    <n v="47"/>
    <d v="1899-12-30T01:06:20"/>
    <n v="66.333333333333329"/>
  </r>
  <r>
    <x v="50"/>
    <x v="12"/>
    <x v="5"/>
    <n v="93"/>
    <d v="1899-12-30T01:50:32"/>
    <n v="110.53333333333333"/>
  </r>
  <r>
    <x v="50"/>
    <x v="13"/>
    <x v="0"/>
    <n v="64"/>
    <d v="1899-12-30T01:15:13"/>
    <n v="75.216666666666669"/>
  </r>
  <r>
    <x v="50"/>
    <x v="13"/>
    <x v="1"/>
    <n v="56"/>
    <d v="1899-12-30T00:44:04"/>
    <n v="44.06666666666667"/>
  </r>
  <r>
    <x v="50"/>
    <x v="13"/>
    <x v="2"/>
    <n v="21"/>
    <d v="1899-12-30T00:19:26"/>
    <n v="19.433333333333334"/>
  </r>
  <r>
    <x v="50"/>
    <x v="13"/>
    <x v="3"/>
    <n v="9"/>
    <d v="1899-12-30T00:05:55"/>
    <n v="5.916666666666667"/>
  </r>
  <r>
    <x v="50"/>
    <x v="13"/>
    <x v="4"/>
    <n v="1"/>
    <d v="1899-12-30T00:02:37"/>
    <n v="2.6166666666666667"/>
  </r>
  <r>
    <x v="50"/>
    <x v="13"/>
    <x v="5"/>
    <n v="28"/>
    <d v="1899-12-30T00:19:53"/>
    <n v="19.883333333333333"/>
  </r>
  <r>
    <x v="51"/>
    <x v="0"/>
    <x v="0"/>
    <n v="35"/>
    <d v="1899-12-30T01:00:31"/>
    <n v="60.516666666666666"/>
  </r>
  <r>
    <x v="51"/>
    <x v="0"/>
    <x v="1"/>
    <n v="32"/>
    <d v="1899-12-30T00:40:03"/>
    <n v="40.049999999999997"/>
  </r>
  <r>
    <x v="51"/>
    <x v="0"/>
    <x v="2"/>
    <n v="23"/>
    <d v="1899-12-30T00:36:20"/>
    <n v="36.333333333333336"/>
  </r>
  <r>
    <x v="51"/>
    <x v="0"/>
    <x v="3"/>
    <n v="17"/>
    <d v="1899-12-30T00:18:45"/>
    <n v="18.75"/>
  </r>
  <r>
    <x v="51"/>
    <x v="0"/>
    <x v="4"/>
    <n v="10"/>
    <d v="1899-12-30T00:14:11"/>
    <n v="14.183333333333334"/>
  </r>
  <r>
    <x v="51"/>
    <x v="0"/>
    <x v="5"/>
    <n v="20"/>
    <d v="1899-12-30T00:24:34"/>
    <n v="24.566666666666666"/>
  </r>
  <r>
    <x v="51"/>
    <x v="1"/>
    <x v="0"/>
    <n v="48"/>
    <d v="1899-12-30T01:34:23"/>
    <n v="94.38333333333334"/>
  </r>
  <r>
    <x v="51"/>
    <x v="1"/>
    <x v="1"/>
    <n v="53"/>
    <d v="1899-12-30T01:35:38"/>
    <n v="95.63333333333334"/>
  </r>
  <r>
    <x v="51"/>
    <x v="1"/>
    <x v="2"/>
    <n v="36"/>
    <d v="1899-12-30T01:17:40"/>
    <n v="77.666666666666671"/>
  </r>
  <r>
    <x v="51"/>
    <x v="1"/>
    <x v="3"/>
    <n v="21"/>
    <d v="1899-12-30T00:24:45"/>
    <n v="24.75"/>
  </r>
  <r>
    <x v="51"/>
    <x v="1"/>
    <x v="4"/>
    <n v="6"/>
    <d v="1899-12-30T00:14:01"/>
    <n v="14.016666666666667"/>
  </r>
  <r>
    <x v="51"/>
    <x v="1"/>
    <x v="5"/>
    <n v="26"/>
    <d v="1899-12-30T00:40:39"/>
    <n v="40.65"/>
  </r>
  <r>
    <x v="51"/>
    <x v="2"/>
    <x v="0"/>
    <n v="52"/>
    <d v="1899-12-30T01:12:44"/>
    <n v="72.733333333333334"/>
  </r>
  <r>
    <x v="51"/>
    <x v="2"/>
    <x v="1"/>
    <n v="49"/>
    <d v="1899-12-30T01:11:37"/>
    <n v="71.61666666666666"/>
  </r>
  <r>
    <x v="51"/>
    <x v="2"/>
    <x v="2"/>
    <n v="44"/>
    <d v="1899-12-30T01:10:34"/>
    <n v="70.566666666666663"/>
  </r>
  <r>
    <x v="51"/>
    <x v="2"/>
    <x v="3"/>
    <n v="23"/>
    <d v="1899-12-30T00:21:51"/>
    <n v="21.85"/>
  </r>
  <r>
    <x v="51"/>
    <x v="2"/>
    <x v="4"/>
    <n v="38"/>
    <d v="1899-12-30T00:50:45"/>
    <n v="50.75"/>
  </r>
  <r>
    <x v="51"/>
    <x v="2"/>
    <x v="5"/>
    <n v="33"/>
    <d v="1899-12-30T00:27:04"/>
    <n v="27.066666666666666"/>
  </r>
  <r>
    <x v="51"/>
    <x v="3"/>
    <x v="0"/>
    <n v="11"/>
    <d v="1899-12-30T00:18:41"/>
    <n v="18.683333333333334"/>
  </r>
  <r>
    <x v="51"/>
    <x v="3"/>
    <x v="1"/>
    <n v="11"/>
    <d v="1899-12-30T00:21:14"/>
    <n v="21.233333333333334"/>
  </r>
  <r>
    <x v="51"/>
    <x v="3"/>
    <x v="2"/>
    <n v="8"/>
    <d v="1899-12-30T00:12:54"/>
    <n v="12.9"/>
  </r>
  <r>
    <x v="51"/>
    <x v="3"/>
    <x v="3"/>
    <n v="4"/>
    <d v="1899-12-30T00:03:30"/>
    <n v="3.5"/>
  </r>
  <r>
    <x v="51"/>
    <x v="3"/>
    <x v="4"/>
    <n v="2"/>
    <d v="1899-12-30T00:02:52"/>
    <n v="2.8666666666666667"/>
  </r>
  <r>
    <x v="51"/>
    <x v="3"/>
    <x v="5"/>
    <n v="6"/>
    <d v="1899-12-30T00:09:23"/>
    <n v="9.3833333333333329"/>
  </r>
  <r>
    <x v="51"/>
    <x v="4"/>
    <x v="0"/>
    <n v="11"/>
    <d v="1899-12-30T00:18:50"/>
    <n v="18.833333333333332"/>
  </r>
  <r>
    <x v="51"/>
    <x v="4"/>
    <x v="1"/>
    <n v="7"/>
    <d v="1899-12-30T00:14:12"/>
    <n v="14.2"/>
  </r>
  <r>
    <x v="51"/>
    <x v="4"/>
    <x v="2"/>
    <n v="3"/>
    <d v="1899-12-30T00:05:40"/>
    <n v="5.666666666666667"/>
  </r>
  <r>
    <x v="51"/>
    <x v="4"/>
    <x v="3"/>
    <n v="0"/>
    <d v="1899-12-30T00:00:00"/>
    <n v="0"/>
  </r>
  <r>
    <x v="51"/>
    <x v="4"/>
    <x v="4"/>
    <n v="6"/>
    <d v="1899-12-30T00:06:43"/>
    <n v="6.7166666666666668"/>
  </r>
  <r>
    <x v="51"/>
    <x v="4"/>
    <x v="5"/>
    <n v="4"/>
    <d v="1899-12-30T00:04:53"/>
    <n v="4.8833333333333329"/>
  </r>
  <r>
    <x v="51"/>
    <x v="5"/>
    <x v="0"/>
    <n v="21"/>
    <d v="1899-12-30T00:30:55"/>
    <n v="30.916666666666668"/>
  </r>
  <r>
    <x v="51"/>
    <x v="5"/>
    <x v="1"/>
    <n v="28"/>
    <d v="1899-12-30T00:32:22"/>
    <n v="32.366666666666667"/>
  </r>
  <r>
    <x v="51"/>
    <x v="5"/>
    <x v="2"/>
    <n v="24"/>
    <d v="1899-12-30T00:31:49"/>
    <n v="31.816666666666666"/>
  </r>
  <r>
    <x v="51"/>
    <x v="5"/>
    <x v="3"/>
    <n v="15"/>
    <d v="1899-12-30T00:10:47"/>
    <n v="10.783333333333333"/>
  </r>
  <r>
    <x v="51"/>
    <x v="5"/>
    <x v="4"/>
    <n v="5"/>
    <d v="1899-12-30T00:03:31"/>
    <n v="3.5166666666666666"/>
  </r>
  <r>
    <x v="51"/>
    <x v="5"/>
    <x v="5"/>
    <n v="21"/>
    <d v="1899-12-30T00:20:18"/>
    <n v="20.3"/>
  </r>
  <r>
    <x v="51"/>
    <x v="6"/>
    <x v="0"/>
    <n v="8"/>
    <d v="1899-12-30T00:09:23"/>
    <n v="9.3833333333333329"/>
  </r>
  <r>
    <x v="51"/>
    <x v="6"/>
    <x v="1"/>
    <n v="9"/>
    <d v="1899-12-30T00:09:16"/>
    <n v="9.2666666666666675"/>
  </r>
  <r>
    <x v="51"/>
    <x v="6"/>
    <x v="2"/>
    <n v="7"/>
    <d v="1899-12-30T00:10:36"/>
    <n v="10.6"/>
  </r>
  <r>
    <x v="51"/>
    <x v="6"/>
    <x v="3"/>
    <n v="8"/>
    <d v="1899-12-30T00:06:53"/>
    <n v="6.8833333333333329"/>
  </r>
  <r>
    <x v="51"/>
    <x v="6"/>
    <x v="4"/>
    <n v="5"/>
    <d v="1899-12-30T00:07:19"/>
    <n v="7.3166666666666664"/>
  </r>
  <r>
    <x v="51"/>
    <x v="6"/>
    <x v="5"/>
    <n v="4"/>
    <d v="1899-12-30T00:03:16"/>
    <n v="3.2666666666666666"/>
  </r>
  <r>
    <x v="51"/>
    <x v="7"/>
    <x v="0"/>
    <n v="72"/>
    <d v="1899-12-30T01:35:28"/>
    <n v="95.466666666666669"/>
  </r>
  <r>
    <x v="51"/>
    <x v="7"/>
    <x v="1"/>
    <n v="93"/>
    <d v="1899-12-30T01:56:09"/>
    <n v="116.15"/>
  </r>
  <r>
    <x v="51"/>
    <x v="7"/>
    <x v="2"/>
    <n v="69"/>
    <d v="1899-12-30T01:56:04"/>
    <n v="116.06666666666666"/>
  </r>
  <r>
    <x v="51"/>
    <x v="7"/>
    <x v="3"/>
    <n v="66"/>
    <d v="1899-12-30T00:57:01"/>
    <n v="57.016666666666666"/>
  </r>
  <r>
    <x v="51"/>
    <x v="7"/>
    <x v="4"/>
    <n v="142"/>
    <d v="1899-12-30T03:01:29"/>
    <n v="181.48333333333332"/>
  </r>
  <r>
    <x v="51"/>
    <x v="7"/>
    <x v="5"/>
    <n v="41"/>
    <d v="1899-12-30T00:39:01"/>
    <n v="39.016666666666666"/>
  </r>
  <r>
    <x v="51"/>
    <x v="8"/>
    <x v="0"/>
    <n v="27"/>
    <d v="1899-12-30T00:37:24"/>
    <n v="37.4"/>
  </r>
  <r>
    <x v="51"/>
    <x v="8"/>
    <x v="1"/>
    <n v="27"/>
    <d v="1899-12-30T00:41:21"/>
    <n v="41.35"/>
  </r>
  <r>
    <x v="51"/>
    <x v="8"/>
    <x v="2"/>
    <n v="26"/>
    <d v="1899-12-30T00:42:40"/>
    <n v="42.666666666666664"/>
  </r>
  <r>
    <x v="51"/>
    <x v="8"/>
    <x v="3"/>
    <n v="30"/>
    <d v="1899-12-30T00:27:18"/>
    <n v="27.3"/>
  </r>
  <r>
    <x v="51"/>
    <x v="8"/>
    <x v="4"/>
    <n v="6"/>
    <d v="1899-12-30T00:06:05"/>
    <n v="6.083333333333333"/>
  </r>
  <r>
    <x v="51"/>
    <x v="8"/>
    <x v="5"/>
    <n v="19"/>
    <d v="1899-12-30T00:21:58"/>
    <n v="21.966666666666665"/>
  </r>
  <r>
    <x v="51"/>
    <x v="9"/>
    <x v="0"/>
    <n v="19"/>
    <d v="1899-12-30T00:28:55"/>
    <n v="28.916666666666668"/>
  </r>
  <r>
    <x v="51"/>
    <x v="9"/>
    <x v="1"/>
    <n v="22"/>
    <d v="1899-12-30T00:34:12"/>
    <n v="34.200000000000003"/>
  </r>
  <r>
    <x v="51"/>
    <x v="9"/>
    <x v="2"/>
    <n v="18"/>
    <d v="1899-12-30T00:35:11"/>
    <n v="35.18333333333333"/>
  </r>
  <r>
    <x v="51"/>
    <x v="9"/>
    <x v="3"/>
    <n v="12"/>
    <d v="1899-12-30T00:13:34"/>
    <n v="13.566666666666666"/>
  </r>
  <r>
    <x v="51"/>
    <x v="9"/>
    <x v="4"/>
    <n v="4"/>
    <d v="1899-12-30T00:06:42"/>
    <n v="6.7"/>
  </r>
  <r>
    <x v="51"/>
    <x v="9"/>
    <x v="5"/>
    <n v="12"/>
    <d v="1899-12-30T00:11:38"/>
    <n v="11.633333333333333"/>
  </r>
  <r>
    <x v="51"/>
    <x v="10"/>
    <x v="0"/>
    <n v="65"/>
    <d v="1899-12-30T01:56:23"/>
    <n v="116.38333333333334"/>
  </r>
  <r>
    <x v="51"/>
    <x v="10"/>
    <x v="1"/>
    <n v="66"/>
    <d v="1899-12-30T01:32:53"/>
    <n v="92.88333333333334"/>
  </r>
  <r>
    <x v="51"/>
    <x v="10"/>
    <x v="2"/>
    <n v="31"/>
    <d v="1899-12-30T01:00:18"/>
    <n v="60.3"/>
  </r>
  <r>
    <x v="51"/>
    <x v="10"/>
    <x v="3"/>
    <n v="21"/>
    <d v="1899-12-30T00:29:31"/>
    <n v="29.516666666666666"/>
  </r>
  <r>
    <x v="51"/>
    <x v="10"/>
    <x v="4"/>
    <n v="13"/>
    <d v="1899-12-30T00:25:22"/>
    <n v="25.366666666666667"/>
  </r>
  <r>
    <x v="51"/>
    <x v="10"/>
    <x v="5"/>
    <n v="18"/>
    <d v="1899-12-30T00:30:11"/>
    <n v="30.183333333333334"/>
  </r>
  <r>
    <x v="51"/>
    <x v="11"/>
    <x v="0"/>
    <n v="15"/>
    <d v="1899-12-30T00:33:57"/>
    <n v="33.950000000000003"/>
  </r>
  <r>
    <x v="51"/>
    <x v="11"/>
    <x v="1"/>
    <n v="7"/>
    <d v="1899-12-30T00:13:51"/>
    <n v="13.85"/>
  </r>
  <r>
    <x v="51"/>
    <x v="11"/>
    <x v="2"/>
    <n v="6"/>
    <d v="1899-12-30T00:10:15"/>
    <n v="10.25"/>
  </r>
  <r>
    <x v="51"/>
    <x v="11"/>
    <x v="3"/>
    <n v="6"/>
    <d v="1899-12-30T00:04:09"/>
    <n v="4.1500000000000004"/>
  </r>
  <r>
    <x v="51"/>
    <x v="11"/>
    <x v="4"/>
    <n v="3"/>
    <d v="1899-12-30T00:05:25"/>
    <n v="5.416666666666667"/>
  </r>
  <r>
    <x v="51"/>
    <x v="11"/>
    <x v="5"/>
    <n v="2"/>
    <d v="1899-12-30T00:02:29"/>
    <n v="2.4833333333333334"/>
  </r>
  <r>
    <x v="51"/>
    <x v="12"/>
    <x v="0"/>
    <n v="116"/>
    <d v="1899-12-30T02:59:54"/>
    <n v="179.9"/>
  </r>
  <r>
    <x v="51"/>
    <x v="12"/>
    <x v="1"/>
    <n v="108"/>
    <d v="1899-12-30T02:35:23"/>
    <n v="155.38333333333333"/>
  </r>
  <r>
    <x v="51"/>
    <x v="12"/>
    <x v="2"/>
    <n v="81"/>
    <d v="1899-12-30T01:57:07"/>
    <n v="117.11666666666666"/>
  </r>
  <r>
    <x v="51"/>
    <x v="12"/>
    <x v="3"/>
    <n v="54"/>
    <d v="1899-12-30T00:52:53"/>
    <n v="52.883333333333333"/>
  </r>
  <r>
    <x v="51"/>
    <x v="12"/>
    <x v="4"/>
    <n v="29"/>
    <d v="1899-12-30T00:50:07"/>
    <n v="50.116666666666667"/>
  </r>
  <r>
    <x v="51"/>
    <x v="12"/>
    <x v="5"/>
    <n v="71"/>
    <d v="1899-12-30T01:20:51"/>
    <n v="80.849999999999994"/>
  </r>
  <r>
    <x v="51"/>
    <x v="13"/>
    <x v="0"/>
    <n v="37"/>
    <d v="1899-12-30T00:51:59"/>
    <n v="51.983333333333334"/>
  </r>
  <r>
    <x v="51"/>
    <x v="13"/>
    <x v="1"/>
    <n v="37"/>
    <d v="1899-12-30T00:33:15"/>
    <n v="33.25"/>
  </r>
  <r>
    <x v="51"/>
    <x v="13"/>
    <x v="2"/>
    <n v="25"/>
    <d v="1899-12-30T00:27:04"/>
    <n v="27.066666666666666"/>
  </r>
  <r>
    <x v="51"/>
    <x v="13"/>
    <x v="3"/>
    <n v="15"/>
    <d v="1899-12-30T00:12:28"/>
    <n v="12.466666666666667"/>
  </r>
  <r>
    <x v="51"/>
    <x v="13"/>
    <x v="4"/>
    <n v="1"/>
    <d v="1899-12-30T00:02:42"/>
    <n v="2.7"/>
  </r>
  <r>
    <x v="51"/>
    <x v="13"/>
    <x v="5"/>
    <n v="20"/>
    <d v="1899-12-30T00:16:57"/>
    <n v="16.95"/>
  </r>
  <r>
    <x v="52"/>
    <x v="0"/>
    <x v="0"/>
    <n v="14"/>
    <d v="1899-12-30T00:14:57"/>
    <n v="14.95"/>
  </r>
  <r>
    <x v="52"/>
    <x v="0"/>
    <x v="1"/>
    <n v="16"/>
    <d v="1899-12-30T00:18:58"/>
    <n v="18.966666666666665"/>
  </r>
  <r>
    <x v="52"/>
    <x v="0"/>
    <x v="2"/>
    <n v="14"/>
    <d v="1899-12-30T00:16:10"/>
    <n v="16.166666666666668"/>
  </r>
  <r>
    <x v="52"/>
    <x v="0"/>
    <x v="3"/>
    <n v="7"/>
    <d v="1899-12-30T00:05:19"/>
    <n v="5.3166666666666664"/>
  </r>
  <r>
    <x v="52"/>
    <x v="0"/>
    <x v="4"/>
    <n v="5"/>
    <d v="1899-12-30T00:05:15"/>
    <n v="5.25"/>
  </r>
  <r>
    <x v="52"/>
    <x v="0"/>
    <x v="5"/>
    <n v="8"/>
    <d v="1899-12-30T00:05:16"/>
    <n v="5.2666666666666666"/>
  </r>
  <r>
    <x v="52"/>
    <x v="1"/>
    <x v="0"/>
    <n v="61"/>
    <d v="1899-12-30T01:47:06"/>
    <n v="107.1"/>
  </r>
  <r>
    <x v="52"/>
    <x v="1"/>
    <x v="1"/>
    <n v="68"/>
    <d v="1899-12-30T01:58:00"/>
    <n v="118"/>
  </r>
  <r>
    <x v="52"/>
    <x v="1"/>
    <x v="2"/>
    <n v="47"/>
    <d v="1899-12-30T01:28:42"/>
    <n v="88.7"/>
  </r>
  <r>
    <x v="52"/>
    <x v="1"/>
    <x v="3"/>
    <n v="24"/>
    <d v="1899-12-30T00:27:09"/>
    <n v="27.15"/>
  </r>
  <r>
    <x v="52"/>
    <x v="1"/>
    <x v="4"/>
    <n v="3"/>
    <d v="1899-12-30T00:04:40"/>
    <n v="4.666666666666667"/>
  </r>
  <r>
    <x v="52"/>
    <x v="1"/>
    <x v="5"/>
    <n v="34"/>
    <d v="1899-12-30T00:54:59"/>
    <n v="54.983333333333334"/>
  </r>
  <r>
    <x v="52"/>
    <x v="2"/>
    <x v="0"/>
    <n v="53"/>
    <d v="1899-12-30T01:29:36"/>
    <n v="89.6"/>
  </r>
  <r>
    <x v="52"/>
    <x v="2"/>
    <x v="1"/>
    <n v="53"/>
    <d v="1899-12-30T01:18:08"/>
    <n v="78.13333333333334"/>
  </r>
  <r>
    <x v="52"/>
    <x v="2"/>
    <x v="2"/>
    <n v="30"/>
    <d v="1899-12-30T00:51:16"/>
    <n v="51.266666666666666"/>
  </r>
  <r>
    <x v="52"/>
    <x v="2"/>
    <x v="3"/>
    <n v="25"/>
    <d v="1899-12-30T00:23:10"/>
    <n v="23.166666666666668"/>
  </r>
  <r>
    <x v="52"/>
    <x v="2"/>
    <x v="4"/>
    <n v="36"/>
    <d v="1899-12-30T00:49:35"/>
    <n v="49.583333333333336"/>
  </r>
  <r>
    <x v="52"/>
    <x v="2"/>
    <x v="5"/>
    <n v="20"/>
    <d v="1899-12-30T00:21:27"/>
    <n v="21.45"/>
  </r>
  <r>
    <x v="52"/>
    <x v="3"/>
    <x v="0"/>
    <n v="31"/>
    <d v="1899-12-30T00:52:51"/>
    <n v="52.85"/>
  </r>
  <r>
    <x v="52"/>
    <x v="3"/>
    <x v="1"/>
    <n v="28"/>
    <d v="1899-12-30T00:38:26"/>
    <n v="38.43333333333333"/>
  </r>
  <r>
    <x v="52"/>
    <x v="3"/>
    <x v="2"/>
    <n v="16"/>
    <d v="1899-12-30T00:26:40"/>
    <n v="26.666666666666668"/>
  </r>
  <r>
    <x v="52"/>
    <x v="3"/>
    <x v="3"/>
    <n v="20"/>
    <d v="1899-12-30T00:18:50"/>
    <n v="18.833333333333332"/>
  </r>
  <r>
    <x v="52"/>
    <x v="3"/>
    <x v="4"/>
    <n v="1"/>
    <d v="1899-12-30T00:03:06"/>
    <n v="3.1"/>
  </r>
  <r>
    <x v="52"/>
    <x v="3"/>
    <x v="5"/>
    <n v="15"/>
    <d v="1899-12-30T00:19:57"/>
    <n v="19.95"/>
  </r>
  <r>
    <x v="52"/>
    <x v="4"/>
    <x v="0"/>
    <n v="32"/>
    <d v="1899-12-30T00:44:52"/>
    <n v="44.866666666666667"/>
  </r>
  <r>
    <x v="52"/>
    <x v="4"/>
    <x v="1"/>
    <n v="21"/>
    <d v="1899-12-30T00:26:34"/>
    <n v="26.566666666666666"/>
  </r>
  <r>
    <x v="52"/>
    <x v="4"/>
    <x v="2"/>
    <n v="7"/>
    <d v="1899-12-30T00:11:06"/>
    <n v="11.1"/>
  </r>
  <r>
    <x v="52"/>
    <x v="4"/>
    <x v="3"/>
    <n v="6"/>
    <d v="1899-12-30T00:05:21"/>
    <n v="5.35"/>
  </r>
  <r>
    <x v="52"/>
    <x v="4"/>
    <x v="4"/>
    <n v="1"/>
    <d v="1899-12-30T00:00:22"/>
    <n v="0.36666666666666664"/>
  </r>
  <r>
    <x v="52"/>
    <x v="4"/>
    <x v="5"/>
    <n v="6"/>
    <d v="1899-12-30T00:09:16"/>
    <n v="9.2666666666666675"/>
  </r>
  <r>
    <x v="52"/>
    <x v="5"/>
    <x v="0"/>
    <n v="40"/>
    <d v="1899-12-30T00:55:40"/>
    <n v="55.666666666666664"/>
  </r>
  <r>
    <x v="52"/>
    <x v="5"/>
    <x v="1"/>
    <n v="37"/>
    <d v="1899-12-30T00:42:39"/>
    <n v="42.65"/>
  </r>
  <r>
    <x v="52"/>
    <x v="5"/>
    <x v="2"/>
    <n v="33"/>
    <d v="1899-12-30T00:43:11"/>
    <n v="43.18333333333333"/>
  </r>
  <r>
    <x v="52"/>
    <x v="5"/>
    <x v="3"/>
    <n v="22"/>
    <d v="1899-12-30T00:14:53"/>
    <n v="14.883333333333333"/>
  </r>
  <r>
    <x v="52"/>
    <x v="5"/>
    <x v="4"/>
    <n v="3"/>
    <d v="1899-12-30T00:01:01"/>
    <n v="1.0166666666666666"/>
  </r>
  <r>
    <x v="52"/>
    <x v="5"/>
    <x v="5"/>
    <n v="28"/>
    <d v="1899-12-30T00:27:19"/>
    <n v="27.316666666666666"/>
  </r>
  <r>
    <x v="52"/>
    <x v="6"/>
    <x v="0"/>
    <n v="13"/>
    <d v="1899-12-30T00:18:17"/>
    <n v="18.283333333333335"/>
  </r>
  <r>
    <x v="52"/>
    <x v="6"/>
    <x v="1"/>
    <n v="12"/>
    <d v="1899-12-30T00:17:09"/>
    <n v="17.149999999999999"/>
  </r>
  <r>
    <x v="52"/>
    <x v="6"/>
    <x v="2"/>
    <n v="7"/>
    <d v="1899-12-30T00:06:50"/>
    <n v="6.833333333333333"/>
  </r>
  <r>
    <x v="52"/>
    <x v="6"/>
    <x v="3"/>
    <n v="7"/>
    <d v="1899-12-30T00:04:08"/>
    <n v="4.1333333333333337"/>
  </r>
  <r>
    <x v="52"/>
    <x v="6"/>
    <x v="4"/>
    <n v="11"/>
    <d v="1899-12-30T00:17:06"/>
    <n v="17.100000000000001"/>
  </r>
  <r>
    <x v="52"/>
    <x v="6"/>
    <x v="5"/>
    <n v="6"/>
    <d v="1899-12-30T00:05:36"/>
    <n v="5.6"/>
  </r>
  <r>
    <x v="52"/>
    <x v="7"/>
    <x v="0"/>
    <n v="71"/>
    <d v="1899-12-30T01:29:28"/>
    <n v="89.466666666666669"/>
  </r>
  <r>
    <x v="52"/>
    <x v="7"/>
    <x v="1"/>
    <n v="72"/>
    <d v="1899-12-30T01:27:38"/>
    <n v="87.63333333333334"/>
  </r>
  <r>
    <x v="52"/>
    <x v="7"/>
    <x v="2"/>
    <n v="74"/>
    <d v="1899-12-30T02:09:04"/>
    <n v="129.06666666666666"/>
  </r>
  <r>
    <x v="52"/>
    <x v="7"/>
    <x v="3"/>
    <n v="56"/>
    <d v="1899-12-30T00:52:07"/>
    <n v="52.116666666666667"/>
  </r>
  <r>
    <x v="52"/>
    <x v="7"/>
    <x v="4"/>
    <n v="142"/>
    <d v="1899-12-30T03:16:44"/>
    <n v="196.73333333333332"/>
  </r>
  <r>
    <x v="52"/>
    <x v="7"/>
    <x v="5"/>
    <n v="17"/>
    <d v="1899-12-30T00:16:04"/>
    <n v="16.066666666666666"/>
  </r>
  <r>
    <x v="52"/>
    <x v="8"/>
    <x v="0"/>
    <n v="26"/>
    <d v="1899-12-30T00:45:17"/>
    <n v="45.283333333333331"/>
  </r>
  <r>
    <x v="52"/>
    <x v="8"/>
    <x v="1"/>
    <n v="41"/>
    <d v="1899-12-30T01:07:29"/>
    <n v="67.483333333333334"/>
  </r>
  <r>
    <x v="52"/>
    <x v="8"/>
    <x v="2"/>
    <n v="29"/>
    <d v="1899-12-30T00:52:10"/>
    <n v="52.166666666666664"/>
  </r>
  <r>
    <x v="52"/>
    <x v="8"/>
    <x v="3"/>
    <n v="17"/>
    <d v="1899-12-30T00:15:22"/>
    <n v="15.366666666666667"/>
  </r>
  <r>
    <x v="52"/>
    <x v="8"/>
    <x v="4"/>
    <n v="11"/>
    <d v="1899-12-30T00:10:25"/>
    <n v="10.416666666666666"/>
  </r>
  <r>
    <x v="52"/>
    <x v="8"/>
    <x v="5"/>
    <n v="20"/>
    <d v="1899-12-30T00:23:46"/>
    <n v="23.766666666666666"/>
  </r>
  <r>
    <x v="52"/>
    <x v="9"/>
    <x v="0"/>
    <n v="10"/>
    <d v="1899-12-30T00:18:36"/>
    <n v="18.600000000000001"/>
  </r>
  <r>
    <x v="52"/>
    <x v="9"/>
    <x v="1"/>
    <n v="22"/>
    <d v="1899-12-30T00:27:10"/>
    <n v="27.166666666666668"/>
  </r>
  <r>
    <x v="52"/>
    <x v="9"/>
    <x v="2"/>
    <n v="11"/>
    <d v="1899-12-30T00:20:26"/>
    <n v="20.433333333333334"/>
  </r>
  <r>
    <x v="52"/>
    <x v="9"/>
    <x v="3"/>
    <n v="4"/>
    <d v="1899-12-30T00:06:40"/>
    <n v="6.666666666666667"/>
  </r>
  <r>
    <x v="52"/>
    <x v="9"/>
    <x v="4"/>
    <n v="3"/>
    <d v="1899-12-30T00:01:24"/>
    <n v="1.4"/>
  </r>
  <r>
    <x v="52"/>
    <x v="9"/>
    <x v="5"/>
    <n v="3"/>
    <d v="1899-12-30T00:05:31"/>
    <n v="5.5166666666666666"/>
  </r>
  <r>
    <x v="52"/>
    <x v="10"/>
    <x v="0"/>
    <n v="43"/>
    <d v="1899-12-30T01:15:07"/>
    <n v="75.11666666666666"/>
  </r>
  <r>
    <x v="52"/>
    <x v="10"/>
    <x v="1"/>
    <n v="51"/>
    <d v="1899-12-30T01:19:36"/>
    <n v="79.599999999999994"/>
  </r>
  <r>
    <x v="52"/>
    <x v="10"/>
    <x v="2"/>
    <n v="34"/>
    <d v="1899-12-30T01:00:39"/>
    <n v="60.65"/>
  </r>
  <r>
    <x v="52"/>
    <x v="10"/>
    <x v="3"/>
    <n v="11"/>
    <d v="1899-12-30T00:10:06"/>
    <n v="10.1"/>
  </r>
  <r>
    <x v="52"/>
    <x v="10"/>
    <x v="4"/>
    <n v="12"/>
    <d v="1899-12-30T00:17:48"/>
    <n v="17.8"/>
  </r>
  <r>
    <x v="52"/>
    <x v="10"/>
    <x v="5"/>
    <n v="21"/>
    <d v="1899-12-30T00:24:55"/>
    <n v="24.916666666666668"/>
  </r>
  <r>
    <x v="52"/>
    <x v="11"/>
    <x v="0"/>
    <n v="18"/>
    <d v="1899-12-30T00:25:28"/>
    <n v="25.466666666666665"/>
  </r>
  <r>
    <x v="52"/>
    <x v="11"/>
    <x v="1"/>
    <n v="15"/>
    <d v="1899-12-30T00:23:47"/>
    <n v="23.783333333333335"/>
  </r>
  <r>
    <x v="52"/>
    <x v="11"/>
    <x v="2"/>
    <n v="8"/>
    <d v="1899-12-30T00:13:52"/>
    <n v="13.866666666666667"/>
  </r>
  <r>
    <x v="52"/>
    <x v="11"/>
    <x v="3"/>
    <n v="7"/>
    <d v="1899-12-30T00:05:19"/>
    <n v="5.3166666666666664"/>
  </r>
  <r>
    <x v="52"/>
    <x v="11"/>
    <x v="4"/>
    <n v="1"/>
    <d v="1899-12-30T00:01:38"/>
    <n v="1.6333333333333333"/>
  </r>
  <r>
    <x v="52"/>
    <x v="11"/>
    <x v="5"/>
    <n v="10"/>
    <d v="1899-12-30T00:14:54"/>
    <n v="14.9"/>
  </r>
  <r>
    <x v="52"/>
    <x v="12"/>
    <x v="0"/>
    <n v="128"/>
    <d v="1899-12-30T03:04:07"/>
    <n v="184.11666666666667"/>
  </r>
  <r>
    <x v="52"/>
    <x v="12"/>
    <x v="1"/>
    <n v="121"/>
    <d v="1899-12-30T02:33:44"/>
    <n v="153.73333333333332"/>
  </r>
  <r>
    <x v="52"/>
    <x v="12"/>
    <x v="2"/>
    <n v="75"/>
    <d v="1899-12-30T02:00:00"/>
    <n v="120"/>
  </r>
  <r>
    <x v="52"/>
    <x v="12"/>
    <x v="3"/>
    <n v="63"/>
    <d v="1899-12-30T00:56:50"/>
    <n v="56.833333333333336"/>
  </r>
  <r>
    <x v="52"/>
    <x v="12"/>
    <x v="4"/>
    <n v="50"/>
    <d v="1899-12-30T00:59:39"/>
    <n v="59.65"/>
  </r>
  <r>
    <x v="52"/>
    <x v="12"/>
    <x v="5"/>
    <n v="63"/>
    <d v="1899-12-30T01:03:19"/>
    <n v="63.31666666666667"/>
  </r>
  <r>
    <x v="52"/>
    <x v="13"/>
    <x v="0"/>
    <n v="43"/>
    <d v="1899-12-30T00:49:07"/>
    <n v="49.116666666666667"/>
  </r>
  <r>
    <x v="52"/>
    <x v="13"/>
    <x v="1"/>
    <n v="52"/>
    <d v="1899-12-30T00:49:53"/>
    <n v="49.883333333333333"/>
  </r>
  <r>
    <x v="52"/>
    <x v="13"/>
    <x v="2"/>
    <n v="26"/>
    <d v="1899-12-30T00:31:37"/>
    <n v="31.616666666666667"/>
  </r>
  <r>
    <x v="52"/>
    <x v="13"/>
    <x v="3"/>
    <n v="15"/>
    <d v="1899-12-30T00:14:05"/>
    <n v="14.083333333333334"/>
  </r>
  <r>
    <x v="52"/>
    <x v="13"/>
    <x v="4"/>
    <n v="1"/>
    <d v="1899-12-30T00:02:41"/>
    <n v="2.6833333333333336"/>
  </r>
  <r>
    <x v="52"/>
    <x v="13"/>
    <x v="5"/>
    <n v="31"/>
    <d v="1899-12-30T00:34:43"/>
    <n v="34.716666666666669"/>
  </r>
  <r>
    <x v="53"/>
    <x v="0"/>
    <x v="0"/>
    <n v="128"/>
    <d v="1899-12-30T03:11:36"/>
    <n v="191.6"/>
  </r>
  <r>
    <x v="53"/>
    <x v="0"/>
    <x v="1"/>
    <n v="131"/>
    <d v="1899-12-30T03:01:27"/>
    <n v="181.45"/>
  </r>
  <r>
    <x v="53"/>
    <x v="0"/>
    <x v="2"/>
    <n v="71"/>
    <d v="1899-12-30T02:10:40"/>
    <n v="130.66666666666666"/>
  </r>
  <r>
    <x v="53"/>
    <x v="0"/>
    <x v="3"/>
    <n v="58"/>
    <d v="1899-12-30T00:51:27"/>
    <n v="51.45"/>
  </r>
  <r>
    <x v="53"/>
    <x v="0"/>
    <x v="4"/>
    <n v="22"/>
    <d v="1899-12-30T00:21:29"/>
    <n v="21.483333333333334"/>
  </r>
  <r>
    <x v="53"/>
    <x v="0"/>
    <x v="5"/>
    <n v="42"/>
    <d v="1899-12-30T00:58:52"/>
    <n v="58.866666666666667"/>
  </r>
  <r>
    <x v="53"/>
    <x v="1"/>
    <x v="0"/>
    <n v="56"/>
    <d v="1899-12-30T01:35:39"/>
    <n v="95.65"/>
  </r>
  <r>
    <x v="53"/>
    <x v="1"/>
    <x v="1"/>
    <n v="48"/>
    <d v="1899-12-30T01:30:57"/>
    <n v="90.95"/>
  </r>
  <r>
    <x v="53"/>
    <x v="1"/>
    <x v="2"/>
    <n v="35"/>
    <d v="1899-12-30T01:16:11"/>
    <n v="76.183333333333337"/>
  </r>
  <r>
    <x v="53"/>
    <x v="1"/>
    <x v="3"/>
    <n v="16"/>
    <d v="1899-12-30T00:16:34"/>
    <n v="16.566666666666666"/>
  </r>
  <r>
    <x v="53"/>
    <x v="1"/>
    <x v="4"/>
    <n v="3"/>
    <d v="1899-12-30T00:01:32"/>
    <n v="1.5333333333333332"/>
  </r>
  <r>
    <x v="53"/>
    <x v="1"/>
    <x v="5"/>
    <n v="25"/>
    <d v="1899-12-30T00:31:17"/>
    <n v="31.283333333333335"/>
  </r>
  <r>
    <x v="53"/>
    <x v="2"/>
    <x v="0"/>
    <n v="54"/>
    <d v="1899-12-30T01:16:28"/>
    <n v="76.466666666666669"/>
  </r>
  <r>
    <x v="53"/>
    <x v="2"/>
    <x v="1"/>
    <n v="45"/>
    <d v="1899-12-30T00:53:31"/>
    <n v="53.516666666666666"/>
  </r>
  <r>
    <x v="53"/>
    <x v="2"/>
    <x v="2"/>
    <n v="29"/>
    <d v="1899-12-30T00:52:02"/>
    <n v="52.033333333333331"/>
  </r>
  <r>
    <x v="53"/>
    <x v="2"/>
    <x v="3"/>
    <n v="19"/>
    <d v="1899-12-30T00:13:28"/>
    <n v="13.466666666666667"/>
  </r>
  <r>
    <x v="53"/>
    <x v="2"/>
    <x v="4"/>
    <n v="48"/>
    <d v="1899-12-30T00:48:42"/>
    <n v="48.7"/>
  </r>
  <r>
    <x v="53"/>
    <x v="2"/>
    <x v="5"/>
    <n v="20"/>
    <d v="1899-12-30T00:25:08"/>
    <n v="25.133333333333333"/>
  </r>
  <r>
    <x v="53"/>
    <x v="3"/>
    <x v="0"/>
    <n v="19"/>
    <d v="1899-12-30T00:30:52"/>
    <n v="30.866666666666667"/>
  </r>
  <r>
    <x v="53"/>
    <x v="3"/>
    <x v="1"/>
    <n v="14"/>
    <d v="1899-12-30T00:29:20"/>
    <n v="29.333333333333332"/>
  </r>
  <r>
    <x v="53"/>
    <x v="3"/>
    <x v="2"/>
    <n v="10"/>
    <d v="1899-12-30T00:18:37"/>
    <n v="18.616666666666667"/>
  </r>
  <r>
    <x v="53"/>
    <x v="3"/>
    <x v="3"/>
    <n v="5"/>
    <d v="1899-12-30T00:04:17"/>
    <n v="4.2833333333333332"/>
  </r>
  <r>
    <x v="53"/>
    <x v="3"/>
    <x v="4"/>
    <n v="4"/>
    <d v="1899-12-30T00:09:38"/>
    <n v="9.6333333333333329"/>
  </r>
  <r>
    <x v="53"/>
    <x v="3"/>
    <x v="5"/>
    <n v="12"/>
    <d v="1899-12-30T00:15:17"/>
    <n v="15.283333333333333"/>
  </r>
  <r>
    <x v="53"/>
    <x v="4"/>
    <x v="0"/>
    <n v="11"/>
    <d v="1899-12-30T00:16:56"/>
    <n v="16.933333333333334"/>
  </r>
  <r>
    <x v="53"/>
    <x v="4"/>
    <x v="1"/>
    <n v="14"/>
    <d v="1899-12-30T00:22:13"/>
    <n v="22.216666666666665"/>
  </r>
  <r>
    <x v="53"/>
    <x v="4"/>
    <x v="2"/>
    <n v="8"/>
    <d v="1899-12-30T00:12:39"/>
    <n v="12.65"/>
  </r>
  <r>
    <x v="53"/>
    <x v="4"/>
    <x v="3"/>
    <n v="2"/>
    <d v="1899-12-30T00:00:55"/>
    <n v="0.91666666666666663"/>
  </r>
  <r>
    <x v="53"/>
    <x v="4"/>
    <x v="4"/>
    <n v="7"/>
    <d v="1899-12-30T00:05:48"/>
    <n v="5.8"/>
  </r>
  <r>
    <x v="53"/>
    <x v="4"/>
    <x v="5"/>
    <n v="7"/>
    <d v="1899-12-30T00:08:19"/>
    <n v="8.3166666666666664"/>
  </r>
  <r>
    <x v="53"/>
    <x v="5"/>
    <x v="0"/>
    <n v="20"/>
    <d v="1899-12-30T00:27:55"/>
    <n v="27.916666666666668"/>
  </r>
  <r>
    <x v="53"/>
    <x v="5"/>
    <x v="1"/>
    <n v="15"/>
    <d v="1899-12-30T00:19:29"/>
    <n v="19.483333333333334"/>
  </r>
  <r>
    <x v="53"/>
    <x v="5"/>
    <x v="2"/>
    <n v="15"/>
    <d v="1899-12-30T00:15:45"/>
    <n v="15.75"/>
  </r>
  <r>
    <x v="53"/>
    <x v="5"/>
    <x v="3"/>
    <n v="17"/>
    <d v="1899-12-30T00:10:49"/>
    <n v="10.816666666666666"/>
  </r>
  <r>
    <x v="53"/>
    <x v="5"/>
    <x v="4"/>
    <n v="6"/>
    <d v="1899-12-30T00:02:52"/>
    <n v="2.8666666666666667"/>
  </r>
  <r>
    <x v="53"/>
    <x v="5"/>
    <x v="5"/>
    <n v="16"/>
    <d v="1899-12-30T00:16:45"/>
    <n v="16.75"/>
  </r>
  <r>
    <x v="53"/>
    <x v="6"/>
    <x v="0"/>
    <n v="65"/>
    <d v="1899-12-30T02:11:42"/>
    <n v="131.69999999999999"/>
  </r>
  <r>
    <x v="53"/>
    <x v="6"/>
    <x v="1"/>
    <n v="64"/>
    <d v="1899-12-30T01:40:02"/>
    <n v="100.03333333333333"/>
  </r>
  <r>
    <x v="53"/>
    <x v="6"/>
    <x v="2"/>
    <n v="28"/>
    <d v="1899-12-30T00:53:19"/>
    <n v="53.31666666666667"/>
  </r>
  <r>
    <x v="53"/>
    <x v="6"/>
    <x v="3"/>
    <n v="22"/>
    <d v="1899-12-30T00:21:48"/>
    <n v="21.8"/>
  </r>
  <r>
    <x v="53"/>
    <x v="6"/>
    <x v="4"/>
    <n v="12"/>
    <d v="1899-12-30T00:14:55"/>
    <n v="14.916666666666666"/>
  </r>
  <r>
    <x v="53"/>
    <x v="6"/>
    <x v="5"/>
    <n v="22"/>
    <d v="1899-12-30T00:40:18"/>
    <n v="40.299999999999997"/>
  </r>
  <r>
    <x v="53"/>
    <x v="7"/>
    <x v="0"/>
    <n v="79"/>
    <d v="1899-12-30T01:49:23"/>
    <n v="109.38333333333334"/>
  </r>
  <r>
    <x v="53"/>
    <x v="7"/>
    <x v="1"/>
    <n v="120"/>
    <d v="1899-12-30T02:34:18"/>
    <n v="154.30000000000001"/>
  </r>
  <r>
    <x v="53"/>
    <x v="7"/>
    <x v="2"/>
    <n v="96"/>
    <d v="1899-12-30T02:45:09"/>
    <n v="165.15"/>
  </r>
  <r>
    <x v="53"/>
    <x v="7"/>
    <x v="3"/>
    <n v="74"/>
    <d v="1899-12-30T01:01:49"/>
    <n v="61.81666666666667"/>
  </r>
  <r>
    <x v="53"/>
    <x v="7"/>
    <x v="4"/>
    <n v="197"/>
    <d v="1899-12-30T04:40:18"/>
    <n v="280.3"/>
  </r>
  <r>
    <x v="53"/>
    <x v="7"/>
    <x v="5"/>
    <n v="25"/>
    <d v="1899-12-30T00:29:40"/>
    <n v="29.666666666666668"/>
  </r>
  <r>
    <x v="53"/>
    <x v="8"/>
    <x v="0"/>
    <n v="36"/>
    <d v="1899-12-30T00:54:36"/>
    <n v="54.6"/>
  </r>
  <r>
    <x v="53"/>
    <x v="8"/>
    <x v="1"/>
    <n v="33"/>
    <d v="1899-12-30T00:45:20"/>
    <n v="45.333333333333336"/>
  </r>
  <r>
    <x v="53"/>
    <x v="8"/>
    <x v="2"/>
    <n v="33"/>
    <d v="1899-12-30T00:46:27"/>
    <n v="46.45"/>
  </r>
  <r>
    <x v="53"/>
    <x v="8"/>
    <x v="3"/>
    <n v="27"/>
    <d v="1899-12-30T00:25:28"/>
    <n v="25.466666666666665"/>
  </r>
  <r>
    <x v="53"/>
    <x v="8"/>
    <x v="4"/>
    <n v="15"/>
    <d v="1899-12-30T00:16:12"/>
    <n v="16.2"/>
  </r>
  <r>
    <x v="53"/>
    <x v="8"/>
    <x v="5"/>
    <n v="31"/>
    <d v="1899-12-30T00:36:59"/>
    <n v="36.983333333333334"/>
  </r>
  <r>
    <x v="53"/>
    <x v="9"/>
    <x v="0"/>
    <n v="45"/>
    <d v="1899-12-30T01:02:06"/>
    <n v="62.1"/>
  </r>
  <r>
    <x v="53"/>
    <x v="9"/>
    <x v="1"/>
    <n v="53"/>
    <d v="1899-12-30T01:11:04"/>
    <n v="71.066666666666663"/>
  </r>
  <r>
    <x v="53"/>
    <x v="9"/>
    <x v="2"/>
    <n v="39"/>
    <d v="1899-12-30T01:08:20"/>
    <n v="68.333333333333329"/>
  </r>
  <r>
    <x v="53"/>
    <x v="9"/>
    <x v="3"/>
    <n v="18"/>
    <d v="1899-12-30T00:15:49"/>
    <n v="15.816666666666666"/>
  </r>
  <r>
    <x v="53"/>
    <x v="9"/>
    <x v="4"/>
    <n v="8"/>
    <d v="1899-12-30T00:12:43"/>
    <n v="12.716666666666667"/>
  </r>
  <r>
    <x v="53"/>
    <x v="9"/>
    <x v="5"/>
    <n v="10"/>
    <d v="1899-12-30T00:14:56"/>
    <n v="14.933333333333334"/>
  </r>
  <r>
    <x v="53"/>
    <x v="10"/>
    <x v="0"/>
    <n v="58"/>
    <d v="1899-12-30T01:28:45"/>
    <n v="88.75"/>
  </r>
  <r>
    <x v="53"/>
    <x v="10"/>
    <x v="1"/>
    <n v="38"/>
    <d v="1899-12-30T00:55:59"/>
    <n v="55.983333333333334"/>
  </r>
  <r>
    <x v="53"/>
    <x v="10"/>
    <x v="2"/>
    <n v="23"/>
    <d v="1899-12-30T00:42:37"/>
    <n v="42.616666666666667"/>
  </r>
  <r>
    <x v="53"/>
    <x v="10"/>
    <x v="3"/>
    <n v="8"/>
    <d v="1899-12-30T00:07:12"/>
    <n v="7.2"/>
  </r>
  <r>
    <x v="53"/>
    <x v="10"/>
    <x v="4"/>
    <n v="5"/>
    <d v="1899-12-30T00:07:15"/>
    <n v="7.25"/>
  </r>
  <r>
    <x v="53"/>
    <x v="10"/>
    <x v="5"/>
    <n v="15"/>
    <d v="1899-12-30T00:23:32"/>
    <n v="23.533333333333335"/>
  </r>
  <r>
    <x v="53"/>
    <x v="11"/>
    <x v="0"/>
    <n v="9"/>
    <d v="1899-12-30T00:14:37"/>
    <n v="14.616666666666667"/>
  </r>
  <r>
    <x v="53"/>
    <x v="11"/>
    <x v="1"/>
    <n v="5"/>
    <d v="1899-12-30T00:10:29"/>
    <n v="10.483333333333333"/>
  </r>
  <r>
    <x v="53"/>
    <x v="11"/>
    <x v="2"/>
    <n v="2"/>
    <d v="1899-12-30T00:02:31"/>
    <n v="2.5166666666666666"/>
  </r>
  <r>
    <x v="53"/>
    <x v="11"/>
    <x v="3"/>
    <n v="2"/>
    <d v="1899-12-30T00:00:42"/>
    <n v="0.7"/>
  </r>
  <r>
    <x v="53"/>
    <x v="11"/>
    <x v="4"/>
    <n v="2"/>
    <d v="1899-12-30T00:03:35"/>
    <n v="3.5833333333333335"/>
  </r>
  <r>
    <x v="53"/>
    <x v="11"/>
    <x v="5"/>
    <n v="5"/>
    <d v="1899-12-30T00:06:31"/>
    <n v="6.5166666666666666"/>
  </r>
  <r>
    <x v="53"/>
    <x v="12"/>
    <x v="0"/>
    <n v="103"/>
    <d v="1899-12-30T02:33:07"/>
    <n v="153.11666666666667"/>
  </r>
  <r>
    <x v="53"/>
    <x v="12"/>
    <x v="1"/>
    <n v="73"/>
    <d v="1899-12-30T01:48:45"/>
    <n v="108.75"/>
  </r>
  <r>
    <x v="53"/>
    <x v="12"/>
    <x v="2"/>
    <n v="63"/>
    <d v="1899-12-30T01:49:03"/>
    <n v="109.05"/>
  </r>
  <r>
    <x v="53"/>
    <x v="12"/>
    <x v="3"/>
    <n v="41"/>
    <d v="1899-12-30T00:31:59"/>
    <n v="31.983333333333334"/>
  </r>
  <r>
    <x v="53"/>
    <x v="12"/>
    <x v="4"/>
    <n v="31"/>
    <d v="1899-12-30T00:55:49"/>
    <n v="55.81666666666667"/>
  </r>
  <r>
    <x v="53"/>
    <x v="12"/>
    <x v="5"/>
    <n v="56"/>
    <d v="1899-12-30T01:03:21"/>
    <n v="63.35"/>
  </r>
  <r>
    <x v="53"/>
    <x v="13"/>
    <x v="0"/>
    <n v="72"/>
    <d v="1899-12-30T01:22:03"/>
    <n v="82.05"/>
  </r>
  <r>
    <x v="53"/>
    <x v="13"/>
    <x v="1"/>
    <n v="62"/>
    <d v="1899-12-30T01:05:59"/>
    <n v="65.983333333333334"/>
  </r>
  <r>
    <x v="53"/>
    <x v="13"/>
    <x v="2"/>
    <n v="34"/>
    <d v="1899-12-30T00:39:44"/>
    <n v="39.733333333333334"/>
  </r>
  <r>
    <x v="53"/>
    <x v="13"/>
    <x v="3"/>
    <n v="14"/>
    <d v="1899-12-30T00:11:07"/>
    <n v="11.116666666666667"/>
  </r>
  <r>
    <x v="53"/>
    <x v="13"/>
    <x v="4"/>
    <n v="0"/>
    <d v="1899-12-30T00:00:00"/>
    <n v="0"/>
  </r>
  <r>
    <x v="53"/>
    <x v="13"/>
    <x v="5"/>
    <n v="46"/>
    <d v="1899-12-30T00:41:09"/>
    <n v="41.15"/>
  </r>
  <r>
    <x v="54"/>
    <x v="0"/>
    <x v="0"/>
    <n v="56"/>
    <d v="1899-12-30T01:19:51"/>
    <n v="79.849999999999994"/>
  </r>
  <r>
    <x v="54"/>
    <x v="0"/>
    <x v="1"/>
    <n v="57"/>
    <d v="1899-12-30T01:06:54"/>
    <n v="66.900000000000006"/>
  </r>
  <r>
    <x v="54"/>
    <x v="0"/>
    <x v="2"/>
    <n v="42"/>
    <d v="1899-12-30T01:01:10"/>
    <n v="61.166666666666664"/>
  </r>
  <r>
    <x v="54"/>
    <x v="0"/>
    <x v="3"/>
    <n v="26"/>
    <d v="1899-12-30T00:22:21"/>
    <n v="22.35"/>
  </r>
  <r>
    <x v="54"/>
    <x v="0"/>
    <x v="4"/>
    <n v="6"/>
    <d v="1899-12-30T00:04:09"/>
    <n v="4.1500000000000004"/>
  </r>
  <r>
    <x v="54"/>
    <x v="0"/>
    <x v="5"/>
    <n v="23"/>
    <d v="1899-12-30T00:26:06"/>
    <n v="26.1"/>
  </r>
  <r>
    <x v="54"/>
    <x v="1"/>
    <x v="0"/>
    <n v="63"/>
    <d v="1899-12-30T01:43:58"/>
    <n v="103.96666666666667"/>
  </r>
  <r>
    <x v="54"/>
    <x v="1"/>
    <x v="1"/>
    <n v="56"/>
    <d v="1899-12-30T01:34:26"/>
    <n v="94.433333333333337"/>
  </r>
  <r>
    <x v="54"/>
    <x v="1"/>
    <x v="2"/>
    <n v="32"/>
    <d v="1899-12-30T01:07:36"/>
    <n v="67.599999999999994"/>
  </r>
  <r>
    <x v="54"/>
    <x v="1"/>
    <x v="3"/>
    <n v="20"/>
    <d v="1899-12-30T00:22:04"/>
    <n v="22.066666666666666"/>
  </r>
  <r>
    <x v="54"/>
    <x v="1"/>
    <x v="4"/>
    <n v="8"/>
    <d v="1899-12-30T00:13:34"/>
    <n v="13.566666666666666"/>
  </r>
  <r>
    <x v="54"/>
    <x v="1"/>
    <x v="5"/>
    <n v="23"/>
    <d v="1899-12-30T00:33:06"/>
    <n v="33.1"/>
  </r>
  <r>
    <x v="54"/>
    <x v="2"/>
    <x v="0"/>
    <n v="47"/>
    <d v="1899-12-30T01:11:49"/>
    <n v="71.816666666666663"/>
  </r>
  <r>
    <x v="54"/>
    <x v="2"/>
    <x v="1"/>
    <n v="47"/>
    <d v="1899-12-30T01:05:18"/>
    <n v="65.3"/>
  </r>
  <r>
    <x v="54"/>
    <x v="2"/>
    <x v="2"/>
    <n v="30"/>
    <d v="1899-12-30T00:55:34"/>
    <n v="55.56666666666667"/>
  </r>
  <r>
    <x v="54"/>
    <x v="2"/>
    <x v="3"/>
    <n v="17"/>
    <d v="1899-12-30T00:17:22"/>
    <n v="17.366666666666667"/>
  </r>
  <r>
    <x v="54"/>
    <x v="2"/>
    <x v="4"/>
    <n v="26"/>
    <d v="1899-12-30T00:33:15"/>
    <n v="33.25"/>
  </r>
  <r>
    <x v="54"/>
    <x v="2"/>
    <x v="5"/>
    <n v="22"/>
    <d v="1899-12-30T00:22:21"/>
    <n v="22.35"/>
  </r>
  <r>
    <x v="54"/>
    <x v="3"/>
    <x v="0"/>
    <n v="7"/>
    <d v="1899-12-30T00:10:04"/>
    <n v="10.066666666666666"/>
  </r>
  <r>
    <x v="54"/>
    <x v="3"/>
    <x v="1"/>
    <n v="8"/>
    <d v="1899-12-30T00:09:13"/>
    <n v="9.2166666666666668"/>
  </r>
  <r>
    <x v="54"/>
    <x v="3"/>
    <x v="2"/>
    <n v="8"/>
    <d v="1899-12-30T00:10:22"/>
    <n v="10.366666666666667"/>
  </r>
  <r>
    <x v="54"/>
    <x v="3"/>
    <x v="3"/>
    <n v="2"/>
    <d v="1899-12-30T00:02:46"/>
    <n v="2.7666666666666666"/>
  </r>
  <r>
    <x v="54"/>
    <x v="3"/>
    <x v="4"/>
    <n v="0"/>
    <d v="1899-12-30T00:00:00"/>
    <n v="0"/>
  </r>
  <r>
    <x v="54"/>
    <x v="3"/>
    <x v="5"/>
    <n v="6"/>
    <d v="1899-12-30T00:07:55"/>
    <n v="7.916666666666667"/>
  </r>
  <r>
    <x v="54"/>
    <x v="4"/>
    <x v="0"/>
    <n v="33"/>
    <d v="1899-12-30T00:53:08"/>
    <n v="53.133333333333333"/>
  </r>
  <r>
    <x v="54"/>
    <x v="4"/>
    <x v="1"/>
    <n v="21"/>
    <d v="1899-12-30T00:32:50"/>
    <n v="32.833333333333336"/>
  </r>
  <r>
    <x v="54"/>
    <x v="4"/>
    <x v="2"/>
    <n v="13"/>
    <d v="1899-12-30T00:20:18"/>
    <n v="20.3"/>
  </r>
  <r>
    <x v="54"/>
    <x v="4"/>
    <x v="3"/>
    <n v="14"/>
    <d v="1899-12-30T00:11:22"/>
    <n v="11.366666666666667"/>
  </r>
  <r>
    <x v="54"/>
    <x v="4"/>
    <x v="4"/>
    <n v="9"/>
    <d v="1899-12-30T00:17:18"/>
    <n v="17.3"/>
  </r>
  <r>
    <x v="54"/>
    <x v="4"/>
    <x v="5"/>
    <n v="9"/>
    <d v="1899-12-30T00:11:30"/>
    <n v="11.5"/>
  </r>
  <r>
    <x v="54"/>
    <x v="5"/>
    <x v="0"/>
    <n v="35"/>
    <d v="1899-12-30T00:47:29"/>
    <n v="47.483333333333334"/>
  </r>
  <r>
    <x v="54"/>
    <x v="5"/>
    <x v="1"/>
    <n v="36"/>
    <d v="1899-12-30T00:38:50"/>
    <n v="38.833333333333336"/>
  </r>
  <r>
    <x v="54"/>
    <x v="5"/>
    <x v="2"/>
    <n v="18"/>
    <d v="1899-12-30T00:23:28"/>
    <n v="23.466666666666665"/>
  </r>
  <r>
    <x v="54"/>
    <x v="5"/>
    <x v="3"/>
    <n v="18"/>
    <d v="1899-12-30T00:16:23"/>
    <n v="16.383333333333333"/>
  </r>
  <r>
    <x v="54"/>
    <x v="5"/>
    <x v="4"/>
    <n v="1"/>
    <d v="1899-12-30T00:01:55"/>
    <n v="1.9166666666666665"/>
  </r>
  <r>
    <x v="54"/>
    <x v="5"/>
    <x v="5"/>
    <n v="24"/>
    <d v="1899-12-30T00:25:51"/>
    <n v="25.85"/>
  </r>
  <r>
    <x v="54"/>
    <x v="6"/>
    <x v="0"/>
    <n v="52"/>
    <d v="1899-12-30T01:57:58"/>
    <n v="117.96666666666667"/>
  </r>
  <r>
    <x v="54"/>
    <x v="6"/>
    <x v="1"/>
    <n v="35"/>
    <d v="1899-12-30T01:07:14"/>
    <n v="67.233333333333334"/>
  </r>
  <r>
    <x v="54"/>
    <x v="6"/>
    <x v="2"/>
    <n v="8"/>
    <d v="1899-12-30T00:11:22"/>
    <n v="11.366666666666667"/>
  </r>
  <r>
    <x v="54"/>
    <x v="6"/>
    <x v="3"/>
    <n v="14"/>
    <d v="1899-12-30T00:16:05"/>
    <n v="16.083333333333332"/>
  </r>
  <r>
    <x v="54"/>
    <x v="6"/>
    <x v="4"/>
    <n v="9"/>
    <d v="1899-12-30T00:07:38"/>
    <n v="7.6333333333333329"/>
  </r>
  <r>
    <x v="54"/>
    <x v="6"/>
    <x v="5"/>
    <n v="11"/>
    <d v="1899-12-30T00:12:46"/>
    <n v="12.766666666666667"/>
  </r>
  <r>
    <x v="54"/>
    <x v="7"/>
    <x v="0"/>
    <n v="29"/>
    <d v="1899-12-30T00:44:32"/>
    <n v="44.533333333333331"/>
  </r>
  <r>
    <x v="54"/>
    <x v="7"/>
    <x v="1"/>
    <n v="47"/>
    <d v="1899-12-30T00:55:08"/>
    <n v="55.133333333333333"/>
  </r>
  <r>
    <x v="54"/>
    <x v="7"/>
    <x v="2"/>
    <n v="41"/>
    <d v="1899-12-30T01:09:53"/>
    <n v="69.88333333333334"/>
  </r>
  <r>
    <x v="54"/>
    <x v="7"/>
    <x v="3"/>
    <n v="49"/>
    <d v="1899-12-30T00:38:46"/>
    <n v="38.766666666666666"/>
  </r>
  <r>
    <x v="54"/>
    <x v="7"/>
    <x v="4"/>
    <n v="146"/>
    <d v="1899-12-30T03:09:05"/>
    <n v="189.08333333333334"/>
  </r>
  <r>
    <x v="54"/>
    <x v="7"/>
    <x v="5"/>
    <n v="10"/>
    <d v="1899-12-30T00:10:29"/>
    <n v="10.483333333333333"/>
  </r>
  <r>
    <x v="54"/>
    <x v="8"/>
    <x v="0"/>
    <n v="15"/>
    <d v="1899-12-30T00:24:28"/>
    <n v="24.466666666666665"/>
  </r>
  <r>
    <x v="54"/>
    <x v="8"/>
    <x v="1"/>
    <n v="20"/>
    <d v="1899-12-30T00:39:26"/>
    <n v="39.43333333333333"/>
  </r>
  <r>
    <x v="54"/>
    <x v="8"/>
    <x v="2"/>
    <n v="24"/>
    <d v="1899-12-30T00:40:14"/>
    <n v="40.233333333333334"/>
  </r>
  <r>
    <x v="54"/>
    <x v="8"/>
    <x v="3"/>
    <n v="25"/>
    <d v="1899-12-30T00:22:59"/>
    <n v="22.983333333333334"/>
  </r>
  <r>
    <x v="54"/>
    <x v="8"/>
    <x v="4"/>
    <n v="12"/>
    <d v="1899-12-30T00:18:14"/>
    <n v="18.233333333333334"/>
  </r>
  <r>
    <x v="54"/>
    <x v="8"/>
    <x v="5"/>
    <n v="10"/>
    <d v="1899-12-30T00:12:04"/>
    <n v="12.066666666666666"/>
  </r>
  <r>
    <x v="54"/>
    <x v="9"/>
    <x v="0"/>
    <n v="36"/>
    <d v="1899-12-30T00:58:50"/>
    <n v="58.833333333333336"/>
  </r>
  <r>
    <x v="54"/>
    <x v="9"/>
    <x v="1"/>
    <n v="38"/>
    <d v="1899-12-30T00:52:06"/>
    <n v="52.1"/>
  </r>
  <r>
    <x v="54"/>
    <x v="9"/>
    <x v="2"/>
    <n v="34"/>
    <d v="1899-12-30T00:55:16"/>
    <n v="55.266666666666666"/>
  </r>
  <r>
    <x v="54"/>
    <x v="9"/>
    <x v="3"/>
    <n v="22"/>
    <d v="1899-12-30T00:21:20"/>
    <n v="21.333333333333332"/>
  </r>
  <r>
    <x v="54"/>
    <x v="9"/>
    <x v="4"/>
    <n v="10"/>
    <d v="1899-12-30T00:11:20"/>
    <n v="11.333333333333334"/>
  </r>
  <r>
    <x v="54"/>
    <x v="9"/>
    <x v="5"/>
    <n v="19"/>
    <d v="1899-12-30T00:24:31"/>
    <n v="24.516666666666666"/>
  </r>
  <r>
    <x v="54"/>
    <x v="10"/>
    <x v="0"/>
    <n v="33"/>
    <d v="1899-12-30T00:52:41"/>
    <n v="52.68333333333333"/>
  </r>
  <r>
    <x v="54"/>
    <x v="10"/>
    <x v="1"/>
    <n v="38"/>
    <d v="1899-12-30T00:48:50"/>
    <n v="48.833333333333336"/>
  </r>
  <r>
    <x v="54"/>
    <x v="10"/>
    <x v="2"/>
    <n v="23"/>
    <d v="1899-12-30T00:36:43"/>
    <n v="36.716666666666669"/>
  </r>
  <r>
    <x v="54"/>
    <x v="10"/>
    <x v="3"/>
    <n v="12"/>
    <d v="1899-12-30T00:11:31"/>
    <n v="11.516666666666667"/>
  </r>
  <r>
    <x v="54"/>
    <x v="10"/>
    <x v="4"/>
    <n v="6"/>
    <d v="1899-12-30T00:07:22"/>
    <n v="7.3666666666666663"/>
  </r>
  <r>
    <x v="54"/>
    <x v="10"/>
    <x v="5"/>
    <n v="18"/>
    <d v="1899-12-30T00:20:12"/>
    <n v="20.2"/>
  </r>
  <r>
    <x v="54"/>
    <x v="11"/>
    <x v="0"/>
    <n v="27"/>
    <d v="1899-12-30T00:50:16"/>
    <n v="50.266666666666666"/>
  </r>
  <r>
    <x v="54"/>
    <x v="11"/>
    <x v="1"/>
    <n v="25"/>
    <d v="1899-12-30T00:41:23"/>
    <n v="41.383333333333333"/>
  </r>
  <r>
    <x v="54"/>
    <x v="11"/>
    <x v="2"/>
    <n v="16"/>
    <d v="1899-12-30T00:30:39"/>
    <n v="30.65"/>
  </r>
  <r>
    <x v="54"/>
    <x v="11"/>
    <x v="3"/>
    <n v="9"/>
    <d v="1899-12-30T00:08:58"/>
    <n v="8.9666666666666668"/>
  </r>
  <r>
    <x v="54"/>
    <x v="11"/>
    <x v="4"/>
    <n v="10"/>
    <d v="1899-12-30T00:14:25"/>
    <n v="14.416666666666666"/>
  </r>
  <r>
    <x v="54"/>
    <x v="11"/>
    <x v="5"/>
    <n v="11"/>
    <d v="1899-12-30T00:13:43"/>
    <n v="13.716666666666667"/>
  </r>
  <r>
    <x v="54"/>
    <x v="12"/>
    <x v="0"/>
    <n v="91"/>
    <d v="1899-12-30T02:24:01"/>
    <n v="144.01666666666668"/>
  </r>
  <r>
    <x v="54"/>
    <x v="12"/>
    <x v="1"/>
    <n v="82"/>
    <d v="1899-12-30T02:00:34"/>
    <n v="120.56666666666666"/>
  </r>
  <r>
    <x v="54"/>
    <x v="12"/>
    <x v="2"/>
    <n v="60"/>
    <d v="1899-12-30T01:36:23"/>
    <n v="96.38333333333334"/>
  </r>
  <r>
    <x v="54"/>
    <x v="12"/>
    <x v="3"/>
    <n v="58"/>
    <d v="1899-12-30T00:59:41"/>
    <n v="59.68333333333333"/>
  </r>
  <r>
    <x v="54"/>
    <x v="12"/>
    <x v="4"/>
    <n v="38"/>
    <d v="1899-12-30T00:54:34"/>
    <n v="54.56666666666667"/>
  </r>
  <r>
    <x v="54"/>
    <x v="12"/>
    <x v="5"/>
    <n v="39"/>
    <d v="1899-12-30T00:42:06"/>
    <n v="42.1"/>
  </r>
  <r>
    <x v="54"/>
    <x v="13"/>
    <x v="0"/>
    <n v="66"/>
    <d v="1899-12-30T01:20:03"/>
    <n v="80.05"/>
  </r>
  <r>
    <x v="54"/>
    <x v="13"/>
    <x v="1"/>
    <n v="67"/>
    <d v="1899-12-30T01:23:29"/>
    <n v="83.483333333333334"/>
  </r>
  <r>
    <x v="54"/>
    <x v="13"/>
    <x v="2"/>
    <n v="37"/>
    <d v="1899-12-30T00:46:01"/>
    <n v="46.016666666666666"/>
  </r>
  <r>
    <x v="54"/>
    <x v="13"/>
    <x v="3"/>
    <n v="34"/>
    <d v="1899-12-30T00:22:33"/>
    <n v="22.55"/>
  </r>
  <r>
    <x v="54"/>
    <x v="13"/>
    <x v="4"/>
    <n v="0"/>
    <d v="1899-12-30T00:00:00"/>
    <n v="0"/>
  </r>
  <r>
    <x v="54"/>
    <x v="13"/>
    <x v="5"/>
    <n v="40"/>
    <d v="1899-12-30T00:30:26"/>
    <n v="30.433333333333334"/>
  </r>
  <r>
    <x v="55"/>
    <x v="0"/>
    <x v="0"/>
    <n v="33"/>
    <d v="1899-12-30T00:34:40"/>
    <n v="34.666666666666664"/>
  </r>
  <r>
    <x v="55"/>
    <x v="0"/>
    <x v="1"/>
    <n v="48"/>
    <d v="1899-12-30T00:46:39"/>
    <n v="46.65"/>
  </r>
  <r>
    <x v="55"/>
    <x v="0"/>
    <x v="2"/>
    <n v="28"/>
    <d v="1899-12-30T00:29:00"/>
    <n v="29"/>
  </r>
  <r>
    <x v="55"/>
    <x v="0"/>
    <x v="3"/>
    <n v="19"/>
    <d v="1899-12-30T00:14:51"/>
    <n v="14.85"/>
  </r>
  <r>
    <x v="55"/>
    <x v="0"/>
    <x v="4"/>
    <n v="10"/>
    <d v="1899-12-30T00:15:38"/>
    <n v="15.633333333333333"/>
  </r>
  <r>
    <x v="55"/>
    <x v="0"/>
    <x v="5"/>
    <n v="21"/>
    <d v="1899-12-30T00:19:44"/>
    <n v="19.733333333333334"/>
  </r>
  <r>
    <x v="55"/>
    <x v="1"/>
    <x v="0"/>
    <n v="62"/>
    <d v="1899-12-30T02:01:24"/>
    <n v="121.4"/>
  </r>
  <r>
    <x v="55"/>
    <x v="1"/>
    <x v="1"/>
    <n v="33"/>
    <d v="1899-12-30T01:07:49"/>
    <n v="67.816666666666663"/>
  </r>
  <r>
    <x v="55"/>
    <x v="1"/>
    <x v="2"/>
    <n v="29"/>
    <d v="1899-12-30T01:04:15"/>
    <n v="64.25"/>
  </r>
  <r>
    <x v="55"/>
    <x v="1"/>
    <x v="3"/>
    <n v="12"/>
    <d v="1899-12-30T00:12:11"/>
    <n v="12.183333333333334"/>
  </r>
  <r>
    <x v="55"/>
    <x v="1"/>
    <x v="4"/>
    <n v="1"/>
    <d v="1899-12-30T00:00:38"/>
    <n v="0.6333333333333333"/>
  </r>
  <r>
    <x v="55"/>
    <x v="1"/>
    <x v="5"/>
    <n v="27"/>
    <d v="1899-12-30T00:40:24"/>
    <n v="40.4"/>
  </r>
  <r>
    <x v="55"/>
    <x v="2"/>
    <x v="0"/>
    <n v="80"/>
    <d v="1899-12-30T02:19:23"/>
    <n v="139.38333333333333"/>
  </r>
  <r>
    <x v="55"/>
    <x v="2"/>
    <x v="1"/>
    <n v="67"/>
    <d v="1899-12-30T01:42:05"/>
    <n v="102.08333333333333"/>
  </r>
  <r>
    <x v="55"/>
    <x v="2"/>
    <x v="2"/>
    <n v="47"/>
    <d v="1899-12-30T01:34:46"/>
    <n v="94.766666666666666"/>
  </r>
  <r>
    <x v="55"/>
    <x v="2"/>
    <x v="3"/>
    <n v="33"/>
    <d v="1899-12-30T00:34:27"/>
    <n v="34.450000000000003"/>
  </r>
  <r>
    <x v="55"/>
    <x v="2"/>
    <x v="4"/>
    <n v="26"/>
    <d v="1899-12-30T00:39:02"/>
    <n v="39.033333333333331"/>
  </r>
  <r>
    <x v="55"/>
    <x v="2"/>
    <x v="5"/>
    <n v="19"/>
    <d v="1899-12-30T00:22:02"/>
    <n v="22.033333333333335"/>
  </r>
  <r>
    <x v="55"/>
    <x v="3"/>
    <x v="0"/>
    <n v="14"/>
    <d v="1899-12-30T00:27:27"/>
    <n v="27.45"/>
  </r>
  <r>
    <x v="55"/>
    <x v="3"/>
    <x v="1"/>
    <n v="7"/>
    <d v="1899-12-30T00:09:39"/>
    <n v="9.65"/>
  </r>
  <r>
    <x v="55"/>
    <x v="3"/>
    <x v="2"/>
    <n v="8"/>
    <d v="1899-12-30T00:15:23"/>
    <n v="15.383333333333333"/>
  </r>
  <r>
    <x v="55"/>
    <x v="3"/>
    <x v="3"/>
    <n v="3"/>
    <d v="1899-12-30T00:03:44"/>
    <n v="3.7333333333333334"/>
  </r>
  <r>
    <x v="55"/>
    <x v="3"/>
    <x v="4"/>
    <n v="2"/>
    <d v="1899-12-30T00:03:14"/>
    <n v="3.2333333333333334"/>
  </r>
  <r>
    <x v="55"/>
    <x v="3"/>
    <x v="5"/>
    <n v="5"/>
    <d v="1899-12-30T00:08:26"/>
    <n v="8.4333333333333336"/>
  </r>
  <r>
    <x v="55"/>
    <x v="4"/>
    <x v="0"/>
    <n v="43"/>
    <d v="1899-12-30T01:07:13"/>
    <n v="67.216666666666669"/>
  </r>
  <r>
    <x v="55"/>
    <x v="4"/>
    <x v="1"/>
    <n v="30"/>
    <d v="1899-12-30T00:45:30"/>
    <n v="45.5"/>
  </r>
  <r>
    <x v="55"/>
    <x v="4"/>
    <x v="2"/>
    <n v="16"/>
    <d v="1899-12-30T00:22:31"/>
    <n v="22.516666666666666"/>
  </r>
  <r>
    <x v="55"/>
    <x v="4"/>
    <x v="3"/>
    <n v="9"/>
    <d v="1899-12-30T00:08:14"/>
    <n v="8.2333333333333325"/>
  </r>
  <r>
    <x v="55"/>
    <x v="4"/>
    <x v="4"/>
    <n v="6"/>
    <d v="1899-12-30T00:14:32"/>
    <n v="14.533333333333333"/>
  </r>
  <r>
    <x v="55"/>
    <x v="4"/>
    <x v="5"/>
    <n v="10"/>
    <d v="1899-12-30T00:11:17"/>
    <n v="11.283333333333333"/>
  </r>
  <r>
    <x v="55"/>
    <x v="5"/>
    <x v="0"/>
    <n v="40"/>
    <d v="1899-12-30T00:57:22"/>
    <n v="57.366666666666667"/>
  </r>
  <r>
    <x v="55"/>
    <x v="5"/>
    <x v="1"/>
    <n v="40"/>
    <d v="1899-12-30T00:53:49"/>
    <n v="53.81666666666667"/>
  </r>
  <r>
    <x v="55"/>
    <x v="5"/>
    <x v="2"/>
    <n v="39"/>
    <d v="1899-12-30T00:48:44"/>
    <n v="48.733333333333334"/>
  </r>
  <r>
    <x v="55"/>
    <x v="5"/>
    <x v="3"/>
    <n v="34"/>
    <d v="1899-12-30T00:32:14"/>
    <n v="32.233333333333334"/>
  </r>
  <r>
    <x v="55"/>
    <x v="5"/>
    <x v="4"/>
    <n v="9"/>
    <d v="1899-12-30T00:13:34"/>
    <n v="13.566666666666666"/>
  </r>
  <r>
    <x v="55"/>
    <x v="5"/>
    <x v="5"/>
    <n v="40"/>
    <d v="1899-12-30T00:38:14"/>
    <n v="38.233333333333334"/>
  </r>
  <r>
    <x v="55"/>
    <x v="6"/>
    <x v="0"/>
    <n v="19"/>
    <d v="1899-12-30T00:23:38"/>
    <n v="23.633333333333333"/>
  </r>
  <r>
    <x v="55"/>
    <x v="6"/>
    <x v="1"/>
    <n v="19"/>
    <d v="1899-12-30T00:30:27"/>
    <n v="30.45"/>
  </r>
  <r>
    <x v="55"/>
    <x v="6"/>
    <x v="2"/>
    <n v="8"/>
    <d v="1899-12-30T00:11:32"/>
    <n v="11.533333333333333"/>
  </r>
  <r>
    <x v="55"/>
    <x v="6"/>
    <x v="3"/>
    <n v="10"/>
    <d v="1899-12-30T00:11:43"/>
    <n v="11.716666666666667"/>
  </r>
  <r>
    <x v="55"/>
    <x v="6"/>
    <x v="4"/>
    <n v="13"/>
    <d v="1899-12-30T00:17:43"/>
    <n v="17.716666666666665"/>
  </r>
  <r>
    <x v="55"/>
    <x v="6"/>
    <x v="5"/>
    <n v="6"/>
    <d v="1899-12-30T00:06:33"/>
    <n v="6.55"/>
  </r>
  <r>
    <x v="55"/>
    <x v="7"/>
    <x v="0"/>
    <n v="51"/>
    <d v="1899-12-30T01:05:28"/>
    <n v="65.466666666666669"/>
  </r>
  <r>
    <x v="55"/>
    <x v="7"/>
    <x v="1"/>
    <n v="75"/>
    <d v="1899-12-30T01:35:55"/>
    <n v="95.916666666666671"/>
  </r>
  <r>
    <x v="55"/>
    <x v="7"/>
    <x v="2"/>
    <n v="56"/>
    <d v="1899-12-30T01:34:05"/>
    <n v="94.083333333333329"/>
  </r>
  <r>
    <x v="55"/>
    <x v="7"/>
    <x v="3"/>
    <n v="56"/>
    <d v="1899-12-30T00:57:57"/>
    <n v="57.95"/>
  </r>
  <r>
    <x v="55"/>
    <x v="7"/>
    <x v="4"/>
    <n v="131"/>
    <d v="1899-12-30T02:55:44"/>
    <n v="175.73333333333332"/>
  </r>
  <r>
    <x v="55"/>
    <x v="7"/>
    <x v="5"/>
    <n v="25"/>
    <d v="1899-12-30T00:26:31"/>
    <n v="26.516666666666666"/>
  </r>
  <r>
    <x v="55"/>
    <x v="8"/>
    <x v="0"/>
    <n v="18"/>
    <d v="1899-12-30T00:26:38"/>
    <n v="26.633333333333333"/>
  </r>
  <r>
    <x v="55"/>
    <x v="8"/>
    <x v="1"/>
    <n v="16"/>
    <d v="1899-12-30T00:27:37"/>
    <n v="27.616666666666667"/>
  </r>
  <r>
    <x v="55"/>
    <x v="8"/>
    <x v="2"/>
    <n v="10"/>
    <d v="1899-12-30T00:14:16"/>
    <n v="14.266666666666667"/>
  </r>
  <r>
    <x v="55"/>
    <x v="8"/>
    <x v="3"/>
    <n v="21"/>
    <d v="1899-12-30T00:20:06"/>
    <n v="20.100000000000001"/>
  </r>
  <r>
    <x v="55"/>
    <x v="8"/>
    <x v="4"/>
    <n v="16"/>
    <d v="1899-12-30T00:17:50"/>
    <n v="17.833333333333332"/>
  </r>
  <r>
    <x v="55"/>
    <x v="8"/>
    <x v="5"/>
    <n v="7"/>
    <d v="1899-12-30T00:10:25"/>
    <n v="10.416666666666666"/>
  </r>
  <r>
    <x v="55"/>
    <x v="9"/>
    <x v="0"/>
    <n v="26"/>
    <d v="1899-12-30T00:29:05"/>
    <n v="29.083333333333332"/>
  </r>
  <r>
    <x v="55"/>
    <x v="9"/>
    <x v="1"/>
    <n v="27"/>
    <d v="1899-12-30T00:37:22"/>
    <n v="37.366666666666667"/>
  </r>
  <r>
    <x v="55"/>
    <x v="9"/>
    <x v="2"/>
    <n v="24"/>
    <d v="1899-12-30T00:41:25"/>
    <n v="41.416666666666664"/>
  </r>
  <r>
    <x v="55"/>
    <x v="9"/>
    <x v="3"/>
    <n v="14"/>
    <d v="1899-12-30T00:15:48"/>
    <n v="15.8"/>
  </r>
  <r>
    <x v="55"/>
    <x v="9"/>
    <x v="4"/>
    <n v="6"/>
    <d v="1899-12-30T00:06:05"/>
    <n v="6.083333333333333"/>
  </r>
  <r>
    <x v="55"/>
    <x v="9"/>
    <x v="5"/>
    <n v="12"/>
    <d v="1899-12-30T00:11:19"/>
    <n v="11.316666666666666"/>
  </r>
  <r>
    <x v="55"/>
    <x v="10"/>
    <x v="0"/>
    <n v="36"/>
    <d v="1899-12-30T01:02:57"/>
    <n v="62.95"/>
  </r>
  <r>
    <x v="55"/>
    <x v="10"/>
    <x v="1"/>
    <n v="33"/>
    <d v="1899-12-30T00:52:29"/>
    <n v="52.483333333333334"/>
  </r>
  <r>
    <x v="55"/>
    <x v="10"/>
    <x v="2"/>
    <n v="34"/>
    <d v="1899-12-30T00:56:41"/>
    <n v="56.68333333333333"/>
  </r>
  <r>
    <x v="55"/>
    <x v="10"/>
    <x v="3"/>
    <n v="22"/>
    <d v="1899-12-30T00:21:55"/>
    <n v="21.916666666666668"/>
  </r>
  <r>
    <x v="55"/>
    <x v="10"/>
    <x v="4"/>
    <n v="11"/>
    <d v="1899-12-30T00:12:01"/>
    <n v="12.016666666666667"/>
  </r>
  <r>
    <x v="55"/>
    <x v="10"/>
    <x v="5"/>
    <n v="23"/>
    <d v="1899-12-30T00:29:32"/>
    <n v="29.533333333333335"/>
  </r>
  <r>
    <x v="55"/>
    <x v="11"/>
    <x v="0"/>
    <n v="7"/>
    <d v="1899-12-30T00:12:58"/>
    <n v="12.966666666666667"/>
  </r>
  <r>
    <x v="55"/>
    <x v="11"/>
    <x v="1"/>
    <n v="8"/>
    <d v="1899-12-30T00:14:54"/>
    <n v="14.9"/>
  </r>
  <r>
    <x v="55"/>
    <x v="11"/>
    <x v="2"/>
    <n v="5"/>
    <d v="1899-12-30T00:08:45"/>
    <n v="8.75"/>
  </r>
  <r>
    <x v="55"/>
    <x v="11"/>
    <x v="3"/>
    <n v="2"/>
    <d v="1899-12-30T00:01:10"/>
    <n v="1.1666666666666667"/>
  </r>
  <r>
    <x v="55"/>
    <x v="11"/>
    <x v="4"/>
    <n v="3"/>
    <d v="1899-12-30T00:07:18"/>
    <n v="7.3"/>
  </r>
  <r>
    <x v="55"/>
    <x v="11"/>
    <x v="5"/>
    <n v="2"/>
    <d v="1899-12-30T00:01:49"/>
    <n v="1.8166666666666667"/>
  </r>
  <r>
    <x v="55"/>
    <x v="12"/>
    <x v="0"/>
    <n v="87"/>
    <d v="1899-12-30T02:20:36"/>
    <n v="140.6"/>
  </r>
  <r>
    <x v="55"/>
    <x v="12"/>
    <x v="1"/>
    <n v="92"/>
    <d v="1899-12-30T02:18:59"/>
    <n v="138.98333333333332"/>
  </r>
  <r>
    <x v="55"/>
    <x v="12"/>
    <x v="2"/>
    <n v="44"/>
    <d v="1899-12-30T01:03:15"/>
    <n v="63.25"/>
  </r>
  <r>
    <x v="55"/>
    <x v="12"/>
    <x v="3"/>
    <n v="40"/>
    <d v="1899-12-30T00:40:04"/>
    <n v="40.06666666666667"/>
  </r>
  <r>
    <x v="55"/>
    <x v="12"/>
    <x v="4"/>
    <n v="26"/>
    <d v="1899-12-30T00:46:20"/>
    <n v="46.333333333333336"/>
  </r>
  <r>
    <x v="55"/>
    <x v="12"/>
    <x v="5"/>
    <n v="49"/>
    <d v="1899-12-30T01:01:07"/>
    <n v="61.116666666666667"/>
  </r>
  <r>
    <x v="55"/>
    <x v="13"/>
    <x v="0"/>
    <n v="58"/>
    <d v="1899-12-30T01:03:20"/>
    <n v="63.333333333333336"/>
  </r>
  <r>
    <x v="55"/>
    <x v="13"/>
    <x v="1"/>
    <n v="49"/>
    <d v="1899-12-30T00:56:33"/>
    <n v="56.55"/>
  </r>
  <r>
    <x v="55"/>
    <x v="13"/>
    <x v="2"/>
    <n v="24"/>
    <d v="1899-12-30T00:32:13"/>
    <n v="32.216666666666669"/>
  </r>
  <r>
    <x v="55"/>
    <x v="13"/>
    <x v="3"/>
    <n v="17"/>
    <d v="1899-12-30T00:11:37"/>
    <n v="11.616666666666667"/>
  </r>
  <r>
    <x v="55"/>
    <x v="13"/>
    <x v="4"/>
    <n v="0"/>
    <d v="1899-12-30T00:00:00"/>
    <n v="0"/>
  </r>
  <r>
    <x v="55"/>
    <x v="13"/>
    <x v="5"/>
    <n v="25"/>
    <d v="1899-12-30T00:15:12"/>
    <n v="15.2"/>
  </r>
  <r>
    <x v="56"/>
    <x v="0"/>
    <x v="0"/>
    <n v="57"/>
    <d v="1899-12-30T01:11:20"/>
    <n v="71.333333333333329"/>
  </r>
  <r>
    <x v="56"/>
    <x v="0"/>
    <x v="1"/>
    <n v="41"/>
    <d v="1899-12-30T00:42:06"/>
    <n v="42.1"/>
  </r>
  <r>
    <x v="56"/>
    <x v="0"/>
    <x v="2"/>
    <n v="28"/>
    <d v="1899-12-30T00:40:25"/>
    <n v="40.416666666666664"/>
  </r>
  <r>
    <x v="56"/>
    <x v="0"/>
    <x v="3"/>
    <n v="13"/>
    <d v="1899-12-30T00:11:05"/>
    <n v="11.083333333333334"/>
  </r>
  <r>
    <x v="56"/>
    <x v="0"/>
    <x v="4"/>
    <n v="8"/>
    <d v="1899-12-30T00:06:57"/>
    <n v="6.95"/>
  </r>
  <r>
    <x v="56"/>
    <x v="0"/>
    <x v="5"/>
    <n v="18"/>
    <d v="1899-12-30T00:15:13"/>
    <n v="15.216666666666667"/>
  </r>
  <r>
    <x v="56"/>
    <x v="1"/>
    <x v="0"/>
    <n v="74"/>
    <d v="1899-12-30T02:03:54"/>
    <n v="123.9"/>
  </r>
  <r>
    <x v="56"/>
    <x v="1"/>
    <x v="1"/>
    <n v="70"/>
    <d v="1899-12-30T02:07:38"/>
    <n v="127.63333333333334"/>
  </r>
  <r>
    <x v="56"/>
    <x v="1"/>
    <x v="2"/>
    <n v="42"/>
    <d v="1899-12-30T01:17:56"/>
    <n v="77.933333333333337"/>
  </r>
  <r>
    <x v="56"/>
    <x v="1"/>
    <x v="3"/>
    <n v="17"/>
    <d v="1899-12-30T00:15:53"/>
    <n v="15.883333333333333"/>
  </r>
  <r>
    <x v="56"/>
    <x v="1"/>
    <x v="4"/>
    <n v="2"/>
    <d v="1899-12-30T00:02:54"/>
    <n v="2.9"/>
  </r>
  <r>
    <x v="56"/>
    <x v="1"/>
    <x v="5"/>
    <n v="41"/>
    <d v="1899-12-30T00:47:35"/>
    <n v="47.583333333333336"/>
  </r>
  <r>
    <x v="56"/>
    <x v="2"/>
    <x v="0"/>
    <n v="80"/>
    <d v="1899-12-30T02:18:34"/>
    <n v="138.56666666666666"/>
  </r>
  <r>
    <x v="56"/>
    <x v="2"/>
    <x v="1"/>
    <n v="69"/>
    <d v="1899-12-30T01:50:00"/>
    <n v="110"/>
  </r>
  <r>
    <x v="56"/>
    <x v="2"/>
    <x v="2"/>
    <n v="54"/>
    <d v="1899-12-30T01:36:46"/>
    <n v="96.766666666666666"/>
  </r>
  <r>
    <x v="56"/>
    <x v="2"/>
    <x v="3"/>
    <n v="47"/>
    <d v="1899-12-30T00:31:47"/>
    <n v="31.783333333333335"/>
  </r>
  <r>
    <x v="56"/>
    <x v="2"/>
    <x v="4"/>
    <n v="37"/>
    <d v="1899-12-30T00:51:19"/>
    <n v="51.31666666666667"/>
  </r>
  <r>
    <x v="56"/>
    <x v="2"/>
    <x v="5"/>
    <n v="34"/>
    <d v="1899-12-30T00:44:50"/>
    <n v="44.833333333333336"/>
  </r>
  <r>
    <x v="56"/>
    <x v="3"/>
    <x v="0"/>
    <n v="28"/>
    <d v="1899-12-30T00:47:02"/>
    <n v="47.033333333333331"/>
  </r>
  <r>
    <x v="56"/>
    <x v="3"/>
    <x v="1"/>
    <n v="22"/>
    <d v="1899-12-30T00:37:49"/>
    <n v="37.81666666666667"/>
  </r>
  <r>
    <x v="56"/>
    <x v="3"/>
    <x v="2"/>
    <n v="6"/>
    <d v="1899-12-30T00:10:14"/>
    <n v="10.233333333333333"/>
  </r>
  <r>
    <x v="56"/>
    <x v="3"/>
    <x v="3"/>
    <n v="10"/>
    <d v="1899-12-30T00:07:46"/>
    <n v="7.7666666666666666"/>
  </r>
  <r>
    <x v="56"/>
    <x v="3"/>
    <x v="4"/>
    <n v="3"/>
    <d v="1899-12-30T00:04:49"/>
    <n v="4.8166666666666664"/>
  </r>
  <r>
    <x v="56"/>
    <x v="3"/>
    <x v="5"/>
    <n v="17"/>
    <d v="1899-12-30T00:23:50"/>
    <n v="23.833333333333332"/>
  </r>
  <r>
    <x v="56"/>
    <x v="4"/>
    <x v="0"/>
    <n v="35"/>
    <d v="1899-12-30T01:24:43"/>
    <n v="84.716666666666669"/>
  </r>
  <r>
    <x v="56"/>
    <x v="4"/>
    <x v="1"/>
    <n v="27"/>
    <d v="1899-12-30T00:45:52"/>
    <n v="45.866666666666667"/>
  </r>
  <r>
    <x v="56"/>
    <x v="4"/>
    <x v="2"/>
    <n v="23"/>
    <d v="1899-12-30T00:32:51"/>
    <n v="32.85"/>
  </r>
  <r>
    <x v="56"/>
    <x v="4"/>
    <x v="3"/>
    <n v="14"/>
    <d v="1899-12-30T00:12:25"/>
    <n v="12.416666666666666"/>
  </r>
  <r>
    <x v="56"/>
    <x v="4"/>
    <x v="4"/>
    <n v="9"/>
    <d v="1899-12-30T00:10:01"/>
    <n v="10.016666666666667"/>
  </r>
  <r>
    <x v="56"/>
    <x v="4"/>
    <x v="5"/>
    <n v="15"/>
    <d v="1899-12-30T00:17:37"/>
    <n v="17.616666666666667"/>
  </r>
  <r>
    <x v="56"/>
    <x v="5"/>
    <x v="0"/>
    <n v="30"/>
    <d v="1899-12-30T00:44:33"/>
    <n v="44.55"/>
  </r>
  <r>
    <x v="56"/>
    <x v="5"/>
    <x v="1"/>
    <n v="39"/>
    <d v="1899-12-30T00:51:32"/>
    <n v="51.533333333333331"/>
  </r>
  <r>
    <x v="56"/>
    <x v="5"/>
    <x v="2"/>
    <n v="28"/>
    <d v="1899-12-30T00:38:21"/>
    <n v="38.35"/>
  </r>
  <r>
    <x v="56"/>
    <x v="5"/>
    <x v="3"/>
    <n v="26"/>
    <d v="1899-12-30T00:24:37"/>
    <n v="24.616666666666667"/>
  </r>
  <r>
    <x v="56"/>
    <x v="5"/>
    <x v="4"/>
    <n v="3"/>
    <d v="1899-12-30T00:06:37"/>
    <n v="6.6166666666666671"/>
  </r>
  <r>
    <x v="56"/>
    <x v="5"/>
    <x v="5"/>
    <n v="22"/>
    <d v="1899-12-30T00:25:55"/>
    <n v="25.916666666666668"/>
  </r>
  <r>
    <x v="56"/>
    <x v="6"/>
    <x v="0"/>
    <n v="11"/>
    <d v="1899-12-30T00:13:55"/>
    <n v="13.916666666666666"/>
  </r>
  <r>
    <x v="56"/>
    <x v="6"/>
    <x v="1"/>
    <n v="21"/>
    <d v="1899-12-30T00:28:10"/>
    <n v="28.166666666666668"/>
  </r>
  <r>
    <x v="56"/>
    <x v="6"/>
    <x v="2"/>
    <n v="6"/>
    <d v="1899-12-30T00:07:13"/>
    <n v="7.2166666666666668"/>
  </r>
  <r>
    <x v="56"/>
    <x v="6"/>
    <x v="3"/>
    <n v="9"/>
    <d v="1899-12-30T00:09:31"/>
    <n v="9.5166666666666675"/>
  </r>
  <r>
    <x v="56"/>
    <x v="6"/>
    <x v="4"/>
    <n v="12"/>
    <d v="1899-12-30T00:14:51"/>
    <n v="14.85"/>
  </r>
  <r>
    <x v="56"/>
    <x v="6"/>
    <x v="5"/>
    <n v="14"/>
    <d v="1899-12-30T00:10:20"/>
    <n v="10.333333333333334"/>
  </r>
  <r>
    <x v="56"/>
    <x v="7"/>
    <x v="0"/>
    <n v="57"/>
    <d v="1899-12-30T01:15:35"/>
    <n v="75.583333333333329"/>
  </r>
  <r>
    <x v="56"/>
    <x v="7"/>
    <x v="1"/>
    <n v="88"/>
    <d v="1899-12-30T02:11:41"/>
    <n v="131.68333333333334"/>
  </r>
  <r>
    <x v="56"/>
    <x v="7"/>
    <x v="2"/>
    <n v="55"/>
    <d v="1899-12-30T01:29:35"/>
    <n v="89.583333333333329"/>
  </r>
  <r>
    <x v="56"/>
    <x v="7"/>
    <x v="3"/>
    <n v="60"/>
    <d v="1899-12-30T00:47:35"/>
    <n v="47.583333333333336"/>
  </r>
  <r>
    <x v="56"/>
    <x v="7"/>
    <x v="4"/>
    <n v="186"/>
    <d v="1899-12-30T04:06:10"/>
    <n v="246.16666666666666"/>
  </r>
  <r>
    <x v="56"/>
    <x v="7"/>
    <x v="5"/>
    <n v="43"/>
    <d v="1899-12-30T00:31:51"/>
    <n v="31.85"/>
  </r>
  <r>
    <x v="56"/>
    <x v="8"/>
    <x v="0"/>
    <n v="50"/>
    <d v="1899-12-30T01:17:48"/>
    <n v="77.8"/>
  </r>
  <r>
    <x v="56"/>
    <x v="8"/>
    <x v="1"/>
    <n v="45"/>
    <d v="1899-12-30T01:18:56"/>
    <n v="78.933333333333337"/>
  </r>
  <r>
    <x v="56"/>
    <x v="8"/>
    <x v="2"/>
    <n v="44"/>
    <d v="1899-12-30T01:13:40"/>
    <n v="73.666666666666671"/>
  </r>
  <r>
    <x v="56"/>
    <x v="8"/>
    <x v="3"/>
    <n v="38"/>
    <d v="1899-12-30T00:31:15"/>
    <n v="31.25"/>
  </r>
  <r>
    <x v="56"/>
    <x v="8"/>
    <x v="4"/>
    <n v="17"/>
    <d v="1899-12-30T00:22:56"/>
    <n v="22.933333333333334"/>
  </r>
  <r>
    <x v="56"/>
    <x v="8"/>
    <x v="5"/>
    <n v="44"/>
    <d v="1899-12-30T00:48:23"/>
    <n v="48.383333333333333"/>
  </r>
  <r>
    <x v="56"/>
    <x v="9"/>
    <x v="0"/>
    <n v="54"/>
    <d v="1899-12-30T01:18:15"/>
    <n v="78.25"/>
  </r>
  <r>
    <x v="56"/>
    <x v="9"/>
    <x v="1"/>
    <n v="51"/>
    <d v="1899-12-30T01:20:11"/>
    <n v="80.183333333333337"/>
  </r>
  <r>
    <x v="56"/>
    <x v="9"/>
    <x v="2"/>
    <n v="44"/>
    <d v="1899-12-30T01:20:04"/>
    <n v="80.066666666666663"/>
  </r>
  <r>
    <x v="56"/>
    <x v="9"/>
    <x v="3"/>
    <n v="32"/>
    <d v="1899-12-30T00:29:33"/>
    <n v="29.55"/>
  </r>
  <r>
    <x v="56"/>
    <x v="9"/>
    <x v="4"/>
    <n v="16"/>
    <d v="1899-12-30T00:21:52"/>
    <n v="21.866666666666667"/>
  </r>
  <r>
    <x v="56"/>
    <x v="9"/>
    <x v="5"/>
    <n v="32"/>
    <d v="1899-12-30T00:43:25"/>
    <n v="43.416666666666664"/>
  </r>
  <r>
    <x v="56"/>
    <x v="10"/>
    <x v="0"/>
    <n v="59"/>
    <d v="1899-12-30T01:21:30"/>
    <n v="81.5"/>
  </r>
  <r>
    <x v="56"/>
    <x v="10"/>
    <x v="1"/>
    <n v="58"/>
    <d v="1899-12-30T01:30:45"/>
    <n v="90.75"/>
  </r>
  <r>
    <x v="56"/>
    <x v="10"/>
    <x v="2"/>
    <n v="48"/>
    <d v="1899-12-30T01:24:01"/>
    <n v="84.016666666666666"/>
  </r>
  <r>
    <x v="56"/>
    <x v="10"/>
    <x v="3"/>
    <n v="25"/>
    <d v="1899-12-30T00:22:28"/>
    <n v="22.466666666666665"/>
  </r>
  <r>
    <x v="56"/>
    <x v="10"/>
    <x v="4"/>
    <n v="7"/>
    <d v="1899-12-30T00:06:13"/>
    <n v="6.2166666666666668"/>
  </r>
  <r>
    <x v="56"/>
    <x v="10"/>
    <x v="5"/>
    <n v="35"/>
    <d v="1899-12-30T00:36:11"/>
    <n v="36.18333333333333"/>
  </r>
  <r>
    <x v="56"/>
    <x v="11"/>
    <x v="0"/>
    <n v="22"/>
    <d v="1899-12-30T00:37:01"/>
    <n v="37.016666666666666"/>
  </r>
  <r>
    <x v="56"/>
    <x v="11"/>
    <x v="1"/>
    <n v="10"/>
    <d v="1899-12-30T00:11:52"/>
    <n v="11.866666666666667"/>
  </r>
  <r>
    <x v="56"/>
    <x v="11"/>
    <x v="2"/>
    <n v="6"/>
    <d v="1899-12-30T00:10:49"/>
    <n v="10.816666666666666"/>
  </r>
  <r>
    <x v="56"/>
    <x v="11"/>
    <x v="3"/>
    <n v="1"/>
    <d v="1899-12-30T00:01:00"/>
    <n v="1"/>
  </r>
  <r>
    <x v="56"/>
    <x v="11"/>
    <x v="4"/>
    <n v="6"/>
    <d v="1899-12-30T00:06:13"/>
    <n v="6.2166666666666668"/>
  </r>
  <r>
    <x v="56"/>
    <x v="11"/>
    <x v="5"/>
    <n v="5"/>
    <d v="1899-12-30T00:05:57"/>
    <n v="5.95"/>
  </r>
  <r>
    <x v="56"/>
    <x v="12"/>
    <x v="0"/>
    <n v="88"/>
    <d v="1899-12-30T02:31:21"/>
    <n v="151.35"/>
  </r>
  <r>
    <x v="56"/>
    <x v="12"/>
    <x v="1"/>
    <n v="108"/>
    <d v="1899-12-30T02:59:00"/>
    <n v="179"/>
  </r>
  <r>
    <x v="56"/>
    <x v="12"/>
    <x v="2"/>
    <n v="62"/>
    <d v="1899-12-30T01:49:32"/>
    <n v="109.53333333333333"/>
  </r>
  <r>
    <x v="56"/>
    <x v="12"/>
    <x v="3"/>
    <n v="66"/>
    <d v="1899-12-30T00:56:25"/>
    <n v="56.416666666666664"/>
  </r>
  <r>
    <x v="56"/>
    <x v="12"/>
    <x v="4"/>
    <n v="29"/>
    <d v="1899-12-30T00:43:51"/>
    <n v="43.85"/>
  </r>
  <r>
    <x v="56"/>
    <x v="12"/>
    <x v="5"/>
    <n v="72"/>
    <d v="1899-12-30T01:20:21"/>
    <n v="80.349999999999994"/>
  </r>
  <r>
    <x v="56"/>
    <x v="13"/>
    <x v="0"/>
    <n v="70"/>
    <d v="1899-12-30T01:26:04"/>
    <n v="86.066666666666663"/>
  </r>
  <r>
    <x v="56"/>
    <x v="13"/>
    <x v="1"/>
    <n v="55"/>
    <d v="1899-12-30T00:57:10"/>
    <n v="57.166666666666664"/>
  </r>
  <r>
    <x v="56"/>
    <x v="13"/>
    <x v="2"/>
    <n v="20"/>
    <d v="1899-12-30T00:23:25"/>
    <n v="23.416666666666668"/>
  </r>
  <r>
    <x v="56"/>
    <x v="13"/>
    <x v="3"/>
    <n v="25"/>
    <d v="1899-12-30T00:27:01"/>
    <n v="27.016666666666666"/>
  </r>
  <r>
    <x v="56"/>
    <x v="13"/>
    <x v="4"/>
    <n v="4"/>
    <d v="1899-12-30T00:01:35"/>
    <n v="1.5833333333333335"/>
  </r>
  <r>
    <x v="56"/>
    <x v="13"/>
    <x v="5"/>
    <n v="58"/>
    <d v="1899-12-30T00:49:31"/>
    <n v="49.516666666666666"/>
  </r>
  <r>
    <x v="57"/>
    <x v="0"/>
    <x v="0"/>
    <n v="34"/>
    <d v="1899-12-30T00:42:11"/>
    <n v="42.18333333333333"/>
  </r>
  <r>
    <x v="57"/>
    <x v="0"/>
    <x v="1"/>
    <n v="30"/>
    <d v="1899-12-30T00:37:04"/>
    <n v="37.06666666666667"/>
  </r>
  <r>
    <x v="57"/>
    <x v="0"/>
    <x v="2"/>
    <n v="19"/>
    <d v="1899-12-30T00:25:33"/>
    <n v="25.55"/>
  </r>
  <r>
    <x v="57"/>
    <x v="0"/>
    <x v="3"/>
    <n v="11"/>
    <d v="1899-12-30T00:08:51"/>
    <n v="8.85"/>
  </r>
  <r>
    <x v="57"/>
    <x v="0"/>
    <x v="4"/>
    <n v="5"/>
    <d v="1899-12-30T00:03:12"/>
    <n v="3.2"/>
  </r>
  <r>
    <x v="57"/>
    <x v="0"/>
    <x v="5"/>
    <n v="14"/>
    <d v="1899-12-30T00:12:41"/>
    <n v="12.683333333333334"/>
  </r>
  <r>
    <x v="57"/>
    <x v="1"/>
    <x v="0"/>
    <n v="53"/>
    <d v="1899-12-30T01:34:09"/>
    <n v="94.15"/>
  </r>
  <r>
    <x v="57"/>
    <x v="1"/>
    <x v="1"/>
    <n v="51"/>
    <d v="1899-12-30T01:23:01"/>
    <n v="83.016666666666666"/>
  </r>
  <r>
    <x v="57"/>
    <x v="1"/>
    <x v="2"/>
    <n v="38"/>
    <d v="1899-12-30T01:11:41"/>
    <n v="71.683333333333337"/>
  </r>
  <r>
    <x v="57"/>
    <x v="1"/>
    <x v="3"/>
    <n v="11"/>
    <d v="1899-12-30T00:08:05"/>
    <n v="8.0833333333333339"/>
  </r>
  <r>
    <x v="57"/>
    <x v="1"/>
    <x v="4"/>
    <n v="3"/>
    <d v="1899-12-30T00:04:20"/>
    <n v="4.333333333333333"/>
  </r>
  <r>
    <x v="57"/>
    <x v="1"/>
    <x v="5"/>
    <n v="19"/>
    <d v="1899-12-30T00:22:16"/>
    <n v="22.266666666666666"/>
  </r>
  <r>
    <x v="57"/>
    <x v="2"/>
    <x v="0"/>
    <n v="55"/>
    <d v="1899-12-30T01:37:55"/>
    <n v="97.916666666666671"/>
  </r>
  <r>
    <x v="57"/>
    <x v="2"/>
    <x v="1"/>
    <n v="50"/>
    <d v="1899-12-30T01:31:40"/>
    <n v="91.666666666666671"/>
  </r>
  <r>
    <x v="57"/>
    <x v="2"/>
    <x v="2"/>
    <n v="25"/>
    <d v="1899-12-30T00:43:20"/>
    <n v="43.333333333333336"/>
  </r>
  <r>
    <x v="57"/>
    <x v="2"/>
    <x v="3"/>
    <n v="30"/>
    <d v="1899-12-30T00:21:48"/>
    <n v="21.8"/>
  </r>
  <r>
    <x v="57"/>
    <x v="2"/>
    <x v="4"/>
    <n v="24"/>
    <d v="1899-12-30T00:33:03"/>
    <n v="33.049999999999997"/>
  </r>
  <r>
    <x v="57"/>
    <x v="2"/>
    <x v="5"/>
    <n v="24"/>
    <d v="1899-12-30T00:31:15"/>
    <n v="31.25"/>
  </r>
  <r>
    <x v="57"/>
    <x v="3"/>
    <x v="0"/>
    <n v="10"/>
    <d v="1899-12-30T00:19:34"/>
    <n v="19.566666666666666"/>
  </r>
  <r>
    <x v="57"/>
    <x v="3"/>
    <x v="1"/>
    <n v="15"/>
    <d v="1899-12-30T00:30:07"/>
    <n v="30.116666666666667"/>
  </r>
  <r>
    <x v="57"/>
    <x v="3"/>
    <x v="2"/>
    <n v="8"/>
    <d v="1899-12-30T00:17:05"/>
    <n v="17.083333333333332"/>
  </r>
  <r>
    <x v="57"/>
    <x v="3"/>
    <x v="3"/>
    <n v="5"/>
    <d v="1899-12-30T00:03:51"/>
    <n v="3.85"/>
  </r>
  <r>
    <x v="57"/>
    <x v="3"/>
    <x v="4"/>
    <n v="3"/>
    <d v="1899-12-30T00:05:53"/>
    <n v="5.8833333333333329"/>
  </r>
  <r>
    <x v="57"/>
    <x v="3"/>
    <x v="5"/>
    <n v="10"/>
    <d v="1899-12-30T00:11:53"/>
    <n v="11.883333333333333"/>
  </r>
  <r>
    <x v="57"/>
    <x v="4"/>
    <x v="0"/>
    <n v="26"/>
    <d v="1899-12-30T00:47:35"/>
    <n v="47.583333333333336"/>
  </r>
  <r>
    <x v="57"/>
    <x v="4"/>
    <x v="1"/>
    <n v="18"/>
    <d v="1899-12-30T00:23:20"/>
    <n v="23.333333333333332"/>
  </r>
  <r>
    <x v="57"/>
    <x v="4"/>
    <x v="2"/>
    <n v="14"/>
    <d v="1899-12-30T00:13:39"/>
    <n v="13.65"/>
  </r>
  <r>
    <x v="57"/>
    <x v="4"/>
    <x v="3"/>
    <n v="10"/>
    <d v="1899-12-30T00:06:49"/>
    <n v="6.8166666666666664"/>
  </r>
  <r>
    <x v="57"/>
    <x v="4"/>
    <x v="4"/>
    <n v="11"/>
    <d v="1899-12-30T00:17:15"/>
    <n v="17.25"/>
  </r>
  <r>
    <x v="57"/>
    <x v="4"/>
    <x v="5"/>
    <n v="4"/>
    <d v="1899-12-30T00:04:05"/>
    <n v="4.083333333333333"/>
  </r>
  <r>
    <x v="57"/>
    <x v="5"/>
    <x v="0"/>
    <n v="19"/>
    <d v="1899-12-30T00:33:28"/>
    <n v="33.466666666666669"/>
  </r>
  <r>
    <x v="57"/>
    <x v="5"/>
    <x v="1"/>
    <n v="18"/>
    <d v="1899-12-30T00:24:51"/>
    <n v="24.85"/>
  </r>
  <r>
    <x v="57"/>
    <x v="5"/>
    <x v="2"/>
    <n v="12"/>
    <d v="1899-12-30T00:16:09"/>
    <n v="16.149999999999999"/>
  </r>
  <r>
    <x v="57"/>
    <x v="5"/>
    <x v="3"/>
    <n v="18"/>
    <d v="1899-12-30T00:11:39"/>
    <n v="11.65"/>
  </r>
  <r>
    <x v="57"/>
    <x v="5"/>
    <x v="4"/>
    <n v="0"/>
    <d v="1899-12-30T00:00:00"/>
    <n v="0"/>
  </r>
  <r>
    <x v="57"/>
    <x v="5"/>
    <x v="5"/>
    <n v="18"/>
    <d v="1899-12-30T00:18:35"/>
    <n v="18.583333333333332"/>
  </r>
  <r>
    <x v="57"/>
    <x v="6"/>
    <x v="0"/>
    <n v="4"/>
    <d v="1899-12-30T00:03:16"/>
    <n v="3.2666666666666666"/>
  </r>
  <r>
    <x v="57"/>
    <x v="6"/>
    <x v="1"/>
    <n v="6"/>
    <d v="1899-12-30T00:08:46"/>
    <n v="8.7666666666666675"/>
  </r>
  <r>
    <x v="57"/>
    <x v="6"/>
    <x v="2"/>
    <n v="3"/>
    <d v="1899-12-30T00:04:21"/>
    <n v="4.3499999999999996"/>
  </r>
  <r>
    <x v="57"/>
    <x v="6"/>
    <x v="3"/>
    <n v="3"/>
    <d v="1899-12-30T00:02:59"/>
    <n v="2.9833333333333334"/>
  </r>
  <r>
    <x v="57"/>
    <x v="6"/>
    <x v="4"/>
    <n v="7"/>
    <d v="1899-12-30T00:07:32"/>
    <n v="7.5333333333333332"/>
  </r>
  <r>
    <x v="57"/>
    <x v="6"/>
    <x v="5"/>
    <n v="3"/>
    <d v="1899-12-30T00:04:11"/>
    <n v="4.1833333333333336"/>
  </r>
  <r>
    <x v="57"/>
    <x v="7"/>
    <x v="0"/>
    <n v="44"/>
    <d v="1899-12-30T00:44:47"/>
    <n v="44.783333333333331"/>
  </r>
  <r>
    <x v="57"/>
    <x v="7"/>
    <x v="1"/>
    <n v="63"/>
    <d v="1899-12-30T01:19:51"/>
    <n v="79.849999999999994"/>
  </r>
  <r>
    <x v="57"/>
    <x v="7"/>
    <x v="2"/>
    <n v="50"/>
    <d v="1899-12-30T01:13:11"/>
    <n v="73.183333333333337"/>
  </r>
  <r>
    <x v="57"/>
    <x v="7"/>
    <x v="3"/>
    <n v="46"/>
    <d v="1899-12-30T00:37:05"/>
    <n v="37.083333333333336"/>
  </r>
  <r>
    <x v="57"/>
    <x v="7"/>
    <x v="4"/>
    <n v="145"/>
    <d v="1899-12-30T03:07:17"/>
    <n v="187.28333333333333"/>
  </r>
  <r>
    <x v="57"/>
    <x v="7"/>
    <x v="5"/>
    <n v="42"/>
    <d v="1899-12-30T00:28:52"/>
    <n v="28.866666666666667"/>
  </r>
  <r>
    <x v="57"/>
    <x v="8"/>
    <x v="0"/>
    <n v="67"/>
    <d v="1899-12-30T01:36:55"/>
    <n v="96.916666666666671"/>
  </r>
  <r>
    <x v="57"/>
    <x v="8"/>
    <x v="1"/>
    <n v="54"/>
    <d v="1899-12-30T01:23:59"/>
    <n v="83.983333333333334"/>
  </r>
  <r>
    <x v="57"/>
    <x v="8"/>
    <x v="2"/>
    <n v="50"/>
    <d v="1899-12-30T01:23:21"/>
    <n v="83.35"/>
  </r>
  <r>
    <x v="57"/>
    <x v="8"/>
    <x v="3"/>
    <n v="62"/>
    <d v="1899-12-30T01:04:32"/>
    <n v="64.533333333333331"/>
  </r>
  <r>
    <x v="57"/>
    <x v="8"/>
    <x v="4"/>
    <n v="20"/>
    <d v="1899-12-30T00:14:18"/>
    <n v="14.3"/>
  </r>
  <r>
    <x v="57"/>
    <x v="8"/>
    <x v="5"/>
    <n v="65"/>
    <d v="1899-12-30T01:11:15"/>
    <n v="71.25"/>
  </r>
  <r>
    <x v="57"/>
    <x v="9"/>
    <x v="0"/>
    <n v="36"/>
    <d v="1899-12-30T00:56:46"/>
    <n v="56.766666666666666"/>
  </r>
  <r>
    <x v="57"/>
    <x v="9"/>
    <x v="1"/>
    <n v="54"/>
    <d v="1899-12-30T01:26:29"/>
    <n v="86.483333333333334"/>
  </r>
  <r>
    <x v="57"/>
    <x v="9"/>
    <x v="2"/>
    <n v="28"/>
    <d v="1899-12-30T00:51:45"/>
    <n v="51.75"/>
  </r>
  <r>
    <x v="57"/>
    <x v="9"/>
    <x v="3"/>
    <n v="21"/>
    <d v="1899-12-30T00:19:47"/>
    <n v="19.783333333333335"/>
  </r>
  <r>
    <x v="57"/>
    <x v="9"/>
    <x v="4"/>
    <n v="14"/>
    <d v="1899-12-30T00:25:45"/>
    <n v="25.75"/>
  </r>
  <r>
    <x v="57"/>
    <x v="9"/>
    <x v="5"/>
    <n v="41"/>
    <d v="1899-12-30T00:32:58"/>
    <n v="32.966666666666669"/>
  </r>
  <r>
    <x v="57"/>
    <x v="10"/>
    <x v="0"/>
    <n v="45"/>
    <d v="1899-12-30T01:16:12"/>
    <n v="76.2"/>
  </r>
  <r>
    <x v="57"/>
    <x v="10"/>
    <x v="1"/>
    <n v="24"/>
    <d v="1899-12-30T00:38:12"/>
    <n v="38.200000000000003"/>
  </r>
  <r>
    <x v="57"/>
    <x v="10"/>
    <x v="2"/>
    <n v="20"/>
    <d v="1899-12-30T00:38:39"/>
    <n v="38.65"/>
  </r>
  <r>
    <x v="57"/>
    <x v="10"/>
    <x v="3"/>
    <n v="17"/>
    <d v="1899-12-30T00:11:38"/>
    <n v="11.633333333333333"/>
  </r>
  <r>
    <x v="57"/>
    <x v="10"/>
    <x v="4"/>
    <n v="11"/>
    <d v="1899-12-30T00:17:57"/>
    <n v="17.95"/>
  </r>
  <r>
    <x v="57"/>
    <x v="10"/>
    <x v="5"/>
    <n v="18"/>
    <d v="1899-12-30T00:17:35"/>
    <n v="17.583333333333332"/>
  </r>
  <r>
    <x v="57"/>
    <x v="11"/>
    <x v="0"/>
    <n v="16"/>
    <d v="1899-12-30T00:26:19"/>
    <n v="26.316666666666666"/>
  </r>
  <r>
    <x v="57"/>
    <x v="11"/>
    <x v="1"/>
    <n v="12"/>
    <d v="1899-12-30T00:17:34"/>
    <n v="17.566666666666666"/>
  </r>
  <r>
    <x v="57"/>
    <x v="11"/>
    <x v="2"/>
    <n v="12"/>
    <d v="1899-12-30T00:27:22"/>
    <n v="27.366666666666667"/>
  </r>
  <r>
    <x v="57"/>
    <x v="11"/>
    <x v="3"/>
    <n v="5"/>
    <d v="1899-12-30T00:04:15"/>
    <n v="4.25"/>
  </r>
  <r>
    <x v="57"/>
    <x v="11"/>
    <x v="4"/>
    <n v="11"/>
    <d v="1899-12-30T00:11:23"/>
    <n v="11.383333333333333"/>
  </r>
  <r>
    <x v="57"/>
    <x v="11"/>
    <x v="5"/>
    <n v="10"/>
    <d v="1899-12-30T00:11:59"/>
    <n v="11.983333333333333"/>
  </r>
  <r>
    <x v="57"/>
    <x v="12"/>
    <x v="0"/>
    <n v="103"/>
    <d v="1899-12-30T02:31:51"/>
    <n v="151.85"/>
  </r>
  <r>
    <x v="57"/>
    <x v="12"/>
    <x v="1"/>
    <n v="79"/>
    <d v="1899-12-30T01:59:01"/>
    <n v="119.01666666666667"/>
  </r>
  <r>
    <x v="57"/>
    <x v="12"/>
    <x v="2"/>
    <n v="75"/>
    <d v="1899-12-30T01:56:42"/>
    <n v="116.7"/>
  </r>
  <r>
    <x v="57"/>
    <x v="12"/>
    <x v="3"/>
    <n v="61"/>
    <d v="1899-12-30T00:51:58"/>
    <n v="51.966666666666669"/>
  </r>
  <r>
    <x v="57"/>
    <x v="12"/>
    <x v="4"/>
    <n v="30"/>
    <d v="1899-12-30T00:45:01"/>
    <n v="45.016666666666666"/>
  </r>
  <r>
    <x v="57"/>
    <x v="12"/>
    <x v="5"/>
    <n v="86"/>
    <d v="1899-12-30T01:30:14"/>
    <n v="90.233333333333334"/>
  </r>
  <r>
    <x v="57"/>
    <x v="13"/>
    <x v="0"/>
    <n v="61"/>
    <d v="1899-12-30T01:22:13"/>
    <n v="82.216666666666669"/>
  </r>
  <r>
    <x v="57"/>
    <x v="13"/>
    <x v="1"/>
    <n v="42"/>
    <d v="1899-12-30T00:48:43"/>
    <n v="48.716666666666669"/>
  </r>
  <r>
    <x v="57"/>
    <x v="13"/>
    <x v="2"/>
    <n v="25"/>
    <d v="1899-12-30T00:37:42"/>
    <n v="37.700000000000003"/>
  </r>
  <r>
    <x v="57"/>
    <x v="13"/>
    <x v="3"/>
    <n v="15"/>
    <d v="1899-12-30T00:13:46"/>
    <n v="13.766666666666667"/>
  </r>
  <r>
    <x v="57"/>
    <x v="13"/>
    <x v="4"/>
    <n v="0"/>
    <d v="1899-12-30T00:00:00"/>
    <n v="0"/>
  </r>
  <r>
    <x v="57"/>
    <x v="13"/>
    <x v="5"/>
    <n v="50"/>
    <d v="1899-12-30T00:31:21"/>
    <n v="31.35"/>
  </r>
  <r>
    <x v="58"/>
    <x v="0"/>
    <x v="0"/>
    <n v="34"/>
    <d v="1899-12-30T00:33:52"/>
    <n v="33.866666666666667"/>
  </r>
  <r>
    <x v="58"/>
    <x v="0"/>
    <x v="1"/>
    <n v="21"/>
    <d v="1899-12-30T00:21:06"/>
    <n v="21.1"/>
  </r>
  <r>
    <x v="58"/>
    <x v="0"/>
    <x v="2"/>
    <n v="14"/>
    <d v="1899-12-30T00:18:09"/>
    <n v="18.149999999999999"/>
  </r>
  <r>
    <x v="58"/>
    <x v="0"/>
    <x v="3"/>
    <n v="4"/>
    <d v="1899-12-30T00:01:25"/>
    <n v="1.4166666666666667"/>
  </r>
  <r>
    <x v="58"/>
    <x v="0"/>
    <x v="4"/>
    <n v="5"/>
    <d v="1899-12-30T00:01:44"/>
    <n v="1.7333333333333334"/>
  </r>
  <r>
    <x v="58"/>
    <x v="0"/>
    <x v="5"/>
    <n v="13"/>
    <d v="1899-12-30T00:07:58"/>
    <n v="7.9666666666666668"/>
  </r>
  <r>
    <x v="58"/>
    <x v="1"/>
    <x v="0"/>
    <n v="51"/>
    <d v="1899-12-30T01:48:16"/>
    <n v="108.26666666666667"/>
  </r>
  <r>
    <x v="58"/>
    <x v="1"/>
    <x v="1"/>
    <n v="45"/>
    <d v="1899-12-30T01:22:13"/>
    <n v="82.216666666666669"/>
  </r>
  <r>
    <x v="58"/>
    <x v="1"/>
    <x v="2"/>
    <n v="32"/>
    <d v="1899-12-30T01:10:34"/>
    <n v="70.566666666666663"/>
  </r>
  <r>
    <x v="58"/>
    <x v="1"/>
    <x v="3"/>
    <n v="11"/>
    <d v="1899-12-30T00:07:30"/>
    <n v="7.5"/>
  </r>
  <r>
    <x v="58"/>
    <x v="1"/>
    <x v="4"/>
    <n v="4"/>
    <d v="1899-12-30T00:04:46"/>
    <n v="4.7666666666666666"/>
  </r>
  <r>
    <x v="58"/>
    <x v="1"/>
    <x v="5"/>
    <n v="16"/>
    <d v="1899-12-30T00:20:39"/>
    <n v="20.65"/>
  </r>
  <r>
    <x v="58"/>
    <x v="2"/>
    <x v="0"/>
    <n v="45"/>
    <d v="1899-12-30T01:14:10"/>
    <n v="74.166666666666671"/>
  </r>
  <r>
    <x v="58"/>
    <x v="2"/>
    <x v="1"/>
    <n v="35"/>
    <d v="1899-12-30T00:58:45"/>
    <n v="58.75"/>
  </r>
  <r>
    <x v="58"/>
    <x v="2"/>
    <x v="2"/>
    <n v="23"/>
    <d v="1899-12-30T00:35:54"/>
    <n v="35.9"/>
  </r>
  <r>
    <x v="58"/>
    <x v="2"/>
    <x v="3"/>
    <n v="13"/>
    <d v="1899-12-30T00:13:47"/>
    <n v="13.783333333333333"/>
  </r>
  <r>
    <x v="58"/>
    <x v="2"/>
    <x v="4"/>
    <n v="17"/>
    <d v="1899-12-30T00:27:07"/>
    <n v="27.116666666666667"/>
  </r>
  <r>
    <x v="58"/>
    <x v="2"/>
    <x v="5"/>
    <n v="32"/>
    <d v="1899-12-30T00:36:20"/>
    <n v="36.333333333333336"/>
  </r>
  <r>
    <x v="58"/>
    <x v="3"/>
    <x v="0"/>
    <n v="6"/>
    <d v="1899-12-30T00:10:41"/>
    <n v="10.683333333333334"/>
  </r>
  <r>
    <x v="58"/>
    <x v="3"/>
    <x v="1"/>
    <n v="4"/>
    <d v="1899-12-30T00:06:24"/>
    <n v="6.4"/>
  </r>
  <r>
    <x v="58"/>
    <x v="3"/>
    <x v="2"/>
    <n v="7"/>
    <d v="1899-12-30T00:14:23"/>
    <n v="14.383333333333333"/>
  </r>
  <r>
    <x v="58"/>
    <x v="3"/>
    <x v="3"/>
    <n v="3"/>
    <d v="1899-12-30T00:03:03"/>
    <n v="3.05"/>
  </r>
  <r>
    <x v="58"/>
    <x v="3"/>
    <x v="4"/>
    <n v="1"/>
    <d v="1899-12-30T00:02:29"/>
    <n v="2.4833333333333334"/>
  </r>
  <r>
    <x v="58"/>
    <x v="3"/>
    <x v="5"/>
    <n v="0"/>
    <d v="1899-12-30T00:00:00"/>
    <n v="0"/>
  </r>
  <r>
    <x v="58"/>
    <x v="4"/>
    <x v="0"/>
    <n v="27"/>
    <d v="1899-12-30T00:43:02"/>
    <n v="43.033333333333331"/>
  </r>
  <r>
    <x v="58"/>
    <x v="4"/>
    <x v="1"/>
    <n v="22"/>
    <d v="1899-12-30T00:32:55"/>
    <n v="32.916666666666664"/>
  </r>
  <r>
    <x v="58"/>
    <x v="4"/>
    <x v="2"/>
    <n v="9"/>
    <d v="1899-12-30T00:17:50"/>
    <n v="17.833333333333332"/>
  </r>
  <r>
    <x v="58"/>
    <x v="4"/>
    <x v="3"/>
    <n v="8"/>
    <d v="1899-12-30T00:05:33"/>
    <n v="5.55"/>
  </r>
  <r>
    <x v="58"/>
    <x v="4"/>
    <x v="4"/>
    <n v="9"/>
    <d v="1899-12-30T00:16:00"/>
    <n v="16"/>
  </r>
  <r>
    <x v="58"/>
    <x v="4"/>
    <x v="5"/>
    <n v="9"/>
    <d v="1899-12-30T00:10:03"/>
    <n v="10.050000000000001"/>
  </r>
  <r>
    <x v="58"/>
    <x v="5"/>
    <x v="0"/>
    <n v="43"/>
    <d v="1899-12-30T01:02:16"/>
    <n v="62.266666666666666"/>
  </r>
  <r>
    <x v="58"/>
    <x v="5"/>
    <x v="1"/>
    <n v="43"/>
    <d v="1899-12-30T00:55:49"/>
    <n v="55.81666666666667"/>
  </r>
  <r>
    <x v="58"/>
    <x v="5"/>
    <x v="2"/>
    <n v="22"/>
    <d v="1899-12-30T00:24:27"/>
    <n v="24.45"/>
  </r>
  <r>
    <x v="58"/>
    <x v="5"/>
    <x v="3"/>
    <n v="20"/>
    <d v="1899-12-30T00:18:54"/>
    <n v="18.899999999999999"/>
  </r>
  <r>
    <x v="58"/>
    <x v="5"/>
    <x v="4"/>
    <n v="2"/>
    <d v="1899-12-30T00:02:11"/>
    <n v="2.1833333333333331"/>
  </r>
  <r>
    <x v="58"/>
    <x v="5"/>
    <x v="5"/>
    <n v="46"/>
    <d v="1899-12-30T00:29:41"/>
    <n v="29.683333333333334"/>
  </r>
  <r>
    <x v="58"/>
    <x v="6"/>
    <x v="0"/>
    <n v="26"/>
    <d v="1899-12-30T00:41:35"/>
    <n v="41.583333333333336"/>
  </r>
  <r>
    <x v="58"/>
    <x v="6"/>
    <x v="1"/>
    <n v="32"/>
    <d v="1899-12-30T00:47:25"/>
    <n v="47.416666666666664"/>
  </r>
  <r>
    <x v="58"/>
    <x v="6"/>
    <x v="2"/>
    <n v="39"/>
    <d v="1899-12-30T01:14:53"/>
    <n v="74.88333333333334"/>
  </r>
  <r>
    <x v="58"/>
    <x v="6"/>
    <x v="3"/>
    <n v="10"/>
    <d v="1899-12-30T00:12:22"/>
    <n v="12.366666666666667"/>
  </r>
  <r>
    <x v="58"/>
    <x v="6"/>
    <x v="4"/>
    <n v="31"/>
    <d v="1899-12-30T00:52:46"/>
    <n v="52.766666666666666"/>
  </r>
  <r>
    <x v="58"/>
    <x v="6"/>
    <x v="5"/>
    <n v="17"/>
    <d v="1899-12-30T00:19:50"/>
    <n v="19.833333333333332"/>
  </r>
  <r>
    <x v="58"/>
    <x v="7"/>
    <x v="0"/>
    <n v="29"/>
    <d v="1899-12-30T00:34:41"/>
    <n v="34.68333333333333"/>
  </r>
  <r>
    <x v="58"/>
    <x v="7"/>
    <x v="1"/>
    <n v="45"/>
    <d v="1899-12-30T00:50:03"/>
    <n v="50.05"/>
  </r>
  <r>
    <x v="58"/>
    <x v="7"/>
    <x v="2"/>
    <n v="37"/>
    <d v="1899-12-30T00:57:53"/>
    <n v="57.883333333333333"/>
  </r>
  <r>
    <x v="58"/>
    <x v="7"/>
    <x v="3"/>
    <n v="48"/>
    <d v="1899-12-30T00:42:13"/>
    <n v="42.216666666666669"/>
  </r>
  <r>
    <x v="58"/>
    <x v="7"/>
    <x v="4"/>
    <n v="111"/>
    <d v="1899-12-30T02:24:41"/>
    <n v="144.68333333333334"/>
  </r>
  <r>
    <x v="58"/>
    <x v="7"/>
    <x v="5"/>
    <n v="36"/>
    <d v="1899-12-30T00:22:58"/>
    <n v="22.966666666666665"/>
  </r>
  <r>
    <x v="58"/>
    <x v="8"/>
    <x v="0"/>
    <n v="38"/>
    <d v="1899-12-30T00:50:00"/>
    <n v="50"/>
  </r>
  <r>
    <x v="58"/>
    <x v="8"/>
    <x v="1"/>
    <n v="36"/>
    <d v="1899-12-30T01:05:07"/>
    <n v="65.11666666666666"/>
  </r>
  <r>
    <x v="58"/>
    <x v="8"/>
    <x v="2"/>
    <n v="38"/>
    <d v="1899-12-30T01:09:10"/>
    <n v="69.166666666666671"/>
  </r>
  <r>
    <x v="58"/>
    <x v="8"/>
    <x v="3"/>
    <n v="26"/>
    <d v="1899-12-30T00:25:50"/>
    <n v="25.833333333333332"/>
  </r>
  <r>
    <x v="58"/>
    <x v="8"/>
    <x v="4"/>
    <n v="24"/>
    <d v="1899-12-30T00:18:44"/>
    <n v="18.733333333333334"/>
  </r>
  <r>
    <x v="58"/>
    <x v="8"/>
    <x v="5"/>
    <n v="42"/>
    <d v="1899-12-30T00:43:09"/>
    <n v="43.15"/>
  </r>
  <r>
    <x v="58"/>
    <x v="9"/>
    <x v="0"/>
    <n v="27"/>
    <d v="1899-12-30T00:32:45"/>
    <n v="32.75"/>
  </r>
  <r>
    <x v="58"/>
    <x v="9"/>
    <x v="1"/>
    <n v="34"/>
    <d v="1899-12-30T00:49:31"/>
    <n v="49.516666666666666"/>
  </r>
  <r>
    <x v="58"/>
    <x v="9"/>
    <x v="2"/>
    <n v="32"/>
    <d v="1899-12-30T00:51:32"/>
    <n v="51.533333333333331"/>
  </r>
  <r>
    <x v="58"/>
    <x v="9"/>
    <x v="3"/>
    <n v="19"/>
    <d v="1899-12-30T00:19:23"/>
    <n v="19.383333333333333"/>
  </r>
  <r>
    <x v="58"/>
    <x v="9"/>
    <x v="4"/>
    <n v="10"/>
    <d v="1899-12-30T00:11:34"/>
    <n v="11.566666666666666"/>
  </r>
  <r>
    <x v="58"/>
    <x v="9"/>
    <x v="5"/>
    <n v="18"/>
    <d v="1899-12-30T00:22:00"/>
    <n v="22"/>
  </r>
  <r>
    <x v="58"/>
    <x v="10"/>
    <x v="0"/>
    <n v="58"/>
    <d v="1899-12-30T01:37:19"/>
    <n v="97.316666666666663"/>
  </r>
  <r>
    <x v="58"/>
    <x v="10"/>
    <x v="1"/>
    <n v="63"/>
    <d v="1899-12-30T01:37:35"/>
    <n v="97.583333333333329"/>
  </r>
  <r>
    <x v="58"/>
    <x v="10"/>
    <x v="2"/>
    <n v="37"/>
    <d v="1899-12-30T01:12:32"/>
    <n v="72.533333333333331"/>
  </r>
  <r>
    <x v="58"/>
    <x v="10"/>
    <x v="3"/>
    <n v="24"/>
    <d v="1899-12-30T00:26:22"/>
    <n v="26.366666666666667"/>
  </r>
  <r>
    <x v="58"/>
    <x v="10"/>
    <x v="4"/>
    <n v="8"/>
    <d v="1899-12-30T00:09:35"/>
    <n v="9.5833333333333339"/>
  </r>
  <r>
    <x v="58"/>
    <x v="10"/>
    <x v="5"/>
    <n v="33"/>
    <d v="1899-12-30T00:35:49"/>
    <n v="35.81666666666667"/>
  </r>
  <r>
    <x v="58"/>
    <x v="11"/>
    <x v="0"/>
    <n v="13"/>
    <d v="1899-12-30T00:22:40"/>
    <n v="22.666666666666668"/>
  </r>
  <r>
    <x v="58"/>
    <x v="11"/>
    <x v="1"/>
    <n v="11"/>
    <d v="1899-12-30T00:10:40"/>
    <n v="10.666666666666666"/>
  </r>
  <r>
    <x v="58"/>
    <x v="11"/>
    <x v="2"/>
    <n v="3"/>
    <d v="1899-12-30T00:04:24"/>
    <n v="4.4000000000000004"/>
  </r>
  <r>
    <x v="58"/>
    <x v="11"/>
    <x v="3"/>
    <n v="1"/>
    <d v="1899-12-30T00:00:30"/>
    <n v="0.5"/>
  </r>
  <r>
    <x v="58"/>
    <x v="11"/>
    <x v="4"/>
    <n v="6"/>
    <d v="1899-12-30T00:10:51"/>
    <n v="10.85"/>
  </r>
  <r>
    <x v="58"/>
    <x v="11"/>
    <x v="5"/>
    <n v="2"/>
    <d v="1899-12-30T00:02:18"/>
    <n v="2.2999999999999998"/>
  </r>
  <r>
    <x v="58"/>
    <x v="12"/>
    <x v="0"/>
    <n v="105"/>
    <d v="1899-12-30T02:38:06"/>
    <n v="158.1"/>
  </r>
  <r>
    <x v="58"/>
    <x v="12"/>
    <x v="1"/>
    <n v="88"/>
    <d v="1899-12-30T02:26:37"/>
    <n v="146.61666666666667"/>
  </r>
  <r>
    <x v="58"/>
    <x v="12"/>
    <x v="2"/>
    <n v="50"/>
    <d v="1899-12-30T01:27:26"/>
    <n v="87.433333333333337"/>
  </r>
  <r>
    <x v="58"/>
    <x v="12"/>
    <x v="3"/>
    <n v="50"/>
    <d v="1899-12-30T00:47:05"/>
    <n v="47.083333333333336"/>
  </r>
  <r>
    <x v="58"/>
    <x v="12"/>
    <x v="4"/>
    <n v="40"/>
    <d v="1899-12-30T01:00:27"/>
    <n v="60.45"/>
  </r>
  <r>
    <x v="58"/>
    <x v="12"/>
    <x v="5"/>
    <n v="81"/>
    <d v="1899-12-30T01:27:01"/>
    <n v="87.016666666666666"/>
  </r>
  <r>
    <x v="58"/>
    <x v="13"/>
    <x v="0"/>
    <n v="75"/>
    <d v="1899-12-30T01:32:55"/>
    <n v="92.916666666666671"/>
  </r>
  <r>
    <x v="58"/>
    <x v="13"/>
    <x v="1"/>
    <n v="56"/>
    <d v="1899-12-30T01:05:22"/>
    <n v="65.36666666666666"/>
  </r>
  <r>
    <x v="58"/>
    <x v="13"/>
    <x v="2"/>
    <n v="25"/>
    <d v="1899-12-30T00:33:44"/>
    <n v="33.733333333333334"/>
  </r>
  <r>
    <x v="58"/>
    <x v="13"/>
    <x v="3"/>
    <n v="30"/>
    <d v="1899-12-30T00:28:15"/>
    <n v="28.25"/>
  </r>
  <r>
    <x v="58"/>
    <x v="13"/>
    <x v="4"/>
    <n v="5"/>
    <d v="1899-12-30T00:06:23"/>
    <n v="6.3833333333333337"/>
  </r>
  <r>
    <x v="58"/>
    <x v="13"/>
    <x v="5"/>
    <n v="76"/>
    <d v="1899-12-30T01:01:37"/>
    <n v="61.616666666666667"/>
  </r>
  <r>
    <x v="59"/>
    <x v="0"/>
    <x v="0"/>
    <n v="63"/>
    <d v="1899-12-30T01:25:59"/>
    <n v="85.983333333333334"/>
  </r>
  <r>
    <x v="59"/>
    <x v="0"/>
    <x v="1"/>
    <n v="45"/>
    <d v="1899-12-30T00:46:00"/>
    <n v="46"/>
  </r>
  <r>
    <x v="59"/>
    <x v="0"/>
    <x v="2"/>
    <n v="30"/>
    <d v="1899-12-30T00:32:04"/>
    <n v="32.06666666666667"/>
  </r>
  <r>
    <x v="59"/>
    <x v="0"/>
    <x v="3"/>
    <n v="13"/>
    <d v="1899-12-30T00:09:43"/>
    <n v="9.7166666666666668"/>
  </r>
  <r>
    <x v="59"/>
    <x v="0"/>
    <x v="4"/>
    <n v="3"/>
    <d v="1899-12-30T00:04:35"/>
    <n v="4.583333333333333"/>
  </r>
  <r>
    <x v="59"/>
    <x v="0"/>
    <x v="5"/>
    <n v="29"/>
    <d v="1899-12-30T00:24:06"/>
    <n v="24.1"/>
  </r>
  <r>
    <x v="59"/>
    <x v="1"/>
    <x v="0"/>
    <n v="61"/>
    <d v="1899-12-30T01:51:09"/>
    <n v="111.15"/>
  </r>
  <r>
    <x v="59"/>
    <x v="1"/>
    <x v="1"/>
    <n v="65"/>
    <d v="1899-12-30T02:03:09"/>
    <n v="123.15"/>
  </r>
  <r>
    <x v="59"/>
    <x v="1"/>
    <x v="2"/>
    <n v="43"/>
    <d v="1899-12-30T01:32:50"/>
    <n v="92.833333333333329"/>
  </r>
  <r>
    <x v="59"/>
    <x v="1"/>
    <x v="3"/>
    <n v="9"/>
    <d v="1899-12-30T00:06:30"/>
    <n v="6.5"/>
  </r>
  <r>
    <x v="59"/>
    <x v="1"/>
    <x v="4"/>
    <n v="4"/>
    <d v="1899-12-30T00:04:59"/>
    <n v="4.9833333333333334"/>
  </r>
  <r>
    <x v="59"/>
    <x v="1"/>
    <x v="5"/>
    <n v="26"/>
    <d v="1899-12-30T00:31:06"/>
    <n v="31.1"/>
  </r>
  <r>
    <x v="59"/>
    <x v="2"/>
    <x v="0"/>
    <n v="62"/>
    <d v="1899-12-30T01:46:24"/>
    <n v="106.4"/>
  </r>
  <r>
    <x v="59"/>
    <x v="2"/>
    <x v="1"/>
    <n v="46"/>
    <d v="1899-12-30T01:19:37"/>
    <n v="79.61666666666666"/>
  </r>
  <r>
    <x v="59"/>
    <x v="2"/>
    <x v="2"/>
    <n v="28"/>
    <d v="1899-12-30T00:53:35"/>
    <n v="53.583333333333336"/>
  </r>
  <r>
    <x v="59"/>
    <x v="2"/>
    <x v="3"/>
    <n v="17"/>
    <d v="1899-12-30T00:19:37"/>
    <n v="19.616666666666667"/>
  </r>
  <r>
    <x v="59"/>
    <x v="2"/>
    <x v="4"/>
    <n v="36"/>
    <d v="1899-12-30T00:44:25"/>
    <n v="44.416666666666664"/>
  </r>
  <r>
    <x v="59"/>
    <x v="2"/>
    <x v="5"/>
    <n v="26"/>
    <d v="1899-12-30T00:31:42"/>
    <n v="31.7"/>
  </r>
  <r>
    <x v="59"/>
    <x v="3"/>
    <x v="0"/>
    <n v="6"/>
    <d v="1899-12-30T00:08:17"/>
    <n v="8.2833333333333332"/>
  </r>
  <r>
    <x v="59"/>
    <x v="3"/>
    <x v="1"/>
    <n v="4"/>
    <d v="1899-12-30T00:08:49"/>
    <n v="8.8166666666666664"/>
  </r>
  <r>
    <x v="59"/>
    <x v="3"/>
    <x v="2"/>
    <n v="5"/>
    <d v="1899-12-30T00:08:58"/>
    <n v="8.9666666666666668"/>
  </r>
  <r>
    <x v="59"/>
    <x v="3"/>
    <x v="3"/>
    <n v="2"/>
    <d v="1899-12-30T00:01:06"/>
    <n v="1.1000000000000001"/>
  </r>
  <r>
    <x v="59"/>
    <x v="3"/>
    <x v="4"/>
    <n v="4"/>
    <d v="1899-12-30T00:06:34"/>
    <n v="6.5666666666666664"/>
  </r>
  <r>
    <x v="59"/>
    <x v="3"/>
    <x v="5"/>
    <n v="2"/>
    <d v="1899-12-30T00:03:28"/>
    <n v="3.4666666666666668"/>
  </r>
  <r>
    <x v="59"/>
    <x v="4"/>
    <x v="0"/>
    <n v="63"/>
    <d v="1899-12-30T01:51:18"/>
    <n v="111.3"/>
  </r>
  <r>
    <x v="59"/>
    <x v="4"/>
    <x v="1"/>
    <n v="53"/>
    <d v="1899-12-30T01:27:12"/>
    <n v="87.2"/>
  </r>
  <r>
    <x v="59"/>
    <x v="4"/>
    <x v="2"/>
    <n v="58"/>
    <d v="1899-12-30T02:10:16"/>
    <n v="130.26666666666668"/>
  </r>
  <r>
    <x v="59"/>
    <x v="4"/>
    <x v="3"/>
    <n v="27"/>
    <d v="1899-12-30T00:26:45"/>
    <n v="26.75"/>
  </r>
  <r>
    <x v="59"/>
    <x v="4"/>
    <x v="4"/>
    <n v="32"/>
    <d v="1899-12-30T01:03:20"/>
    <n v="63.333333333333336"/>
  </r>
  <r>
    <x v="59"/>
    <x v="4"/>
    <x v="5"/>
    <n v="29"/>
    <d v="1899-12-30T00:29:57"/>
    <n v="29.95"/>
  </r>
  <r>
    <x v="59"/>
    <x v="5"/>
    <x v="0"/>
    <n v="50"/>
    <d v="1899-12-30T01:09:54"/>
    <n v="69.900000000000006"/>
  </r>
  <r>
    <x v="59"/>
    <x v="5"/>
    <x v="1"/>
    <n v="53"/>
    <d v="1899-12-30T00:57:33"/>
    <n v="57.55"/>
  </r>
  <r>
    <x v="59"/>
    <x v="5"/>
    <x v="2"/>
    <n v="41"/>
    <d v="1899-12-30T00:57:07"/>
    <n v="57.116666666666667"/>
  </r>
  <r>
    <x v="59"/>
    <x v="5"/>
    <x v="3"/>
    <n v="23"/>
    <d v="1899-12-30T00:22:10"/>
    <n v="22.166666666666668"/>
  </r>
  <r>
    <x v="59"/>
    <x v="5"/>
    <x v="4"/>
    <n v="5"/>
    <d v="1899-12-30T00:04:16"/>
    <n v="4.2666666666666666"/>
  </r>
  <r>
    <x v="59"/>
    <x v="5"/>
    <x v="5"/>
    <n v="55"/>
    <d v="1899-12-30T00:39:18"/>
    <n v="39.299999999999997"/>
  </r>
  <r>
    <x v="59"/>
    <x v="6"/>
    <x v="0"/>
    <n v="5"/>
    <d v="1899-12-30T00:06:30"/>
    <n v="6.5"/>
  </r>
  <r>
    <x v="59"/>
    <x v="6"/>
    <x v="1"/>
    <n v="10"/>
    <d v="1899-12-30T00:11:57"/>
    <n v="11.95"/>
  </r>
  <r>
    <x v="59"/>
    <x v="6"/>
    <x v="2"/>
    <n v="7"/>
    <d v="1899-12-30T00:09:41"/>
    <n v="9.6833333333333336"/>
  </r>
  <r>
    <x v="59"/>
    <x v="6"/>
    <x v="3"/>
    <n v="5"/>
    <d v="1899-12-30T00:03:25"/>
    <n v="3.4166666666666665"/>
  </r>
  <r>
    <x v="59"/>
    <x v="6"/>
    <x v="4"/>
    <n v="11"/>
    <d v="1899-12-30T00:18:00"/>
    <n v="18"/>
  </r>
  <r>
    <x v="59"/>
    <x v="6"/>
    <x v="5"/>
    <n v="3"/>
    <d v="1899-12-30T00:02:50"/>
    <n v="2.8333333333333335"/>
  </r>
  <r>
    <x v="59"/>
    <x v="7"/>
    <x v="0"/>
    <n v="52"/>
    <d v="1899-12-30T01:05:51"/>
    <n v="65.849999999999994"/>
  </r>
  <r>
    <x v="59"/>
    <x v="7"/>
    <x v="1"/>
    <n v="72"/>
    <d v="1899-12-30T01:33:03"/>
    <n v="93.05"/>
  </r>
  <r>
    <x v="59"/>
    <x v="7"/>
    <x v="2"/>
    <n v="51"/>
    <d v="1899-12-30T01:16:50"/>
    <n v="76.833333333333329"/>
  </r>
  <r>
    <x v="59"/>
    <x v="7"/>
    <x v="3"/>
    <n v="60"/>
    <d v="1899-12-30T00:57:27"/>
    <n v="57.45"/>
  </r>
  <r>
    <x v="59"/>
    <x v="7"/>
    <x v="4"/>
    <n v="150"/>
    <d v="1899-12-30T03:18:12"/>
    <n v="198.2"/>
  </r>
  <r>
    <x v="59"/>
    <x v="7"/>
    <x v="5"/>
    <n v="40"/>
    <d v="1899-12-30T00:33:58"/>
    <n v="33.966666666666669"/>
  </r>
  <r>
    <x v="59"/>
    <x v="8"/>
    <x v="0"/>
    <n v="53"/>
    <d v="1899-12-30T01:28:17"/>
    <n v="88.283333333333331"/>
  </r>
  <r>
    <x v="59"/>
    <x v="8"/>
    <x v="1"/>
    <n v="26"/>
    <d v="1899-12-30T00:41:19"/>
    <n v="41.31666666666667"/>
  </r>
  <r>
    <x v="59"/>
    <x v="8"/>
    <x v="2"/>
    <n v="25"/>
    <d v="1899-12-30T00:41:15"/>
    <n v="41.25"/>
  </r>
  <r>
    <x v="59"/>
    <x v="8"/>
    <x v="3"/>
    <n v="17"/>
    <d v="1899-12-30T00:17:48"/>
    <n v="17.8"/>
  </r>
  <r>
    <x v="59"/>
    <x v="8"/>
    <x v="4"/>
    <n v="20"/>
    <d v="1899-12-30T00:26:40"/>
    <n v="26.666666666666668"/>
  </r>
  <r>
    <x v="59"/>
    <x v="8"/>
    <x v="5"/>
    <n v="39"/>
    <d v="1899-12-30T00:28:55"/>
    <n v="28.916666666666668"/>
  </r>
  <r>
    <x v="59"/>
    <x v="9"/>
    <x v="0"/>
    <n v="23"/>
    <d v="1899-12-30T00:24:58"/>
    <n v="24.966666666666665"/>
  </r>
  <r>
    <x v="59"/>
    <x v="9"/>
    <x v="1"/>
    <n v="27"/>
    <d v="1899-12-30T00:36:48"/>
    <n v="36.799999999999997"/>
  </r>
  <r>
    <x v="59"/>
    <x v="9"/>
    <x v="2"/>
    <n v="11"/>
    <d v="1899-12-30T00:26:12"/>
    <n v="26.2"/>
  </r>
  <r>
    <x v="59"/>
    <x v="9"/>
    <x v="3"/>
    <n v="4"/>
    <d v="1899-12-30T00:03:38"/>
    <n v="3.6333333333333333"/>
  </r>
  <r>
    <x v="59"/>
    <x v="9"/>
    <x v="4"/>
    <n v="5"/>
    <d v="1899-12-30T00:10:42"/>
    <n v="10.7"/>
  </r>
  <r>
    <x v="59"/>
    <x v="9"/>
    <x v="5"/>
    <n v="22"/>
    <d v="1899-12-30T00:26:42"/>
    <n v="26.7"/>
  </r>
  <r>
    <x v="59"/>
    <x v="10"/>
    <x v="0"/>
    <n v="54"/>
    <d v="1899-12-30T01:15:39"/>
    <n v="75.650000000000006"/>
  </r>
  <r>
    <x v="59"/>
    <x v="10"/>
    <x v="1"/>
    <n v="57"/>
    <d v="1899-12-30T01:29:41"/>
    <n v="89.683333333333337"/>
  </r>
  <r>
    <x v="59"/>
    <x v="10"/>
    <x v="2"/>
    <n v="35"/>
    <d v="1899-12-30T01:05:10"/>
    <n v="65.166666666666671"/>
  </r>
  <r>
    <x v="59"/>
    <x v="10"/>
    <x v="3"/>
    <n v="21"/>
    <d v="1899-12-30T00:22:36"/>
    <n v="22.6"/>
  </r>
  <r>
    <x v="59"/>
    <x v="10"/>
    <x v="4"/>
    <n v="9"/>
    <d v="1899-12-30T00:15:20"/>
    <n v="15.333333333333334"/>
  </r>
  <r>
    <x v="59"/>
    <x v="10"/>
    <x v="5"/>
    <n v="45"/>
    <d v="1899-12-30T00:55:57"/>
    <n v="55.95"/>
  </r>
  <r>
    <x v="59"/>
    <x v="11"/>
    <x v="0"/>
    <n v="6"/>
    <d v="1899-12-30T00:11:34"/>
    <n v="11.566666666666666"/>
  </r>
  <r>
    <x v="59"/>
    <x v="11"/>
    <x v="1"/>
    <n v="10"/>
    <d v="1899-12-30T00:19:10"/>
    <n v="19.166666666666668"/>
  </r>
  <r>
    <x v="59"/>
    <x v="11"/>
    <x v="2"/>
    <n v="3"/>
    <d v="1899-12-30T00:08:12"/>
    <n v="8.1999999999999993"/>
  </r>
  <r>
    <x v="59"/>
    <x v="11"/>
    <x v="3"/>
    <n v="3"/>
    <d v="1899-12-30T00:02:11"/>
    <n v="2.1833333333333331"/>
  </r>
  <r>
    <x v="59"/>
    <x v="11"/>
    <x v="4"/>
    <n v="3"/>
    <d v="1899-12-30T00:02:29"/>
    <n v="2.4833333333333334"/>
  </r>
  <r>
    <x v="59"/>
    <x v="11"/>
    <x v="5"/>
    <n v="3"/>
    <d v="1899-12-30T00:03:41"/>
    <n v="3.6833333333333336"/>
  </r>
  <r>
    <x v="59"/>
    <x v="12"/>
    <x v="0"/>
    <n v="159"/>
    <d v="1899-12-30T04:07:33"/>
    <n v="247.55"/>
  </r>
  <r>
    <x v="59"/>
    <x v="12"/>
    <x v="1"/>
    <n v="166"/>
    <d v="1899-12-30T04:15:31"/>
    <n v="255.51666666666668"/>
  </r>
  <r>
    <x v="59"/>
    <x v="12"/>
    <x v="2"/>
    <n v="101"/>
    <d v="1899-12-30T02:51:08"/>
    <n v="171.13333333333333"/>
  </r>
  <r>
    <x v="59"/>
    <x v="12"/>
    <x v="3"/>
    <n v="76"/>
    <d v="1899-12-30T01:14:16"/>
    <n v="74.266666666666666"/>
  </r>
  <r>
    <x v="59"/>
    <x v="12"/>
    <x v="4"/>
    <n v="49"/>
    <d v="1899-12-30T01:11:38"/>
    <n v="71.63333333333334"/>
  </r>
  <r>
    <x v="59"/>
    <x v="12"/>
    <x v="5"/>
    <n v="122"/>
    <d v="1899-12-30T01:55:37"/>
    <n v="115.61666666666666"/>
  </r>
  <r>
    <x v="59"/>
    <x v="13"/>
    <x v="0"/>
    <n v="43"/>
    <d v="1899-12-30T01:01:05"/>
    <n v="61.083333333333336"/>
  </r>
  <r>
    <x v="59"/>
    <x v="13"/>
    <x v="1"/>
    <n v="43"/>
    <d v="1899-12-30T00:54:38"/>
    <n v="54.633333333333333"/>
  </r>
  <r>
    <x v="59"/>
    <x v="13"/>
    <x v="2"/>
    <n v="16"/>
    <d v="1899-12-30T00:21:53"/>
    <n v="21.883333333333333"/>
  </r>
  <r>
    <x v="59"/>
    <x v="13"/>
    <x v="3"/>
    <n v="16"/>
    <d v="1899-12-30T00:15:50"/>
    <n v="15.833333333333334"/>
  </r>
  <r>
    <x v="59"/>
    <x v="13"/>
    <x v="4"/>
    <n v="0"/>
    <d v="1899-12-30T00:00:00"/>
    <n v="0"/>
  </r>
  <r>
    <x v="59"/>
    <x v="13"/>
    <x v="5"/>
    <n v="56"/>
    <d v="1899-12-30T00:41:10"/>
    <n v="41.166666666666664"/>
  </r>
  <r>
    <x v="60"/>
    <x v="0"/>
    <x v="0"/>
    <n v="162"/>
    <d v="1899-12-30T04:12:46"/>
    <n v="252.76666666666668"/>
  </r>
  <r>
    <x v="60"/>
    <x v="0"/>
    <x v="1"/>
    <n v="129"/>
    <d v="1899-12-30T03:20:56"/>
    <n v="200.93333333333334"/>
  </r>
  <r>
    <x v="60"/>
    <x v="0"/>
    <x v="2"/>
    <n v="93"/>
    <d v="1899-12-30T02:39:16"/>
    <n v="159.26666666666668"/>
  </r>
  <r>
    <x v="60"/>
    <x v="0"/>
    <x v="3"/>
    <n v="54"/>
    <d v="1899-12-30T00:58:48"/>
    <n v="58.8"/>
  </r>
  <r>
    <x v="60"/>
    <x v="0"/>
    <x v="4"/>
    <n v="40"/>
    <d v="1899-12-30T01:13:26"/>
    <n v="73.433333333333337"/>
  </r>
  <r>
    <x v="60"/>
    <x v="0"/>
    <x v="5"/>
    <n v="94"/>
    <d v="1899-12-30T01:42:22"/>
    <n v="102.36666666666666"/>
  </r>
  <r>
    <x v="60"/>
    <x v="1"/>
    <x v="0"/>
    <n v="50"/>
    <d v="1899-12-30T01:15:20"/>
    <n v="75.333333333333329"/>
  </r>
  <r>
    <x v="60"/>
    <x v="1"/>
    <x v="1"/>
    <n v="38"/>
    <d v="1899-12-30T01:09:49"/>
    <n v="69.816666666666663"/>
  </r>
  <r>
    <x v="60"/>
    <x v="1"/>
    <x v="2"/>
    <n v="31"/>
    <d v="1899-12-30T01:09:18"/>
    <n v="69.3"/>
  </r>
  <r>
    <x v="60"/>
    <x v="1"/>
    <x v="3"/>
    <n v="8"/>
    <d v="1899-12-30T00:06:10"/>
    <n v="6.166666666666667"/>
  </r>
  <r>
    <x v="60"/>
    <x v="1"/>
    <x v="4"/>
    <n v="60"/>
    <d v="1899-12-30T02:14:22"/>
    <n v="134.36666666666667"/>
  </r>
  <r>
    <x v="60"/>
    <x v="1"/>
    <x v="5"/>
    <n v="23"/>
    <d v="1899-12-30T00:27:52"/>
    <n v="27.866666666666667"/>
  </r>
  <r>
    <x v="60"/>
    <x v="2"/>
    <x v="0"/>
    <n v="37"/>
    <d v="1899-12-30T00:48:56"/>
    <n v="48.93333333333333"/>
  </r>
  <r>
    <x v="60"/>
    <x v="2"/>
    <x v="1"/>
    <n v="28"/>
    <d v="1899-12-30T00:47:38"/>
    <n v="47.633333333333333"/>
  </r>
  <r>
    <x v="60"/>
    <x v="2"/>
    <x v="2"/>
    <n v="21"/>
    <d v="1899-12-30T00:31:03"/>
    <n v="31.05"/>
  </r>
  <r>
    <x v="60"/>
    <x v="2"/>
    <x v="3"/>
    <n v="19"/>
    <d v="1899-12-30T00:17:11"/>
    <n v="17.183333333333334"/>
  </r>
  <r>
    <x v="60"/>
    <x v="2"/>
    <x v="4"/>
    <n v="26"/>
    <d v="1899-12-30T00:44:52"/>
    <n v="44.866666666666667"/>
  </r>
  <r>
    <x v="60"/>
    <x v="2"/>
    <x v="5"/>
    <n v="33"/>
    <d v="1899-12-30T00:41:30"/>
    <n v="41.5"/>
  </r>
  <r>
    <x v="60"/>
    <x v="3"/>
    <x v="0"/>
    <n v="18"/>
    <d v="1899-12-30T00:30:44"/>
    <n v="30.733333333333334"/>
  </r>
  <r>
    <x v="60"/>
    <x v="3"/>
    <x v="1"/>
    <n v="12"/>
    <d v="1899-12-30T00:26:57"/>
    <n v="26.95"/>
  </r>
  <r>
    <x v="60"/>
    <x v="3"/>
    <x v="2"/>
    <n v="14"/>
    <d v="1899-12-30T00:26:27"/>
    <n v="26.45"/>
  </r>
  <r>
    <x v="60"/>
    <x v="3"/>
    <x v="3"/>
    <n v="7"/>
    <d v="1899-12-30T00:05:39"/>
    <n v="5.65"/>
  </r>
  <r>
    <x v="60"/>
    <x v="3"/>
    <x v="4"/>
    <n v="0"/>
    <d v="1899-12-30T00:00:00"/>
    <n v="0"/>
  </r>
  <r>
    <x v="60"/>
    <x v="3"/>
    <x v="5"/>
    <n v="9"/>
    <d v="1899-12-30T00:09:14"/>
    <n v="9.2333333333333325"/>
  </r>
  <r>
    <x v="60"/>
    <x v="4"/>
    <x v="0"/>
    <n v="36"/>
    <d v="1899-12-30T00:48:33"/>
    <n v="48.55"/>
  </r>
  <r>
    <x v="60"/>
    <x v="4"/>
    <x v="1"/>
    <n v="24"/>
    <d v="1899-12-30T00:25:46"/>
    <n v="25.766666666666666"/>
  </r>
  <r>
    <x v="60"/>
    <x v="4"/>
    <x v="2"/>
    <n v="16"/>
    <d v="1899-12-30T00:21:58"/>
    <n v="21.966666666666665"/>
  </r>
  <r>
    <x v="60"/>
    <x v="4"/>
    <x v="3"/>
    <n v="6"/>
    <d v="1899-12-30T00:02:48"/>
    <n v="2.8"/>
  </r>
  <r>
    <x v="60"/>
    <x v="4"/>
    <x v="4"/>
    <n v="5"/>
    <d v="1899-12-30T00:09:17"/>
    <n v="9.2833333333333332"/>
  </r>
  <r>
    <x v="60"/>
    <x v="4"/>
    <x v="5"/>
    <n v="16"/>
    <d v="1899-12-30T00:13:32"/>
    <n v="13.533333333333333"/>
  </r>
  <r>
    <x v="60"/>
    <x v="5"/>
    <x v="0"/>
    <n v="22"/>
    <d v="1899-12-30T00:23:22"/>
    <n v="23.366666666666667"/>
  </r>
  <r>
    <x v="60"/>
    <x v="5"/>
    <x v="1"/>
    <n v="18"/>
    <d v="1899-12-30T00:22:07"/>
    <n v="22.116666666666667"/>
  </r>
  <r>
    <x v="60"/>
    <x v="5"/>
    <x v="2"/>
    <n v="19"/>
    <d v="1899-12-30T00:27:37"/>
    <n v="27.616666666666667"/>
  </r>
  <r>
    <x v="60"/>
    <x v="5"/>
    <x v="3"/>
    <n v="7"/>
    <d v="1899-12-30T00:03:54"/>
    <n v="3.9"/>
  </r>
  <r>
    <x v="60"/>
    <x v="5"/>
    <x v="4"/>
    <n v="0"/>
    <d v="1899-12-30T00:00:00"/>
    <n v="0"/>
  </r>
  <r>
    <x v="60"/>
    <x v="5"/>
    <x v="5"/>
    <n v="28"/>
    <d v="1899-12-30T00:20:04"/>
    <n v="20.066666666666666"/>
  </r>
  <r>
    <x v="60"/>
    <x v="6"/>
    <x v="0"/>
    <n v="10"/>
    <d v="1899-12-30T00:14:41"/>
    <n v="14.683333333333334"/>
  </r>
  <r>
    <x v="60"/>
    <x v="6"/>
    <x v="1"/>
    <n v="21"/>
    <d v="1899-12-30T00:35:12"/>
    <n v="35.200000000000003"/>
  </r>
  <r>
    <x v="60"/>
    <x v="6"/>
    <x v="2"/>
    <n v="18"/>
    <d v="1899-12-30T00:26:14"/>
    <n v="26.233333333333334"/>
  </r>
  <r>
    <x v="60"/>
    <x v="6"/>
    <x v="3"/>
    <n v="10"/>
    <d v="1899-12-30T00:09:37"/>
    <n v="9.6166666666666671"/>
  </r>
  <r>
    <x v="60"/>
    <x v="6"/>
    <x v="4"/>
    <n v="6"/>
    <d v="1899-12-30T00:12:37"/>
    <n v="12.616666666666667"/>
  </r>
  <r>
    <x v="60"/>
    <x v="6"/>
    <x v="5"/>
    <n v="9"/>
    <d v="1899-12-30T00:09:27"/>
    <n v="9.4499999999999993"/>
  </r>
  <r>
    <x v="60"/>
    <x v="7"/>
    <x v="0"/>
    <n v="42"/>
    <d v="1899-12-30T00:43:38"/>
    <n v="43.633333333333333"/>
  </r>
  <r>
    <x v="60"/>
    <x v="7"/>
    <x v="1"/>
    <n v="54"/>
    <d v="1899-12-30T01:08:13"/>
    <n v="68.216666666666669"/>
  </r>
  <r>
    <x v="60"/>
    <x v="7"/>
    <x v="2"/>
    <n v="36"/>
    <d v="1899-12-30T00:56:51"/>
    <n v="56.85"/>
  </r>
  <r>
    <x v="60"/>
    <x v="7"/>
    <x v="3"/>
    <n v="50"/>
    <d v="1899-12-30T00:42:54"/>
    <n v="42.9"/>
  </r>
  <r>
    <x v="60"/>
    <x v="7"/>
    <x v="4"/>
    <n v="96"/>
    <d v="1899-12-30T02:14:11"/>
    <n v="134.18333333333334"/>
  </r>
  <r>
    <x v="60"/>
    <x v="7"/>
    <x v="5"/>
    <n v="36"/>
    <d v="1899-12-30T00:30:16"/>
    <n v="30.266666666666666"/>
  </r>
  <r>
    <x v="60"/>
    <x v="8"/>
    <x v="0"/>
    <n v="28"/>
    <d v="1899-12-30T00:48:51"/>
    <n v="48.85"/>
  </r>
  <r>
    <x v="60"/>
    <x v="8"/>
    <x v="1"/>
    <n v="20"/>
    <d v="1899-12-30T00:37:39"/>
    <n v="37.65"/>
  </r>
  <r>
    <x v="60"/>
    <x v="8"/>
    <x v="2"/>
    <n v="8"/>
    <d v="1899-12-30T00:10:12"/>
    <n v="10.199999999999999"/>
  </r>
  <r>
    <x v="60"/>
    <x v="8"/>
    <x v="3"/>
    <n v="13"/>
    <d v="1899-12-30T00:12:00"/>
    <n v="12"/>
  </r>
  <r>
    <x v="60"/>
    <x v="8"/>
    <x v="4"/>
    <n v="15"/>
    <d v="1899-12-30T00:21:23"/>
    <n v="21.383333333333333"/>
  </r>
  <r>
    <x v="60"/>
    <x v="8"/>
    <x v="5"/>
    <n v="15"/>
    <d v="1899-12-30T00:12:25"/>
    <n v="12.416666666666666"/>
  </r>
  <r>
    <x v="60"/>
    <x v="9"/>
    <x v="0"/>
    <n v="37"/>
    <d v="1899-12-30T00:38:19"/>
    <n v="38.31666666666667"/>
  </r>
  <r>
    <x v="60"/>
    <x v="9"/>
    <x v="1"/>
    <n v="29"/>
    <d v="1899-12-30T00:29:27"/>
    <n v="29.45"/>
  </r>
  <r>
    <x v="60"/>
    <x v="9"/>
    <x v="2"/>
    <n v="31"/>
    <d v="1899-12-30T00:45:35"/>
    <n v="45.583333333333336"/>
  </r>
  <r>
    <x v="60"/>
    <x v="9"/>
    <x v="3"/>
    <n v="17"/>
    <d v="1899-12-30T00:20:31"/>
    <n v="20.516666666666666"/>
  </r>
  <r>
    <x v="60"/>
    <x v="9"/>
    <x v="4"/>
    <n v="6"/>
    <d v="1899-12-30T00:09:59"/>
    <n v="9.9833333333333325"/>
  </r>
  <r>
    <x v="60"/>
    <x v="9"/>
    <x v="5"/>
    <n v="19"/>
    <d v="1899-12-30T00:18:42"/>
    <n v="18.7"/>
  </r>
  <r>
    <x v="60"/>
    <x v="10"/>
    <x v="0"/>
    <n v="20"/>
    <d v="1899-12-30T00:33:17"/>
    <n v="33.283333333333331"/>
  </r>
  <r>
    <x v="60"/>
    <x v="10"/>
    <x v="1"/>
    <n v="16"/>
    <d v="1899-12-30T00:25:03"/>
    <n v="25.05"/>
  </r>
  <r>
    <x v="60"/>
    <x v="10"/>
    <x v="2"/>
    <n v="20"/>
    <d v="1899-12-30T00:32:56"/>
    <n v="32.93333333333333"/>
  </r>
  <r>
    <x v="60"/>
    <x v="10"/>
    <x v="3"/>
    <n v="6"/>
    <d v="1899-12-30T00:06:56"/>
    <n v="6.9333333333333336"/>
  </r>
  <r>
    <x v="60"/>
    <x v="10"/>
    <x v="4"/>
    <n v="8"/>
    <d v="1899-12-30T00:11:35"/>
    <n v="11.583333333333334"/>
  </r>
  <r>
    <x v="60"/>
    <x v="10"/>
    <x v="5"/>
    <n v="16"/>
    <d v="1899-12-30T00:21:19"/>
    <n v="21.316666666666666"/>
  </r>
  <r>
    <x v="60"/>
    <x v="11"/>
    <x v="0"/>
    <n v="9"/>
    <d v="1899-12-30T00:15:18"/>
    <n v="15.3"/>
  </r>
  <r>
    <x v="60"/>
    <x v="11"/>
    <x v="1"/>
    <n v="4"/>
    <d v="1899-12-30T00:07:46"/>
    <n v="7.7666666666666666"/>
  </r>
  <r>
    <x v="60"/>
    <x v="11"/>
    <x v="2"/>
    <n v="2"/>
    <d v="1899-12-30T00:04:20"/>
    <n v="4.333333333333333"/>
  </r>
  <r>
    <x v="60"/>
    <x v="11"/>
    <x v="3"/>
    <n v="4"/>
    <d v="1899-12-30T00:03:07"/>
    <n v="3.1166666666666667"/>
  </r>
  <r>
    <x v="60"/>
    <x v="11"/>
    <x v="4"/>
    <n v="3"/>
    <d v="1899-12-30T00:02:56"/>
    <n v="2.9333333333333336"/>
  </r>
  <r>
    <x v="60"/>
    <x v="11"/>
    <x v="5"/>
    <n v="4"/>
    <d v="1899-12-30T00:04:08"/>
    <n v="4.1333333333333337"/>
  </r>
  <r>
    <x v="60"/>
    <x v="12"/>
    <x v="0"/>
    <n v="104"/>
    <d v="1899-12-30T02:53:48"/>
    <n v="173.8"/>
  </r>
  <r>
    <x v="60"/>
    <x v="12"/>
    <x v="1"/>
    <n v="96"/>
    <d v="1899-12-30T02:41:36"/>
    <n v="161.6"/>
  </r>
  <r>
    <x v="60"/>
    <x v="12"/>
    <x v="2"/>
    <n v="64"/>
    <d v="1899-12-30T01:41:15"/>
    <n v="101.25"/>
  </r>
  <r>
    <x v="60"/>
    <x v="12"/>
    <x v="3"/>
    <n v="62"/>
    <d v="1899-12-30T01:00:25"/>
    <n v="60.416666666666664"/>
  </r>
  <r>
    <x v="60"/>
    <x v="12"/>
    <x v="4"/>
    <n v="45"/>
    <d v="1899-12-30T01:02:14"/>
    <n v="62.233333333333334"/>
  </r>
  <r>
    <x v="60"/>
    <x v="12"/>
    <x v="5"/>
    <n v="73"/>
    <d v="1899-12-30T01:11:24"/>
    <n v="71.400000000000006"/>
  </r>
  <r>
    <x v="60"/>
    <x v="13"/>
    <x v="0"/>
    <n v="48"/>
    <d v="1899-12-30T00:44:28"/>
    <n v="44.466666666666669"/>
  </r>
  <r>
    <x v="60"/>
    <x v="13"/>
    <x v="1"/>
    <n v="37"/>
    <d v="1899-12-30T00:35:59"/>
    <n v="35.983333333333334"/>
  </r>
  <r>
    <x v="60"/>
    <x v="13"/>
    <x v="2"/>
    <n v="12"/>
    <d v="1899-12-30T00:10:33"/>
    <n v="10.55"/>
  </r>
  <r>
    <x v="60"/>
    <x v="13"/>
    <x v="3"/>
    <n v="2"/>
    <d v="1899-12-30T00:02:20"/>
    <n v="2.3333333333333335"/>
  </r>
  <r>
    <x v="60"/>
    <x v="13"/>
    <x v="4"/>
    <n v="1"/>
    <d v="1899-12-30T00:02:50"/>
    <n v="2.8333333333333335"/>
  </r>
  <r>
    <x v="60"/>
    <x v="13"/>
    <x v="5"/>
    <n v="37"/>
    <d v="1899-12-30T00:20:27"/>
    <n v="20.45"/>
  </r>
  <r>
    <x v="61"/>
    <x v="0"/>
    <x v="0"/>
    <n v="65"/>
    <d v="1899-12-30T01:26:00"/>
    <n v="86"/>
  </r>
  <r>
    <x v="61"/>
    <x v="0"/>
    <x v="1"/>
    <n v="52"/>
    <d v="1899-12-30T01:12:19"/>
    <n v="72.316666666666663"/>
  </r>
  <r>
    <x v="61"/>
    <x v="0"/>
    <x v="2"/>
    <n v="37"/>
    <d v="1899-12-30T00:52:59"/>
    <n v="52.983333333333334"/>
  </r>
  <r>
    <x v="61"/>
    <x v="0"/>
    <x v="3"/>
    <n v="26"/>
    <d v="1899-12-30T00:25:14"/>
    <n v="25.233333333333334"/>
  </r>
  <r>
    <x v="61"/>
    <x v="0"/>
    <x v="4"/>
    <n v="11"/>
    <d v="1899-12-30T00:16:02"/>
    <n v="16.033333333333335"/>
  </r>
  <r>
    <x v="61"/>
    <x v="0"/>
    <x v="5"/>
    <n v="35"/>
    <d v="1899-12-30T00:31:13"/>
    <n v="31.216666666666665"/>
  </r>
  <r>
    <x v="61"/>
    <x v="1"/>
    <x v="0"/>
    <n v="56"/>
    <d v="1899-12-30T01:56:34"/>
    <n v="116.56666666666666"/>
  </r>
  <r>
    <x v="61"/>
    <x v="1"/>
    <x v="1"/>
    <n v="42"/>
    <d v="1899-12-30T01:06:55"/>
    <n v="66.916666666666671"/>
  </r>
  <r>
    <x v="61"/>
    <x v="1"/>
    <x v="2"/>
    <n v="25"/>
    <d v="1899-12-30T00:55:34"/>
    <n v="55.56666666666667"/>
  </r>
  <r>
    <x v="61"/>
    <x v="1"/>
    <x v="3"/>
    <n v="18"/>
    <d v="1899-12-30T00:13:38"/>
    <n v="13.633333333333333"/>
  </r>
  <r>
    <x v="61"/>
    <x v="1"/>
    <x v="4"/>
    <n v="96"/>
    <d v="1899-12-30T03:14:34"/>
    <n v="194.56666666666666"/>
  </r>
  <r>
    <x v="61"/>
    <x v="1"/>
    <x v="5"/>
    <n v="21"/>
    <d v="1899-12-30T00:24:17"/>
    <n v="24.283333333333335"/>
  </r>
  <r>
    <x v="61"/>
    <x v="2"/>
    <x v="0"/>
    <n v="47"/>
    <d v="1899-12-30T01:20:52"/>
    <n v="80.86666666666666"/>
  </r>
  <r>
    <x v="61"/>
    <x v="2"/>
    <x v="1"/>
    <n v="39"/>
    <d v="1899-12-30T01:12:47"/>
    <n v="72.783333333333331"/>
  </r>
  <r>
    <x v="61"/>
    <x v="2"/>
    <x v="2"/>
    <n v="21"/>
    <d v="1899-12-30T00:41:58"/>
    <n v="41.966666666666669"/>
  </r>
  <r>
    <x v="61"/>
    <x v="2"/>
    <x v="3"/>
    <n v="27"/>
    <d v="1899-12-30T00:27:56"/>
    <n v="27.933333333333334"/>
  </r>
  <r>
    <x v="61"/>
    <x v="2"/>
    <x v="4"/>
    <n v="32"/>
    <d v="1899-12-30T00:50:39"/>
    <n v="50.65"/>
  </r>
  <r>
    <x v="61"/>
    <x v="2"/>
    <x v="5"/>
    <n v="26"/>
    <d v="1899-12-30T00:29:37"/>
    <n v="29.616666666666667"/>
  </r>
  <r>
    <x v="61"/>
    <x v="3"/>
    <x v="0"/>
    <n v="25"/>
    <d v="1899-12-30T00:39:20"/>
    <n v="39.333333333333336"/>
  </r>
  <r>
    <x v="61"/>
    <x v="3"/>
    <x v="1"/>
    <n v="15"/>
    <d v="1899-12-30T00:22:14"/>
    <n v="22.233333333333334"/>
  </r>
  <r>
    <x v="61"/>
    <x v="3"/>
    <x v="2"/>
    <n v="17"/>
    <d v="1899-12-30T00:34:16"/>
    <n v="34.266666666666666"/>
  </r>
  <r>
    <x v="61"/>
    <x v="3"/>
    <x v="3"/>
    <n v="15"/>
    <d v="1899-12-30T00:09:11"/>
    <n v="9.1833333333333336"/>
  </r>
  <r>
    <x v="61"/>
    <x v="3"/>
    <x v="4"/>
    <n v="4"/>
    <d v="1899-12-30T00:07:59"/>
    <n v="7.9833333333333334"/>
  </r>
  <r>
    <x v="61"/>
    <x v="3"/>
    <x v="5"/>
    <n v="15"/>
    <d v="1899-12-30T00:16:14"/>
    <n v="16.233333333333334"/>
  </r>
  <r>
    <x v="61"/>
    <x v="4"/>
    <x v="0"/>
    <n v="34"/>
    <d v="1899-12-30T00:47:58"/>
    <n v="47.966666666666669"/>
  </r>
  <r>
    <x v="61"/>
    <x v="4"/>
    <x v="1"/>
    <n v="20"/>
    <d v="1899-12-30T00:28:02"/>
    <n v="28.033333333333335"/>
  </r>
  <r>
    <x v="61"/>
    <x v="4"/>
    <x v="2"/>
    <n v="13"/>
    <d v="1899-12-30T00:16:54"/>
    <n v="16.899999999999999"/>
  </r>
  <r>
    <x v="61"/>
    <x v="4"/>
    <x v="3"/>
    <n v="4"/>
    <d v="1899-12-30T00:03:25"/>
    <n v="3.4166666666666665"/>
  </r>
  <r>
    <x v="61"/>
    <x v="4"/>
    <x v="4"/>
    <n v="3"/>
    <d v="1899-12-30T00:04:12"/>
    <n v="4.2"/>
  </r>
  <r>
    <x v="61"/>
    <x v="4"/>
    <x v="5"/>
    <n v="13"/>
    <d v="1899-12-30T00:11:51"/>
    <n v="11.85"/>
  </r>
  <r>
    <x v="61"/>
    <x v="5"/>
    <x v="0"/>
    <n v="28"/>
    <d v="1899-12-30T00:42:22"/>
    <n v="42.366666666666667"/>
  </r>
  <r>
    <x v="61"/>
    <x v="5"/>
    <x v="1"/>
    <n v="16"/>
    <d v="1899-12-30T00:23:45"/>
    <n v="23.75"/>
  </r>
  <r>
    <x v="61"/>
    <x v="5"/>
    <x v="2"/>
    <n v="21"/>
    <d v="1899-12-30T00:24:15"/>
    <n v="24.25"/>
  </r>
  <r>
    <x v="61"/>
    <x v="5"/>
    <x v="3"/>
    <n v="12"/>
    <d v="1899-12-30T00:08:21"/>
    <n v="8.35"/>
  </r>
  <r>
    <x v="61"/>
    <x v="5"/>
    <x v="4"/>
    <n v="8"/>
    <d v="1899-12-30T00:16:03"/>
    <n v="16.05"/>
  </r>
  <r>
    <x v="61"/>
    <x v="5"/>
    <x v="5"/>
    <n v="27"/>
    <d v="1899-12-30T00:18:20"/>
    <n v="18.333333333333332"/>
  </r>
  <r>
    <x v="61"/>
    <x v="6"/>
    <x v="0"/>
    <n v="13"/>
    <d v="1899-12-30T00:17:05"/>
    <n v="17.083333333333332"/>
  </r>
  <r>
    <x v="61"/>
    <x v="6"/>
    <x v="1"/>
    <n v="4"/>
    <d v="1899-12-30T00:07:10"/>
    <n v="7.166666666666667"/>
  </r>
  <r>
    <x v="61"/>
    <x v="6"/>
    <x v="2"/>
    <n v="8"/>
    <d v="1899-12-30T00:12:38"/>
    <n v="12.633333333333333"/>
  </r>
  <r>
    <x v="61"/>
    <x v="6"/>
    <x v="3"/>
    <n v="8"/>
    <d v="1899-12-30T00:06:07"/>
    <n v="6.1166666666666663"/>
  </r>
  <r>
    <x v="61"/>
    <x v="6"/>
    <x v="4"/>
    <n v="7"/>
    <d v="1899-12-30T00:11:19"/>
    <n v="11.316666666666666"/>
  </r>
  <r>
    <x v="61"/>
    <x v="6"/>
    <x v="5"/>
    <n v="6"/>
    <d v="1899-12-30T00:02:42"/>
    <n v="2.7"/>
  </r>
  <r>
    <x v="61"/>
    <x v="7"/>
    <x v="0"/>
    <n v="34"/>
    <d v="1899-12-30T00:38:55"/>
    <n v="38.916666666666664"/>
  </r>
  <r>
    <x v="61"/>
    <x v="7"/>
    <x v="1"/>
    <n v="47"/>
    <d v="1899-12-30T00:57:02"/>
    <n v="57.033333333333331"/>
  </r>
  <r>
    <x v="61"/>
    <x v="7"/>
    <x v="2"/>
    <n v="36"/>
    <d v="1899-12-30T00:48:42"/>
    <n v="48.7"/>
  </r>
  <r>
    <x v="61"/>
    <x v="7"/>
    <x v="3"/>
    <n v="44"/>
    <d v="1899-12-30T00:38:54"/>
    <n v="38.9"/>
  </r>
  <r>
    <x v="61"/>
    <x v="7"/>
    <x v="4"/>
    <n v="81"/>
    <d v="1899-12-30T01:59:34"/>
    <n v="119.56666666666666"/>
  </r>
  <r>
    <x v="61"/>
    <x v="7"/>
    <x v="5"/>
    <n v="31"/>
    <d v="1899-12-30T00:26:35"/>
    <n v="26.583333333333332"/>
  </r>
  <r>
    <x v="61"/>
    <x v="8"/>
    <x v="0"/>
    <n v="29"/>
    <d v="1899-12-30T00:54:42"/>
    <n v="54.7"/>
  </r>
  <r>
    <x v="61"/>
    <x v="8"/>
    <x v="1"/>
    <n v="24"/>
    <d v="1899-12-30T00:45:51"/>
    <n v="45.85"/>
  </r>
  <r>
    <x v="61"/>
    <x v="8"/>
    <x v="2"/>
    <n v="31"/>
    <d v="1899-12-30T00:54:16"/>
    <n v="54.266666666666666"/>
  </r>
  <r>
    <x v="61"/>
    <x v="8"/>
    <x v="3"/>
    <n v="10"/>
    <d v="1899-12-30T00:09:59"/>
    <n v="9.9833333333333325"/>
  </r>
  <r>
    <x v="61"/>
    <x v="8"/>
    <x v="4"/>
    <n v="10"/>
    <d v="1899-12-30T00:18:46"/>
    <n v="18.766666666666666"/>
  </r>
  <r>
    <x v="61"/>
    <x v="8"/>
    <x v="5"/>
    <n v="27"/>
    <d v="1899-12-30T00:20:19"/>
    <n v="20.316666666666666"/>
  </r>
  <r>
    <x v="61"/>
    <x v="9"/>
    <x v="0"/>
    <n v="38"/>
    <d v="1899-12-30T00:50:20"/>
    <n v="50.333333333333336"/>
  </r>
  <r>
    <x v="61"/>
    <x v="9"/>
    <x v="1"/>
    <n v="43"/>
    <d v="1899-12-30T00:56:52"/>
    <n v="56.866666666666667"/>
  </r>
  <r>
    <x v="61"/>
    <x v="9"/>
    <x v="2"/>
    <n v="31"/>
    <d v="1899-12-30T00:52:48"/>
    <n v="52.8"/>
  </r>
  <r>
    <x v="61"/>
    <x v="9"/>
    <x v="3"/>
    <n v="14"/>
    <d v="1899-12-30T00:16:37"/>
    <n v="16.616666666666667"/>
  </r>
  <r>
    <x v="61"/>
    <x v="9"/>
    <x v="4"/>
    <n v="6"/>
    <d v="1899-12-30T00:10:46"/>
    <n v="10.766666666666667"/>
  </r>
  <r>
    <x v="61"/>
    <x v="9"/>
    <x v="5"/>
    <n v="20"/>
    <d v="1899-12-30T00:19:49"/>
    <n v="19.816666666666666"/>
  </r>
  <r>
    <x v="61"/>
    <x v="10"/>
    <x v="0"/>
    <n v="14"/>
    <d v="1899-12-30T00:26:42"/>
    <n v="26.7"/>
  </r>
  <r>
    <x v="61"/>
    <x v="10"/>
    <x v="1"/>
    <n v="11"/>
    <d v="1899-12-30T00:29:29"/>
    <n v="29.483333333333334"/>
  </r>
  <r>
    <x v="61"/>
    <x v="10"/>
    <x v="2"/>
    <n v="9"/>
    <d v="1899-12-30T00:19:14"/>
    <n v="19.233333333333334"/>
  </r>
  <r>
    <x v="61"/>
    <x v="10"/>
    <x v="3"/>
    <n v="7"/>
    <d v="1899-12-30T00:06:31"/>
    <n v="6.5166666666666666"/>
  </r>
  <r>
    <x v="61"/>
    <x v="10"/>
    <x v="4"/>
    <n v="3"/>
    <d v="1899-12-30T00:06:41"/>
    <n v="6.6833333333333336"/>
  </r>
  <r>
    <x v="61"/>
    <x v="10"/>
    <x v="5"/>
    <n v="11"/>
    <d v="1899-12-30T00:13:49"/>
    <n v="13.816666666666666"/>
  </r>
  <r>
    <x v="61"/>
    <x v="11"/>
    <x v="0"/>
    <n v="11"/>
    <d v="1899-12-30T00:20:14"/>
    <n v="20.233333333333334"/>
  </r>
  <r>
    <x v="61"/>
    <x v="11"/>
    <x v="1"/>
    <n v="12"/>
    <d v="1899-12-30T00:18:23"/>
    <n v="18.383333333333333"/>
  </r>
  <r>
    <x v="61"/>
    <x v="11"/>
    <x v="2"/>
    <n v="3"/>
    <d v="1899-12-30T00:04:15"/>
    <n v="4.25"/>
  </r>
  <r>
    <x v="61"/>
    <x v="11"/>
    <x v="3"/>
    <n v="5"/>
    <d v="1899-12-30T00:04:05"/>
    <n v="4.083333333333333"/>
  </r>
  <r>
    <x v="61"/>
    <x v="11"/>
    <x v="4"/>
    <n v="4"/>
    <d v="1899-12-30T00:07:40"/>
    <n v="7.666666666666667"/>
  </r>
  <r>
    <x v="61"/>
    <x v="11"/>
    <x v="5"/>
    <n v="7"/>
    <d v="1899-12-30T00:09:02"/>
    <n v="9.0333333333333332"/>
  </r>
  <r>
    <x v="61"/>
    <x v="12"/>
    <x v="0"/>
    <n v="111"/>
    <d v="1899-12-30T02:45:23"/>
    <n v="165.38333333333333"/>
  </r>
  <r>
    <x v="61"/>
    <x v="12"/>
    <x v="1"/>
    <n v="134"/>
    <d v="1899-12-30T03:20:49"/>
    <n v="200.81666666666666"/>
  </r>
  <r>
    <x v="61"/>
    <x v="12"/>
    <x v="2"/>
    <n v="73"/>
    <d v="1899-12-30T01:54:42"/>
    <n v="114.7"/>
  </r>
  <r>
    <x v="61"/>
    <x v="12"/>
    <x v="3"/>
    <n v="70"/>
    <d v="1899-12-30T01:08:37"/>
    <n v="68.61666666666666"/>
  </r>
  <r>
    <x v="61"/>
    <x v="12"/>
    <x v="4"/>
    <n v="49"/>
    <d v="1899-12-30T01:18:27"/>
    <n v="78.45"/>
  </r>
  <r>
    <x v="61"/>
    <x v="12"/>
    <x v="5"/>
    <n v="83"/>
    <d v="1899-12-30T01:27:17"/>
    <n v="87.283333333333331"/>
  </r>
  <r>
    <x v="61"/>
    <x v="13"/>
    <x v="0"/>
    <n v="60"/>
    <d v="1899-12-30T01:23:20"/>
    <n v="83.333333333333329"/>
  </r>
  <r>
    <x v="61"/>
    <x v="13"/>
    <x v="1"/>
    <n v="69"/>
    <d v="1899-12-30T01:26:41"/>
    <n v="86.683333333333337"/>
  </r>
  <r>
    <x v="61"/>
    <x v="13"/>
    <x v="2"/>
    <n v="26"/>
    <d v="1899-12-30T00:42:38"/>
    <n v="42.633333333333333"/>
  </r>
  <r>
    <x v="61"/>
    <x v="13"/>
    <x v="3"/>
    <n v="12"/>
    <d v="1899-12-30T00:10:40"/>
    <n v="10.666666666666666"/>
  </r>
  <r>
    <x v="61"/>
    <x v="13"/>
    <x v="4"/>
    <n v="4"/>
    <d v="1899-12-30T00:06:34"/>
    <n v="6.5666666666666664"/>
  </r>
  <r>
    <x v="61"/>
    <x v="13"/>
    <x v="5"/>
    <n v="61"/>
    <d v="1899-12-30T00:55:23"/>
    <n v="55.383333333333333"/>
  </r>
  <r>
    <x v="62"/>
    <x v="0"/>
    <x v="0"/>
    <n v="134"/>
    <d v="1899-12-30T03:14:28"/>
    <n v="194.46666666666667"/>
  </r>
  <r>
    <x v="62"/>
    <x v="0"/>
    <x v="1"/>
    <n v="98"/>
    <d v="1899-12-30T02:13:35"/>
    <n v="133.58333333333334"/>
  </r>
  <r>
    <x v="62"/>
    <x v="0"/>
    <x v="2"/>
    <n v="78"/>
    <d v="1899-12-30T01:47:49"/>
    <n v="107.81666666666666"/>
  </r>
  <r>
    <x v="62"/>
    <x v="0"/>
    <x v="3"/>
    <n v="42"/>
    <d v="1899-12-30T00:40:02"/>
    <n v="40.033333333333331"/>
  </r>
  <r>
    <x v="62"/>
    <x v="0"/>
    <x v="4"/>
    <n v="11"/>
    <d v="1899-12-30T00:14:33"/>
    <n v="14.55"/>
  </r>
  <r>
    <x v="62"/>
    <x v="0"/>
    <x v="5"/>
    <n v="69"/>
    <d v="1899-12-30T01:10:31"/>
    <n v="70.516666666666666"/>
  </r>
  <r>
    <x v="62"/>
    <x v="1"/>
    <x v="0"/>
    <n v="50"/>
    <d v="1899-12-30T01:26:19"/>
    <n v="86.316666666666663"/>
  </r>
  <r>
    <x v="62"/>
    <x v="1"/>
    <x v="1"/>
    <n v="47"/>
    <d v="1899-12-30T01:20:21"/>
    <n v="80.349999999999994"/>
  </r>
  <r>
    <x v="62"/>
    <x v="1"/>
    <x v="2"/>
    <n v="29"/>
    <d v="1899-12-30T01:03:42"/>
    <n v="63.7"/>
  </r>
  <r>
    <x v="62"/>
    <x v="1"/>
    <x v="3"/>
    <n v="13"/>
    <d v="1899-12-30T00:13:45"/>
    <n v="13.75"/>
  </r>
  <r>
    <x v="62"/>
    <x v="1"/>
    <x v="4"/>
    <n v="90"/>
    <d v="1899-12-30T03:36:04"/>
    <n v="216.06666666666666"/>
  </r>
  <r>
    <x v="62"/>
    <x v="1"/>
    <x v="5"/>
    <n v="27"/>
    <d v="1899-12-30T00:41:04"/>
    <n v="41.06666666666667"/>
  </r>
  <r>
    <x v="62"/>
    <x v="2"/>
    <x v="0"/>
    <n v="48"/>
    <d v="1899-12-30T01:04:46"/>
    <n v="64.766666666666666"/>
  </r>
  <r>
    <x v="62"/>
    <x v="2"/>
    <x v="1"/>
    <n v="50"/>
    <d v="1899-12-30T01:18:32"/>
    <n v="78.533333333333331"/>
  </r>
  <r>
    <x v="62"/>
    <x v="2"/>
    <x v="2"/>
    <n v="31"/>
    <d v="1899-12-30T00:49:47"/>
    <n v="49.783333333333331"/>
  </r>
  <r>
    <x v="62"/>
    <x v="2"/>
    <x v="3"/>
    <n v="25"/>
    <d v="1899-12-30T00:23:00"/>
    <n v="23"/>
  </r>
  <r>
    <x v="62"/>
    <x v="2"/>
    <x v="4"/>
    <n v="56"/>
    <d v="1899-12-30T02:22:16"/>
    <n v="142.26666666666668"/>
  </r>
  <r>
    <x v="62"/>
    <x v="2"/>
    <x v="5"/>
    <n v="24"/>
    <d v="1899-12-30T00:27:31"/>
    <n v="27.516666666666666"/>
  </r>
  <r>
    <x v="62"/>
    <x v="3"/>
    <x v="0"/>
    <n v="14"/>
    <d v="1899-12-30T00:23:19"/>
    <n v="23.316666666666666"/>
  </r>
  <r>
    <x v="62"/>
    <x v="3"/>
    <x v="1"/>
    <n v="12"/>
    <d v="1899-12-30T00:19:21"/>
    <n v="19.350000000000001"/>
  </r>
  <r>
    <x v="62"/>
    <x v="3"/>
    <x v="2"/>
    <n v="8"/>
    <d v="1899-12-30T00:15:28"/>
    <n v="15.466666666666667"/>
  </r>
  <r>
    <x v="62"/>
    <x v="3"/>
    <x v="3"/>
    <n v="5"/>
    <d v="1899-12-30T00:06:17"/>
    <n v="6.2833333333333332"/>
  </r>
  <r>
    <x v="62"/>
    <x v="3"/>
    <x v="4"/>
    <n v="3"/>
    <d v="1899-12-30T00:06:51"/>
    <n v="6.85"/>
  </r>
  <r>
    <x v="62"/>
    <x v="3"/>
    <x v="5"/>
    <n v="12"/>
    <d v="1899-12-30T00:13:53"/>
    <n v="13.883333333333333"/>
  </r>
  <r>
    <x v="62"/>
    <x v="4"/>
    <x v="0"/>
    <n v="33"/>
    <d v="1899-12-30T00:59:53"/>
    <n v="59.883333333333333"/>
  </r>
  <r>
    <x v="62"/>
    <x v="4"/>
    <x v="1"/>
    <n v="25"/>
    <d v="1899-12-30T00:31:31"/>
    <n v="31.516666666666666"/>
  </r>
  <r>
    <x v="62"/>
    <x v="4"/>
    <x v="2"/>
    <n v="22"/>
    <d v="1899-12-30T00:37:45"/>
    <n v="37.75"/>
  </r>
  <r>
    <x v="62"/>
    <x v="4"/>
    <x v="3"/>
    <n v="10"/>
    <d v="1899-12-30T00:09:36"/>
    <n v="9.6"/>
  </r>
  <r>
    <x v="62"/>
    <x v="4"/>
    <x v="4"/>
    <n v="9"/>
    <d v="1899-12-30T00:37:45"/>
    <n v="37.75"/>
  </r>
  <r>
    <x v="62"/>
    <x v="4"/>
    <x v="5"/>
    <n v="18"/>
    <d v="1899-12-30T00:24:14"/>
    <n v="24.233333333333334"/>
  </r>
  <r>
    <x v="62"/>
    <x v="5"/>
    <x v="0"/>
    <n v="30"/>
    <d v="1899-12-30T00:39:43"/>
    <n v="39.716666666666669"/>
  </r>
  <r>
    <x v="62"/>
    <x v="5"/>
    <x v="1"/>
    <n v="29"/>
    <d v="1899-12-30T00:38:45"/>
    <n v="38.75"/>
  </r>
  <r>
    <x v="62"/>
    <x v="5"/>
    <x v="2"/>
    <n v="20"/>
    <d v="1899-12-30T00:34:46"/>
    <n v="34.766666666666666"/>
  </r>
  <r>
    <x v="62"/>
    <x v="5"/>
    <x v="3"/>
    <n v="24"/>
    <d v="1899-12-30T00:22:13"/>
    <n v="22.216666666666665"/>
  </r>
  <r>
    <x v="62"/>
    <x v="5"/>
    <x v="4"/>
    <n v="8"/>
    <d v="1899-12-30T00:13:49"/>
    <n v="13.816666666666666"/>
  </r>
  <r>
    <x v="62"/>
    <x v="5"/>
    <x v="5"/>
    <n v="37"/>
    <d v="1899-12-30T00:33:32"/>
    <n v="33.533333333333331"/>
  </r>
  <r>
    <x v="62"/>
    <x v="6"/>
    <x v="0"/>
    <n v="15"/>
    <d v="1899-12-30T00:26:51"/>
    <n v="26.85"/>
  </r>
  <r>
    <x v="62"/>
    <x v="6"/>
    <x v="1"/>
    <n v="15"/>
    <d v="1899-12-30T00:17:42"/>
    <n v="17.7"/>
  </r>
  <r>
    <x v="62"/>
    <x v="6"/>
    <x v="2"/>
    <n v="7"/>
    <d v="1899-12-30T00:11:27"/>
    <n v="11.45"/>
  </r>
  <r>
    <x v="62"/>
    <x v="6"/>
    <x v="3"/>
    <n v="4"/>
    <d v="1899-12-30T00:03:34"/>
    <n v="3.5666666666666664"/>
  </r>
  <r>
    <x v="62"/>
    <x v="6"/>
    <x v="4"/>
    <n v="6"/>
    <d v="1899-12-30T00:12:15"/>
    <n v="12.25"/>
  </r>
  <r>
    <x v="62"/>
    <x v="6"/>
    <x v="5"/>
    <n v="5"/>
    <d v="1899-12-30T00:06:50"/>
    <n v="6.833333333333333"/>
  </r>
  <r>
    <x v="62"/>
    <x v="7"/>
    <x v="0"/>
    <n v="37"/>
    <d v="1899-12-30T00:43:35"/>
    <n v="43.583333333333336"/>
  </r>
  <r>
    <x v="62"/>
    <x v="7"/>
    <x v="1"/>
    <n v="49"/>
    <d v="1899-12-30T00:47:00"/>
    <n v="47"/>
  </r>
  <r>
    <x v="62"/>
    <x v="7"/>
    <x v="2"/>
    <n v="43"/>
    <d v="1899-12-30T01:26:35"/>
    <n v="86.583333333333329"/>
  </r>
  <r>
    <x v="62"/>
    <x v="7"/>
    <x v="3"/>
    <n v="43"/>
    <d v="1899-12-30T00:38:53"/>
    <n v="38.883333333333333"/>
  </r>
  <r>
    <x v="62"/>
    <x v="7"/>
    <x v="4"/>
    <n v="123"/>
    <d v="1899-12-30T02:50:22"/>
    <n v="170.36666666666667"/>
  </r>
  <r>
    <x v="62"/>
    <x v="7"/>
    <x v="5"/>
    <n v="30"/>
    <d v="1899-12-30T00:27:00"/>
    <n v="27"/>
  </r>
  <r>
    <x v="62"/>
    <x v="8"/>
    <x v="0"/>
    <n v="39"/>
    <d v="1899-12-30T00:52:05"/>
    <n v="52.083333333333336"/>
  </r>
  <r>
    <x v="62"/>
    <x v="8"/>
    <x v="1"/>
    <n v="38"/>
    <d v="1899-12-30T01:16:49"/>
    <n v="76.816666666666663"/>
  </r>
  <r>
    <x v="62"/>
    <x v="8"/>
    <x v="2"/>
    <n v="31"/>
    <d v="1899-12-30T00:53:05"/>
    <n v="53.083333333333336"/>
  </r>
  <r>
    <x v="62"/>
    <x v="8"/>
    <x v="3"/>
    <n v="28"/>
    <d v="1899-12-30T00:28:29"/>
    <n v="28.483333333333334"/>
  </r>
  <r>
    <x v="62"/>
    <x v="8"/>
    <x v="4"/>
    <n v="17"/>
    <d v="1899-12-30T00:57:35"/>
    <n v="57.583333333333336"/>
  </r>
  <r>
    <x v="62"/>
    <x v="8"/>
    <x v="5"/>
    <n v="34"/>
    <d v="1899-12-30T00:26:53"/>
    <n v="26.883333333333333"/>
  </r>
  <r>
    <x v="62"/>
    <x v="9"/>
    <x v="0"/>
    <n v="75"/>
    <d v="1899-12-30T02:23:06"/>
    <n v="143.1"/>
  </r>
  <r>
    <x v="62"/>
    <x v="9"/>
    <x v="1"/>
    <n v="98"/>
    <d v="1899-12-30T02:38:10"/>
    <n v="158.16666666666666"/>
  </r>
  <r>
    <x v="62"/>
    <x v="9"/>
    <x v="2"/>
    <n v="75"/>
    <d v="1899-12-30T02:17:34"/>
    <n v="137.56666666666666"/>
  </r>
  <r>
    <x v="62"/>
    <x v="9"/>
    <x v="3"/>
    <n v="32"/>
    <d v="1899-12-30T00:36:07"/>
    <n v="36.116666666666667"/>
  </r>
  <r>
    <x v="62"/>
    <x v="9"/>
    <x v="4"/>
    <n v="20"/>
    <d v="1899-12-30T00:37:11"/>
    <n v="37.18333333333333"/>
  </r>
  <r>
    <x v="62"/>
    <x v="9"/>
    <x v="5"/>
    <n v="69"/>
    <d v="1899-12-30T01:28:32"/>
    <n v="88.533333333333331"/>
  </r>
  <r>
    <x v="62"/>
    <x v="10"/>
    <x v="0"/>
    <n v="22"/>
    <d v="1899-12-30T00:42:19"/>
    <n v="42.31666666666667"/>
  </r>
  <r>
    <x v="62"/>
    <x v="10"/>
    <x v="1"/>
    <n v="23"/>
    <d v="1899-12-30T00:42:08"/>
    <n v="42.133333333333333"/>
  </r>
  <r>
    <x v="62"/>
    <x v="10"/>
    <x v="2"/>
    <n v="13"/>
    <d v="1899-12-30T00:31:32"/>
    <n v="31.533333333333335"/>
  </r>
  <r>
    <x v="62"/>
    <x v="10"/>
    <x v="3"/>
    <n v="8"/>
    <d v="1899-12-30T00:07:37"/>
    <n v="7.6166666666666671"/>
  </r>
  <r>
    <x v="62"/>
    <x v="10"/>
    <x v="4"/>
    <n v="3"/>
    <d v="1899-12-30T00:09:10"/>
    <n v="9.1666666666666661"/>
  </r>
  <r>
    <x v="62"/>
    <x v="10"/>
    <x v="5"/>
    <n v="21"/>
    <d v="1899-12-30T00:25:43"/>
    <n v="25.716666666666665"/>
  </r>
  <r>
    <x v="62"/>
    <x v="11"/>
    <x v="0"/>
    <n v="10"/>
    <d v="1899-12-30T00:15:55"/>
    <n v="15.916666666666666"/>
  </r>
  <r>
    <x v="62"/>
    <x v="11"/>
    <x v="1"/>
    <n v="6"/>
    <d v="1899-12-30T00:09:56"/>
    <n v="9.9333333333333336"/>
  </r>
  <r>
    <x v="62"/>
    <x v="11"/>
    <x v="2"/>
    <n v="5"/>
    <d v="1899-12-30T00:10:05"/>
    <n v="10.083333333333334"/>
  </r>
  <r>
    <x v="62"/>
    <x v="11"/>
    <x v="3"/>
    <n v="6"/>
    <d v="1899-12-30T00:05:20"/>
    <n v="5.333333333333333"/>
  </r>
  <r>
    <x v="62"/>
    <x v="11"/>
    <x v="4"/>
    <n v="5"/>
    <d v="1899-12-30T00:09:29"/>
    <n v="9.4833333333333325"/>
  </r>
  <r>
    <x v="62"/>
    <x v="11"/>
    <x v="5"/>
    <n v="6"/>
    <d v="1899-12-30T00:07:49"/>
    <n v="7.8166666666666664"/>
  </r>
  <r>
    <x v="62"/>
    <x v="12"/>
    <x v="0"/>
    <n v="126"/>
    <d v="1899-12-30T03:03:43"/>
    <n v="183.71666666666667"/>
  </r>
  <r>
    <x v="62"/>
    <x v="12"/>
    <x v="1"/>
    <n v="88"/>
    <d v="1899-12-30T02:29:12"/>
    <n v="149.19999999999999"/>
  </r>
  <r>
    <x v="62"/>
    <x v="12"/>
    <x v="2"/>
    <n v="77"/>
    <d v="1899-12-30T01:57:58"/>
    <n v="117.96666666666667"/>
  </r>
  <r>
    <x v="62"/>
    <x v="12"/>
    <x v="3"/>
    <n v="65"/>
    <d v="1899-12-30T01:05:28"/>
    <n v="65.466666666666669"/>
  </r>
  <r>
    <x v="62"/>
    <x v="12"/>
    <x v="4"/>
    <n v="51"/>
    <d v="1899-12-30T01:34:19"/>
    <n v="94.316666666666663"/>
  </r>
  <r>
    <x v="62"/>
    <x v="12"/>
    <x v="5"/>
    <n v="86"/>
    <d v="1899-12-30T01:20:31"/>
    <n v="80.516666666666666"/>
  </r>
  <r>
    <x v="62"/>
    <x v="13"/>
    <x v="0"/>
    <n v="46"/>
    <d v="1899-12-30T00:52:07"/>
    <n v="52.116666666666667"/>
  </r>
  <r>
    <x v="62"/>
    <x v="13"/>
    <x v="1"/>
    <n v="65"/>
    <d v="1899-12-30T01:06:19"/>
    <n v="66.316666666666663"/>
  </r>
  <r>
    <x v="62"/>
    <x v="13"/>
    <x v="2"/>
    <n v="24"/>
    <d v="1899-12-30T00:36:14"/>
    <n v="36.233333333333334"/>
  </r>
  <r>
    <x v="62"/>
    <x v="13"/>
    <x v="3"/>
    <n v="19"/>
    <d v="1899-12-30T00:16:35"/>
    <n v="16.583333333333332"/>
  </r>
  <r>
    <x v="62"/>
    <x v="13"/>
    <x v="4"/>
    <n v="0"/>
    <d v="1899-12-30T00:00:00"/>
    <n v="0"/>
  </r>
  <r>
    <x v="62"/>
    <x v="13"/>
    <x v="5"/>
    <n v="60"/>
    <d v="1899-12-30T00:40:38"/>
    <n v="40.633333333333333"/>
  </r>
  <r>
    <x v="63"/>
    <x v="0"/>
    <x v="0"/>
    <n v="87"/>
    <d v="1899-12-30T02:03:23"/>
    <n v="123.38333333333334"/>
  </r>
  <r>
    <x v="63"/>
    <x v="0"/>
    <x v="1"/>
    <n v="68"/>
    <d v="1899-12-30T01:30:50"/>
    <n v="90.833333333333329"/>
  </r>
  <r>
    <x v="63"/>
    <x v="0"/>
    <x v="2"/>
    <n v="46"/>
    <d v="1899-12-30T01:14:21"/>
    <n v="74.349999999999994"/>
  </r>
  <r>
    <x v="63"/>
    <x v="0"/>
    <x v="3"/>
    <n v="21"/>
    <d v="1899-12-30T00:19:02"/>
    <n v="19.033333333333335"/>
  </r>
  <r>
    <x v="63"/>
    <x v="0"/>
    <x v="4"/>
    <n v="20"/>
    <d v="1899-12-30T00:29:16"/>
    <n v="29.266666666666666"/>
  </r>
  <r>
    <x v="63"/>
    <x v="0"/>
    <x v="5"/>
    <n v="50"/>
    <d v="1899-12-30T00:46:02"/>
    <n v="46.033333333333331"/>
  </r>
  <r>
    <x v="63"/>
    <x v="1"/>
    <x v="0"/>
    <n v="51"/>
    <d v="1899-12-30T01:29:42"/>
    <n v="89.7"/>
  </r>
  <r>
    <x v="63"/>
    <x v="1"/>
    <x v="1"/>
    <n v="39"/>
    <d v="1899-12-30T01:15:06"/>
    <n v="75.099999999999994"/>
  </r>
  <r>
    <x v="63"/>
    <x v="1"/>
    <x v="2"/>
    <n v="22"/>
    <d v="1899-12-30T00:49:04"/>
    <n v="49.06666666666667"/>
  </r>
  <r>
    <x v="63"/>
    <x v="1"/>
    <x v="3"/>
    <n v="6"/>
    <d v="1899-12-30T00:05:23"/>
    <n v="5.3833333333333337"/>
  </r>
  <r>
    <x v="63"/>
    <x v="1"/>
    <x v="4"/>
    <n v="74"/>
    <d v="1899-12-30T03:06:02"/>
    <n v="186.03333333333333"/>
  </r>
  <r>
    <x v="63"/>
    <x v="1"/>
    <x v="5"/>
    <n v="27"/>
    <d v="1899-12-30T00:34:53"/>
    <n v="34.883333333333333"/>
  </r>
  <r>
    <x v="63"/>
    <x v="2"/>
    <x v="0"/>
    <n v="41"/>
    <d v="1899-12-30T01:06:43"/>
    <n v="66.716666666666669"/>
  </r>
  <r>
    <x v="63"/>
    <x v="2"/>
    <x v="1"/>
    <n v="42"/>
    <d v="1899-12-30T01:00:00"/>
    <n v="60"/>
  </r>
  <r>
    <x v="63"/>
    <x v="2"/>
    <x v="2"/>
    <n v="26"/>
    <d v="1899-12-30T00:40:54"/>
    <n v="40.9"/>
  </r>
  <r>
    <x v="63"/>
    <x v="2"/>
    <x v="3"/>
    <n v="18"/>
    <d v="1899-12-30T00:17:58"/>
    <n v="17.966666666666665"/>
  </r>
  <r>
    <x v="63"/>
    <x v="2"/>
    <x v="4"/>
    <n v="21"/>
    <d v="1899-12-30T00:38:43"/>
    <n v="38.716666666666669"/>
  </r>
  <r>
    <x v="63"/>
    <x v="2"/>
    <x v="5"/>
    <n v="34"/>
    <d v="1899-12-30T00:34:53"/>
    <n v="34.883333333333333"/>
  </r>
  <r>
    <x v="63"/>
    <x v="3"/>
    <x v="0"/>
    <n v="16"/>
    <d v="1899-12-30T00:30:32"/>
    <n v="30.533333333333335"/>
  </r>
  <r>
    <x v="63"/>
    <x v="3"/>
    <x v="1"/>
    <n v="10"/>
    <d v="1899-12-30T00:22:25"/>
    <n v="22.416666666666668"/>
  </r>
  <r>
    <x v="63"/>
    <x v="3"/>
    <x v="2"/>
    <n v="6"/>
    <d v="1899-12-30T00:15:23"/>
    <n v="15.383333333333333"/>
  </r>
  <r>
    <x v="63"/>
    <x v="3"/>
    <x v="3"/>
    <n v="3"/>
    <d v="1899-12-30T00:01:54"/>
    <n v="1.9"/>
  </r>
  <r>
    <x v="63"/>
    <x v="3"/>
    <x v="4"/>
    <n v="4"/>
    <d v="1899-12-30T00:10:44"/>
    <n v="10.733333333333333"/>
  </r>
  <r>
    <x v="63"/>
    <x v="3"/>
    <x v="5"/>
    <n v="12"/>
    <d v="1899-12-30T00:17:36"/>
    <n v="17.600000000000001"/>
  </r>
  <r>
    <x v="63"/>
    <x v="4"/>
    <x v="0"/>
    <n v="29"/>
    <d v="1899-12-30T00:42:06"/>
    <n v="42.1"/>
  </r>
  <r>
    <x v="63"/>
    <x v="4"/>
    <x v="1"/>
    <n v="28"/>
    <d v="1899-12-30T00:35:53"/>
    <n v="35.883333333333333"/>
  </r>
  <r>
    <x v="63"/>
    <x v="4"/>
    <x v="2"/>
    <n v="21"/>
    <d v="1899-12-30T00:31:25"/>
    <n v="31.416666666666668"/>
  </r>
  <r>
    <x v="63"/>
    <x v="4"/>
    <x v="3"/>
    <n v="11"/>
    <d v="1899-12-30T00:07:34"/>
    <n v="7.5666666666666664"/>
  </r>
  <r>
    <x v="63"/>
    <x v="4"/>
    <x v="4"/>
    <n v="5"/>
    <d v="1899-12-30T00:06:46"/>
    <n v="6.7666666666666666"/>
  </r>
  <r>
    <x v="63"/>
    <x v="4"/>
    <x v="5"/>
    <n v="13"/>
    <d v="1899-12-30T00:14:48"/>
    <n v="14.8"/>
  </r>
  <r>
    <x v="63"/>
    <x v="5"/>
    <x v="0"/>
    <n v="26"/>
    <d v="1899-12-30T00:33:31"/>
    <n v="33.516666666666666"/>
  </r>
  <r>
    <x v="63"/>
    <x v="5"/>
    <x v="1"/>
    <n v="18"/>
    <d v="1899-12-30T00:28:50"/>
    <n v="28.833333333333332"/>
  </r>
  <r>
    <x v="63"/>
    <x v="5"/>
    <x v="2"/>
    <n v="22"/>
    <d v="1899-12-30T00:31:43"/>
    <n v="31.716666666666665"/>
  </r>
  <r>
    <x v="63"/>
    <x v="5"/>
    <x v="3"/>
    <n v="16"/>
    <d v="1899-12-30T00:19:25"/>
    <n v="19.416666666666668"/>
  </r>
  <r>
    <x v="63"/>
    <x v="5"/>
    <x v="4"/>
    <n v="0"/>
    <d v="1899-12-30T00:00:00"/>
    <n v="0"/>
  </r>
  <r>
    <x v="63"/>
    <x v="5"/>
    <x v="5"/>
    <n v="35"/>
    <d v="1899-12-30T00:34:33"/>
    <n v="34.549999999999997"/>
  </r>
  <r>
    <x v="63"/>
    <x v="6"/>
    <x v="0"/>
    <n v="12"/>
    <d v="1899-12-30T00:11:14"/>
    <n v="11.233333333333333"/>
  </r>
  <r>
    <x v="63"/>
    <x v="6"/>
    <x v="1"/>
    <n v="18"/>
    <d v="1899-12-30T00:18:01"/>
    <n v="18.016666666666666"/>
  </r>
  <r>
    <x v="63"/>
    <x v="6"/>
    <x v="2"/>
    <n v="13"/>
    <d v="1899-12-30T00:19:05"/>
    <n v="19.083333333333332"/>
  </r>
  <r>
    <x v="63"/>
    <x v="6"/>
    <x v="3"/>
    <n v="8"/>
    <d v="1899-12-30T00:08:38"/>
    <n v="8.6333333333333329"/>
  </r>
  <r>
    <x v="63"/>
    <x v="6"/>
    <x v="4"/>
    <n v="13"/>
    <d v="1899-12-30T00:21:31"/>
    <n v="21.516666666666666"/>
  </r>
  <r>
    <x v="63"/>
    <x v="6"/>
    <x v="5"/>
    <n v="13"/>
    <d v="1899-12-30T00:11:32"/>
    <n v="11.533333333333333"/>
  </r>
  <r>
    <x v="63"/>
    <x v="7"/>
    <x v="0"/>
    <n v="33"/>
    <d v="1899-12-30T00:35:25"/>
    <n v="35.416666666666664"/>
  </r>
  <r>
    <x v="63"/>
    <x v="7"/>
    <x v="1"/>
    <n v="50"/>
    <d v="1899-12-30T00:55:50"/>
    <n v="55.833333333333336"/>
  </r>
  <r>
    <x v="63"/>
    <x v="7"/>
    <x v="2"/>
    <n v="38"/>
    <d v="1899-12-30T00:58:37"/>
    <n v="58.616666666666667"/>
  </r>
  <r>
    <x v="63"/>
    <x v="7"/>
    <x v="3"/>
    <n v="40"/>
    <d v="1899-12-30T00:31:29"/>
    <n v="31.483333333333334"/>
  </r>
  <r>
    <x v="63"/>
    <x v="7"/>
    <x v="4"/>
    <n v="112"/>
    <d v="1899-12-30T02:46:21"/>
    <n v="166.35"/>
  </r>
  <r>
    <x v="63"/>
    <x v="7"/>
    <x v="5"/>
    <n v="20"/>
    <d v="1899-12-30T00:11:18"/>
    <n v="11.3"/>
  </r>
  <r>
    <x v="63"/>
    <x v="8"/>
    <x v="0"/>
    <n v="31"/>
    <d v="1899-12-30T00:45:36"/>
    <n v="45.6"/>
  </r>
  <r>
    <x v="63"/>
    <x v="8"/>
    <x v="1"/>
    <n v="21"/>
    <d v="1899-12-30T00:29:12"/>
    <n v="29.2"/>
  </r>
  <r>
    <x v="63"/>
    <x v="8"/>
    <x v="2"/>
    <n v="23"/>
    <d v="1899-12-30T00:35:24"/>
    <n v="35.4"/>
  </r>
  <r>
    <x v="63"/>
    <x v="8"/>
    <x v="3"/>
    <n v="26"/>
    <d v="1899-12-30T00:27:56"/>
    <n v="27.933333333333334"/>
  </r>
  <r>
    <x v="63"/>
    <x v="8"/>
    <x v="4"/>
    <n v="11"/>
    <d v="1899-12-30T00:15:27"/>
    <n v="15.45"/>
  </r>
  <r>
    <x v="63"/>
    <x v="8"/>
    <x v="5"/>
    <n v="30"/>
    <d v="1899-12-30T00:27:33"/>
    <n v="27.55"/>
  </r>
  <r>
    <x v="63"/>
    <x v="9"/>
    <x v="0"/>
    <n v="15"/>
    <d v="1899-12-30T00:22:58"/>
    <n v="22.966666666666665"/>
  </r>
  <r>
    <x v="63"/>
    <x v="9"/>
    <x v="1"/>
    <n v="12"/>
    <d v="1899-12-30T00:19:21"/>
    <n v="19.350000000000001"/>
  </r>
  <r>
    <x v="63"/>
    <x v="9"/>
    <x v="2"/>
    <n v="4"/>
    <d v="1899-12-30T00:05:59"/>
    <n v="5.9833333333333334"/>
  </r>
  <r>
    <x v="63"/>
    <x v="9"/>
    <x v="3"/>
    <n v="5"/>
    <d v="1899-12-30T00:03:59"/>
    <n v="3.9833333333333334"/>
  </r>
  <r>
    <x v="63"/>
    <x v="9"/>
    <x v="4"/>
    <n v="2"/>
    <d v="1899-12-30T00:01:55"/>
    <n v="1.9166666666666665"/>
  </r>
  <r>
    <x v="63"/>
    <x v="9"/>
    <x v="5"/>
    <n v="7"/>
    <d v="1899-12-30T00:08:12"/>
    <n v="8.1999999999999993"/>
  </r>
  <r>
    <x v="63"/>
    <x v="10"/>
    <x v="0"/>
    <n v="15"/>
    <d v="1899-12-30T00:23:35"/>
    <n v="23.583333333333332"/>
  </r>
  <r>
    <x v="63"/>
    <x v="10"/>
    <x v="1"/>
    <n v="18"/>
    <d v="1899-12-30T00:49:07"/>
    <n v="49.116666666666667"/>
  </r>
  <r>
    <x v="63"/>
    <x v="10"/>
    <x v="2"/>
    <n v="18"/>
    <d v="1899-12-30T00:33:07"/>
    <n v="33.116666666666667"/>
  </r>
  <r>
    <x v="63"/>
    <x v="10"/>
    <x v="3"/>
    <n v="4"/>
    <d v="1899-12-30T00:03:29"/>
    <n v="3.4833333333333334"/>
  </r>
  <r>
    <x v="63"/>
    <x v="10"/>
    <x v="4"/>
    <n v="0"/>
    <d v="1899-12-30T00:00:00"/>
    <n v="0"/>
  </r>
  <r>
    <x v="63"/>
    <x v="10"/>
    <x v="5"/>
    <n v="12"/>
    <d v="1899-12-30T00:13:24"/>
    <n v="13.4"/>
  </r>
  <r>
    <x v="63"/>
    <x v="11"/>
    <x v="0"/>
    <n v="9"/>
    <d v="1899-12-30T00:13:19"/>
    <n v="13.316666666666666"/>
  </r>
  <r>
    <x v="63"/>
    <x v="11"/>
    <x v="1"/>
    <n v="4"/>
    <d v="1899-12-30T00:06:04"/>
    <n v="6.0666666666666664"/>
  </r>
  <r>
    <x v="63"/>
    <x v="11"/>
    <x v="2"/>
    <n v="3"/>
    <d v="1899-12-30T00:04:19"/>
    <n v="4.3166666666666664"/>
  </r>
  <r>
    <x v="63"/>
    <x v="11"/>
    <x v="3"/>
    <n v="0"/>
    <d v="1899-12-30T00:00:00"/>
    <n v="0"/>
  </r>
  <r>
    <x v="63"/>
    <x v="11"/>
    <x v="4"/>
    <n v="4"/>
    <d v="1899-12-30T00:06:13"/>
    <n v="6.2166666666666668"/>
  </r>
  <r>
    <x v="63"/>
    <x v="11"/>
    <x v="5"/>
    <n v="7"/>
    <d v="1899-12-30T00:06:29"/>
    <n v="6.4833333333333334"/>
  </r>
  <r>
    <x v="63"/>
    <x v="12"/>
    <x v="0"/>
    <n v="184"/>
    <d v="1899-12-30T04:38:40"/>
    <n v="278.66666666666669"/>
  </r>
  <r>
    <x v="63"/>
    <x v="12"/>
    <x v="1"/>
    <n v="174"/>
    <d v="1899-12-30T04:40:46"/>
    <n v="280.76666666666665"/>
  </r>
  <r>
    <x v="63"/>
    <x v="12"/>
    <x v="2"/>
    <n v="125"/>
    <d v="1899-12-30T03:31:07"/>
    <n v="211.11666666666667"/>
  </r>
  <r>
    <x v="63"/>
    <x v="12"/>
    <x v="3"/>
    <n v="78"/>
    <d v="1899-12-30T01:19:50"/>
    <n v="79.833333333333329"/>
  </r>
  <r>
    <x v="63"/>
    <x v="12"/>
    <x v="4"/>
    <n v="56"/>
    <d v="1899-12-30T01:37:16"/>
    <n v="97.266666666666666"/>
  </r>
  <r>
    <x v="63"/>
    <x v="12"/>
    <x v="5"/>
    <n v="129"/>
    <d v="1899-12-30T02:16:16"/>
    <n v="136.26666666666668"/>
  </r>
  <r>
    <x v="63"/>
    <x v="13"/>
    <x v="0"/>
    <n v="39"/>
    <d v="1899-12-30T00:42:09"/>
    <n v="42.15"/>
  </r>
  <r>
    <x v="63"/>
    <x v="13"/>
    <x v="1"/>
    <n v="33"/>
    <d v="1899-12-30T00:32:49"/>
    <n v="32.81666666666667"/>
  </r>
  <r>
    <x v="63"/>
    <x v="13"/>
    <x v="2"/>
    <n v="16"/>
    <d v="1899-12-30T00:22:27"/>
    <n v="22.45"/>
  </r>
  <r>
    <x v="63"/>
    <x v="13"/>
    <x v="3"/>
    <n v="14"/>
    <d v="1899-12-30T00:14:15"/>
    <n v="14.25"/>
  </r>
  <r>
    <x v="63"/>
    <x v="13"/>
    <x v="4"/>
    <n v="0"/>
    <d v="1899-12-30T00:00:00"/>
    <n v="0"/>
  </r>
  <r>
    <x v="63"/>
    <x v="13"/>
    <x v="5"/>
    <n v="44"/>
    <d v="1899-12-30T00:27:57"/>
    <n v="27.95"/>
  </r>
  <r>
    <x v="64"/>
    <x v="0"/>
    <x v="0"/>
    <n v="30"/>
    <d v="1899-12-30T00:37:01"/>
    <n v="37.016666666666666"/>
  </r>
  <r>
    <x v="64"/>
    <x v="0"/>
    <x v="1"/>
    <n v="23"/>
    <d v="1899-12-30T00:21:42"/>
    <n v="21.7"/>
  </r>
  <r>
    <x v="64"/>
    <x v="0"/>
    <x v="2"/>
    <n v="17"/>
    <d v="1899-12-30T00:19:35"/>
    <n v="19.583333333333332"/>
  </r>
  <r>
    <x v="64"/>
    <x v="0"/>
    <x v="3"/>
    <n v="13"/>
    <d v="1899-12-30T00:09:57"/>
    <n v="9.9499999999999993"/>
  </r>
  <r>
    <x v="64"/>
    <x v="0"/>
    <x v="4"/>
    <n v="14"/>
    <d v="1899-12-30T00:15:22"/>
    <n v="15.366666666666667"/>
  </r>
  <r>
    <x v="64"/>
    <x v="0"/>
    <x v="5"/>
    <n v="19"/>
    <d v="1899-12-30T00:19:26"/>
    <n v="19.433333333333334"/>
  </r>
  <r>
    <x v="64"/>
    <x v="1"/>
    <x v="0"/>
    <n v="53"/>
    <d v="1899-12-30T01:34:17"/>
    <n v="94.283333333333331"/>
  </r>
  <r>
    <x v="64"/>
    <x v="1"/>
    <x v="1"/>
    <n v="49"/>
    <d v="1899-12-30T01:29:15"/>
    <n v="89.25"/>
  </r>
  <r>
    <x v="64"/>
    <x v="1"/>
    <x v="2"/>
    <n v="37"/>
    <d v="1899-12-30T01:12:09"/>
    <n v="72.150000000000006"/>
  </r>
  <r>
    <x v="64"/>
    <x v="1"/>
    <x v="3"/>
    <n v="11"/>
    <d v="1899-12-30T00:11:46"/>
    <n v="11.766666666666667"/>
  </r>
  <r>
    <x v="64"/>
    <x v="1"/>
    <x v="4"/>
    <n v="79"/>
    <d v="1899-12-30T02:52:34"/>
    <n v="172.56666666666666"/>
  </r>
  <r>
    <x v="64"/>
    <x v="1"/>
    <x v="5"/>
    <n v="37"/>
    <d v="1899-12-30T00:53:05"/>
    <n v="53.083333333333336"/>
  </r>
  <r>
    <x v="64"/>
    <x v="2"/>
    <x v="0"/>
    <n v="49"/>
    <d v="1899-12-30T01:23:59"/>
    <n v="83.983333333333334"/>
  </r>
  <r>
    <x v="64"/>
    <x v="2"/>
    <x v="1"/>
    <n v="79"/>
    <d v="1899-12-30T01:41:53"/>
    <n v="101.88333333333334"/>
  </r>
  <r>
    <x v="64"/>
    <x v="2"/>
    <x v="2"/>
    <n v="34"/>
    <d v="1899-12-30T01:02:42"/>
    <n v="62.7"/>
  </r>
  <r>
    <x v="64"/>
    <x v="2"/>
    <x v="3"/>
    <n v="29"/>
    <d v="1899-12-30T00:24:10"/>
    <n v="24.166666666666668"/>
  </r>
  <r>
    <x v="64"/>
    <x v="2"/>
    <x v="4"/>
    <n v="37"/>
    <d v="1899-12-30T01:09:42"/>
    <n v="69.7"/>
  </r>
  <r>
    <x v="64"/>
    <x v="2"/>
    <x v="5"/>
    <n v="52"/>
    <d v="1899-12-30T00:57:43"/>
    <n v="57.716666666666669"/>
  </r>
  <r>
    <x v="64"/>
    <x v="3"/>
    <x v="0"/>
    <n v="11"/>
    <d v="1899-12-30T00:17:58"/>
    <n v="17.966666666666665"/>
  </r>
  <r>
    <x v="64"/>
    <x v="3"/>
    <x v="1"/>
    <n v="12"/>
    <d v="1899-12-30T00:23:34"/>
    <n v="23.566666666666666"/>
  </r>
  <r>
    <x v="64"/>
    <x v="3"/>
    <x v="2"/>
    <n v="9"/>
    <d v="1899-12-30T00:19:09"/>
    <n v="19.149999999999999"/>
  </r>
  <r>
    <x v="64"/>
    <x v="3"/>
    <x v="3"/>
    <n v="3"/>
    <d v="1899-12-30T00:04:15"/>
    <n v="4.25"/>
  </r>
  <r>
    <x v="64"/>
    <x v="3"/>
    <x v="4"/>
    <n v="0"/>
    <d v="1899-12-30T00:00:00"/>
    <n v="0"/>
  </r>
  <r>
    <x v="64"/>
    <x v="3"/>
    <x v="5"/>
    <n v="10"/>
    <d v="1899-12-30T00:12:38"/>
    <n v="12.633333333333333"/>
  </r>
  <r>
    <x v="64"/>
    <x v="4"/>
    <x v="0"/>
    <n v="74"/>
    <d v="1899-12-30T01:57:55"/>
    <n v="117.91666666666667"/>
  </r>
  <r>
    <x v="64"/>
    <x v="4"/>
    <x v="1"/>
    <n v="47"/>
    <d v="1899-12-30T00:59:19"/>
    <n v="59.31666666666667"/>
  </r>
  <r>
    <x v="64"/>
    <x v="4"/>
    <x v="2"/>
    <n v="39"/>
    <d v="1899-12-30T01:07:18"/>
    <n v="67.3"/>
  </r>
  <r>
    <x v="64"/>
    <x v="4"/>
    <x v="3"/>
    <n v="23"/>
    <d v="1899-12-30T00:22:19"/>
    <n v="22.316666666666666"/>
  </r>
  <r>
    <x v="64"/>
    <x v="4"/>
    <x v="4"/>
    <n v="23"/>
    <d v="1899-12-30T00:31:05"/>
    <n v="31.083333333333332"/>
  </r>
  <r>
    <x v="64"/>
    <x v="4"/>
    <x v="5"/>
    <n v="40"/>
    <d v="1899-12-30T00:42:45"/>
    <n v="42.75"/>
  </r>
  <r>
    <x v="64"/>
    <x v="5"/>
    <x v="0"/>
    <n v="39"/>
    <d v="1899-12-30T00:48:19"/>
    <n v="48.31666666666667"/>
  </r>
  <r>
    <x v="64"/>
    <x v="5"/>
    <x v="1"/>
    <n v="27"/>
    <d v="1899-12-30T00:31:35"/>
    <n v="31.583333333333332"/>
  </r>
  <r>
    <x v="64"/>
    <x v="5"/>
    <x v="2"/>
    <n v="21"/>
    <d v="1899-12-30T00:29:19"/>
    <n v="29.316666666666666"/>
  </r>
  <r>
    <x v="64"/>
    <x v="5"/>
    <x v="3"/>
    <n v="19"/>
    <d v="1899-12-30T00:17:40"/>
    <n v="17.666666666666668"/>
  </r>
  <r>
    <x v="64"/>
    <x v="5"/>
    <x v="4"/>
    <n v="1"/>
    <d v="1899-12-30T00:01:03"/>
    <n v="1.05"/>
  </r>
  <r>
    <x v="64"/>
    <x v="5"/>
    <x v="5"/>
    <n v="33"/>
    <d v="1899-12-30T00:27:00"/>
    <n v="27"/>
  </r>
  <r>
    <x v="64"/>
    <x v="6"/>
    <x v="0"/>
    <n v="9"/>
    <d v="1899-12-30T00:13:51"/>
    <n v="13.85"/>
  </r>
  <r>
    <x v="64"/>
    <x v="6"/>
    <x v="1"/>
    <n v="8"/>
    <d v="1899-12-30T00:08:45"/>
    <n v="8.75"/>
  </r>
  <r>
    <x v="64"/>
    <x v="6"/>
    <x v="2"/>
    <n v="6"/>
    <d v="1899-12-30T00:08:19"/>
    <n v="8.3166666666666664"/>
  </r>
  <r>
    <x v="64"/>
    <x v="6"/>
    <x v="3"/>
    <n v="0"/>
    <d v="1899-12-30T00:00:00"/>
    <n v="0"/>
  </r>
  <r>
    <x v="64"/>
    <x v="6"/>
    <x v="4"/>
    <n v="7"/>
    <d v="1899-12-30T00:07:36"/>
    <n v="7.6"/>
  </r>
  <r>
    <x v="64"/>
    <x v="6"/>
    <x v="5"/>
    <n v="3"/>
    <d v="1899-12-30T00:01:32"/>
    <n v="1.5333333333333332"/>
  </r>
  <r>
    <x v="64"/>
    <x v="7"/>
    <x v="0"/>
    <n v="52"/>
    <d v="1899-12-30T01:07:09"/>
    <n v="67.150000000000006"/>
  </r>
  <r>
    <x v="64"/>
    <x v="7"/>
    <x v="1"/>
    <n v="87"/>
    <d v="1899-12-30T01:51:52"/>
    <n v="111.86666666666666"/>
  </r>
  <r>
    <x v="64"/>
    <x v="7"/>
    <x v="2"/>
    <n v="51"/>
    <d v="1899-12-30T01:20:33"/>
    <n v="80.55"/>
  </r>
  <r>
    <x v="64"/>
    <x v="7"/>
    <x v="3"/>
    <n v="54"/>
    <d v="1899-12-30T00:53:32"/>
    <n v="53.533333333333331"/>
  </r>
  <r>
    <x v="64"/>
    <x v="7"/>
    <x v="4"/>
    <n v="92"/>
    <d v="1899-12-30T02:32:11"/>
    <n v="152.18333333333334"/>
  </r>
  <r>
    <x v="64"/>
    <x v="7"/>
    <x v="5"/>
    <n v="39"/>
    <d v="1899-12-30T00:35:11"/>
    <n v="35.18333333333333"/>
  </r>
  <r>
    <x v="64"/>
    <x v="8"/>
    <x v="0"/>
    <n v="26"/>
    <d v="1899-12-30T00:42:03"/>
    <n v="42.05"/>
  </r>
  <r>
    <x v="64"/>
    <x v="8"/>
    <x v="1"/>
    <n v="37"/>
    <d v="1899-12-30T00:54:24"/>
    <n v="54.4"/>
  </r>
  <r>
    <x v="64"/>
    <x v="8"/>
    <x v="2"/>
    <n v="22"/>
    <d v="1899-12-30T00:42:59"/>
    <n v="42.983333333333334"/>
  </r>
  <r>
    <x v="64"/>
    <x v="8"/>
    <x v="3"/>
    <n v="21"/>
    <d v="1899-12-30T00:20:57"/>
    <n v="20.95"/>
  </r>
  <r>
    <x v="64"/>
    <x v="8"/>
    <x v="4"/>
    <n v="5"/>
    <d v="1899-12-30T00:07:45"/>
    <n v="7.75"/>
  </r>
  <r>
    <x v="64"/>
    <x v="8"/>
    <x v="5"/>
    <n v="32"/>
    <d v="1899-12-30T00:33:03"/>
    <n v="33.049999999999997"/>
  </r>
  <r>
    <x v="64"/>
    <x v="9"/>
    <x v="0"/>
    <n v="15"/>
    <d v="1899-12-30T00:19:04"/>
    <n v="19.066666666666666"/>
  </r>
  <r>
    <x v="64"/>
    <x v="9"/>
    <x v="1"/>
    <n v="14"/>
    <d v="1899-12-30T00:23:10"/>
    <n v="23.166666666666668"/>
  </r>
  <r>
    <x v="64"/>
    <x v="9"/>
    <x v="2"/>
    <n v="9"/>
    <d v="1899-12-30T00:20:49"/>
    <n v="20.816666666666666"/>
  </r>
  <r>
    <x v="64"/>
    <x v="9"/>
    <x v="3"/>
    <n v="3"/>
    <d v="1899-12-30T00:04:13"/>
    <n v="4.2166666666666668"/>
  </r>
  <r>
    <x v="64"/>
    <x v="9"/>
    <x v="4"/>
    <n v="2"/>
    <d v="1899-12-30T00:03:27"/>
    <n v="3.45"/>
  </r>
  <r>
    <x v="64"/>
    <x v="9"/>
    <x v="5"/>
    <n v="16"/>
    <d v="1899-12-30T00:18:13"/>
    <n v="18.216666666666665"/>
  </r>
  <r>
    <x v="64"/>
    <x v="10"/>
    <x v="0"/>
    <n v="21"/>
    <d v="1899-12-30T00:38:44"/>
    <n v="38.733333333333334"/>
  </r>
  <r>
    <x v="64"/>
    <x v="10"/>
    <x v="1"/>
    <n v="17"/>
    <d v="1899-12-30T00:37:42"/>
    <n v="37.700000000000003"/>
  </r>
  <r>
    <x v="64"/>
    <x v="10"/>
    <x v="2"/>
    <n v="13"/>
    <d v="1899-12-30T00:22:50"/>
    <n v="22.833333333333332"/>
  </r>
  <r>
    <x v="64"/>
    <x v="10"/>
    <x v="3"/>
    <n v="5"/>
    <d v="1899-12-30T00:07:39"/>
    <n v="7.65"/>
  </r>
  <r>
    <x v="64"/>
    <x v="10"/>
    <x v="4"/>
    <n v="6"/>
    <d v="1899-12-30T00:10:52"/>
    <n v="10.866666666666667"/>
  </r>
  <r>
    <x v="64"/>
    <x v="10"/>
    <x v="5"/>
    <n v="11"/>
    <d v="1899-12-30T00:13:54"/>
    <n v="13.9"/>
  </r>
  <r>
    <x v="64"/>
    <x v="11"/>
    <x v="0"/>
    <n v="11"/>
    <d v="1899-12-30T00:22:09"/>
    <n v="22.15"/>
  </r>
  <r>
    <x v="64"/>
    <x v="11"/>
    <x v="1"/>
    <n v="2"/>
    <d v="1899-12-30T00:03:55"/>
    <n v="3.9166666666666665"/>
  </r>
  <r>
    <x v="64"/>
    <x v="11"/>
    <x v="2"/>
    <n v="3"/>
    <d v="1899-12-30T00:07:21"/>
    <n v="7.35"/>
  </r>
  <r>
    <x v="64"/>
    <x v="11"/>
    <x v="3"/>
    <n v="3"/>
    <d v="1899-12-30T00:02:06"/>
    <n v="2.1"/>
  </r>
  <r>
    <x v="64"/>
    <x v="11"/>
    <x v="4"/>
    <n v="3"/>
    <d v="1899-12-30T00:03:14"/>
    <n v="3.2333333333333334"/>
  </r>
  <r>
    <x v="64"/>
    <x v="11"/>
    <x v="5"/>
    <n v="3"/>
    <d v="1899-12-30T00:02:29"/>
    <n v="2.4833333333333334"/>
  </r>
  <r>
    <x v="64"/>
    <x v="12"/>
    <x v="0"/>
    <n v="123"/>
    <d v="1899-12-30T02:55:56"/>
    <n v="175.93333333333334"/>
  </r>
  <r>
    <x v="64"/>
    <x v="12"/>
    <x v="1"/>
    <n v="95"/>
    <d v="1899-12-30T02:32:01"/>
    <n v="152.01666666666668"/>
  </r>
  <r>
    <x v="64"/>
    <x v="12"/>
    <x v="2"/>
    <n v="76"/>
    <d v="1899-12-30T02:10:02"/>
    <n v="130.03333333333333"/>
  </r>
  <r>
    <x v="64"/>
    <x v="12"/>
    <x v="3"/>
    <n v="53"/>
    <d v="1899-12-30T00:55:13"/>
    <n v="55.216666666666669"/>
  </r>
  <r>
    <x v="64"/>
    <x v="12"/>
    <x v="4"/>
    <n v="38"/>
    <d v="1899-12-30T01:04:28"/>
    <n v="64.466666666666669"/>
  </r>
  <r>
    <x v="64"/>
    <x v="12"/>
    <x v="5"/>
    <n v="60"/>
    <d v="1899-12-30T01:02:10"/>
    <n v="62.166666666666664"/>
  </r>
  <r>
    <x v="64"/>
    <x v="13"/>
    <x v="0"/>
    <n v="64"/>
    <d v="1899-12-30T01:38:39"/>
    <n v="98.65"/>
  </r>
  <r>
    <x v="64"/>
    <x v="13"/>
    <x v="1"/>
    <n v="66"/>
    <d v="1899-12-30T01:25:10"/>
    <n v="85.166666666666671"/>
  </r>
  <r>
    <x v="64"/>
    <x v="13"/>
    <x v="2"/>
    <n v="31"/>
    <d v="1899-12-30T00:42:13"/>
    <n v="42.216666666666669"/>
  </r>
  <r>
    <x v="64"/>
    <x v="13"/>
    <x v="3"/>
    <n v="18"/>
    <d v="1899-12-30T00:16:07"/>
    <n v="16.116666666666667"/>
  </r>
  <r>
    <x v="64"/>
    <x v="13"/>
    <x v="4"/>
    <n v="0"/>
    <d v="1899-12-30T00:00:00"/>
    <n v="0"/>
  </r>
  <r>
    <x v="64"/>
    <x v="13"/>
    <x v="5"/>
    <n v="56"/>
    <d v="1899-12-30T00:52:04"/>
    <n v="52.06666666666667"/>
  </r>
  <r>
    <x v="65"/>
    <x v="0"/>
    <x v="0"/>
    <n v="64"/>
    <d v="1899-12-30T01:20:42"/>
    <n v="80.7"/>
  </r>
  <r>
    <x v="65"/>
    <x v="0"/>
    <x v="1"/>
    <n v="45"/>
    <d v="1899-12-30T00:52:48"/>
    <n v="52.8"/>
  </r>
  <r>
    <x v="65"/>
    <x v="0"/>
    <x v="2"/>
    <n v="33"/>
    <d v="1899-12-30T00:53:06"/>
    <n v="53.1"/>
  </r>
  <r>
    <x v="65"/>
    <x v="0"/>
    <x v="3"/>
    <n v="28"/>
    <d v="1899-12-30T00:25:20"/>
    <n v="25.333333333333332"/>
  </r>
  <r>
    <x v="65"/>
    <x v="0"/>
    <x v="4"/>
    <n v="8"/>
    <d v="1899-12-30T00:06:12"/>
    <n v="6.2"/>
  </r>
  <r>
    <x v="65"/>
    <x v="0"/>
    <x v="5"/>
    <n v="41"/>
    <d v="1899-12-30T00:38:31"/>
    <n v="38.516666666666666"/>
  </r>
  <r>
    <x v="65"/>
    <x v="1"/>
    <x v="0"/>
    <n v="35"/>
    <d v="1899-12-30T01:00:29"/>
    <n v="60.483333333333334"/>
  </r>
  <r>
    <x v="65"/>
    <x v="1"/>
    <x v="1"/>
    <n v="32"/>
    <d v="1899-12-30T00:52:50"/>
    <n v="52.833333333333336"/>
  </r>
  <r>
    <x v="65"/>
    <x v="1"/>
    <x v="2"/>
    <n v="31"/>
    <d v="1899-12-30T01:07:09"/>
    <n v="67.150000000000006"/>
  </r>
  <r>
    <x v="65"/>
    <x v="1"/>
    <x v="3"/>
    <n v="11"/>
    <d v="1899-12-30T00:10:12"/>
    <n v="10.199999999999999"/>
  </r>
  <r>
    <x v="65"/>
    <x v="1"/>
    <x v="4"/>
    <n v="86"/>
    <d v="1899-12-30T03:36:19"/>
    <n v="216.31666666666666"/>
  </r>
  <r>
    <x v="65"/>
    <x v="1"/>
    <x v="5"/>
    <n v="23"/>
    <d v="1899-12-30T00:35:03"/>
    <n v="35.049999999999997"/>
  </r>
  <r>
    <x v="65"/>
    <x v="2"/>
    <x v="0"/>
    <n v="36"/>
    <d v="1899-12-30T00:40:36"/>
    <n v="40.6"/>
  </r>
  <r>
    <x v="65"/>
    <x v="2"/>
    <x v="1"/>
    <n v="38"/>
    <d v="1899-12-30T01:03:20"/>
    <n v="63.333333333333336"/>
  </r>
  <r>
    <x v="65"/>
    <x v="2"/>
    <x v="2"/>
    <n v="36"/>
    <d v="1899-12-30T01:06:08"/>
    <n v="66.13333333333334"/>
  </r>
  <r>
    <x v="65"/>
    <x v="2"/>
    <x v="3"/>
    <n v="16"/>
    <d v="1899-12-30T00:12:14"/>
    <n v="12.233333333333333"/>
  </r>
  <r>
    <x v="65"/>
    <x v="2"/>
    <x v="4"/>
    <n v="20"/>
    <d v="1899-12-30T00:34:37"/>
    <n v="34.616666666666667"/>
  </r>
  <r>
    <x v="65"/>
    <x v="2"/>
    <x v="5"/>
    <n v="29"/>
    <d v="1899-12-30T00:33:04"/>
    <n v="33.06666666666667"/>
  </r>
  <r>
    <x v="65"/>
    <x v="3"/>
    <x v="0"/>
    <n v="19"/>
    <d v="1899-12-30T00:34:51"/>
    <n v="34.85"/>
  </r>
  <r>
    <x v="65"/>
    <x v="3"/>
    <x v="1"/>
    <n v="16"/>
    <d v="1899-12-30T00:37:12"/>
    <n v="37.200000000000003"/>
  </r>
  <r>
    <x v="65"/>
    <x v="3"/>
    <x v="2"/>
    <n v="10"/>
    <d v="1899-12-30T00:19:27"/>
    <n v="19.45"/>
  </r>
  <r>
    <x v="65"/>
    <x v="3"/>
    <x v="3"/>
    <n v="6"/>
    <d v="1899-12-30T00:07:42"/>
    <n v="7.7"/>
  </r>
  <r>
    <x v="65"/>
    <x v="3"/>
    <x v="4"/>
    <n v="5"/>
    <d v="1899-12-30T00:14:04"/>
    <n v="14.066666666666666"/>
  </r>
  <r>
    <x v="65"/>
    <x v="3"/>
    <x v="5"/>
    <n v="11"/>
    <d v="1899-12-30T00:19:31"/>
    <n v="19.516666666666666"/>
  </r>
  <r>
    <x v="65"/>
    <x v="4"/>
    <x v="0"/>
    <n v="40"/>
    <d v="1899-12-30T00:54:46"/>
    <n v="54.766666666666666"/>
  </r>
  <r>
    <x v="65"/>
    <x v="4"/>
    <x v="1"/>
    <n v="20"/>
    <d v="1899-12-30T00:26:52"/>
    <n v="26.866666666666667"/>
  </r>
  <r>
    <x v="65"/>
    <x v="4"/>
    <x v="2"/>
    <n v="12"/>
    <d v="1899-12-30T00:16:23"/>
    <n v="16.383333333333333"/>
  </r>
  <r>
    <x v="65"/>
    <x v="4"/>
    <x v="3"/>
    <n v="9"/>
    <d v="1899-12-30T00:08:02"/>
    <n v="8.0333333333333332"/>
  </r>
  <r>
    <x v="65"/>
    <x v="4"/>
    <x v="4"/>
    <n v="21"/>
    <d v="1899-12-30T00:24:04"/>
    <n v="24.066666666666666"/>
  </r>
  <r>
    <x v="65"/>
    <x v="4"/>
    <x v="5"/>
    <n v="20"/>
    <d v="1899-12-30T00:17:20"/>
    <n v="17.333333333333332"/>
  </r>
  <r>
    <x v="65"/>
    <x v="5"/>
    <x v="0"/>
    <n v="37"/>
    <d v="1899-12-30T00:55:22"/>
    <n v="55.366666666666667"/>
  </r>
  <r>
    <x v="65"/>
    <x v="5"/>
    <x v="1"/>
    <n v="28"/>
    <d v="1899-12-30T00:37:06"/>
    <n v="37.1"/>
  </r>
  <r>
    <x v="65"/>
    <x v="5"/>
    <x v="2"/>
    <n v="19"/>
    <d v="1899-12-30T00:28:34"/>
    <n v="28.566666666666666"/>
  </r>
  <r>
    <x v="65"/>
    <x v="5"/>
    <x v="3"/>
    <n v="20"/>
    <d v="1899-12-30T00:18:01"/>
    <n v="18.016666666666666"/>
  </r>
  <r>
    <x v="65"/>
    <x v="5"/>
    <x v="4"/>
    <n v="3"/>
    <d v="1899-12-30T00:05:27"/>
    <n v="5.45"/>
  </r>
  <r>
    <x v="65"/>
    <x v="5"/>
    <x v="5"/>
    <n v="40"/>
    <d v="1899-12-30T00:39:52"/>
    <n v="39.866666666666667"/>
  </r>
  <r>
    <x v="65"/>
    <x v="6"/>
    <x v="0"/>
    <n v="17"/>
    <d v="1899-12-30T00:21:30"/>
    <n v="21.5"/>
  </r>
  <r>
    <x v="65"/>
    <x v="6"/>
    <x v="1"/>
    <n v="18"/>
    <d v="1899-12-30T00:26:54"/>
    <n v="26.9"/>
  </r>
  <r>
    <x v="65"/>
    <x v="6"/>
    <x v="2"/>
    <n v="15"/>
    <d v="1899-12-30T00:21:51"/>
    <n v="21.85"/>
  </r>
  <r>
    <x v="65"/>
    <x v="6"/>
    <x v="3"/>
    <n v="10"/>
    <d v="1899-12-30T00:08:13"/>
    <n v="8.2166666666666668"/>
  </r>
  <r>
    <x v="65"/>
    <x v="6"/>
    <x v="4"/>
    <n v="7"/>
    <d v="1899-12-30T00:13:36"/>
    <n v="13.6"/>
  </r>
  <r>
    <x v="65"/>
    <x v="6"/>
    <x v="5"/>
    <n v="14"/>
    <d v="1899-12-30T00:12:41"/>
    <n v="12.683333333333334"/>
  </r>
  <r>
    <x v="65"/>
    <x v="7"/>
    <x v="0"/>
    <n v="58"/>
    <d v="1899-12-30T01:03:16"/>
    <n v="63.266666666666666"/>
  </r>
  <r>
    <x v="65"/>
    <x v="7"/>
    <x v="1"/>
    <n v="68"/>
    <d v="1899-12-30T01:32:02"/>
    <n v="92.033333333333331"/>
  </r>
  <r>
    <x v="65"/>
    <x v="7"/>
    <x v="2"/>
    <n v="65"/>
    <d v="1899-12-30T01:35:13"/>
    <n v="95.216666666666669"/>
  </r>
  <r>
    <x v="65"/>
    <x v="7"/>
    <x v="3"/>
    <n v="53"/>
    <d v="1899-12-30T00:47:08"/>
    <n v="47.133333333333333"/>
  </r>
  <r>
    <x v="65"/>
    <x v="7"/>
    <x v="4"/>
    <n v="150"/>
    <d v="1899-12-30T04:07:51"/>
    <n v="247.85"/>
  </r>
  <r>
    <x v="65"/>
    <x v="7"/>
    <x v="5"/>
    <n v="36"/>
    <d v="1899-12-30T00:30:34"/>
    <n v="30.566666666666666"/>
  </r>
  <r>
    <x v="65"/>
    <x v="8"/>
    <x v="0"/>
    <n v="25"/>
    <d v="1899-12-30T00:37:01"/>
    <n v="37.016666666666666"/>
  </r>
  <r>
    <x v="65"/>
    <x v="8"/>
    <x v="1"/>
    <n v="38"/>
    <d v="1899-12-30T01:07:09"/>
    <n v="67.150000000000006"/>
  </r>
  <r>
    <x v="65"/>
    <x v="8"/>
    <x v="2"/>
    <n v="39"/>
    <d v="1899-12-30T01:05:47"/>
    <n v="65.783333333333331"/>
  </r>
  <r>
    <x v="65"/>
    <x v="8"/>
    <x v="3"/>
    <n v="30"/>
    <d v="1899-12-30T00:34:37"/>
    <n v="34.616666666666667"/>
  </r>
  <r>
    <x v="65"/>
    <x v="8"/>
    <x v="4"/>
    <n v="17"/>
    <d v="1899-12-30T00:26:04"/>
    <n v="26.066666666666666"/>
  </r>
  <r>
    <x v="65"/>
    <x v="8"/>
    <x v="5"/>
    <n v="39"/>
    <d v="1899-12-30T00:33:34"/>
    <n v="33.56666666666667"/>
  </r>
  <r>
    <x v="65"/>
    <x v="9"/>
    <x v="0"/>
    <n v="33"/>
    <d v="1899-12-30T00:59:11"/>
    <n v="59.18333333333333"/>
  </r>
  <r>
    <x v="65"/>
    <x v="9"/>
    <x v="1"/>
    <n v="52"/>
    <d v="1899-12-30T01:21:45"/>
    <n v="81.75"/>
  </r>
  <r>
    <x v="65"/>
    <x v="9"/>
    <x v="2"/>
    <n v="33"/>
    <d v="1899-12-30T01:00:25"/>
    <n v="60.416666666666664"/>
  </r>
  <r>
    <x v="65"/>
    <x v="9"/>
    <x v="3"/>
    <n v="19"/>
    <d v="1899-12-30T00:22:50"/>
    <n v="22.833333333333332"/>
  </r>
  <r>
    <x v="65"/>
    <x v="9"/>
    <x v="4"/>
    <n v="8"/>
    <d v="1899-12-30T00:15:56"/>
    <n v="15.933333333333334"/>
  </r>
  <r>
    <x v="65"/>
    <x v="9"/>
    <x v="5"/>
    <n v="22"/>
    <d v="1899-12-30T00:21:50"/>
    <n v="21.833333333333332"/>
  </r>
  <r>
    <x v="65"/>
    <x v="10"/>
    <x v="0"/>
    <n v="17"/>
    <d v="1899-12-30T00:31:40"/>
    <n v="31.666666666666668"/>
  </r>
  <r>
    <x v="65"/>
    <x v="10"/>
    <x v="1"/>
    <n v="11"/>
    <d v="1899-12-30T00:23:14"/>
    <n v="23.233333333333334"/>
  </r>
  <r>
    <x v="65"/>
    <x v="10"/>
    <x v="2"/>
    <n v="9"/>
    <d v="1899-12-30T00:18:38"/>
    <n v="18.633333333333333"/>
  </r>
  <r>
    <x v="65"/>
    <x v="10"/>
    <x v="3"/>
    <n v="8"/>
    <d v="1899-12-30T00:06:27"/>
    <n v="6.45"/>
  </r>
  <r>
    <x v="65"/>
    <x v="10"/>
    <x v="4"/>
    <n v="4"/>
    <d v="1899-12-30T00:08:41"/>
    <n v="8.6833333333333336"/>
  </r>
  <r>
    <x v="65"/>
    <x v="10"/>
    <x v="5"/>
    <n v="10"/>
    <d v="1899-12-30T00:16:41"/>
    <n v="16.683333333333334"/>
  </r>
  <r>
    <x v="65"/>
    <x v="11"/>
    <x v="0"/>
    <n v="6"/>
    <d v="1899-12-30T00:08:45"/>
    <n v="8.75"/>
  </r>
  <r>
    <x v="65"/>
    <x v="11"/>
    <x v="1"/>
    <n v="6"/>
    <d v="1899-12-30T00:12:44"/>
    <n v="12.733333333333333"/>
  </r>
  <r>
    <x v="65"/>
    <x v="11"/>
    <x v="2"/>
    <n v="5"/>
    <d v="1899-12-30T00:09:16"/>
    <n v="9.2666666666666675"/>
  </r>
  <r>
    <x v="65"/>
    <x v="11"/>
    <x v="3"/>
    <n v="6"/>
    <d v="1899-12-30T00:06:06"/>
    <n v="6.1"/>
  </r>
  <r>
    <x v="65"/>
    <x v="11"/>
    <x v="4"/>
    <n v="2"/>
    <d v="1899-12-30T00:04:04"/>
    <n v="4.0666666666666664"/>
  </r>
  <r>
    <x v="65"/>
    <x v="11"/>
    <x v="5"/>
    <n v="6"/>
    <d v="1899-12-30T00:05:15"/>
    <n v="5.25"/>
  </r>
  <r>
    <x v="65"/>
    <x v="12"/>
    <x v="0"/>
    <n v="100"/>
    <d v="1899-12-30T02:43:59"/>
    <n v="163.98333333333332"/>
  </r>
  <r>
    <x v="65"/>
    <x v="12"/>
    <x v="1"/>
    <n v="86"/>
    <d v="1899-12-30T02:09:38"/>
    <n v="129.63333333333333"/>
  </r>
  <r>
    <x v="65"/>
    <x v="12"/>
    <x v="2"/>
    <n v="79"/>
    <d v="1899-12-30T01:50:56"/>
    <n v="110.93333333333334"/>
  </r>
  <r>
    <x v="65"/>
    <x v="12"/>
    <x v="3"/>
    <n v="42"/>
    <d v="1899-12-30T00:41:31"/>
    <n v="41.516666666666666"/>
  </r>
  <r>
    <x v="65"/>
    <x v="12"/>
    <x v="4"/>
    <n v="28"/>
    <d v="1899-12-30T00:56:11"/>
    <n v="56.18333333333333"/>
  </r>
  <r>
    <x v="65"/>
    <x v="12"/>
    <x v="5"/>
    <n v="70"/>
    <d v="1899-12-30T01:20:20"/>
    <n v="80.333333333333329"/>
  </r>
  <r>
    <x v="65"/>
    <x v="13"/>
    <x v="0"/>
    <n v="178"/>
    <d v="1899-12-30T04:20:18"/>
    <n v="260.3"/>
  </r>
  <r>
    <x v="65"/>
    <x v="13"/>
    <x v="1"/>
    <n v="160"/>
    <d v="1899-12-30T03:32:26"/>
    <n v="212.43333333333334"/>
  </r>
  <r>
    <x v="65"/>
    <x v="13"/>
    <x v="2"/>
    <n v="93"/>
    <d v="1899-12-30T02:15:02"/>
    <n v="135.03333333333333"/>
  </r>
  <r>
    <x v="65"/>
    <x v="13"/>
    <x v="3"/>
    <n v="76"/>
    <d v="1899-12-30T01:16:14"/>
    <n v="76.233333333333334"/>
  </r>
  <r>
    <x v="65"/>
    <x v="13"/>
    <x v="4"/>
    <n v="17"/>
    <d v="1899-12-30T00:38:08"/>
    <n v="38.133333333333333"/>
  </r>
  <r>
    <x v="65"/>
    <x v="13"/>
    <x v="5"/>
    <n v="127"/>
    <d v="1899-12-30T02:23:06"/>
    <n v="143.1"/>
  </r>
  <r>
    <x v="66"/>
    <x v="0"/>
    <x v="0"/>
    <n v="38"/>
    <d v="1899-12-30T00:43:34"/>
    <n v="43.56666666666667"/>
  </r>
  <r>
    <x v="66"/>
    <x v="0"/>
    <x v="1"/>
    <n v="28"/>
    <d v="1899-12-30T00:35:00"/>
    <n v="35"/>
  </r>
  <r>
    <x v="66"/>
    <x v="0"/>
    <x v="2"/>
    <n v="20"/>
    <d v="1899-12-30T00:26:52"/>
    <n v="26.866666666666667"/>
  </r>
  <r>
    <x v="66"/>
    <x v="0"/>
    <x v="3"/>
    <n v="18"/>
    <d v="1899-12-30T00:10:44"/>
    <n v="10.733333333333333"/>
  </r>
  <r>
    <x v="66"/>
    <x v="0"/>
    <x v="4"/>
    <n v="9"/>
    <d v="1899-12-30T00:10:38"/>
    <n v="10.633333333333333"/>
  </r>
  <r>
    <x v="66"/>
    <x v="0"/>
    <x v="5"/>
    <n v="31"/>
    <d v="1899-12-30T00:22:44"/>
    <n v="22.733333333333334"/>
  </r>
  <r>
    <x v="66"/>
    <x v="1"/>
    <x v="0"/>
    <n v="59"/>
    <d v="1899-12-30T01:48:31"/>
    <n v="108.51666666666667"/>
  </r>
  <r>
    <x v="66"/>
    <x v="1"/>
    <x v="1"/>
    <n v="51"/>
    <d v="1899-12-30T01:26:28"/>
    <n v="86.466666666666669"/>
  </r>
  <r>
    <x v="66"/>
    <x v="1"/>
    <x v="2"/>
    <n v="40"/>
    <d v="1899-12-30T01:26:17"/>
    <n v="86.283333333333331"/>
  </r>
  <r>
    <x v="66"/>
    <x v="1"/>
    <x v="3"/>
    <n v="14"/>
    <d v="1899-12-30T00:14:56"/>
    <n v="14.933333333333334"/>
  </r>
  <r>
    <x v="66"/>
    <x v="1"/>
    <x v="4"/>
    <n v="90"/>
    <d v="1899-12-30T03:56:43"/>
    <n v="236.71666666666667"/>
  </r>
  <r>
    <x v="66"/>
    <x v="1"/>
    <x v="5"/>
    <n v="28"/>
    <d v="1899-12-30T00:34:56"/>
    <n v="34.93333333333333"/>
  </r>
  <r>
    <x v="66"/>
    <x v="2"/>
    <x v="0"/>
    <n v="31"/>
    <d v="1899-12-30T00:58:41"/>
    <n v="58.68333333333333"/>
  </r>
  <r>
    <x v="66"/>
    <x v="2"/>
    <x v="1"/>
    <n v="23"/>
    <d v="1899-12-30T00:39:13"/>
    <n v="39.216666666666669"/>
  </r>
  <r>
    <x v="66"/>
    <x v="2"/>
    <x v="2"/>
    <n v="14"/>
    <d v="1899-12-30T00:32:09"/>
    <n v="32.15"/>
  </r>
  <r>
    <x v="66"/>
    <x v="2"/>
    <x v="3"/>
    <n v="11"/>
    <d v="1899-12-30T00:14:13"/>
    <n v="14.216666666666667"/>
  </r>
  <r>
    <x v="66"/>
    <x v="2"/>
    <x v="4"/>
    <n v="17"/>
    <d v="1899-12-30T00:35:47"/>
    <n v="35.783333333333331"/>
  </r>
  <r>
    <x v="66"/>
    <x v="2"/>
    <x v="5"/>
    <n v="19"/>
    <d v="1899-12-30T00:25:02"/>
    <n v="25.033333333333335"/>
  </r>
  <r>
    <x v="66"/>
    <x v="3"/>
    <x v="0"/>
    <n v="5"/>
    <d v="1899-12-30T00:08:16"/>
    <n v="8.2666666666666675"/>
  </r>
  <r>
    <x v="66"/>
    <x v="3"/>
    <x v="1"/>
    <n v="5"/>
    <d v="1899-12-30T00:08:35"/>
    <n v="8.5833333333333339"/>
  </r>
  <r>
    <x v="66"/>
    <x v="3"/>
    <x v="2"/>
    <n v="3"/>
    <d v="1899-12-30T00:06:28"/>
    <n v="6.4666666666666668"/>
  </r>
  <r>
    <x v="66"/>
    <x v="3"/>
    <x v="3"/>
    <n v="3"/>
    <d v="1899-12-30T00:04:22"/>
    <n v="4.3666666666666663"/>
  </r>
  <r>
    <x v="66"/>
    <x v="3"/>
    <x v="4"/>
    <n v="2"/>
    <d v="1899-12-30T00:04:12"/>
    <n v="4.2"/>
  </r>
  <r>
    <x v="66"/>
    <x v="3"/>
    <x v="5"/>
    <n v="8"/>
    <d v="1899-12-30T00:07:58"/>
    <n v="7.9666666666666668"/>
  </r>
  <r>
    <x v="66"/>
    <x v="4"/>
    <x v="0"/>
    <n v="43"/>
    <d v="1899-12-30T01:05:52"/>
    <n v="65.86666666666666"/>
  </r>
  <r>
    <x v="66"/>
    <x v="4"/>
    <x v="1"/>
    <n v="29"/>
    <d v="1899-12-30T00:36:35"/>
    <n v="36.583333333333336"/>
  </r>
  <r>
    <x v="66"/>
    <x v="4"/>
    <x v="2"/>
    <n v="20"/>
    <d v="1899-12-30T00:27:03"/>
    <n v="27.05"/>
  </r>
  <r>
    <x v="66"/>
    <x v="4"/>
    <x v="3"/>
    <n v="11"/>
    <d v="1899-12-30T00:09:29"/>
    <n v="9.4833333333333325"/>
  </r>
  <r>
    <x v="66"/>
    <x v="4"/>
    <x v="4"/>
    <n v="16"/>
    <d v="1899-12-30T00:22:16"/>
    <n v="22.266666666666666"/>
  </r>
  <r>
    <x v="66"/>
    <x v="4"/>
    <x v="5"/>
    <n v="23"/>
    <d v="1899-12-30T00:21:24"/>
    <n v="21.4"/>
  </r>
  <r>
    <x v="66"/>
    <x v="5"/>
    <x v="0"/>
    <n v="32"/>
    <d v="1899-12-30T00:45:25"/>
    <n v="45.416666666666664"/>
  </r>
  <r>
    <x v="66"/>
    <x v="5"/>
    <x v="1"/>
    <n v="28"/>
    <d v="1899-12-30T00:33:55"/>
    <n v="33.916666666666664"/>
  </r>
  <r>
    <x v="66"/>
    <x v="5"/>
    <x v="2"/>
    <n v="22"/>
    <d v="1899-12-30T00:33:08"/>
    <n v="33.133333333333333"/>
  </r>
  <r>
    <x v="66"/>
    <x v="5"/>
    <x v="3"/>
    <n v="14"/>
    <d v="1899-12-30T00:14:21"/>
    <n v="14.35"/>
  </r>
  <r>
    <x v="66"/>
    <x v="5"/>
    <x v="4"/>
    <n v="7"/>
    <d v="1899-12-30T00:09:15"/>
    <n v="9.25"/>
  </r>
  <r>
    <x v="66"/>
    <x v="5"/>
    <x v="5"/>
    <n v="26"/>
    <d v="1899-12-30T00:20:49"/>
    <n v="20.816666666666666"/>
  </r>
  <r>
    <x v="66"/>
    <x v="6"/>
    <x v="0"/>
    <n v="10"/>
    <d v="1899-12-30T00:23:58"/>
    <n v="23.966666666666665"/>
  </r>
  <r>
    <x v="66"/>
    <x v="6"/>
    <x v="1"/>
    <n v="20"/>
    <d v="1899-12-30T00:35:16"/>
    <n v="35.266666666666666"/>
  </r>
  <r>
    <x v="66"/>
    <x v="6"/>
    <x v="2"/>
    <n v="10"/>
    <d v="1899-12-30T00:16:43"/>
    <n v="16.716666666666665"/>
  </r>
  <r>
    <x v="66"/>
    <x v="6"/>
    <x v="3"/>
    <n v="4"/>
    <d v="1899-12-30T00:01:56"/>
    <n v="1.9333333333333333"/>
  </r>
  <r>
    <x v="66"/>
    <x v="6"/>
    <x v="4"/>
    <n v="3"/>
    <d v="1899-12-30T00:04:59"/>
    <n v="4.9833333333333334"/>
  </r>
  <r>
    <x v="66"/>
    <x v="6"/>
    <x v="5"/>
    <n v="10"/>
    <d v="1899-12-30T00:11:16"/>
    <n v="11.266666666666667"/>
  </r>
  <r>
    <x v="66"/>
    <x v="7"/>
    <x v="0"/>
    <n v="29"/>
    <d v="1899-12-30T00:31:47"/>
    <n v="31.783333333333335"/>
  </r>
  <r>
    <x v="66"/>
    <x v="7"/>
    <x v="1"/>
    <n v="64"/>
    <d v="1899-12-30T00:57:05"/>
    <n v="57.083333333333336"/>
  </r>
  <r>
    <x v="66"/>
    <x v="7"/>
    <x v="2"/>
    <n v="55"/>
    <d v="1899-12-30T00:59:13"/>
    <n v="59.216666666666669"/>
  </r>
  <r>
    <x v="66"/>
    <x v="7"/>
    <x v="3"/>
    <n v="35"/>
    <d v="1899-12-30T00:32:59"/>
    <n v="32.983333333333334"/>
  </r>
  <r>
    <x v="66"/>
    <x v="7"/>
    <x v="4"/>
    <n v="87"/>
    <d v="1899-12-30T02:06:39"/>
    <n v="126.65"/>
  </r>
  <r>
    <x v="66"/>
    <x v="7"/>
    <x v="5"/>
    <n v="27"/>
    <d v="1899-12-30T00:21:44"/>
    <n v="21.733333333333334"/>
  </r>
  <r>
    <x v="66"/>
    <x v="8"/>
    <x v="0"/>
    <n v="25"/>
    <d v="1899-12-30T00:35:44"/>
    <n v="35.733333333333334"/>
  </r>
  <r>
    <x v="66"/>
    <x v="8"/>
    <x v="1"/>
    <n v="40"/>
    <d v="1899-12-30T00:46:40"/>
    <n v="46.666666666666664"/>
  </r>
  <r>
    <x v="66"/>
    <x v="8"/>
    <x v="2"/>
    <n v="20"/>
    <d v="1899-12-30T00:35:32"/>
    <n v="35.533333333333331"/>
  </r>
  <r>
    <x v="66"/>
    <x v="8"/>
    <x v="3"/>
    <n v="36"/>
    <d v="1899-12-30T00:35:08"/>
    <n v="35.133333333333333"/>
  </r>
  <r>
    <x v="66"/>
    <x v="8"/>
    <x v="4"/>
    <n v="10"/>
    <d v="1899-12-30T00:18:53"/>
    <n v="18.883333333333333"/>
  </r>
  <r>
    <x v="66"/>
    <x v="8"/>
    <x v="5"/>
    <n v="44"/>
    <d v="1899-12-30T00:42:51"/>
    <n v="42.85"/>
  </r>
  <r>
    <x v="66"/>
    <x v="9"/>
    <x v="0"/>
    <n v="65"/>
    <d v="1899-12-30T01:51:36"/>
    <n v="111.6"/>
  </r>
  <r>
    <x v="66"/>
    <x v="9"/>
    <x v="1"/>
    <n v="64"/>
    <d v="1899-12-30T01:30:43"/>
    <n v="90.716666666666669"/>
  </r>
  <r>
    <x v="66"/>
    <x v="9"/>
    <x v="2"/>
    <n v="51"/>
    <d v="1899-12-30T01:35:52"/>
    <n v="95.86666666666666"/>
  </r>
  <r>
    <x v="66"/>
    <x v="9"/>
    <x v="3"/>
    <n v="36"/>
    <d v="1899-12-30T00:40:41"/>
    <n v="40.68333333333333"/>
  </r>
  <r>
    <x v="66"/>
    <x v="9"/>
    <x v="4"/>
    <n v="17"/>
    <d v="1899-12-30T00:32:55"/>
    <n v="32.916666666666664"/>
  </r>
  <r>
    <x v="66"/>
    <x v="9"/>
    <x v="5"/>
    <n v="36"/>
    <d v="1899-12-30T00:41:10"/>
    <n v="41.166666666666664"/>
  </r>
  <r>
    <x v="66"/>
    <x v="10"/>
    <x v="0"/>
    <n v="26"/>
    <d v="1899-12-30T00:45:06"/>
    <n v="45.1"/>
  </r>
  <r>
    <x v="66"/>
    <x v="10"/>
    <x v="1"/>
    <n v="26"/>
    <d v="1899-12-30T00:45:12"/>
    <n v="45.2"/>
  </r>
  <r>
    <x v="66"/>
    <x v="10"/>
    <x v="2"/>
    <n v="14"/>
    <d v="1899-12-30T00:26:48"/>
    <n v="26.8"/>
  </r>
  <r>
    <x v="66"/>
    <x v="10"/>
    <x v="3"/>
    <n v="11"/>
    <d v="1899-12-30T00:13:59"/>
    <n v="13.983333333333333"/>
  </r>
  <r>
    <x v="66"/>
    <x v="10"/>
    <x v="4"/>
    <n v="2"/>
    <d v="1899-12-30T00:03:49"/>
    <n v="3.8166666666666664"/>
  </r>
  <r>
    <x v="66"/>
    <x v="10"/>
    <x v="5"/>
    <n v="21"/>
    <d v="1899-12-30T00:27:37"/>
    <n v="27.616666666666667"/>
  </r>
  <r>
    <x v="66"/>
    <x v="11"/>
    <x v="0"/>
    <n v="12"/>
    <d v="1899-12-30T00:17:38"/>
    <n v="17.633333333333333"/>
  </r>
  <r>
    <x v="66"/>
    <x v="11"/>
    <x v="1"/>
    <n v="4"/>
    <d v="1899-12-30T00:06:27"/>
    <n v="6.45"/>
  </r>
  <r>
    <x v="66"/>
    <x v="11"/>
    <x v="2"/>
    <n v="3"/>
    <d v="1899-12-30T00:06:43"/>
    <n v="6.7166666666666668"/>
  </r>
  <r>
    <x v="66"/>
    <x v="11"/>
    <x v="3"/>
    <n v="4"/>
    <d v="1899-12-30T00:02:40"/>
    <n v="2.6666666666666665"/>
  </r>
  <r>
    <x v="66"/>
    <x v="11"/>
    <x v="4"/>
    <n v="2"/>
    <d v="1899-12-30T00:04:36"/>
    <n v="4.5999999999999996"/>
  </r>
  <r>
    <x v="66"/>
    <x v="11"/>
    <x v="5"/>
    <n v="7"/>
    <d v="1899-12-30T00:06:53"/>
    <n v="6.8833333333333329"/>
  </r>
  <r>
    <x v="66"/>
    <x v="12"/>
    <x v="0"/>
    <n v="83"/>
    <d v="1899-12-30T02:04:56"/>
    <n v="124.93333333333334"/>
  </r>
  <r>
    <x v="66"/>
    <x v="12"/>
    <x v="1"/>
    <n v="87"/>
    <d v="1899-12-30T02:18:57"/>
    <n v="138.94999999999999"/>
  </r>
  <r>
    <x v="66"/>
    <x v="12"/>
    <x v="2"/>
    <n v="65"/>
    <d v="1899-12-30T01:41:24"/>
    <n v="101.4"/>
  </r>
  <r>
    <x v="66"/>
    <x v="12"/>
    <x v="3"/>
    <n v="52"/>
    <d v="1899-12-30T00:52:52"/>
    <n v="52.866666666666667"/>
  </r>
  <r>
    <x v="66"/>
    <x v="12"/>
    <x v="4"/>
    <n v="32"/>
    <d v="1899-12-30T01:01:24"/>
    <n v="61.4"/>
  </r>
  <r>
    <x v="66"/>
    <x v="12"/>
    <x v="5"/>
    <n v="86"/>
    <d v="1899-12-30T01:32:34"/>
    <n v="92.566666666666663"/>
  </r>
  <r>
    <x v="66"/>
    <x v="13"/>
    <x v="0"/>
    <n v="74"/>
    <d v="1899-12-30T01:37:56"/>
    <n v="97.933333333333337"/>
  </r>
  <r>
    <x v="66"/>
    <x v="13"/>
    <x v="1"/>
    <n v="85"/>
    <d v="1899-12-30T01:39:42"/>
    <n v="99.7"/>
  </r>
  <r>
    <x v="66"/>
    <x v="13"/>
    <x v="2"/>
    <n v="61"/>
    <d v="1899-12-30T01:26:46"/>
    <n v="86.766666666666666"/>
  </r>
  <r>
    <x v="66"/>
    <x v="13"/>
    <x v="3"/>
    <n v="44"/>
    <d v="1899-12-30T00:37:36"/>
    <n v="37.6"/>
  </r>
  <r>
    <x v="66"/>
    <x v="13"/>
    <x v="4"/>
    <n v="5"/>
    <d v="1899-12-30T00:08:22"/>
    <n v="8.3666666666666671"/>
  </r>
  <r>
    <x v="66"/>
    <x v="13"/>
    <x v="5"/>
    <n v="69"/>
    <d v="1899-12-30T01:01:19"/>
    <n v="61.31666666666667"/>
  </r>
  <r>
    <x v="67"/>
    <x v="0"/>
    <x v="0"/>
    <n v="75"/>
    <d v="1899-12-30T01:33:56"/>
    <n v="93.933333333333337"/>
  </r>
  <r>
    <x v="67"/>
    <x v="0"/>
    <x v="1"/>
    <n v="88"/>
    <d v="1899-12-30T01:51:14"/>
    <n v="111.23333333333333"/>
  </r>
  <r>
    <x v="67"/>
    <x v="0"/>
    <x v="2"/>
    <n v="69"/>
    <d v="1899-12-30T01:35:43"/>
    <n v="95.716666666666669"/>
  </r>
  <r>
    <x v="67"/>
    <x v="0"/>
    <x v="3"/>
    <n v="61"/>
    <d v="1899-12-30T00:54:39"/>
    <n v="54.65"/>
  </r>
  <r>
    <x v="67"/>
    <x v="0"/>
    <x v="4"/>
    <n v="55"/>
    <d v="1899-12-30T01:22:27"/>
    <n v="82.45"/>
  </r>
  <r>
    <x v="67"/>
    <x v="0"/>
    <x v="5"/>
    <n v="58"/>
    <d v="1899-12-30T00:47:34"/>
    <n v="47.56666666666667"/>
  </r>
  <r>
    <x v="67"/>
    <x v="1"/>
    <x v="0"/>
    <n v="65"/>
    <d v="1899-12-30T01:57:46"/>
    <n v="117.76666666666667"/>
  </r>
  <r>
    <x v="67"/>
    <x v="1"/>
    <x v="1"/>
    <n v="51"/>
    <d v="1899-12-30T01:46:27"/>
    <n v="106.45"/>
  </r>
  <r>
    <x v="67"/>
    <x v="1"/>
    <x v="2"/>
    <n v="41"/>
    <d v="1899-12-30T01:27:54"/>
    <n v="87.9"/>
  </r>
  <r>
    <x v="67"/>
    <x v="1"/>
    <x v="3"/>
    <n v="11"/>
    <d v="1899-12-30T00:09:51"/>
    <n v="9.85"/>
  </r>
  <r>
    <x v="67"/>
    <x v="1"/>
    <x v="4"/>
    <n v="84"/>
    <d v="1899-12-30T04:20:44"/>
    <n v="260.73333333333335"/>
  </r>
  <r>
    <x v="67"/>
    <x v="1"/>
    <x v="5"/>
    <n v="32"/>
    <d v="1899-12-30T00:43:06"/>
    <n v="43.1"/>
  </r>
  <r>
    <x v="67"/>
    <x v="2"/>
    <x v="0"/>
    <n v="67"/>
    <d v="1899-12-30T01:55:05"/>
    <n v="115.08333333333333"/>
  </r>
  <r>
    <x v="67"/>
    <x v="2"/>
    <x v="1"/>
    <n v="66"/>
    <d v="1899-12-30T01:54:24"/>
    <n v="114.4"/>
  </r>
  <r>
    <x v="67"/>
    <x v="2"/>
    <x v="2"/>
    <n v="32"/>
    <d v="1899-12-30T00:53:14"/>
    <n v="53.233333333333334"/>
  </r>
  <r>
    <x v="67"/>
    <x v="2"/>
    <x v="3"/>
    <n v="26"/>
    <d v="1899-12-30T00:33:03"/>
    <n v="33.049999999999997"/>
  </r>
  <r>
    <x v="67"/>
    <x v="2"/>
    <x v="4"/>
    <n v="19"/>
    <d v="1899-12-30T00:36:56"/>
    <n v="36.93333333333333"/>
  </r>
  <r>
    <x v="67"/>
    <x v="2"/>
    <x v="5"/>
    <n v="36"/>
    <d v="1899-12-30T00:48:11"/>
    <n v="48.18333333333333"/>
  </r>
  <r>
    <x v="67"/>
    <x v="3"/>
    <x v="0"/>
    <n v="24"/>
    <d v="1899-12-30T00:42:04"/>
    <n v="42.06666666666667"/>
  </r>
  <r>
    <x v="67"/>
    <x v="3"/>
    <x v="1"/>
    <n v="20"/>
    <d v="1899-12-30T00:39:51"/>
    <n v="39.85"/>
  </r>
  <r>
    <x v="67"/>
    <x v="3"/>
    <x v="2"/>
    <n v="17"/>
    <d v="1899-12-30T00:32:37"/>
    <n v="32.616666666666667"/>
  </r>
  <r>
    <x v="67"/>
    <x v="3"/>
    <x v="3"/>
    <n v="5"/>
    <d v="1899-12-30T00:05:59"/>
    <n v="5.9833333333333334"/>
  </r>
  <r>
    <x v="67"/>
    <x v="3"/>
    <x v="4"/>
    <n v="1"/>
    <d v="1899-12-30T00:01:56"/>
    <n v="1.9333333333333333"/>
  </r>
  <r>
    <x v="67"/>
    <x v="3"/>
    <x v="5"/>
    <n v="19"/>
    <d v="1899-12-30T00:31:27"/>
    <n v="31.45"/>
  </r>
  <r>
    <x v="67"/>
    <x v="4"/>
    <x v="0"/>
    <n v="50"/>
    <d v="1899-12-30T01:25:01"/>
    <n v="85.016666666666666"/>
  </r>
  <r>
    <x v="67"/>
    <x v="4"/>
    <x v="1"/>
    <n v="29"/>
    <d v="1899-12-30T00:36:49"/>
    <n v="36.81666666666667"/>
  </r>
  <r>
    <x v="67"/>
    <x v="4"/>
    <x v="2"/>
    <n v="14"/>
    <d v="1899-12-30T00:22:13"/>
    <n v="22.216666666666665"/>
  </r>
  <r>
    <x v="67"/>
    <x v="4"/>
    <x v="3"/>
    <n v="10"/>
    <d v="1899-12-30T00:07:29"/>
    <n v="7.4833333333333334"/>
  </r>
  <r>
    <x v="67"/>
    <x v="4"/>
    <x v="4"/>
    <n v="19"/>
    <d v="1899-12-30T00:38:50"/>
    <n v="38.833333333333336"/>
  </r>
  <r>
    <x v="67"/>
    <x v="4"/>
    <x v="5"/>
    <n v="20"/>
    <d v="1899-12-30T00:23:00"/>
    <n v="23"/>
  </r>
  <r>
    <x v="67"/>
    <x v="5"/>
    <x v="0"/>
    <n v="37"/>
    <d v="1899-12-30T00:47:37"/>
    <n v="47.616666666666667"/>
  </r>
  <r>
    <x v="67"/>
    <x v="5"/>
    <x v="1"/>
    <n v="28"/>
    <d v="1899-12-30T00:42:08"/>
    <n v="42.133333333333333"/>
  </r>
  <r>
    <x v="67"/>
    <x v="5"/>
    <x v="2"/>
    <n v="23"/>
    <d v="1899-12-30T00:24:30"/>
    <n v="24.5"/>
  </r>
  <r>
    <x v="67"/>
    <x v="5"/>
    <x v="3"/>
    <n v="15"/>
    <d v="1899-12-30T00:10:34"/>
    <n v="10.566666666666666"/>
  </r>
  <r>
    <x v="67"/>
    <x v="5"/>
    <x v="4"/>
    <n v="3"/>
    <d v="1899-12-30T00:04:13"/>
    <n v="4.2166666666666668"/>
  </r>
  <r>
    <x v="67"/>
    <x v="5"/>
    <x v="5"/>
    <n v="35"/>
    <d v="1899-12-30T00:31:00"/>
    <n v="31"/>
  </r>
  <r>
    <x v="67"/>
    <x v="6"/>
    <x v="0"/>
    <n v="13"/>
    <d v="1899-12-30T00:21:36"/>
    <n v="21.6"/>
  </r>
  <r>
    <x v="67"/>
    <x v="6"/>
    <x v="1"/>
    <n v="6"/>
    <d v="1899-12-30T00:08:20"/>
    <n v="8.3333333333333339"/>
  </r>
  <r>
    <x v="67"/>
    <x v="6"/>
    <x v="2"/>
    <n v="3"/>
    <d v="1899-12-30T00:04:26"/>
    <n v="4.4333333333333336"/>
  </r>
  <r>
    <x v="67"/>
    <x v="6"/>
    <x v="3"/>
    <n v="4"/>
    <d v="1899-12-30T00:05:10"/>
    <n v="5.166666666666667"/>
  </r>
  <r>
    <x v="67"/>
    <x v="6"/>
    <x v="4"/>
    <n v="8"/>
    <d v="1899-12-30T00:14:24"/>
    <n v="14.4"/>
  </r>
  <r>
    <x v="67"/>
    <x v="6"/>
    <x v="5"/>
    <n v="4"/>
    <d v="1899-12-30T00:02:54"/>
    <n v="2.9"/>
  </r>
  <r>
    <x v="67"/>
    <x v="7"/>
    <x v="0"/>
    <n v="37"/>
    <d v="1899-12-30T00:53:20"/>
    <n v="53.333333333333336"/>
  </r>
  <r>
    <x v="67"/>
    <x v="7"/>
    <x v="1"/>
    <n v="71"/>
    <d v="1899-12-30T01:11:31"/>
    <n v="71.516666666666666"/>
  </r>
  <r>
    <x v="67"/>
    <x v="7"/>
    <x v="2"/>
    <n v="57"/>
    <d v="1899-12-30T01:07:28"/>
    <n v="67.466666666666669"/>
  </r>
  <r>
    <x v="67"/>
    <x v="7"/>
    <x v="3"/>
    <n v="35"/>
    <d v="1899-12-30T00:30:39"/>
    <n v="30.65"/>
  </r>
  <r>
    <x v="67"/>
    <x v="7"/>
    <x v="4"/>
    <n v="99"/>
    <d v="1899-12-30T02:56:40"/>
    <n v="176.66666666666666"/>
  </r>
  <r>
    <x v="67"/>
    <x v="7"/>
    <x v="5"/>
    <n v="37"/>
    <d v="1899-12-30T00:37:40"/>
    <n v="37.666666666666664"/>
  </r>
  <r>
    <x v="67"/>
    <x v="8"/>
    <x v="0"/>
    <n v="22"/>
    <d v="1899-12-30T00:35:45"/>
    <n v="35.75"/>
  </r>
  <r>
    <x v="67"/>
    <x v="8"/>
    <x v="1"/>
    <n v="27"/>
    <d v="1899-12-30T00:46:47"/>
    <n v="46.783333333333331"/>
  </r>
  <r>
    <x v="67"/>
    <x v="8"/>
    <x v="2"/>
    <n v="25"/>
    <d v="1899-12-30T00:38:51"/>
    <n v="38.85"/>
  </r>
  <r>
    <x v="67"/>
    <x v="8"/>
    <x v="3"/>
    <n v="15"/>
    <d v="1899-12-30T00:16:55"/>
    <n v="16.916666666666668"/>
  </r>
  <r>
    <x v="67"/>
    <x v="8"/>
    <x v="4"/>
    <n v="4"/>
    <d v="1899-12-30T00:07:23"/>
    <n v="7.3833333333333337"/>
  </r>
  <r>
    <x v="67"/>
    <x v="8"/>
    <x v="5"/>
    <n v="28"/>
    <d v="1899-12-30T00:21:46"/>
    <n v="21.766666666666666"/>
  </r>
  <r>
    <x v="67"/>
    <x v="9"/>
    <x v="0"/>
    <n v="59"/>
    <d v="1899-12-30T01:46:28"/>
    <n v="106.46666666666667"/>
  </r>
  <r>
    <x v="67"/>
    <x v="9"/>
    <x v="1"/>
    <n v="73"/>
    <d v="1899-12-30T01:41:11"/>
    <n v="101.18333333333334"/>
  </r>
  <r>
    <x v="67"/>
    <x v="9"/>
    <x v="2"/>
    <n v="46"/>
    <d v="1899-12-30T01:22:01"/>
    <n v="82.016666666666666"/>
  </r>
  <r>
    <x v="67"/>
    <x v="9"/>
    <x v="3"/>
    <n v="51"/>
    <d v="1899-12-30T00:58:21"/>
    <n v="58.35"/>
  </r>
  <r>
    <x v="67"/>
    <x v="9"/>
    <x v="4"/>
    <n v="18"/>
    <d v="1899-12-30T00:36:56"/>
    <n v="36.93333333333333"/>
  </r>
  <r>
    <x v="67"/>
    <x v="9"/>
    <x v="5"/>
    <n v="46"/>
    <d v="1899-12-30T00:54:16"/>
    <n v="54.266666666666666"/>
  </r>
  <r>
    <x v="67"/>
    <x v="10"/>
    <x v="0"/>
    <n v="16"/>
    <d v="1899-12-30T00:35:27"/>
    <n v="35.450000000000003"/>
  </r>
  <r>
    <x v="67"/>
    <x v="10"/>
    <x v="1"/>
    <n v="13"/>
    <d v="1899-12-30T00:21:21"/>
    <n v="21.35"/>
  </r>
  <r>
    <x v="67"/>
    <x v="10"/>
    <x v="2"/>
    <n v="16"/>
    <d v="1899-12-30T00:31:14"/>
    <n v="31.233333333333334"/>
  </r>
  <r>
    <x v="67"/>
    <x v="10"/>
    <x v="3"/>
    <n v="6"/>
    <d v="1899-12-30T00:07:17"/>
    <n v="7.2833333333333332"/>
  </r>
  <r>
    <x v="67"/>
    <x v="10"/>
    <x v="4"/>
    <n v="3"/>
    <d v="1899-12-30T00:05:29"/>
    <n v="5.4833333333333334"/>
  </r>
  <r>
    <x v="67"/>
    <x v="10"/>
    <x v="5"/>
    <n v="12"/>
    <d v="1899-12-30T00:18:09"/>
    <n v="18.149999999999999"/>
  </r>
  <r>
    <x v="67"/>
    <x v="11"/>
    <x v="0"/>
    <n v="12"/>
    <d v="1899-12-30T00:19:45"/>
    <n v="19.75"/>
  </r>
  <r>
    <x v="67"/>
    <x v="11"/>
    <x v="1"/>
    <n v="9"/>
    <d v="1899-12-30T00:14:31"/>
    <n v="14.516666666666667"/>
  </r>
  <r>
    <x v="67"/>
    <x v="11"/>
    <x v="2"/>
    <n v="8"/>
    <d v="1899-12-30T00:17:28"/>
    <n v="17.466666666666665"/>
  </r>
  <r>
    <x v="67"/>
    <x v="11"/>
    <x v="3"/>
    <n v="4"/>
    <d v="1899-12-30T00:02:18"/>
    <n v="2.2999999999999998"/>
  </r>
  <r>
    <x v="67"/>
    <x v="11"/>
    <x v="4"/>
    <n v="2"/>
    <d v="1899-12-30T00:02:47"/>
    <n v="2.7833333333333332"/>
  </r>
  <r>
    <x v="67"/>
    <x v="11"/>
    <x v="5"/>
    <n v="8"/>
    <d v="1899-12-30T00:11:10"/>
    <n v="11.166666666666666"/>
  </r>
  <r>
    <x v="67"/>
    <x v="12"/>
    <x v="0"/>
    <n v="138"/>
    <d v="1899-12-30T03:48:24"/>
    <n v="228.4"/>
  </r>
  <r>
    <x v="67"/>
    <x v="12"/>
    <x v="1"/>
    <n v="105"/>
    <d v="1899-12-30T02:55:58"/>
    <n v="175.96666666666667"/>
  </r>
  <r>
    <x v="67"/>
    <x v="12"/>
    <x v="2"/>
    <n v="80"/>
    <d v="1899-12-30T02:24:18"/>
    <n v="144.30000000000001"/>
  </r>
  <r>
    <x v="67"/>
    <x v="12"/>
    <x v="3"/>
    <n v="60"/>
    <d v="1899-12-30T00:53:21"/>
    <n v="53.35"/>
  </r>
  <r>
    <x v="67"/>
    <x v="12"/>
    <x v="4"/>
    <n v="28"/>
    <d v="1899-12-30T00:53:50"/>
    <n v="53.833333333333336"/>
  </r>
  <r>
    <x v="67"/>
    <x v="12"/>
    <x v="5"/>
    <n v="82"/>
    <d v="1899-12-30T01:37:19"/>
    <n v="97.316666666666663"/>
  </r>
  <r>
    <x v="67"/>
    <x v="13"/>
    <x v="0"/>
    <n v="80"/>
    <d v="1899-12-30T02:00:48"/>
    <n v="120.8"/>
  </r>
  <r>
    <x v="67"/>
    <x v="13"/>
    <x v="1"/>
    <n v="73"/>
    <d v="1899-12-30T02:03:17"/>
    <n v="123.28333333333333"/>
  </r>
  <r>
    <x v="67"/>
    <x v="13"/>
    <x v="2"/>
    <n v="55"/>
    <d v="1899-12-30T01:32:07"/>
    <n v="92.11666666666666"/>
  </r>
  <r>
    <x v="67"/>
    <x v="13"/>
    <x v="3"/>
    <n v="41"/>
    <d v="1899-12-30T00:42:41"/>
    <n v="42.68333333333333"/>
  </r>
  <r>
    <x v="67"/>
    <x v="13"/>
    <x v="4"/>
    <n v="0"/>
    <d v="1899-12-30T00:00:00"/>
    <n v="0"/>
  </r>
  <r>
    <x v="67"/>
    <x v="13"/>
    <x v="5"/>
    <n v="64"/>
    <d v="1899-12-30T01:03:46"/>
    <n v="63.766666666666666"/>
  </r>
  <r>
    <x v="68"/>
    <x v="0"/>
    <x v="0"/>
    <n v="25"/>
    <d v="1899-12-30T00:26:51"/>
    <n v="26.85"/>
  </r>
  <r>
    <x v="68"/>
    <x v="0"/>
    <x v="1"/>
    <n v="24"/>
    <d v="1899-12-30T00:28:21"/>
    <n v="28.35"/>
  </r>
  <r>
    <x v="68"/>
    <x v="0"/>
    <x v="2"/>
    <n v="15"/>
    <d v="1899-12-30T00:14:54"/>
    <n v="14.9"/>
  </r>
  <r>
    <x v="68"/>
    <x v="0"/>
    <x v="3"/>
    <n v="10"/>
    <d v="1899-12-30T00:06:57"/>
    <n v="6.95"/>
  </r>
  <r>
    <x v="68"/>
    <x v="0"/>
    <x v="4"/>
    <n v="9"/>
    <d v="1899-12-30T00:11:28"/>
    <n v="11.466666666666667"/>
  </r>
  <r>
    <x v="68"/>
    <x v="0"/>
    <x v="5"/>
    <n v="20"/>
    <d v="1899-12-30T00:19:29"/>
    <n v="19.483333333333334"/>
  </r>
  <r>
    <x v="68"/>
    <x v="1"/>
    <x v="0"/>
    <n v="60"/>
    <d v="1899-12-30T01:37:28"/>
    <n v="97.466666666666669"/>
  </r>
  <r>
    <x v="68"/>
    <x v="1"/>
    <x v="1"/>
    <n v="45"/>
    <d v="1899-12-30T01:29:48"/>
    <n v="89.8"/>
  </r>
  <r>
    <x v="68"/>
    <x v="1"/>
    <x v="2"/>
    <n v="40"/>
    <d v="1899-12-30T01:19:45"/>
    <n v="79.75"/>
  </r>
  <r>
    <x v="68"/>
    <x v="1"/>
    <x v="3"/>
    <n v="9"/>
    <d v="1899-12-30T00:12:33"/>
    <n v="12.55"/>
  </r>
  <r>
    <x v="68"/>
    <x v="1"/>
    <x v="4"/>
    <n v="74"/>
    <d v="1899-12-30T02:55:09"/>
    <n v="175.15"/>
  </r>
  <r>
    <x v="68"/>
    <x v="1"/>
    <x v="5"/>
    <n v="37"/>
    <d v="1899-12-30T00:51:52"/>
    <n v="51.866666666666667"/>
  </r>
  <r>
    <x v="68"/>
    <x v="2"/>
    <x v="0"/>
    <n v="45"/>
    <d v="1899-12-30T01:14:15"/>
    <n v="74.25"/>
  </r>
  <r>
    <x v="68"/>
    <x v="2"/>
    <x v="1"/>
    <n v="32"/>
    <d v="1899-12-30T00:58:36"/>
    <n v="58.6"/>
  </r>
  <r>
    <x v="68"/>
    <x v="2"/>
    <x v="2"/>
    <n v="29"/>
    <d v="1899-12-30T00:48:52"/>
    <n v="48.866666666666667"/>
  </r>
  <r>
    <x v="68"/>
    <x v="2"/>
    <x v="3"/>
    <n v="20"/>
    <d v="1899-12-30T00:18:41"/>
    <n v="18.683333333333334"/>
  </r>
  <r>
    <x v="68"/>
    <x v="2"/>
    <x v="4"/>
    <n v="13"/>
    <d v="1899-12-30T00:27:39"/>
    <n v="27.65"/>
  </r>
  <r>
    <x v="68"/>
    <x v="2"/>
    <x v="5"/>
    <n v="19"/>
    <d v="1899-12-30T00:27:32"/>
    <n v="27.533333333333335"/>
  </r>
  <r>
    <x v="68"/>
    <x v="3"/>
    <x v="0"/>
    <n v="19"/>
    <d v="1899-12-30T00:31:03"/>
    <n v="31.05"/>
  </r>
  <r>
    <x v="68"/>
    <x v="3"/>
    <x v="1"/>
    <n v="11"/>
    <d v="1899-12-30T00:22:46"/>
    <n v="22.766666666666666"/>
  </r>
  <r>
    <x v="68"/>
    <x v="3"/>
    <x v="2"/>
    <n v="8"/>
    <d v="1899-12-30T00:15:20"/>
    <n v="15.333333333333334"/>
  </r>
  <r>
    <x v="68"/>
    <x v="3"/>
    <x v="3"/>
    <n v="3"/>
    <d v="1899-12-30T00:02:19"/>
    <n v="2.3166666666666664"/>
  </r>
  <r>
    <x v="68"/>
    <x v="3"/>
    <x v="4"/>
    <n v="1"/>
    <d v="1899-12-30T00:03:52"/>
    <n v="3.8666666666666667"/>
  </r>
  <r>
    <x v="68"/>
    <x v="3"/>
    <x v="5"/>
    <n v="9"/>
    <d v="1899-12-30T00:11:32"/>
    <n v="11.533333333333333"/>
  </r>
  <r>
    <x v="68"/>
    <x v="4"/>
    <x v="0"/>
    <n v="19"/>
    <d v="1899-12-30T00:38:31"/>
    <n v="38.516666666666666"/>
  </r>
  <r>
    <x v="68"/>
    <x v="4"/>
    <x v="1"/>
    <n v="14"/>
    <d v="1899-12-30T00:17:02"/>
    <n v="17.033333333333335"/>
  </r>
  <r>
    <x v="68"/>
    <x v="4"/>
    <x v="2"/>
    <n v="5"/>
    <d v="1899-12-30T00:08:33"/>
    <n v="8.5500000000000007"/>
  </r>
  <r>
    <x v="68"/>
    <x v="4"/>
    <x v="3"/>
    <n v="7"/>
    <d v="1899-12-30T00:04:57"/>
    <n v="4.95"/>
  </r>
  <r>
    <x v="68"/>
    <x v="4"/>
    <x v="4"/>
    <n v="2"/>
    <d v="1899-12-30T00:03:03"/>
    <n v="3.05"/>
  </r>
  <r>
    <x v="68"/>
    <x v="4"/>
    <x v="5"/>
    <n v="4"/>
    <d v="1899-12-30T00:07:19"/>
    <n v="7.3166666666666664"/>
  </r>
  <r>
    <x v="68"/>
    <x v="5"/>
    <x v="0"/>
    <n v="19"/>
    <d v="1899-12-30T00:26:29"/>
    <n v="26.483333333333334"/>
  </r>
  <r>
    <x v="68"/>
    <x v="5"/>
    <x v="1"/>
    <n v="19"/>
    <d v="1899-12-30T00:24:03"/>
    <n v="24.05"/>
  </r>
  <r>
    <x v="68"/>
    <x v="5"/>
    <x v="2"/>
    <n v="20"/>
    <d v="1899-12-30T00:26:51"/>
    <n v="26.85"/>
  </r>
  <r>
    <x v="68"/>
    <x v="5"/>
    <x v="3"/>
    <n v="9"/>
    <d v="1899-12-30T00:07:06"/>
    <n v="7.1"/>
  </r>
  <r>
    <x v="68"/>
    <x v="5"/>
    <x v="4"/>
    <n v="3"/>
    <d v="1899-12-30T00:02:03"/>
    <n v="2.0499999999999998"/>
  </r>
  <r>
    <x v="68"/>
    <x v="5"/>
    <x v="5"/>
    <n v="27"/>
    <d v="1899-12-30T00:28:30"/>
    <n v="28.5"/>
  </r>
  <r>
    <x v="68"/>
    <x v="6"/>
    <x v="0"/>
    <n v="17"/>
    <d v="1899-12-30T00:27:24"/>
    <n v="27.4"/>
  </r>
  <r>
    <x v="68"/>
    <x v="6"/>
    <x v="1"/>
    <n v="12"/>
    <d v="1899-12-30T00:17:40"/>
    <n v="17.666666666666668"/>
  </r>
  <r>
    <x v="68"/>
    <x v="6"/>
    <x v="2"/>
    <n v="13"/>
    <d v="1899-12-30T00:25:45"/>
    <n v="25.75"/>
  </r>
  <r>
    <x v="68"/>
    <x v="6"/>
    <x v="3"/>
    <n v="7"/>
    <d v="1899-12-30T00:08:19"/>
    <n v="8.3166666666666664"/>
  </r>
  <r>
    <x v="68"/>
    <x v="6"/>
    <x v="4"/>
    <n v="13"/>
    <d v="1899-12-30T00:32:51"/>
    <n v="32.85"/>
  </r>
  <r>
    <x v="68"/>
    <x v="6"/>
    <x v="5"/>
    <n v="13"/>
    <d v="1899-12-30T00:19:10"/>
    <n v="19.166666666666668"/>
  </r>
  <r>
    <x v="68"/>
    <x v="7"/>
    <x v="0"/>
    <n v="70"/>
    <d v="1899-12-30T01:35:08"/>
    <n v="95.13333333333334"/>
  </r>
  <r>
    <x v="68"/>
    <x v="7"/>
    <x v="1"/>
    <n v="98"/>
    <d v="1899-12-30T01:58:16"/>
    <n v="118.26666666666667"/>
  </r>
  <r>
    <x v="68"/>
    <x v="7"/>
    <x v="2"/>
    <n v="81"/>
    <d v="1899-12-30T01:40:50"/>
    <n v="100.83333333333333"/>
  </r>
  <r>
    <x v="68"/>
    <x v="7"/>
    <x v="3"/>
    <n v="58"/>
    <d v="1899-12-30T01:00:56"/>
    <n v="60.93333333333333"/>
  </r>
  <r>
    <x v="68"/>
    <x v="7"/>
    <x v="4"/>
    <n v="115"/>
    <d v="1899-12-30T02:47:09"/>
    <n v="167.15"/>
  </r>
  <r>
    <x v="68"/>
    <x v="7"/>
    <x v="5"/>
    <n v="43"/>
    <d v="1899-12-30T00:36:34"/>
    <n v="36.56666666666667"/>
  </r>
  <r>
    <x v="68"/>
    <x v="8"/>
    <x v="0"/>
    <n v="24"/>
    <d v="1899-12-30T00:35:16"/>
    <n v="35.266666666666666"/>
  </r>
  <r>
    <x v="68"/>
    <x v="8"/>
    <x v="1"/>
    <n v="27"/>
    <d v="1899-12-30T00:45:35"/>
    <n v="45.583333333333336"/>
  </r>
  <r>
    <x v="68"/>
    <x v="8"/>
    <x v="2"/>
    <n v="29"/>
    <d v="1899-12-30T00:39:43"/>
    <n v="39.716666666666669"/>
  </r>
  <r>
    <x v="68"/>
    <x v="8"/>
    <x v="3"/>
    <n v="24"/>
    <d v="1899-12-30T00:23:02"/>
    <n v="23.033333333333335"/>
  </r>
  <r>
    <x v="68"/>
    <x v="8"/>
    <x v="4"/>
    <n v="4"/>
    <d v="1899-12-30T00:03:29"/>
    <n v="3.4833333333333334"/>
  </r>
  <r>
    <x v="68"/>
    <x v="8"/>
    <x v="5"/>
    <n v="29"/>
    <d v="1899-12-30T00:26:54"/>
    <n v="26.9"/>
  </r>
  <r>
    <x v="68"/>
    <x v="9"/>
    <x v="0"/>
    <n v="40"/>
    <d v="1899-12-30T00:54:04"/>
    <n v="54.06666666666667"/>
  </r>
  <r>
    <x v="68"/>
    <x v="9"/>
    <x v="1"/>
    <n v="45"/>
    <d v="1899-12-30T01:05:58"/>
    <n v="65.966666666666669"/>
  </r>
  <r>
    <x v="68"/>
    <x v="9"/>
    <x v="2"/>
    <n v="26"/>
    <d v="1899-12-30T00:42:10"/>
    <n v="42.166666666666664"/>
  </r>
  <r>
    <x v="68"/>
    <x v="9"/>
    <x v="3"/>
    <n v="23"/>
    <d v="1899-12-30T00:23:39"/>
    <n v="23.65"/>
  </r>
  <r>
    <x v="68"/>
    <x v="9"/>
    <x v="4"/>
    <n v="11"/>
    <d v="1899-12-30T00:22:23"/>
    <n v="22.383333333333333"/>
  </r>
  <r>
    <x v="68"/>
    <x v="9"/>
    <x v="5"/>
    <n v="28"/>
    <d v="1899-12-30T00:25:02"/>
    <n v="25.033333333333335"/>
  </r>
  <r>
    <x v="68"/>
    <x v="10"/>
    <x v="0"/>
    <n v="24"/>
    <d v="1899-12-30T00:38:16"/>
    <n v="38.266666666666666"/>
  </r>
  <r>
    <x v="68"/>
    <x v="10"/>
    <x v="1"/>
    <n v="24"/>
    <d v="1899-12-30T00:40:49"/>
    <n v="40.81666666666667"/>
  </r>
  <r>
    <x v="68"/>
    <x v="10"/>
    <x v="2"/>
    <n v="17"/>
    <d v="1899-12-30T00:34:28"/>
    <n v="34.466666666666669"/>
  </r>
  <r>
    <x v="68"/>
    <x v="10"/>
    <x v="3"/>
    <n v="5"/>
    <d v="1899-12-30T00:05:51"/>
    <n v="5.85"/>
  </r>
  <r>
    <x v="68"/>
    <x v="10"/>
    <x v="4"/>
    <n v="1"/>
    <d v="1899-12-30T00:03:33"/>
    <n v="3.55"/>
  </r>
  <r>
    <x v="68"/>
    <x v="10"/>
    <x v="5"/>
    <n v="17"/>
    <d v="1899-12-30T00:23:28"/>
    <n v="23.466666666666665"/>
  </r>
  <r>
    <x v="68"/>
    <x v="11"/>
    <x v="0"/>
    <n v="12"/>
    <d v="1899-12-30T00:22:03"/>
    <n v="22.05"/>
  </r>
  <r>
    <x v="68"/>
    <x v="11"/>
    <x v="1"/>
    <n v="9"/>
    <d v="1899-12-30T00:15:37"/>
    <n v="15.616666666666667"/>
  </r>
  <r>
    <x v="68"/>
    <x v="11"/>
    <x v="2"/>
    <n v="4"/>
    <d v="1899-12-30T00:07:55"/>
    <n v="7.916666666666667"/>
  </r>
  <r>
    <x v="68"/>
    <x v="11"/>
    <x v="3"/>
    <n v="4"/>
    <d v="1899-12-30T00:02:57"/>
    <n v="2.95"/>
  </r>
  <r>
    <x v="68"/>
    <x v="11"/>
    <x v="4"/>
    <n v="7"/>
    <d v="1899-12-30T00:13:23"/>
    <n v="13.383333333333333"/>
  </r>
  <r>
    <x v="68"/>
    <x v="11"/>
    <x v="5"/>
    <n v="3"/>
    <d v="1899-12-30T00:03:36"/>
    <n v="3.6"/>
  </r>
  <r>
    <x v="68"/>
    <x v="12"/>
    <x v="0"/>
    <n v="123"/>
    <d v="1899-12-30T03:50:57"/>
    <n v="230.95"/>
  </r>
  <r>
    <x v="68"/>
    <x v="12"/>
    <x v="1"/>
    <n v="114"/>
    <d v="1899-12-30T03:35:49"/>
    <n v="215.81666666666666"/>
  </r>
  <r>
    <x v="68"/>
    <x v="12"/>
    <x v="2"/>
    <n v="106"/>
    <d v="1899-12-30T02:58:38"/>
    <n v="178.63333333333333"/>
  </r>
  <r>
    <x v="68"/>
    <x v="12"/>
    <x v="3"/>
    <n v="80"/>
    <d v="1899-12-30T01:23:25"/>
    <n v="83.416666666666671"/>
  </r>
  <r>
    <x v="68"/>
    <x v="12"/>
    <x v="4"/>
    <n v="51"/>
    <d v="1899-12-30T01:41:00"/>
    <n v="101"/>
  </r>
  <r>
    <x v="68"/>
    <x v="12"/>
    <x v="5"/>
    <n v="90"/>
    <d v="1899-12-30T01:51:48"/>
    <n v="111.8"/>
  </r>
  <r>
    <x v="68"/>
    <x v="13"/>
    <x v="0"/>
    <n v="43"/>
    <d v="1899-12-30T01:04:38"/>
    <n v="64.63333333333334"/>
  </r>
  <r>
    <x v="68"/>
    <x v="13"/>
    <x v="1"/>
    <n v="35"/>
    <d v="1899-12-30T00:40:13"/>
    <n v="40.216666666666669"/>
  </r>
  <r>
    <x v="68"/>
    <x v="13"/>
    <x v="2"/>
    <n v="20"/>
    <d v="1899-12-30T00:28:00"/>
    <n v="28"/>
  </r>
  <r>
    <x v="68"/>
    <x v="13"/>
    <x v="3"/>
    <n v="10"/>
    <d v="1899-12-30T00:11:00"/>
    <n v="11"/>
  </r>
  <r>
    <x v="68"/>
    <x v="13"/>
    <x v="4"/>
    <n v="0"/>
    <d v="1899-12-30T00:00:00"/>
    <n v="0"/>
  </r>
  <r>
    <x v="68"/>
    <x v="13"/>
    <x v="5"/>
    <n v="40"/>
    <d v="1899-12-30T00:38:35"/>
    <n v="38.583333333333336"/>
  </r>
  <r>
    <x v="69"/>
    <x v="0"/>
    <x v="0"/>
    <n v="31"/>
    <d v="1899-12-30T00:39:37"/>
    <n v="39.616666666666667"/>
  </r>
  <r>
    <x v="69"/>
    <x v="0"/>
    <x v="1"/>
    <n v="27"/>
    <d v="1899-12-30T00:29:51"/>
    <n v="29.85"/>
  </r>
  <r>
    <x v="69"/>
    <x v="0"/>
    <x v="2"/>
    <n v="14"/>
    <d v="1899-12-30T00:14:07"/>
    <n v="14.116666666666667"/>
  </r>
  <r>
    <x v="69"/>
    <x v="0"/>
    <x v="3"/>
    <n v="15"/>
    <d v="1899-12-30T00:14:02"/>
    <n v="14.033333333333333"/>
  </r>
  <r>
    <x v="69"/>
    <x v="0"/>
    <x v="4"/>
    <n v="12"/>
    <d v="1899-12-30T00:13:01"/>
    <n v="13.016666666666667"/>
  </r>
  <r>
    <x v="69"/>
    <x v="0"/>
    <x v="5"/>
    <n v="28"/>
    <d v="1899-12-30T00:29:09"/>
    <n v="29.15"/>
  </r>
  <r>
    <x v="69"/>
    <x v="1"/>
    <x v="0"/>
    <n v="52"/>
    <d v="1899-12-30T01:33:14"/>
    <n v="93.233333333333334"/>
  </r>
  <r>
    <x v="69"/>
    <x v="1"/>
    <x v="1"/>
    <n v="43"/>
    <d v="1899-12-30T01:21:21"/>
    <n v="81.349999999999994"/>
  </r>
  <r>
    <x v="69"/>
    <x v="1"/>
    <x v="2"/>
    <n v="35"/>
    <d v="1899-12-30T01:10:52"/>
    <n v="70.86666666666666"/>
  </r>
  <r>
    <x v="69"/>
    <x v="1"/>
    <x v="3"/>
    <n v="10"/>
    <d v="1899-12-30T00:08:43"/>
    <n v="8.7166666666666668"/>
  </r>
  <r>
    <x v="69"/>
    <x v="1"/>
    <x v="4"/>
    <n v="86"/>
    <d v="1899-12-30T03:22:06"/>
    <n v="202.1"/>
  </r>
  <r>
    <x v="69"/>
    <x v="1"/>
    <x v="5"/>
    <n v="42"/>
    <d v="1899-12-30T01:00:45"/>
    <n v="60.75"/>
  </r>
  <r>
    <x v="69"/>
    <x v="2"/>
    <x v="0"/>
    <n v="32"/>
    <d v="1899-12-30T00:50:45"/>
    <n v="50.75"/>
  </r>
  <r>
    <x v="69"/>
    <x v="2"/>
    <x v="1"/>
    <n v="32"/>
    <d v="1899-12-30T00:57:52"/>
    <n v="57.866666666666667"/>
  </r>
  <r>
    <x v="69"/>
    <x v="2"/>
    <x v="2"/>
    <n v="18"/>
    <d v="1899-12-30T00:28:27"/>
    <n v="28.45"/>
  </r>
  <r>
    <x v="69"/>
    <x v="2"/>
    <x v="3"/>
    <n v="12"/>
    <d v="1899-12-30T00:14:54"/>
    <n v="14.9"/>
  </r>
  <r>
    <x v="69"/>
    <x v="2"/>
    <x v="4"/>
    <n v="16"/>
    <d v="1899-12-30T00:23:03"/>
    <n v="23.05"/>
  </r>
  <r>
    <x v="69"/>
    <x v="2"/>
    <x v="5"/>
    <n v="14"/>
    <d v="1899-12-30T00:22:15"/>
    <n v="22.25"/>
  </r>
  <r>
    <x v="69"/>
    <x v="3"/>
    <x v="0"/>
    <n v="9"/>
    <d v="1899-12-30T00:19:22"/>
    <n v="19.366666666666667"/>
  </r>
  <r>
    <x v="69"/>
    <x v="3"/>
    <x v="1"/>
    <n v="5"/>
    <d v="1899-12-30T00:10:00"/>
    <n v="10"/>
  </r>
  <r>
    <x v="69"/>
    <x v="3"/>
    <x v="2"/>
    <n v="2"/>
    <d v="1899-12-30T00:01:53"/>
    <n v="1.8833333333333333"/>
  </r>
  <r>
    <x v="69"/>
    <x v="3"/>
    <x v="3"/>
    <n v="2"/>
    <d v="1899-12-30T00:02:15"/>
    <n v="2.25"/>
  </r>
  <r>
    <x v="69"/>
    <x v="3"/>
    <x v="4"/>
    <n v="0"/>
    <d v="1899-12-30T00:00:00"/>
    <n v="0"/>
  </r>
  <r>
    <x v="69"/>
    <x v="3"/>
    <x v="5"/>
    <n v="1"/>
    <d v="1899-12-30T00:02:13"/>
    <n v="2.2166666666666668"/>
  </r>
  <r>
    <x v="69"/>
    <x v="4"/>
    <x v="0"/>
    <n v="28"/>
    <d v="1899-12-30T00:50:38"/>
    <n v="50.633333333333333"/>
  </r>
  <r>
    <x v="69"/>
    <x v="4"/>
    <x v="1"/>
    <n v="16"/>
    <d v="1899-12-30T00:19:27"/>
    <n v="19.45"/>
  </r>
  <r>
    <x v="69"/>
    <x v="4"/>
    <x v="2"/>
    <n v="18"/>
    <d v="1899-12-30T00:28:04"/>
    <n v="28.066666666666666"/>
  </r>
  <r>
    <x v="69"/>
    <x v="4"/>
    <x v="3"/>
    <n v="8"/>
    <d v="1899-12-30T00:06:55"/>
    <n v="6.916666666666667"/>
  </r>
  <r>
    <x v="69"/>
    <x v="4"/>
    <x v="4"/>
    <n v="12"/>
    <d v="1899-12-30T00:22:41"/>
    <n v="22.683333333333334"/>
  </r>
  <r>
    <x v="69"/>
    <x v="4"/>
    <x v="5"/>
    <n v="14"/>
    <d v="1899-12-30T00:17:05"/>
    <n v="17.083333333333332"/>
  </r>
  <r>
    <x v="69"/>
    <x v="5"/>
    <x v="0"/>
    <n v="22"/>
    <d v="1899-12-30T00:27:10"/>
    <n v="27.166666666666668"/>
  </r>
  <r>
    <x v="69"/>
    <x v="5"/>
    <x v="1"/>
    <n v="16"/>
    <d v="1899-12-30T00:19:01"/>
    <n v="19.016666666666666"/>
  </r>
  <r>
    <x v="69"/>
    <x v="5"/>
    <x v="2"/>
    <n v="26"/>
    <d v="1899-12-30T00:32:59"/>
    <n v="32.983333333333334"/>
  </r>
  <r>
    <x v="69"/>
    <x v="5"/>
    <x v="3"/>
    <n v="13"/>
    <d v="1899-12-30T00:11:12"/>
    <n v="11.2"/>
  </r>
  <r>
    <x v="69"/>
    <x v="5"/>
    <x v="4"/>
    <n v="0"/>
    <d v="1899-12-30T00:00:00"/>
    <n v="0"/>
  </r>
  <r>
    <x v="69"/>
    <x v="5"/>
    <x v="5"/>
    <n v="25"/>
    <d v="1899-12-30T00:23:21"/>
    <n v="23.35"/>
  </r>
  <r>
    <x v="69"/>
    <x v="6"/>
    <x v="0"/>
    <n v="10"/>
    <d v="1899-12-30T00:11:48"/>
    <n v="11.8"/>
  </r>
  <r>
    <x v="69"/>
    <x v="6"/>
    <x v="1"/>
    <n v="9"/>
    <d v="1899-12-30T00:10:27"/>
    <n v="10.45"/>
  </r>
  <r>
    <x v="69"/>
    <x v="6"/>
    <x v="2"/>
    <n v="6"/>
    <d v="1899-12-30T00:06:08"/>
    <n v="6.1333333333333337"/>
  </r>
  <r>
    <x v="69"/>
    <x v="6"/>
    <x v="3"/>
    <n v="3"/>
    <d v="1899-12-30T00:02:07"/>
    <n v="2.1166666666666667"/>
  </r>
  <r>
    <x v="69"/>
    <x v="6"/>
    <x v="4"/>
    <n v="7"/>
    <d v="1899-12-30T00:14:51"/>
    <n v="14.85"/>
  </r>
  <r>
    <x v="69"/>
    <x v="6"/>
    <x v="5"/>
    <n v="3"/>
    <d v="1899-12-30T00:05:13"/>
    <n v="5.2166666666666668"/>
  </r>
  <r>
    <x v="69"/>
    <x v="7"/>
    <x v="0"/>
    <n v="28"/>
    <d v="1899-12-30T00:38:31"/>
    <n v="38.516666666666666"/>
  </r>
  <r>
    <x v="69"/>
    <x v="7"/>
    <x v="1"/>
    <n v="61"/>
    <d v="1899-12-30T01:07:12"/>
    <n v="67.2"/>
  </r>
  <r>
    <x v="69"/>
    <x v="7"/>
    <x v="2"/>
    <n v="44"/>
    <d v="1899-12-30T00:55:16"/>
    <n v="55.266666666666666"/>
  </r>
  <r>
    <x v="69"/>
    <x v="7"/>
    <x v="3"/>
    <n v="36"/>
    <d v="1899-12-30T00:35:29"/>
    <n v="35.483333333333334"/>
  </r>
  <r>
    <x v="69"/>
    <x v="7"/>
    <x v="4"/>
    <n v="94"/>
    <d v="1899-12-30T02:18:56"/>
    <n v="138.93333333333334"/>
  </r>
  <r>
    <x v="69"/>
    <x v="7"/>
    <x v="5"/>
    <n v="16"/>
    <d v="1899-12-30T00:15:01"/>
    <n v="15.016666666666667"/>
  </r>
  <r>
    <x v="69"/>
    <x v="8"/>
    <x v="0"/>
    <n v="24"/>
    <d v="1899-12-30T00:36:06"/>
    <n v="36.1"/>
  </r>
  <r>
    <x v="69"/>
    <x v="8"/>
    <x v="1"/>
    <n v="24"/>
    <d v="1899-12-30T00:34:38"/>
    <n v="34.633333333333333"/>
  </r>
  <r>
    <x v="69"/>
    <x v="8"/>
    <x v="2"/>
    <n v="34"/>
    <d v="1899-12-30T00:54:03"/>
    <n v="54.05"/>
  </r>
  <r>
    <x v="69"/>
    <x v="8"/>
    <x v="3"/>
    <n v="24"/>
    <d v="1899-12-30T00:25:24"/>
    <n v="25.4"/>
  </r>
  <r>
    <x v="69"/>
    <x v="8"/>
    <x v="4"/>
    <n v="8"/>
    <d v="1899-12-30T00:14:48"/>
    <n v="14.8"/>
  </r>
  <r>
    <x v="69"/>
    <x v="8"/>
    <x v="5"/>
    <n v="27"/>
    <d v="1899-12-30T00:29:28"/>
    <n v="29.466666666666665"/>
  </r>
  <r>
    <x v="69"/>
    <x v="9"/>
    <x v="0"/>
    <n v="12"/>
    <d v="1899-12-30T00:17:09"/>
    <n v="17.149999999999999"/>
  </r>
  <r>
    <x v="69"/>
    <x v="9"/>
    <x v="1"/>
    <n v="11"/>
    <d v="1899-12-30T00:18:38"/>
    <n v="18.633333333333333"/>
  </r>
  <r>
    <x v="69"/>
    <x v="9"/>
    <x v="2"/>
    <n v="9"/>
    <d v="1899-12-30T00:15:14"/>
    <n v="15.233333333333333"/>
  </r>
  <r>
    <x v="69"/>
    <x v="9"/>
    <x v="3"/>
    <n v="4"/>
    <d v="1899-12-30T00:03:49"/>
    <n v="3.8166666666666664"/>
  </r>
  <r>
    <x v="69"/>
    <x v="9"/>
    <x v="4"/>
    <n v="5"/>
    <d v="1899-12-30T00:12:45"/>
    <n v="12.75"/>
  </r>
  <r>
    <x v="69"/>
    <x v="9"/>
    <x v="5"/>
    <n v="6"/>
    <d v="1899-12-30T00:06:54"/>
    <n v="6.9"/>
  </r>
  <r>
    <x v="69"/>
    <x v="10"/>
    <x v="0"/>
    <n v="19"/>
    <d v="1899-12-30T00:34:15"/>
    <n v="34.25"/>
  </r>
  <r>
    <x v="69"/>
    <x v="10"/>
    <x v="1"/>
    <n v="24"/>
    <d v="1899-12-30T00:43:54"/>
    <n v="43.9"/>
  </r>
  <r>
    <x v="69"/>
    <x v="10"/>
    <x v="2"/>
    <n v="15"/>
    <d v="1899-12-30T00:28:06"/>
    <n v="28.1"/>
  </r>
  <r>
    <x v="69"/>
    <x v="10"/>
    <x v="3"/>
    <n v="10"/>
    <d v="1899-12-30T00:08:52"/>
    <n v="8.8666666666666671"/>
  </r>
  <r>
    <x v="69"/>
    <x v="10"/>
    <x v="4"/>
    <n v="4"/>
    <d v="1899-12-30T00:04:54"/>
    <n v="4.9000000000000004"/>
  </r>
  <r>
    <x v="69"/>
    <x v="10"/>
    <x v="5"/>
    <n v="16"/>
    <d v="1899-12-30T00:18:15"/>
    <n v="18.25"/>
  </r>
  <r>
    <x v="69"/>
    <x v="11"/>
    <x v="0"/>
    <n v="12"/>
    <d v="1899-12-30T00:22:42"/>
    <n v="22.7"/>
  </r>
  <r>
    <x v="69"/>
    <x v="11"/>
    <x v="1"/>
    <n v="9"/>
    <d v="1899-12-30T00:16:31"/>
    <n v="16.516666666666666"/>
  </r>
  <r>
    <x v="69"/>
    <x v="11"/>
    <x v="2"/>
    <n v="6"/>
    <d v="1899-12-30T00:11:58"/>
    <n v="11.966666666666667"/>
  </r>
  <r>
    <x v="69"/>
    <x v="11"/>
    <x v="3"/>
    <n v="1"/>
    <d v="1899-12-30T00:01:34"/>
    <n v="1.5666666666666667"/>
  </r>
  <r>
    <x v="69"/>
    <x v="11"/>
    <x v="4"/>
    <n v="4"/>
    <d v="1899-12-30T00:05:31"/>
    <n v="5.5166666666666666"/>
  </r>
  <r>
    <x v="69"/>
    <x v="11"/>
    <x v="5"/>
    <n v="13"/>
    <d v="1899-12-30T00:20:49"/>
    <n v="20.816666666666666"/>
  </r>
  <r>
    <x v="69"/>
    <x v="12"/>
    <x v="0"/>
    <n v="229"/>
    <d v="1899-12-30T05:54:07"/>
    <n v="354.11666666666667"/>
  </r>
  <r>
    <x v="69"/>
    <x v="12"/>
    <x v="1"/>
    <n v="261"/>
    <d v="1899-12-30T06:28:54"/>
    <n v="388.9"/>
  </r>
  <r>
    <x v="69"/>
    <x v="12"/>
    <x v="2"/>
    <n v="186"/>
    <d v="1899-12-30T04:41:02"/>
    <n v="281.03333333333336"/>
  </r>
  <r>
    <x v="69"/>
    <x v="12"/>
    <x v="3"/>
    <n v="117"/>
    <d v="1899-12-30T01:59:49"/>
    <n v="119.81666666666666"/>
  </r>
  <r>
    <x v="69"/>
    <x v="12"/>
    <x v="4"/>
    <n v="67"/>
    <d v="1899-12-30T01:55:33"/>
    <n v="115.55"/>
  </r>
  <r>
    <x v="69"/>
    <x v="12"/>
    <x v="5"/>
    <n v="137"/>
    <d v="1899-12-30T02:35:58"/>
    <n v="155.96666666666667"/>
  </r>
  <r>
    <x v="69"/>
    <x v="13"/>
    <x v="0"/>
    <n v="37"/>
    <d v="1899-12-30T00:51:11"/>
    <n v="51.18333333333333"/>
  </r>
  <r>
    <x v="69"/>
    <x v="13"/>
    <x v="1"/>
    <n v="32"/>
    <d v="1899-12-30T00:33:38"/>
    <n v="33.633333333333333"/>
  </r>
  <r>
    <x v="69"/>
    <x v="13"/>
    <x v="2"/>
    <n v="18"/>
    <d v="1899-12-30T00:20:25"/>
    <n v="20.416666666666668"/>
  </r>
  <r>
    <x v="69"/>
    <x v="13"/>
    <x v="3"/>
    <n v="6"/>
    <d v="1899-12-30T00:06:00"/>
    <n v="6"/>
  </r>
  <r>
    <x v="69"/>
    <x v="13"/>
    <x v="4"/>
    <n v="0"/>
    <d v="1899-12-30T00:00:00"/>
    <n v="0"/>
  </r>
  <r>
    <x v="69"/>
    <x v="13"/>
    <x v="5"/>
    <n v="18"/>
    <d v="1899-12-30T00:18:31"/>
    <n v="18.516666666666666"/>
  </r>
  <r>
    <x v="70"/>
    <x v="0"/>
    <x v="0"/>
    <n v="61"/>
    <d v="1899-12-30T01:13:21"/>
    <n v="73.349999999999994"/>
  </r>
  <r>
    <x v="70"/>
    <x v="0"/>
    <x v="1"/>
    <n v="67"/>
    <d v="1899-12-30T00:59:27"/>
    <n v="59.45"/>
  </r>
  <r>
    <x v="70"/>
    <x v="0"/>
    <x v="2"/>
    <n v="50"/>
    <d v="1899-12-30T00:55:23"/>
    <n v="55.383333333333333"/>
  </r>
  <r>
    <x v="70"/>
    <x v="0"/>
    <x v="3"/>
    <n v="20"/>
    <d v="1899-12-30T00:18:19"/>
    <n v="18.316666666666666"/>
  </r>
  <r>
    <x v="70"/>
    <x v="0"/>
    <x v="4"/>
    <n v="6"/>
    <d v="1899-12-30T00:04:48"/>
    <n v="4.8"/>
  </r>
  <r>
    <x v="70"/>
    <x v="0"/>
    <x v="5"/>
    <n v="41"/>
    <d v="1899-12-30T00:40:09"/>
    <n v="40.15"/>
  </r>
  <r>
    <x v="70"/>
    <x v="1"/>
    <x v="0"/>
    <n v="65"/>
    <d v="1899-12-30T01:57:46"/>
    <n v="117.76666666666667"/>
  </r>
  <r>
    <x v="70"/>
    <x v="1"/>
    <x v="1"/>
    <n v="46"/>
    <d v="1899-12-30T01:14:13"/>
    <n v="74.216666666666669"/>
  </r>
  <r>
    <x v="70"/>
    <x v="1"/>
    <x v="2"/>
    <n v="29"/>
    <d v="1899-12-30T00:58:39"/>
    <n v="58.65"/>
  </r>
  <r>
    <x v="70"/>
    <x v="1"/>
    <x v="3"/>
    <n v="14"/>
    <d v="1899-12-30T00:14:39"/>
    <n v="14.65"/>
  </r>
  <r>
    <x v="70"/>
    <x v="1"/>
    <x v="4"/>
    <n v="88"/>
    <d v="1899-12-30T03:25:32"/>
    <n v="205.53333333333333"/>
  </r>
  <r>
    <x v="70"/>
    <x v="1"/>
    <x v="5"/>
    <n v="48"/>
    <d v="1899-12-30T01:03:48"/>
    <n v="63.8"/>
  </r>
  <r>
    <x v="70"/>
    <x v="2"/>
    <x v="0"/>
    <n v="57"/>
    <d v="1899-12-30T01:16:15"/>
    <n v="76.25"/>
  </r>
  <r>
    <x v="70"/>
    <x v="2"/>
    <x v="1"/>
    <n v="44"/>
    <d v="1899-12-30T01:15:03"/>
    <n v="75.05"/>
  </r>
  <r>
    <x v="70"/>
    <x v="2"/>
    <x v="2"/>
    <n v="45"/>
    <d v="1899-12-30T01:17:13"/>
    <n v="77.216666666666669"/>
  </r>
  <r>
    <x v="70"/>
    <x v="2"/>
    <x v="3"/>
    <n v="24"/>
    <d v="1899-12-30T00:22:46"/>
    <n v="22.766666666666666"/>
  </r>
  <r>
    <x v="70"/>
    <x v="2"/>
    <x v="4"/>
    <n v="36"/>
    <d v="1899-12-30T01:01:37"/>
    <n v="61.616666666666667"/>
  </r>
  <r>
    <x v="70"/>
    <x v="2"/>
    <x v="5"/>
    <n v="23"/>
    <d v="1899-12-30T00:30:26"/>
    <n v="30.433333333333334"/>
  </r>
  <r>
    <x v="70"/>
    <x v="3"/>
    <x v="0"/>
    <n v="16"/>
    <d v="1899-12-30T00:26:57"/>
    <n v="26.95"/>
  </r>
  <r>
    <x v="70"/>
    <x v="3"/>
    <x v="1"/>
    <n v="17"/>
    <d v="1899-12-30T00:24:44"/>
    <n v="24.733333333333334"/>
  </r>
  <r>
    <x v="70"/>
    <x v="3"/>
    <x v="2"/>
    <n v="13"/>
    <d v="1899-12-30T00:27:35"/>
    <n v="27.583333333333332"/>
  </r>
  <r>
    <x v="70"/>
    <x v="3"/>
    <x v="3"/>
    <n v="5"/>
    <d v="1899-12-30T00:04:47"/>
    <n v="4.7833333333333332"/>
  </r>
  <r>
    <x v="70"/>
    <x v="3"/>
    <x v="4"/>
    <n v="3"/>
    <d v="1899-12-30T00:05:23"/>
    <n v="5.3833333333333337"/>
  </r>
  <r>
    <x v="70"/>
    <x v="3"/>
    <x v="5"/>
    <n v="10"/>
    <d v="1899-12-30T00:13:51"/>
    <n v="13.85"/>
  </r>
  <r>
    <x v="70"/>
    <x v="4"/>
    <x v="0"/>
    <n v="60"/>
    <d v="1899-12-30T01:15:59"/>
    <n v="75.983333333333334"/>
  </r>
  <r>
    <x v="70"/>
    <x v="4"/>
    <x v="1"/>
    <n v="45"/>
    <d v="1899-12-30T00:50:41"/>
    <n v="50.68333333333333"/>
  </r>
  <r>
    <x v="70"/>
    <x v="4"/>
    <x v="2"/>
    <n v="43"/>
    <d v="1899-12-30T00:57:22"/>
    <n v="57.366666666666667"/>
  </r>
  <r>
    <x v="70"/>
    <x v="4"/>
    <x v="3"/>
    <n v="16"/>
    <d v="1899-12-30T00:12:33"/>
    <n v="12.55"/>
  </r>
  <r>
    <x v="70"/>
    <x v="4"/>
    <x v="4"/>
    <n v="6"/>
    <d v="1899-12-30T00:12:48"/>
    <n v="12.8"/>
  </r>
  <r>
    <x v="70"/>
    <x v="4"/>
    <x v="5"/>
    <n v="13"/>
    <d v="1899-12-30T00:13:30"/>
    <n v="13.5"/>
  </r>
  <r>
    <x v="70"/>
    <x v="5"/>
    <x v="0"/>
    <n v="43"/>
    <d v="1899-12-30T00:53:14"/>
    <n v="53.233333333333334"/>
  </r>
  <r>
    <x v="70"/>
    <x v="5"/>
    <x v="1"/>
    <n v="38"/>
    <d v="1899-12-30T00:50:06"/>
    <n v="50.1"/>
  </r>
  <r>
    <x v="70"/>
    <x v="5"/>
    <x v="2"/>
    <n v="36"/>
    <d v="1899-12-30T00:44:46"/>
    <n v="44.766666666666666"/>
  </r>
  <r>
    <x v="70"/>
    <x v="5"/>
    <x v="3"/>
    <n v="20"/>
    <d v="1899-12-30T00:19:27"/>
    <n v="19.45"/>
  </r>
  <r>
    <x v="70"/>
    <x v="5"/>
    <x v="4"/>
    <n v="7"/>
    <d v="1899-12-30T00:11:28"/>
    <n v="11.466666666666667"/>
  </r>
  <r>
    <x v="70"/>
    <x v="5"/>
    <x v="5"/>
    <n v="42"/>
    <d v="1899-12-30T00:39:36"/>
    <n v="39.6"/>
  </r>
  <r>
    <x v="70"/>
    <x v="6"/>
    <x v="0"/>
    <n v="15"/>
    <d v="1899-12-30T00:29:22"/>
    <n v="29.366666666666667"/>
  </r>
  <r>
    <x v="70"/>
    <x v="6"/>
    <x v="1"/>
    <n v="7"/>
    <d v="1899-12-30T00:09:32"/>
    <n v="9.5333333333333332"/>
  </r>
  <r>
    <x v="70"/>
    <x v="6"/>
    <x v="2"/>
    <n v="6"/>
    <d v="1899-12-30T00:06:53"/>
    <n v="6.8833333333333329"/>
  </r>
  <r>
    <x v="70"/>
    <x v="6"/>
    <x v="3"/>
    <n v="6"/>
    <d v="1899-12-30T00:06:53"/>
    <n v="6.8833333333333329"/>
  </r>
  <r>
    <x v="70"/>
    <x v="6"/>
    <x v="4"/>
    <n v="8"/>
    <d v="1899-12-30T00:12:41"/>
    <n v="12.683333333333334"/>
  </r>
  <r>
    <x v="70"/>
    <x v="6"/>
    <x v="5"/>
    <n v="8"/>
    <d v="1899-12-30T00:07:00"/>
    <n v="7"/>
  </r>
  <r>
    <x v="70"/>
    <x v="7"/>
    <x v="0"/>
    <n v="72"/>
    <d v="1899-12-30T01:31:37"/>
    <n v="91.61666666666666"/>
  </r>
  <r>
    <x v="70"/>
    <x v="7"/>
    <x v="1"/>
    <n v="101"/>
    <d v="1899-12-30T02:04:04"/>
    <n v="124.06666666666666"/>
  </r>
  <r>
    <x v="70"/>
    <x v="7"/>
    <x v="2"/>
    <n v="93"/>
    <d v="1899-12-30T01:41:25"/>
    <n v="101.41666666666667"/>
  </r>
  <r>
    <x v="70"/>
    <x v="7"/>
    <x v="3"/>
    <n v="56"/>
    <d v="1899-12-30T00:53:12"/>
    <n v="53.2"/>
  </r>
  <r>
    <x v="70"/>
    <x v="7"/>
    <x v="4"/>
    <n v="117"/>
    <d v="1899-12-30T03:13:44"/>
    <n v="193.73333333333332"/>
  </r>
  <r>
    <x v="70"/>
    <x v="7"/>
    <x v="5"/>
    <n v="49"/>
    <d v="1899-12-30T00:43:52"/>
    <n v="43.866666666666667"/>
  </r>
  <r>
    <x v="70"/>
    <x v="8"/>
    <x v="0"/>
    <n v="35"/>
    <d v="1899-12-30T00:52:47"/>
    <n v="52.783333333333331"/>
  </r>
  <r>
    <x v="70"/>
    <x v="8"/>
    <x v="1"/>
    <n v="32"/>
    <d v="1899-12-30T00:46:26"/>
    <n v="46.43333333333333"/>
  </r>
  <r>
    <x v="70"/>
    <x v="8"/>
    <x v="2"/>
    <n v="35"/>
    <d v="1899-12-30T00:44:27"/>
    <n v="44.45"/>
  </r>
  <r>
    <x v="70"/>
    <x v="8"/>
    <x v="3"/>
    <n v="25"/>
    <d v="1899-12-30T00:26:22"/>
    <n v="26.366666666666667"/>
  </r>
  <r>
    <x v="70"/>
    <x v="8"/>
    <x v="4"/>
    <n v="13"/>
    <d v="1899-12-30T00:18:04"/>
    <n v="18.066666666666666"/>
  </r>
  <r>
    <x v="70"/>
    <x v="8"/>
    <x v="5"/>
    <n v="31"/>
    <d v="1899-12-30T00:34:41"/>
    <n v="34.68333333333333"/>
  </r>
  <r>
    <x v="70"/>
    <x v="9"/>
    <x v="0"/>
    <n v="66"/>
    <d v="1899-12-30T01:49:08"/>
    <n v="109.13333333333334"/>
  </r>
  <r>
    <x v="70"/>
    <x v="9"/>
    <x v="1"/>
    <n v="88"/>
    <d v="1899-12-30T02:09:34"/>
    <n v="129.56666666666666"/>
  </r>
  <r>
    <x v="70"/>
    <x v="9"/>
    <x v="2"/>
    <n v="58"/>
    <d v="1899-12-30T01:31:37"/>
    <n v="91.61666666666666"/>
  </r>
  <r>
    <x v="70"/>
    <x v="9"/>
    <x v="3"/>
    <n v="28"/>
    <d v="1899-12-30T00:34:25"/>
    <n v="34.416666666666664"/>
  </r>
  <r>
    <x v="70"/>
    <x v="9"/>
    <x v="4"/>
    <n v="14"/>
    <d v="1899-12-30T00:25:57"/>
    <n v="25.95"/>
  </r>
  <r>
    <x v="70"/>
    <x v="9"/>
    <x v="5"/>
    <n v="29"/>
    <d v="1899-12-30T00:38:33"/>
    <n v="38.549999999999997"/>
  </r>
  <r>
    <x v="70"/>
    <x v="10"/>
    <x v="0"/>
    <n v="30"/>
    <d v="1899-12-30T00:47:53"/>
    <n v="47.883333333333333"/>
  </r>
  <r>
    <x v="70"/>
    <x v="10"/>
    <x v="1"/>
    <n v="32"/>
    <d v="1899-12-30T00:54:58"/>
    <n v="54.966666666666669"/>
  </r>
  <r>
    <x v="70"/>
    <x v="10"/>
    <x v="2"/>
    <n v="31"/>
    <d v="1899-12-30T00:57:14"/>
    <n v="57.233333333333334"/>
  </r>
  <r>
    <x v="70"/>
    <x v="10"/>
    <x v="3"/>
    <n v="10"/>
    <d v="1899-12-30T00:13:21"/>
    <n v="13.35"/>
  </r>
  <r>
    <x v="70"/>
    <x v="10"/>
    <x v="4"/>
    <n v="11"/>
    <d v="1899-12-30T00:16:24"/>
    <n v="16.399999999999999"/>
  </r>
  <r>
    <x v="70"/>
    <x v="10"/>
    <x v="5"/>
    <n v="18"/>
    <d v="1899-12-30T00:24:16"/>
    <n v="24.266666666666666"/>
  </r>
  <r>
    <x v="70"/>
    <x v="11"/>
    <x v="0"/>
    <n v="19"/>
    <d v="1899-12-30T00:35:38"/>
    <n v="35.633333333333333"/>
  </r>
  <r>
    <x v="70"/>
    <x v="11"/>
    <x v="1"/>
    <n v="15"/>
    <d v="1899-12-30T00:19:54"/>
    <n v="19.899999999999999"/>
  </r>
  <r>
    <x v="70"/>
    <x v="11"/>
    <x v="2"/>
    <n v="8"/>
    <d v="1899-12-30T00:13:50"/>
    <n v="13.833333333333334"/>
  </r>
  <r>
    <x v="70"/>
    <x v="11"/>
    <x v="3"/>
    <n v="7"/>
    <d v="1899-12-30T00:08:00"/>
    <n v="8"/>
  </r>
  <r>
    <x v="70"/>
    <x v="11"/>
    <x v="4"/>
    <n v="15"/>
    <d v="1899-12-30T00:27:05"/>
    <n v="27.083333333333332"/>
  </r>
  <r>
    <x v="70"/>
    <x v="11"/>
    <x v="5"/>
    <n v="11"/>
    <d v="1899-12-30T00:14:20"/>
    <n v="14.333333333333334"/>
  </r>
  <r>
    <x v="70"/>
    <x v="12"/>
    <x v="0"/>
    <n v="122"/>
    <d v="1899-12-30T03:20:44"/>
    <n v="200.73333333333332"/>
  </r>
  <r>
    <x v="70"/>
    <x v="12"/>
    <x v="1"/>
    <n v="156"/>
    <d v="1899-12-30T04:04:23"/>
    <n v="244.38333333333333"/>
  </r>
  <r>
    <x v="70"/>
    <x v="12"/>
    <x v="2"/>
    <n v="96"/>
    <d v="1899-12-30T02:31:33"/>
    <n v="151.55000000000001"/>
  </r>
  <r>
    <x v="70"/>
    <x v="12"/>
    <x v="3"/>
    <n v="74"/>
    <d v="1899-12-30T01:07:13"/>
    <n v="67.216666666666669"/>
  </r>
  <r>
    <x v="70"/>
    <x v="12"/>
    <x v="4"/>
    <n v="49"/>
    <d v="1899-12-30T01:39:57"/>
    <n v="99.95"/>
  </r>
  <r>
    <x v="70"/>
    <x v="12"/>
    <x v="5"/>
    <n v="120"/>
    <d v="1899-12-30T02:15:35"/>
    <n v="135.58333333333334"/>
  </r>
  <r>
    <x v="70"/>
    <x v="13"/>
    <x v="0"/>
    <n v="58"/>
    <d v="1899-12-30T01:06:43"/>
    <n v="66.716666666666669"/>
  </r>
  <r>
    <x v="70"/>
    <x v="13"/>
    <x v="1"/>
    <n v="55"/>
    <d v="1899-12-30T00:47:40"/>
    <n v="47.666666666666664"/>
  </r>
  <r>
    <x v="70"/>
    <x v="13"/>
    <x v="2"/>
    <n v="36"/>
    <d v="1899-12-30T00:48:56"/>
    <n v="48.93333333333333"/>
  </r>
  <r>
    <x v="70"/>
    <x v="13"/>
    <x v="3"/>
    <n v="11"/>
    <d v="1899-12-30T00:12:00"/>
    <n v="12"/>
  </r>
  <r>
    <x v="70"/>
    <x v="13"/>
    <x v="4"/>
    <n v="1"/>
    <d v="1899-12-30T00:01:31"/>
    <n v="1.5166666666666666"/>
  </r>
  <r>
    <x v="70"/>
    <x v="13"/>
    <x v="5"/>
    <n v="42"/>
    <d v="1899-12-30T00:37:19"/>
    <n v="37.31666666666667"/>
  </r>
  <r>
    <x v="71"/>
    <x v="0"/>
    <x v="0"/>
    <n v="134"/>
    <d v="1899-12-30T03:14:46"/>
    <n v="194.76666666666668"/>
  </r>
  <r>
    <x v="71"/>
    <x v="0"/>
    <x v="1"/>
    <n v="109"/>
    <d v="1899-12-30T02:23:40"/>
    <n v="143.66666666666666"/>
  </r>
  <r>
    <x v="71"/>
    <x v="0"/>
    <x v="2"/>
    <n v="98"/>
    <d v="1899-12-30T02:18:13"/>
    <n v="138.21666666666667"/>
  </r>
  <r>
    <x v="71"/>
    <x v="0"/>
    <x v="3"/>
    <n v="37"/>
    <d v="1899-12-30T00:44:59"/>
    <n v="44.983333333333334"/>
  </r>
  <r>
    <x v="71"/>
    <x v="0"/>
    <x v="4"/>
    <n v="8"/>
    <d v="1899-12-30T00:11:05"/>
    <n v="11.083333333333334"/>
  </r>
  <r>
    <x v="71"/>
    <x v="0"/>
    <x v="5"/>
    <n v="59"/>
    <d v="1899-12-30T01:07:28"/>
    <n v="67.466666666666669"/>
  </r>
  <r>
    <x v="71"/>
    <x v="1"/>
    <x v="0"/>
    <n v="70"/>
    <d v="1899-12-30T02:08:13"/>
    <n v="128.21666666666667"/>
  </r>
  <r>
    <x v="71"/>
    <x v="1"/>
    <x v="1"/>
    <n v="36"/>
    <d v="1899-12-30T01:09:08"/>
    <n v="69.13333333333334"/>
  </r>
  <r>
    <x v="71"/>
    <x v="1"/>
    <x v="2"/>
    <n v="22"/>
    <d v="1899-12-30T00:43:05"/>
    <n v="43.083333333333336"/>
  </r>
  <r>
    <x v="71"/>
    <x v="1"/>
    <x v="3"/>
    <n v="8"/>
    <d v="1899-12-30T00:07:46"/>
    <n v="7.7666666666666666"/>
  </r>
  <r>
    <x v="71"/>
    <x v="1"/>
    <x v="4"/>
    <n v="65"/>
    <d v="1899-12-30T03:02:38"/>
    <n v="182.63333333333333"/>
  </r>
  <r>
    <x v="71"/>
    <x v="1"/>
    <x v="5"/>
    <n v="39"/>
    <d v="1899-12-30T00:56:41"/>
    <n v="56.68333333333333"/>
  </r>
  <r>
    <x v="71"/>
    <x v="2"/>
    <x v="0"/>
    <n v="35"/>
    <d v="1899-12-30T01:08:20"/>
    <n v="68.333333333333329"/>
  </r>
  <r>
    <x v="71"/>
    <x v="2"/>
    <x v="1"/>
    <n v="35"/>
    <d v="1899-12-30T01:02:15"/>
    <n v="62.25"/>
  </r>
  <r>
    <x v="71"/>
    <x v="2"/>
    <x v="2"/>
    <n v="26"/>
    <d v="1899-12-30T00:47:59"/>
    <n v="47.983333333333334"/>
  </r>
  <r>
    <x v="71"/>
    <x v="2"/>
    <x v="3"/>
    <n v="14"/>
    <d v="1899-12-30T00:17:15"/>
    <n v="17.25"/>
  </r>
  <r>
    <x v="71"/>
    <x v="2"/>
    <x v="4"/>
    <n v="19"/>
    <d v="1899-12-30T00:43:06"/>
    <n v="43.1"/>
  </r>
  <r>
    <x v="71"/>
    <x v="2"/>
    <x v="5"/>
    <n v="24"/>
    <d v="1899-12-30T00:41:44"/>
    <n v="41.733333333333334"/>
  </r>
  <r>
    <x v="71"/>
    <x v="3"/>
    <x v="0"/>
    <n v="6"/>
    <d v="1899-12-30T00:08:53"/>
    <n v="8.8833333333333329"/>
  </r>
  <r>
    <x v="71"/>
    <x v="3"/>
    <x v="1"/>
    <n v="10"/>
    <d v="1899-12-30T00:18:43"/>
    <n v="18.716666666666665"/>
  </r>
  <r>
    <x v="71"/>
    <x v="3"/>
    <x v="2"/>
    <n v="4"/>
    <d v="1899-12-30T00:05:30"/>
    <n v="5.5"/>
  </r>
  <r>
    <x v="71"/>
    <x v="3"/>
    <x v="3"/>
    <n v="4"/>
    <d v="1899-12-30T00:05:12"/>
    <n v="5.2"/>
  </r>
  <r>
    <x v="71"/>
    <x v="3"/>
    <x v="4"/>
    <n v="4"/>
    <d v="1899-12-30T00:07:10"/>
    <n v="7.166666666666667"/>
  </r>
  <r>
    <x v="71"/>
    <x v="3"/>
    <x v="5"/>
    <n v="6"/>
    <d v="1899-12-30T00:05:57"/>
    <n v="5.95"/>
  </r>
  <r>
    <x v="71"/>
    <x v="4"/>
    <x v="0"/>
    <n v="26"/>
    <d v="1899-12-30T00:34:56"/>
    <n v="34.93333333333333"/>
  </r>
  <r>
    <x v="71"/>
    <x v="4"/>
    <x v="1"/>
    <n v="27"/>
    <d v="1899-12-30T00:33:31"/>
    <n v="33.516666666666666"/>
  </r>
  <r>
    <x v="71"/>
    <x v="4"/>
    <x v="2"/>
    <n v="21"/>
    <d v="1899-12-30T00:28:30"/>
    <n v="28.5"/>
  </r>
  <r>
    <x v="71"/>
    <x v="4"/>
    <x v="3"/>
    <n v="12"/>
    <d v="1899-12-30T00:10:00"/>
    <n v="10"/>
  </r>
  <r>
    <x v="71"/>
    <x v="4"/>
    <x v="4"/>
    <n v="7"/>
    <d v="1899-12-30T00:11:03"/>
    <n v="11.05"/>
  </r>
  <r>
    <x v="71"/>
    <x v="4"/>
    <x v="5"/>
    <n v="26"/>
    <d v="1899-12-30T00:26:53"/>
    <n v="26.883333333333333"/>
  </r>
  <r>
    <x v="71"/>
    <x v="5"/>
    <x v="0"/>
    <n v="22"/>
    <d v="1899-12-30T00:27:48"/>
    <n v="27.8"/>
  </r>
  <r>
    <x v="71"/>
    <x v="5"/>
    <x v="1"/>
    <n v="16"/>
    <d v="1899-12-30T00:20:41"/>
    <n v="20.683333333333334"/>
  </r>
  <r>
    <x v="71"/>
    <x v="5"/>
    <x v="2"/>
    <n v="20"/>
    <d v="1899-12-30T00:18:11"/>
    <n v="18.183333333333334"/>
  </r>
  <r>
    <x v="71"/>
    <x v="5"/>
    <x v="3"/>
    <n v="18"/>
    <d v="1899-12-30T00:18:25"/>
    <n v="18.416666666666668"/>
  </r>
  <r>
    <x v="71"/>
    <x v="5"/>
    <x v="4"/>
    <n v="0"/>
    <d v="1899-12-30T00:00:00"/>
    <n v="0"/>
  </r>
  <r>
    <x v="71"/>
    <x v="5"/>
    <x v="5"/>
    <n v="24"/>
    <d v="1899-12-30T00:26:41"/>
    <n v="26.683333333333334"/>
  </r>
  <r>
    <x v="71"/>
    <x v="6"/>
    <x v="0"/>
    <n v="5"/>
    <d v="1899-12-30T00:07:40"/>
    <n v="7.666666666666667"/>
  </r>
  <r>
    <x v="71"/>
    <x v="6"/>
    <x v="1"/>
    <n v="8"/>
    <d v="1899-12-30T00:16:46"/>
    <n v="16.766666666666666"/>
  </r>
  <r>
    <x v="71"/>
    <x v="6"/>
    <x v="2"/>
    <n v="2"/>
    <d v="1899-12-30T00:03:33"/>
    <n v="3.55"/>
  </r>
  <r>
    <x v="71"/>
    <x v="6"/>
    <x v="3"/>
    <n v="6"/>
    <d v="1899-12-30T00:03:55"/>
    <n v="3.9166666666666665"/>
  </r>
  <r>
    <x v="71"/>
    <x v="6"/>
    <x v="4"/>
    <n v="6"/>
    <d v="1899-12-30T00:12:16"/>
    <n v="12.266666666666667"/>
  </r>
  <r>
    <x v="71"/>
    <x v="6"/>
    <x v="5"/>
    <n v="4"/>
    <d v="1899-12-30T00:03:19"/>
    <n v="3.3166666666666664"/>
  </r>
  <r>
    <x v="71"/>
    <x v="7"/>
    <x v="0"/>
    <n v="56"/>
    <d v="1899-12-30T01:03:31"/>
    <n v="63.516666666666666"/>
  </r>
  <r>
    <x v="71"/>
    <x v="7"/>
    <x v="1"/>
    <n v="102"/>
    <d v="1899-12-30T01:53:13"/>
    <n v="113.21666666666667"/>
  </r>
  <r>
    <x v="71"/>
    <x v="7"/>
    <x v="2"/>
    <n v="94"/>
    <d v="1899-12-30T01:41:22"/>
    <n v="101.36666666666666"/>
  </r>
  <r>
    <x v="71"/>
    <x v="7"/>
    <x v="3"/>
    <n v="48"/>
    <d v="1899-12-30T00:47:37"/>
    <n v="47.616666666666667"/>
  </r>
  <r>
    <x v="71"/>
    <x v="7"/>
    <x v="4"/>
    <n v="110"/>
    <d v="1899-12-30T02:52:23"/>
    <n v="172.38333333333333"/>
  </r>
  <r>
    <x v="71"/>
    <x v="7"/>
    <x v="5"/>
    <n v="46"/>
    <d v="1899-12-30T00:37:51"/>
    <n v="37.85"/>
  </r>
  <r>
    <x v="71"/>
    <x v="8"/>
    <x v="0"/>
    <n v="24"/>
    <d v="1899-12-30T00:36:17"/>
    <n v="36.283333333333331"/>
  </r>
  <r>
    <x v="71"/>
    <x v="8"/>
    <x v="1"/>
    <n v="37"/>
    <d v="1899-12-30T00:51:16"/>
    <n v="51.266666666666666"/>
  </r>
  <r>
    <x v="71"/>
    <x v="8"/>
    <x v="2"/>
    <n v="30"/>
    <d v="1899-12-30T00:40:09"/>
    <n v="40.15"/>
  </r>
  <r>
    <x v="71"/>
    <x v="8"/>
    <x v="3"/>
    <n v="25"/>
    <d v="1899-12-30T00:25:39"/>
    <n v="25.65"/>
  </r>
  <r>
    <x v="71"/>
    <x v="8"/>
    <x v="4"/>
    <n v="18"/>
    <d v="1899-12-30T00:31:25"/>
    <n v="31.416666666666668"/>
  </r>
  <r>
    <x v="71"/>
    <x v="8"/>
    <x v="5"/>
    <n v="26"/>
    <d v="1899-12-30T00:24:09"/>
    <n v="24.15"/>
  </r>
  <r>
    <x v="71"/>
    <x v="9"/>
    <x v="0"/>
    <n v="27"/>
    <d v="1899-12-30T00:41:43"/>
    <n v="41.716666666666669"/>
  </r>
  <r>
    <x v="71"/>
    <x v="9"/>
    <x v="1"/>
    <n v="31"/>
    <d v="1899-12-30T00:42:24"/>
    <n v="42.4"/>
  </r>
  <r>
    <x v="71"/>
    <x v="9"/>
    <x v="2"/>
    <n v="32"/>
    <d v="1899-12-30T00:52:11"/>
    <n v="52.18333333333333"/>
  </r>
  <r>
    <x v="71"/>
    <x v="9"/>
    <x v="3"/>
    <n v="7"/>
    <d v="1899-12-30T00:07:46"/>
    <n v="7.7666666666666666"/>
  </r>
  <r>
    <x v="71"/>
    <x v="9"/>
    <x v="4"/>
    <n v="4"/>
    <d v="1899-12-30T00:05:30"/>
    <n v="5.5"/>
  </r>
  <r>
    <x v="71"/>
    <x v="9"/>
    <x v="5"/>
    <n v="8"/>
    <d v="1899-12-30T00:06:29"/>
    <n v="6.4833333333333334"/>
  </r>
  <r>
    <x v="71"/>
    <x v="10"/>
    <x v="0"/>
    <n v="17"/>
    <d v="1899-12-30T00:30:29"/>
    <n v="30.483333333333334"/>
  </r>
  <r>
    <x v="71"/>
    <x v="10"/>
    <x v="1"/>
    <n v="22"/>
    <d v="1899-12-30T00:42:57"/>
    <n v="42.95"/>
  </r>
  <r>
    <x v="71"/>
    <x v="10"/>
    <x v="2"/>
    <n v="22"/>
    <d v="1899-12-30T00:41:19"/>
    <n v="41.31666666666667"/>
  </r>
  <r>
    <x v="71"/>
    <x v="10"/>
    <x v="3"/>
    <n v="5"/>
    <d v="1899-12-30T00:07:05"/>
    <n v="7.083333333333333"/>
  </r>
  <r>
    <x v="71"/>
    <x v="10"/>
    <x v="4"/>
    <n v="2"/>
    <d v="1899-12-30T00:03:03"/>
    <n v="3.05"/>
  </r>
  <r>
    <x v="71"/>
    <x v="10"/>
    <x v="5"/>
    <n v="14"/>
    <d v="1899-12-30T00:21:01"/>
    <n v="21.016666666666666"/>
  </r>
  <r>
    <x v="71"/>
    <x v="11"/>
    <x v="0"/>
    <n v="6"/>
    <d v="1899-12-30T00:11:59"/>
    <n v="11.983333333333333"/>
  </r>
  <r>
    <x v="71"/>
    <x v="11"/>
    <x v="1"/>
    <n v="5"/>
    <d v="1899-12-30T00:07:11"/>
    <n v="7.1833333333333336"/>
  </r>
  <r>
    <x v="71"/>
    <x v="11"/>
    <x v="2"/>
    <n v="3"/>
    <d v="1899-12-30T00:07:46"/>
    <n v="7.7666666666666666"/>
  </r>
  <r>
    <x v="71"/>
    <x v="11"/>
    <x v="3"/>
    <n v="3"/>
    <d v="1899-12-30T00:04:02"/>
    <n v="4.0333333333333332"/>
  </r>
  <r>
    <x v="71"/>
    <x v="11"/>
    <x v="4"/>
    <n v="0"/>
    <d v="1899-12-30T00:00:00"/>
    <n v="0"/>
  </r>
  <r>
    <x v="71"/>
    <x v="11"/>
    <x v="5"/>
    <n v="5"/>
    <d v="1899-12-30T00:07:29"/>
    <n v="7.4833333333333334"/>
  </r>
  <r>
    <x v="71"/>
    <x v="12"/>
    <x v="0"/>
    <n v="115"/>
    <d v="1899-12-30T02:57:07"/>
    <n v="177.11666666666667"/>
  </r>
  <r>
    <x v="71"/>
    <x v="12"/>
    <x v="1"/>
    <n v="98"/>
    <d v="1899-12-30T02:50:59"/>
    <n v="170.98333333333332"/>
  </r>
  <r>
    <x v="71"/>
    <x v="12"/>
    <x v="2"/>
    <n v="73"/>
    <d v="1899-12-30T02:13:47"/>
    <n v="133.78333333333333"/>
  </r>
  <r>
    <x v="71"/>
    <x v="12"/>
    <x v="3"/>
    <n v="47"/>
    <d v="1899-12-30T00:47:53"/>
    <n v="47.883333333333333"/>
  </r>
  <r>
    <x v="71"/>
    <x v="12"/>
    <x v="4"/>
    <n v="33"/>
    <d v="1899-12-30T01:00:50"/>
    <n v="60.833333333333336"/>
  </r>
  <r>
    <x v="71"/>
    <x v="12"/>
    <x v="5"/>
    <n v="63"/>
    <d v="1899-12-30T01:36:01"/>
    <n v="96.016666666666666"/>
  </r>
  <r>
    <x v="71"/>
    <x v="13"/>
    <x v="0"/>
    <n v="23"/>
    <d v="1899-12-30T00:35:31"/>
    <n v="35.516666666666666"/>
  </r>
  <r>
    <x v="71"/>
    <x v="13"/>
    <x v="1"/>
    <n v="20"/>
    <d v="1899-12-30T00:22:37"/>
    <n v="22.616666666666667"/>
  </r>
  <r>
    <x v="71"/>
    <x v="13"/>
    <x v="2"/>
    <n v="9"/>
    <d v="1899-12-30T00:14:20"/>
    <n v="14.333333333333334"/>
  </r>
  <r>
    <x v="71"/>
    <x v="13"/>
    <x v="3"/>
    <n v="6"/>
    <d v="1899-12-30T00:05:39"/>
    <n v="5.65"/>
  </r>
  <r>
    <x v="71"/>
    <x v="13"/>
    <x v="4"/>
    <n v="1"/>
    <d v="1899-12-30T00:02:35"/>
    <n v="2.5833333333333335"/>
  </r>
  <r>
    <x v="71"/>
    <x v="13"/>
    <x v="5"/>
    <n v="15"/>
    <d v="1899-12-30T00:10:33"/>
    <n v="10.55"/>
  </r>
  <r>
    <x v="72"/>
    <x v="0"/>
    <x v="0"/>
    <n v="41"/>
    <d v="1899-12-30T00:49:16"/>
    <n v="49.266666666666666"/>
  </r>
  <r>
    <x v="72"/>
    <x v="0"/>
    <x v="1"/>
    <n v="32"/>
    <d v="1899-12-30T00:36:47"/>
    <n v="36.783333333333331"/>
  </r>
  <r>
    <x v="72"/>
    <x v="0"/>
    <x v="2"/>
    <n v="28"/>
    <d v="1899-12-30T00:31:52"/>
    <n v="31.866666666666667"/>
  </r>
  <r>
    <x v="72"/>
    <x v="0"/>
    <x v="3"/>
    <n v="21"/>
    <d v="1899-12-30T00:18:27"/>
    <n v="18.45"/>
  </r>
  <r>
    <x v="72"/>
    <x v="0"/>
    <x v="4"/>
    <n v="8"/>
    <d v="1899-12-30T00:11:20"/>
    <n v="11.333333333333334"/>
  </r>
  <r>
    <x v="72"/>
    <x v="0"/>
    <x v="5"/>
    <n v="25"/>
    <d v="1899-12-30T00:24:40"/>
    <n v="24.666666666666668"/>
  </r>
  <r>
    <x v="72"/>
    <x v="1"/>
    <x v="0"/>
    <n v="60"/>
    <d v="1899-12-30T01:49:51"/>
    <n v="109.85"/>
  </r>
  <r>
    <x v="72"/>
    <x v="1"/>
    <x v="1"/>
    <n v="41"/>
    <d v="1899-12-30T01:07:23"/>
    <n v="67.38333333333334"/>
  </r>
  <r>
    <x v="72"/>
    <x v="1"/>
    <x v="2"/>
    <n v="37"/>
    <d v="1899-12-30T01:05:34"/>
    <n v="65.566666666666663"/>
  </r>
  <r>
    <x v="72"/>
    <x v="1"/>
    <x v="3"/>
    <n v="5"/>
    <d v="1899-12-30T00:08:00"/>
    <n v="8"/>
  </r>
  <r>
    <x v="72"/>
    <x v="1"/>
    <x v="4"/>
    <n v="75"/>
    <d v="1899-12-30T03:13:20"/>
    <n v="193.33333333333334"/>
  </r>
  <r>
    <x v="72"/>
    <x v="1"/>
    <x v="5"/>
    <n v="56"/>
    <d v="1899-12-30T01:10:47"/>
    <n v="70.783333333333331"/>
  </r>
  <r>
    <x v="72"/>
    <x v="2"/>
    <x v="0"/>
    <n v="50"/>
    <d v="1899-12-30T01:33:28"/>
    <n v="93.466666666666669"/>
  </r>
  <r>
    <x v="72"/>
    <x v="2"/>
    <x v="1"/>
    <n v="27"/>
    <d v="1899-12-30T00:39:12"/>
    <n v="39.200000000000003"/>
  </r>
  <r>
    <x v="72"/>
    <x v="2"/>
    <x v="2"/>
    <n v="24"/>
    <d v="1899-12-30T00:39:43"/>
    <n v="39.716666666666669"/>
  </r>
  <r>
    <x v="72"/>
    <x v="2"/>
    <x v="3"/>
    <n v="18"/>
    <d v="1899-12-30T00:20:19"/>
    <n v="20.316666666666666"/>
  </r>
  <r>
    <x v="72"/>
    <x v="2"/>
    <x v="4"/>
    <n v="20"/>
    <d v="1899-12-30T00:47:41"/>
    <n v="47.68333333333333"/>
  </r>
  <r>
    <x v="72"/>
    <x v="2"/>
    <x v="5"/>
    <n v="16"/>
    <d v="1899-12-30T00:19:53"/>
    <n v="19.883333333333333"/>
  </r>
  <r>
    <x v="72"/>
    <x v="3"/>
    <x v="0"/>
    <n v="13"/>
    <d v="1899-12-30T00:21:00"/>
    <n v="21"/>
  </r>
  <r>
    <x v="72"/>
    <x v="3"/>
    <x v="1"/>
    <n v="12"/>
    <d v="1899-12-30T00:24:52"/>
    <n v="24.866666666666667"/>
  </r>
  <r>
    <x v="72"/>
    <x v="3"/>
    <x v="2"/>
    <n v="8"/>
    <d v="1899-12-30T00:15:36"/>
    <n v="15.6"/>
  </r>
  <r>
    <x v="72"/>
    <x v="3"/>
    <x v="3"/>
    <n v="4"/>
    <d v="1899-12-30T00:03:51"/>
    <n v="3.85"/>
  </r>
  <r>
    <x v="72"/>
    <x v="3"/>
    <x v="4"/>
    <n v="1"/>
    <d v="1899-12-30T00:02:41"/>
    <n v="2.6833333333333336"/>
  </r>
  <r>
    <x v="72"/>
    <x v="3"/>
    <x v="5"/>
    <n v="11"/>
    <d v="1899-12-30T00:14:40"/>
    <n v="14.666666666666666"/>
  </r>
  <r>
    <x v="72"/>
    <x v="4"/>
    <x v="0"/>
    <n v="14"/>
    <d v="1899-12-30T00:25:06"/>
    <n v="25.1"/>
  </r>
  <r>
    <x v="72"/>
    <x v="4"/>
    <x v="1"/>
    <n v="8"/>
    <d v="1899-12-30T00:08:46"/>
    <n v="8.7666666666666675"/>
  </r>
  <r>
    <x v="72"/>
    <x v="4"/>
    <x v="2"/>
    <n v="9"/>
    <d v="1899-12-30T00:15:20"/>
    <n v="15.333333333333334"/>
  </r>
  <r>
    <x v="72"/>
    <x v="4"/>
    <x v="3"/>
    <n v="3"/>
    <d v="1899-12-30T00:01:14"/>
    <n v="1.2333333333333334"/>
  </r>
  <r>
    <x v="72"/>
    <x v="4"/>
    <x v="4"/>
    <n v="1"/>
    <d v="1899-12-30T00:00:19"/>
    <n v="0.31666666666666665"/>
  </r>
  <r>
    <x v="72"/>
    <x v="4"/>
    <x v="5"/>
    <n v="7"/>
    <d v="1899-12-30T00:07:23"/>
    <n v="7.3833333333333337"/>
  </r>
  <r>
    <x v="72"/>
    <x v="5"/>
    <x v="0"/>
    <n v="38"/>
    <d v="1899-12-30T00:52:12"/>
    <n v="52.2"/>
  </r>
  <r>
    <x v="72"/>
    <x v="5"/>
    <x v="1"/>
    <n v="43"/>
    <d v="1899-12-30T00:47:54"/>
    <n v="47.9"/>
  </r>
  <r>
    <x v="72"/>
    <x v="5"/>
    <x v="2"/>
    <n v="37"/>
    <d v="1899-12-30T00:47:19"/>
    <n v="47.31666666666667"/>
  </r>
  <r>
    <x v="72"/>
    <x v="5"/>
    <x v="3"/>
    <n v="16"/>
    <d v="1899-12-30T00:17:35"/>
    <n v="17.583333333333332"/>
  </r>
  <r>
    <x v="72"/>
    <x v="5"/>
    <x v="4"/>
    <n v="4"/>
    <d v="1899-12-30T00:07:58"/>
    <n v="7.9666666666666668"/>
  </r>
  <r>
    <x v="72"/>
    <x v="5"/>
    <x v="5"/>
    <n v="44"/>
    <d v="1899-12-30T00:44:16"/>
    <n v="44.266666666666666"/>
  </r>
  <r>
    <x v="72"/>
    <x v="6"/>
    <x v="0"/>
    <n v="13"/>
    <d v="1899-12-30T00:19:47"/>
    <n v="19.783333333333335"/>
  </r>
  <r>
    <x v="72"/>
    <x v="6"/>
    <x v="1"/>
    <n v="8"/>
    <d v="1899-12-30T00:12:08"/>
    <n v="12.133333333333333"/>
  </r>
  <r>
    <x v="72"/>
    <x v="6"/>
    <x v="2"/>
    <n v="6"/>
    <d v="1899-12-30T00:09:16"/>
    <n v="9.2666666666666675"/>
  </r>
  <r>
    <x v="72"/>
    <x v="6"/>
    <x v="3"/>
    <n v="1"/>
    <d v="1899-12-30T00:01:46"/>
    <n v="1.7666666666666666"/>
  </r>
  <r>
    <x v="72"/>
    <x v="6"/>
    <x v="4"/>
    <n v="5"/>
    <d v="1899-12-30T00:07:08"/>
    <n v="7.1333333333333337"/>
  </r>
  <r>
    <x v="72"/>
    <x v="6"/>
    <x v="5"/>
    <n v="3"/>
    <d v="1899-12-30T00:04:49"/>
    <n v="4.8166666666666664"/>
  </r>
  <r>
    <x v="72"/>
    <x v="7"/>
    <x v="0"/>
    <n v="145"/>
    <d v="1899-12-30T03:21:40"/>
    <n v="201.66666666666666"/>
  </r>
  <r>
    <x v="72"/>
    <x v="7"/>
    <x v="1"/>
    <n v="201"/>
    <d v="1899-12-30T04:24:01"/>
    <n v="264.01666666666665"/>
  </r>
  <r>
    <x v="72"/>
    <x v="7"/>
    <x v="2"/>
    <n v="133"/>
    <d v="1899-12-30T03:02:28"/>
    <n v="182.46666666666667"/>
  </r>
  <r>
    <x v="72"/>
    <x v="7"/>
    <x v="3"/>
    <n v="82"/>
    <d v="1899-12-30T01:24:35"/>
    <n v="84.583333333333329"/>
  </r>
  <r>
    <x v="72"/>
    <x v="7"/>
    <x v="4"/>
    <n v="153"/>
    <d v="1899-12-30T04:04:04"/>
    <n v="244.06666666666666"/>
  </r>
  <r>
    <x v="72"/>
    <x v="7"/>
    <x v="5"/>
    <n v="99"/>
    <d v="1899-12-30T01:31:02"/>
    <n v="91.033333333333331"/>
  </r>
  <r>
    <x v="72"/>
    <x v="8"/>
    <x v="0"/>
    <n v="24"/>
    <d v="1899-12-30T00:37:54"/>
    <n v="37.9"/>
  </r>
  <r>
    <x v="72"/>
    <x v="8"/>
    <x v="1"/>
    <n v="28"/>
    <d v="1899-12-30T00:42:49"/>
    <n v="42.81666666666667"/>
  </r>
  <r>
    <x v="72"/>
    <x v="8"/>
    <x v="2"/>
    <n v="23"/>
    <d v="1899-12-30T00:35:42"/>
    <n v="35.700000000000003"/>
  </r>
  <r>
    <x v="72"/>
    <x v="8"/>
    <x v="3"/>
    <n v="20"/>
    <d v="1899-12-30T00:20:13"/>
    <n v="20.216666666666665"/>
  </r>
  <r>
    <x v="72"/>
    <x v="8"/>
    <x v="4"/>
    <n v="3"/>
    <d v="1899-12-30T00:03:58"/>
    <n v="3.9666666666666668"/>
  </r>
  <r>
    <x v="72"/>
    <x v="8"/>
    <x v="5"/>
    <n v="18"/>
    <d v="1899-12-30T00:18:09"/>
    <n v="18.149999999999999"/>
  </r>
  <r>
    <x v="72"/>
    <x v="9"/>
    <x v="0"/>
    <n v="29"/>
    <d v="1899-12-30T00:41:58"/>
    <n v="41.966666666666669"/>
  </r>
  <r>
    <x v="72"/>
    <x v="9"/>
    <x v="1"/>
    <n v="46"/>
    <d v="1899-12-30T00:59:00"/>
    <n v="59"/>
  </r>
  <r>
    <x v="72"/>
    <x v="9"/>
    <x v="2"/>
    <n v="31"/>
    <d v="1899-12-30T00:45:07"/>
    <n v="45.116666666666667"/>
  </r>
  <r>
    <x v="72"/>
    <x v="9"/>
    <x v="3"/>
    <n v="9"/>
    <d v="1899-12-30T00:11:28"/>
    <n v="11.466666666666667"/>
  </r>
  <r>
    <x v="72"/>
    <x v="9"/>
    <x v="4"/>
    <n v="4"/>
    <d v="1899-12-30T00:08:09"/>
    <n v="8.15"/>
  </r>
  <r>
    <x v="72"/>
    <x v="9"/>
    <x v="5"/>
    <n v="16"/>
    <d v="1899-12-30T00:16:57"/>
    <n v="16.95"/>
  </r>
  <r>
    <x v="72"/>
    <x v="10"/>
    <x v="0"/>
    <n v="33"/>
    <d v="1899-12-30T01:01:48"/>
    <n v="61.8"/>
  </r>
  <r>
    <x v="72"/>
    <x v="10"/>
    <x v="1"/>
    <n v="27"/>
    <d v="1899-12-30T00:53:35"/>
    <n v="53.583333333333336"/>
  </r>
  <r>
    <x v="72"/>
    <x v="10"/>
    <x v="2"/>
    <n v="22"/>
    <d v="1899-12-30T00:49:37"/>
    <n v="49.616666666666667"/>
  </r>
  <r>
    <x v="72"/>
    <x v="10"/>
    <x v="3"/>
    <n v="13"/>
    <d v="1899-12-30T00:12:49"/>
    <n v="12.816666666666666"/>
  </r>
  <r>
    <x v="72"/>
    <x v="10"/>
    <x v="4"/>
    <n v="5"/>
    <d v="1899-12-30T00:06:53"/>
    <n v="6.8833333333333329"/>
  </r>
  <r>
    <x v="72"/>
    <x v="10"/>
    <x v="5"/>
    <n v="28"/>
    <d v="1899-12-30T00:33:01"/>
    <n v="33.016666666666666"/>
  </r>
  <r>
    <x v="72"/>
    <x v="11"/>
    <x v="0"/>
    <n v="6"/>
    <d v="1899-12-30T00:09:56"/>
    <n v="9.9333333333333336"/>
  </r>
  <r>
    <x v="72"/>
    <x v="11"/>
    <x v="1"/>
    <n v="6"/>
    <d v="1899-12-30T00:09:50"/>
    <n v="9.8333333333333339"/>
  </r>
  <r>
    <x v="72"/>
    <x v="11"/>
    <x v="2"/>
    <n v="9"/>
    <d v="1899-12-30T00:13:15"/>
    <n v="13.25"/>
  </r>
  <r>
    <x v="72"/>
    <x v="11"/>
    <x v="3"/>
    <n v="2"/>
    <d v="1899-12-30T00:01:52"/>
    <n v="1.8666666666666667"/>
  </r>
  <r>
    <x v="72"/>
    <x v="11"/>
    <x v="4"/>
    <n v="1"/>
    <d v="1899-12-30T00:01:59"/>
    <n v="1.9833333333333334"/>
  </r>
  <r>
    <x v="72"/>
    <x v="11"/>
    <x v="5"/>
    <n v="3"/>
    <d v="1899-12-30T00:03:28"/>
    <n v="3.4666666666666668"/>
  </r>
  <r>
    <x v="72"/>
    <x v="12"/>
    <x v="0"/>
    <n v="89"/>
    <d v="1899-12-30T02:27:39"/>
    <n v="147.65"/>
  </r>
  <r>
    <x v="72"/>
    <x v="12"/>
    <x v="1"/>
    <n v="83"/>
    <d v="1899-12-30T02:26:24"/>
    <n v="146.4"/>
  </r>
  <r>
    <x v="72"/>
    <x v="12"/>
    <x v="2"/>
    <n v="55"/>
    <d v="1899-12-30T01:23:24"/>
    <n v="83.4"/>
  </r>
  <r>
    <x v="72"/>
    <x v="12"/>
    <x v="3"/>
    <n v="38"/>
    <d v="1899-12-30T00:40:25"/>
    <n v="40.416666666666664"/>
  </r>
  <r>
    <x v="72"/>
    <x v="12"/>
    <x v="4"/>
    <n v="23"/>
    <d v="1899-12-30T00:41:44"/>
    <n v="41.733333333333334"/>
  </r>
  <r>
    <x v="72"/>
    <x v="12"/>
    <x v="5"/>
    <n v="66"/>
    <d v="1899-12-30T01:24:57"/>
    <n v="84.95"/>
  </r>
  <r>
    <x v="72"/>
    <x v="13"/>
    <x v="0"/>
    <n v="36"/>
    <d v="1899-12-30T00:37:56"/>
    <n v="37.93333333333333"/>
  </r>
  <r>
    <x v="72"/>
    <x v="13"/>
    <x v="1"/>
    <n v="39"/>
    <d v="1899-12-30T00:35:17"/>
    <n v="35.283333333333331"/>
  </r>
  <r>
    <x v="72"/>
    <x v="13"/>
    <x v="2"/>
    <n v="16"/>
    <d v="1899-12-30T00:22:15"/>
    <n v="22.25"/>
  </r>
  <r>
    <x v="72"/>
    <x v="13"/>
    <x v="3"/>
    <n v="2"/>
    <d v="1899-12-30T00:03:01"/>
    <n v="3.0166666666666666"/>
  </r>
  <r>
    <x v="72"/>
    <x v="13"/>
    <x v="4"/>
    <n v="1"/>
    <d v="1899-12-30T00:02:26"/>
    <n v="2.4333333333333336"/>
  </r>
  <r>
    <x v="72"/>
    <x v="13"/>
    <x v="5"/>
    <n v="13"/>
    <d v="1899-12-30T00:12:32"/>
    <n v="12.533333333333333"/>
  </r>
  <r>
    <x v="73"/>
    <x v="0"/>
    <x v="0"/>
    <n v="25"/>
    <d v="1899-12-30T00:32:29"/>
    <n v="32.483333333333334"/>
  </r>
  <r>
    <x v="73"/>
    <x v="0"/>
    <x v="1"/>
    <n v="18"/>
    <d v="1899-12-30T00:20:54"/>
    <n v="20.9"/>
  </r>
  <r>
    <x v="73"/>
    <x v="0"/>
    <x v="2"/>
    <n v="19"/>
    <d v="1899-12-30T00:26:18"/>
    <n v="26.3"/>
  </r>
  <r>
    <x v="73"/>
    <x v="0"/>
    <x v="3"/>
    <n v="13"/>
    <d v="1899-12-30T00:08:32"/>
    <n v="8.5333333333333332"/>
  </r>
  <r>
    <x v="73"/>
    <x v="0"/>
    <x v="4"/>
    <n v="2"/>
    <d v="1899-12-30T00:03:43"/>
    <n v="3.7166666666666668"/>
  </r>
  <r>
    <x v="73"/>
    <x v="0"/>
    <x v="5"/>
    <n v="10"/>
    <d v="1899-12-30T00:08:15"/>
    <n v="8.25"/>
  </r>
  <r>
    <x v="73"/>
    <x v="1"/>
    <x v="0"/>
    <n v="50"/>
    <d v="1899-12-30T01:20:33"/>
    <n v="80.55"/>
  </r>
  <r>
    <x v="73"/>
    <x v="1"/>
    <x v="1"/>
    <n v="37"/>
    <d v="1899-12-30T00:53:49"/>
    <n v="53.81666666666667"/>
  </r>
  <r>
    <x v="73"/>
    <x v="1"/>
    <x v="2"/>
    <n v="20"/>
    <d v="1899-12-30T00:42:40"/>
    <n v="42.666666666666664"/>
  </r>
  <r>
    <x v="73"/>
    <x v="1"/>
    <x v="3"/>
    <n v="5"/>
    <d v="1899-12-30T00:03:36"/>
    <n v="3.6"/>
  </r>
  <r>
    <x v="73"/>
    <x v="1"/>
    <x v="4"/>
    <n v="73"/>
    <d v="1899-12-30T02:17:57"/>
    <n v="137.94999999999999"/>
  </r>
  <r>
    <x v="73"/>
    <x v="1"/>
    <x v="5"/>
    <n v="42"/>
    <d v="1899-12-30T00:56:09"/>
    <n v="56.15"/>
  </r>
  <r>
    <x v="73"/>
    <x v="2"/>
    <x v="0"/>
    <n v="49"/>
    <d v="1899-12-30T01:18:15"/>
    <n v="78.25"/>
  </r>
  <r>
    <x v="73"/>
    <x v="2"/>
    <x v="1"/>
    <n v="44"/>
    <d v="1899-12-30T01:09:57"/>
    <n v="69.95"/>
  </r>
  <r>
    <x v="73"/>
    <x v="2"/>
    <x v="2"/>
    <n v="36"/>
    <d v="1899-12-30T01:03:14"/>
    <n v="63.233333333333334"/>
  </r>
  <r>
    <x v="73"/>
    <x v="2"/>
    <x v="3"/>
    <n v="14"/>
    <d v="1899-12-30T00:15:55"/>
    <n v="15.916666666666666"/>
  </r>
  <r>
    <x v="73"/>
    <x v="2"/>
    <x v="4"/>
    <n v="5"/>
    <d v="1899-12-30T00:07:51"/>
    <n v="7.85"/>
  </r>
  <r>
    <x v="73"/>
    <x v="2"/>
    <x v="5"/>
    <n v="18"/>
    <d v="1899-12-30T00:29:46"/>
    <n v="29.766666666666666"/>
  </r>
  <r>
    <x v="73"/>
    <x v="3"/>
    <x v="0"/>
    <n v="9"/>
    <d v="1899-12-30T00:20:44"/>
    <n v="20.733333333333334"/>
  </r>
  <r>
    <x v="73"/>
    <x v="3"/>
    <x v="1"/>
    <n v="8"/>
    <d v="1899-12-30T00:17:30"/>
    <n v="17.5"/>
  </r>
  <r>
    <x v="73"/>
    <x v="3"/>
    <x v="2"/>
    <n v="12"/>
    <d v="1899-12-30T00:26:01"/>
    <n v="26.016666666666666"/>
  </r>
  <r>
    <x v="73"/>
    <x v="3"/>
    <x v="3"/>
    <n v="5"/>
    <d v="1899-12-30T00:06:34"/>
    <n v="6.5666666666666664"/>
  </r>
  <r>
    <x v="73"/>
    <x v="3"/>
    <x v="4"/>
    <n v="0"/>
    <d v="1899-12-30T00:00:00"/>
    <n v="0"/>
  </r>
  <r>
    <x v="73"/>
    <x v="3"/>
    <x v="5"/>
    <n v="7"/>
    <d v="1899-12-30T00:13:52"/>
    <n v="13.866666666666667"/>
  </r>
  <r>
    <x v="73"/>
    <x v="4"/>
    <x v="0"/>
    <n v="18"/>
    <d v="1899-12-30T00:31:07"/>
    <n v="31.116666666666667"/>
  </r>
  <r>
    <x v="73"/>
    <x v="4"/>
    <x v="1"/>
    <n v="11"/>
    <d v="1899-12-30T00:11:21"/>
    <n v="11.35"/>
  </r>
  <r>
    <x v="73"/>
    <x v="4"/>
    <x v="2"/>
    <n v="7"/>
    <d v="1899-12-30T00:07:33"/>
    <n v="7.55"/>
  </r>
  <r>
    <x v="73"/>
    <x v="4"/>
    <x v="3"/>
    <n v="1"/>
    <d v="1899-12-30T00:00:51"/>
    <n v="0.85"/>
  </r>
  <r>
    <x v="73"/>
    <x v="4"/>
    <x v="4"/>
    <n v="0"/>
    <d v="1899-12-30T00:00:00"/>
    <n v="0"/>
  </r>
  <r>
    <x v="73"/>
    <x v="4"/>
    <x v="5"/>
    <n v="11"/>
    <d v="1899-12-30T00:10:04"/>
    <n v="10.066666666666666"/>
  </r>
  <r>
    <x v="73"/>
    <x v="5"/>
    <x v="0"/>
    <n v="48"/>
    <d v="1899-12-30T00:58:06"/>
    <n v="58.1"/>
  </r>
  <r>
    <x v="73"/>
    <x v="5"/>
    <x v="1"/>
    <n v="43"/>
    <d v="1899-12-30T00:49:52"/>
    <n v="49.866666666666667"/>
  </r>
  <r>
    <x v="73"/>
    <x v="5"/>
    <x v="2"/>
    <n v="45"/>
    <d v="1899-12-30T00:49:58"/>
    <n v="49.966666666666669"/>
  </r>
  <r>
    <x v="73"/>
    <x v="5"/>
    <x v="3"/>
    <n v="18"/>
    <d v="1899-12-30T00:12:27"/>
    <n v="12.45"/>
  </r>
  <r>
    <x v="73"/>
    <x v="5"/>
    <x v="4"/>
    <n v="1"/>
    <d v="1899-12-30T00:01:41"/>
    <n v="1.6833333333333333"/>
  </r>
  <r>
    <x v="73"/>
    <x v="5"/>
    <x v="5"/>
    <n v="56"/>
    <d v="1899-12-30T01:01:34"/>
    <n v="61.56666666666667"/>
  </r>
  <r>
    <x v="73"/>
    <x v="6"/>
    <x v="0"/>
    <n v="8"/>
    <d v="1899-12-30T00:06:03"/>
    <n v="6.05"/>
  </r>
  <r>
    <x v="73"/>
    <x v="6"/>
    <x v="1"/>
    <n v="9"/>
    <d v="1899-12-30T00:06:54"/>
    <n v="6.9"/>
  </r>
  <r>
    <x v="73"/>
    <x v="6"/>
    <x v="2"/>
    <n v="3"/>
    <d v="1899-12-30T00:03:50"/>
    <n v="3.8333333333333335"/>
  </r>
  <r>
    <x v="73"/>
    <x v="6"/>
    <x v="3"/>
    <n v="2"/>
    <d v="1899-12-30T00:01:02"/>
    <n v="1.0333333333333334"/>
  </r>
  <r>
    <x v="73"/>
    <x v="6"/>
    <x v="4"/>
    <n v="9"/>
    <d v="1899-12-30T00:14:54"/>
    <n v="14.9"/>
  </r>
  <r>
    <x v="73"/>
    <x v="6"/>
    <x v="5"/>
    <n v="2"/>
    <d v="1899-12-30T00:01:01"/>
    <n v="1.0166666666666666"/>
  </r>
  <r>
    <x v="73"/>
    <x v="7"/>
    <x v="0"/>
    <n v="160"/>
    <d v="1899-12-30T03:57:00"/>
    <n v="237"/>
  </r>
  <r>
    <x v="73"/>
    <x v="7"/>
    <x v="1"/>
    <n v="225"/>
    <d v="1899-12-30T04:13:03"/>
    <n v="253.05"/>
  </r>
  <r>
    <x v="73"/>
    <x v="7"/>
    <x v="2"/>
    <n v="142"/>
    <d v="1899-12-30T03:13:34"/>
    <n v="193.56666666666666"/>
  </r>
  <r>
    <x v="73"/>
    <x v="7"/>
    <x v="3"/>
    <n v="110"/>
    <d v="1899-12-30T01:54:01"/>
    <n v="114.01666666666667"/>
  </r>
  <r>
    <x v="73"/>
    <x v="7"/>
    <x v="4"/>
    <n v="187"/>
    <d v="1899-12-30T05:19:50"/>
    <n v="319.83333333333331"/>
  </r>
  <r>
    <x v="73"/>
    <x v="7"/>
    <x v="5"/>
    <n v="86"/>
    <d v="1899-12-30T01:29:39"/>
    <n v="89.65"/>
  </r>
  <r>
    <x v="73"/>
    <x v="8"/>
    <x v="0"/>
    <n v="40"/>
    <d v="1899-12-30T00:52:29"/>
    <n v="52.483333333333334"/>
  </r>
  <r>
    <x v="73"/>
    <x v="8"/>
    <x v="1"/>
    <n v="43"/>
    <d v="1899-12-30T00:57:58"/>
    <n v="57.966666666666669"/>
  </r>
  <r>
    <x v="73"/>
    <x v="8"/>
    <x v="2"/>
    <n v="38"/>
    <d v="1899-12-30T00:54:07"/>
    <n v="54.116666666666667"/>
  </r>
  <r>
    <x v="73"/>
    <x v="8"/>
    <x v="3"/>
    <n v="35"/>
    <d v="1899-12-30T00:27:39"/>
    <n v="27.65"/>
  </r>
  <r>
    <x v="73"/>
    <x v="8"/>
    <x v="4"/>
    <n v="8"/>
    <d v="1899-12-30T00:13:29"/>
    <n v="13.483333333333333"/>
  </r>
  <r>
    <x v="73"/>
    <x v="8"/>
    <x v="5"/>
    <n v="37"/>
    <d v="1899-12-30T00:39:52"/>
    <n v="39.866666666666667"/>
  </r>
  <r>
    <x v="73"/>
    <x v="9"/>
    <x v="0"/>
    <n v="30"/>
    <d v="1899-12-30T00:39:04"/>
    <n v="39.06666666666667"/>
  </r>
  <r>
    <x v="73"/>
    <x v="9"/>
    <x v="1"/>
    <n v="42"/>
    <d v="1899-12-30T01:14:23"/>
    <n v="74.38333333333334"/>
  </r>
  <r>
    <x v="73"/>
    <x v="9"/>
    <x v="2"/>
    <n v="21"/>
    <d v="1899-12-30T00:35:24"/>
    <n v="35.4"/>
  </r>
  <r>
    <x v="73"/>
    <x v="9"/>
    <x v="3"/>
    <n v="24"/>
    <d v="1899-12-30T00:28:24"/>
    <n v="28.4"/>
  </r>
  <r>
    <x v="73"/>
    <x v="9"/>
    <x v="4"/>
    <n v="4"/>
    <d v="1899-12-30T00:06:27"/>
    <n v="6.45"/>
  </r>
  <r>
    <x v="73"/>
    <x v="9"/>
    <x v="5"/>
    <n v="16"/>
    <d v="1899-12-30T00:22:11"/>
    <n v="22.183333333333334"/>
  </r>
  <r>
    <x v="73"/>
    <x v="10"/>
    <x v="0"/>
    <n v="25"/>
    <d v="1899-12-30T00:46:45"/>
    <n v="46.75"/>
  </r>
  <r>
    <x v="73"/>
    <x v="10"/>
    <x v="1"/>
    <n v="19"/>
    <d v="1899-12-30T00:34:51"/>
    <n v="34.85"/>
  </r>
  <r>
    <x v="73"/>
    <x v="10"/>
    <x v="2"/>
    <n v="12"/>
    <d v="1899-12-30T00:22:38"/>
    <n v="22.633333333333333"/>
  </r>
  <r>
    <x v="73"/>
    <x v="10"/>
    <x v="3"/>
    <n v="8"/>
    <d v="1899-12-30T00:05:56"/>
    <n v="5.9333333333333336"/>
  </r>
  <r>
    <x v="73"/>
    <x v="10"/>
    <x v="4"/>
    <n v="4"/>
    <d v="1899-12-30T00:08:47"/>
    <n v="8.7833333333333332"/>
  </r>
  <r>
    <x v="73"/>
    <x v="10"/>
    <x v="5"/>
    <n v="20"/>
    <d v="1899-12-30T00:32:39"/>
    <n v="32.65"/>
  </r>
  <r>
    <x v="73"/>
    <x v="11"/>
    <x v="0"/>
    <n v="11"/>
    <d v="1899-12-30T00:16:46"/>
    <n v="16.766666666666666"/>
  </r>
  <r>
    <x v="73"/>
    <x v="11"/>
    <x v="1"/>
    <n v="5"/>
    <d v="1899-12-30T00:08:10"/>
    <n v="8.1666666666666661"/>
  </r>
  <r>
    <x v="73"/>
    <x v="11"/>
    <x v="2"/>
    <n v="8"/>
    <d v="1899-12-30T00:11:33"/>
    <n v="11.55"/>
  </r>
  <r>
    <x v="73"/>
    <x v="11"/>
    <x v="3"/>
    <n v="5"/>
    <d v="1899-12-30T00:04:40"/>
    <n v="4.666666666666667"/>
  </r>
  <r>
    <x v="73"/>
    <x v="11"/>
    <x v="4"/>
    <n v="3"/>
    <d v="1899-12-30T00:06:23"/>
    <n v="6.3833333333333337"/>
  </r>
  <r>
    <x v="73"/>
    <x v="11"/>
    <x v="5"/>
    <n v="9"/>
    <d v="1899-12-30T00:12:15"/>
    <n v="12.25"/>
  </r>
  <r>
    <x v="73"/>
    <x v="12"/>
    <x v="0"/>
    <n v="78"/>
    <d v="1899-12-30T02:15:04"/>
    <n v="135.06666666666666"/>
  </r>
  <r>
    <x v="73"/>
    <x v="12"/>
    <x v="1"/>
    <n v="52"/>
    <d v="1899-12-30T01:25:29"/>
    <n v="85.483333333333334"/>
  </r>
  <r>
    <x v="73"/>
    <x v="12"/>
    <x v="2"/>
    <n v="50"/>
    <d v="1899-12-30T01:34:45"/>
    <n v="94.75"/>
  </r>
  <r>
    <x v="73"/>
    <x v="12"/>
    <x v="3"/>
    <n v="33"/>
    <d v="1899-12-30T00:28:53"/>
    <n v="28.883333333333333"/>
  </r>
  <r>
    <x v="73"/>
    <x v="12"/>
    <x v="4"/>
    <n v="22"/>
    <d v="1899-12-30T00:39:40"/>
    <n v="39.666666666666664"/>
  </r>
  <r>
    <x v="73"/>
    <x v="12"/>
    <x v="5"/>
    <n v="65"/>
    <d v="1899-12-30T01:31:07"/>
    <n v="91.11666666666666"/>
  </r>
  <r>
    <x v="73"/>
    <x v="13"/>
    <x v="0"/>
    <n v="43"/>
    <d v="1899-12-30T01:06:55"/>
    <n v="66.916666666666671"/>
  </r>
  <r>
    <x v="73"/>
    <x v="13"/>
    <x v="1"/>
    <n v="52"/>
    <d v="1899-12-30T00:59:56"/>
    <n v="59.93333333333333"/>
  </r>
  <r>
    <x v="73"/>
    <x v="13"/>
    <x v="2"/>
    <n v="25"/>
    <d v="1899-12-30T00:36:33"/>
    <n v="36.549999999999997"/>
  </r>
  <r>
    <x v="73"/>
    <x v="13"/>
    <x v="3"/>
    <n v="12"/>
    <d v="1899-12-30T00:11:51"/>
    <n v="11.85"/>
  </r>
  <r>
    <x v="73"/>
    <x v="13"/>
    <x v="4"/>
    <n v="0"/>
    <d v="1899-12-30T00:00:00"/>
    <n v="0"/>
  </r>
  <r>
    <x v="73"/>
    <x v="13"/>
    <x v="5"/>
    <n v="31"/>
    <d v="1899-12-30T00:30:26"/>
    <n v="30.433333333333334"/>
  </r>
  <r>
    <x v="74"/>
    <x v="0"/>
    <x v="0"/>
    <n v="94"/>
    <d v="1899-12-30T02:23:21"/>
    <n v="143.35"/>
  </r>
  <r>
    <x v="74"/>
    <x v="0"/>
    <x v="1"/>
    <n v="83"/>
    <d v="1899-12-30T02:19:52"/>
    <n v="139.86666666666667"/>
  </r>
  <r>
    <x v="74"/>
    <x v="0"/>
    <x v="2"/>
    <n v="58"/>
    <d v="1899-12-30T01:24:05"/>
    <n v="84.083333333333329"/>
  </r>
  <r>
    <x v="74"/>
    <x v="0"/>
    <x v="3"/>
    <n v="44"/>
    <d v="1899-12-30T00:49:03"/>
    <n v="49.05"/>
  </r>
  <r>
    <x v="74"/>
    <x v="0"/>
    <x v="4"/>
    <n v="16"/>
    <d v="1899-12-30T00:25:58"/>
    <n v="25.966666666666665"/>
  </r>
  <r>
    <x v="74"/>
    <x v="0"/>
    <x v="5"/>
    <n v="77"/>
    <d v="1899-12-30T01:35:00"/>
    <n v="95"/>
  </r>
  <r>
    <x v="74"/>
    <x v="1"/>
    <x v="0"/>
    <n v="59"/>
    <d v="1899-12-30T01:37:11"/>
    <n v="97.183333333333337"/>
  </r>
  <r>
    <x v="74"/>
    <x v="1"/>
    <x v="1"/>
    <n v="45"/>
    <d v="1899-12-30T01:26:44"/>
    <n v="86.733333333333334"/>
  </r>
  <r>
    <x v="74"/>
    <x v="1"/>
    <x v="2"/>
    <n v="22"/>
    <d v="1899-12-30T00:36:04"/>
    <n v="36.06666666666667"/>
  </r>
  <r>
    <x v="74"/>
    <x v="1"/>
    <x v="3"/>
    <n v="4"/>
    <d v="1899-12-30T00:04:36"/>
    <n v="4.5999999999999996"/>
  </r>
  <r>
    <x v="74"/>
    <x v="1"/>
    <x v="4"/>
    <n v="79"/>
    <d v="1899-12-30T03:16:12"/>
    <n v="196.2"/>
  </r>
  <r>
    <x v="74"/>
    <x v="1"/>
    <x v="5"/>
    <n v="50"/>
    <d v="1899-12-30T01:06:11"/>
    <n v="66.183333333333337"/>
  </r>
  <r>
    <x v="74"/>
    <x v="2"/>
    <x v="0"/>
    <n v="62"/>
    <d v="1899-12-30T01:36:45"/>
    <n v="96.75"/>
  </r>
  <r>
    <x v="74"/>
    <x v="2"/>
    <x v="1"/>
    <n v="37"/>
    <d v="1899-12-30T01:00:33"/>
    <n v="60.55"/>
  </r>
  <r>
    <x v="74"/>
    <x v="2"/>
    <x v="2"/>
    <n v="29"/>
    <d v="1899-12-30T00:48:54"/>
    <n v="48.9"/>
  </r>
  <r>
    <x v="74"/>
    <x v="2"/>
    <x v="3"/>
    <n v="21"/>
    <d v="1899-12-30T00:22:27"/>
    <n v="22.45"/>
  </r>
  <r>
    <x v="74"/>
    <x v="2"/>
    <x v="4"/>
    <n v="7"/>
    <d v="1899-12-30T00:16:55"/>
    <n v="16.916666666666668"/>
  </r>
  <r>
    <x v="74"/>
    <x v="2"/>
    <x v="5"/>
    <n v="39"/>
    <d v="1899-12-30T00:45:50"/>
    <n v="45.833333333333336"/>
  </r>
  <r>
    <x v="74"/>
    <x v="3"/>
    <x v="0"/>
    <n v="9"/>
    <d v="1899-12-30T00:14:14"/>
    <n v="14.233333333333333"/>
  </r>
  <r>
    <x v="74"/>
    <x v="3"/>
    <x v="1"/>
    <n v="11"/>
    <d v="1899-12-30T00:24:45"/>
    <n v="24.75"/>
  </r>
  <r>
    <x v="74"/>
    <x v="3"/>
    <x v="2"/>
    <n v="5"/>
    <d v="1899-12-30T00:12:15"/>
    <n v="12.25"/>
  </r>
  <r>
    <x v="74"/>
    <x v="3"/>
    <x v="3"/>
    <n v="3"/>
    <d v="1899-12-30T00:03:20"/>
    <n v="3.3333333333333335"/>
  </r>
  <r>
    <x v="74"/>
    <x v="3"/>
    <x v="4"/>
    <n v="1"/>
    <d v="1899-12-30T00:02:46"/>
    <n v="2.7666666666666666"/>
  </r>
  <r>
    <x v="74"/>
    <x v="3"/>
    <x v="5"/>
    <n v="9"/>
    <d v="1899-12-30T00:15:41"/>
    <n v="15.683333333333334"/>
  </r>
  <r>
    <x v="74"/>
    <x v="4"/>
    <x v="0"/>
    <n v="120"/>
    <d v="1899-12-30T03:12:19"/>
    <n v="192.31666666666666"/>
  </r>
  <r>
    <x v="74"/>
    <x v="4"/>
    <x v="1"/>
    <n v="121"/>
    <d v="1899-12-30T03:00:33"/>
    <n v="180.55"/>
  </r>
  <r>
    <x v="74"/>
    <x v="4"/>
    <x v="2"/>
    <n v="69"/>
    <d v="1899-12-30T01:49:40"/>
    <n v="109.66666666666667"/>
  </r>
  <r>
    <x v="74"/>
    <x v="4"/>
    <x v="3"/>
    <n v="28"/>
    <d v="1899-12-30T00:31:46"/>
    <n v="31.766666666666666"/>
  </r>
  <r>
    <x v="74"/>
    <x v="4"/>
    <x v="4"/>
    <n v="48"/>
    <d v="1899-12-30T01:44:29"/>
    <n v="104.48333333333333"/>
  </r>
  <r>
    <x v="74"/>
    <x v="4"/>
    <x v="5"/>
    <n v="80"/>
    <d v="1899-12-30T01:33:51"/>
    <n v="93.85"/>
  </r>
  <r>
    <x v="74"/>
    <x v="5"/>
    <x v="0"/>
    <n v="30"/>
    <d v="1899-12-30T00:36:16"/>
    <n v="36.266666666666666"/>
  </r>
  <r>
    <x v="74"/>
    <x v="5"/>
    <x v="1"/>
    <n v="36"/>
    <d v="1899-12-30T00:46:57"/>
    <n v="46.95"/>
  </r>
  <r>
    <x v="74"/>
    <x v="5"/>
    <x v="2"/>
    <n v="30"/>
    <d v="1899-12-30T00:34:09"/>
    <n v="34.15"/>
  </r>
  <r>
    <x v="74"/>
    <x v="5"/>
    <x v="3"/>
    <n v="14"/>
    <d v="1899-12-30T00:14:00"/>
    <n v="14"/>
  </r>
  <r>
    <x v="74"/>
    <x v="5"/>
    <x v="4"/>
    <n v="1"/>
    <d v="1899-12-30T00:02:33"/>
    <n v="2.5499999999999998"/>
  </r>
  <r>
    <x v="74"/>
    <x v="5"/>
    <x v="5"/>
    <n v="41"/>
    <d v="1899-12-30T00:46:52"/>
    <n v="46.866666666666667"/>
  </r>
  <r>
    <x v="74"/>
    <x v="6"/>
    <x v="0"/>
    <n v="15"/>
    <d v="1899-12-30T00:26:07"/>
    <n v="26.116666666666667"/>
  </r>
  <r>
    <x v="74"/>
    <x v="6"/>
    <x v="1"/>
    <n v="12"/>
    <d v="1899-12-30T00:20:53"/>
    <n v="20.883333333333333"/>
  </r>
  <r>
    <x v="74"/>
    <x v="6"/>
    <x v="2"/>
    <n v="10"/>
    <d v="1899-12-30T00:19:39"/>
    <n v="19.649999999999999"/>
  </r>
  <r>
    <x v="74"/>
    <x v="6"/>
    <x v="3"/>
    <n v="3"/>
    <d v="1899-12-30T00:03:29"/>
    <n v="3.4833333333333334"/>
  </r>
  <r>
    <x v="74"/>
    <x v="6"/>
    <x v="4"/>
    <n v="4"/>
    <d v="1899-12-30T00:10:08"/>
    <n v="10.133333333333333"/>
  </r>
  <r>
    <x v="74"/>
    <x v="6"/>
    <x v="5"/>
    <n v="7"/>
    <d v="1899-12-30T00:11:19"/>
    <n v="11.316666666666666"/>
  </r>
  <r>
    <x v="74"/>
    <x v="7"/>
    <x v="0"/>
    <n v="179"/>
    <d v="1899-12-30T04:12:34"/>
    <n v="252.56666666666666"/>
  </r>
  <r>
    <x v="74"/>
    <x v="7"/>
    <x v="1"/>
    <n v="218"/>
    <d v="1899-12-30T04:23:22"/>
    <n v="263.36666666666667"/>
  </r>
  <r>
    <x v="74"/>
    <x v="7"/>
    <x v="2"/>
    <n v="142"/>
    <d v="1899-12-30T02:54:04"/>
    <n v="174.06666666666666"/>
  </r>
  <r>
    <x v="74"/>
    <x v="7"/>
    <x v="3"/>
    <n v="105"/>
    <d v="1899-12-30T01:35:19"/>
    <n v="95.316666666666663"/>
  </r>
  <r>
    <x v="74"/>
    <x v="7"/>
    <x v="4"/>
    <n v="193"/>
    <d v="1899-12-30T05:20:04"/>
    <n v="320.06666666666666"/>
  </r>
  <r>
    <x v="74"/>
    <x v="7"/>
    <x v="5"/>
    <n v="97"/>
    <d v="1899-12-30T01:33:16"/>
    <n v="93.266666666666666"/>
  </r>
  <r>
    <x v="74"/>
    <x v="8"/>
    <x v="0"/>
    <n v="19"/>
    <d v="1899-12-30T00:25:54"/>
    <n v="25.9"/>
  </r>
  <r>
    <x v="74"/>
    <x v="8"/>
    <x v="1"/>
    <n v="24"/>
    <d v="1899-12-30T00:34:24"/>
    <n v="34.4"/>
  </r>
  <r>
    <x v="74"/>
    <x v="8"/>
    <x v="2"/>
    <n v="22"/>
    <d v="1899-12-30T00:30:44"/>
    <n v="30.733333333333334"/>
  </r>
  <r>
    <x v="74"/>
    <x v="8"/>
    <x v="3"/>
    <n v="19"/>
    <d v="1899-12-30T00:21:05"/>
    <n v="21.083333333333332"/>
  </r>
  <r>
    <x v="74"/>
    <x v="8"/>
    <x v="4"/>
    <n v="9"/>
    <d v="1899-12-30T00:14:00"/>
    <n v="14"/>
  </r>
  <r>
    <x v="74"/>
    <x v="8"/>
    <x v="5"/>
    <n v="27"/>
    <d v="1899-12-30T00:29:31"/>
    <n v="29.516666666666666"/>
  </r>
  <r>
    <x v="74"/>
    <x v="9"/>
    <x v="0"/>
    <n v="77"/>
    <d v="1899-12-30T01:59:15"/>
    <n v="119.25"/>
  </r>
  <r>
    <x v="74"/>
    <x v="9"/>
    <x v="1"/>
    <n v="123"/>
    <d v="1899-12-30T02:43:50"/>
    <n v="163.83333333333334"/>
  </r>
  <r>
    <x v="74"/>
    <x v="9"/>
    <x v="2"/>
    <n v="83"/>
    <d v="1899-12-30T01:48:23"/>
    <n v="108.38333333333334"/>
  </r>
  <r>
    <x v="74"/>
    <x v="9"/>
    <x v="3"/>
    <n v="29"/>
    <d v="1899-12-30T00:31:05"/>
    <n v="31.083333333333332"/>
  </r>
  <r>
    <x v="74"/>
    <x v="9"/>
    <x v="4"/>
    <n v="8"/>
    <d v="1899-12-30T00:13:53"/>
    <n v="13.883333333333333"/>
  </r>
  <r>
    <x v="74"/>
    <x v="9"/>
    <x v="5"/>
    <n v="47"/>
    <d v="1899-12-30T00:48:25"/>
    <n v="48.416666666666664"/>
  </r>
  <r>
    <x v="74"/>
    <x v="10"/>
    <x v="0"/>
    <n v="31"/>
    <d v="1899-12-30T01:06:31"/>
    <n v="66.516666666666666"/>
  </r>
  <r>
    <x v="74"/>
    <x v="10"/>
    <x v="1"/>
    <n v="11"/>
    <d v="1899-12-30T00:18:25"/>
    <n v="18.416666666666668"/>
  </r>
  <r>
    <x v="74"/>
    <x v="10"/>
    <x v="2"/>
    <n v="21"/>
    <d v="1899-12-30T00:42:30"/>
    <n v="42.5"/>
  </r>
  <r>
    <x v="74"/>
    <x v="10"/>
    <x v="3"/>
    <n v="9"/>
    <d v="1899-12-30T00:09:23"/>
    <n v="9.3833333333333329"/>
  </r>
  <r>
    <x v="74"/>
    <x v="10"/>
    <x v="4"/>
    <n v="0"/>
    <d v="1899-12-30T00:00:00"/>
    <n v="0"/>
  </r>
  <r>
    <x v="74"/>
    <x v="10"/>
    <x v="5"/>
    <n v="18"/>
    <d v="1899-12-30T00:22:40"/>
    <n v="22.666666666666668"/>
  </r>
  <r>
    <x v="74"/>
    <x v="11"/>
    <x v="0"/>
    <n v="7"/>
    <d v="1899-12-30T00:10:47"/>
    <n v="10.783333333333333"/>
  </r>
  <r>
    <x v="74"/>
    <x v="11"/>
    <x v="1"/>
    <n v="13"/>
    <d v="1899-12-30T00:27:20"/>
    <n v="27.333333333333332"/>
  </r>
  <r>
    <x v="74"/>
    <x v="11"/>
    <x v="2"/>
    <n v="7"/>
    <d v="1899-12-30T00:12:12"/>
    <n v="12.2"/>
  </r>
  <r>
    <x v="74"/>
    <x v="11"/>
    <x v="3"/>
    <n v="2"/>
    <d v="1899-12-30T00:01:13"/>
    <n v="1.2166666666666668"/>
  </r>
  <r>
    <x v="74"/>
    <x v="11"/>
    <x v="4"/>
    <n v="7"/>
    <d v="1899-12-30T00:14:52"/>
    <n v="14.866666666666667"/>
  </r>
  <r>
    <x v="74"/>
    <x v="11"/>
    <x v="5"/>
    <n v="9"/>
    <d v="1899-12-30T00:10:36"/>
    <n v="10.6"/>
  </r>
  <r>
    <x v="74"/>
    <x v="12"/>
    <x v="0"/>
    <n v="70"/>
    <d v="1899-12-30T01:50:40"/>
    <n v="110.66666666666667"/>
  </r>
  <r>
    <x v="74"/>
    <x v="12"/>
    <x v="1"/>
    <n v="51"/>
    <d v="1899-12-30T01:38:37"/>
    <n v="98.61666666666666"/>
  </r>
  <r>
    <x v="74"/>
    <x v="12"/>
    <x v="2"/>
    <n v="49"/>
    <d v="1899-12-30T01:26:18"/>
    <n v="86.3"/>
  </r>
  <r>
    <x v="74"/>
    <x v="12"/>
    <x v="3"/>
    <n v="44"/>
    <d v="1899-12-30T00:47:30"/>
    <n v="47.5"/>
  </r>
  <r>
    <x v="74"/>
    <x v="12"/>
    <x v="4"/>
    <n v="14"/>
    <d v="1899-12-30T00:24:51"/>
    <n v="24.85"/>
  </r>
  <r>
    <x v="74"/>
    <x v="12"/>
    <x v="5"/>
    <n v="52"/>
    <d v="1899-12-30T01:11:29"/>
    <n v="71.483333333333334"/>
  </r>
  <r>
    <x v="74"/>
    <x v="13"/>
    <x v="0"/>
    <n v="41"/>
    <d v="1899-12-30T00:45:16"/>
    <n v="45.266666666666666"/>
  </r>
  <r>
    <x v="74"/>
    <x v="13"/>
    <x v="1"/>
    <n v="42"/>
    <d v="1899-12-30T00:39:20"/>
    <n v="39.333333333333336"/>
  </r>
  <r>
    <x v="74"/>
    <x v="13"/>
    <x v="2"/>
    <n v="15"/>
    <d v="1899-12-30T00:16:30"/>
    <n v="16.5"/>
  </r>
  <r>
    <x v="74"/>
    <x v="13"/>
    <x v="3"/>
    <n v="5"/>
    <d v="1899-12-30T00:05:39"/>
    <n v="5.65"/>
  </r>
  <r>
    <x v="74"/>
    <x v="13"/>
    <x v="4"/>
    <n v="0"/>
    <d v="1899-12-30T00:00:00"/>
    <n v="0"/>
  </r>
  <r>
    <x v="74"/>
    <x v="13"/>
    <x v="5"/>
    <n v="17"/>
    <d v="1899-12-30T00:14:42"/>
    <n v="14.7"/>
  </r>
  <r>
    <x v="75"/>
    <x v="0"/>
    <x v="0"/>
    <n v="22"/>
    <d v="1899-12-30T00:29:00"/>
    <n v="29"/>
  </r>
  <r>
    <x v="75"/>
    <x v="0"/>
    <x v="1"/>
    <n v="20"/>
    <d v="1899-12-30T00:20:39"/>
    <n v="20.65"/>
  </r>
  <r>
    <x v="75"/>
    <x v="0"/>
    <x v="2"/>
    <n v="15"/>
    <d v="1899-12-30T00:13:27"/>
    <n v="13.45"/>
  </r>
  <r>
    <x v="75"/>
    <x v="0"/>
    <x v="3"/>
    <n v="12"/>
    <d v="1899-12-30T00:15:21"/>
    <n v="15.35"/>
  </r>
  <r>
    <x v="75"/>
    <x v="0"/>
    <x v="4"/>
    <n v="5"/>
    <d v="1899-12-30T00:06:44"/>
    <n v="6.7333333333333334"/>
  </r>
  <r>
    <x v="75"/>
    <x v="0"/>
    <x v="5"/>
    <n v="16"/>
    <d v="1899-12-30T00:15:15"/>
    <n v="15.25"/>
  </r>
  <r>
    <x v="75"/>
    <x v="1"/>
    <x v="0"/>
    <n v="56"/>
    <d v="1899-12-30T01:32:47"/>
    <n v="92.783333333333331"/>
  </r>
  <r>
    <x v="75"/>
    <x v="1"/>
    <x v="1"/>
    <n v="40"/>
    <d v="1899-12-30T01:09:23"/>
    <n v="69.38333333333334"/>
  </r>
  <r>
    <x v="75"/>
    <x v="1"/>
    <x v="2"/>
    <n v="24"/>
    <d v="1899-12-30T00:49:03"/>
    <n v="49.05"/>
  </r>
  <r>
    <x v="75"/>
    <x v="1"/>
    <x v="3"/>
    <n v="7"/>
    <d v="1899-12-30T00:07:10"/>
    <n v="7.166666666666667"/>
  </r>
  <r>
    <x v="75"/>
    <x v="1"/>
    <x v="4"/>
    <n v="55"/>
    <d v="1899-12-30T02:23:12"/>
    <n v="143.19999999999999"/>
  </r>
  <r>
    <x v="75"/>
    <x v="1"/>
    <x v="5"/>
    <n v="46"/>
    <d v="1899-12-30T01:07:18"/>
    <n v="67.3"/>
  </r>
  <r>
    <x v="75"/>
    <x v="2"/>
    <x v="0"/>
    <n v="49"/>
    <d v="1899-12-30T01:18:25"/>
    <n v="78.416666666666671"/>
  </r>
  <r>
    <x v="75"/>
    <x v="2"/>
    <x v="1"/>
    <n v="48"/>
    <d v="1899-12-30T01:19:43"/>
    <n v="79.716666666666669"/>
  </r>
  <r>
    <x v="75"/>
    <x v="2"/>
    <x v="2"/>
    <n v="32"/>
    <d v="1899-12-30T00:57:24"/>
    <n v="57.4"/>
  </r>
  <r>
    <x v="75"/>
    <x v="2"/>
    <x v="3"/>
    <n v="21"/>
    <d v="1899-12-30T00:25:36"/>
    <n v="25.6"/>
  </r>
  <r>
    <x v="75"/>
    <x v="2"/>
    <x v="4"/>
    <n v="13"/>
    <d v="1899-12-30T00:27:29"/>
    <n v="27.483333333333334"/>
  </r>
  <r>
    <x v="75"/>
    <x v="2"/>
    <x v="5"/>
    <n v="29"/>
    <d v="1899-12-30T00:43:00"/>
    <n v="43"/>
  </r>
  <r>
    <x v="75"/>
    <x v="3"/>
    <x v="0"/>
    <n v="10"/>
    <d v="1899-12-30T00:16:58"/>
    <n v="16.966666666666665"/>
  </r>
  <r>
    <x v="75"/>
    <x v="3"/>
    <x v="1"/>
    <n v="5"/>
    <d v="1899-12-30T00:10:31"/>
    <n v="10.516666666666667"/>
  </r>
  <r>
    <x v="75"/>
    <x v="3"/>
    <x v="2"/>
    <n v="8"/>
    <d v="1899-12-30T00:13:39"/>
    <n v="13.65"/>
  </r>
  <r>
    <x v="75"/>
    <x v="3"/>
    <x v="3"/>
    <n v="1"/>
    <d v="1899-12-30T00:00:38"/>
    <n v="0.6333333333333333"/>
  </r>
  <r>
    <x v="75"/>
    <x v="3"/>
    <x v="4"/>
    <n v="1"/>
    <d v="1899-12-30T00:02:18"/>
    <n v="2.2999999999999998"/>
  </r>
  <r>
    <x v="75"/>
    <x v="3"/>
    <x v="5"/>
    <n v="1"/>
    <d v="1899-12-30T00:01:36"/>
    <n v="1.6"/>
  </r>
  <r>
    <x v="75"/>
    <x v="4"/>
    <x v="0"/>
    <n v="56"/>
    <d v="1899-12-30T01:13:47"/>
    <n v="73.783333333333331"/>
  </r>
  <r>
    <x v="75"/>
    <x v="4"/>
    <x v="1"/>
    <n v="30"/>
    <d v="1899-12-30T00:38:37"/>
    <n v="38.616666666666667"/>
  </r>
  <r>
    <x v="75"/>
    <x v="4"/>
    <x v="2"/>
    <n v="31"/>
    <d v="1899-12-30T00:45:37"/>
    <n v="45.616666666666667"/>
  </r>
  <r>
    <x v="75"/>
    <x v="4"/>
    <x v="3"/>
    <n v="7"/>
    <d v="1899-12-30T00:07:37"/>
    <n v="7.6166666666666671"/>
  </r>
  <r>
    <x v="75"/>
    <x v="4"/>
    <x v="4"/>
    <n v="19"/>
    <d v="1899-12-30T00:36:40"/>
    <n v="36.666666666666664"/>
  </r>
  <r>
    <x v="75"/>
    <x v="4"/>
    <x v="5"/>
    <n v="21"/>
    <d v="1899-12-30T00:25:06"/>
    <n v="25.1"/>
  </r>
  <r>
    <x v="75"/>
    <x v="5"/>
    <x v="0"/>
    <n v="58"/>
    <d v="1899-12-30T01:14:50"/>
    <n v="74.833333333333329"/>
  </r>
  <r>
    <x v="75"/>
    <x v="5"/>
    <x v="1"/>
    <n v="48"/>
    <d v="1899-12-30T01:01:29"/>
    <n v="61.483333333333334"/>
  </r>
  <r>
    <x v="75"/>
    <x v="5"/>
    <x v="2"/>
    <n v="44"/>
    <d v="1899-12-30T01:03:17"/>
    <n v="63.283333333333331"/>
  </r>
  <r>
    <x v="75"/>
    <x v="5"/>
    <x v="3"/>
    <n v="19"/>
    <d v="1899-12-30T00:17:17"/>
    <n v="17.283333333333335"/>
  </r>
  <r>
    <x v="75"/>
    <x v="5"/>
    <x v="4"/>
    <n v="1"/>
    <d v="1899-12-30T00:01:16"/>
    <n v="1.2666666666666666"/>
  </r>
  <r>
    <x v="75"/>
    <x v="5"/>
    <x v="5"/>
    <n v="48"/>
    <d v="1899-12-30T01:02:37"/>
    <n v="62.616666666666667"/>
  </r>
  <r>
    <x v="75"/>
    <x v="6"/>
    <x v="0"/>
    <n v="6"/>
    <d v="1899-12-30T00:08:04"/>
    <n v="8.0666666666666664"/>
  </r>
  <r>
    <x v="75"/>
    <x v="6"/>
    <x v="1"/>
    <n v="5"/>
    <d v="1899-12-30T00:07:07"/>
    <n v="7.1166666666666663"/>
  </r>
  <r>
    <x v="75"/>
    <x v="6"/>
    <x v="2"/>
    <n v="3"/>
    <d v="1899-12-30T00:05:39"/>
    <n v="5.65"/>
  </r>
  <r>
    <x v="75"/>
    <x v="6"/>
    <x v="3"/>
    <n v="1"/>
    <d v="1899-12-30T00:00:18"/>
    <n v="0.3"/>
  </r>
  <r>
    <x v="75"/>
    <x v="6"/>
    <x v="4"/>
    <n v="6"/>
    <d v="1899-12-30T00:06:28"/>
    <n v="6.4666666666666668"/>
  </r>
  <r>
    <x v="75"/>
    <x v="6"/>
    <x v="5"/>
    <n v="3"/>
    <d v="1899-12-30T00:03:23"/>
    <n v="3.3833333333333333"/>
  </r>
  <r>
    <x v="75"/>
    <x v="7"/>
    <x v="0"/>
    <n v="115"/>
    <d v="1899-12-30T02:31:32"/>
    <n v="151.53333333333333"/>
  </r>
  <r>
    <x v="75"/>
    <x v="7"/>
    <x v="1"/>
    <n v="184"/>
    <d v="1899-12-30T03:43:33"/>
    <n v="223.55"/>
  </r>
  <r>
    <x v="75"/>
    <x v="7"/>
    <x v="2"/>
    <n v="114"/>
    <d v="1899-12-30T02:12:03"/>
    <n v="132.05000000000001"/>
  </r>
  <r>
    <x v="75"/>
    <x v="7"/>
    <x v="3"/>
    <n v="91"/>
    <d v="1899-12-30T01:26:38"/>
    <n v="86.63333333333334"/>
  </r>
  <r>
    <x v="75"/>
    <x v="7"/>
    <x v="4"/>
    <n v="163"/>
    <d v="1899-12-30T04:16:00"/>
    <n v="256"/>
  </r>
  <r>
    <x v="75"/>
    <x v="7"/>
    <x v="5"/>
    <n v="64"/>
    <d v="1899-12-30T01:05:20"/>
    <n v="65.333333333333329"/>
  </r>
  <r>
    <x v="75"/>
    <x v="8"/>
    <x v="0"/>
    <n v="18"/>
    <d v="1899-12-30T00:27:25"/>
    <n v="27.416666666666668"/>
  </r>
  <r>
    <x v="75"/>
    <x v="8"/>
    <x v="1"/>
    <n v="22"/>
    <d v="1899-12-30T00:38:34"/>
    <n v="38.56666666666667"/>
  </r>
  <r>
    <x v="75"/>
    <x v="8"/>
    <x v="2"/>
    <n v="21"/>
    <d v="1899-12-30T00:32:11"/>
    <n v="32.18333333333333"/>
  </r>
  <r>
    <x v="75"/>
    <x v="8"/>
    <x v="3"/>
    <n v="16"/>
    <d v="1899-12-30T00:16:04"/>
    <n v="16.066666666666666"/>
  </r>
  <r>
    <x v="75"/>
    <x v="8"/>
    <x v="4"/>
    <n v="8"/>
    <d v="1899-12-30T00:10:12"/>
    <n v="10.199999999999999"/>
  </r>
  <r>
    <x v="75"/>
    <x v="8"/>
    <x v="5"/>
    <n v="22"/>
    <d v="1899-12-30T00:22:47"/>
    <n v="22.783333333333335"/>
  </r>
  <r>
    <x v="75"/>
    <x v="9"/>
    <x v="0"/>
    <n v="22"/>
    <d v="1899-12-30T00:29:36"/>
    <n v="29.6"/>
  </r>
  <r>
    <x v="75"/>
    <x v="9"/>
    <x v="1"/>
    <n v="43"/>
    <d v="1899-12-30T01:11:01"/>
    <n v="71.016666666666666"/>
  </r>
  <r>
    <x v="75"/>
    <x v="9"/>
    <x v="2"/>
    <n v="34"/>
    <d v="1899-12-30T00:43:14"/>
    <n v="43.233333333333334"/>
  </r>
  <r>
    <x v="75"/>
    <x v="9"/>
    <x v="3"/>
    <n v="15"/>
    <d v="1899-12-30T00:16:32"/>
    <n v="16.533333333333335"/>
  </r>
  <r>
    <x v="75"/>
    <x v="9"/>
    <x v="4"/>
    <n v="3"/>
    <d v="1899-12-30T00:03:52"/>
    <n v="3.8666666666666667"/>
  </r>
  <r>
    <x v="75"/>
    <x v="9"/>
    <x v="5"/>
    <n v="16"/>
    <d v="1899-12-30T00:17:51"/>
    <n v="17.850000000000001"/>
  </r>
  <r>
    <x v="75"/>
    <x v="10"/>
    <x v="0"/>
    <n v="18"/>
    <d v="1899-12-30T00:38:13"/>
    <n v="38.216666666666669"/>
  </r>
  <r>
    <x v="75"/>
    <x v="10"/>
    <x v="1"/>
    <n v="19"/>
    <d v="1899-12-30T00:31:55"/>
    <n v="31.916666666666668"/>
  </r>
  <r>
    <x v="75"/>
    <x v="10"/>
    <x v="2"/>
    <n v="25"/>
    <d v="1899-12-30T00:44:51"/>
    <n v="44.85"/>
  </r>
  <r>
    <x v="75"/>
    <x v="10"/>
    <x v="3"/>
    <n v="7"/>
    <d v="1899-12-30T00:07:15"/>
    <n v="7.25"/>
  </r>
  <r>
    <x v="75"/>
    <x v="10"/>
    <x v="4"/>
    <n v="1"/>
    <d v="1899-12-30T00:03:26"/>
    <n v="3.4333333333333336"/>
  </r>
  <r>
    <x v="75"/>
    <x v="10"/>
    <x v="5"/>
    <n v="22"/>
    <d v="1899-12-30T00:33:51"/>
    <n v="33.85"/>
  </r>
  <r>
    <x v="75"/>
    <x v="11"/>
    <x v="0"/>
    <n v="12"/>
    <d v="1899-12-30T00:21:50"/>
    <n v="21.833333333333332"/>
  </r>
  <r>
    <x v="75"/>
    <x v="11"/>
    <x v="1"/>
    <n v="10"/>
    <d v="1899-12-30T00:21:51"/>
    <n v="21.85"/>
  </r>
  <r>
    <x v="75"/>
    <x v="11"/>
    <x v="2"/>
    <n v="11"/>
    <d v="1899-12-30T00:22:42"/>
    <n v="22.7"/>
  </r>
  <r>
    <x v="75"/>
    <x v="11"/>
    <x v="3"/>
    <n v="6"/>
    <d v="1899-12-30T00:06:58"/>
    <n v="6.9666666666666668"/>
  </r>
  <r>
    <x v="75"/>
    <x v="11"/>
    <x v="4"/>
    <n v="12"/>
    <d v="1899-12-30T00:24:49"/>
    <n v="24.816666666666666"/>
  </r>
  <r>
    <x v="75"/>
    <x v="11"/>
    <x v="5"/>
    <n v="6"/>
    <d v="1899-12-30T00:08:48"/>
    <n v="8.8000000000000007"/>
  </r>
  <r>
    <x v="75"/>
    <x v="12"/>
    <x v="0"/>
    <n v="122"/>
    <d v="1899-12-30T03:23:04"/>
    <n v="203.06666666666666"/>
  </r>
  <r>
    <x v="75"/>
    <x v="12"/>
    <x v="1"/>
    <n v="101"/>
    <d v="1899-12-30T02:54:19"/>
    <n v="174.31666666666666"/>
  </r>
  <r>
    <x v="75"/>
    <x v="12"/>
    <x v="2"/>
    <n v="75"/>
    <d v="1899-12-30T02:02:37"/>
    <n v="122.61666666666666"/>
  </r>
  <r>
    <x v="75"/>
    <x v="12"/>
    <x v="3"/>
    <n v="37"/>
    <d v="1899-12-30T00:44:32"/>
    <n v="44.533333333333331"/>
  </r>
  <r>
    <x v="75"/>
    <x v="12"/>
    <x v="4"/>
    <n v="28"/>
    <d v="1899-12-30T01:03:24"/>
    <n v="63.4"/>
  </r>
  <r>
    <x v="75"/>
    <x v="12"/>
    <x v="5"/>
    <n v="95"/>
    <d v="1899-12-30T02:01:08"/>
    <n v="121.13333333333334"/>
  </r>
  <r>
    <x v="75"/>
    <x v="13"/>
    <x v="0"/>
    <n v="37"/>
    <d v="1899-12-30T00:39:27"/>
    <n v="39.450000000000003"/>
  </r>
  <r>
    <x v="75"/>
    <x v="13"/>
    <x v="1"/>
    <n v="32"/>
    <d v="1899-12-30T00:32:33"/>
    <n v="32.549999999999997"/>
  </r>
  <r>
    <x v="75"/>
    <x v="13"/>
    <x v="2"/>
    <n v="16"/>
    <d v="1899-12-30T00:18:03"/>
    <n v="18.05"/>
  </r>
  <r>
    <x v="75"/>
    <x v="13"/>
    <x v="3"/>
    <n v="2"/>
    <d v="1899-12-30T00:02:16"/>
    <n v="2.2666666666666666"/>
  </r>
  <r>
    <x v="75"/>
    <x v="13"/>
    <x v="4"/>
    <n v="1"/>
    <d v="1899-12-30T00:01:57"/>
    <n v="1.95"/>
  </r>
  <r>
    <x v="75"/>
    <x v="13"/>
    <x v="5"/>
    <n v="10"/>
    <d v="1899-12-30T00:10:34"/>
    <n v="10.566666666666666"/>
  </r>
  <r>
    <x v="76"/>
    <x v="0"/>
    <x v="0"/>
    <n v="44"/>
    <d v="1899-12-30T01:02:58"/>
    <n v="62.966666666666669"/>
  </r>
  <r>
    <x v="76"/>
    <x v="0"/>
    <x v="1"/>
    <n v="33"/>
    <d v="1899-12-30T00:40:27"/>
    <n v="40.450000000000003"/>
  </r>
  <r>
    <x v="76"/>
    <x v="0"/>
    <x v="2"/>
    <n v="22"/>
    <d v="1899-12-30T00:28:27"/>
    <n v="28.45"/>
  </r>
  <r>
    <x v="76"/>
    <x v="0"/>
    <x v="3"/>
    <n v="21"/>
    <d v="1899-12-30T00:19:00"/>
    <n v="19"/>
  </r>
  <r>
    <x v="76"/>
    <x v="0"/>
    <x v="4"/>
    <n v="4"/>
    <d v="1899-12-30T00:03:42"/>
    <n v="3.7"/>
  </r>
  <r>
    <x v="76"/>
    <x v="0"/>
    <x v="5"/>
    <n v="17"/>
    <d v="1899-12-30T00:16:55"/>
    <n v="16.916666666666668"/>
  </r>
  <r>
    <x v="76"/>
    <x v="1"/>
    <x v="0"/>
    <n v="57"/>
    <d v="1899-12-30T01:18:34"/>
    <n v="78.566666666666663"/>
  </r>
  <r>
    <x v="76"/>
    <x v="1"/>
    <x v="1"/>
    <n v="52"/>
    <d v="1899-12-30T01:37:32"/>
    <n v="97.533333333333331"/>
  </r>
  <r>
    <x v="76"/>
    <x v="1"/>
    <x v="2"/>
    <n v="33"/>
    <d v="1899-12-30T00:59:52"/>
    <n v="59.866666666666667"/>
  </r>
  <r>
    <x v="76"/>
    <x v="1"/>
    <x v="3"/>
    <n v="5"/>
    <d v="1899-12-30T00:05:41"/>
    <n v="5.6833333333333336"/>
  </r>
  <r>
    <x v="76"/>
    <x v="1"/>
    <x v="4"/>
    <n v="92"/>
    <d v="1899-12-30T03:21:37"/>
    <n v="201.61666666666667"/>
  </r>
  <r>
    <x v="76"/>
    <x v="1"/>
    <x v="5"/>
    <n v="50"/>
    <d v="1899-12-30T01:00:34"/>
    <n v="60.56666666666667"/>
  </r>
  <r>
    <x v="76"/>
    <x v="2"/>
    <x v="0"/>
    <n v="44"/>
    <d v="1899-12-30T01:06:28"/>
    <n v="66.466666666666669"/>
  </r>
  <r>
    <x v="76"/>
    <x v="2"/>
    <x v="1"/>
    <n v="27"/>
    <d v="1899-12-30T00:44:43"/>
    <n v="44.716666666666669"/>
  </r>
  <r>
    <x v="76"/>
    <x v="2"/>
    <x v="2"/>
    <n v="26"/>
    <d v="1899-12-30T00:49:55"/>
    <n v="49.916666666666664"/>
  </r>
  <r>
    <x v="76"/>
    <x v="2"/>
    <x v="3"/>
    <n v="15"/>
    <d v="1899-12-30T00:19:46"/>
    <n v="19.766666666666666"/>
  </r>
  <r>
    <x v="76"/>
    <x v="2"/>
    <x v="4"/>
    <n v="16"/>
    <d v="1899-12-30T00:34:50"/>
    <n v="34.833333333333336"/>
  </r>
  <r>
    <x v="76"/>
    <x v="2"/>
    <x v="5"/>
    <n v="21"/>
    <d v="1899-12-30T00:37:54"/>
    <n v="37.9"/>
  </r>
  <r>
    <x v="76"/>
    <x v="3"/>
    <x v="0"/>
    <n v="20"/>
    <d v="1899-12-30T00:35:54"/>
    <n v="35.9"/>
  </r>
  <r>
    <x v="76"/>
    <x v="3"/>
    <x v="1"/>
    <n v="18"/>
    <d v="1899-12-30T00:38:48"/>
    <n v="38.799999999999997"/>
  </r>
  <r>
    <x v="76"/>
    <x v="3"/>
    <x v="2"/>
    <n v="11"/>
    <d v="1899-12-30T00:18:20"/>
    <n v="18.333333333333332"/>
  </r>
  <r>
    <x v="76"/>
    <x v="3"/>
    <x v="3"/>
    <n v="3"/>
    <d v="1899-12-30T00:02:43"/>
    <n v="2.7166666666666668"/>
  </r>
  <r>
    <x v="76"/>
    <x v="3"/>
    <x v="4"/>
    <n v="3"/>
    <d v="1899-12-30T00:08:53"/>
    <n v="8.8833333333333329"/>
  </r>
  <r>
    <x v="76"/>
    <x v="3"/>
    <x v="5"/>
    <n v="10"/>
    <d v="1899-12-30T00:13:50"/>
    <n v="13.833333333333334"/>
  </r>
  <r>
    <x v="76"/>
    <x v="4"/>
    <x v="0"/>
    <n v="48"/>
    <d v="1899-12-30T01:11:13"/>
    <n v="71.216666666666669"/>
  </r>
  <r>
    <x v="76"/>
    <x v="4"/>
    <x v="1"/>
    <n v="44"/>
    <d v="1899-12-30T01:01:39"/>
    <n v="61.65"/>
  </r>
  <r>
    <x v="76"/>
    <x v="4"/>
    <x v="2"/>
    <n v="27"/>
    <d v="1899-12-30T00:38:55"/>
    <n v="38.916666666666664"/>
  </r>
  <r>
    <x v="76"/>
    <x v="4"/>
    <x v="3"/>
    <n v="15"/>
    <d v="1899-12-30T00:14:47"/>
    <n v="14.783333333333333"/>
  </r>
  <r>
    <x v="76"/>
    <x v="4"/>
    <x v="4"/>
    <n v="21"/>
    <d v="1899-12-30T00:31:21"/>
    <n v="31.35"/>
  </r>
  <r>
    <x v="76"/>
    <x v="4"/>
    <x v="5"/>
    <n v="31"/>
    <d v="1899-12-30T00:32:06"/>
    <n v="32.1"/>
  </r>
  <r>
    <x v="76"/>
    <x v="5"/>
    <x v="0"/>
    <n v="27"/>
    <d v="1899-12-30T00:33:32"/>
    <n v="33.533333333333331"/>
  </r>
  <r>
    <x v="76"/>
    <x v="5"/>
    <x v="1"/>
    <n v="20"/>
    <d v="1899-12-30T00:28:49"/>
    <n v="28.816666666666666"/>
  </r>
  <r>
    <x v="76"/>
    <x v="5"/>
    <x v="2"/>
    <n v="25"/>
    <d v="1899-12-30T00:26:24"/>
    <n v="26.4"/>
  </r>
  <r>
    <x v="76"/>
    <x v="5"/>
    <x v="3"/>
    <n v="8"/>
    <d v="1899-12-30T00:08:18"/>
    <n v="8.3000000000000007"/>
  </r>
  <r>
    <x v="76"/>
    <x v="5"/>
    <x v="4"/>
    <n v="1"/>
    <d v="1899-12-30T00:01:26"/>
    <n v="1.4333333333333333"/>
  </r>
  <r>
    <x v="76"/>
    <x v="5"/>
    <x v="5"/>
    <n v="35"/>
    <d v="1899-12-30T00:34:57"/>
    <n v="34.950000000000003"/>
  </r>
  <r>
    <x v="76"/>
    <x v="6"/>
    <x v="0"/>
    <n v="16"/>
    <d v="1899-12-30T00:22:16"/>
    <n v="22.266666666666666"/>
  </r>
  <r>
    <x v="76"/>
    <x v="6"/>
    <x v="1"/>
    <n v="15"/>
    <d v="1899-12-30T00:17:59"/>
    <n v="17.983333333333334"/>
  </r>
  <r>
    <x v="76"/>
    <x v="6"/>
    <x v="2"/>
    <n v="15"/>
    <d v="1899-12-30T00:23:57"/>
    <n v="23.95"/>
  </r>
  <r>
    <x v="76"/>
    <x v="6"/>
    <x v="3"/>
    <n v="5"/>
    <d v="1899-12-30T00:06:14"/>
    <n v="6.2333333333333334"/>
  </r>
  <r>
    <x v="76"/>
    <x v="6"/>
    <x v="4"/>
    <n v="10"/>
    <d v="1899-12-30T00:17:38"/>
    <n v="17.633333333333333"/>
  </r>
  <r>
    <x v="76"/>
    <x v="6"/>
    <x v="5"/>
    <n v="10"/>
    <d v="1899-12-30T00:09:03"/>
    <n v="9.0500000000000007"/>
  </r>
  <r>
    <x v="76"/>
    <x v="7"/>
    <x v="0"/>
    <n v="120"/>
    <d v="1899-12-30T02:45:12"/>
    <n v="165.2"/>
  </r>
  <r>
    <x v="76"/>
    <x v="7"/>
    <x v="1"/>
    <n v="157"/>
    <d v="1899-12-30T02:52:08"/>
    <n v="172.13333333333333"/>
  </r>
  <r>
    <x v="76"/>
    <x v="7"/>
    <x v="2"/>
    <n v="128"/>
    <d v="1899-12-30T02:40:53"/>
    <n v="160.88333333333333"/>
  </r>
  <r>
    <x v="76"/>
    <x v="7"/>
    <x v="3"/>
    <n v="86"/>
    <d v="1899-12-30T01:29:07"/>
    <n v="89.11666666666666"/>
  </r>
  <r>
    <x v="76"/>
    <x v="7"/>
    <x v="4"/>
    <n v="172"/>
    <d v="1899-12-30T04:27:22"/>
    <n v="267.36666666666667"/>
  </r>
  <r>
    <x v="76"/>
    <x v="7"/>
    <x v="5"/>
    <n v="94"/>
    <d v="1899-12-30T01:19:45"/>
    <n v="79.75"/>
  </r>
  <r>
    <x v="76"/>
    <x v="8"/>
    <x v="0"/>
    <n v="131"/>
    <d v="1899-12-30T03:31:52"/>
    <n v="211.86666666666667"/>
  </r>
  <r>
    <x v="76"/>
    <x v="8"/>
    <x v="1"/>
    <n v="130"/>
    <d v="1899-12-30T03:05:54"/>
    <n v="185.9"/>
  </r>
  <r>
    <x v="76"/>
    <x v="8"/>
    <x v="2"/>
    <n v="81"/>
    <d v="1899-12-30T02:12:01"/>
    <n v="132.01666666666668"/>
  </r>
  <r>
    <x v="76"/>
    <x v="8"/>
    <x v="3"/>
    <n v="51"/>
    <d v="1899-12-30T01:02:54"/>
    <n v="62.9"/>
  </r>
  <r>
    <x v="76"/>
    <x v="8"/>
    <x v="4"/>
    <n v="25"/>
    <d v="1899-12-30T00:40:28"/>
    <n v="40.466666666666669"/>
  </r>
  <r>
    <x v="76"/>
    <x v="8"/>
    <x v="5"/>
    <n v="78"/>
    <d v="1899-12-30T01:35:35"/>
    <n v="95.583333333333329"/>
  </r>
  <r>
    <x v="76"/>
    <x v="9"/>
    <x v="0"/>
    <n v="64"/>
    <d v="1899-12-30T01:40:28"/>
    <n v="100.46666666666667"/>
  </r>
  <r>
    <x v="76"/>
    <x v="9"/>
    <x v="1"/>
    <n v="71"/>
    <d v="1899-12-30T01:58:19"/>
    <n v="118.31666666666666"/>
  </r>
  <r>
    <x v="76"/>
    <x v="9"/>
    <x v="2"/>
    <n v="48"/>
    <d v="1899-12-30T01:10:15"/>
    <n v="70.25"/>
  </r>
  <r>
    <x v="76"/>
    <x v="9"/>
    <x v="3"/>
    <n v="29"/>
    <d v="1899-12-30T00:34:57"/>
    <n v="34.950000000000003"/>
  </r>
  <r>
    <x v="76"/>
    <x v="9"/>
    <x v="4"/>
    <n v="4"/>
    <d v="1899-12-30T00:10:12"/>
    <n v="10.199999999999999"/>
  </r>
  <r>
    <x v="76"/>
    <x v="9"/>
    <x v="5"/>
    <n v="44"/>
    <d v="1899-12-30T00:44:33"/>
    <n v="44.55"/>
  </r>
  <r>
    <x v="76"/>
    <x v="10"/>
    <x v="0"/>
    <n v="36"/>
    <d v="1899-12-30T01:00:14"/>
    <n v="60.233333333333334"/>
  </r>
  <r>
    <x v="76"/>
    <x v="10"/>
    <x v="1"/>
    <n v="44"/>
    <d v="1899-12-30T01:19:06"/>
    <n v="79.099999999999994"/>
  </r>
  <r>
    <x v="76"/>
    <x v="10"/>
    <x v="2"/>
    <n v="36"/>
    <d v="1899-12-30T01:04:24"/>
    <n v="64.400000000000006"/>
  </r>
  <r>
    <x v="76"/>
    <x v="10"/>
    <x v="3"/>
    <n v="15"/>
    <d v="1899-12-30T00:18:09"/>
    <n v="18.149999999999999"/>
  </r>
  <r>
    <x v="76"/>
    <x v="10"/>
    <x v="4"/>
    <n v="7"/>
    <d v="1899-12-30T00:10:08"/>
    <n v="10.133333333333333"/>
  </r>
  <r>
    <x v="76"/>
    <x v="10"/>
    <x v="5"/>
    <n v="35"/>
    <d v="1899-12-30T00:49:15"/>
    <n v="49.25"/>
  </r>
  <r>
    <x v="76"/>
    <x v="11"/>
    <x v="0"/>
    <n v="11"/>
    <d v="1899-12-30T00:15:12"/>
    <n v="15.2"/>
  </r>
  <r>
    <x v="76"/>
    <x v="11"/>
    <x v="1"/>
    <n v="6"/>
    <d v="1899-12-30T00:09:05"/>
    <n v="9.0833333333333339"/>
  </r>
  <r>
    <x v="76"/>
    <x v="11"/>
    <x v="2"/>
    <n v="6"/>
    <d v="1899-12-30T00:12:54"/>
    <n v="12.9"/>
  </r>
  <r>
    <x v="76"/>
    <x v="11"/>
    <x v="3"/>
    <n v="2"/>
    <d v="1899-12-30T00:01:46"/>
    <n v="1.7666666666666666"/>
  </r>
  <r>
    <x v="76"/>
    <x v="11"/>
    <x v="4"/>
    <n v="0"/>
    <d v="1899-12-30T00:00:00"/>
    <n v="0"/>
  </r>
  <r>
    <x v="76"/>
    <x v="11"/>
    <x v="5"/>
    <n v="8"/>
    <d v="1899-12-30T00:10:47"/>
    <n v="10.783333333333333"/>
  </r>
  <r>
    <x v="76"/>
    <x v="12"/>
    <x v="0"/>
    <n v="114"/>
    <d v="1899-12-30T02:55:21"/>
    <n v="175.35"/>
  </r>
  <r>
    <x v="76"/>
    <x v="12"/>
    <x v="1"/>
    <n v="87"/>
    <d v="1899-12-30T02:33:08"/>
    <n v="153.13333333333333"/>
  </r>
  <r>
    <x v="76"/>
    <x v="12"/>
    <x v="2"/>
    <n v="61"/>
    <d v="1899-12-30T01:38:11"/>
    <n v="98.183333333333337"/>
  </r>
  <r>
    <x v="76"/>
    <x v="12"/>
    <x v="3"/>
    <n v="32"/>
    <d v="1899-12-30T00:33:29"/>
    <n v="33.483333333333334"/>
  </r>
  <r>
    <x v="76"/>
    <x v="12"/>
    <x v="4"/>
    <n v="38"/>
    <d v="1899-12-30T01:05:36"/>
    <n v="65.599999999999994"/>
  </r>
  <r>
    <x v="76"/>
    <x v="12"/>
    <x v="5"/>
    <n v="99"/>
    <d v="1899-12-30T01:59:41"/>
    <n v="119.68333333333334"/>
  </r>
  <r>
    <x v="76"/>
    <x v="13"/>
    <x v="0"/>
    <n v="59"/>
    <d v="1899-12-30T01:20:01"/>
    <n v="80.016666666666666"/>
  </r>
  <r>
    <x v="76"/>
    <x v="13"/>
    <x v="1"/>
    <n v="72"/>
    <d v="1899-12-30T01:18:59"/>
    <n v="78.983333333333334"/>
  </r>
  <r>
    <x v="76"/>
    <x v="13"/>
    <x v="2"/>
    <n v="41"/>
    <d v="1899-12-30T00:49:18"/>
    <n v="49.3"/>
  </r>
  <r>
    <x v="76"/>
    <x v="13"/>
    <x v="3"/>
    <n v="13"/>
    <d v="1899-12-30T00:14:33"/>
    <n v="14.55"/>
  </r>
  <r>
    <x v="76"/>
    <x v="13"/>
    <x v="4"/>
    <n v="8"/>
    <d v="1899-12-30T00:14:31"/>
    <n v="14.516666666666667"/>
  </r>
  <r>
    <x v="76"/>
    <x v="13"/>
    <x v="5"/>
    <n v="41"/>
    <d v="1899-12-30T00:36:17"/>
    <n v="36.283333333333331"/>
  </r>
  <r>
    <x v="77"/>
    <x v="0"/>
    <x v="0"/>
    <n v="22"/>
    <d v="1899-12-30T00:27:46"/>
    <n v="27.766666666666666"/>
  </r>
  <r>
    <x v="77"/>
    <x v="0"/>
    <x v="1"/>
    <n v="26"/>
    <d v="1899-12-30T00:29:24"/>
    <n v="29.4"/>
  </r>
  <r>
    <x v="77"/>
    <x v="0"/>
    <x v="2"/>
    <n v="28"/>
    <d v="1899-12-30T00:33:46"/>
    <n v="33.766666666666666"/>
  </r>
  <r>
    <x v="77"/>
    <x v="0"/>
    <x v="3"/>
    <n v="12"/>
    <d v="1899-12-30T00:08:12"/>
    <n v="8.1999999999999993"/>
  </r>
  <r>
    <x v="77"/>
    <x v="0"/>
    <x v="4"/>
    <n v="0"/>
    <d v="1899-12-30T00:00:00"/>
    <n v="0"/>
  </r>
  <r>
    <x v="77"/>
    <x v="0"/>
    <x v="5"/>
    <n v="23"/>
    <d v="1899-12-30T00:27:08"/>
    <n v="27.133333333333333"/>
  </r>
  <r>
    <x v="77"/>
    <x v="1"/>
    <x v="0"/>
    <n v="43"/>
    <d v="1899-12-30T01:19:45"/>
    <n v="79.75"/>
  </r>
  <r>
    <x v="77"/>
    <x v="1"/>
    <x v="1"/>
    <n v="30"/>
    <d v="1899-12-30T00:42:37"/>
    <n v="42.616666666666667"/>
  </r>
  <r>
    <x v="77"/>
    <x v="1"/>
    <x v="2"/>
    <n v="20"/>
    <d v="1899-12-30T00:44:12"/>
    <n v="44.2"/>
  </r>
  <r>
    <x v="77"/>
    <x v="1"/>
    <x v="3"/>
    <n v="5"/>
    <d v="1899-12-30T00:04:09"/>
    <n v="4.1500000000000004"/>
  </r>
  <r>
    <x v="77"/>
    <x v="1"/>
    <x v="4"/>
    <n v="70"/>
    <d v="1899-12-30T02:46:38"/>
    <n v="166.63333333333333"/>
  </r>
  <r>
    <x v="77"/>
    <x v="1"/>
    <x v="5"/>
    <n v="42"/>
    <d v="1899-12-30T00:56:31"/>
    <n v="56.516666666666666"/>
  </r>
  <r>
    <x v="77"/>
    <x v="2"/>
    <x v="0"/>
    <n v="53"/>
    <d v="1899-12-30T01:21:50"/>
    <n v="81.833333333333329"/>
  </r>
  <r>
    <x v="77"/>
    <x v="2"/>
    <x v="1"/>
    <n v="51"/>
    <d v="1899-12-30T01:16:16"/>
    <n v="76.266666666666666"/>
  </r>
  <r>
    <x v="77"/>
    <x v="2"/>
    <x v="2"/>
    <n v="42"/>
    <d v="1899-12-30T01:02:52"/>
    <n v="62.866666666666667"/>
  </r>
  <r>
    <x v="77"/>
    <x v="2"/>
    <x v="3"/>
    <n v="16"/>
    <d v="1899-12-30T00:16:29"/>
    <n v="16.483333333333334"/>
  </r>
  <r>
    <x v="77"/>
    <x v="2"/>
    <x v="4"/>
    <n v="26"/>
    <d v="1899-12-30T00:51:38"/>
    <n v="51.633333333333333"/>
  </r>
  <r>
    <x v="77"/>
    <x v="2"/>
    <x v="5"/>
    <n v="28"/>
    <d v="1899-12-30T00:37:42"/>
    <n v="37.700000000000003"/>
  </r>
  <r>
    <x v="77"/>
    <x v="3"/>
    <x v="0"/>
    <n v="39"/>
    <d v="1899-12-30T01:05:26"/>
    <n v="65.433333333333337"/>
  </r>
  <r>
    <x v="77"/>
    <x v="3"/>
    <x v="1"/>
    <n v="29"/>
    <d v="1899-12-30T00:50:41"/>
    <n v="50.68333333333333"/>
  </r>
  <r>
    <x v="77"/>
    <x v="3"/>
    <x v="2"/>
    <n v="18"/>
    <d v="1899-12-30T00:29:30"/>
    <n v="29.5"/>
  </r>
  <r>
    <x v="77"/>
    <x v="3"/>
    <x v="3"/>
    <n v="15"/>
    <d v="1899-12-30T00:18:00"/>
    <n v="18"/>
  </r>
  <r>
    <x v="77"/>
    <x v="3"/>
    <x v="4"/>
    <n v="0"/>
    <d v="1899-12-30T00:00:00"/>
    <n v="0"/>
  </r>
  <r>
    <x v="77"/>
    <x v="3"/>
    <x v="5"/>
    <n v="21"/>
    <d v="1899-12-30T00:29:07"/>
    <n v="29.116666666666667"/>
  </r>
  <r>
    <x v="77"/>
    <x v="4"/>
    <x v="0"/>
    <n v="38"/>
    <d v="1899-12-30T00:51:39"/>
    <n v="51.65"/>
  </r>
  <r>
    <x v="77"/>
    <x v="4"/>
    <x v="1"/>
    <n v="24"/>
    <d v="1899-12-30T00:38:52"/>
    <n v="38.866666666666667"/>
  </r>
  <r>
    <x v="77"/>
    <x v="4"/>
    <x v="2"/>
    <n v="12"/>
    <d v="1899-12-30T00:16:21"/>
    <n v="16.350000000000001"/>
  </r>
  <r>
    <x v="77"/>
    <x v="4"/>
    <x v="3"/>
    <n v="7"/>
    <d v="1899-12-30T00:06:37"/>
    <n v="6.6166666666666671"/>
  </r>
  <r>
    <x v="77"/>
    <x v="4"/>
    <x v="4"/>
    <n v="11"/>
    <d v="1899-12-30T00:21:21"/>
    <n v="21.35"/>
  </r>
  <r>
    <x v="77"/>
    <x v="4"/>
    <x v="5"/>
    <n v="16"/>
    <d v="1899-12-30T00:22:01"/>
    <n v="22.016666666666666"/>
  </r>
  <r>
    <x v="77"/>
    <x v="5"/>
    <x v="0"/>
    <n v="43"/>
    <d v="1899-12-30T00:57:08"/>
    <n v="57.133333333333333"/>
  </r>
  <r>
    <x v="77"/>
    <x v="5"/>
    <x v="1"/>
    <n v="37"/>
    <d v="1899-12-30T00:53:42"/>
    <n v="53.7"/>
  </r>
  <r>
    <x v="77"/>
    <x v="5"/>
    <x v="2"/>
    <n v="30"/>
    <d v="1899-12-30T00:44:04"/>
    <n v="44.06666666666667"/>
  </r>
  <r>
    <x v="77"/>
    <x v="5"/>
    <x v="3"/>
    <n v="18"/>
    <d v="1899-12-30T00:16:01"/>
    <n v="16.016666666666666"/>
  </r>
  <r>
    <x v="77"/>
    <x v="5"/>
    <x v="4"/>
    <n v="0"/>
    <d v="1899-12-30T00:00:00"/>
    <n v="0"/>
  </r>
  <r>
    <x v="77"/>
    <x v="5"/>
    <x v="5"/>
    <n v="37"/>
    <d v="1899-12-30T00:48:29"/>
    <n v="48.483333333333334"/>
  </r>
  <r>
    <x v="77"/>
    <x v="6"/>
    <x v="0"/>
    <n v="15"/>
    <d v="1899-12-30T00:22:43"/>
    <n v="22.716666666666665"/>
  </r>
  <r>
    <x v="77"/>
    <x v="6"/>
    <x v="1"/>
    <n v="10"/>
    <d v="1899-12-30T00:20:22"/>
    <n v="20.366666666666667"/>
  </r>
  <r>
    <x v="77"/>
    <x v="6"/>
    <x v="2"/>
    <n v="2"/>
    <d v="1899-12-30T00:02:34"/>
    <n v="2.5666666666666664"/>
  </r>
  <r>
    <x v="77"/>
    <x v="6"/>
    <x v="3"/>
    <n v="0"/>
    <d v="1899-12-30T00:00:00"/>
    <n v="0"/>
  </r>
  <r>
    <x v="77"/>
    <x v="6"/>
    <x v="4"/>
    <n v="8"/>
    <d v="1899-12-30T00:16:52"/>
    <n v="16.866666666666667"/>
  </r>
  <r>
    <x v="77"/>
    <x v="6"/>
    <x v="5"/>
    <n v="4"/>
    <d v="1899-12-30T00:03:49"/>
    <n v="3.8166666666666664"/>
  </r>
  <r>
    <x v="77"/>
    <x v="7"/>
    <x v="0"/>
    <n v="74"/>
    <d v="1899-12-30T01:43:35"/>
    <n v="103.58333333333333"/>
  </r>
  <r>
    <x v="77"/>
    <x v="7"/>
    <x v="1"/>
    <n v="118"/>
    <d v="1899-12-30T02:45:03"/>
    <n v="165.05"/>
  </r>
  <r>
    <x v="77"/>
    <x v="7"/>
    <x v="2"/>
    <n v="77"/>
    <d v="1899-12-30T01:32:56"/>
    <n v="92.933333333333337"/>
  </r>
  <r>
    <x v="77"/>
    <x v="7"/>
    <x v="3"/>
    <n v="62"/>
    <d v="1899-12-30T01:00:22"/>
    <n v="60.366666666666667"/>
  </r>
  <r>
    <x v="77"/>
    <x v="7"/>
    <x v="4"/>
    <n v="124"/>
    <d v="1899-12-30T03:20:05"/>
    <n v="200.08333333333334"/>
  </r>
  <r>
    <x v="77"/>
    <x v="7"/>
    <x v="5"/>
    <n v="44"/>
    <d v="1899-12-30T00:38:53"/>
    <n v="38.883333333333333"/>
  </r>
  <r>
    <x v="77"/>
    <x v="8"/>
    <x v="0"/>
    <n v="62"/>
    <d v="1899-12-30T01:34:10"/>
    <n v="94.166666666666671"/>
  </r>
  <r>
    <x v="77"/>
    <x v="8"/>
    <x v="1"/>
    <n v="65"/>
    <d v="1899-12-30T01:43:19"/>
    <n v="103.31666666666666"/>
  </r>
  <r>
    <x v="77"/>
    <x v="8"/>
    <x v="2"/>
    <n v="45"/>
    <d v="1899-12-30T01:09:53"/>
    <n v="69.88333333333334"/>
  </r>
  <r>
    <x v="77"/>
    <x v="8"/>
    <x v="3"/>
    <n v="40"/>
    <d v="1899-12-30T00:45:23"/>
    <n v="45.383333333333333"/>
  </r>
  <r>
    <x v="77"/>
    <x v="8"/>
    <x v="4"/>
    <n v="11"/>
    <d v="1899-12-30T00:24:28"/>
    <n v="24.466666666666665"/>
  </r>
  <r>
    <x v="77"/>
    <x v="8"/>
    <x v="5"/>
    <n v="55"/>
    <d v="1899-12-30T01:06:10"/>
    <n v="66.166666666666671"/>
  </r>
  <r>
    <x v="77"/>
    <x v="9"/>
    <x v="0"/>
    <n v="50"/>
    <d v="1899-12-30T01:08:25"/>
    <n v="68.416666666666671"/>
  </r>
  <r>
    <x v="77"/>
    <x v="9"/>
    <x v="1"/>
    <n v="74"/>
    <d v="1899-12-30T01:32:35"/>
    <n v="92.583333333333329"/>
  </r>
  <r>
    <x v="77"/>
    <x v="9"/>
    <x v="2"/>
    <n v="48"/>
    <d v="1899-12-30T01:09:59"/>
    <n v="69.983333333333334"/>
  </r>
  <r>
    <x v="77"/>
    <x v="9"/>
    <x v="3"/>
    <n v="24"/>
    <d v="1899-12-30T00:26:05"/>
    <n v="26.083333333333332"/>
  </r>
  <r>
    <x v="77"/>
    <x v="9"/>
    <x v="4"/>
    <n v="5"/>
    <d v="1899-12-30T00:10:16"/>
    <n v="10.266666666666667"/>
  </r>
  <r>
    <x v="77"/>
    <x v="9"/>
    <x v="5"/>
    <n v="37"/>
    <d v="1899-12-30T00:32:52"/>
    <n v="32.866666666666667"/>
  </r>
  <r>
    <x v="77"/>
    <x v="10"/>
    <x v="0"/>
    <n v="48"/>
    <d v="1899-12-30T01:09:52"/>
    <n v="69.86666666666666"/>
  </r>
  <r>
    <x v="77"/>
    <x v="10"/>
    <x v="1"/>
    <n v="38"/>
    <d v="1899-12-30T00:57:34"/>
    <n v="57.56666666666667"/>
  </r>
  <r>
    <x v="77"/>
    <x v="10"/>
    <x v="2"/>
    <n v="31"/>
    <d v="1899-12-30T00:46:22"/>
    <n v="46.366666666666667"/>
  </r>
  <r>
    <x v="77"/>
    <x v="10"/>
    <x v="3"/>
    <n v="11"/>
    <d v="1899-12-30T00:15:18"/>
    <n v="15.3"/>
  </r>
  <r>
    <x v="77"/>
    <x v="10"/>
    <x v="4"/>
    <n v="7"/>
    <d v="1899-12-30T00:12:24"/>
    <n v="12.4"/>
  </r>
  <r>
    <x v="77"/>
    <x v="10"/>
    <x v="5"/>
    <n v="42"/>
    <d v="1899-12-30T00:49:39"/>
    <n v="49.65"/>
  </r>
  <r>
    <x v="77"/>
    <x v="11"/>
    <x v="0"/>
    <n v="10"/>
    <d v="1899-12-30T00:13:20"/>
    <n v="13.333333333333334"/>
  </r>
  <r>
    <x v="77"/>
    <x v="11"/>
    <x v="1"/>
    <n v="9"/>
    <d v="1899-12-30T00:13:37"/>
    <n v="13.616666666666667"/>
  </r>
  <r>
    <x v="77"/>
    <x v="11"/>
    <x v="2"/>
    <n v="6"/>
    <d v="1899-12-30T00:09:26"/>
    <n v="9.4333333333333336"/>
  </r>
  <r>
    <x v="77"/>
    <x v="11"/>
    <x v="3"/>
    <n v="4"/>
    <d v="1899-12-30T00:04:19"/>
    <n v="4.3166666666666664"/>
  </r>
  <r>
    <x v="77"/>
    <x v="11"/>
    <x v="4"/>
    <n v="4"/>
    <d v="1899-12-30T00:03:54"/>
    <n v="3.9"/>
  </r>
  <r>
    <x v="77"/>
    <x v="11"/>
    <x v="5"/>
    <n v="6"/>
    <d v="1899-12-30T00:06:43"/>
    <n v="6.7166666666666668"/>
  </r>
  <r>
    <x v="77"/>
    <x v="12"/>
    <x v="0"/>
    <n v="90"/>
    <d v="1899-12-30T02:15:53"/>
    <n v="135.88333333333333"/>
  </r>
  <r>
    <x v="77"/>
    <x v="12"/>
    <x v="1"/>
    <n v="88"/>
    <d v="1899-12-30T02:10:20"/>
    <n v="130.33333333333334"/>
  </r>
  <r>
    <x v="77"/>
    <x v="12"/>
    <x v="2"/>
    <n v="53"/>
    <d v="1899-12-30T01:33:02"/>
    <n v="93.033333333333331"/>
  </r>
  <r>
    <x v="77"/>
    <x v="12"/>
    <x v="3"/>
    <n v="53"/>
    <d v="1899-12-30T00:59:47"/>
    <n v="59.783333333333331"/>
  </r>
  <r>
    <x v="77"/>
    <x v="12"/>
    <x v="4"/>
    <n v="29"/>
    <d v="1899-12-30T01:00:04"/>
    <n v="60.06666666666667"/>
  </r>
  <r>
    <x v="77"/>
    <x v="12"/>
    <x v="5"/>
    <n v="60"/>
    <d v="1899-12-30T01:12:41"/>
    <n v="72.683333333333337"/>
  </r>
  <r>
    <x v="77"/>
    <x v="13"/>
    <x v="0"/>
    <n v="47"/>
    <d v="1899-12-30T00:57:52"/>
    <n v="57.866666666666667"/>
  </r>
  <r>
    <x v="77"/>
    <x v="13"/>
    <x v="1"/>
    <n v="39"/>
    <d v="1899-12-30T00:52:38"/>
    <n v="52.633333333333333"/>
  </r>
  <r>
    <x v="77"/>
    <x v="13"/>
    <x v="2"/>
    <n v="22"/>
    <d v="1899-12-30T00:27:08"/>
    <n v="27.133333333333333"/>
  </r>
  <r>
    <x v="77"/>
    <x v="13"/>
    <x v="3"/>
    <n v="4"/>
    <d v="1899-12-30T00:03:35"/>
    <n v="3.5833333333333335"/>
  </r>
  <r>
    <x v="77"/>
    <x v="13"/>
    <x v="4"/>
    <n v="3"/>
    <d v="1899-12-30T00:06:35"/>
    <n v="6.583333333333333"/>
  </r>
  <r>
    <x v="77"/>
    <x v="13"/>
    <x v="5"/>
    <n v="26"/>
    <d v="1899-12-30T00:22:58"/>
    <n v="22.966666666666665"/>
  </r>
  <r>
    <x v="78"/>
    <x v="0"/>
    <x v="0"/>
    <n v="32"/>
    <d v="1899-12-30T00:46:27"/>
    <n v="46.45"/>
  </r>
  <r>
    <x v="78"/>
    <x v="0"/>
    <x v="1"/>
    <n v="32"/>
    <d v="1899-12-30T00:33:48"/>
    <n v="33.799999999999997"/>
  </r>
  <r>
    <x v="78"/>
    <x v="0"/>
    <x v="2"/>
    <n v="20"/>
    <d v="1899-12-30T00:23:40"/>
    <n v="23.666666666666668"/>
  </r>
  <r>
    <x v="78"/>
    <x v="0"/>
    <x v="3"/>
    <n v="15"/>
    <d v="1899-12-30T00:14:27"/>
    <n v="14.45"/>
  </r>
  <r>
    <x v="78"/>
    <x v="0"/>
    <x v="4"/>
    <n v="11"/>
    <d v="1899-12-30T00:25:12"/>
    <n v="25.2"/>
  </r>
  <r>
    <x v="78"/>
    <x v="0"/>
    <x v="5"/>
    <n v="21"/>
    <d v="1899-12-30T00:21:18"/>
    <n v="21.3"/>
  </r>
  <r>
    <x v="78"/>
    <x v="1"/>
    <x v="0"/>
    <n v="68"/>
    <d v="1899-12-30T02:09:35"/>
    <n v="129.58333333333334"/>
  </r>
  <r>
    <x v="78"/>
    <x v="1"/>
    <x v="1"/>
    <n v="39"/>
    <d v="1899-12-30T01:11:03"/>
    <n v="71.05"/>
  </r>
  <r>
    <x v="78"/>
    <x v="1"/>
    <x v="2"/>
    <n v="28"/>
    <d v="1899-12-30T00:59:12"/>
    <n v="59.2"/>
  </r>
  <r>
    <x v="78"/>
    <x v="1"/>
    <x v="3"/>
    <n v="11"/>
    <d v="1899-12-30T00:14:20"/>
    <n v="14.333333333333334"/>
  </r>
  <r>
    <x v="78"/>
    <x v="1"/>
    <x v="4"/>
    <n v="27"/>
    <d v="1899-12-30T01:18:26"/>
    <n v="78.433333333333337"/>
  </r>
  <r>
    <x v="78"/>
    <x v="1"/>
    <x v="5"/>
    <n v="44"/>
    <d v="1899-12-30T01:04:31"/>
    <n v="64.516666666666666"/>
  </r>
  <r>
    <x v="78"/>
    <x v="2"/>
    <x v="0"/>
    <n v="67"/>
    <d v="1899-12-30T01:42:26"/>
    <n v="102.43333333333334"/>
  </r>
  <r>
    <x v="78"/>
    <x v="2"/>
    <x v="1"/>
    <n v="65"/>
    <d v="1899-12-30T01:31:54"/>
    <n v="91.9"/>
  </r>
  <r>
    <x v="78"/>
    <x v="2"/>
    <x v="2"/>
    <n v="49"/>
    <d v="1899-12-30T01:24:25"/>
    <n v="84.416666666666671"/>
  </r>
  <r>
    <x v="78"/>
    <x v="2"/>
    <x v="3"/>
    <n v="30"/>
    <d v="1899-12-30T00:37:01"/>
    <n v="37.016666666666666"/>
  </r>
  <r>
    <x v="78"/>
    <x v="2"/>
    <x v="4"/>
    <n v="23"/>
    <d v="1899-12-30T00:45:20"/>
    <n v="45.333333333333336"/>
  </r>
  <r>
    <x v="78"/>
    <x v="2"/>
    <x v="5"/>
    <n v="28"/>
    <d v="1899-12-30T00:43:44"/>
    <n v="43.733333333333334"/>
  </r>
  <r>
    <x v="78"/>
    <x v="3"/>
    <x v="0"/>
    <n v="12"/>
    <d v="1899-12-30T00:22:02"/>
    <n v="22.033333333333335"/>
  </r>
  <r>
    <x v="78"/>
    <x v="3"/>
    <x v="1"/>
    <n v="14"/>
    <d v="1899-12-30T00:25:18"/>
    <n v="25.3"/>
  </r>
  <r>
    <x v="78"/>
    <x v="3"/>
    <x v="2"/>
    <n v="8"/>
    <d v="1899-12-30T00:14:49"/>
    <n v="14.816666666666666"/>
  </r>
  <r>
    <x v="78"/>
    <x v="3"/>
    <x v="3"/>
    <n v="4"/>
    <d v="1899-12-30T00:05:47"/>
    <n v="5.7833333333333332"/>
  </r>
  <r>
    <x v="78"/>
    <x v="3"/>
    <x v="4"/>
    <n v="0"/>
    <d v="1899-12-30T00:00:00"/>
    <n v="0"/>
  </r>
  <r>
    <x v="78"/>
    <x v="3"/>
    <x v="5"/>
    <n v="5"/>
    <d v="1899-12-30T00:07:10"/>
    <n v="7.166666666666667"/>
  </r>
  <r>
    <x v="78"/>
    <x v="4"/>
    <x v="0"/>
    <n v="23"/>
    <d v="1899-12-30T00:41:38"/>
    <n v="41.633333333333333"/>
  </r>
  <r>
    <x v="78"/>
    <x v="4"/>
    <x v="1"/>
    <n v="29"/>
    <d v="1899-12-30T00:36:23"/>
    <n v="36.383333333333333"/>
  </r>
  <r>
    <x v="78"/>
    <x v="4"/>
    <x v="2"/>
    <n v="21"/>
    <d v="1899-12-30T00:32:33"/>
    <n v="32.549999999999997"/>
  </r>
  <r>
    <x v="78"/>
    <x v="4"/>
    <x v="3"/>
    <n v="12"/>
    <d v="1899-12-30T00:12:06"/>
    <n v="12.1"/>
  </r>
  <r>
    <x v="78"/>
    <x v="4"/>
    <x v="4"/>
    <n v="5"/>
    <d v="1899-12-30T00:11:30"/>
    <n v="11.5"/>
  </r>
  <r>
    <x v="78"/>
    <x v="4"/>
    <x v="5"/>
    <n v="16"/>
    <d v="1899-12-30T00:15:21"/>
    <n v="15.35"/>
  </r>
  <r>
    <x v="78"/>
    <x v="5"/>
    <x v="0"/>
    <n v="33"/>
    <d v="1899-12-30T00:36:04"/>
    <n v="36.06666666666667"/>
  </r>
  <r>
    <x v="78"/>
    <x v="5"/>
    <x v="1"/>
    <n v="21"/>
    <d v="1899-12-30T00:24:18"/>
    <n v="24.3"/>
  </r>
  <r>
    <x v="78"/>
    <x v="5"/>
    <x v="2"/>
    <n v="18"/>
    <d v="1899-12-30T00:19:51"/>
    <n v="19.850000000000001"/>
  </r>
  <r>
    <x v="78"/>
    <x v="5"/>
    <x v="3"/>
    <n v="13"/>
    <d v="1899-12-30T00:10:54"/>
    <n v="10.9"/>
  </r>
  <r>
    <x v="78"/>
    <x v="5"/>
    <x v="4"/>
    <n v="1"/>
    <d v="1899-12-30T00:00:21"/>
    <n v="0.35"/>
  </r>
  <r>
    <x v="78"/>
    <x v="5"/>
    <x v="5"/>
    <n v="35"/>
    <d v="1899-12-30T00:42:25"/>
    <n v="42.416666666666664"/>
  </r>
  <r>
    <x v="78"/>
    <x v="6"/>
    <x v="0"/>
    <n v="16"/>
    <d v="1899-12-30T00:22:36"/>
    <n v="22.6"/>
  </r>
  <r>
    <x v="78"/>
    <x v="6"/>
    <x v="1"/>
    <n v="12"/>
    <d v="1899-12-30T00:18:14"/>
    <n v="18.233333333333334"/>
  </r>
  <r>
    <x v="78"/>
    <x v="6"/>
    <x v="2"/>
    <n v="9"/>
    <d v="1899-12-30T00:10:53"/>
    <n v="10.883333333333333"/>
  </r>
  <r>
    <x v="78"/>
    <x v="6"/>
    <x v="3"/>
    <n v="7"/>
    <d v="1899-12-30T00:07:11"/>
    <n v="7.1833333333333336"/>
  </r>
  <r>
    <x v="78"/>
    <x v="6"/>
    <x v="4"/>
    <n v="4"/>
    <d v="1899-12-30T00:05:45"/>
    <n v="5.75"/>
  </r>
  <r>
    <x v="78"/>
    <x v="6"/>
    <x v="5"/>
    <n v="5"/>
    <d v="1899-12-30T00:06:14"/>
    <n v="6.2333333333333334"/>
  </r>
  <r>
    <x v="78"/>
    <x v="7"/>
    <x v="0"/>
    <n v="75"/>
    <d v="1899-12-30T01:51:50"/>
    <n v="111.83333333333333"/>
  </r>
  <r>
    <x v="78"/>
    <x v="7"/>
    <x v="1"/>
    <n v="105"/>
    <d v="1899-12-30T02:13:50"/>
    <n v="133.83333333333334"/>
  </r>
  <r>
    <x v="78"/>
    <x v="7"/>
    <x v="2"/>
    <n v="69"/>
    <d v="1899-12-30T01:32:06"/>
    <n v="92.1"/>
  </r>
  <r>
    <x v="78"/>
    <x v="7"/>
    <x v="3"/>
    <n v="80"/>
    <d v="1899-12-30T01:21:10"/>
    <n v="81.166666666666671"/>
  </r>
  <r>
    <x v="78"/>
    <x v="7"/>
    <x v="4"/>
    <n v="118"/>
    <d v="1899-12-30T03:21:24"/>
    <n v="201.4"/>
  </r>
  <r>
    <x v="78"/>
    <x v="7"/>
    <x v="5"/>
    <n v="48"/>
    <d v="1899-12-30T00:49:46"/>
    <n v="49.766666666666666"/>
  </r>
  <r>
    <x v="78"/>
    <x v="8"/>
    <x v="0"/>
    <n v="53"/>
    <d v="1899-12-30T01:15:36"/>
    <n v="75.599999999999994"/>
  </r>
  <r>
    <x v="78"/>
    <x v="8"/>
    <x v="1"/>
    <n v="54"/>
    <d v="1899-12-30T01:23:35"/>
    <n v="83.583333333333329"/>
  </r>
  <r>
    <x v="78"/>
    <x v="8"/>
    <x v="2"/>
    <n v="29"/>
    <d v="1899-12-30T00:46:11"/>
    <n v="46.18333333333333"/>
  </r>
  <r>
    <x v="78"/>
    <x v="8"/>
    <x v="3"/>
    <n v="30"/>
    <d v="1899-12-30T00:33:53"/>
    <n v="33.883333333333333"/>
  </r>
  <r>
    <x v="78"/>
    <x v="8"/>
    <x v="4"/>
    <n v="8"/>
    <d v="1899-12-30T00:10:43"/>
    <n v="10.716666666666667"/>
  </r>
  <r>
    <x v="78"/>
    <x v="8"/>
    <x v="5"/>
    <n v="33"/>
    <d v="1899-12-30T00:41:36"/>
    <n v="41.6"/>
  </r>
  <r>
    <x v="78"/>
    <x v="9"/>
    <x v="0"/>
    <n v="38"/>
    <d v="1899-12-30T01:00:56"/>
    <n v="60.93333333333333"/>
  </r>
  <r>
    <x v="78"/>
    <x v="9"/>
    <x v="1"/>
    <n v="60"/>
    <d v="1899-12-30T01:59:26"/>
    <n v="119.43333333333334"/>
  </r>
  <r>
    <x v="78"/>
    <x v="9"/>
    <x v="2"/>
    <n v="43"/>
    <d v="1899-12-30T01:07:36"/>
    <n v="67.599999999999994"/>
  </r>
  <r>
    <x v="78"/>
    <x v="9"/>
    <x v="3"/>
    <n v="29"/>
    <d v="1899-12-30T00:34:22"/>
    <n v="34.366666666666667"/>
  </r>
  <r>
    <x v="78"/>
    <x v="9"/>
    <x v="4"/>
    <n v="5"/>
    <d v="1899-12-30T00:10:23"/>
    <n v="10.383333333333333"/>
  </r>
  <r>
    <x v="78"/>
    <x v="9"/>
    <x v="5"/>
    <n v="26"/>
    <d v="1899-12-30T00:29:01"/>
    <n v="29.016666666666666"/>
  </r>
  <r>
    <x v="78"/>
    <x v="10"/>
    <x v="0"/>
    <n v="14"/>
    <d v="1899-12-30T00:20:48"/>
    <n v="20.8"/>
  </r>
  <r>
    <x v="78"/>
    <x v="10"/>
    <x v="1"/>
    <n v="11"/>
    <d v="1899-12-30T00:15:17"/>
    <n v="15.283333333333333"/>
  </r>
  <r>
    <x v="78"/>
    <x v="10"/>
    <x v="2"/>
    <n v="10"/>
    <d v="1899-12-30T00:13:18"/>
    <n v="13.3"/>
  </r>
  <r>
    <x v="78"/>
    <x v="10"/>
    <x v="3"/>
    <n v="5"/>
    <d v="1899-12-30T00:06:24"/>
    <n v="6.4"/>
  </r>
  <r>
    <x v="78"/>
    <x v="10"/>
    <x v="4"/>
    <n v="0"/>
    <d v="1899-12-30T00:00:00"/>
    <n v="0"/>
  </r>
  <r>
    <x v="78"/>
    <x v="10"/>
    <x v="5"/>
    <n v="8"/>
    <d v="1899-12-30T00:07:15"/>
    <n v="7.25"/>
  </r>
  <r>
    <x v="78"/>
    <x v="11"/>
    <x v="0"/>
    <n v="18"/>
    <d v="1899-12-30T00:33:18"/>
    <n v="33.299999999999997"/>
  </r>
  <r>
    <x v="78"/>
    <x v="11"/>
    <x v="1"/>
    <n v="9"/>
    <d v="1899-12-30T00:17:36"/>
    <n v="17.600000000000001"/>
  </r>
  <r>
    <x v="78"/>
    <x v="11"/>
    <x v="2"/>
    <n v="9"/>
    <d v="1899-12-30T00:14:43"/>
    <n v="14.716666666666667"/>
  </r>
  <r>
    <x v="78"/>
    <x v="11"/>
    <x v="3"/>
    <n v="4"/>
    <d v="1899-12-30T00:03:25"/>
    <n v="3.4166666666666665"/>
  </r>
  <r>
    <x v="78"/>
    <x v="11"/>
    <x v="4"/>
    <n v="2"/>
    <d v="1899-12-30T00:01:36"/>
    <n v="1.6"/>
  </r>
  <r>
    <x v="78"/>
    <x v="11"/>
    <x v="5"/>
    <n v="14"/>
    <d v="1899-12-30T00:17:07"/>
    <n v="17.116666666666667"/>
  </r>
  <r>
    <x v="78"/>
    <x v="12"/>
    <x v="0"/>
    <n v="91"/>
    <d v="1899-12-30T02:18:38"/>
    <n v="138.63333333333333"/>
  </r>
  <r>
    <x v="78"/>
    <x v="12"/>
    <x v="1"/>
    <n v="84"/>
    <d v="1899-12-30T02:13:16"/>
    <n v="133.26666666666668"/>
  </r>
  <r>
    <x v="78"/>
    <x v="12"/>
    <x v="2"/>
    <n v="68"/>
    <d v="1899-12-30T01:34:27"/>
    <n v="94.45"/>
  </r>
  <r>
    <x v="78"/>
    <x v="12"/>
    <x v="3"/>
    <n v="49"/>
    <d v="1899-12-30T00:54:14"/>
    <n v="54.233333333333334"/>
  </r>
  <r>
    <x v="78"/>
    <x v="12"/>
    <x v="4"/>
    <n v="22"/>
    <d v="1899-12-30T00:42:15"/>
    <n v="42.25"/>
  </r>
  <r>
    <x v="78"/>
    <x v="12"/>
    <x v="5"/>
    <n v="92"/>
    <d v="1899-12-30T01:54:38"/>
    <n v="114.63333333333334"/>
  </r>
  <r>
    <x v="78"/>
    <x v="13"/>
    <x v="0"/>
    <n v="67"/>
    <d v="1899-12-30T01:40:17"/>
    <n v="100.28333333333333"/>
  </r>
  <r>
    <x v="78"/>
    <x v="13"/>
    <x v="1"/>
    <n v="67"/>
    <d v="1899-12-30T01:24:32"/>
    <n v="84.533333333333331"/>
  </r>
  <r>
    <x v="78"/>
    <x v="13"/>
    <x v="2"/>
    <n v="43"/>
    <d v="1899-12-30T00:52:13"/>
    <n v="52.216666666666669"/>
  </r>
  <r>
    <x v="78"/>
    <x v="13"/>
    <x v="3"/>
    <n v="30"/>
    <d v="1899-12-30T00:29:43"/>
    <n v="29.716666666666665"/>
  </r>
  <r>
    <x v="78"/>
    <x v="13"/>
    <x v="4"/>
    <n v="3"/>
    <d v="1899-12-30T00:03:44"/>
    <n v="3.7333333333333334"/>
  </r>
  <r>
    <x v="78"/>
    <x v="13"/>
    <x v="5"/>
    <n v="45"/>
    <d v="1899-12-30T00:37:40"/>
    <n v="37.666666666666664"/>
  </r>
  <r>
    <x v="79"/>
    <x v="0"/>
    <x v="0"/>
    <n v="44"/>
    <d v="1899-12-30T00:56:59"/>
    <n v="56.983333333333334"/>
  </r>
  <r>
    <x v="79"/>
    <x v="0"/>
    <x v="1"/>
    <n v="50"/>
    <d v="1899-12-30T00:51:13"/>
    <n v="51.216666666666669"/>
  </r>
  <r>
    <x v="79"/>
    <x v="0"/>
    <x v="2"/>
    <n v="36"/>
    <d v="1899-12-30T00:43:09"/>
    <n v="43.15"/>
  </r>
  <r>
    <x v="79"/>
    <x v="0"/>
    <x v="3"/>
    <n v="24"/>
    <d v="1899-12-30T00:19:12"/>
    <n v="19.2"/>
  </r>
  <r>
    <x v="79"/>
    <x v="0"/>
    <x v="4"/>
    <n v="15"/>
    <d v="1899-12-30T00:25:10"/>
    <n v="25.166666666666668"/>
  </r>
  <r>
    <x v="79"/>
    <x v="0"/>
    <x v="5"/>
    <n v="27"/>
    <d v="1899-12-30T00:26:14"/>
    <n v="26.233333333333334"/>
  </r>
  <r>
    <x v="79"/>
    <x v="1"/>
    <x v="0"/>
    <n v="77"/>
    <d v="1899-12-30T02:21:04"/>
    <n v="141.06666666666666"/>
  </r>
  <r>
    <x v="79"/>
    <x v="1"/>
    <x v="1"/>
    <n v="50"/>
    <d v="1899-12-30T01:31:17"/>
    <n v="91.283333333333331"/>
  </r>
  <r>
    <x v="79"/>
    <x v="1"/>
    <x v="2"/>
    <n v="26"/>
    <d v="1899-12-30T00:52:58"/>
    <n v="52.966666666666669"/>
  </r>
  <r>
    <x v="79"/>
    <x v="1"/>
    <x v="3"/>
    <n v="7"/>
    <d v="1899-12-30T00:05:58"/>
    <n v="5.9666666666666668"/>
  </r>
  <r>
    <x v="79"/>
    <x v="1"/>
    <x v="4"/>
    <n v="44"/>
    <d v="1899-12-30T01:54:57"/>
    <n v="114.95"/>
  </r>
  <r>
    <x v="79"/>
    <x v="1"/>
    <x v="5"/>
    <n v="45"/>
    <d v="1899-12-30T01:05:09"/>
    <n v="65.150000000000006"/>
  </r>
  <r>
    <x v="79"/>
    <x v="2"/>
    <x v="0"/>
    <n v="129"/>
    <d v="1899-12-30T03:34:25"/>
    <n v="214.41666666666666"/>
  </r>
  <r>
    <x v="79"/>
    <x v="2"/>
    <x v="1"/>
    <n v="136"/>
    <d v="1899-12-30T03:45:33"/>
    <n v="225.55"/>
  </r>
  <r>
    <x v="79"/>
    <x v="2"/>
    <x v="2"/>
    <n v="79"/>
    <d v="1899-12-30T02:09:12"/>
    <n v="129.19999999999999"/>
  </r>
  <r>
    <x v="79"/>
    <x v="2"/>
    <x v="3"/>
    <n v="52"/>
    <d v="1899-12-30T00:59:21"/>
    <n v="59.35"/>
  </r>
  <r>
    <x v="79"/>
    <x v="2"/>
    <x v="4"/>
    <n v="42"/>
    <d v="1899-12-30T01:20:40"/>
    <n v="80.666666666666671"/>
  </r>
  <r>
    <x v="79"/>
    <x v="2"/>
    <x v="5"/>
    <n v="63"/>
    <d v="1899-12-30T01:22:26"/>
    <n v="82.433333333333337"/>
  </r>
  <r>
    <x v="79"/>
    <x v="3"/>
    <x v="0"/>
    <n v="16"/>
    <d v="1899-12-30T00:29:24"/>
    <n v="29.4"/>
  </r>
  <r>
    <x v="79"/>
    <x v="3"/>
    <x v="1"/>
    <n v="22"/>
    <d v="1899-12-30T00:39:38"/>
    <n v="39.633333333333333"/>
  </r>
  <r>
    <x v="79"/>
    <x v="3"/>
    <x v="2"/>
    <n v="15"/>
    <d v="1899-12-30T00:26:01"/>
    <n v="26.016666666666666"/>
  </r>
  <r>
    <x v="79"/>
    <x v="3"/>
    <x v="3"/>
    <n v="6"/>
    <d v="1899-12-30T00:07:24"/>
    <n v="7.4"/>
  </r>
  <r>
    <x v="79"/>
    <x v="3"/>
    <x v="4"/>
    <n v="0"/>
    <d v="1899-12-30T00:00:00"/>
    <n v="0"/>
  </r>
  <r>
    <x v="79"/>
    <x v="3"/>
    <x v="5"/>
    <n v="10"/>
    <d v="1899-12-30T00:17:52"/>
    <n v="17.866666666666667"/>
  </r>
  <r>
    <x v="79"/>
    <x v="4"/>
    <x v="0"/>
    <n v="48"/>
    <d v="1899-12-30T01:09:33"/>
    <n v="69.55"/>
  </r>
  <r>
    <x v="79"/>
    <x v="4"/>
    <x v="1"/>
    <n v="32"/>
    <d v="1899-12-30T00:49:16"/>
    <n v="49.266666666666666"/>
  </r>
  <r>
    <x v="79"/>
    <x v="4"/>
    <x v="2"/>
    <n v="23"/>
    <d v="1899-12-30T00:31:07"/>
    <n v="31.116666666666667"/>
  </r>
  <r>
    <x v="79"/>
    <x v="4"/>
    <x v="3"/>
    <n v="6"/>
    <d v="1899-12-30T00:04:39"/>
    <n v="4.6500000000000004"/>
  </r>
  <r>
    <x v="79"/>
    <x v="4"/>
    <x v="4"/>
    <n v="9"/>
    <d v="1899-12-30T00:17:08"/>
    <n v="17.133333333333333"/>
  </r>
  <r>
    <x v="79"/>
    <x v="4"/>
    <x v="5"/>
    <n v="21"/>
    <d v="1899-12-30T00:27:11"/>
    <n v="27.183333333333334"/>
  </r>
  <r>
    <x v="79"/>
    <x v="5"/>
    <x v="0"/>
    <n v="49"/>
    <d v="1899-12-30T01:01:58"/>
    <n v="61.966666666666669"/>
  </r>
  <r>
    <x v="79"/>
    <x v="5"/>
    <x v="1"/>
    <n v="54"/>
    <d v="1899-12-30T01:02:47"/>
    <n v="62.783333333333331"/>
  </r>
  <r>
    <x v="79"/>
    <x v="5"/>
    <x v="2"/>
    <n v="57"/>
    <d v="1899-12-30T01:06:29"/>
    <n v="66.483333333333334"/>
  </r>
  <r>
    <x v="79"/>
    <x v="5"/>
    <x v="3"/>
    <n v="29"/>
    <d v="1899-12-30T00:29:19"/>
    <n v="29.316666666666666"/>
  </r>
  <r>
    <x v="79"/>
    <x v="5"/>
    <x v="4"/>
    <n v="1"/>
    <d v="1899-12-30T00:00:49"/>
    <n v="0.81666666666666665"/>
  </r>
  <r>
    <x v="79"/>
    <x v="5"/>
    <x v="5"/>
    <n v="69"/>
    <d v="1899-12-30T01:13:29"/>
    <n v="73.483333333333334"/>
  </r>
  <r>
    <x v="79"/>
    <x v="6"/>
    <x v="0"/>
    <n v="9"/>
    <d v="1899-12-30T00:09:17"/>
    <n v="9.2833333333333332"/>
  </r>
  <r>
    <x v="79"/>
    <x v="6"/>
    <x v="1"/>
    <n v="8"/>
    <d v="1899-12-30T00:11:52"/>
    <n v="11.866666666666667"/>
  </r>
  <r>
    <x v="79"/>
    <x v="6"/>
    <x v="2"/>
    <n v="5"/>
    <d v="1899-12-30T00:07:38"/>
    <n v="7.6333333333333329"/>
  </r>
  <r>
    <x v="79"/>
    <x v="6"/>
    <x v="3"/>
    <n v="9"/>
    <d v="1899-12-30T00:10:09"/>
    <n v="10.15"/>
  </r>
  <r>
    <x v="79"/>
    <x v="6"/>
    <x v="4"/>
    <n v="6"/>
    <d v="1899-12-30T00:11:52"/>
    <n v="11.866666666666667"/>
  </r>
  <r>
    <x v="79"/>
    <x v="6"/>
    <x v="5"/>
    <n v="2"/>
    <d v="1899-12-30T00:02:25"/>
    <n v="2.4166666666666665"/>
  </r>
  <r>
    <x v="79"/>
    <x v="7"/>
    <x v="0"/>
    <n v="77"/>
    <d v="1899-12-30T01:34:44"/>
    <n v="94.733333333333334"/>
  </r>
  <r>
    <x v="79"/>
    <x v="7"/>
    <x v="1"/>
    <n v="111"/>
    <d v="1899-12-30T02:25:05"/>
    <n v="145.08333333333334"/>
  </r>
  <r>
    <x v="79"/>
    <x v="7"/>
    <x v="2"/>
    <n v="68"/>
    <d v="1899-12-30T01:28:21"/>
    <n v="88.35"/>
  </r>
  <r>
    <x v="79"/>
    <x v="7"/>
    <x v="3"/>
    <n v="83"/>
    <d v="1899-12-30T01:11:41"/>
    <n v="71.683333333333337"/>
  </r>
  <r>
    <x v="79"/>
    <x v="7"/>
    <x v="4"/>
    <n v="158"/>
    <d v="1899-12-30T04:10:32"/>
    <n v="250.53333333333333"/>
  </r>
  <r>
    <x v="79"/>
    <x v="7"/>
    <x v="5"/>
    <n v="37"/>
    <d v="1899-12-30T00:36:15"/>
    <n v="36.25"/>
  </r>
  <r>
    <x v="79"/>
    <x v="8"/>
    <x v="0"/>
    <n v="44"/>
    <d v="1899-12-30T01:03:22"/>
    <n v="63.366666666666667"/>
  </r>
  <r>
    <x v="79"/>
    <x v="8"/>
    <x v="1"/>
    <n v="46"/>
    <d v="1899-12-30T01:12:37"/>
    <n v="72.61666666666666"/>
  </r>
  <r>
    <x v="79"/>
    <x v="8"/>
    <x v="2"/>
    <n v="36"/>
    <d v="1899-12-30T00:57:15"/>
    <n v="57.25"/>
  </r>
  <r>
    <x v="79"/>
    <x v="8"/>
    <x v="3"/>
    <n v="30"/>
    <d v="1899-12-30T00:34:54"/>
    <n v="34.9"/>
  </r>
  <r>
    <x v="79"/>
    <x v="8"/>
    <x v="4"/>
    <n v="9"/>
    <d v="1899-12-30T00:13:13"/>
    <n v="13.216666666666667"/>
  </r>
  <r>
    <x v="79"/>
    <x v="8"/>
    <x v="5"/>
    <n v="33"/>
    <d v="1899-12-30T00:39:52"/>
    <n v="39.866666666666667"/>
  </r>
  <r>
    <x v="79"/>
    <x v="9"/>
    <x v="0"/>
    <n v="36"/>
    <d v="1899-12-30T01:04:05"/>
    <n v="64.083333333333329"/>
  </r>
  <r>
    <x v="79"/>
    <x v="9"/>
    <x v="1"/>
    <n v="28"/>
    <d v="1899-12-30T00:46:16"/>
    <n v="46.266666666666666"/>
  </r>
  <r>
    <x v="79"/>
    <x v="9"/>
    <x v="2"/>
    <n v="38"/>
    <d v="1899-12-30T00:56:47"/>
    <n v="56.783333333333331"/>
  </r>
  <r>
    <x v="79"/>
    <x v="9"/>
    <x v="3"/>
    <n v="17"/>
    <d v="1899-12-30T00:24:37"/>
    <n v="24.616666666666667"/>
  </r>
  <r>
    <x v="79"/>
    <x v="9"/>
    <x v="4"/>
    <n v="2"/>
    <d v="1899-12-30T00:03:12"/>
    <n v="3.2"/>
  </r>
  <r>
    <x v="79"/>
    <x v="9"/>
    <x v="5"/>
    <n v="20"/>
    <d v="1899-12-30T00:19:12"/>
    <n v="19.2"/>
  </r>
  <r>
    <x v="79"/>
    <x v="10"/>
    <x v="0"/>
    <n v="18"/>
    <d v="1899-12-30T00:29:44"/>
    <n v="29.733333333333334"/>
  </r>
  <r>
    <x v="79"/>
    <x v="10"/>
    <x v="1"/>
    <n v="17"/>
    <d v="1899-12-30T00:31:04"/>
    <n v="31.066666666666666"/>
  </r>
  <r>
    <x v="79"/>
    <x v="10"/>
    <x v="2"/>
    <n v="18"/>
    <d v="1899-12-30T00:37:12"/>
    <n v="37.200000000000003"/>
  </r>
  <r>
    <x v="79"/>
    <x v="10"/>
    <x v="3"/>
    <n v="14"/>
    <d v="1899-12-30T00:18:29"/>
    <n v="18.483333333333334"/>
  </r>
  <r>
    <x v="79"/>
    <x v="10"/>
    <x v="4"/>
    <n v="3"/>
    <d v="1899-12-30T00:06:41"/>
    <n v="6.6833333333333336"/>
  </r>
  <r>
    <x v="79"/>
    <x v="10"/>
    <x v="5"/>
    <n v="20"/>
    <d v="1899-12-30T00:30:33"/>
    <n v="30.55"/>
  </r>
  <r>
    <x v="79"/>
    <x v="11"/>
    <x v="0"/>
    <n v="14"/>
    <d v="1899-12-30T00:24:12"/>
    <n v="24.2"/>
  </r>
  <r>
    <x v="79"/>
    <x v="11"/>
    <x v="1"/>
    <n v="6"/>
    <d v="1899-12-30T00:08:55"/>
    <n v="8.9166666666666661"/>
  </r>
  <r>
    <x v="79"/>
    <x v="11"/>
    <x v="2"/>
    <n v="3"/>
    <d v="1899-12-30T00:05:44"/>
    <n v="5.7333333333333334"/>
  </r>
  <r>
    <x v="79"/>
    <x v="11"/>
    <x v="3"/>
    <n v="3"/>
    <d v="1899-12-30T00:02:30"/>
    <n v="2.5"/>
  </r>
  <r>
    <x v="79"/>
    <x v="11"/>
    <x v="4"/>
    <n v="0"/>
    <d v="1899-12-30T00:00:00"/>
    <n v="0"/>
  </r>
  <r>
    <x v="79"/>
    <x v="11"/>
    <x v="5"/>
    <n v="4"/>
    <d v="1899-12-30T00:07:38"/>
    <n v="7.6333333333333329"/>
  </r>
  <r>
    <x v="79"/>
    <x v="12"/>
    <x v="0"/>
    <n v="137"/>
    <d v="1899-12-30T03:22:51"/>
    <n v="202.85"/>
  </r>
  <r>
    <x v="79"/>
    <x v="12"/>
    <x v="1"/>
    <n v="124"/>
    <d v="1899-12-30T03:18:07"/>
    <n v="198.11666666666667"/>
  </r>
  <r>
    <x v="79"/>
    <x v="12"/>
    <x v="2"/>
    <n v="92"/>
    <d v="1899-12-30T02:15:03"/>
    <n v="135.05000000000001"/>
  </r>
  <r>
    <x v="79"/>
    <x v="12"/>
    <x v="3"/>
    <n v="79"/>
    <d v="1899-12-30T01:16:00"/>
    <n v="76"/>
  </r>
  <r>
    <x v="79"/>
    <x v="12"/>
    <x v="4"/>
    <n v="38"/>
    <d v="1899-12-30T01:01:49"/>
    <n v="61.81666666666667"/>
  </r>
  <r>
    <x v="79"/>
    <x v="12"/>
    <x v="5"/>
    <n v="125"/>
    <d v="1899-12-30T02:29:12"/>
    <n v="149.19999999999999"/>
  </r>
  <r>
    <x v="79"/>
    <x v="13"/>
    <x v="0"/>
    <n v="81"/>
    <d v="1899-12-30T01:42:25"/>
    <n v="102.41666666666667"/>
  </r>
  <r>
    <x v="79"/>
    <x v="13"/>
    <x v="1"/>
    <n v="57"/>
    <d v="1899-12-30T01:10:48"/>
    <n v="70.8"/>
  </r>
  <r>
    <x v="79"/>
    <x v="13"/>
    <x v="2"/>
    <n v="41"/>
    <d v="1899-12-30T00:59:41"/>
    <n v="59.68333333333333"/>
  </r>
  <r>
    <x v="79"/>
    <x v="13"/>
    <x v="3"/>
    <n v="24"/>
    <d v="1899-12-30T00:22:28"/>
    <n v="22.466666666666665"/>
  </r>
  <r>
    <x v="79"/>
    <x v="13"/>
    <x v="4"/>
    <n v="1"/>
    <d v="1899-12-30T00:03:21"/>
    <n v="3.35"/>
  </r>
  <r>
    <x v="79"/>
    <x v="13"/>
    <x v="5"/>
    <n v="31"/>
    <d v="1899-12-30T00:28:12"/>
    <n v="28.2"/>
  </r>
  <r>
    <x v="80"/>
    <x v="0"/>
    <x v="0"/>
    <n v="17"/>
    <d v="1899-12-30T00:18:32"/>
    <n v="18.533333333333335"/>
  </r>
  <r>
    <x v="80"/>
    <x v="0"/>
    <x v="1"/>
    <n v="19"/>
    <d v="1899-12-30T00:15:57"/>
    <n v="15.95"/>
  </r>
  <r>
    <x v="80"/>
    <x v="0"/>
    <x v="2"/>
    <n v="13"/>
    <d v="1899-12-30T00:12:00"/>
    <n v="12"/>
  </r>
  <r>
    <x v="80"/>
    <x v="0"/>
    <x v="3"/>
    <n v="5"/>
    <d v="1899-12-30T00:03:44"/>
    <n v="3.7333333333333334"/>
  </r>
  <r>
    <x v="80"/>
    <x v="0"/>
    <x v="4"/>
    <n v="1"/>
    <d v="1899-12-30T00:01:49"/>
    <n v="1.8166666666666667"/>
  </r>
  <r>
    <x v="80"/>
    <x v="0"/>
    <x v="5"/>
    <n v="16"/>
    <d v="1899-12-30T00:11:23"/>
    <n v="11.383333333333333"/>
  </r>
  <r>
    <x v="80"/>
    <x v="1"/>
    <x v="0"/>
    <n v="49"/>
    <d v="1899-12-30T01:30:09"/>
    <n v="90.15"/>
  </r>
  <r>
    <x v="80"/>
    <x v="1"/>
    <x v="1"/>
    <n v="39"/>
    <d v="1899-12-30T01:10:30"/>
    <n v="70.5"/>
  </r>
  <r>
    <x v="80"/>
    <x v="1"/>
    <x v="2"/>
    <n v="27"/>
    <d v="1899-12-30T00:47:53"/>
    <n v="47.883333333333333"/>
  </r>
  <r>
    <x v="80"/>
    <x v="1"/>
    <x v="3"/>
    <n v="14"/>
    <d v="1899-12-30T00:11:45"/>
    <n v="11.75"/>
  </r>
  <r>
    <x v="80"/>
    <x v="1"/>
    <x v="4"/>
    <n v="58"/>
    <d v="1899-12-30T02:29:04"/>
    <n v="149.06666666666666"/>
  </r>
  <r>
    <x v="80"/>
    <x v="1"/>
    <x v="5"/>
    <n v="46"/>
    <d v="1899-12-30T01:04:50"/>
    <n v="64.833333333333329"/>
  </r>
  <r>
    <x v="80"/>
    <x v="2"/>
    <x v="0"/>
    <n v="78"/>
    <d v="1899-12-30T01:57:25"/>
    <n v="117.41666666666667"/>
  </r>
  <r>
    <x v="80"/>
    <x v="2"/>
    <x v="1"/>
    <n v="92"/>
    <d v="1899-12-30T02:15:39"/>
    <n v="135.65"/>
  </r>
  <r>
    <x v="80"/>
    <x v="2"/>
    <x v="2"/>
    <n v="39"/>
    <d v="1899-12-30T01:07:26"/>
    <n v="67.433333333333337"/>
  </r>
  <r>
    <x v="80"/>
    <x v="2"/>
    <x v="3"/>
    <n v="51"/>
    <d v="1899-12-30T01:03:53"/>
    <n v="63.883333333333333"/>
  </r>
  <r>
    <x v="80"/>
    <x v="2"/>
    <x v="4"/>
    <n v="41"/>
    <d v="1899-12-30T01:15:31"/>
    <n v="75.516666666666666"/>
  </r>
  <r>
    <x v="80"/>
    <x v="2"/>
    <x v="5"/>
    <n v="37"/>
    <d v="1899-12-30T00:49:09"/>
    <n v="49.15"/>
  </r>
  <r>
    <x v="80"/>
    <x v="3"/>
    <x v="0"/>
    <n v="18"/>
    <d v="1899-12-30T00:32:00"/>
    <n v="32"/>
  </r>
  <r>
    <x v="80"/>
    <x v="3"/>
    <x v="1"/>
    <n v="25"/>
    <d v="1899-12-30T00:56:13"/>
    <n v="56.216666666666669"/>
  </r>
  <r>
    <x v="80"/>
    <x v="3"/>
    <x v="2"/>
    <n v="15"/>
    <d v="1899-12-30T00:29:21"/>
    <n v="29.35"/>
  </r>
  <r>
    <x v="80"/>
    <x v="3"/>
    <x v="3"/>
    <n v="10"/>
    <d v="1899-12-30T00:12:37"/>
    <n v="12.616666666666667"/>
  </r>
  <r>
    <x v="80"/>
    <x v="3"/>
    <x v="4"/>
    <n v="4"/>
    <d v="1899-12-30T00:08:34"/>
    <n v="8.5666666666666664"/>
  </r>
  <r>
    <x v="80"/>
    <x v="3"/>
    <x v="5"/>
    <n v="21"/>
    <d v="1899-12-30T00:33:00"/>
    <n v="33"/>
  </r>
  <r>
    <x v="80"/>
    <x v="4"/>
    <x v="0"/>
    <n v="23"/>
    <d v="1899-12-30T00:35:01"/>
    <n v="35.016666666666666"/>
  </r>
  <r>
    <x v="80"/>
    <x v="4"/>
    <x v="1"/>
    <n v="17"/>
    <d v="1899-12-30T00:22:36"/>
    <n v="22.6"/>
  </r>
  <r>
    <x v="80"/>
    <x v="4"/>
    <x v="2"/>
    <n v="5"/>
    <d v="1899-12-30T00:33:47"/>
    <n v="33.783333333333331"/>
  </r>
  <r>
    <x v="80"/>
    <x v="4"/>
    <x v="3"/>
    <n v="6"/>
    <d v="1899-12-30T00:03:51"/>
    <n v="3.85"/>
  </r>
  <r>
    <x v="80"/>
    <x v="4"/>
    <x v="4"/>
    <n v="6"/>
    <d v="1899-12-30T00:12:10"/>
    <n v="12.166666666666666"/>
  </r>
  <r>
    <x v="80"/>
    <x v="4"/>
    <x v="5"/>
    <n v="11"/>
    <d v="1899-12-30T00:14:45"/>
    <n v="14.75"/>
  </r>
  <r>
    <x v="80"/>
    <x v="5"/>
    <x v="0"/>
    <n v="28"/>
    <d v="1899-12-30T00:41:42"/>
    <n v="41.7"/>
  </r>
  <r>
    <x v="80"/>
    <x v="5"/>
    <x v="1"/>
    <n v="29"/>
    <d v="1899-12-30T00:40:00"/>
    <n v="40"/>
  </r>
  <r>
    <x v="80"/>
    <x v="5"/>
    <x v="2"/>
    <n v="32"/>
    <d v="1899-12-30T00:39:34"/>
    <n v="39.56666666666667"/>
  </r>
  <r>
    <x v="80"/>
    <x v="5"/>
    <x v="3"/>
    <n v="10"/>
    <d v="1899-12-30T00:10:53"/>
    <n v="10.883333333333333"/>
  </r>
  <r>
    <x v="80"/>
    <x v="5"/>
    <x v="4"/>
    <n v="0"/>
    <d v="1899-12-30T00:00:00"/>
    <n v="0"/>
  </r>
  <r>
    <x v="80"/>
    <x v="5"/>
    <x v="5"/>
    <n v="42"/>
    <d v="1899-12-30T00:52:05"/>
    <n v="52.083333333333336"/>
  </r>
  <r>
    <x v="80"/>
    <x v="6"/>
    <x v="0"/>
    <n v="9"/>
    <d v="1899-12-30T00:08:29"/>
    <n v="8.4833333333333325"/>
  </r>
  <r>
    <x v="80"/>
    <x v="6"/>
    <x v="1"/>
    <n v="13"/>
    <d v="1899-12-30T00:15:08"/>
    <n v="15.133333333333333"/>
  </r>
  <r>
    <x v="80"/>
    <x v="6"/>
    <x v="2"/>
    <n v="9"/>
    <d v="1899-12-30T00:13:59"/>
    <n v="13.983333333333333"/>
  </r>
  <r>
    <x v="80"/>
    <x v="6"/>
    <x v="3"/>
    <n v="3"/>
    <d v="1899-12-30T00:02:29"/>
    <n v="2.4833333333333334"/>
  </r>
  <r>
    <x v="80"/>
    <x v="6"/>
    <x v="4"/>
    <n v="4"/>
    <d v="1899-12-30T00:05:42"/>
    <n v="5.7"/>
  </r>
  <r>
    <x v="80"/>
    <x v="6"/>
    <x v="5"/>
    <n v="8"/>
    <d v="1899-12-30T00:12:41"/>
    <n v="12.683333333333334"/>
  </r>
  <r>
    <x v="80"/>
    <x v="7"/>
    <x v="0"/>
    <n v="85"/>
    <d v="1899-12-30T02:29:31"/>
    <n v="149.51666666666668"/>
  </r>
  <r>
    <x v="80"/>
    <x v="7"/>
    <x v="1"/>
    <n v="81"/>
    <d v="1899-12-30T01:59:57"/>
    <n v="119.95"/>
  </r>
  <r>
    <x v="80"/>
    <x v="7"/>
    <x v="2"/>
    <n v="44"/>
    <d v="1899-12-30T01:04:37"/>
    <n v="64.61666666666666"/>
  </r>
  <r>
    <x v="80"/>
    <x v="7"/>
    <x v="3"/>
    <n v="73"/>
    <d v="1899-12-30T01:06:31"/>
    <n v="66.516666666666666"/>
  </r>
  <r>
    <x v="80"/>
    <x v="7"/>
    <x v="4"/>
    <n v="142"/>
    <d v="1899-12-30T04:21:51"/>
    <n v="261.85000000000002"/>
  </r>
  <r>
    <x v="80"/>
    <x v="7"/>
    <x v="5"/>
    <n v="35"/>
    <d v="1899-12-30T00:34:24"/>
    <n v="34.4"/>
  </r>
  <r>
    <x v="80"/>
    <x v="8"/>
    <x v="0"/>
    <n v="61"/>
    <d v="1899-12-30T01:23:54"/>
    <n v="83.9"/>
  </r>
  <r>
    <x v="80"/>
    <x v="8"/>
    <x v="1"/>
    <n v="73"/>
    <d v="1899-12-30T01:55:56"/>
    <n v="115.93333333333334"/>
  </r>
  <r>
    <x v="80"/>
    <x v="8"/>
    <x v="2"/>
    <n v="63"/>
    <d v="1899-12-30T01:30:44"/>
    <n v="90.733333333333334"/>
  </r>
  <r>
    <x v="80"/>
    <x v="8"/>
    <x v="3"/>
    <n v="59"/>
    <d v="1899-12-30T01:01:40"/>
    <n v="61.666666666666664"/>
  </r>
  <r>
    <x v="80"/>
    <x v="8"/>
    <x v="4"/>
    <n v="15"/>
    <d v="1899-12-30T00:24:40"/>
    <n v="24.666666666666668"/>
  </r>
  <r>
    <x v="80"/>
    <x v="8"/>
    <x v="5"/>
    <n v="64"/>
    <d v="1899-12-30T01:06:37"/>
    <n v="66.61666666666666"/>
  </r>
  <r>
    <x v="80"/>
    <x v="9"/>
    <x v="0"/>
    <n v="49"/>
    <d v="1899-12-30T01:26:41"/>
    <n v="86.683333333333337"/>
  </r>
  <r>
    <x v="80"/>
    <x v="9"/>
    <x v="1"/>
    <n v="55"/>
    <d v="1899-12-30T01:29:41"/>
    <n v="89.683333333333337"/>
  </r>
  <r>
    <x v="80"/>
    <x v="9"/>
    <x v="2"/>
    <n v="53"/>
    <d v="1899-12-30T01:23:04"/>
    <n v="83.066666666666663"/>
  </r>
  <r>
    <x v="80"/>
    <x v="9"/>
    <x v="3"/>
    <n v="34"/>
    <d v="1899-12-30T00:35:51"/>
    <n v="35.85"/>
  </r>
  <r>
    <x v="80"/>
    <x v="9"/>
    <x v="4"/>
    <n v="7"/>
    <d v="1899-12-30T00:08:49"/>
    <n v="8.8166666666666664"/>
  </r>
  <r>
    <x v="80"/>
    <x v="9"/>
    <x v="5"/>
    <n v="35"/>
    <d v="1899-12-30T00:40:13"/>
    <n v="40.216666666666669"/>
  </r>
  <r>
    <x v="80"/>
    <x v="10"/>
    <x v="0"/>
    <n v="23"/>
    <d v="1899-12-30T00:34:50"/>
    <n v="34.833333333333336"/>
  </r>
  <r>
    <x v="80"/>
    <x v="10"/>
    <x v="1"/>
    <n v="14"/>
    <d v="1899-12-30T00:28:27"/>
    <n v="28.45"/>
  </r>
  <r>
    <x v="80"/>
    <x v="10"/>
    <x v="2"/>
    <n v="22"/>
    <d v="1899-12-30T00:38:07"/>
    <n v="38.116666666666667"/>
  </r>
  <r>
    <x v="80"/>
    <x v="10"/>
    <x v="3"/>
    <n v="11"/>
    <d v="1899-12-30T00:12:57"/>
    <n v="12.95"/>
  </r>
  <r>
    <x v="80"/>
    <x v="10"/>
    <x v="4"/>
    <n v="5"/>
    <d v="1899-12-30T00:12:08"/>
    <n v="12.133333333333333"/>
  </r>
  <r>
    <x v="80"/>
    <x v="10"/>
    <x v="5"/>
    <n v="9"/>
    <d v="1899-12-30T00:13:28"/>
    <n v="13.466666666666667"/>
  </r>
  <r>
    <x v="80"/>
    <x v="11"/>
    <x v="0"/>
    <n v="13"/>
    <d v="1899-12-30T00:18:40"/>
    <n v="18.666666666666668"/>
  </r>
  <r>
    <x v="80"/>
    <x v="11"/>
    <x v="1"/>
    <n v="8"/>
    <d v="1899-12-30T00:11:33"/>
    <n v="11.55"/>
  </r>
  <r>
    <x v="80"/>
    <x v="11"/>
    <x v="2"/>
    <n v="10"/>
    <d v="1899-12-30T00:13:32"/>
    <n v="13.533333333333333"/>
  </r>
  <r>
    <x v="80"/>
    <x v="11"/>
    <x v="3"/>
    <n v="9"/>
    <d v="1899-12-30T00:09:36"/>
    <n v="9.6"/>
  </r>
  <r>
    <x v="80"/>
    <x v="11"/>
    <x v="4"/>
    <n v="2"/>
    <d v="1899-12-30T00:03:03"/>
    <n v="3.05"/>
  </r>
  <r>
    <x v="80"/>
    <x v="11"/>
    <x v="5"/>
    <n v="12"/>
    <d v="1899-12-30T00:16:17"/>
    <n v="16.283333333333335"/>
  </r>
  <r>
    <x v="80"/>
    <x v="12"/>
    <x v="0"/>
    <n v="71"/>
    <d v="1899-12-30T01:46:33"/>
    <n v="106.55"/>
  </r>
  <r>
    <x v="80"/>
    <x v="12"/>
    <x v="1"/>
    <n v="71"/>
    <d v="1899-12-30T01:59:28"/>
    <n v="119.46666666666667"/>
  </r>
  <r>
    <x v="80"/>
    <x v="12"/>
    <x v="2"/>
    <n v="43"/>
    <d v="1899-12-30T01:06:44"/>
    <n v="66.733333333333334"/>
  </r>
  <r>
    <x v="80"/>
    <x v="12"/>
    <x v="3"/>
    <n v="53"/>
    <d v="1899-12-30T00:53:13"/>
    <n v="53.216666666666669"/>
  </r>
  <r>
    <x v="80"/>
    <x v="12"/>
    <x v="4"/>
    <n v="20"/>
    <d v="1899-12-30T00:42:39"/>
    <n v="42.65"/>
  </r>
  <r>
    <x v="80"/>
    <x v="12"/>
    <x v="5"/>
    <n v="56"/>
    <d v="1899-12-30T01:13:35"/>
    <n v="73.583333333333329"/>
  </r>
  <r>
    <x v="80"/>
    <x v="13"/>
    <x v="0"/>
    <n v="61"/>
    <d v="1899-12-30T01:25:16"/>
    <n v="85.266666666666666"/>
  </r>
  <r>
    <x v="80"/>
    <x v="13"/>
    <x v="1"/>
    <n v="53"/>
    <d v="1899-12-30T00:59:39"/>
    <n v="59.65"/>
  </r>
  <r>
    <x v="80"/>
    <x v="13"/>
    <x v="2"/>
    <n v="29"/>
    <d v="1899-12-30T00:35:24"/>
    <n v="35.4"/>
  </r>
  <r>
    <x v="80"/>
    <x v="13"/>
    <x v="3"/>
    <n v="21"/>
    <d v="1899-12-30T00:16:08"/>
    <n v="16.133333333333333"/>
  </r>
  <r>
    <x v="80"/>
    <x v="13"/>
    <x v="4"/>
    <n v="0"/>
    <d v="1899-12-30T00:00:00"/>
    <n v="0"/>
  </r>
  <r>
    <x v="80"/>
    <x v="13"/>
    <x v="5"/>
    <n v="33"/>
    <d v="1899-12-30T00:27:00"/>
    <n v="27"/>
  </r>
  <r>
    <x v="81"/>
    <x v="0"/>
    <x v="0"/>
    <n v="26"/>
    <d v="1899-12-30T00:27:37"/>
    <n v="27.616666666666667"/>
  </r>
  <r>
    <x v="81"/>
    <x v="0"/>
    <x v="1"/>
    <n v="26"/>
    <d v="1899-12-30T00:25:14"/>
    <n v="25.233333333333334"/>
  </r>
  <r>
    <x v="81"/>
    <x v="0"/>
    <x v="2"/>
    <n v="16"/>
    <d v="1899-12-30T00:13:58"/>
    <n v="13.966666666666667"/>
  </r>
  <r>
    <x v="81"/>
    <x v="0"/>
    <x v="3"/>
    <n v="15"/>
    <d v="1899-12-30T00:13:11"/>
    <n v="13.183333333333334"/>
  </r>
  <r>
    <x v="81"/>
    <x v="0"/>
    <x v="4"/>
    <n v="8"/>
    <d v="1899-12-30T00:10:41"/>
    <n v="10.683333333333334"/>
  </r>
  <r>
    <x v="81"/>
    <x v="0"/>
    <x v="5"/>
    <n v="18"/>
    <d v="1899-12-30T00:15:20"/>
    <n v="15.333333333333334"/>
  </r>
  <r>
    <x v="81"/>
    <x v="1"/>
    <x v="0"/>
    <n v="53"/>
    <d v="1899-12-30T01:38:03"/>
    <n v="98.05"/>
  </r>
  <r>
    <x v="81"/>
    <x v="1"/>
    <x v="1"/>
    <n v="31"/>
    <d v="1899-12-30T00:54:02"/>
    <n v="54.033333333333331"/>
  </r>
  <r>
    <x v="81"/>
    <x v="1"/>
    <x v="2"/>
    <n v="23"/>
    <d v="1899-12-30T00:49:09"/>
    <n v="49.15"/>
  </r>
  <r>
    <x v="81"/>
    <x v="1"/>
    <x v="3"/>
    <n v="15"/>
    <d v="1899-12-30T00:13:11"/>
    <n v="13.183333333333334"/>
  </r>
  <r>
    <x v="81"/>
    <x v="1"/>
    <x v="4"/>
    <n v="62"/>
    <d v="1899-12-30T02:35:09"/>
    <n v="155.15"/>
  </r>
  <r>
    <x v="81"/>
    <x v="1"/>
    <x v="5"/>
    <n v="49"/>
    <d v="1899-12-30T02:25:03"/>
    <n v="145.05000000000001"/>
  </r>
  <r>
    <x v="81"/>
    <x v="2"/>
    <x v="0"/>
    <n v="63"/>
    <d v="1899-12-30T01:32:33"/>
    <n v="92.55"/>
  </r>
  <r>
    <x v="81"/>
    <x v="2"/>
    <x v="1"/>
    <n v="65"/>
    <d v="1899-12-30T01:55:06"/>
    <n v="115.1"/>
  </r>
  <r>
    <x v="81"/>
    <x v="2"/>
    <x v="2"/>
    <n v="37"/>
    <d v="1899-12-30T01:02:15"/>
    <n v="62.25"/>
  </r>
  <r>
    <x v="81"/>
    <x v="2"/>
    <x v="3"/>
    <n v="40"/>
    <d v="1899-12-30T00:42:18"/>
    <n v="42.3"/>
  </r>
  <r>
    <x v="81"/>
    <x v="2"/>
    <x v="4"/>
    <n v="37"/>
    <d v="1899-12-30T01:04:28"/>
    <n v="64.466666666666669"/>
  </r>
  <r>
    <x v="81"/>
    <x v="2"/>
    <x v="5"/>
    <n v="41"/>
    <d v="1899-12-30T00:50:49"/>
    <n v="50.81666666666667"/>
  </r>
  <r>
    <x v="81"/>
    <x v="3"/>
    <x v="0"/>
    <n v="12"/>
    <d v="1899-12-30T00:19:39"/>
    <n v="19.649999999999999"/>
  </r>
  <r>
    <x v="81"/>
    <x v="3"/>
    <x v="1"/>
    <n v="12"/>
    <d v="1899-12-30T00:28:26"/>
    <n v="28.433333333333334"/>
  </r>
  <r>
    <x v="81"/>
    <x v="3"/>
    <x v="2"/>
    <n v="2"/>
    <d v="1899-12-30T00:04:36"/>
    <n v="4.5999999999999996"/>
  </r>
  <r>
    <x v="81"/>
    <x v="3"/>
    <x v="3"/>
    <n v="7"/>
    <d v="1899-12-30T00:09:23"/>
    <n v="9.3833333333333329"/>
  </r>
  <r>
    <x v="81"/>
    <x v="3"/>
    <x v="4"/>
    <n v="0"/>
    <d v="1899-12-30T00:00:00"/>
    <n v="0"/>
  </r>
  <r>
    <x v="81"/>
    <x v="3"/>
    <x v="5"/>
    <n v="5"/>
    <d v="1899-12-30T00:07:32"/>
    <n v="7.5333333333333332"/>
  </r>
  <r>
    <x v="81"/>
    <x v="4"/>
    <x v="0"/>
    <n v="23"/>
    <d v="1899-12-30T00:39:14"/>
    <n v="39.233333333333334"/>
  </r>
  <r>
    <x v="81"/>
    <x v="4"/>
    <x v="1"/>
    <n v="13"/>
    <d v="1899-12-30T00:18:40"/>
    <n v="18.666666666666668"/>
  </r>
  <r>
    <x v="81"/>
    <x v="4"/>
    <x v="2"/>
    <n v="10"/>
    <d v="1899-12-30T00:12:11"/>
    <n v="12.183333333333334"/>
  </r>
  <r>
    <x v="81"/>
    <x v="4"/>
    <x v="3"/>
    <n v="10"/>
    <d v="1899-12-30T00:07:56"/>
    <n v="7.9333333333333336"/>
  </r>
  <r>
    <x v="81"/>
    <x v="4"/>
    <x v="4"/>
    <n v="3"/>
    <d v="1899-12-30T00:05:13"/>
    <n v="5.2166666666666668"/>
  </r>
  <r>
    <x v="81"/>
    <x v="4"/>
    <x v="5"/>
    <n v="10"/>
    <d v="1899-12-30T00:11:26"/>
    <n v="11.433333333333334"/>
  </r>
  <r>
    <x v="81"/>
    <x v="5"/>
    <x v="0"/>
    <n v="30"/>
    <d v="1899-12-30T00:43:35"/>
    <n v="43.583333333333336"/>
  </r>
  <r>
    <x v="81"/>
    <x v="5"/>
    <x v="1"/>
    <n v="34"/>
    <d v="1899-12-30T00:47:59"/>
    <n v="47.983333333333334"/>
  </r>
  <r>
    <x v="81"/>
    <x v="5"/>
    <x v="2"/>
    <n v="21"/>
    <d v="1899-12-30T00:26:16"/>
    <n v="26.266666666666666"/>
  </r>
  <r>
    <x v="81"/>
    <x v="5"/>
    <x v="3"/>
    <n v="14"/>
    <d v="1899-12-30T00:14:10"/>
    <n v="14.166666666666666"/>
  </r>
  <r>
    <x v="81"/>
    <x v="5"/>
    <x v="4"/>
    <n v="3"/>
    <d v="1899-12-30T00:06:37"/>
    <n v="6.6166666666666671"/>
  </r>
  <r>
    <x v="81"/>
    <x v="5"/>
    <x v="5"/>
    <n v="37"/>
    <d v="1899-12-30T00:43:07"/>
    <n v="43.116666666666667"/>
  </r>
  <r>
    <x v="81"/>
    <x v="6"/>
    <x v="0"/>
    <n v="11"/>
    <d v="1899-12-30T00:14:23"/>
    <n v="14.383333333333333"/>
  </r>
  <r>
    <x v="81"/>
    <x v="6"/>
    <x v="1"/>
    <n v="16"/>
    <d v="1899-12-30T00:26:17"/>
    <n v="26.283333333333335"/>
  </r>
  <r>
    <x v="81"/>
    <x v="6"/>
    <x v="2"/>
    <n v="4"/>
    <d v="1899-12-30T00:08:37"/>
    <n v="8.6166666666666671"/>
  </r>
  <r>
    <x v="81"/>
    <x v="6"/>
    <x v="3"/>
    <n v="7"/>
    <d v="1899-12-30T00:07:55"/>
    <n v="7.916666666666667"/>
  </r>
  <r>
    <x v="81"/>
    <x v="6"/>
    <x v="4"/>
    <n v="12"/>
    <d v="1899-12-30T00:20:10"/>
    <n v="20.166666666666668"/>
  </r>
  <r>
    <x v="81"/>
    <x v="6"/>
    <x v="5"/>
    <n v="4"/>
    <d v="1899-12-30T00:05:50"/>
    <n v="5.833333333333333"/>
  </r>
  <r>
    <x v="81"/>
    <x v="7"/>
    <x v="0"/>
    <n v="69"/>
    <d v="1899-12-30T01:28:59"/>
    <n v="88.983333333333334"/>
  </r>
  <r>
    <x v="81"/>
    <x v="7"/>
    <x v="1"/>
    <n v="75"/>
    <d v="1899-12-30T01:44:34"/>
    <n v="104.56666666666666"/>
  </r>
  <r>
    <x v="81"/>
    <x v="7"/>
    <x v="2"/>
    <n v="59"/>
    <d v="1899-12-30T01:30:23"/>
    <n v="90.38333333333334"/>
  </r>
  <r>
    <x v="81"/>
    <x v="7"/>
    <x v="3"/>
    <n v="85"/>
    <d v="1899-12-30T01:15:08"/>
    <n v="75.13333333333334"/>
  </r>
  <r>
    <x v="81"/>
    <x v="7"/>
    <x v="4"/>
    <n v="133"/>
    <d v="1899-12-30T03:52:46"/>
    <n v="232.76666666666668"/>
  </r>
  <r>
    <x v="81"/>
    <x v="7"/>
    <x v="5"/>
    <n v="50"/>
    <d v="1899-12-30T00:46:50"/>
    <n v="46.833333333333336"/>
  </r>
  <r>
    <x v="81"/>
    <x v="8"/>
    <x v="0"/>
    <n v="45"/>
    <d v="1899-12-30T01:05:30"/>
    <n v="65.5"/>
  </r>
  <r>
    <x v="81"/>
    <x v="8"/>
    <x v="1"/>
    <n v="36"/>
    <d v="1899-12-30T01:00:05"/>
    <n v="60.083333333333336"/>
  </r>
  <r>
    <x v="81"/>
    <x v="8"/>
    <x v="2"/>
    <n v="41"/>
    <d v="1899-12-30T00:52:17"/>
    <n v="52.283333333333331"/>
  </r>
  <r>
    <x v="81"/>
    <x v="8"/>
    <x v="3"/>
    <n v="28"/>
    <d v="1899-12-30T00:29:31"/>
    <n v="29.516666666666666"/>
  </r>
  <r>
    <x v="81"/>
    <x v="8"/>
    <x v="4"/>
    <n v="4"/>
    <d v="1899-12-30T00:06:55"/>
    <n v="6.916666666666667"/>
  </r>
  <r>
    <x v="81"/>
    <x v="8"/>
    <x v="5"/>
    <n v="39"/>
    <d v="1899-12-30T00:46:52"/>
    <n v="46.866666666666667"/>
  </r>
  <r>
    <x v="81"/>
    <x v="9"/>
    <x v="0"/>
    <n v="91"/>
    <d v="1899-12-30T02:37:50"/>
    <n v="157.83333333333334"/>
  </r>
  <r>
    <x v="81"/>
    <x v="9"/>
    <x v="1"/>
    <n v="140"/>
    <d v="1899-12-30T03:29:29"/>
    <n v="209.48333333333332"/>
  </r>
  <r>
    <x v="81"/>
    <x v="9"/>
    <x v="2"/>
    <n v="74"/>
    <d v="1899-12-30T01:45:09"/>
    <n v="105.15"/>
  </r>
  <r>
    <x v="81"/>
    <x v="9"/>
    <x v="3"/>
    <n v="43"/>
    <d v="1899-12-30T00:55:43"/>
    <n v="55.716666666666669"/>
  </r>
  <r>
    <x v="81"/>
    <x v="9"/>
    <x v="4"/>
    <n v="10"/>
    <d v="1899-12-30T00:16:54"/>
    <n v="16.899999999999999"/>
  </r>
  <r>
    <x v="81"/>
    <x v="9"/>
    <x v="5"/>
    <n v="50"/>
    <d v="1899-12-30T00:52:39"/>
    <n v="52.65"/>
  </r>
  <r>
    <x v="81"/>
    <x v="10"/>
    <x v="0"/>
    <n v="20"/>
    <d v="1899-12-30T00:35:56"/>
    <n v="35.93333333333333"/>
  </r>
  <r>
    <x v="81"/>
    <x v="10"/>
    <x v="1"/>
    <n v="10"/>
    <d v="1899-12-30T00:14:09"/>
    <n v="14.15"/>
  </r>
  <r>
    <x v="81"/>
    <x v="10"/>
    <x v="2"/>
    <n v="11"/>
    <d v="1899-12-30T00:24:16"/>
    <n v="24.266666666666666"/>
  </r>
  <r>
    <x v="81"/>
    <x v="10"/>
    <x v="3"/>
    <n v="2"/>
    <d v="1899-12-30T00:01:56"/>
    <n v="1.9333333333333333"/>
  </r>
  <r>
    <x v="81"/>
    <x v="10"/>
    <x v="4"/>
    <n v="3"/>
    <d v="1899-12-30T00:05:04"/>
    <n v="5.0666666666666664"/>
  </r>
  <r>
    <x v="81"/>
    <x v="10"/>
    <x v="5"/>
    <n v="17"/>
    <d v="1899-12-30T00:26:43"/>
    <n v="26.716666666666665"/>
  </r>
  <r>
    <x v="81"/>
    <x v="11"/>
    <x v="0"/>
    <n v="7"/>
    <d v="1899-12-30T00:09:45"/>
    <n v="9.75"/>
  </r>
  <r>
    <x v="81"/>
    <x v="11"/>
    <x v="1"/>
    <n v="8"/>
    <d v="1899-12-30T00:15:57"/>
    <n v="15.95"/>
  </r>
  <r>
    <x v="81"/>
    <x v="11"/>
    <x v="2"/>
    <n v="7"/>
    <d v="1899-12-30T00:12:52"/>
    <n v="12.866666666666667"/>
  </r>
  <r>
    <x v="81"/>
    <x v="11"/>
    <x v="3"/>
    <n v="0"/>
    <d v="1899-12-30T00:00:00"/>
    <n v="0"/>
  </r>
  <r>
    <x v="81"/>
    <x v="11"/>
    <x v="4"/>
    <n v="1"/>
    <d v="1899-12-30T00:02:37"/>
    <n v="2.6166666666666667"/>
  </r>
  <r>
    <x v="81"/>
    <x v="11"/>
    <x v="5"/>
    <n v="3"/>
    <d v="1899-12-30T00:04:15"/>
    <n v="4.25"/>
  </r>
  <r>
    <x v="81"/>
    <x v="12"/>
    <x v="0"/>
    <n v="86"/>
    <d v="1899-12-30T01:56:32"/>
    <n v="116.53333333333333"/>
  </r>
  <r>
    <x v="81"/>
    <x v="12"/>
    <x v="1"/>
    <n v="74"/>
    <d v="1899-12-30T02:00:00"/>
    <n v="120"/>
  </r>
  <r>
    <x v="81"/>
    <x v="12"/>
    <x v="2"/>
    <n v="57"/>
    <d v="1899-12-30T01:40:00"/>
    <n v="100"/>
  </r>
  <r>
    <x v="81"/>
    <x v="12"/>
    <x v="3"/>
    <n v="73"/>
    <d v="1899-12-30T01:09:38"/>
    <n v="69.63333333333334"/>
  </r>
  <r>
    <x v="81"/>
    <x v="12"/>
    <x v="4"/>
    <n v="33"/>
    <d v="1899-12-30T01:03:06"/>
    <n v="63.1"/>
  </r>
  <r>
    <x v="81"/>
    <x v="12"/>
    <x v="5"/>
    <n v="78"/>
    <d v="1899-12-30T01:51:27"/>
    <n v="111.45"/>
  </r>
  <r>
    <x v="81"/>
    <x v="13"/>
    <x v="0"/>
    <n v="75"/>
    <d v="1899-12-30T02:06:28"/>
    <n v="126.46666666666667"/>
  </r>
  <r>
    <x v="81"/>
    <x v="13"/>
    <x v="1"/>
    <n v="63"/>
    <d v="1899-12-30T01:35:37"/>
    <n v="95.61666666666666"/>
  </r>
  <r>
    <x v="81"/>
    <x v="13"/>
    <x v="2"/>
    <n v="33"/>
    <d v="1899-12-30T00:48:34"/>
    <n v="48.56666666666667"/>
  </r>
  <r>
    <x v="81"/>
    <x v="13"/>
    <x v="3"/>
    <n v="18"/>
    <d v="1899-12-30T00:15:32"/>
    <n v="15.533333333333333"/>
  </r>
  <r>
    <x v="81"/>
    <x v="13"/>
    <x v="4"/>
    <n v="0"/>
    <d v="1899-12-30T00:00:00"/>
    <n v="0"/>
  </r>
  <r>
    <x v="81"/>
    <x v="13"/>
    <x v="5"/>
    <n v="36"/>
    <d v="1899-12-30T00:32:52"/>
    <n v="32.866666666666667"/>
  </r>
  <r>
    <x v="82"/>
    <x v="0"/>
    <x v="0"/>
    <n v="69"/>
    <d v="1899-12-30T01:35:42"/>
    <n v="95.7"/>
  </r>
  <r>
    <x v="82"/>
    <x v="0"/>
    <x v="1"/>
    <n v="50"/>
    <d v="1899-12-30T01:06:02"/>
    <n v="66.033333333333331"/>
  </r>
  <r>
    <x v="82"/>
    <x v="0"/>
    <x v="2"/>
    <n v="47"/>
    <d v="1899-12-30T00:58:54"/>
    <n v="58.9"/>
  </r>
  <r>
    <x v="82"/>
    <x v="0"/>
    <x v="3"/>
    <n v="21"/>
    <d v="1899-12-30T00:20:34"/>
    <n v="20.566666666666666"/>
  </r>
  <r>
    <x v="82"/>
    <x v="0"/>
    <x v="4"/>
    <n v="3"/>
    <d v="1899-12-30T00:00:59"/>
    <n v="0.98333333333333328"/>
  </r>
  <r>
    <x v="82"/>
    <x v="0"/>
    <x v="5"/>
    <n v="45"/>
    <d v="1899-12-30T00:44:17"/>
    <n v="44.283333333333331"/>
  </r>
  <r>
    <x v="82"/>
    <x v="1"/>
    <x v="0"/>
    <n v="58"/>
    <d v="1899-12-30T02:01:13"/>
    <n v="121.21666666666667"/>
  </r>
  <r>
    <x v="82"/>
    <x v="1"/>
    <x v="1"/>
    <n v="50"/>
    <d v="1899-12-30T01:38:05"/>
    <n v="98.083333333333329"/>
  </r>
  <r>
    <x v="82"/>
    <x v="1"/>
    <x v="2"/>
    <n v="29"/>
    <d v="1899-12-30T00:57:24"/>
    <n v="57.4"/>
  </r>
  <r>
    <x v="82"/>
    <x v="1"/>
    <x v="3"/>
    <n v="10"/>
    <d v="1899-12-30T00:07:01"/>
    <n v="7.0166666666666666"/>
  </r>
  <r>
    <x v="82"/>
    <x v="1"/>
    <x v="4"/>
    <n v="80"/>
    <d v="1899-12-30T03:20:45"/>
    <n v="200.75"/>
  </r>
  <r>
    <x v="82"/>
    <x v="1"/>
    <x v="5"/>
    <n v="64"/>
    <d v="1899-12-30T01:26:03"/>
    <n v="86.05"/>
  </r>
  <r>
    <x v="82"/>
    <x v="2"/>
    <x v="0"/>
    <n v="95"/>
    <d v="1899-12-30T03:00:27"/>
    <n v="180.45"/>
  </r>
  <r>
    <x v="82"/>
    <x v="2"/>
    <x v="1"/>
    <n v="105"/>
    <d v="1899-12-30T03:24:08"/>
    <n v="204.13333333333333"/>
  </r>
  <r>
    <x v="82"/>
    <x v="2"/>
    <x v="2"/>
    <n v="71"/>
    <d v="1899-12-30T01:49:41"/>
    <n v="109.68333333333334"/>
  </r>
  <r>
    <x v="82"/>
    <x v="2"/>
    <x v="3"/>
    <n v="43"/>
    <d v="1899-12-30T00:49:05"/>
    <n v="49.083333333333336"/>
  </r>
  <r>
    <x v="82"/>
    <x v="2"/>
    <x v="4"/>
    <n v="33"/>
    <d v="1899-12-30T01:01:25"/>
    <n v="61.416666666666664"/>
  </r>
  <r>
    <x v="82"/>
    <x v="2"/>
    <x v="5"/>
    <n v="58"/>
    <d v="1899-12-30T01:21:10"/>
    <n v="81.166666666666671"/>
  </r>
  <r>
    <x v="82"/>
    <x v="3"/>
    <x v="0"/>
    <n v="17"/>
    <d v="1899-12-30T00:33:19"/>
    <n v="33.31666666666667"/>
  </r>
  <r>
    <x v="82"/>
    <x v="3"/>
    <x v="1"/>
    <n v="15"/>
    <d v="1899-12-30T00:35:01"/>
    <n v="35.016666666666666"/>
  </r>
  <r>
    <x v="82"/>
    <x v="3"/>
    <x v="2"/>
    <n v="6"/>
    <d v="1899-12-30T00:14:09"/>
    <n v="14.15"/>
  </r>
  <r>
    <x v="82"/>
    <x v="3"/>
    <x v="3"/>
    <n v="5"/>
    <d v="1899-12-30T00:06:28"/>
    <n v="6.4666666666666668"/>
  </r>
  <r>
    <x v="82"/>
    <x v="3"/>
    <x v="4"/>
    <n v="2"/>
    <d v="1899-12-30T00:04:56"/>
    <n v="4.9333333333333336"/>
  </r>
  <r>
    <x v="82"/>
    <x v="3"/>
    <x v="5"/>
    <n v="9"/>
    <d v="1899-12-30T00:12:21"/>
    <n v="12.35"/>
  </r>
  <r>
    <x v="82"/>
    <x v="4"/>
    <x v="0"/>
    <n v="32"/>
    <d v="1899-12-30T00:56:20"/>
    <n v="56.333333333333336"/>
  </r>
  <r>
    <x v="82"/>
    <x v="4"/>
    <x v="1"/>
    <n v="39"/>
    <d v="1899-12-30T00:59:55"/>
    <n v="59.916666666666664"/>
  </r>
  <r>
    <x v="82"/>
    <x v="4"/>
    <x v="2"/>
    <n v="16"/>
    <d v="1899-12-30T00:25:25"/>
    <n v="25.416666666666668"/>
  </r>
  <r>
    <x v="82"/>
    <x v="4"/>
    <x v="3"/>
    <n v="11"/>
    <d v="1899-12-30T00:10:08"/>
    <n v="10.133333333333333"/>
  </r>
  <r>
    <x v="82"/>
    <x v="4"/>
    <x v="4"/>
    <n v="11"/>
    <d v="1899-12-30T00:19:25"/>
    <n v="19.416666666666668"/>
  </r>
  <r>
    <x v="82"/>
    <x v="4"/>
    <x v="5"/>
    <n v="10"/>
    <d v="1899-12-30T00:13:01"/>
    <n v="13.016666666666667"/>
  </r>
  <r>
    <x v="82"/>
    <x v="5"/>
    <x v="0"/>
    <n v="60"/>
    <d v="1899-12-30T01:24:37"/>
    <n v="84.61666666666666"/>
  </r>
  <r>
    <x v="82"/>
    <x v="5"/>
    <x v="1"/>
    <n v="51"/>
    <d v="1899-12-30T01:13:36"/>
    <n v="73.599999999999994"/>
  </r>
  <r>
    <x v="82"/>
    <x v="5"/>
    <x v="2"/>
    <n v="46"/>
    <d v="1899-12-30T01:05:46"/>
    <n v="65.766666666666666"/>
  </r>
  <r>
    <x v="82"/>
    <x v="5"/>
    <x v="3"/>
    <n v="19"/>
    <d v="1899-12-30T00:18:44"/>
    <n v="18.733333333333334"/>
  </r>
  <r>
    <x v="82"/>
    <x v="5"/>
    <x v="4"/>
    <n v="14"/>
    <d v="1899-12-30T00:20:13"/>
    <n v="20.216666666666665"/>
  </r>
  <r>
    <x v="82"/>
    <x v="5"/>
    <x v="5"/>
    <n v="57"/>
    <d v="1899-12-30T01:16:24"/>
    <n v="76.400000000000006"/>
  </r>
  <r>
    <x v="82"/>
    <x v="6"/>
    <x v="0"/>
    <n v="17"/>
    <d v="1899-12-30T00:22:16"/>
    <n v="22.266666666666666"/>
  </r>
  <r>
    <x v="82"/>
    <x v="6"/>
    <x v="1"/>
    <n v="17"/>
    <d v="1899-12-30T00:28:48"/>
    <n v="28.8"/>
  </r>
  <r>
    <x v="82"/>
    <x v="6"/>
    <x v="2"/>
    <n v="16"/>
    <d v="1899-12-30T00:22:50"/>
    <n v="22.833333333333332"/>
  </r>
  <r>
    <x v="82"/>
    <x v="6"/>
    <x v="3"/>
    <n v="8"/>
    <d v="1899-12-30T00:07:54"/>
    <n v="7.9"/>
  </r>
  <r>
    <x v="82"/>
    <x v="6"/>
    <x v="4"/>
    <n v="7"/>
    <d v="1899-12-30T00:08:03"/>
    <n v="8.0500000000000007"/>
  </r>
  <r>
    <x v="82"/>
    <x v="6"/>
    <x v="5"/>
    <n v="12"/>
    <d v="1899-12-30T00:11:38"/>
    <n v="11.633333333333333"/>
  </r>
  <r>
    <x v="82"/>
    <x v="7"/>
    <x v="0"/>
    <n v="100"/>
    <d v="1899-12-30T02:05:05"/>
    <n v="125.08333333333333"/>
  </r>
  <r>
    <x v="82"/>
    <x v="7"/>
    <x v="1"/>
    <n v="111"/>
    <d v="1899-12-30T02:22:06"/>
    <n v="142.1"/>
  </r>
  <r>
    <x v="82"/>
    <x v="7"/>
    <x v="2"/>
    <n v="83"/>
    <d v="1899-12-30T01:44:40"/>
    <n v="104.66666666666667"/>
  </r>
  <r>
    <x v="82"/>
    <x v="7"/>
    <x v="3"/>
    <n v="116"/>
    <d v="1899-12-30T01:53:21"/>
    <n v="113.35"/>
  </r>
  <r>
    <x v="82"/>
    <x v="7"/>
    <x v="4"/>
    <n v="176"/>
    <d v="1899-12-30T04:48:09"/>
    <n v="288.14999999999998"/>
  </r>
  <r>
    <x v="82"/>
    <x v="7"/>
    <x v="5"/>
    <n v="65"/>
    <d v="1899-12-30T00:57:54"/>
    <n v="57.9"/>
  </r>
  <r>
    <x v="82"/>
    <x v="8"/>
    <x v="0"/>
    <n v="48"/>
    <d v="1899-12-30T01:07:20"/>
    <n v="67.333333333333329"/>
  </r>
  <r>
    <x v="82"/>
    <x v="8"/>
    <x v="1"/>
    <n v="42"/>
    <d v="1899-12-30T01:12:24"/>
    <n v="72.400000000000006"/>
  </r>
  <r>
    <x v="82"/>
    <x v="8"/>
    <x v="2"/>
    <n v="27"/>
    <d v="1899-12-30T00:40:32"/>
    <n v="40.533333333333331"/>
  </r>
  <r>
    <x v="82"/>
    <x v="8"/>
    <x v="3"/>
    <n v="49"/>
    <d v="1899-12-30T00:44:33"/>
    <n v="44.55"/>
  </r>
  <r>
    <x v="82"/>
    <x v="8"/>
    <x v="4"/>
    <n v="11"/>
    <d v="1899-12-30T00:19:22"/>
    <n v="19.366666666666667"/>
  </r>
  <r>
    <x v="82"/>
    <x v="8"/>
    <x v="5"/>
    <n v="44"/>
    <d v="1899-12-30T00:52:09"/>
    <n v="52.15"/>
  </r>
  <r>
    <x v="82"/>
    <x v="9"/>
    <x v="0"/>
    <n v="43"/>
    <d v="1899-12-30T01:04:28"/>
    <n v="64.466666666666669"/>
  </r>
  <r>
    <x v="82"/>
    <x v="9"/>
    <x v="1"/>
    <n v="66"/>
    <d v="1899-12-30T02:11:58"/>
    <n v="131.96666666666667"/>
  </r>
  <r>
    <x v="82"/>
    <x v="9"/>
    <x v="2"/>
    <n v="34"/>
    <d v="1899-12-30T00:47:14"/>
    <n v="47.233333333333334"/>
  </r>
  <r>
    <x v="82"/>
    <x v="9"/>
    <x v="3"/>
    <n v="28"/>
    <d v="1899-12-30T00:32:48"/>
    <n v="32.799999999999997"/>
  </r>
  <r>
    <x v="82"/>
    <x v="9"/>
    <x v="4"/>
    <n v="4"/>
    <d v="1899-12-30T00:08:36"/>
    <n v="8.6"/>
  </r>
  <r>
    <x v="82"/>
    <x v="9"/>
    <x v="5"/>
    <n v="26"/>
    <d v="1899-12-30T00:32:55"/>
    <n v="32.916666666666664"/>
  </r>
  <r>
    <x v="82"/>
    <x v="10"/>
    <x v="0"/>
    <n v="22"/>
    <d v="1899-12-30T00:39:00"/>
    <n v="39"/>
  </r>
  <r>
    <x v="82"/>
    <x v="10"/>
    <x v="1"/>
    <n v="21"/>
    <d v="1899-12-30T00:48:51"/>
    <n v="48.85"/>
  </r>
  <r>
    <x v="82"/>
    <x v="10"/>
    <x v="2"/>
    <n v="20"/>
    <d v="1899-12-30T00:42:43"/>
    <n v="42.716666666666669"/>
  </r>
  <r>
    <x v="82"/>
    <x v="10"/>
    <x v="3"/>
    <n v="11"/>
    <d v="1899-12-30T00:15:30"/>
    <n v="15.5"/>
  </r>
  <r>
    <x v="82"/>
    <x v="10"/>
    <x v="4"/>
    <n v="1"/>
    <d v="1899-12-30T00:02:26"/>
    <n v="2.4333333333333336"/>
  </r>
  <r>
    <x v="82"/>
    <x v="10"/>
    <x v="5"/>
    <n v="20"/>
    <d v="1899-12-30T00:33:26"/>
    <n v="33.43333333333333"/>
  </r>
  <r>
    <x v="82"/>
    <x v="11"/>
    <x v="0"/>
    <n v="20"/>
    <d v="1899-12-30T00:25:37"/>
    <n v="25.616666666666667"/>
  </r>
  <r>
    <x v="82"/>
    <x v="11"/>
    <x v="1"/>
    <n v="18"/>
    <d v="1899-12-30T00:21:44"/>
    <n v="21.733333333333334"/>
  </r>
  <r>
    <x v="82"/>
    <x v="11"/>
    <x v="2"/>
    <n v="9"/>
    <d v="1899-12-30T00:10:55"/>
    <n v="10.916666666666666"/>
  </r>
  <r>
    <x v="82"/>
    <x v="11"/>
    <x v="3"/>
    <n v="12"/>
    <d v="1899-12-30T00:09:11"/>
    <n v="9.1833333333333336"/>
  </r>
  <r>
    <x v="82"/>
    <x v="11"/>
    <x v="4"/>
    <n v="8"/>
    <d v="1899-12-30T00:12:14"/>
    <n v="12.233333333333333"/>
  </r>
  <r>
    <x v="82"/>
    <x v="11"/>
    <x v="5"/>
    <n v="11"/>
    <d v="1899-12-30T00:14:09"/>
    <n v="14.15"/>
  </r>
  <r>
    <x v="82"/>
    <x v="12"/>
    <x v="0"/>
    <n v="121"/>
    <d v="1899-12-30T03:04:05"/>
    <n v="184.08333333333334"/>
  </r>
  <r>
    <x v="82"/>
    <x v="12"/>
    <x v="1"/>
    <n v="102"/>
    <d v="1899-12-30T02:56:08"/>
    <n v="176.13333333333333"/>
  </r>
  <r>
    <x v="82"/>
    <x v="12"/>
    <x v="2"/>
    <n v="78"/>
    <d v="1899-12-30T02:13:00"/>
    <n v="133"/>
  </r>
  <r>
    <x v="82"/>
    <x v="12"/>
    <x v="3"/>
    <n v="71"/>
    <d v="1899-12-30T01:15:08"/>
    <n v="75.13333333333334"/>
  </r>
  <r>
    <x v="82"/>
    <x v="12"/>
    <x v="4"/>
    <n v="48"/>
    <d v="1899-12-30T01:37:47"/>
    <n v="97.783333333333331"/>
  </r>
  <r>
    <x v="82"/>
    <x v="12"/>
    <x v="5"/>
    <n v="111"/>
    <d v="1899-12-30T02:01:16"/>
    <n v="121.26666666666667"/>
  </r>
  <r>
    <x v="82"/>
    <x v="13"/>
    <x v="0"/>
    <n v="44"/>
    <d v="1899-12-30T00:50:35"/>
    <n v="50.583333333333336"/>
  </r>
  <r>
    <x v="82"/>
    <x v="13"/>
    <x v="1"/>
    <n v="33"/>
    <d v="1899-12-30T00:54:48"/>
    <n v="54.8"/>
  </r>
  <r>
    <x v="82"/>
    <x v="13"/>
    <x v="2"/>
    <n v="16"/>
    <d v="1899-12-30T00:18:26"/>
    <n v="18.433333333333334"/>
  </r>
  <r>
    <x v="82"/>
    <x v="13"/>
    <x v="3"/>
    <n v="11"/>
    <d v="1899-12-30T00:09:29"/>
    <n v="9.4833333333333325"/>
  </r>
  <r>
    <x v="82"/>
    <x v="13"/>
    <x v="4"/>
    <n v="0"/>
    <d v="1899-12-30T00:00:00"/>
    <n v="0"/>
  </r>
  <r>
    <x v="82"/>
    <x v="13"/>
    <x v="5"/>
    <n v="24"/>
    <d v="1899-12-30T00:22:31"/>
    <n v="22.516666666666666"/>
  </r>
  <r>
    <x v="83"/>
    <x v="0"/>
    <x v="0"/>
    <n v="38"/>
    <d v="1899-12-30T00:42:16"/>
    <n v="42.266666666666666"/>
  </r>
  <r>
    <x v="83"/>
    <x v="0"/>
    <x v="1"/>
    <n v="26"/>
    <d v="1899-12-30T00:30:53"/>
    <n v="30.883333333333333"/>
  </r>
  <r>
    <x v="83"/>
    <x v="0"/>
    <x v="2"/>
    <n v="28"/>
    <d v="1899-12-30T00:32:21"/>
    <n v="32.35"/>
  </r>
  <r>
    <x v="83"/>
    <x v="0"/>
    <x v="3"/>
    <n v="10"/>
    <d v="1899-12-30T00:07:59"/>
    <n v="7.9833333333333334"/>
  </r>
  <r>
    <x v="83"/>
    <x v="0"/>
    <x v="4"/>
    <n v="2"/>
    <d v="1899-12-30T00:03:17"/>
    <n v="3.2833333333333332"/>
  </r>
  <r>
    <x v="83"/>
    <x v="0"/>
    <x v="5"/>
    <n v="16"/>
    <d v="1899-12-30T00:16:19"/>
    <n v="16.316666666666666"/>
  </r>
  <r>
    <x v="83"/>
    <x v="1"/>
    <x v="0"/>
    <n v="68"/>
    <d v="1899-12-30T02:08:03"/>
    <n v="128.05000000000001"/>
  </r>
  <r>
    <x v="83"/>
    <x v="1"/>
    <x v="1"/>
    <n v="42"/>
    <d v="1899-12-30T01:12:14"/>
    <n v="72.233333333333334"/>
  </r>
  <r>
    <x v="83"/>
    <x v="1"/>
    <x v="2"/>
    <n v="33"/>
    <d v="1899-12-30T01:06:14"/>
    <n v="66.233333333333334"/>
  </r>
  <r>
    <x v="83"/>
    <x v="1"/>
    <x v="3"/>
    <n v="8"/>
    <d v="1899-12-30T00:07:44"/>
    <n v="7.7333333333333334"/>
  </r>
  <r>
    <x v="83"/>
    <x v="1"/>
    <x v="4"/>
    <n v="47"/>
    <d v="1899-12-30T01:45:24"/>
    <n v="105.4"/>
  </r>
  <r>
    <x v="83"/>
    <x v="1"/>
    <x v="5"/>
    <n v="42"/>
    <d v="1899-12-30T00:59:11"/>
    <n v="59.18333333333333"/>
  </r>
  <r>
    <x v="83"/>
    <x v="2"/>
    <x v="0"/>
    <n v="67"/>
    <d v="1899-12-30T01:50:44"/>
    <n v="110.73333333333333"/>
  </r>
  <r>
    <x v="83"/>
    <x v="2"/>
    <x v="1"/>
    <n v="73"/>
    <d v="1899-12-30T02:26:25"/>
    <n v="146.41666666666666"/>
  </r>
  <r>
    <x v="83"/>
    <x v="2"/>
    <x v="2"/>
    <n v="48"/>
    <d v="1899-12-30T01:30:33"/>
    <n v="90.55"/>
  </r>
  <r>
    <x v="83"/>
    <x v="2"/>
    <x v="3"/>
    <n v="37"/>
    <d v="1899-12-30T00:38:51"/>
    <n v="38.85"/>
  </r>
  <r>
    <x v="83"/>
    <x v="2"/>
    <x v="4"/>
    <n v="18"/>
    <d v="1899-12-30T00:38:17"/>
    <n v="38.283333333333331"/>
  </r>
  <r>
    <x v="83"/>
    <x v="2"/>
    <x v="5"/>
    <n v="32"/>
    <d v="1899-12-30T00:48:28"/>
    <n v="48.466666666666669"/>
  </r>
  <r>
    <x v="83"/>
    <x v="3"/>
    <x v="0"/>
    <n v="8"/>
    <d v="1899-12-30T00:13:09"/>
    <n v="13.15"/>
  </r>
  <r>
    <x v="83"/>
    <x v="3"/>
    <x v="1"/>
    <n v="8"/>
    <d v="1899-12-30T00:23:48"/>
    <n v="23.8"/>
  </r>
  <r>
    <x v="83"/>
    <x v="3"/>
    <x v="2"/>
    <n v="4"/>
    <d v="1899-12-30T00:04:40"/>
    <n v="4.666666666666667"/>
  </r>
  <r>
    <x v="83"/>
    <x v="3"/>
    <x v="3"/>
    <n v="7"/>
    <d v="1899-12-30T00:06:47"/>
    <n v="6.7833333333333332"/>
  </r>
  <r>
    <x v="83"/>
    <x v="3"/>
    <x v="4"/>
    <n v="1"/>
    <d v="1899-12-30T00:00:52"/>
    <n v="0.8666666666666667"/>
  </r>
  <r>
    <x v="83"/>
    <x v="3"/>
    <x v="5"/>
    <n v="2"/>
    <d v="1899-12-30T00:02:40"/>
    <n v="2.6666666666666665"/>
  </r>
  <r>
    <x v="83"/>
    <x v="4"/>
    <x v="0"/>
    <n v="20"/>
    <d v="1899-12-30T00:31:31"/>
    <n v="31.516666666666666"/>
  </r>
  <r>
    <x v="83"/>
    <x v="4"/>
    <x v="1"/>
    <n v="20"/>
    <d v="1899-12-30T00:25:57"/>
    <n v="25.95"/>
  </r>
  <r>
    <x v="83"/>
    <x v="4"/>
    <x v="2"/>
    <n v="16"/>
    <d v="1899-12-30T00:24:44"/>
    <n v="24.733333333333334"/>
  </r>
  <r>
    <x v="83"/>
    <x v="4"/>
    <x v="3"/>
    <n v="8"/>
    <d v="1899-12-30T00:07:52"/>
    <n v="7.8666666666666671"/>
  </r>
  <r>
    <x v="83"/>
    <x v="4"/>
    <x v="4"/>
    <n v="8"/>
    <d v="1899-12-30T00:16:28"/>
    <n v="16.466666666666665"/>
  </r>
  <r>
    <x v="83"/>
    <x v="4"/>
    <x v="5"/>
    <n v="11"/>
    <d v="1899-12-30T00:15:29"/>
    <n v="15.483333333333333"/>
  </r>
  <r>
    <x v="83"/>
    <x v="5"/>
    <x v="0"/>
    <n v="35"/>
    <d v="1899-12-30T00:46:39"/>
    <n v="46.65"/>
  </r>
  <r>
    <x v="83"/>
    <x v="5"/>
    <x v="1"/>
    <n v="37"/>
    <d v="1899-12-30T00:48:40"/>
    <n v="48.666666666666664"/>
  </r>
  <r>
    <x v="83"/>
    <x v="5"/>
    <x v="2"/>
    <n v="33"/>
    <d v="1899-12-30T00:40:34"/>
    <n v="40.56666666666667"/>
  </r>
  <r>
    <x v="83"/>
    <x v="5"/>
    <x v="3"/>
    <n v="17"/>
    <d v="1899-12-30T00:16:01"/>
    <n v="16.016666666666666"/>
  </r>
  <r>
    <x v="83"/>
    <x v="5"/>
    <x v="4"/>
    <n v="1"/>
    <d v="1899-12-30T00:00:48"/>
    <n v="0.8"/>
  </r>
  <r>
    <x v="83"/>
    <x v="5"/>
    <x v="5"/>
    <n v="37"/>
    <d v="1899-12-30T00:44:59"/>
    <n v="44.983333333333334"/>
  </r>
  <r>
    <x v="83"/>
    <x v="6"/>
    <x v="0"/>
    <n v="13"/>
    <d v="1899-12-30T00:16:11"/>
    <n v="16.183333333333334"/>
  </r>
  <r>
    <x v="83"/>
    <x v="6"/>
    <x v="1"/>
    <n v="17"/>
    <d v="1899-12-30T00:24:01"/>
    <n v="24.016666666666666"/>
  </r>
  <r>
    <x v="83"/>
    <x v="6"/>
    <x v="2"/>
    <n v="8"/>
    <d v="1899-12-30T00:10:43"/>
    <n v="10.716666666666667"/>
  </r>
  <r>
    <x v="83"/>
    <x v="6"/>
    <x v="3"/>
    <n v="9"/>
    <d v="1899-12-30T00:07:45"/>
    <n v="7.75"/>
  </r>
  <r>
    <x v="83"/>
    <x v="6"/>
    <x v="4"/>
    <n v="11"/>
    <d v="1899-12-30T00:18:47"/>
    <n v="18.783333333333335"/>
  </r>
  <r>
    <x v="83"/>
    <x v="6"/>
    <x v="5"/>
    <n v="6"/>
    <d v="1899-12-30T00:05:59"/>
    <n v="5.9833333333333334"/>
  </r>
  <r>
    <x v="83"/>
    <x v="7"/>
    <x v="0"/>
    <n v="61"/>
    <d v="1899-12-30T01:19:49"/>
    <n v="79.816666666666663"/>
  </r>
  <r>
    <x v="83"/>
    <x v="7"/>
    <x v="1"/>
    <n v="114"/>
    <d v="1899-12-30T02:22:56"/>
    <n v="142.93333333333334"/>
  </r>
  <r>
    <x v="83"/>
    <x v="7"/>
    <x v="2"/>
    <n v="40"/>
    <d v="1899-12-30T00:44:07"/>
    <n v="44.116666666666667"/>
  </r>
  <r>
    <x v="83"/>
    <x v="7"/>
    <x v="3"/>
    <n v="67"/>
    <d v="1899-12-30T01:07:24"/>
    <n v="67.400000000000006"/>
  </r>
  <r>
    <x v="83"/>
    <x v="7"/>
    <x v="4"/>
    <n v="133"/>
    <d v="1899-12-30T03:46:06"/>
    <n v="226.1"/>
  </r>
  <r>
    <x v="83"/>
    <x v="7"/>
    <x v="5"/>
    <n v="32"/>
    <d v="1899-12-30T00:28:43"/>
    <n v="28.716666666666665"/>
  </r>
  <r>
    <x v="83"/>
    <x v="8"/>
    <x v="0"/>
    <n v="37"/>
    <d v="1899-12-30T00:48:09"/>
    <n v="48.15"/>
  </r>
  <r>
    <x v="83"/>
    <x v="8"/>
    <x v="1"/>
    <n v="28"/>
    <d v="1899-12-30T00:36:33"/>
    <n v="36.549999999999997"/>
  </r>
  <r>
    <x v="83"/>
    <x v="8"/>
    <x v="2"/>
    <n v="31"/>
    <d v="1899-12-30T00:44:36"/>
    <n v="44.6"/>
  </r>
  <r>
    <x v="83"/>
    <x v="8"/>
    <x v="3"/>
    <n v="34"/>
    <d v="1899-12-30T00:35:21"/>
    <n v="35.35"/>
  </r>
  <r>
    <x v="83"/>
    <x v="8"/>
    <x v="4"/>
    <n v="14"/>
    <d v="1899-12-30T00:20:48"/>
    <n v="20.8"/>
  </r>
  <r>
    <x v="83"/>
    <x v="8"/>
    <x v="5"/>
    <n v="33"/>
    <d v="1899-12-30T00:42:41"/>
    <n v="42.68333333333333"/>
  </r>
  <r>
    <x v="83"/>
    <x v="9"/>
    <x v="0"/>
    <n v="26"/>
    <d v="1899-12-30T00:44:29"/>
    <n v="44.483333333333334"/>
  </r>
  <r>
    <x v="83"/>
    <x v="9"/>
    <x v="1"/>
    <n v="30"/>
    <d v="1899-12-30T00:48:16"/>
    <n v="48.266666666666666"/>
  </r>
  <r>
    <x v="83"/>
    <x v="9"/>
    <x v="2"/>
    <n v="27"/>
    <d v="1899-12-30T00:47:21"/>
    <n v="47.35"/>
  </r>
  <r>
    <x v="83"/>
    <x v="9"/>
    <x v="3"/>
    <n v="22"/>
    <d v="1899-12-30T00:26:51"/>
    <n v="26.85"/>
  </r>
  <r>
    <x v="83"/>
    <x v="9"/>
    <x v="4"/>
    <n v="7"/>
    <d v="1899-12-30T00:12:56"/>
    <n v="12.933333333333334"/>
  </r>
  <r>
    <x v="83"/>
    <x v="9"/>
    <x v="5"/>
    <n v="19"/>
    <d v="1899-12-30T00:23:58"/>
    <n v="23.966666666666665"/>
  </r>
  <r>
    <x v="83"/>
    <x v="10"/>
    <x v="0"/>
    <n v="23"/>
    <d v="1899-12-30T00:39:45"/>
    <n v="39.75"/>
  </r>
  <r>
    <x v="83"/>
    <x v="10"/>
    <x v="1"/>
    <n v="33"/>
    <d v="1899-12-30T01:01:41"/>
    <n v="61.68333333333333"/>
  </r>
  <r>
    <x v="83"/>
    <x v="10"/>
    <x v="2"/>
    <n v="18"/>
    <d v="1899-12-30T00:32:18"/>
    <n v="32.299999999999997"/>
  </r>
  <r>
    <x v="83"/>
    <x v="10"/>
    <x v="3"/>
    <n v="11"/>
    <d v="1899-12-30T00:12:45"/>
    <n v="12.75"/>
  </r>
  <r>
    <x v="83"/>
    <x v="10"/>
    <x v="4"/>
    <n v="2"/>
    <d v="1899-12-30T00:03:41"/>
    <n v="3.6833333333333336"/>
  </r>
  <r>
    <x v="83"/>
    <x v="10"/>
    <x v="5"/>
    <n v="22"/>
    <d v="1899-12-30T00:29:50"/>
    <n v="29.833333333333332"/>
  </r>
  <r>
    <x v="83"/>
    <x v="11"/>
    <x v="0"/>
    <n v="12"/>
    <d v="1899-12-30T00:22:38"/>
    <n v="22.633333333333333"/>
  </r>
  <r>
    <x v="83"/>
    <x v="11"/>
    <x v="1"/>
    <n v="8"/>
    <d v="1899-12-30T00:12:57"/>
    <n v="12.95"/>
  </r>
  <r>
    <x v="83"/>
    <x v="11"/>
    <x v="2"/>
    <n v="10"/>
    <d v="1899-12-30T00:15:08"/>
    <n v="15.133333333333333"/>
  </r>
  <r>
    <x v="83"/>
    <x v="11"/>
    <x v="3"/>
    <n v="7"/>
    <d v="1899-12-30T00:07:14"/>
    <n v="7.2333333333333334"/>
  </r>
  <r>
    <x v="83"/>
    <x v="11"/>
    <x v="4"/>
    <n v="3"/>
    <d v="1899-12-30T00:03:23"/>
    <n v="3.3833333333333333"/>
  </r>
  <r>
    <x v="83"/>
    <x v="11"/>
    <x v="5"/>
    <n v="8"/>
    <d v="1899-12-30T00:11:25"/>
    <n v="11.416666666666666"/>
  </r>
  <r>
    <x v="83"/>
    <x v="12"/>
    <x v="0"/>
    <n v="149"/>
    <d v="1899-12-30T04:01:04"/>
    <n v="241.06666666666666"/>
  </r>
  <r>
    <x v="83"/>
    <x v="12"/>
    <x v="1"/>
    <n v="125"/>
    <d v="1899-12-30T03:55:39"/>
    <n v="235.65"/>
  </r>
  <r>
    <x v="83"/>
    <x v="12"/>
    <x v="2"/>
    <n v="90"/>
    <d v="1899-12-30T02:25:35"/>
    <n v="145.58333333333334"/>
  </r>
  <r>
    <x v="83"/>
    <x v="12"/>
    <x v="3"/>
    <n v="80"/>
    <d v="1899-12-30T01:12:55"/>
    <n v="72.916666666666671"/>
  </r>
  <r>
    <x v="83"/>
    <x v="12"/>
    <x v="4"/>
    <n v="25"/>
    <d v="1899-12-30T00:47:33"/>
    <n v="47.55"/>
  </r>
  <r>
    <x v="83"/>
    <x v="12"/>
    <x v="5"/>
    <n v="122"/>
    <d v="1899-12-30T02:43:02"/>
    <n v="163.03333333333333"/>
  </r>
  <r>
    <x v="83"/>
    <x v="13"/>
    <x v="0"/>
    <n v="38"/>
    <d v="1899-12-30T00:51:45"/>
    <n v="51.75"/>
  </r>
  <r>
    <x v="83"/>
    <x v="13"/>
    <x v="1"/>
    <n v="27"/>
    <d v="1899-12-30T00:36:50"/>
    <n v="36.833333333333336"/>
  </r>
  <r>
    <x v="83"/>
    <x v="13"/>
    <x v="2"/>
    <n v="11"/>
    <d v="1899-12-30T00:16:36"/>
    <n v="16.600000000000001"/>
  </r>
  <r>
    <x v="83"/>
    <x v="13"/>
    <x v="3"/>
    <n v="14"/>
    <d v="1899-12-30T00:14:17"/>
    <n v="14.283333333333333"/>
  </r>
  <r>
    <x v="83"/>
    <x v="13"/>
    <x v="4"/>
    <n v="1"/>
    <d v="1899-12-30T00:02:14"/>
    <n v="2.2333333333333334"/>
  </r>
  <r>
    <x v="83"/>
    <x v="13"/>
    <x v="5"/>
    <n v="23"/>
    <d v="1899-12-30T00:25:25"/>
    <n v="25.416666666666668"/>
  </r>
  <r>
    <x v="84"/>
    <x v="0"/>
    <x v="0"/>
    <n v="111"/>
    <d v="1899-12-30T02:40:18"/>
    <n v="160.30000000000001"/>
  </r>
  <r>
    <x v="84"/>
    <x v="0"/>
    <x v="1"/>
    <n v="80"/>
    <d v="1899-12-30T01:55:24"/>
    <n v="115.4"/>
  </r>
  <r>
    <x v="84"/>
    <x v="0"/>
    <x v="2"/>
    <n v="45"/>
    <d v="1899-12-30T00:58:25"/>
    <n v="58.416666666666664"/>
  </r>
  <r>
    <x v="84"/>
    <x v="0"/>
    <x v="3"/>
    <n v="18"/>
    <d v="1899-12-30T00:18:16"/>
    <n v="18.266666666666666"/>
  </r>
  <r>
    <x v="84"/>
    <x v="0"/>
    <x v="4"/>
    <n v="2"/>
    <d v="1899-12-30T00:01:15"/>
    <n v="1.25"/>
  </r>
  <r>
    <x v="84"/>
    <x v="0"/>
    <x v="5"/>
    <n v="45"/>
    <d v="1899-12-30T00:59:03"/>
    <n v="59.05"/>
  </r>
  <r>
    <x v="84"/>
    <x v="1"/>
    <x v="0"/>
    <n v="73"/>
    <d v="1899-12-30T02:18:17"/>
    <n v="138.28333333333333"/>
  </r>
  <r>
    <x v="84"/>
    <x v="1"/>
    <x v="1"/>
    <n v="59"/>
    <d v="1899-12-30T01:49:54"/>
    <n v="109.9"/>
  </r>
  <r>
    <x v="84"/>
    <x v="1"/>
    <x v="2"/>
    <n v="38"/>
    <d v="1899-12-30T01:08:29"/>
    <n v="68.483333333333334"/>
  </r>
  <r>
    <x v="84"/>
    <x v="1"/>
    <x v="3"/>
    <n v="16"/>
    <d v="1899-12-30T00:27:30"/>
    <n v="27.5"/>
  </r>
  <r>
    <x v="84"/>
    <x v="1"/>
    <x v="4"/>
    <n v="33"/>
    <d v="1899-12-30T01:14:58"/>
    <n v="74.966666666666669"/>
  </r>
  <r>
    <x v="84"/>
    <x v="1"/>
    <x v="5"/>
    <n v="60"/>
    <d v="1899-12-30T01:29:07"/>
    <n v="89.11666666666666"/>
  </r>
  <r>
    <x v="84"/>
    <x v="2"/>
    <x v="0"/>
    <n v="99"/>
    <d v="1899-12-30T03:53:59"/>
    <n v="233.98333333333332"/>
  </r>
  <r>
    <x v="84"/>
    <x v="2"/>
    <x v="1"/>
    <n v="111"/>
    <d v="1899-12-30T02:55:27"/>
    <n v="175.45"/>
  </r>
  <r>
    <x v="84"/>
    <x v="2"/>
    <x v="2"/>
    <n v="78"/>
    <d v="1899-12-30T01:57:23"/>
    <n v="117.38333333333334"/>
  </r>
  <r>
    <x v="84"/>
    <x v="2"/>
    <x v="3"/>
    <n v="64"/>
    <d v="1899-12-30T01:10:47"/>
    <n v="70.783333333333331"/>
  </r>
  <r>
    <x v="84"/>
    <x v="2"/>
    <x v="4"/>
    <n v="31"/>
    <d v="1899-12-30T00:52:54"/>
    <n v="52.9"/>
  </r>
  <r>
    <x v="84"/>
    <x v="2"/>
    <x v="5"/>
    <n v="56"/>
    <d v="1899-12-30T01:24:34"/>
    <n v="84.566666666666663"/>
  </r>
  <r>
    <x v="84"/>
    <x v="3"/>
    <x v="0"/>
    <n v="14"/>
    <d v="1899-12-30T00:21:50"/>
    <n v="21.833333333333332"/>
  </r>
  <r>
    <x v="84"/>
    <x v="3"/>
    <x v="1"/>
    <n v="16"/>
    <d v="1899-12-30T00:48:04"/>
    <n v="48.06666666666667"/>
  </r>
  <r>
    <x v="84"/>
    <x v="3"/>
    <x v="2"/>
    <n v="10"/>
    <d v="1899-12-30T00:19:01"/>
    <n v="19.016666666666666"/>
  </r>
  <r>
    <x v="84"/>
    <x v="3"/>
    <x v="3"/>
    <n v="6"/>
    <d v="1899-12-30T00:05:03"/>
    <n v="5.05"/>
  </r>
  <r>
    <x v="84"/>
    <x v="3"/>
    <x v="4"/>
    <n v="2"/>
    <d v="1899-12-30T00:05:45"/>
    <n v="5.75"/>
  </r>
  <r>
    <x v="84"/>
    <x v="3"/>
    <x v="5"/>
    <n v="8"/>
    <d v="1899-12-30T00:12:32"/>
    <n v="12.533333333333333"/>
  </r>
  <r>
    <x v="84"/>
    <x v="4"/>
    <x v="0"/>
    <n v="26"/>
    <d v="1899-12-30T00:40:17"/>
    <n v="40.283333333333331"/>
  </r>
  <r>
    <x v="84"/>
    <x v="4"/>
    <x v="1"/>
    <n v="50"/>
    <d v="1899-12-30T01:05:54"/>
    <n v="65.900000000000006"/>
  </r>
  <r>
    <x v="84"/>
    <x v="4"/>
    <x v="2"/>
    <n v="15"/>
    <d v="1899-12-30T00:21:04"/>
    <n v="21.066666666666666"/>
  </r>
  <r>
    <x v="84"/>
    <x v="4"/>
    <x v="3"/>
    <n v="16"/>
    <d v="1899-12-30T00:11:13"/>
    <n v="11.216666666666667"/>
  </r>
  <r>
    <x v="84"/>
    <x v="4"/>
    <x v="4"/>
    <n v="5"/>
    <d v="1899-12-30T00:10:20"/>
    <n v="10.333333333333334"/>
  </r>
  <r>
    <x v="84"/>
    <x v="4"/>
    <x v="5"/>
    <n v="23"/>
    <d v="1899-12-30T00:29:47"/>
    <n v="29.783333333333335"/>
  </r>
  <r>
    <x v="84"/>
    <x v="5"/>
    <x v="0"/>
    <n v="29"/>
    <d v="1899-12-30T00:37:50"/>
    <n v="37.833333333333336"/>
  </r>
  <r>
    <x v="84"/>
    <x v="5"/>
    <x v="1"/>
    <n v="27"/>
    <d v="1899-12-30T00:41:19"/>
    <n v="41.31666666666667"/>
  </r>
  <r>
    <x v="84"/>
    <x v="5"/>
    <x v="2"/>
    <n v="33"/>
    <d v="1899-12-30T00:45:48"/>
    <n v="45.8"/>
  </r>
  <r>
    <x v="84"/>
    <x v="5"/>
    <x v="3"/>
    <n v="12"/>
    <d v="1899-12-30T00:09:42"/>
    <n v="9.6999999999999993"/>
  </r>
  <r>
    <x v="84"/>
    <x v="5"/>
    <x v="4"/>
    <n v="3"/>
    <d v="1899-12-30T00:04:22"/>
    <n v="4.3666666666666663"/>
  </r>
  <r>
    <x v="84"/>
    <x v="5"/>
    <x v="5"/>
    <n v="49"/>
    <d v="1899-12-30T01:01:53"/>
    <n v="61.883333333333333"/>
  </r>
  <r>
    <x v="84"/>
    <x v="6"/>
    <x v="0"/>
    <n v="12"/>
    <d v="1899-12-30T00:14:49"/>
    <n v="14.816666666666666"/>
  </r>
  <r>
    <x v="84"/>
    <x v="6"/>
    <x v="1"/>
    <n v="8"/>
    <d v="1899-12-30T00:13:20"/>
    <n v="13.333333333333334"/>
  </r>
  <r>
    <x v="84"/>
    <x v="6"/>
    <x v="2"/>
    <n v="9"/>
    <d v="1899-12-30T00:09:41"/>
    <n v="9.6833333333333336"/>
  </r>
  <r>
    <x v="84"/>
    <x v="6"/>
    <x v="3"/>
    <n v="4"/>
    <d v="1899-12-30T00:02:50"/>
    <n v="2.8333333333333335"/>
  </r>
  <r>
    <x v="84"/>
    <x v="6"/>
    <x v="4"/>
    <n v="10"/>
    <d v="1899-12-30T00:13:24"/>
    <n v="13.4"/>
  </r>
  <r>
    <x v="84"/>
    <x v="6"/>
    <x v="5"/>
    <n v="8"/>
    <d v="1899-12-30T00:09:05"/>
    <n v="9.0833333333333339"/>
  </r>
  <r>
    <x v="84"/>
    <x v="7"/>
    <x v="0"/>
    <n v="72"/>
    <d v="1899-12-30T01:33:13"/>
    <n v="93.216666666666669"/>
  </r>
  <r>
    <x v="84"/>
    <x v="7"/>
    <x v="1"/>
    <n v="97"/>
    <d v="1899-12-30T02:16:49"/>
    <n v="136.81666666666666"/>
  </r>
  <r>
    <x v="84"/>
    <x v="7"/>
    <x v="2"/>
    <n v="53"/>
    <d v="1899-12-30T01:14:11"/>
    <n v="74.183333333333337"/>
  </r>
  <r>
    <x v="84"/>
    <x v="7"/>
    <x v="3"/>
    <n v="93"/>
    <d v="1899-12-30T01:27:54"/>
    <n v="87.9"/>
  </r>
  <r>
    <x v="84"/>
    <x v="7"/>
    <x v="4"/>
    <n v="178"/>
    <d v="1899-12-30T04:27:09"/>
    <n v="267.14999999999998"/>
  </r>
  <r>
    <x v="84"/>
    <x v="7"/>
    <x v="5"/>
    <n v="44"/>
    <d v="1899-12-30T00:45:02"/>
    <n v="45.033333333333331"/>
  </r>
  <r>
    <x v="84"/>
    <x v="8"/>
    <x v="0"/>
    <n v="28"/>
    <d v="1899-12-30T00:37:14"/>
    <n v="37.233333333333334"/>
  </r>
  <r>
    <x v="84"/>
    <x v="8"/>
    <x v="1"/>
    <n v="23"/>
    <d v="1899-12-30T00:39:44"/>
    <n v="39.733333333333334"/>
  </r>
  <r>
    <x v="84"/>
    <x v="8"/>
    <x v="2"/>
    <n v="28"/>
    <d v="1899-12-30T00:40:48"/>
    <n v="40.799999999999997"/>
  </r>
  <r>
    <x v="84"/>
    <x v="8"/>
    <x v="3"/>
    <n v="19"/>
    <d v="1899-12-30T00:20:46"/>
    <n v="20.766666666666666"/>
  </r>
  <r>
    <x v="84"/>
    <x v="8"/>
    <x v="4"/>
    <n v="14"/>
    <d v="1899-12-30T00:20:42"/>
    <n v="20.7"/>
  </r>
  <r>
    <x v="84"/>
    <x v="8"/>
    <x v="5"/>
    <n v="25"/>
    <d v="1899-12-30T00:34:10"/>
    <n v="34.166666666666664"/>
  </r>
  <r>
    <x v="84"/>
    <x v="9"/>
    <x v="0"/>
    <n v="79"/>
    <d v="1899-12-30T02:12:19"/>
    <n v="132.31666666666666"/>
  </r>
  <r>
    <x v="84"/>
    <x v="9"/>
    <x v="1"/>
    <n v="103"/>
    <d v="1899-12-30T02:26:16"/>
    <n v="146.26666666666668"/>
  </r>
  <r>
    <x v="84"/>
    <x v="9"/>
    <x v="2"/>
    <n v="82"/>
    <d v="1899-12-30T02:16:13"/>
    <n v="136.21666666666667"/>
  </r>
  <r>
    <x v="84"/>
    <x v="9"/>
    <x v="3"/>
    <n v="52"/>
    <d v="1899-12-30T00:57:01"/>
    <n v="57.016666666666666"/>
  </r>
  <r>
    <x v="84"/>
    <x v="9"/>
    <x v="4"/>
    <n v="13"/>
    <d v="1899-12-30T00:18:31"/>
    <n v="18.516666666666666"/>
  </r>
  <r>
    <x v="84"/>
    <x v="9"/>
    <x v="5"/>
    <n v="46"/>
    <d v="1899-12-30T01:08:52"/>
    <n v="68.86666666666666"/>
  </r>
  <r>
    <x v="84"/>
    <x v="10"/>
    <x v="0"/>
    <n v="32"/>
    <d v="1899-12-30T00:59:23"/>
    <n v="59.383333333333333"/>
  </r>
  <r>
    <x v="84"/>
    <x v="10"/>
    <x v="1"/>
    <n v="29"/>
    <d v="1899-12-30T01:00:03"/>
    <n v="60.05"/>
  </r>
  <r>
    <x v="84"/>
    <x v="10"/>
    <x v="2"/>
    <n v="17"/>
    <d v="1899-12-30T00:31:53"/>
    <n v="31.883333333333333"/>
  </r>
  <r>
    <x v="84"/>
    <x v="10"/>
    <x v="3"/>
    <n v="11"/>
    <d v="1899-12-30T00:14:10"/>
    <n v="14.166666666666666"/>
  </r>
  <r>
    <x v="84"/>
    <x v="10"/>
    <x v="4"/>
    <n v="3"/>
    <d v="1899-12-30T00:05:41"/>
    <n v="5.6833333333333336"/>
  </r>
  <r>
    <x v="84"/>
    <x v="10"/>
    <x v="5"/>
    <n v="19"/>
    <d v="1899-12-30T00:32:50"/>
    <n v="32.833333333333336"/>
  </r>
  <r>
    <x v="84"/>
    <x v="11"/>
    <x v="0"/>
    <n v="13"/>
    <d v="1899-12-30T00:28:27"/>
    <n v="28.45"/>
  </r>
  <r>
    <x v="84"/>
    <x v="11"/>
    <x v="1"/>
    <n v="9"/>
    <d v="1899-12-30T00:13:26"/>
    <n v="13.433333333333334"/>
  </r>
  <r>
    <x v="84"/>
    <x v="11"/>
    <x v="2"/>
    <n v="6"/>
    <d v="1899-12-30T00:09:37"/>
    <n v="9.6166666666666671"/>
  </r>
  <r>
    <x v="84"/>
    <x v="11"/>
    <x v="3"/>
    <n v="6"/>
    <d v="1899-12-30T00:06:08"/>
    <n v="6.1333333333333337"/>
  </r>
  <r>
    <x v="84"/>
    <x v="11"/>
    <x v="4"/>
    <n v="3"/>
    <d v="1899-12-30T00:05:30"/>
    <n v="5.5"/>
  </r>
  <r>
    <x v="84"/>
    <x v="11"/>
    <x v="5"/>
    <n v="7"/>
    <d v="1899-12-30T00:08:46"/>
    <n v="8.7666666666666675"/>
  </r>
  <r>
    <x v="84"/>
    <x v="12"/>
    <x v="0"/>
    <n v="111"/>
    <d v="1899-12-30T03:06:54"/>
    <n v="186.9"/>
  </r>
  <r>
    <x v="84"/>
    <x v="12"/>
    <x v="1"/>
    <n v="105"/>
    <d v="1899-12-30T03:36:57"/>
    <n v="216.95"/>
  </r>
  <r>
    <x v="84"/>
    <x v="12"/>
    <x v="2"/>
    <n v="74"/>
    <d v="1899-12-30T02:19:26"/>
    <n v="139.43333333333334"/>
  </r>
  <r>
    <x v="84"/>
    <x v="12"/>
    <x v="3"/>
    <n v="61"/>
    <d v="1899-12-30T01:08:52"/>
    <n v="68.86666666666666"/>
  </r>
  <r>
    <x v="84"/>
    <x v="12"/>
    <x v="4"/>
    <n v="38"/>
    <d v="1899-12-30T01:15:42"/>
    <n v="75.7"/>
  </r>
  <r>
    <x v="84"/>
    <x v="12"/>
    <x v="5"/>
    <n v="78"/>
    <d v="1899-12-30T01:51:11"/>
    <n v="111.18333333333334"/>
  </r>
  <r>
    <x v="84"/>
    <x v="13"/>
    <x v="0"/>
    <n v="47"/>
    <d v="1899-12-30T01:06:33"/>
    <n v="66.55"/>
  </r>
  <r>
    <x v="84"/>
    <x v="13"/>
    <x v="1"/>
    <n v="44"/>
    <d v="1899-12-30T00:44:05"/>
    <n v="44.083333333333336"/>
  </r>
  <r>
    <x v="84"/>
    <x v="13"/>
    <x v="2"/>
    <n v="24"/>
    <d v="1899-12-30T00:27:05"/>
    <n v="27.083333333333332"/>
  </r>
  <r>
    <x v="84"/>
    <x v="13"/>
    <x v="3"/>
    <n v="7"/>
    <d v="1899-12-30T00:05:21"/>
    <n v="5.35"/>
  </r>
  <r>
    <x v="84"/>
    <x v="13"/>
    <x v="4"/>
    <n v="0"/>
    <d v="1899-12-30T00:00:00"/>
    <n v="0"/>
  </r>
  <r>
    <x v="84"/>
    <x v="13"/>
    <x v="5"/>
    <n v="26"/>
    <d v="1899-12-30T00:28:24"/>
    <n v="28.4"/>
  </r>
  <r>
    <x v="85"/>
    <x v="0"/>
    <x v="0"/>
    <n v="63"/>
    <d v="1899-12-30T01:24:10"/>
    <n v="84.166666666666671"/>
  </r>
  <r>
    <x v="85"/>
    <x v="0"/>
    <x v="1"/>
    <n v="59"/>
    <d v="1899-12-30T01:23:25"/>
    <n v="83.416666666666671"/>
  </r>
  <r>
    <x v="85"/>
    <x v="0"/>
    <x v="2"/>
    <n v="40"/>
    <d v="1899-12-30T00:45:34"/>
    <n v="45.56666666666667"/>
  </r>
  <r>
    <x v="85"/>
    <x v="0"/>
    <x v="3"/>
    <n v="11"/>
    <d v="1899-12-30T00:06:50"/>
    <n v="6.833333333333333"/>
  </r>
  <r>
    <x v="85"/>
    <x v="0"/>
    <x v="4"/>
    <n v="0"/>
    <d v="1899-12-30T00:00:00"/>
    <n v="0"/>
  </r>
  <r>
    <x v="85"/>
    <x v="0"/>
    <x v="5"/>
    <n v="50"/>
    <d v="1899-12-30T00:51:14"/>
    <n v="51.233333333333334"/>
  </r>
  <r>
    <x v="85"/>
    <x v="1"/>
    <x v="0"/>
    <n v="50"/>
    <d v="1899-12-30T01:31:55"/>
    <n v="91.916666666666671"/>
  </r>
  <r>
    <x v="85"/>
    <x v="1"/>
    <x v="1"/>
    <n v="36"/>
    <d v="1899-12-30T01:06:52"/>
    <n v="66.86666666666666"/>
  </r>
  <r>
    <x v="85"/>
    <x v="1"/>
    <x v="2"/>
    <n v="29"/>
    <d v="1899-12-30T00:55:52"/>
    <n v="55.866666666666667"/>
  </r>
  <r>
    <x v="85"/>
    <x v="1"/>
    <x v="3"/>
    <n v="17"/>
    <d v="1899-12-30T00:19:17"/>
    <n v="19.283333333333335"/>
  </r>
  <r>
    <x v="85"/>
    <x v="1"/>
    <x v="4"/>
    <n v="36"/>
    <d v="1899-12-30T01:17:04"/>
    <n v="77.066666666666663"/>
  </r>
  <r>
    <x v="85"/>
    <x v="1"/>
    <x v="5"/>
    <n v="52"/>
    <d v="1899-12-30T01:20:10"/>
    <n v="80.166666666666671"/>
  </r>
  <r>
    <x v="85"/>
    <x v="2"/>
    <x v="0"/>
    <n v="65"/>
    <d v="1899-12-30T01:42:24"/>
    <n v="102.4"/>
  </r>
  <r>
    <x v="85"/>
    <x v="2"/>
    <x v="1"/>
    <n v="68"/>
    <d v="1899-12-30T01:51:38"/>
    <n v="111.63333333333334"/>
  </r>
  <r>
    <x v="85"/>
    <x v="2"/>
    <x v="2"/>
    <n v="52"/>
    <d v="1899-12-30T01:28:30"/>
    <n v="88.5"/>
  </r>
  <r>
    <x v="85"/>
    <x v="2"/>
    <x v="3"/>
    <n v="30"/>
    <d v="1899-12-30T00:36:18"/>
    <n v="36.299999999999997"/>
  </r>
  <r>
    <x v="85"/>
    <x v="2"/>
    <x v="4"/>
    <n v="26"/>
    <d v="1899-12-30T00:44:45"/>
    <n v="44.75"/>
  </r>
  <r>
    <x v="85"/>
    <x v="2"/>
    <x v="5"/>
    <n v="35"/>
    <d v="1899-12-30T00:48:24"/>
    <n v="48.4"/>
  </r>
  <r>
    <x v="85"/>
    <x v="3"/>
    <x v="0"/>
    <n v="9"/>
    <d v="1899-12-30T00:19:20"/>
    <n v="19.333333333333332"/>
  </r>
  <r>
    <x v="85"/>
    <x v="3"/>
    <x v="1"/>
    <n v="13"/>
    <d v="1899-12-30T00:41:26"/>
    <n v="41.43333333333333"/>
  </r>
  <r>
    <x v="85"/>
    <x v="3"/>
    <x v="2"/>
    <n v="7"/>
    <d v="1899-12-30T00:15:46"/>
    <n v="15.766666666666667"/>
  </r>
  <r>
    <x v="85"/>
    <x v="3"/>
    <x v="3"/>
    <n v="2"/>
    <d v="1899-12-30T00:02:43"/>
    <n v="2.7166666666666668"/>
  </r>
  <r>
    <x v="85"/>
    <x v="3"/>
    <x v="4"/>
    <n v="3"/>
    <d v="1899-12-30T00:07:48"/>
    <n v="7.8"/>
  </r>
  <r>
    <x v="85"/>
    <x v="3"/>
    <x v="5"/>
    <n v="5"/>
    <d v="1899-12-30T00:06:46"/>
    <n v="6.7666666666666666"/>
  </r>
  <r>
    <x v="85"/>
    <x v="4"/>
    <x v="0"/>
    <n v="57"/>
    <d v="1899-12-30T01:22:21"/>
    <n v="82.35"/>
  </r>
  <r>
    <x v="85"/>
    <x v="4"/>
    <x v="1"/>
    <n v="47"/>
    <d v="1899-12-30T01:07:06"/>
    <n v="67.099999999999994"/>
  </r>
  <r>
    <x v="85"/>
    <x v="4"/>
    <x v="2"/>
    <n v="22"/>
    <d v="1899-12-30T00:34:24"/>
    <n v="34.4"/>
  </r>
  <r>
    <x v="85"/>
    <x v="4"/>
    <x v="3"/>
    <n v="7"/>
    <d v="1899-12-30T00:04:37"/>
    <n v="4.6166666666666671"/>
  </r>
  <r>
    <x v="85"/>
    <x v="4"/>
    <x v="4"/>
    <n v="6"/>
    <d v="1899-12-30T00:10:25"/>
    <n v="10.416666666666666"/>
  </r>
  <r>
    <x v="85"/>
    <x v="4"/>
    <x v="5"/>
    <n v="19"/>
    <d v="1899-12-30T00:25:18"/>
    <n v="25.3"/>
  </r>
  <r>
    <x v="85"/>
    <x v="5"/>
    <x v="0"/>
    <n v="25"/>
    <d v="1899-12-30T00:30:54"/>
    <n v="30.9"/>
  </r>
  <r>
    <x v="85"/>
    <x v="5"/>
    <x v="1"/>
    <n v="19"/>
    <d v="1899-12-30T00:26:42"/>
    <n v="26.7"/>
  </r>
  <r>
    <x v="85"/>
    <x v="5"/>
    <x v="2"/>
    <n v="17"/>
    <d v="1899-12-30T00:15:31"/>
    <n v="15.516666666666667"/>
  </r>
  <r>
    <x v="85"/>
    <x v="5"/>
    <x v="3"/>
    <n v="5"/>
    <d v="1899-12-30T00:03:58"/>
    <n v="3.9666666666666668"/>
  </r>
  <r>
    <x v="85"/>
    <x v="5"/>
    <x v="4"/>
    <n v="5"/>
    <d v="1899-12-30T00:04:21"/>
    <n v="4.3499999999999996"/>
  </r>
  <r>
    <x v="85"/>
    <x v="5"/>
    <x v="5"/>
    <n v="31"/>
    <d v="1899-12-30T00:31:00"/>
    <n v="31"/>
  </r>
  <r>
    <x v="85"/>
    <x v="6"/>
    <x v="0"/>
    <n v="10"/>
    <d v="1899-12-30T00:13:53"/>
    <n v="13.883333333333333"/>
  </r>
  <r>
    <x v="85"/>
    <x v="6"/>
    <x v="1"/>
    <n v="12"/>
    <d v="1899-12-30T00:15:30"/>
    <n v="15.5"/>
  </r>
  <r>
    <x v="85"/>
    <x v="6"/>
    <x v="2"/>
    <n v="6"/>
    <d v="1899-12-30T00:09:25"/>
    <n v="9.4166666666666661"/>
  </r>
  <r>
    <x v="85"/>
    <x v="6"/>
    <x v="3"/>
    <n v="4"/>
    <d v="1899-12-30T00:05:59"/>
    <n v="5.9833333333333334"/>
  </r>
  <r>
    <x v="85"/>
    <x v="6"/>
    <x v="4"/>
    <n v="11"/>
    <d v="1899-12-30T00:14:14"/>
    <n v="14.233333333333333"/>
  </r>
  <r>
    <x v="85"/>
    <x v="6"/>
    <x v="5"/>
    <n v="14"/>
    <d v="1899-12-30T00:21:40"/>
    <n v="21.666666666666668"/>
  </r>
  <r>
    <x v="85"/>
    <x v="7"/>
    <x v="0"/>
    <n v="53"/>
    <d v="1899-12-30T01:07:40"/>
    <n v="67.666666666666671"/>
  </r>
  <r>
    <x v="85"/>
    <x v="7"/>
    <x v="1"/>
    <n v="74"/>
    <d v="1899-12-30T01:42:51"/>
    <n v="102.85"/>
  </r>
  <r>
    <x v="85"/>
    <x v="7"/>
    <x v="2"/>
    <n v="40"/>
    <d v="1899-12-30T00:53:50"/>
    <n v="53.833333333333336"/>
  </r>
  <r>
    <x v="85"/>
    <x v="7"/>
    <x v="3"/>
    <n v="79"/>
    <d v="1899-12-30T01:15:10"/>
    <n v="75.166666666666671"/>
  </r>
  <r>
    <x v="85"/>
    <x v="7"/>
    <x v="4"/>
    <n v="132"/>
    <d v="1899-12-30T03:31:06"/>
    <n v="211.1"/>
  </r>
  <r>
    <x v="85"/>
    <x v="7"/>
    <x v="5"/>
    <n v="36"/>
    <d v="1899-12-30T00:34:11"/>
    <n v="34.18333333333333"/>
  </r>
  <r>
    <x v="85"/>
    <x v="8"/>
    <x v="0"/>
    <n v="26"/>
    <d v="1899-12-30T00:37:41"/>
    <n v="37.68333333333333"/>
  </r>
  <r>
    <x v="85"/>
    <x v="8"/>
    <x v="1"/>
    <n v="23"/>
    <d v="1899-12-30T00:36:04"/>
    <n v="36.06666666666667"/>
  </r>
  <r>
    <x v="85"/>
    <x v="8"/>
    <x v="2"/>
    <n v="28"/>
    <d v="1899-12-30T00:41:09"/>
    <n v="41.15"/>
  </r>
  <r>
    <x v="85"/>
    <x v="8"/>
    <x v="3"/>
    <n v="32"/>
    <d v="1899-12-30T00:28:13"/>
    <n v="28.216666666666665"/>
  </r>
  <r>
    <x v="85"/>
    <x v="8"/>
    <x v="4"/>
    <n v="7"/>
    <d v="1899-12-30T00:06:43"/>
    <n v="6.7166666666666668"/>
  </r>
  <r>
    <x v="85"/>
    <x v="8"/>
    <x v="5"/>
    <n v="34"/>
    <d v="1899-12-30T00:37:03"/>
    <n v="37.049999999999997"/>
  </r>
  <r>
    <x v="85"/>
    <x v="9"/>
    <x v="0"/>
    <n v="87"/>
    <d v="1899-12-30T02:50:05"/>
    <n v="170.08333333333334"/>
  </r>
  <r>
    <x v="85"/>
    <x v="9"/>
    <x v="1"/>
    <n v="107"/>
    <d v="1899-12-30T03:06:43"/>
    <n v="186.71666666666667"/>
  </r>
  <r>
    <x v="85"/>
    <x v="9"/>
    <x v="2"/>
    <n v="82"/>
    <d v="1899-12-30T01:52:45"/>
    <n v="112.75"/>
  </r>
  <r>
    <x v="85"/>
    <x v="9"/>
    <x v="3"/>
    <n v="51"/>
    <d v="1899-12-30T00:54:41"/>
    <n v="54.68333333333333"/>
  </r>
  <r>
    <x v="85"/>
    <x v="9"/>
    <x v="4"/>
    <n v="7"/>
    <d v="1899-12-30T00:06:16"/>
    <n v="6.2666666666666666"/>
  </r>
  <r>
    <x v="85"/>
    <x v="9"/>
    <x v="5"/>
    <n v="69"/>
    <d v="1899-12-30T01:17:09"/>
    <n v="77.150000000000006"/>
  </r>
  <r>
    <x v="85"/>
    <x v="10"/>
    <x v="0"/>
    <n v="22"/>
    <d v="1899-12-30T00:39:11"/>
    <n v="39.18333333333333"/>
  </r>
  <r>
    <x v="85"/>
    <x v="10"/>
    <x v="1"/>
    <n v="15"/>
    <d v="1899-12-30T00:33:04"/>
    <n v="33.06666666666667"/>
  </r>
  <r>
    <x v="85"/>
    <x v="10"/>
    <x v="2"/>
    <n v="15"/>
    <d v="1899-12-30T00:30:44"/>
    <n v="30.733333333333334"/>
  </r>
  <r>
    <x v="85"/>
    <x v="10"/>
    <x v="3"/>
    <n v="10"/>
    <d v="1899-12-30T00:13:04"/>
    <n v="13.066666666666666"/>
  </r>
  <r>
    <x v="85"/>
    <x v="10"/>
    <x v="4"/>
    <n v="1"/>
    <d v="1899-12-30T00:01:32"/>
    <n v="1.5333333333333332"/>
  </r>
  <r>
    <x v="85"/>
    <x v="10"/>
    <x v="5"/>
    <n v="13"/>
    <d v="1899-12-30T00:19:39"/>
    <n v="19.649999999999999"/>
  </r>
  <r>
    <x v="85"/>
    <x v="11"/>
    <x v="0"/>
    <n v="5"/>
    <d v="1899-12-30T00:05:11"/>
    <n v="5.1833333333333336"/>
  </r>
  <r>
    <x v="85"/>
    <x v="11"/>
    <x v="1"/>
    <n v="9"/>
    <d v="1899-12-30T00:15:21"/>
    <n v="15.35"/>
  </r>
  <r>
    <x v="85"/>
    <x v="11"/>
    <x v="2"/>
    <n v="2"/>
    <d v="1899-12-30T00:03:33"/>
    <n v="3.55"/>
  </r>
  <r>
    <x v="85"/>
    <x v="11"/>
    <x v="3"/>
    <n v="4"/>
    <d v="1899-12-30T00:05:19"/>
    <n v="5.3166666666666664"/>
  </r>
  <r>
    <x v="85"/>
    <x v="11"/>
    <x v="4"/>
    <n v="1"/>
    <d v="1899-12-30T00:00:02"/>
    <n v="3.3333333333333333E-2"/>
  </r>
  <r>
    <x v="85"/>
    <x v="11"/>
    <x v="5"/>
    <n v="8"/>
    <d v="1899-12-30T00:12:21"/>
    <n v="12.35"/>
  </r>
  <r>
    <x v="85"/>
    <x v="12"/>
    <x v="0"/>
    <n v="106"/>
    <d v="1899-12-30T02:43:59"/>
    <n v="163.98333333333332"/>
  </r>
  <r>
    <x v="85"/>
    <x v="12"/>
    <x v="1"/>
    <n v="98"/>
    <d v="1899-12-30T03:03:33"/>
    <n v="183.55"/>
  </r>
  <r>
    <x v="85"/>
    <x v="12"/>
    <x v="2"/>
    <n v="62"/>
    <d v="1899-12-30T01:28:52"/>
    <n v="88.86666666666666"/>
  </r>
  <r>
    <x v="85"/>
    <x v="12"/>
    <x v="3"/>
    <n v="66"/>
    <d v="1899-12-30T01:14:15"/>
    <n v="74.25"/>
  </r>
  <r>
    <x v="85"/>
    <x v="12"/>
    <x v="4"/>
    <n v="35"/>
    <d v="1899-12-30T01:00:09"/>
    <n v="60.15"/>
  </r>
  <r>
    <x v="85"/>
    <x v="12"/>
    <x v="5"/>
    <n v="73"/>
    <d v="1899-12-30T01:23:44"/>
    <n v="83.733333333333334"/>
  </r>
  <r>
    <x v="85"/>
    <x v="13"/>
    <x v="0"/>
    <n v="37"/>
    <d v="1899-12-30T00:55:20"/>
    <n v="55.333333333333336"/>
  </r>
  <r>
    <x v="85"/>
    <x v="13"/>
    <x v="1"/>
    <n v="35"/>
    <d v="1899-12-30T00:44:13"/>
    <n v="44.216666666666669"/>
  </r>
  <r>
    <x v="85"/>
    <x v="13"/>
    <x v="2"/>
    <n v="17"/>
    <d v="1899-12-30T00:21:55"/>
    <n v="21.916666666666668"/>
  </r>
  <r>
    <x v="85"/>
    <x v="13"/>
    <x v="3"/>
    <n v="9"/>
    <d v="1899-12-30T00:07:17"/>
    <n v="7.2833333333333332"/>
  </r>
  <r>
    <x v="85"/>
    <x v="13"/>
    <x v="4"/>
    <n v="0"/>
    <d v="1899-12-30T00:00:00"/>
    <n v="0"/>
  </r>
  <r>
    <x v="85"/>
    <x v="13"/>
    <x v="5"/>
    <n v="18"/>
    <d v="1899-12-30T00:19:58"/>
    <n v="19.966666666666665"/>
  </r>
  <r>
    <x v="86"/>
    <x v="0"/>
    <x v="0"/>
    <n v="58"/>
    <d v="1899-12-30T01:19:06"/>
    <n v="79.099999999999994"/>
  </r>
  <r>
    <x v="86"/>
    <x v="0"/>
    <x v="1"/>
    <n v="52"/>
    <d v="1899-12-30T00:56:11"/>
    <n v="56.18333333333333"/>
  </r>
  <r>
    <x v="86"/>
    <x v="0"/>
    <x v="2"/>
    <n v="34"/>
    <d v="1899-12-30T00:42:48"/>
    <n v="42.8"/>
  </r>
  <r>
    <x v="86"/>
    <x v="0"/>
    <x v="3"/>
    <n v="16"/>
    <d v="1899-12-30T00:17:14"/>
    <n v="17.233333333333334"/>
  </r>
  <r>
    <x v="86"/>
    <x v="0"/>
    <x v="4"/>
    <n v="2"/>
    <d v="1899-12-30T00:03:15"/>
    <n v="3.25"/>
  </r>
  <r>
    <x v="86"/>
    <x v="0"/>
    <x v="5"/>
    <n v="32"/>
    <d v="1899-12-30T00:34:59"/>
    <n v="34.983333333333334"/>
  </r>
  <r>
    <x v="86"/>
    <x v="1"/>
    <x v="0"/>
    <n v="36"/>
    <d v="1899-12-30T01:12:55"/>
    <n v="72.916666666666671"/>
  </r>
  <r>
    <x v="86"/>
    <x v="1"/>
    <x v="1"/>
    <n v="22"/>
    <d v="1899-12-30T00:44:09"/>
    <n v="44.15"/>
  </r>
  <r>
    <x v="86"/>
    <x v="1"/>
    <x v="2"/>
    <n v="17"/>
    <d v="1899-12-30T00:36:19"/>
    <n v="36.31666666666667"/>
  </r>
  <r>
    <x v="86"/>
    <x v="1"/>
    <x v="3"/>
    <n v="12"/>
    <d v="1899-12-30T00:11:54"/>
    <n v="11.9"/>
  </r>
  <r>
    <x v="86"/>
    <x v="1"/>
    <x v="4"/>
    <n v="20"/>
    <d v="1899-12-30T00:52:51"/>
    <n v="52.85"/>
  </r>
  <r>
    <x v="86"/>
    <x v="1"/>
    <x v="5"/>
    <n v="34"/>
    <d v="1899-12-30T00:46:45"/>
    <n v="46.75"/>
  </r>
  <r>
    <x v="86"/>
    <x v="2"/>
    <x v="0"/>
    <n v="38"/>
    <d v="1899-12-30T01:08:33"/>
    <n v="68.55"/>
  </r>
  <r>
    <x v="86"/>
    <x v="2"/>
    <x v="1"/>
    <n v="27"/>
    <d v="1899-12-30T00:46:04"/>
    <n v="46.06666666666667"/>
  </r>
  <r>
    <x v="86"/>
    <x v="2"/>
    <x v="2"/>
    <n v="27"/>
    <d v="1899-12-30T00:43:10"/>
    <n v="43.166666666666664"/>
  </r>
  <r>
    <x v="86"/>
    <x v="2"/>
    <x v="3"/>
    <n v="21"/>
    <d v="1899-12-30T00:23:16"/>
    <n v="23.266666666666666"/>
  </r>
  <r>
    <x v="86"/>
    <x v="2"/>
    <x v="4"/>
    <n v="20"/>
    <d v="1899-12-30T00:41:10"/>
    <n v="41.166666666666664"/>
  </r>
  <r>
    <x v="86"/>
    <x v="2"/>
    <x v="5"/>
    <n v="16"/>
    <d v="1899-12-30T00:20:55"/>
    <n v="20.916666666666668"/>
  </r>
  <r>
    <x v="86"/>
    <x v="3"/>
    <x v="0"/>
    <n v="11"/>
    <d v="1899-12-30T00:20:26"/>
    <n v="20.433333333333334"/>
  </r>
  <r>
    <x v="86"/>
    <x v="3"/>
    <x v="1"/>
    <n v="15"/>
    <d v="1899-12-30T00:39:08"/>
    <n v="39.133333333333333"/>
  </r>
  <r>
    <x v="86"/>
    <x v="3"/>
    <x v="2"/>
    <n v="6"/>
    <d v="1899-12-30T00:14:32"/>
    <n v="14.533333333333333"/>
  </r>
  <r>
    <x v="86"/>
    <x v="3"/>
    <x v="3"/>
    <n v="2"/>
    <d v="1899-12-30T00:02:56"/>
    <n v="2.9333333333333336"/>
  </r>
  <r>
    <x v="86"/>
    <x v="3"/>
    <x v="4"/>
    <n v="0"/>
    <d v="1899-12-30T00:00:00"/>
    <n v="0"/>
  </r>
  <r>
    <x v="86"/>
    <x v="3"/>
    <x v="5"/>
    <n v="7"/>
    <d v="1899-12-30T00:10:34"/>
    <n v="10.566666666666666"/>
  </r>
  <r>
    <x v="86"/>
    <x v="4"/>
    <x v="0"/>
    <n v="35"/>
    <d v="1899-12-30T00:57:07"/>
    <n v="57.116666666666667"/>
  </r>
  <r>
    <x v="86"/>
    <x v="4"/>
    <x v="1"/>
    <n v="27"/>
    <d v="1899-12-30T00:38:46"/>
    <n v="38.766666666666666"/>
  </r>
  <r>
    <x v="86"/>
    <x v="4"/>
    <x v="2"/>
    <n v="23"/>
    <d v="1899-12-30T00:31:16"/>
    <n v="31.266666666666666"/>
  </r>
  <r>
    <x v="86"/>
    <x v="4"/>
    <x v="3"/>
    <n v="8"/>
    <d v="1899-12-30T00:06:01"/>
    <n v="6.0166666666666666"/>
  </r>
  <r>
    <x v="86"/>
    <x v="4"/>
    <x v="4"/>
    <n v="12"/>
    <d v="1899-12-30T00:22:01"/>
    <n v="22.016666666666666"/>
  </r>
  <r>
    <x v="86"/>
    <x v="4"/>
    <x v="5"/>
    <n v="11"/>
    <d v="1899-12-30T00:13:31"/>
    <n v="13.516666666666667"/>
  </r>
  <r>
    <x v="86"/>
    <x v="5"/>
    <x v="0"/>
    <n v="25"/>
    <d v="1899-12-30T00:36:01"/>
    <n v="36.016666666666666"/>
  </r>
  <r>
    <x v="86"/>
    <x v="5"/>
    <x v="1"/>
    <n v="29"/>
    <d v="1899-12-30T00:40:50"/>
    <n v="40.833333333333336"/>
  </r>
  <r>
    <x v="86"/>
    <x v="5"/>
    <x v="2"/>
    <n v="15"/>
    <d v="1899-12-30T00:23:20"/>
    <n v="23.333333333333332"/>
  </r>
  <r>
    <x v="86"/>
    <x v="5"/>
    <x v="3"/>
    <n v="18"/>
    <d v="1899-12-30T00:17:05"/>
    <n v="17.083333333333332"/>
  </r>
  <r>
    <x v="86"/>
    <x v="5"/>
    <x v="4"/>
    <n v="5"/>
    <d v="1899-12-30T00:04:44"/>
    <n v="4.7333333333333334"/>
  </r>
  <r>
    <x v="86"/>
    <x v="5"/>
    <x v="5"/>
    <n v="28"/>
    <d v="1899-12-30T00:33:14"/>
    <n v="33.233333333333334"/>
  </r>
  <r>
    <x v="86"/>
    <x v="6"/>
    <x v="0"/>
    <n v="19"/>
    <d v="1899-12-30T00:30:30"/>
    <n v="30.5"/>
  </r>
  <r>
    <x v="86"/>
    <x v="6"/>
    <x v="1"/>
    <n v="20"/>
    <d v="1899-12-30T00:26:25"/>
    <n v="26.416666666666668"/>
  </r>
  <r>
    <x v="86"/>
    <x v="6"/>
    <x v="2"/>
    <n v="9"/>
    <d v="1899-12-30T00:12:44"/>
    <n v="12.733333333333333"/>
  </r>
  <r>
    <x v="86"/>
    <x v="6"/>
    <x v="3"/>
    <n v="5"/>
    <d v="1899-12-30T00:06:11"/>
    <n v="6.1833333333333336"/>
  </r>
  <r>
    <x v="86"/>
    <x v="6"/>
    <x v="4"/>
    <n v="8"/>
    <d v="1899-12-30T00:12:54"/>
    <n v="12.9"/>
  </r>
  <r>
    <x v="86"/>
    <x v="6"/>
    <x v="5"/>
    <n v="12"/>
    <d v="1899-12-30T00:13:55"/>
    <n v="13.916666666666666"/>
  </r>
  <r>
    <x v="86"/>
    <x v="7"/>
    <x v="0"/>
    <n v="40"/>
    <d v="1899-12-30T00:52:41"/>
    <n v="52.68333333333333"/>
  </r>
  <r>
    <x v="86"/>
    <x v="7"/>
    <x v="1"/>
    <n v="51"/>
    <d v="1899-12-30T00:55:59"/>
    <n v="55.983333333333334"/>
  </r>
  <r>
    <x v="86"/>
    <x v="7"/>
    <x v="2"/>
    <n v="26"/>
    <d v="1899-12-30T00:29:22"/>
    <n v="29.366666666666667"/>
  </r>
  <r>
    <x v="86"/>
    <x v="7"/>
    <x v="3"/>
    <n v="68"/>
    <d v="1899-12-30T01:10:24"/>
    <n v="70.400000000000006"/>
  </r>
  <r>
    <x v="86"/>
    <x v="7"/>
    <x v="4"/>
    <n v="110"/>
    <d v="1899-12-30T02:45:24"/>
    <n v="165.4"/>
  </r>
  <r>
    <x v="86"/>
    <x v="7"/>
    <x v="5"/>
    <n v="18"/>
    <d v="1899-12-30T00:16:59"/>
    <n v="16.983333333333334"/>
  </r>
  <r>
    <x v="86"/>
    <x v="8"/>
    <x v="0"/>
    <n v="26"/>
    <d v="1899-12-30T00:42:20"/>
    <n v="42.333333333333336"/>
  </r>
  <r>
    <x v="86"/>
    <x v="8"/>
    <x v="1"/>
    <n v="29"/>
    <d v="1899-12-30T00:41:08"/>
    <n v="41.133333333333333"/>
  </r>
  <r>
    <x v="86"/>
    <x v="8"/>
    <x v="2"/>
    <n v="15"/>
    <d v="1899-12-30T00:21:01"/>
    <n v="21.016666666666666"/>
  </r>
  <r>
    <x v="86"/>
    <x v="8"/>
    <x v="3"/>
    <n v="17"/>
    <d v="1899-12-30T00:16:56"/>
    <n v="16.933333333333334"/>
  </r>
  <r>
    <x v="86"/>
    <x v="8"/>
    <x v="4"/>
    <n v="10"/>
    <d v="1899-12-30T00:11:57"/>
    <n v="11.95"/>
  </r>
  <r>
    <x v="86"/>
    <x v="8"/>
    <x v="5"/>
    <n v="19"/>
    <d v="1899-12-30T00:22:51"/>
    <n v="22.85"/>
  </r>
  <r>
    <x v="86"/>
    <x v="9"/>
    <x v="0"/>
    <n v="195"/>
    <d v="1899-12-30T05:14:48"/>
    <n v="314.8"/>
  </r>
  <r>
    <x v="86"/>
    <x v="9"/>
    <x v="1"/>
    <n v="198"/>
    <d v="1899-12-30T05:39:32"/>
    <n v="339.53333333333336"/>
  </r>
  <r>
    <x v="86"/>
    <x v="9"/>
    <x v="2"/>
    <n v="155"/>
    <d v="1899-12-30T04:13:43"/>
    <n v="253.71666666666667"/>
  </r>
  <r>
    <x v="86"/>
    <x v="9"/>
    <x v="3"/>
    <n v="89"/>
    <d v="1899-12-30T01:49:58"/>
    <n v="109.96666666666667"/>
  </r>
  <r>
    <x v="86"/>
    <x v="9"/>
    <x v="4"/>
    <n v="35"/>
    <d v="1899-12-30T00:58:29"/>
    <n v="58.483333333333334"/>
  </r>
  <r>
    <x v="86"/>
    <x v="9"/>
    <x v="5"/>
    <n v="147"/>
    <d v="1899-12-30T03:18:28"/>
    <n v="198.46666666666667"/>
  </r>
  <r>
    <x v="86"/>
    <x v="10"/>
    <x v="0"/>
    <n v="17"/>
    <d v="1899-12-30T00:39:32"/>
    <n v="39.533333333333331"/>
  </r>
  <r>
    <x v="86"/>
    <x v="10"/>
    <x v="1"/>
    <n v="19"/>
    <d v="1899-12-30T00:45:50"/>
    <n v="45.833333333333336"/>
  </r>
  <r>
    <x v="86"/>
    <x v="10"/>
    <x v="2"/>
    <n v="13"/>
    <d v="1899-12-30T00:25:53"/>
    <n v="25.883333333333333"/>
  </r>
  <r>
    <x v="86"/>
    <x v="10"/>
    <x v="3"/>
    <n v="10"/>
    <d v="1899-12-30T00:12:13"/>
    <n v="12.216666666666667"/>
  </r>
  <r>
    <x v="86"/>
    <x v="10"/>
    <x v="4"/>
    <n v="5"/>
    <d v="1899-12-30T00:12:28"/>
    <n v="12.466666666666667"/>
  </r>
  <r>
    <x v="86"/>
    <x v="10"/>
    <x v="5"/>
    <n v="21"/>
    <d v="1899-12-30T00:32:54"/>
    <n v="32.9"/>
  </r>
  <r>
    <x v="86"/>
    <x v="11"/>
    <x v="0"/>
    <n v="8"/>
    <d v="1899-12-30T00:16:47"/>
    <n v="16.783333333333335"/>
  </r>
  <r>
    <x v="86"/>
    <x v="11"/>
    <x v="1"/>
    <n v="7"/>
    <d v="1899-12-30T00:09:41"/>
    <n v="9.6833333333333336"/>
  </r>
  <r>
    <x v="86"/>
    <x v="11"/>
    <x v="2"/>
    <n v="8"/>
    <d v="1899-12-30T00:14:01"/>
    <n v="14.016666666666667"/>
  </r>
  <r>
    <x v="86"/>
    <x v="11"/>
    <x v="3"/>
    <n v="3"/>
    <d v="1899-12-30T00:02:25"/>
    <n v="2.4166666666666665"/>
  </r>
  <r>
    <x v="86"/>
    <x v="11"/>
    <x v="4"/>
    <n v="1"/>
    <d v="1899-12-30T00:01:27"/>
    <n v="1.45"/>
  </r>
  <r>
    <x v="86"/>
    <x v="11"/>
    <x v="5"/>
    <n v="5"/>
    <d v="1899-12-30T00:05:41"/>
    <n v="5.6833333333333336"/>
  </r>
  <r>
    <x v="86"/>
    <x v="12"/>
    <x v="0"/>
    <n v="80"/>
    <d v="1899-12-30T01:59:49"/>
    <n v="119.81666666666666"/>
  </r>
  <r>
    <x v="86"/>
    <x v="12"/>
    <x v="1"/>
    <n v="101"/>
    <d v="1899-12-30T03:10:14"/>
    <n v="190.23333333333332"/>
  </r>
  <r>
    <x v="86"/>
    <x v="12"/>
    <x v="2"/>
    <n v="40"/>
    <d v="1899-12-30T01:05:22"/>
    <n v="65.36666666666666"/>
  </r>
  <r>
    <x v="86"/>
    <x v="12"/>
    <x v="3"/>
    <n v="52"/>
    <d v="1899-12-30T00:52:13"/>
    <n v="52.216666666666669"/>
  </r>
  <r>
    <x v="86"/>
    <x v="12"/>
    <x v="4"/>
    <n v="29"/>
    <d v="1899-12-30T00:46:18"/>
    <n v="46.3"/>
  </r>
  <r>
    <x v="86"/>
    <x v="12"/>
    <x v="5"/>
    <n v="53"/>
    <d v="1899-12-30T01:03:17"/>
    <n v="63.283333333333331"/>
  </r>
  <r>
    <x v="86"/>
    <x v="13"/>
    <x v="0"/>
    <n v="36"/>
    <d v="1899-12-30T00:50:31"/>
    <n v="50.516666666666666"/>
  </r>
  <r>
    <x v="86"/>
    <x v="13"/>
    <x v="1"/>
    <n v="41"/>
    <d v="1899-12-30T00:50:12"/>
    <n v="50.2"/>
  </r>
  <r>
    <x v="86"/>
    <x v="13"/>
    <x v="2"/>
    <n v="19"/>
    <d v="1899-12-30T00:15:56"/>
    <n v="15.933333333333334"/>
  </r>
  <r>
    <x v="86"/>
    <x v="13"/>
    <x v="3"/>
    <n v="6"/>
    <d v="1899-12-30T00:03:28"/>
    <n v="3.4666666666666668"/>
  </r>
  <r>
    <x v="86"/>
    <x v="13"/>
    <x v="4"/>
    <n v="0"/>
    <d v="1899-12-30T00:00:00"/>
    <n v="0"/>
  </r>
  <r>
    <x v="86"/>
    <x v="13"/>
    <x v="5"/>
    <n v="20"/>
    <d v="1899-12-30T00:19:18"/>
    <n v="19.3"/>
  </r>
  <r>
    <x v="87"/>
    <x v="0"/>
    <x v="0"/>
    <n v="21"/>
    <d v="1899-12-30T00:22:36"/>
    <n v="22.6"/>
  </r>
  <r>
    <x v="87"/>
    <x v="0"/>
    <x v="1"/>
    <n v="25"/>
    <d v="1899-12-30T00:25:59"/>
    <n v="25.983333333333334"/>
  </r>
  <r>
    <x v="87"/>
    <x v="0"/>
    <x v="2"/>
    <n v="17"/>
    <d v="1899-12-30T00:16:13"/>
    <n v="16.216666666666665"/>
  </r>
  <r>
    <x v="87"/>
    <x v="0"/>
    <x v="3"/>
    <n v="15"/>
    <d v="1899-12-30T00:11:22"/>
    <n v="11.366666666666667"/>
  </r>
  <r>
    <x v="87"/>
    <x v="0"/>
    <x v="4"/>
    <n v="4"/>
    <d v="1899-12-30T00:04:17"/>
    <n v="4.2833333333333332"/>
  </r>
  <r>
    <x v="87"/>
    <x v="0"/>
    <x v="5"/>
    <n v="16"/>
    <d v="1899-12-30T00:14:03"/>
    <n v="14.05"/>
  </r>
  <r>
    <x v="87"/>
    <x v="1"/>
    <x v="0"/>
    <n v="37"/>
    <d v="1899-12-30T01:10:48"/>
    <n v="70.8"/>
  </r>
  <r>
    <x v="87"/>
    <x v="1"/>
    <x v="1"/>
    <n v="36"/>
    <d v="1899-12-30T01:00:26"/>
    <n v="60.43333333333333"/>
  </r>
  <r>
    <x v="87"/>
    <x v="1"/>
    <x v="2"/>
    <n v="14"/>
    <d v="1899-12-30T00:27:50"/>
    <n v="27.833333333333332"/>
  </r>
  <r>
    <x v="87"/>
    <x v="1"/>
    <x v="3"/>
    <n v="14"/>
    <d v="1899-12-30T00:13:52"/>
    <n v="13.866666666666667"/>
  </r>
  <r>
    <x v="87"/>
    <x v="1"/>
    <x v="4"/>
    <n v="18"/>
    <d v="1899-12-30T00:46:30"/>
    <n v="46.5"/>
  </r>
  <r>
    <x v="87"/>
    <x v="1"/>
    <x v="5"/>
    <n v="52"/>
    <d v="1899-12-30T01:14:50"/>
    <n v="74.833333333333329"/>
  </r>
  <r>
    <x v="87"/>
    <x v="2"/>
    <x v="0"/>
    <n v="68"/>
    <d v="1899-12-30T01:49:19"/>
    <n v="109.31666666666666"/>
  </r>
  <r>
    <x v="87"/>
    <x v="2"/>
    <x v="1"/>
    <n v="72"/>
    <d v="1899-12-30T02:19:28"/>
    <n v="139.46666666666667"/>
  </r>
  <r>
    <x v="87"/>
    <x v="2"/>
    <x v="2"/>
    <n v="35"/>
    <d v="1899-12-30T01:11:12"/>
    <n v="71.2"/>
  </r>
  <r>
    <x v="87"/>
    <x v="2"/>
    <x v="3"/>
    <n v="28"/>
    <d v="1899-12-30T00:29:05"/>
    <n v="29.083333333333332"/>
  </r>
  <r>
    <x v="87"/>
    <x v="2"/>
    <x v="4"/>
    <n v="17"/>
    <d v="1899-12-30T00:32:19"/>
    <n v="32.31666666666667"/>
  </r>
  <r>
    <x v="87"/>
    <x v="2"/>
    <x v="5"/>
    <n v="29"/>
    <d v="1899-12-30T00:41:33"/>
    <n v="41.55"/>
  </r>
  <r>
    <x v="87"/>
    <x v="3"/>
    <x v="0"/>
    <n v="9"/>
    <d v="1899-12-30T00:17:02"/>
    <n v="17.033333333333335"/>
  </r>
  <r>
    <x v="87"/>
    <x v="3"/>
    <x v="1"/>
    <n v="7"/>
    <d v="1899-12-30T00:21:45"/>
    <n v="21.75"/>
  </r>
  <r>
    <x v="87"/>
    <x v="3"/>
    <x v="2"/>
    <n v="5"/>
    <d v="1899-12-30T00:13:29"/>
    <n v="13.483333333333333"/>
  </r>
  <r>
    <x v="87"/>
    <x v="3"/>
    <x v="3"/>
    <n v="1"/>
    <d v="1899-12-30T00:00:37"/>
    <n v="0.6166666666666667"/>
  </r>
  <r>
    <x v="87"/>
    <x v="3"/>
    <x v="4"/>
    <n v="0"/>
    <d v="1899-12-30T00:00:00"/>
    <n v="0"/>
  </r>
  <r>
    <x v="87"/>
    <x v="3"/>
    <x v="5"/>
    <n v="6"/>
    <d v="1899-12-30T00:10:46"/>
    <n v="10.766666666666667"/>
  </r>
  <r>
    <x v="87"/>
    <x v="4"/>
    <x v="0"/>
    <n v="27"/>
    <d v="1899-12-30T00:37:15"/>
    <n v="37.25"/>
  </r>
  <r>
    <x v="87"/>
    <x v="4"/>
    <x v="1"/>
    <n v="25"/>
    <d v="1899-12-30T00:39:21"/>
    <n v="39.35"/>
  </r>
  <r>
    <x v="87"/>
    <x v="4"/>
    <x v="2"/>
    <n v="15"/>
    <d v="1899-12-30T00:19:19"/>
    <n v="19.316666666666666"/>
  </r>
  <r>
    <x v="87"/>
    <x v="4"/>
    <x v="3"/>
    <n v="9"/>
    <d v="1899-12-30T00:06:24"/>
    <n v="6.4"/>
  </r>
  <r>
    <x v="87"/>
    <x v="4"/>
    <x v="4"/>
    <n v="4"/>
    <d v="1899-12-30T00:02:55"/>
    <n v="2.9166666666666665"/>
  </r>
  <r>
    <x v="87"/>
    <x v="4"/>
    <x v="5"/>
    <n v="11"/>
    <d v="1899-12-30T00:10:24"/>
    <n v="10.4"/>
  </r>
  <r>
    <x v="87"/>
    <x v="5"/>
    <x v="0"/>
    <n v="61"/>
    <d v="1899-12-30T01:25:33"/>
    <n v="85.55"/>
  </r>
  <r>
    <x v="87"/>
    <x v="5"/>
    <x v="1"/>
    <n v="42"/>
    <d v="1899-12-30T00:53:46"/>
    <n v="53.766666666666666"/>
  </r>
  <r>
    <x v="87"/>
    <x v="5"/>
    <x v="2"/>
    <n v="48"/>
    <d v="1899-12-30T01:03:22"/>
    <n v="63.366666666666667"/>
  </r>
  <r>
    <x v="87"/>
    <x v="5"/>
    <x v="3"/>
    <n v="23"/>
    <d v="1899-12-30T00:21:55"/>
    <n v="21.916666666666668"/>
  </r>
  <r>
    <x v="87"/>
    <x v="5"/>
    <x v="4"/>
    <n v="5"/>
    <d v="1899-12-30T00:04:12"/>
    <n v="4.2"/>
  </r>
  <r>
    <x v="87"/>
    <x v="5"/>
    <x v="5"/>
    <n v="38"/>
    <d v="1899-12-30T00:46:45"/>
    <n v="46.75"/>
  </r>
  <r>
    <x v="87"/>
    <x v="6"/>
    <x v="0"/>
    <n v="13"/>
    <d v="1899-12-30T00:16:45"/>
    <n v="16.75"/>
  </r>
  <r>
    <x v="87"/>
    <x v="6"/>
    <x v="1"/>
    <n v="10"/>
    <d v="1899-12-30T00:13:49"/>
    <n v="13.816666666666666"/>
  </r>
  <r>
    <x v="87"/>
    <x v="6"/>
    <x v="2"/>
    <n v="9"/>
    <d v="1899-12-30T00:18:53"/>
    <n v="18.883333333333333"/>
  </r>
  <r>
    <x v="87"/>
    <x v="6"/>
    <x v="3"/>
    <n v="4"/>
    <d v="1899-12-30T00:03:07"/>
    <n v="3.1166666666666667"/>
  </r>
  <r>
    <x v="87"/>
    <x v="6"/>
    <x v="4"/>
    <n v="5"/>
    <d v="1899-12-30T00:06:46"/>
    <n v="6.7666666666666666"/>
  </r>
  <r>
    <x v="87"/>
    <x v="6"/>
    <x v="5"/>
    <n v="5"/>
    <d v="1899-12-30T00:05:10"/>
    <n v="5.166666666666667"/>
  </r>
  <r>
    <x v="87"/>
    <x v="7"/>
    <x v="0"/>
    <n v="59"/>
    <d v="1899-12-30T01:02:42"/>
    <n v="62.7"/>
  </r>
  <r>
    <x v="87"/>
    <x v="7"/>
    <x v="1"/>
    <n v="70"/>
    <d v="1899-12-30T01:14:19"/>
    <n v="74.316666666666663"/>
  </r>
  <r>
    <x v="87"/>
    <x v="7"/>
    <x v="2"/>
    <n v="33"/>
    <d v="1899-12-30T00:29:01"/>
    <n v="29.016666666666666"/>
  </r>
  <r>
    <x v="87"/>
    <x v="7"/>
    <x v="3"/>
    <n v="63"/>
    <d v="1899-12-30T00:53:44"/>
    <n v="53.733333333333334"/>
  </r>
  <r>
    <x v="87"/>
    <x v="7"/>
    <x v="4"/>
    <n v="127"/>
    <d v="1899-12-30T03:17:06"/>
    <n v="197.1"/>
  </r>
  <r>
    <x v="87"/>
    <x v="7"/>
    <x v="5"/>
    <n v="25"/>
    <d v="1899-12-30T00:18:30"/>
    <n v="18.5"/>
  </r>
  <r>
    <x v="87"/>
    <x v="8"/>
    <x v="0"/>
    <n v="31"/>
    <d v="1899-12-30T00:45:33"/>
    <n v="45.55"/>
  </r>
  <r>
    <x v="87"/>
    <x v="8"/>
    <x v="1"/>
    <n v="35"/>
    <d v="1899-12-30T00:58:00"/>
    <n v="58"/>
  </r>
  <r>
    <x v="87"/>
    <x v="8"/>
    <x v="2"/>
    <n v="25"/>
    <d v="1899-12-30T00:31:29"/>
    <n v="31.483333333333334"/>
  </r>
  <r>
    <x v="87"/>
    <x v="8"/>
    <x v="3"/>
    <n v="25"/>
    <d v="1899-12-30T00:26:53"/>
    <n v="26.883333333333333"/>
  </r>
  <r>
    <x v="87"/>
    <x v="8"/>
    <x v="4"/>
    <n v="12"/>
    <d v="1899-12-30T00:16:41"/>
    <n v="16.683333333333334"/>
  </r>
  <r>
    <x v="87"/>
    <x v="8"/>
    <x v="5"/>
    <n v="22"/>
    <d v="1899-12-30T00:32:44"/>
    <n v="32.733333333333334"/>
  </r>
  <r>
    <x v="87"/>
    <x v="9"/>
    <x v="0"/>
    <n v="120"/>
    <d v="1899-12-30T03:37:34"/>
    <n v="217.56666666666666"/>
  </r>
  <r>
    <x v="87"/>
    <x v="9"/>
    <x v="1"/>
    <n v="129"/>
    <d v="1899-12-30T03:26:47"/>
    <n v="206.78333333333333"/>
  </r>
  <r>
    <x v="87"/>
    <x v="9"/>
    <x v="2"/>
    <n v="109"/>
    <d v="1899-12-30T02:56:02"/>
    <n v="176.03333333333333"/>
  </r>
  <r>
    <x v="87"/>
    <x v="9"/>
    <x v="3"/>
    <n v="52"/>
    <d v="1899-12-30T01:17:00"/>
    <n v="77"/>
  </r>
  <r>
    <x v="87"/>
    <x v="9"/>
    <x v="4"/>
    <n v="39"/>
    <d v="1899-12-30T01:15:14"/>
    <n v="75.233333333333334"/>
  </r>
  <r>
    <x v="87"/>
    <x v="9"/>
    <x v="5"/>
    <n v="142"/>
    <d v="1899-12-30T02:35:16"/>
    <n v="155.26666666666668"/>
  </r>
  <r>
    <x v="87"/>
    <x v="10"/>
    <x v="0"/>
    <n v="14"/>
    <d v="1899-12-30T00:21:19"/>
    <n v="21.316666666666666"/>
  </r>
  <r>
    <x v="87"/>
    <x v="10"/>
    <x v="1"/>
    <n v="18"/>
    <d v="1899-12-30T00:42:59"/>
    <n v="42.983333333333334"/>
  </r>
  <r>
    <x v="87"/>
    <x v="10"/>
    <x v="2"/>
    <n v="8"/>
    <d v="1899-12-30T00:17:59"/>
    <n v="17.983333333333334"/>
  </r>
  <r>
    <x v="87"/>
    <x v="10"/>
    <x v="3"/>
    <n v="4"/>
    <d v="1899-12-30T00:03:40"/>
    <n v="3.6666666666666665"/>
  </r>
  <r>
    <x v="87"/>
    <x v="10"/>
    <x v="4"/>
    <n v="1"/>
    <d v="1899-12-30T00:02:40"/>
    <n v="2.6666666666666665"/>
  </r>
  <r>
    <x v="87"/>
    <x v="10"/>
    <x v="5"/>
    <n v="12"/>
    <d v="1899-12-30T00:19:55"/>
    <n v="19.916666666666668"/>
  </r>
  <r>
    <x v="87"/>
    <x v="11"/>
    <x v="0"/>
    <n v="15"/>
    <d v="1899-12-30T00:21:49"/>
    <n v="21.816666666666666"/>
  </r>
  <r>
    <x v="87"/>
    <x v="11"/>
    <x v="1"/>
    <n v="13"/>
    <d v="1899-12-30T00:19:30"/>
    <n v="19.5"/>
  </r>
  <r>
    <x v="87"/>
    <x v="11"/>
    <x v="2"/>
    <n v="7"/>
    <d v="1899-12-30T00:11:56"/>
    <n v="11.933333333333334"/>
  </r>
  <r>
    <x v="87"/>
    <x v="11"/>
    <x v="3"/>
    <n v="5"/>
    <d v="1899-12-30T00:04:12"/>
    <n v="4.2"/>
  </r>
  <r>
    <x v="87"/>
    <x v="11"/>
    <x v="4"/>
    <n v="4"/>
    <d v="1899-12-30T00:06:11"/>
    <n v="6.1833333333333336"/>
  </r>
  <r>
    <x v="87"/>
    <x v="11"/>
    <x v="5"/>
    <n v="11"/>
    <d v="1899-12-30T00:13:02"/>
    <n v="13.033333333333333"/>
  </r>
  <r>
    <x v="87"/>
    <x v="12"/>
    <x v="0"/>
    <n v="72"/>
    <d v="1899-12-30T01:48:45"/>
    <n v="108.75"/>
  </r>
  <r>
    <x v="87"/>
    <x v="12"/>
    <x v="1"/>
    <n v="85"/>
    <d v="1899-12-30T02:57:29"/>
    <n v="177.48333333333332"/>
  </r>
  <r>
    <x v="87"/>
    <x v="12"/>
    <x v="2"/>
    <n v="55"/>
    <d v="1899-12-30T01:28:59"/>
    <n v="88.983333333333334"/>
  </r>
  <r>
    <x v="87"/>
    <x v="12"/>
    <x v="3"/>
    <n v="53"/>
    <d v="1899-12-30T00:53:14"/>
    <n v="53.233333333333334"/>
  </r>
  <r>
    <x v="87"/>
    <x v="12"/>
    <x v="4"/>
    <n v="31"/>
    <d v="1899-12-30T01:05:17"/>
    <n v="65.283333333333331"/>
  </r>
  <r>
    <x v="87"/>
    <x v="12"/>
    <x v="5"/>
    <n v="72"/>
    <d v="1899-12-30T01:25:09"/>
    <n v="85.15"/>
  </r>
  <r>
    <x v="87"/>
    <x v="13"/>
    <x v="0"/>
    <n v="28"/>
    <d v="1899-12-30T00:41:58"/>
    <n v="41.966666666666669"/>
  </r>
  <r>
    <x v="87"/>
    <x v="13"/>
    <x v="1"/>
    <n v="23"/>
    <d v="1899-12-30T00:21:50"/>
    <n v="21.833333333333332"/>
  </r>
  <r>
    <x v="87"/>
    <x v="13"/>
    <x v="2"/>
    <n v="22"/>
    <d v="1899-12-30T00:20:10"/>
    <n v="20.166666666666668"/>
  </r>
  <r>
    <x v="87"/>
    <x v="13"/>
    <x v="3"/>
    <n v="16"/>
    <d v="1899-12-30T00:12:04"/>
    <n v="12.066666666666666"/>
  </r>
  <r>
    <x v="87"/>
    <x v="13"/>
    <x v="4"/>
    <n v="2"/>
    <d v="1899-12-30T00:02:15"/>
    <n v="2.25"/>
  </r>
  <r>
    <x v="87"/>
    <x v="13"/>
    <x v="5"/>
    <n v="22"/>
    <d v="1899-12-30T00:21:42"/>
    <n v="21.7"/>
  </r>
  <r>
    <x v="88"/>
    <x v="0"/>
    <x v="0"/>
    <n v="42"/>
    <d v="1899-12-30T00:57:41"/>
    <n v="57.68333333333333"/>
  </r>
  <r>
    <x v="88"/>
    <x v="0"/>
    <x v="1"/>
    <n v="37"/>
    <d v="1899-12-30T00:44:08"/>
    <n v="44.133333333333333"/>
  </r>
  <r>
    <x v="88"/>
    <x v="0"/>
    <x v="2"/>
    <n v="29"/>
    <d v="1899-12-30T00:37:15"/>
    <n v="37.25"/>
  </r>
  <r>
    <x v="88"/>
    <x v="0"/>
    <x v="3"/>
    <n v="12"/>
    <d v="1899-12-30T00:12:23"/>
    <n v="12.383333333333333"/>
  </r>
  <r>
    <x v="88"/>
    <x v="0"/>
    <x v="4"/>
    <n v="3"/>
    <d v="1899-12-30T00:02:40"/>
    <n v="2.6666666666666665"/>
  </r>
  <r>
    <x v="88"/>
    <x v="0"/>
    <x v="5"/>
    <n v="18"/>
    <d v="1899-12-30T00:19:14"/>
    <n v="19.233333333333334"/>
  </r>
  <r>
    <x v="88"/>
    <x v="1"/>
    <x v="0"/>
    <n v="63"/>
    <d v="1899-12-30T01:56:12"/>
    <n v="116.2"/>
  </r>
  <r>
    <x v="88"/>
    <x v="1"/>
    <x v="1"/>
    <n v="33"/>
    <d v="1899-12-30T01:16:01"/>
    <n v="76.016666666666666"/>
  </r>
  <r>
    <x v="88"/>
    <x v="1"/>
    <x v="2"/>
    <n v="30"/>
    <d v="1899-12-30T00:48:29"/>
    <n v="48.483333333333334"/>
  </r>
  <r>
    <x v="88"/>
    <x v="1"/>
    <x v="3"/>
    <n v="19"/>
    <d v="1899-12-30T00:14:40"/>
    <n v="14.666666666666666"/>
  </r>
  <r>
    <x v="88"/>
    <x v="1"/>
    <x v="4"/>
    <n v="38"/>
    <d v="1899-12-30T01:35:23"/>
    <n v="95.38333333333334"/>
  </r>
  <r>
    <x v="88"/>
    <x v="1"/>
    <x v="5"/>
    <n v="61"/>
    <d v="1899-12-30T01:19:37"/>
    <n v="79.61666666666666"/>
  </r>
  <r>
    <x v="88"/>
    <x v="2"/>
    <x v="0"/>
    <n v="62"/>
    <d v="1899-12-30T01:31:24"/>
    <n v="91.4"/>
  </r>
  <r>
    <x v="88"/>
    <x v="2"/>
    <x v="1"/>
    <n v="69"/>
    <d v="1899-12-30T02:10:39"/>
    <n v="130.65"/>
  </r>
  <r>
    <x v="88"/>
    <x v="2"/>
    <x v="2"/>
    <n v="49"/>
    <d v="1899-12-30T01:21:45"/>
    <n v="81.75"/>
  </r>
  <r>
    <x v="88"/>
    <x v="2"/>
    <x v="3"/>
    <n v="33"/>
    <d v="1899-12-30T00:39:53"/>
    <n v="39.883333333333333"/>
  </r>
  <r>
    <x v="88"/>
    <x v="2"/>
    <x v="4"/>
    <n v="33"/>
    <d v="1899-12-30T01:01:13"/>
    <n v="61.216666666666669"/>
  </r>
  <r>
    <x v="88"/>
    <x v="2"/>
    <x v="5"/>
    <n v="33"/>
    <d v="1899-12-30T00:40:36"/>
    <n v="40.6"/>
  </r>
  <r>
    <x v="88"/>
    <x v="3"/>
    <x v="0"/>
    <n v="16"/>
    <d v="1899-12-30T00:32:27"/>
    <n v="32.450000000000003"/>
  </r>
  <r>
    <x v="88"/>
    <x v="3"/>
    <x v="1"/>
    <n v="18"/>
    <d v="1899-12-30T00:45:42"/>
    <n v="45.7"/>
  </r>
  <r>
    <x v="88"/>
    <x v="3"/>
    <x v="2"/>
    <n v="6"/>
    <d v="1899-12-30T00:12:38"/>
    <n v="12.633333333333333"/>
  </r>
  <r>
    <x v="88"/>
    <x v="3"/>
    <x v="3"/>
    <n v="5"/>
    <d v="1899-12-30T00:05:32"/>
    <n v="5.5333333333333332"/>
  </r>
  <r>
    <x v="88"/>
    <x v="3"/>
    <x v="4"/>
    <n v="1"/>
    <d v="1899-12-30T00:03:18"/>
    <n v="3.3"/>
  </r>
  <r>
    <x v="88"/>
    <x v="3"/>
    <x v="5"/>
    <n v="6"/>
    <d v="1899-12-30T00:08:45"/>
    <n v="8.75"/>
  </r>
  <r>
    <x v="88"/>
    <x v="4"/>
    <x v="0"/>
    <n v="22"/>
    <d v="1899-12-30T00:37:16"/>
    <n v="37.266666666666666"/>
  </r>
  <r>
    <x v="88"/>
    <x v="4"/>
    <x v="1"/>
    <n v="20"/>
    <d v="1899-12-30T00:32:01"/>
    <n v="32.016666666666666"/>
  </r>
  <r>
    <x v="88"/>
    <x v="4"/>
    <x v="2"/>
    <n v="9"/>
    <d v="1899-12-30T00:10:38"/>
    <n v="10.633333333333333"/>
  </r>
  <r>
    <x v="88"/>
    <x v="4"/>
    <x v="3"/>
    <n v="8"/>
    <d v="1899-12-30T00:08:08"/>
    <n v="8.1333333333333329"/>
  </r>
  <r>
    <x v="88"/>
    <x v="4"/>
    <x v="4"/>
    <n v="7"/>
    <d v="1899-12-30T00:15:51"/>
    <n v="15.85"/>
  </r>
  <r>
    <x v="88"/>
    <x v="4"/>
    <x v="5"/>
    <n v="9"/>
    <d v="1899-12-30T00:09:18"/>
    <n v="9.3000000000000007"/>
  </r>
  <r>
    <x v="88"/>
    <x v="5"/>
    <x v="0"/>
    <n v="40"/>
    <d v="1899-12-30T00:51:19"/>
    <n v="51.31666666666667"/>
  </r>
  <r>
    <x v="88"/>
    <x v="5"/>
    <x v="1"/>
    <n v="29"/>
    <d v="1899-12-30T00:38:40"/>
    <n v="38.666666666666664"/>
  </r>
  <r>
    <x v="88"/>
    <x v="5"/>
    <x v="2"/>
    <n v="34"/>
    <d v="1899-12-30T00:36:15"/>
    <n v="36.25"/>
  </r>
  <r>
    <x v="88"/>
    <x v="5"/>
    <x v="3"/>
    <n v="12"/>
    <d v="1899-12-30T00:08:29"/>
    <n v="8.4833333333333325"/>
  </r>
  <r>
    <x v="88"/>
    <x v="5"/>
    <x v="4"/>
    <n v="2"/>
    <d v="1899-12-30T00:04:19"/>
    <n v="4.3166666666666664"/>
  </r>
  <r>
    <x v="88"/>
    <x v="5"/>
    <x v="5"/>
    <n v="37"/>
    <d v="1899-12-30T00:43:01"/>
    <n v="43.016666666666666"/>
  </r>
  <r>
    <x v="88"/>
    <x v="6"/>
    <x v="0"/>
    <n v="13"/>
    <d v="1899-12-30T00:25:09"/>
    <n v="25.15"/>
  </r>
  <r>
    <x v="88"/>
    <x v="6"/>
    <x v="1"/>
    <n v="18"/>
    <d v="1899-12-30T00:32:35"/>
    <n v="32.583333333333336"/>
  </r>
  <r>
    <x v="88"/>
    <x v="6"/>
    <x v="2"/>
    <n v="10"/>
    <d v="1899-12-30T00:19:31"/>
    <n v="19.516666666666666"/>
  </r>
  <r>
    <x v="88"/>
    <x v="6"/>
    <x v="3"/>
    <n v="7"/>
    <d v="1899-12-30T00:07:53"/>
    <n v="7.8833333333333329"/>
  </r>
  <r>
    <x v="88"/>
    <x v="6"/>
    <x v="4"/>
    <n v="3"/>
    <d v="1899-12-30T00:03:49"/>
    <n v="3.8166666666666664"/>
  </r>
  <r>
    <x v="88"/>
    <x v="6"/>
    <x v="5"/>
    <n v="12"/>
    <d v="1899-12-30T00:16:26"/>
    <n v="16.433333333333334"/>
  </r>
  <r>
    <x v="88"/>
    <x v="7"/>
    <x v="0"/>
    <n v="103"/>
    <d v="1899-12-30T02:13:21"/>
    <n v="133.35"/>
  </r>
  <r>
    <x v="88"/>
    <x v="7"/>
    <x v="1"/>
    <n v="144"/>
    <d v="1899-12-30T02:58:47"/>
    <n v="178.78333333333333"/>
  </r>
  <r>
    <x v="88"/>
    <x v="7"/>
    <x v="2"/>
    <n v="69"/>
    <d v="1899-12-30T01:23:55"/>
    <n v="83.916666666666671"/>
  </r>
  <r>
    <x v="88"/>
    <x v="7"/>
    <x v="3"/>
    <n v="107"/>
    <d v="1899-12-30T01:40:10"/>
    <n v="100.16666666666667"/>
  </r>
  <r>
    <x v="88"/>
    <x v="7"/>
    <x v="4"/>
    <n v="169"/>
    <d v="1899-12-30T04:17:16"/>
    <n v="257.26666666666665"/>
  </r>
  <r>
    <x v="88"/>
    <x v="7"/>
    <x v="5"/>
    <n v="58"/>
    <d v="1899-12-30T00:50:16"/>
    <n v="50.266666666666666"/>
  </r>
  <r>
    <x v="88"/>
    <x v="8"/>
    <x v="0"/>
    <n v="28"/>
    <d v="1899-12-30T00:43:52"/>
    <n v="43.866666666666667"/>
  </r>
  <r>
    <x v="88"/>
    <x v="8"/>
    <x v="1"/>
    <n v="28"/>
    <d v="1899-12-30T00:41:11"/>
    <n v="41.18333333333333"/>
  </r>
  <r>
    <x v="88"/>
    <x v="8"/>
    <x v="2"/>
    <n v="25"/>
    <d v="1899-12-30T00:39:21"/>
    <n v="39.35"/>
  </r>
  <r>
    <x v="88"/>
    <x v="8"/>
    <x v="3"/>
    <n v="33"/>
    <d v="1899-12-30T00:34:58"/>
    <n v="34.966666666666669"/>
  </r>
  <r>
    <x v="88"/>
    <x v="8"/>
    <x v="4"/>
    <n v="15"/>
    <d v="1899-12-30T00:26:17"/>
    <n v="26.283333333333335"/>
  </r>
  <r>
    <x v="88"/>
    <x v="8"/>
    <x v="5"/>
    <n v="32"/>
    <d v="1899-12-30T00:32:55"/>
    <n v="32.916666666666664"/>
  </r>
  <r>
    <x v="88"/>
    <x v="9"/>
    <x v="0"/>
    <n v="174"/>
    <d v="1899-12-30T04:55:15"/>
    <n v="295.25"/>
  </r>
  <r>
    <x v="88"/>
    <x v="9"/>
    <x v="1"/>
    <n v="221"/>
    <d v="1899-12-30T06:37:57"/>
    <n v="397.95"/>
  </r>
  <r>
    <x v="88"/>
    <x v="9"/>
    <x v="2"/>
    <n v="133"/>
    <d v="1899-12-30T03:47:58"/>
    <n v="227.96666666666667"/>
  </r>
  <r>
    <x v="88"/>
    <x v="9"/>
    <x v="3"/>
    <n v="62"/>
    <d v="1899-12-30T01:20:43"/>
    <n v="80.716666666666669"/>
  </r>
  <r>
    <x v="88"/>
    <x v="9"/>
    <x v="4"/>
    <n v="27"/>
    <d v="1899-12-30T00:48:10"/>
    <n v="48.166666666666664"/>
  </r>
  <r>
    <x v="88"/>
    <x v="9"/>
    <x v="5"/>
    <n v="105"/>
    <d v="1899-12-30T02:06:37"/>
    <n v="126.61666666666666"/>
  </r>
  <r>
    <x v="88"/>
    <x v="10"/>
    <x v="0"/>
    <n v="27"/>
    <d v="1899-12-30T00:49:54"/>
    <n v="49.9"/>
  </r>
  <r>
    <x v="88"/>
    <x v="10"/>
    <x v="1"/>
    <n v="15"/>
    <d v="1899-12-30T00:33:11"/>
    <n v="33.18333333333333"/>
  </r>
  <r>
    <x v="88"/>
    <x v="10"/>
    <x v="2"/>
    <n v="12"/>
    <d v="1899-12-30T00:29:46"/>
    <n v="29.766666666666666"/>
  </r>
  <r>
    <x v="88"/>
    <x v="10"/>
    <x v="3"/>
    <n v="8"/>
    <d v="1899-12-30T00:11:43"/>
    <n v="11.716666666666667"/>
  </r>
  <r>
    <x v="88"/>
    <x v="10"/>
    <x v="4"/>
    <n v="2"/>
    <d v="1899-12-30T00:02:16"/>
    <n v="2.2666666666666666"/>
  </r>
  <r>
    <x v="88"/>
    <x v="10"/>
    <x v="5"/>
    <n v="22"/>
    <d v="1899-12-30T00:39:21"/>
    <n v="39.35"/>
  </r>
  <r>
    <x v="88"/>
    <x v="11"/>
    <x v="0"/>
    <n v="7"/>
    <d v="1899-12-30T00:09:41"/>
    <n v="9.6833333333333336"/>
  </r>
  <r>
    <x v="88"/>
    <x v="11"/>
    <x v="1"/>
    <n v="10"/>
    <d v="1899-12-30T00:15:58"/>
    <n v="15.966666666666667"/>
  </r>
  <r>
    <x v="88"/>
    <x v="11"/>
    <x v="2"/>
    <n v="8"/>
    <d v="1899-12-30T00:12:06"/>
    <n v="12.1"/>
  </r>
  <r>
    <x v="88"/>
    <x v="11"/>
    <x v="3"/>
    <n v="5"/>
    <d v="1899-12-30T00:03:10"/>
    <n v="3.1666666666666665"/>
  </r>
  <r>
    <x v="88"/>
    <x v="11"/>
    <x v="4"/>
    <n v="2"/>
    <d v="1899-12-30T00:01:18"/>
    <n v="1.3"/>
  </r>
  <r>
    <x v="88"/>
    <x v="11"/>
    <x v="5"/>
    <n v="8"/>
    <d v="1899-12-30T00:11:19"/>
    <n v="11.316666666666666"/>
  </r>
  <r>
    <x v="88"/>
    <x v="12"/>
    <x v="0"/>
    <n v="104"/>
    <d v="1899-12-30T02:53:21"/>
    <n v="173.35"/>
  </r>
  <r>
    <x v="88"/>
    <x v="12"/>
    <x v="1"/>
    <n v="94"/>
    <d v="1899-12-30T03:17:10"/>
    <n v="197.16666666666666"/>
  </r>
  <r>
    <x v="88"/>
    <x v="12"/>
    <x v="2"/>
    <n v="61"/>
    <d v="1899-12-30T01:42:44"/>
    <n v="102.73333333333333"/>
  </r>
  <r>
    <x v="88"/>
    <x v="12"/>
    <x v="3"/>
    <n v="58"/>
    <d v="1899-12-30T01:04:00"/>
    <n v="64"/>
  </r>
  <r>
    <x v="88"/>
    <x v="12"/>
    <x v="4"/>
    <n v="30"/>
    <d v="1899-12-30T00:52:29"/>
    <n v="52.483333333333334"/>
  </r>
  <r>
    <x v="88"/>
    <x v="12"/>
    <x v="5"/>
    <n v="104"/>
    <d v="1899-12-30T02:16:07"/>
    <n v="136.11666666666667"/>
  </r>
  <r>
    <x v="88"/>
    <x v="13"/>
    <x v="0"/>
    <n v="80"/>
    <d v="1899-12-30T01:44:47"/>
    <n v="104.78333333333333"/>
  </r>
  <r>
    <x v="88"/>
    <x v="13"/>
    <x v="1"/>
    <n v="63"/>
    <d v="1899-12-30T01:17:07"/>
    <n v="77.11666666666666"/>
  </r>
  <r>
    <x v="88"/>
    <x v="13"/>
    <x v="2"/>
    <n v="40"/>
    <d v="1899-12-30T00:36:17"/>
    <n v="36.283333333333331"/>
  </r>
  <r>
    <x v="88"/>
    <x v="13"/>
    <x v="3"/>
    <n v="20"/>
    <d v="1899-12-30T00:18:56"/>
    <n v="18.933333333333334"/>
  </r>
  <r>
    <x v="88"/>
    <x v="13"/>
    <x v="4"/>
    <n v="3"/>
    <d v="1899-12-30T00:05:44"/>
    <n v="5.7333333333333334"/>
  </r>
  <r>
    <x v="88"/>
    <x v="13"/>
    <x v="5"/>
    <n v="29"/>
    <d v="1899-12-30T00:30:17"/>
    <n v="30.283333333333335"/>
  </r>
  <r>
    <x v="89"/>
    <x v="0"/>
    <x v="0"/>
    <n v="15"/>
    <d v="1899-12-30T00:17:26"/>
    <n v="17.433333333333334"/>
  </r>
  <r>
    <x v="89"/>
    <x v="0"/>
    <x v="1"/>
    <n v="13"/>
    <d v="1899-12-30T00:12:40"/>
    <n v="12.666666666666666"/>
  </r>
  <r>
    <x v="89"/>
    <x v="0"/>
    <x v="2"/>
    <n v="10"/>
    <d v="1899-12-30T00:08:42"/>
    <n v="8.6999999999999993"/>
  </r>
  <r>
    <x v="89"/>
    <x v="0"/>
    <x v="3"/>
    <n v="12"/>
    <d v="1899-12-30T00:06:15"/>
    <n v="6.25"/>
  </r>
  <r>
    <x v="89"/>
    <x v="0"/>
    <x v="4"/>
    <n v="3"/>
    <d v="1899-12-30T00:03:42"/>
    <n v="3.7"/>
  </r>
  <r>
    <x v="89"/>
    <x v="0"/>
    <x v="5"/>
    <n v="15"/>
    <d v="1899-12-30T00:13:37"/>
    <n v="13.616666666666667"/>
  </r>
  <r>
    <x v="89"/>
    <x v="1"/>
    <x v="0"/>
    <n v="47"/>
    <d v="1899-12-30T01:23:05"/>
    <n v="83.083333333333329"/>
  </r>
  <r>
    <x v="89"/>
    <x v="1"/>
    <x v="1"/>
    <n v="20"/>
    <d v="1899-12-30T00:41:23"/>
    <n v="41.383333333333333"/>
  </r>
  <r>
    <x v="89"/>
    <x v="1"/>
    <x v="2"/>
    <n v="22"/>
    <d v="1899-12-30T00:48:15"/>
    <n v="48.25"/>
  </r>
  <r>
    <x v="89"/>
    <x v="1"/>
    <x v="3"/>
    <n v="12"/>
    <d v="1899-12-30T00:10:02"/>
    <n v="10.033333333333333"/>
  </r>
  <r>
    <x v="89"/>
    <x v="1"/>
    <x v="4"/>
    <n v="31"/>
    <d v="1899-12-30T01:11:52"/>
    <n v="71.86666666666666"/>
  </r>
  <r>
    <x v="89"/>
    <x v="1"/>
    <x v="5"/>
    <n v="37"/>
    <d v="1899-12-30T00:52:13"/>
    <n v="52.216666666666669"/>
  </r>
  <r>
    <x v="89"/>
    <x v="2"/>
    <x v="0"/>
    <n v="58"/>
    <d v="1899-12-30T01:33:33"/>
    <n v="93.55"/>
  </r>
  <r>
    <x v="89"/>
    <x v="2"/>
    <x v="1"/>
    <n v="70"/>
    <d v="1899-12-30T01:57:40"/>
    <n v="117.66666666666667"/>
  </r>
  <r>
    <x v="89"/>
    <x v="2"/>
    <x v="2"/>
    <n v="40"/>
    <d v="1899-12-30T01:04:30"/>
    <n v="64.5"/>
  </r>
  <r>
    <x v="89"/>
    <x v="2"/>
    <x v="3"/>
    <n v="34"/>
    <d v="1899-12-30T00:39:48"/>
    <n v="39.799999999999997"/>
  </r>
  <r>
    <x v="89"/>
    <x v="2"/>
    <x v="4"/>
    <n v="39"/>
    <d v="1899-12-30T01:16:43"/>
    <n v="76.716666666666669"/>
  </r>
  <r>
    <x v="89"/>
    <x v="2"/>
    <x v="5"/>
    <n v="16"/>
    <d v="1899-12-30T00:20:55"/>
    <n v="20.916666666666668"/>
  </r>
  <r>
    <x v="89"/>
    <x v="3"/>
    <x v="0"/>
    <n v="26"/>
    <d v="1899-12-30T00:43:35"/>
    <n v="43.583333333333336"/>
  </r>
  <r>
    <x v="89"/>
    <x v="3"/>
    <x v="1"/>
    <n v="33"/>
    <d v="1899-12-30T01:01:02"/>
    <n v="61.033333333333331"/>
  </r>
  <r>
    <x v="89"/>
    <x v="3"/>
    <x v="2"/>
    <n v="14"/>
    <d v="1899-12-30T00:25:26"/>
    <n v="25.433333333333334"/>
  </r>
  <r>
    <x v="89"/>
    <x v="3"/>
    <x v="3"/>
    <n v="7"/>
    <d v="1899-12-30T00:09:25"/>
    <n v="9.4166666666666661"/>
  </r>
  <r>
    <x v="89"/>
    <x v="3"/>
    <x v="4"/>
    <n v="0"/>
    <d v="1899-12-30T00:00:00"/>
    <n v="0"/>
  </r>
  <r>
    <x v="89"/>
    <x v="3"/>
    <x v="5"/>
    <n v="16"/>
    <d v="1899-12-30T00:26:40"/>
    <n v="26.666666666666668"/>
  </r>
  <r>
    <x v="89"/>
    <x v="4"/>
    <x v="0"/>
    <n v="19"/>
    <d v="1899-12-30T00:35:22"/>
    <n v="35.366666666666667"/>
  </r>
  <r>
    <x v="89"/>
    <x v="4"/>
    <x v="1"/>
    <n v="15"/>
    <d v="1899-12-30T00:19:19"/>
    <n v="19.316666666666666"/>
  </r>
  <r>
    <x v="89"/>
    <x v="4"/>
    <x v="2"/>
    <n v="11"/>
    <d v="1899-12-30T00:23:15"/>
    <n v="23.25"/>
  </r>
  <r>
    <x v="89"/>
    <x v="4"/>
    <x v="3"/>
    <n v="7"/>
    <d v="1899-12-30T00:08:31"/>
    <n v="8.5166666666666675"/>
  </r>
  <r>
    <x v="89"/>
    <x v="4"/>
    <x v="4"/>
    <n v="9"/>
    <d v="1899-12-30T00:17:11"/>
    <n v="17.183333333333334"/>
  </r>
  <r>
    <x v="89"/>
    <x v="4"/>
    <x v="5"/>
    <n v="4"/>
    <d v="1899-12-30T00:03:57"/>
    <n v="3.95"/>
  </r>
  <r>
    <x v="89"/>
    <x v="5"/>
    <x v="0"/>
    <n v="43"/>
    <d v="1899-12-30T00:56:59"/>
    <n v="56.983333333333334"/>
  </r>
  <r>
    <x v="89"/>
    <x v="5"/>
    <x v="1"/>
    <n v="47"/>
    <d v="1899-12-30T01:10:32"/>
    <n v="70.533333333333331"/>
  </r>
  <r>
    <x v="89"/>
    <x v="5"/>
    <x v="2"/>
    <n v="41"/>
    <d v="1899-12-30T00:53:59"/>
    <n v="53.983333333333334"/>
  </r>
  <r>
    <x v="89"/>
    <x v="5"/>
    <x v="3"/>
    <n v="23"/>
    <d v="1899-12-30T00:25:11"/>
    <n v="25.183333333333334"/>
  </r>
  <r>
    <x v="89"/>
    <x v="5"/>
    <x v="4"/>
    <n v="0"/>
    <d v="1899-12-30T00:00:00"/>
    <n v="0"/>
  </r>
  <r>
    <x v="89"/>
    <x v="5"/>
    <x v="5"/>
    <n v="42"/>
    <d v="1899-12-30T00:55:16"/>
    <n v="55.266666666666666"/>
  </r>
  <r>
    <x v="89"/>
    <x v="6"/>
    <x v="0"/>
    <n v="22"/>
    <d v="1899-12-30T00:31:04"/>
    <n v="31.066666666666666"/>
  </r>
  <r>
    <x v="89"/>
    <x v="6"/>
    <x v="1"/>
    <n v="14"/>
    <d v="1899-12-30T00:24:08"/>
    <n v="24.133333333333333"/>
  </r>
  <r>
    <x v="89"/>
    <x v="6"/>
    <x v="2"/>
    <n v="9"/>
    <d v="1899-12-30T00:13:06"/>
    <n v="13.1"/>
  </r>
  <r>
    <x v="89"/>
    <x v="6"/>
    <x v="3"/>
    <n v="4"/>
    <d v="1899-12-30T00:03:57"/>
    <n v="3.95"/>
  </r>
  <r>
    <x v="89"/>
    <x v="6"/>
    <x v="4"/>
    <n v="3"/>
    <d v="1899-12-30T00:03:54"/>
    <n v="3.9"/>
  </r>
  <r>
    <x v="89"/>
    <x v="6"/>
    <x v="5"/>
    <n v="15"/>
    <d v="1899-12-30T00:24:04"/>
    <n v="24.066666666666666"/>
  </r>
  <r>
    <x v="89"/>
    <x v="7"/>
    <x v="0"/>
    <n v="55"/>
    <d v="1899-12-30T01:08:57"/>
    <n v="68.95"/>
  </r>
  <r>
    <x v="89"/>
    <x v="7"/>
    <x v="1"/>
    <n v="80"/>
    <d v="1899-12-30T01:18:42"/>
    <n v="78.7"/>
  </r>
  <r>
    <x v="89"/>
    <x v="7"/>
    <x v="2"/>
    <n v="37"/>
    <d v="1899-12-30T00:43:14"/>
    <n v="43.233333333333334"/>
  </r>
  <r>
    <x v="89"/>
    <x v="7"/>
    <x v="3"/>
    <n v="46"/>
    <d v="1899-12-30T00:42:06"/>
    <n v="42.1"/>
  </r>
  <r>
    <x v="89"/>
    <x v="7"/>
    <x v="4"/>
    <n v="93"/>
    <d v="1899-12-30T02:32:57"/>
    <n v="152.94999999999999"/>
  </r>
  <r>
    <x v="89"/>
    <x v="7"/>
    <x v="5"/>
    <n v="27"/>
    <d v="1899-12-30T00:27:34"/>
    <n v="27.566666666666666"/>
  </r>
  <r>
    <x v="89"/>
    <x v="8"/>
    <x v="0"/>
    <n v="30"/>
    <d v="1899-12-30T00:41:11"/>
    <n v="41.18333333333333"/>
  </r>
  <r>
    <x v="89"/>
    <x v="8"/>
    <x v="1"/>
    <n v="13"/>
    <d v="1899-12-30T00:15:03"/>
    <n v="15.05"/>
  </r>
  <r>
    <x v="89"/>
    <x v="8"/>
    <x v="2"/>
    <n v="25"/>
    <d v="1899-12-30T00:24:41"/>
    <n v="24.683333333333334"/>
  </r>
  <r>
    <x v="89"/>
    <x v="8"/>
    <x v="3"/>
    <n v="23"/>
    <d v="1899-12-30T00:24:16"/>
    <n v="24.266666666666666"/>
  </r>
  <r>
    <x v="89"/>
    <x v="8"/>
    <x v="4"/>
    <n v="15"/>
    <d v="1899-12-30T00:20:34"/>
    <n v="20.566666666666666"/>
  </r>
  <r>
    <x v="89"/>
    <x v="8"/>
    <x v="5"/>
    <n v="12"/>
    <d v="1899-12-30T00:17:44"/>
    <n v="17.733333333333334"/>
  </r>
  <r>
    <x v="89"/>
    <x v="9"/>
    <x v="0"/>
    <n v="84"/>
    <d v="1899-12-30T02:04:44"/>
    <n v="124.73333333333333"/>
  </r>
  <r>
    <x v="89"/>
    <x v="9"/>
    <x v="1"/>
    <n v="109"/>
    <d v="1899-12-30T02:30:54"/>
    <n v="150.9"/>
  </r>
  <r>
    <x v="89"/>
    <x v="9"/>
    <x v="2"/>
    <n v="89"/>
    <d v="1899-12-30T02:08:54"/>
    <n v="128.9"/>
  </r>
  <r>
    <x v="89"/>
    <x v="9"/>
    <x v="3"/>
    <n v="35"/>
    <d v="1899-12-30T00:37:50"/>
    <n v="37.833333333333336"/>
  </r>
  <r>
    <x v="89"/>
    <x v="9"/>
    <x v="4"/>
    <n v="21"/>
    <d v="1899-12-30T00:36:38"/>
    <n v="36.633333333333333"/>
  </r>
  <r>
    <x v="89"/>
    <x v="9"/>
    <x v="5"/>
    <n v="83"/>
    <d v="1899-12-30T01:35:35"/>
    <n v="95.583333333333329"/>
  </r>
  <r>
    <x v="89"/>
    <x v="10"/>
    <x v="0"/>
    <n v="11"/>
    <d v="1899-12-30T00:18:29"/>
    <n v="18.483333333333334"/>
  </r>
  <r>
    <x v="89"/>
    <x v="10"/>
    <x v="1"/>
    <n v="19"/>
    <d v="1899-12-30T00:47:32"/>
    <n v="47.533333333333331"/>
  </r>
  <r>
    <x v="89"/>
    <x v="10"/>
    <x v="2"/>
    <n v="11"/>
    <d v="1899-12-30T00:24:15"/>
    <n v="24.25"/>
  </r>
  <r>
    <x v="89"/>
    <x v="10"/>
    <x v="3"/>
    <n v="3"/>
    <d v="1899-12-30T00:03:00"/>
    <n v="3"/>
  </r>
  <r>
    <x v="89"/>
    <x v="10"/>
    <x v="4"/>
    <n v="1"/>
    <d v="1899-12-30T00:03:02"/>
    <n v="3.0333333333333332"/>
  </r>
  <r>
    <x v="89"/>
    <x v="10"/>
    <x v="5"/>
    <n v="14"/>
    <d v="1899-12-30T00:23:27"/>
    <n v="23.45"/>
  </r>
  <r>
    <x v="89"/>
    <x v="11"/>
    <x v="0"/>
    <n v="9"/>
    <d v="1899-12-30T00:15:08"/>
    <n v="15.133333333333333"/>
  </r>
  <r>
    <x v="89"/>
    <x v="11"/>
    <x v="1"/>
    <n v="9"/>
    <d v="1899-12-30T00:18:25"/>
    <n v="18.416666666666668"/>
  </r>
  <r>
    <x v="89"/>
    <x v="11"/>
    <x v="2"/>
    <n v="8"/>
    <d v="1899-12-30T00:12:35"/>
    <n v="12.583333333333334"/>
  </r>
  <r>
    <x v="89"/>
    <x v="11"/>
    <x v="3"/>
    <n v="2"/>
    <d v="1899-12-30T00:02:35"/>
    <n v="2.5833333333333335"/>
  </r>
  <r>
    <x v="89"/>
    <x v="11"/>
    <x v="4"/>
    <n v="2"/>
    <d v="1899-12-30T00:00:57"/>
    <n v="0.95"/>
  </r>
  <r>
    <x v="89"/>
    <x v="11"/>
    <x v="5"/>
    <n v="4"/>
    <d v="1899-12-30T00:07:28"/>
    <n v="7.4666666666666668"/>
  </r>
  <r>
    <x v="89"/>
    <x v="12"/>
    <x v="0"/>
    <n v="78"/>
    <d v="1899-12-30T02:15:43"/>
    <n v="135.71666666666667"/>
  </r>
  <r>
    <x v="89"/>
    <x v="12"/>
    <x v="1"/>
    <n v="97"/>
    <d v="1899-12-30T03:34:38"/>
    <n v="214.63333333333333"/>
  </r>
  <r>
    <x v="89"/>
    <x v="12"/>
    <x v="2"/>
    <n v="55"/>
    <d v="1899-12-30T01:32:24"/>
    <n v="92.4"/>
  </r>
  <r>
    <x v="89"/>
    <x v="12"/>
    <x v="3"/>
    <n v="42"/>
    <d v="1899-12-30T00:48:43"/>
    <n v="48.716666666666669"/>
  </r>
  <r>
    <x v="89"/>
    <x v="12"/>
    <x v="4"/>
    <n v="31"/>
    <d v="1899-12-30T00:48:23"/>
    <n v="48.383333333333333"/>
  </r>
  <r>
    <x v="89"/>
    <x v="12"/>
    <x v="5"/>
    <n v="53"/>
    <d v="1899-12-30T01:14:52"/>
    <n v="74.86666666666666"/>
  </r>
  <r>
    <x v="89"/>
    <x v="13"/>
    <x v="0"/>
    <n v="86"/>
    <d v="1899-12-30T01:51:54"/>
    <n v="111.9"/>
  </r>
  <r>
    <x v="89"/>
    <x v="13"/>
    <x v="1"/>
    <n v="53"/>
    <d v="1899-12-30T00:52:44"/>
    <n v="52.733333333333334"/>
  </r>
  <r>
    <x v="89"/>
    <x v="13"/>
    <x v="2"/>
    <n v="29"/>
    <d v="1899-12-30T00:28:52"/>
    <n v="28.866666666666667"/>
  </r>
  <r>
    <x v="89"/>
    <x v="13"/>
    <x v="3"/>
    <n v="23"/>
    <d v="1899-12-30T00:24:44"/>
    <n v="24.733333333333334"/>
  </r>
  <r>
    <x v="89"/>
    <x v="13"/>
    <x v="4"/>
    <n v="3"/>
    <d v="1899-12-30T00:05:18"/>
    <n v="5.3"/>
  </r>
  <r>
    <x v="89"/>
    <x v="13"/>
    <x v="5"/>
    <n v="73"/>
    <d v="1899-12-30T01:12:39"/>
    <n v="72.650000000000006"/>
  </r>
  <r>
    <x v="90"/>
    <x v="0"/>
    <x v="0"/>
    <n v="45"/>
    <d v="1899-12-30T00:59:35"/>
    <n v="59.583333333333336"/>
  </r>
  <r>
    <x v="90"/>
    <x v="0"/>
    <x v="1"/>
    <n v="62"/>
    <d v="1899-12-30T01:07:44"/>
    <n v="67.733333333333334"/>
  </r>
  <r>
    <x v="90"/>
    <x v="0"/>
    <x v="2"/>
    <n v="39"/>
    <d v="1899-12-30T00:48:39"/>
    <n v="48.65"/>
  </r>
  <r>
    <x v="90"/>
    <x v="0"/>
    <x v="3"/>
    <n v="16"/>
    <d v="1899-12-30T00:17:11"/>
    <n v="17.183333333333334"/>
  </r>
  <r>
    <x v="90"/>
    <x v="0"/>
    <x v="4"/>
    <n v="7"/>
    <d v="1899-12-30T00:03:18"/>
    <n v="3.3"/>
  </r>
  <r>
    <x v="90"/>
    <x v="0"/>
    <x v="5"/>
    <n v="44"/>
    <d v="1899-12-30T00:40:14"/>
    <n v="40.233333333333334"/>
  </r>
  <r>
    <x v="90"/>
    <x v="1"/>
    <x v="0"/>
    <n v="79"/>
    <d v="1899-12-30T02:25:14"/>
    <n v="145.23333333333332"/>
  </r>
  <r>
    <x v="90"/>
    <x v="1"/>
    <x v="1"/>
    <n v="35"/>
    <d v="1899-12-30T00:57:57"/>
    <n v="57.95"/>
  </r>
  <r>
    <x v="90"/>
    <x v="1"/>
    <x v="2"/>
    <n v="32"/>
    <d v="1899-12-30T01:01:24"/>
    <n v="61.4"/>
  </r>
  <r>
    <x v="90"/>
    <x v="1"/>
    <x v="3"/>
    <n v="9"/>
    <d v="1899-12-30T00:10:54"/>
    <n v="10.9"/>
  </r>
  <r>
    <x v="90"/>
    <x v="1"/>
    <x v="4"/>
    <n v="42"/>
    <d v="1899-12-30T01:46:39"/>
    <n v="106.65"/>
  </r>
  <r>
    <x v="90"/>
    <x v="1"/>
    <x v="5"/>
    <n v="63"/>
    <d v="1899-12-30T01:36:26"/>
    <n v="96.433333333333337"/>
  </r>
  <r>
    <x v="90"/>
    <x v="2"/>
    <x v="0"/>
    <n v="109"/>
    <d v="1899-12-30T03:04:08"/>
    <n v="184.13333333333333"/>
  </r>
  <r>
    <x v="90"/>
    <x v="2"/>
    <x v="1"/>
    <n v="127"/>
    <d v="1899-12-30T03:24:40"/>
    <n v="204.66666666666666"/>
  </r>
  <r>
    <x v="90"/>
    <x v="2"/>
    <x v="2"/>
    <n v="72"/>
    <d v="1899-12-30T01:45:17"/>
    <n v="105.28333333333333"/>
  </r>
  <r>
    <x v="90"/>
    <x v="2"/>
    <x v="3"/>
    <n v="42"/>
    <d v="1899-12-30T00:47:02"/>
    <n v="47.033333333333331"/>
  </r>
  <r>
    <x v="90"/>
    <x v="2"/>
    <x v="4"/>
    <n v="38"/>
    <d v="1899-12-30T01:14:30"/>
    <n v="74.5"/>
  </r>
  <r>
    <x v="90"/>
    <x v="2"/>
    <x v="5"/>
    <n v="67"/>
    <d v="1899-12-30T01:37:46"/>
    <n v="97.766666666666666"/>
  </r>
  <r>
    <x v="90"/>
    <x v="3"/>
    <x v="0"/>
    <n v="11"/>
    <d v="1899-12-30T00:19:09"/>
    <n v="19.149999999999999"/>
  </r>
  <r>
    <x v="90"/>
    <x v="3"/>
    <x v="1"/>
    <n v="16"/>
    <d v="1899-12-30T00:33:10"/>
    <n v="33.166666666666664"/>
  </r>
  <r>
    <x v="90"/>
    <x v="3"/>
    <x v="2"/>
    <n v="7"/>
    <d v="1899-12-30T00:14:22"/>
    <n v="14.366666666666667"/>
  </r>
  <r>
    <x v="90"/>
    <x v="3"/>
    <x v="3"/>
    <n v="5"/>
    <d v="1899-12-30T00:06:00"/>
    <n v="6"/>
  </r>
  <r>
    <x v="90"/>
    <x v="3"/>
    <x v="4"/>
    <n v="0"/>
    <d v="1899-12-30T00:00:00"/>
    <n v="0"/>
  </r>
  <r>
    <x v="90"/>
    <x v="3"/>
    <x v="5"/>
    <n v="9"/>
    <d v="1899-12-30T00:15:49"/>
    <n v="15.816666666666666"/>
  </r>
  <r>
    <x v="90"/>
    <x v="4"/>
    <x v="0"/>
    <n v="37"/>
    <d v="1899-12-30T00:58:25"/>
    <n v="58.416666666666664"/>
  </r>
  <r>
    <x v="90"/>
    <x v="4"/>
    <x v="1"/>
    <n v="36"/>
    <d v="1899-12-30T00:46:03"/>
    <n v="46.05"/>
  </r>
  <r>
    <x v="90"/>
    <x v="4"/>
    <x v="2"/>
    <n v="17"/>
    <d v="1899-12-30T00:29:11"/>
    <n v="29.183333333333334"/>
  </r>
  <r>
    <x v="90"/>
    <x v="4"/>
    <x v="3"/>
    <n v="9"/>
    <d v="1899-12-30T00:05:55"/>
    <n v="5.916666666666667"/>
  </r>
  <r>
    <x v="90"/>
    <x v="4"/>
    <x v="4"/>
    <n v="9"/>
    <d v="1899-12-30T00:12:55"/>
    <n v="12.916666666666666"/>
  </r>
  <r>
    <x v="90"/>
    <x v="4"/>
    <x v="5"/>
    <n v="14"/>
    <d v="1899-12-30T00:15:32"/>
    <n v="15.533333333333333"/>
  </r>
  <r>
    <x v="90"/>
    <x v="5"/>
    <x v="0"/>
    <n v="39"/>
    <d v="1899-12-30T00:49:14"/>
    <n v="49.233333333333334"/>
  </r>
  <r>
    <x v="90"/>
    <x v="5"/>
    <x v="1"/>
    <n v="36"/>
    <d v="1899-12-30T00:46:57"/>
    <n v="46.95"/>
  </r>
  <r>
    <x v="90"/>
    <x v="5"/>
    <x v="2"/>
    <n v="42"/>
    <d v="1899-12-30T00:48:27"/>
    <n v="48.45"/>
  </r>
  <r>
    <x v="90"/>
    <x v="5"/>
    <x v="3"/>
    <n v="13"/>
    <d v="1899-12-30T00:10:28"/>
    <n v="10.466666666666667"/>
  </r>
  <r>
    <x v="90"/>
    <x v="5"/>
    <x v="4"/>
    <n v="2"/>
    <d v="1899-12-30T00:01:10"/>
    <n v="1.1666666666666667"/>
  </r>
  <r>
    <x v="90"/>
    <x v="5"/>
    <x v="5"/>
    <n v="54"/>
    <d v="1899-12-30T00:55:09"/>
    <n v="55.15"/>
  </r>
  <r>
    <x v="90"/>
    <x v="6"/>
    <x v="0"/>
    <n v="13"/>
    <d v="1899-12-30T00:20:27"/>
    <n v="20.45"/>
  </r>
  <r>
    <x v="90"/>
    <x v="6"/>
    <x v="1"/>
    <n v="22"/>
    <d v="1899-12-30T00:29:09"/>
    <n v="29.15"/>
  </r>
  <r>
    <x v="90"/>
    <x v="6"/>
    <x v="2"/>
    <n v="13"/>
    <d v="1899-12-30T00:24:13"/>
    <n v="24.216666666666665"/>
  </r>
  <r>
    <x v="90"/>
    <x v="6"/>
    <x v="3"/>
    <n v="7"/>
    <d v="1899-12-30T00:09:49"/>
    <n v="9.8166666666666664"/>
  </r>
  <r>
    <x v="90"/>
    <x v="6"/>
    <x v="4"/>
    <n v="14"/>
    <d v="1899-12-30T00:23:27"/>
    <n v="23.45"/>
  </r>
  <r>
    <x v="90"/>
    <x v="6"/>
    <x v="5"/>
    <n v="11"/>
    <d v="1899-12-30T00:12:12"/>
    <n v="12.2"/>
  </r>
  <r>
    <x v="90"/>
    <x v="7"/>
    <x v="0"/>
    <n v="46"/>
    <d v="1899-12-30T01:02:03"/>
    <n v="62.05"/>
  </r>
  <r>
    <x v="90"/>
    <x v="7"/>
    <x v="1"/>
    <n v="96"/>
    <d v="1899-12-30T01:43:04"/>
    <n v="103.06666666666666"/>
  </r>
  <r>
    <x v="90"/>
    <x v="7"/>
    <x v="2"/>
    <n v="45"/>
    <d v="1899-12-30T00:58:08"/>
    <n v="58.133333333333333"/>
  </r>
  <r>
    <x v="90"/>
    <x v="7"/>
    <x v="3"/>
    <n v="41"/>
    <d v="1899-12-30T00:38:15"/>
    <n v="38.25"/>
  </r>
  <r>
    <x v="90"/>
    <x v="7"/>
    <x v="4"/>
    <n v="129"/>
    <d v="1899-12-30T03:34:01"/>
    <n v="214.01666666666668"/>
  </r>
  <r>
    <x v="90"/>
    <x v="7"/>
    <x v="5"/>
    <n v="26"/>
    <d v="1899-12-30T00:20:26"/>
    <n v="20.433333333333334"/>
  </r>
  <r>
    <x v="90"/>
    <x v="8"/>
    <x v="0"/>
    <n v="20"/>
    <d v="1899-12-30T00:31:44"/>
    <n v="31.733333333333334"/>
  </r>
  <r>
    <x v="90"/>
    <x v="8"/>
    <x v="1"/>
    <n v="26"/>
    <d v="1899-12-30T00:26:15"/>
    <n v="26.25"/>
  </r>
  <r>
    <x v="90"/>
    <x v="8"/>
    <x v="2"/>
    <n v="19"/>
    <d v="1899-12-30T00:25:04"/>
    <n v="25.066666666666666"/>
  </r>
  <r>
    <x v="90"/>
    <x v="8"/>
    <x v="3"/>
    <n v="18"/>
    <d v="1899-12-30T00:21:14"/>
    <n v="21.233333333333334"/>
  </r>
  <r>
    <x v="90"/>
    <x v="8"/>
    <x v="4"/>
    <n v="14"/>
    <d v="1899-12-30T00:25:00"/>
    <n v="25"/>
  </r>
  <r>
    <x v="90"/>
    <x v="8"/>
    <x v="5"/>
    <n v="25"/>
    <d v="1899-12-30T00:30:21"/>
    <n v="30.35"/>
  </r>
  <r>
    <x v="90"/>
    <x v="9"/>
    <x v="0"/>
    <n v="55"/>
    <d v="1899-12-30T01:26:23"/>
    <n v="86.38333333333334"/>
  </r>
  <r>
    <x v="90"/>
    <x v="9"/>
    <x v="1"/>
    <n v="55"/>
    <d v="1899-12-30T01:08:59"/>
    <n v="68.983333333333334"/>
  </r>
  <r>
    <x v="90"/>
    <x v="9"/>
    <x v="2"/>
    <n v="25"/>
    <d v="1899-12-30T00:40:24"/>
    <n v="40.4"/>
  </r>
  <r>
    <x v="90"/>
    <x v="9"/>
    <x v="3"/>
    <n v="17"/>
    <d v="1899-12-30T00:21:00"/>
    <n v="21"/>
  </r>
  <r>
    <x v="90"/>
    <x v="9"/>
    <x v="4"/>
    <n v="6"/>
    <d v="1899-12-30T00:08:31"/>
    <n v="8.5166666666666675"/>
  </r>
  <r>
    <x v="90"/>
    <x v="9"/>
    <x v="5"/>
    <n v="27"/>
    <d v="1899-12-30T00:30:05"/>
    <n v="30.083333333333332"/>
  </r>
  <r>
    <x v="90"/>
    <x v="10"/>
    <x v="0"/>
    <n v="19"/>
    <d v="1899-12-30T00:38:43"/>
    <n v="38.716666666666669"/>
  </r>
  <r>
    <x v="90"/>
    <x v="10"/>
    <x v="1"/>
    <n v="21"/>
    <d v="1899-12-30T00:44:15"/>
    <n v="44.25"/>
  </r>
  <r>
    <x v="90"/>
    <x v="10"/>
    <x v="2"/>
    <n v="12"/>
    <d v="1899-12-30T00:29:34"/>
    <n v="29.566666666666666"/>
  </r>
  <r>
    <x v="90"/>
    <x v="10"/>
    <x v="3"/>
    <n v="8"/>
    <d v="1899-12-30T00:09:19"/>
    <n v="9.3166666666666664"/>
  </r>
  <r>
    <x v="90"/>
    <x v="10"/>
    <x v="4"/>
    <n v="2"/>
    <d v="1899-12-30T00:03:20"/>
    <n v="3.3333333333333335"/>
  </r>
  <r>
    <x v="90"/>
    <x v="10"/>
    <x v="5"/>
    <n v="12"/>
    <d v="1899-12-30T00:17:13"/>
    <n v="17.216666666666665"/>
  </r>
  <r>
    <x v="90"/>
    <x v="11"/>
    <x v="0"/>
    <n v="20"/>
    <d v="1899-12-30T00:36:46"/>
    <n v="36.766666666666666"/>
  </r>
  <r>
    <x v="90"/>
    <x v="11"/>
    <x v="1"/>
    <n v="14"/>
    <d v="1899-12-30T00:25:29"/>
    <n v="25.483333333333334"/>
  </r>
  <r>
    <x v="90"/>
    <x v="11"/>
    <x v="2"/>
    <n v="5"/>
    <d v="1899-12-30T00:06:56"/>
    <n v="6.9333333333333336"/>
  </r>
  <r>
    <x v="90"/>
    <x v="11"/>
    <x v="3"/>
    <n v="6"/>
    <d v="1899-12-30T00:04:49"/>
    <n v="4.8166666666666664"/>
  </r>
  <r>
    <x v="90"/>
    <x v="11"/>
    <x v="4"/>
    <n v="6"/>
    <d v="1899-12-30T00:08:34"/>
    <n v="8.5666666666666664"/>
  </r>
  <r>
    <x v="90"/>
    <x v="11"/>
    <x v="5"/>
    <n v="7"/>
    <d v="1899-12-30T00:08:15"/>
    <n v="8.25"/>
  </r>
  <r>
    <x v="90"/>
    <x v="12"/>
    <x v="0"/>
    <n v="94"/>
    <d v="1899-12-30T02:23:01"/>
    <n v="143.01666666666668"/>
  </r>
  <r>
    <x v="90"/>
    <x v="12"/>
    <x v="1"/>
    <n v="109"/>
    <d v="1899-12-30T03:27:33"/>
    <n v="207.55"/>
  </r>
  <r>
    <x v="90"/>
    <x v="12"/>
    <x v="2"/>
    <n v="77"/>
    <d v="1899-12-30T01:59:55"/>
    <n v="119.91666666666667"/>
  </r>
  <r>
    <x v="90"/>
    <x v="12"/>
    <x v="3"/>
    <n v="51"/>
    <d v="1899-12-30T00:49:57"/>
    <n v="49.95"/>
  </r>
  <r>
    <x v="90"/>
    <x v="12"/>
    <x v="4"/>
    <n v="31"/>
    <d v="1899-12-30T00:53:34"/>
    <n v="53.56666666666667"/>
  </r>
  <r>
    <x v="90"/>
    <x v="12"/>
    <x v="5"/>
    <n v="85"/>
    <d v="1899-12-30T01:36:31"/>
    <n v="96.516666666666666"/>
  </r>
  <r>
    <x v="90"/>
    <x v="13"/>
    <x v="0"/>
    <n v="156"/>
    <d v="1899-12-30T03:43:54"/>
    <n v="223.9"/>
  </r>
  <r>
    <x v="90"/>
    <x v="13"/>
    <x v="1"/>
    <n v="172"/>
    <d v="1899-12-30T03:39:34"/>
    <n v="219.56666666666666"/>
  </r>
  <r>
    <x v="90"/>
    <x v="13"/>
    <x v="2"/>
    <n v="105"/>
    <d v="1899-12-30T02:21:04"/>
    <n v="141.06666666666666"/>
  </r>
  <r>
    <x v="90"/>
    <x v="13"/>
    <x v="3"/>
    <n v="46"/>
    <d v="1899-12-30T00:48:43"/>
    <n v="48.716666666666669"/>
  </r>
  <r>
    <x v="90"/>
    <x v="13"/>
    <x v="4"/>
    <n v="10"/>
    <d v="1899-12-30T00:21:07"/>
    <n v="21.116666666666667"/>
  </r>
  <r>
    <x v="90"/>
    <x v="13"/>
    <x v="5"/>
    <n v="75"/>
    <d v="1899-12-30T01:14:47"/>
    <n v="74.783333333333331"/>
  </r>
  <r>
    <x v="91"/>
    <x v="0"/>
    <x v="0"/>
    <n v="36"/>
    <d v="1899-12-30T00:41:30"/>
    <n v="41.5"/>
  </r>
  <r>
    <x v="91"/>
    <x v="0"/>
    <x v="1"/>
    <n v="47"/>
    <d v="1899-12-30T00:47:04"/>
    <n v="47.06666666666667"/>
  </r>
  <r>
    <x v="91"/>
    <x v="0"/>
    <x v="2"/>
    <n v="38"/>
    <d v="1899-12-30T00:39:57"/>
    <n v="39.950000000000003"/>
  </r>
  <r>
    <x v="91"/>
    <x v="0"/>
    <x v="3"/>
    <n v="16"/>
    <d v="1899-12-30T00:11:46"/>
    <n v="11.766666666666667"/>
  </r>
  <r>
    <x v="91"/>
    <x v="0"/>
    <x v="4"/>
    <n v="8"/>
    <d v="1899-12-30T00:11:04"/>
    <n v="11.066666666666666"/>
  </r>
  <r>
    <x v="91"/>
    <x v="0"/>
    <x v="5"/>
    <n v="26"/>
    <d v="1899-12-30T00:23:13"/>
    <n v="23.216666666666665"/>
  </r>
  <r>
    <x v="91"/>
    <x v="1"/>
    <x v="0"/>
    <n v="52"/>
    <d v="1899-12-30T01:38:55"/>
    <n v="98.916666666666671"/>
  </r>
  <r>
    <x v="91"/>
    <x v="1"/>
    <x v="1"/>
    <n v="26"/>
    <d v="1899-12-30T00:57:24"/>
    <n v="57.4"/>
  </r>
  <r>
    <x v="91"/>
    <x v="1"/>
    <x v="2"/>
    <n v="17"/>
    <d v="1899-12-30T00:34:51"/>
    <n v="34.85"/>
  </r>
  <r>
    <x v="91"/>
    <x v="1"/>
    <x v="3"/>
    <n v="8"/>
    <d v="1899-12-30T00:09:26"/>
    <n v="9.4333333333333336"/>
  </r>
  <r>
    <x v="91"/>
    <x v="1"/>
    <x v="4"/>
    <n v="22"/>
    <d v="1899-12-30T00:56:21"/>
    <n v="56.35"/>
  </r>
  <r>
    <x v="91"/>
    <x v="1"/>
    <x v="5"/>
    <n v="36"/>
    <d v="1899-12-30T00:54:21"/>
    <n v="54.35"/>
  </r>
  <r>
    <x v="91"/>
    <x v="2"/>
    <x v="0"/>
    <n v="62"/>
    <d v="1899-12-30T01:43:53"/>
    <n v="103.88333333333334"/>
  </r>
  <r>
    <x v="91"/>
    <x v="2"/>
    <x v="1"/>
    <n v="69"/>
    <d v="1899-12-30T01:55:27"/>
    <n v="115.45"/>
  </r>
  <r>
    <x v="91"/>
    <x v="2"/>
    <x v="2"/>
    <n v="39"/>
    <d v="1899-12-30T01:08:11"/>
    <n v="68.183333333333337"/>
  </r>
  <r>
    <x v="91"/>
    <x v="2"/>
    <x v="3"/>
    <n v="34"/>
    <d v="1899-12-30T00:38:56"/>
    <n v="38.93333333333333"/>
  </r>
  <r>
    <x v="91"/>
    <x v="2"/>
    <x v="4"/>
    <n v="28"/>
    <d v="1899-12-30T00:54:02"/>
    <n v="54.033333333333331"/>
  </r>
  <r>
    <x v="91"/>
    <x v="2"/>
    <x v="5"/>
    <n v="34"/>
    <d v="1899-12-30T00:54:57"/>
    <n v="54.95"/>
  </r>
  <r>
    <x v="91"/>
    <x v="3"/>
    <x v="0"/>
    <n v="18"/>
    <d v="1899-12-30T00:27:34"/>
    <n v="27.566666666666666"/>
  </r>
  <r>
    <x v="91"/>
    <x v="3"/>
    <x v="1"/>
    <n v="14"/>
    <d v="1899-12-30T00:23:51"/>
    <n v="23.85"/>
  </r>
  <r>
    <x v="91"/>
    <x v="3"/>
    <x v="2"/>
    <n v="5"/>
    <d v="1899-12-30T00:10:33"/>
    <n v="10.55"/>
  </r>
  <r>
    <x v="91"/>
    <x v="3"/>
    <x v="3"/>
    <n v="4"/>
    <d v="1899-12-30T00:06:00"/>
    <n v="6"/>
  </r>
  <r>
    <x v="91"/>
    <x v="3"/>
    <x v="4"/>
    <n v="1"/>
    <d v="1899-12-30T00:01:59"/>
    <n v="1.9833333333333334"/>
  </r>
  <r>
    <x v="91"/>
    <x v="3"/>
    <x v="5"/>
    <n v="9"/>
    <d v="1899-12-30T00:16:21"/>
    <n v="16.350000000000001"/>
  </r>
  <r>
    <x v="91"/>
    <x v="4"/>
    <x v="0"/>
    <n v="50"/>
    <d v="1899-12-30T01:24:11"/>
    <n v="84.183333333333337"/>
  </r>
  <r>
    <x v="91"/>
    <x v="4"/>
    <x v="1"/>
    <n v="27"/>
    <d v="1899-12-30T00:42:07"/>
    <n v="42.116666666666667"/>
  </r>
  <r>
    <x v="91"/>
    <x v="4"/>
    <x v="2"/>
    <n v="20"/>
    <d v="1899-12-30T00:24:22"/>
    <n v="24.366666666666667"/>
  </r>
  <r>
    <x v="91"/>
    <x v="4"/>
    <x v="3"/>
    <n v="10"/>
    <d v="1899-12-30T00:09:31"/>
    <n v="9.5166666666666675"/>
  </r>
  <r>
    <x v="91"/>
    <x v="4"/>
    <x v="4"/>
    <n v="9"/>
    <d v="1899-12-30T00:17:12"/>
    <n v="17.2"/>
  </r>
  <r>
    <x v="91"/>
    <x v="4"/>
    <x v="5"/>
    <n v="19"/>
    <d v="1899-12-30T00:29:50"/>
    <n v="29.833333333333332"/>
  </r>
  <r>
    <x v="91"/>
    <x v="5"/>
    <x v="0"/>
    <n v="22"/>
    <d v="1899-12-30T00:29:48"/>
    <n v="29.8"/>
  </r>
  <r>
    <x v="91"/>
    <x v="5"/>
    <x v="1"/>
    <n v="33"/>
    <d v="1899-12-30T00:40:02"/>
    <n v="40.033333333333331"/>
  </r>
  <r>
    <x v="91"/>
    <x v="5"/>
    <x v="2"/>
    <n v="19"/>
    <d v="1899-12-30T00:16:03"/>
    <n v="16.05"/>
  </r>
  <r>
    <x v="91"/>
    <x v="5"/>
    <x v="3"/>
    <n v="14"/>
    <d v="1899-12-30T00:09:45"/>
    <n v="9.75"/>
  </r>
  <r>
    <x v="91"/>
    <x v="5"/>
    <x v="4"/>
    <n v="4"/>
    <d v="1899-12-30T00:06:45"/>
    <n v="6.75"/>
  </r>
  <r>
    <x v="91"/>
    <x v="5"/>
    <x v="5"/>
    <n v="24"/>
    <d v="1899-12-30T00:24:49"/>
    <n v="24.816666666666666"/>
  </r>
  <r>
    <x v="91"/>
    <x v="6"/>
    <x v="0"/>
    <n v="10"/>
    <d v="1899-12-30T00:17:26"/>
    <n v="17.433333333333334"/>
  </r>
  <r>
    <x v="91"/>
    <x v="6"/>
    <x v="1"/>
    <n v="17"/>
    <d v="1899-12-30T00:20:22"/>
    <n v="20.366666666666667"/>
  </r>
  <r>
    <x v="91"/>
    <x v="6"/>
    <x v="2"/>
    <n v="6"/>
    <d v="1899-12-30T00:07:39"/>
    <n v="7.65"/>
  </r>
  <r>
    <x v="91"/>
    <x v="6"/>
    <x v="3"/>
    <n v="7"/>
    <d v="1899-12-30T00:05:37"/>
    <n v="5.6166666666666671"/>
  </r>
  <r>
    <x v="91"/>
    <x v="6"/>
    <x v="4"/>
    <n v="6"/>
    <d v="1899-12-30T00:09:26"/>
    <n v="9.4333333333333336"/>
  </r>
  <r>
    <x v="91"/>
    <x v="6"/>
    <x v="5"/>
    <n v="5"/>
    <d v="1899-12-30T00:07:18"/>
    <n v="7.3"/>
  </r>
  <r>
    <x v="91"/>
    <x v="7"/>
    <x v="0"/>
    <n v="44"/>
    <d v="1899-12-30T00:52:18"/>
    <n v="52.3"/>
  </r>
  <r>
    <x v="91"/>
    <x v="7"/>
    <x v="1"/>
    <n v="85"/>
    <d v="1899-12-30T01:44:18"/>
    <n v="104.3"/>
  </r>
  <r>
    <x v="91"/>
    <x v="7"/>
    <x v="2"/>
    <n v="42"/>
    <d v="1899-12-30T00:46:41"/>
    <n v="46.68333333333333"/>
  </r>
  <r>
    <x v="91"/>
    <x v="7"/>
    <x v="3"/>
    <n v="57"/>
    <d v="1899-12-30T00:52:52"/>
    <n v="52.866666666666667"/>
  </r>
  <r>
    <x v="91"/>
    <x v="7"/>
    <x v="4"/>
    <n v="109"/>
    <d v="1899-12-30T03:10:33"/>
    <n v="190.55"/>
  </r>
  <r>
    <x v="91"/>
    <x v="7"/>
    <x v="5"/>
    <n v="40"/>
    <d v="1899-12-30T00:35:57"/>
    <n v="35.950000000000003"/>
  </r>
  <r>
    <x v="91"/>
    <x v="8"/>
    <x v="0"/>
    <n v="19"/>
    <d v="1899-12-30T00:26:21"/>
    <n v="26.35"/>
  </r>
  <r>
    <x v="91"/>
    <x v="8"/>
    <x v="1"/>
    <n v="19"/>
    <d v="1899-12-30T00:25:55"/>
    <n v="25.916666666666668"/>
  </r>
  <r>
    <x v="91"/>
    <x v="8"/>
    <x v="2"/>
    <n v="20"/>
    <d v="1899-12-30T00:28:07"/>
    <n v="28.116666666666667"/>
  </r>
  <r>
    <x v="91"/>
    <x v="8"/>
    <x v="3"/>
    <n v="20"/>
    <d v="1899-12-30T00:19:19"/>
    <n v="19.316666666666666"/>
  </r>
  <r>
    <x v="91"/>
    <x v="8"/>
    <x v="4"/>
    <n v="17"/>
    <d v="1899-12-30T00:32:26"/>
    <n v="32.43333333333333"/>
  </r>
  <r>
    <x v="91"/>
    <x v="8"/>
    <x v="5"/>
    <n v="17"/>
    <d v="1899-12-30T00:23:45"/>
    <n v="23.75"/>
  </r>
  <r>
    <x v="91"/>
    <x v="9"/>
    <x v="0"/>
    <n v="37"/>
    <d v="1899-12-30T00:53:59"/>
    <n v="53.983333333333334"/>
  </r>
  <r>
    <x v="91"/>
    <x v="9"/>
    <x v="1"/>
    <n v="32"/>
    <d v="1899-12-30T01:00:56"/>
    <n v="60.93333333333333"/>
  </r>
  <r>
    <x v="91"/>
    <x v="9"/>
    <x v="2"/>
    <n v="37"/>
    <d v="1899-12-30T00:54:47"/>
    <n v="54.783333333333331"/>
  </r>
  <r>
    <x v="91"/>
    <x v="9"/>
    <x v="3"/>
    <n v="18"/>
    <d v="1899-12-30T00:18:59"/>
    <n v="18.983333333333334"/>
  </r>
  <r>
    <x v="91"/>
    <x v="9"/>
    <x v="4"/>
    <n v="6"/>
    <d v="1899-12-30T00:12:01"/>
    <n v="12.016666666666667"/>
  </r>
  <r>
    <x v="91"/>
    <x v="9"/>
    <x v="5"/>
    <n v="29"/>
    <d v="1899-12-30T00:33:41"/>
    <n v="33.68333333333333"/>
  </r>
  <r>
    <x v="91"/>
    <x v="10"/>
    <x v="0"/>
    <n v="22"/>
    <d v="1899-12-30T00:36:27"/>
    <n v="36.450000000000003"/>
  </r>
  <r>
    <x v="91"/>
    <x v="10"/>
    <x v="1"/>
    <n v="31"/>
    <d v="1899-12-30T00:50:41"/>
    <n v="50.68333333333333"/>
  </r>
  <r>
    <x v="91"/>
    <x v="10"/>
    <x v="2"/>
    <n v="21"/>
    <d v="1899-12-30T00:29:59"/>
    <n v="29.983333333333334"/>
  </r>
  <r>
    <x v="91"/>
    <x v="10"/>
    <x v="3"/>
    <n v="11"/>
    <d v="1899-12-30T00:14:01"/>
    <n v="14.016666666666667"/>
  </r>
  <r>
    <x v="91"/>
    <x v="10"/>
    <x v="4"/>
    <n v="2"/>
    <d v="1899-12-30T00:05:02"/>
    <n v="5.0333333333333332"/>
  </r>
  <r>
    <x v="91"/>
    <x v="10"/>
    <x v="5"/>
    <n v="20"/>
    <d v="1899-12-30T00:27:22"/>
    <n v="27.366666666666667"/>
  </r>
  <r>
    <x v="91"/>
    <x v="11"/>
    <x v="0"/>
    <n v="27"/>
    <d v="1899-12-30T00:55:43"/>
    <n v="55.716666666666669"/>
  </r>
  <r>
    <x v="91"/>
    <x v="11"/>
    <x v="1"/>
    <n v="16"/>
    <d v="1899-12-30T00:35:27"/>
    <n v="35.450000000000003"/>
  </r>
  <r>
    <x v="91"/>
    <x v="11"/>
    <x v="2"/>
    <n v="12"/>
    <d v="1899-12-30T00:19:28"/>
    <n v="19.466666666666665"/>
  </r>
  <r>
    <x v="91"/>
    <x v="11"/>
    <x v="3"/>
    <n v="5"/>
    <d v="1899-12-30T00:05:46"/>
    <n v="5.7666666666666666"/>
  </r>
  <r>
    <x v="91"/>
    <x v="11"/>
    <x v="4"/>
    <n v="5"/>
    <d v="1899-12-30T00:06:18"/>
    <n v="6.3"/>
  </r>
  <r>
    <x v="91"/>
    <x v="11"/>
    <x v="5"/>
    <n v="12"/>
    <d v="1899-12-30T00:18:34"/>
    <n v="18.566666666666666"/>
  </r>
  <r>
    <x v="91"/>
    <x v="12"/>
    <x v="0"/>
    <n v="99"/>
    <d v="1899-12-30T02:40:02"/>
    <n v="160.03333333333333"/>
  </r>
  <r>
    <x v="91"/>
    <x v="12"/>
    <x v="1"/>
    <n v="82"/>
    <d v="1899-12-30T02:25:16"/>
    <n v="145.26666666666668"/>
  </r>
  <r>
    <x v="91"/>
    <x v="12"/>
    <x v="2"/>
    <n v="62"/>
    <d v="1899-12-30T01:42:00"/>
    <n v="102"/>
  </r>
  <r>
    <x v="91"/>
    <x v="12"/>
    <x v="3"/>
    <n v="45"/>
    <d v="1899-12-30T00:53:26"/>
    <n v="53.43333333333333"/>
  </r>
  <r>
    <x v="91"/>
    <x v="12"/>
    <x v="4"/>
    <n v="30"/>
    <d v="1899-12-30T00:52:03"/>
    <n v="52.05"/>
  </r>
  <r>
    <x v="91"/>
    <x v="12"/>
    <x v="5"/>
    <n v="74"/>
    <d v="1899-12-30T01:28:40"/>
    <n v="88.666666666666671"/>
  </r>
  <r>
    <x v="91"/>
    <x v="13"/>
    <x v="0"/>
    <n v="108"/>
    <d v="1899-12-30T02:59:30"/>
    <n v="179.5"/>
  </r>
  <r>
    <x v="91"/>
    <x v="13"/>
    <x v="1"/>
    <n v="179"/>
    <d v="1899-12-30T04:00:45"/>
    <n v="240.75"/>
  </r>
  <r>
    <x v="91"/>
    <x v="13"/>
    <x v="2"/>
    <n v="73"/>
    <d v="1899-12-30T01:45:18"/>
    <n v="105.3"/>
  </r>
  <r>
    <x v="91"/>
    <x v="13"/>
    <x v="3"/>
    <n v="29"/>
    <d v="1899-12-30T00:36:06"/>
    <n v="36.1"/>
  </r>
  <r>
    <x v="91"/>
    <x v="13"/>
    <x v="4"/>
    <n v="3"/>
    <d v="1899-12-30T00:05:57"/>
    <n v="5.95"/>
  </r>
  <r>
    <x v="91"/>
    <x v="13"/>
    <x v="5"/>
    <n v="43"/>
    <d v="1899-12-30T00:42:10"/>
    <n v="42.166666666666664"/>
  </r>
  <r>
    <x v="92"/>
    <x v="0"/>
    <x v="0"/>
    <n v="18"/>
    <d v="1899-12-30T00:28:11"/>
    <n v="28.183333333333334"/>
  </r>
  <r>
    <x v="92"/>
    <x v="0"/>
    <x v="1"/>
    <n v="19"/>
    <d v="1899-12-30T00:18:23"/>
    <n v="18.383333333333333"/>
  </r>
  <r>
    <x v="92"/>
    <x v="0"/>
    <x v="2"/>
    <n v="18"/>
    <d v="1899-12-30T00:20:12"/>
    <n v="20.2"/>
  </r>
  <r>
    <x v="92"/>
    <x v="0"/>
    <x v="3"/>
    <n v="8"/>
    <d v="1899-12-30T00:05:09"/>
    <n v="5.15"/>
  </r>
  <r>
    <x v="92"/>
    <x v="0"/>
    <x v="4"/>
    <n v="3"/>
    <d v="1899-12-30T00:01:03"/>
    <n v="1.05"/>
  </r>
  <r>
    <x v="92"/>
    <x v="0"/>
    <x v="5"/>
    <n v="16"/>
    <d v="1899-12-30T00:13:13"/>
    <n v="13.216666666666667"/>
  </r>
  <r>
    <x v="92"/>
    <x v="1"/>
    <x v="0"/>
    <n v="55"/>
    <d v="1899-12-30T01:45:32"/>
    <n v="105.53333333333333"/>
  </r>
  <r>
    <x v="92"/>
    <x v="1"/>
    <x v="1"/>
    <n v="35"/>
    <d v="1899-12-30T01:09:12"/>
    <n v="69.2"/>
  </r>
  <r>
    <x v="92"/>
    <x v="1"/>
    <x v="2"/>
    <n v="20"/>
    <d v="1899-12-30T00:35:10"/>
    <n v="35.166666666666664"/>
  </r>
  <r>
    <x v="92"/>
    <x v="1"/>
    <x v="3"/>
    <n v="15"/>
    <d v="1899-12-30T00:13:43"/>
    <n v="13.716666666666667"/>
  </r>
  <r>
    <x v="92"/>
    <x v="1"/>
    <x v="4"/>
    <n v="27"/>
    <d v="1899-12-30T01:06:59"/>
    <n v="66.983333333333334"/>
  </r>
  <r>
    <x v="92"/>
    <x v="1"/>
    <x v="5"/>
    <n v="55"/>
    <d v="1899-12-30T01:16:45"/>
    <n v="76.75"/>
  </r>
  <r>
    <x v="92"/>
    <x v="2"/>
    <x v="0"/>
    <n v="63"/>
    <d v="1899-12-30T01:45:51"/>
    <n v="105.85"/>
  </r>
  <r>
    <x v="92"/>
    <x v="2"/>
    <x v="1"/>
    <n v="106"/>
    <d v="1899-12-30T02:58:57"/>
    <n v="178.95"/>
  </r>
  <r>
    <x v="92"/>
    <x v="2"/>
    <x v="2"/>
    <n v="68"/>
    <d v="1899-12-30T01:44:00"/>
    <n v="104"/>
  </r>
  <r>
    <x v="92"/>
    <x v="2"/>
    <x v="3"/>
    <n v="32"/>
    <d v="1899-12-30T00:38:31"/>
    <n v="38.516666666666666"/>
  </r>
  <r>
    <x v="92"/>
    <x v="2"/>
    <x v="4"/>
    <n v="37"/>
    <d v="1899-12-30T01:14:59"/>
    <n v="74.983333333333334"/>
  </r>
  <r>
    <x v="92"/>
    <x v="2"/>
    <x v="5"/>
    <n v="43"/>
    <d v="1899-12-30T00:54:35"/>
    <n v="54.583333333333336"/>
  </r>
  <r>
    <x v="92"/>
    <x v="3"/>
    <x v="0"/>
    <n v="26"/>
    <d v="1899-12-30T00:49:44"/>
    <n v="49.733333333333334"/>
  </r>
  <r>
    <x v="92"/>
    <x v="3"/>
    <x v="1"/>
    <n v="26"/>
    <d v="1899-12-30T01:03:20"/>
    <n v="63.333333333333336"/>
  </r>
  <r>
    <x v="92"/>
    <x v="3"/>
    <x v="2"/>
    <n v="27"/>
    <d v="1899-12-30T00:44:44"/>
    <n v="44.733333333333334"/>
  </r>
  <r>
    <x v="92"/>
    <x v="3"/>
    <x v="3"/>
    <n v="11"/>
    <d v="1899-12-30T00:14:00"/>
    <n v="14"/>
  </r>
  <r>
    <x v="92"/>
    <x v="3"/>
    <x v="4"/>
    <n v="0"/>
    <d v="1899-12-30T00:00:00"/>
    <n v="0"/>
  </r>
  <r>
    <x v="92"/>
    <x v="3"/>
    <x v="5"/>
    <n v="13"/>
    <d v="1899-12-30T00:21:04"/>
    <n v="21.066666666666666"/>
  </r>
  <r>
    <x v="92"/>
    <x v="4"/>
    <x v="0"/>
    <n v="15"/>
    <d v="1899-12-30T00:25:32"/>
    <n v="25.533333333333335"/>
  </r>
  <r>
    <x v="92"/>
    <x v="4"/>
    <x v="1"/>
    <n v="14"/>
    <d v="1899-12-30T00:26:38"/>
    <n v="26.633333333333333"/>
  </r>
  <r>
    <x v="92"/>
    <x v="4"/>
    <x v="2"/>
    <n v="14"/>
    <d v="1899-12-30T00:23:47"/>
    <n v="23.783333333333335"/>
  </r>
  <r>
    <x v="92"/>
    <x v="4"/>
    <x v="3"/>
    <n v="10"/>
    <d v="1899-12-30T00:08:53"/>
    <n v="8.8833333333333329"/>
  </r>
  <r>
    <x v="92"/>
    <x v="4"/>
    <x v="4"/>
    <n v="5"/>
    <d v="1899-12-30T00:11:37"/>
    <n v="11.616666666666667"/>
  </r>
  <r>
    <x v="92"/>
    <x v="4"/>
    <x v="5"/>
    <n v="7"/>
    <d v="1899-12-30T00:05:34"/>
    <n v="5.5666666666666664"/>
  </r>
  <r>
    <x v="92"/>
    <x v="5"/>
    <x v="0"/>
    <n v="60"/>
    <d v="1899-12-30T01:31:42"/>
    <n v="91.7"/>
  </r>
  <r>
    <x v="92"/>
    <x v="5"/>
    <x v="1"/>
    <n v="47"/>
    <d v="1899-12-30T01:14:10"/>
    <n v="74.166666666666671"/>
  </r>
  <r>
    <x v="92"/>
    <x v="5"/>
    <x v="2"/>
    <n v="38"/>
    <d v="1899-12-30T00:51:11"/>
    <n v="51.18333333333333"/>
  </r>
  <r>
    <x v="92"/>
    <x v="5"/>
    <x v="3"/>
    <n v="6"/>
    <d v="1899-12-30T00:07:05"/>
    <n v="7.083333333333333"/>
  </r>
  <r>
    <x v="92"/>
    <x v="5"/>
    <x v="4"/>
    <n v="2"/>
    <d v="1899-12-30T00:03:11"/>
    <n v="3.1833333333333331"/>
  </r>
  <r>
    <x v="92"/>
    <x v="5"/>
    <x v="5"/>
    <n v="49"/>
    <d v="1899-12-30T01:15:46"/>
    <n v="75.766666666666666"/>
  </r>
  <r>
    <x v="92"/>
    <x v="6"/>
    <x v="0"/>
    <n v="15"/>
    <d v="1899-12-30T00:25:31"/>
    <n v="25.516666666666666"/>
  </r>
  <r>
    <x v="92"/>
    <x v="6"/>
    <x v="1"/>
    <n v="10"/>
    <d v="1899-12-30T00:17:34"/>
    <n v="17.566666666666666"/>
  </r>
  <r>
    <x v="92"/>
    <x v="6"/>
    <x v="2"/>
    <n v="8"/>
    <d v="1899-12-30T00:08:39"/>
    <n v="8.65"/>
  </r>
  <r>
    <x v="92"/>
    <x v="6"/>
    <x v="3"/>
    <n v="3"/>
    <d v="1899-12-30T00:01:32"/>
    <n v="1.5333333333333332"/>
  </r>
  <r>
    <x v="92"/>
    <x v="6"/>
    <x v="4"/>
    <n v="7"/>
    <d v="1899-12-30T00:10:53"/>
    <n v="10.883333333333333"/>
  </r>
  <r>
    <x v="92"/>
    <x v="6"/>
    <x v="5"/>
    <n v="4"/>
    <d v="1899-12-30T00:05:10"/>
    <n v="5.166666666666667"/>
  </r>
  <r>
    <x v="92"/>
    <x v="7"/>
    <x v="0"/>
    <n v="52"/>
    <d v="1899-12-30T01:18:22"/>
    <n v="78.36666666666666"/>
  </r>
  <r>
    <x v="92"/>
    <x v="7"/>
    <x v="1"/>
    <n v="67"/>
    <d v="1899-12-30T01:20:18"/>
    <n v="80.3"/>
  </r>
  <r>
    <x v="92"/>
    <x v="7"/>
    <x v="2"/>
    <n v="36"/>
    <d v="1899-12-30T00:44:01"/>
    <n v="44.016666666666666"/>
  </r>
  <r>
    <x v="92"/>
    <x v="7"/>
    <x v="3"/>
    <n v="49"/>
    <d v="1899-12-30T00:41:14"/>
    <n v="41.233333333333334"/>
  </r>
  <r>
    <x v="92"/>
    <x v="7"/>
    <x v="4"/>
    <n v="98"/>
    <d v="1899-12-30T02:43:02"/>
    <n v="163.03333333333333"/>
  </r>
  <r>
    <x v="92"/>
    <x v="7"/>
    <x v="5"/>
    <n v="32"/>
    <d v="1899-12-30T00:27:33"/>
    <n v="27.55"/>
  </r>
  <r>
    <x v="92"/>
    <x v="8"/>
    <x v="0"/>
    <n v="30"/>
    <d v="1899-12-30T00:50:43"/>
    <n v="50.716666666666669"/>
  </r>
  <r>
    <x v="92"/>
    <x v="8"/>
    <x v="1"/>
    <n v="32"/>
    <d v="1899-12-30T00:57:36"/>
    <n v="57.6"/>
  </r>
  <r>
    <x v="92"/>
    <x v="8"/>
    <x v="2"/>
    <n v="29"/>
    <d v="1899-12-30T00:50:16"/>
    <n v="50.266666666666666"/>
  </r>
  <r>
    <x v="92"/>
    <x v="8"/>
    <x v="3"/>
    <n v="28"/>
    <d v="1899-12-30T00:27:42"/>
    <n v="27.7"/>
  </r>
  <r>
    <x v="92"/>
    <x v="8"/>
    <x v="4"/>
    <n v="10"/>
    <d v="1899-12-30T00:16:04"/>
    <n v="16.066666666666666"/>
  </r>
  <r>
    <x v="92"/>
    <x v="8"/>
    <x v="5"/>
    <n v="31"/>
    <d v="1899-12-30T00:40:18"/>
    <n v="40.299999999999997"/>
  </r>
  <r>
    <x v="92"/>
    <x v="9"/>
    <x v="0"/>
    <n v="34"/>
    <d v="1899-12-30T00:56:51"/>
    <n v="56.85"/>
  </r>
  <r>
    <x v="92"/>
    <x v="9"/>
    <x v="1"/>
    <n v="39"/>
    <d v="1899-12-30T01:04:17"/>
    <n v="64.283333333333331"/>
  </r>
  <r>
    <x v="92"/>
    <x v="9"/>
    <x v="2"/>
    <n v="38"/>
    <d v="1899-12-30T00:56:10"/>
    <n v="56.166666666666664"/>
  </r>
  <r>
    <x v="92"/>
    <x v="9"/>
    <x v="3"/>
    <n v="23"/>
    <d v="1899-12-30T00:28:30"/>
    <n v="28.5"/>
  </r>
  <r>
    <x v="92"/>
    <x v="9"/>
    <x v="4"/>
    <n v="5"/>
    <d v="1899-12-30T00:11:37"/>
    <n v="11.616666666666667"/>
  </r>
  <r>
    <x v="92"/>
    <x v="9"/>
    <x v="5"/>
    <n v="29"/>
    <d v="1899-12-30T00:35:05"/>
    <n v="35.083333333333336"/>
  </r>
  <r>
    <x v="92"/>
    <x v="10"/>
    <x v="0"/>
    <n v="14"/>
    <d v="1899-12-30T00:26:38"/>
    <n v="26.633333333333333"/>
  </r>
  <r>
    <x v="92"/>
    <x v="10"/>
    <x v="1"/>
    <n v="27"/>
    <d v="1899-12-30T00:52:14"/>
    <n v="52.233333333333334"/>
  </r>
  <r>
    <x v="92"/>
    <x v="10"/>
    <x v="2"/>
    <n v="18"/>
    <d v="1899-12-30T00:35:19"/>
    <n v="35.31666666666667"/>
  </r>
  <r>
    <x v="92"/>
    <x v="10"/>
    <x v="3"/>
    <n v="9"/>
    <d v="1899-12-30T00:12:02"/>
    <n v="12.033333333333333"/>
  </r>
  <r>
    <x v="92"/>
    <x v="10"/>
    <x v="4"/>
    <n v="2"/>
    <d v="1899-12-30T00:04:06"/>
    <n v="4.0999999999999996"/>
  </r>
  <r>
    <x v="92"/>
    <x v="10"/>
    <x v="5"/>
    <n v="19"/>
    <d v="1899-12-30T00:26:30"/>
    <n v="26.5"/>
  </r>
  <r>
    <x v="92"/>
    <x v="11"/>
    <x v="0"/>
    <n v="13"/>
    <d v="1899-12-30T00:23:15"/>
    <n v="23.25"/>
  </r>
  <r>
    <x v="92"/>
    <x v="11"/>
    <x v="1"/>
    <n v="7"/>
    <d v="1899-12-30T00:11:18"/>
    <n v="11.3"/>
  </r>
  <r>
    <x v="92"/>
    <x v="11"/>
    <x v="2"/>
    <n v="6"/>
    <d v="1899-12-30T00:07:25"/>
    <n v="7.416666666666667"/>
  </r>
  <r>
    <x v="92"/>
    <x v="11"/>
    <x v="3"/>
    <n v="3"/>
    <d v="1899-12-30T00:02:14"/>
    <n v="2.2333333333333334"/>
  </r>
  <r>
    <x v="92"/>
    <x v="11"/>
    <x v="4"/>
    <n v="1"/>
    <d v="1899-12-30T00:00:21"/>
    <n v="0.35"/>
  </r>
  <r>
    <x v="92"/>
    <x v="11"/>
    <x v="5"/>
    <n v="5"/>
    <d v="1899-12-30T00:07:56"/>
    <n v="7.9333333333333336"/>
  </r>
  <r>
    <x v="92"/>
    <x v="12"/>
    <x v="0"/>
    <n v="120"/>
    <d v="1899-12-30T03:44:48"/>
    <n v="224.8"/>
  </r>
  <r>
    <x v="92"/>
    <x v="12"/>
    <x v="1"/>
    <n v="138"/>
    <d v="1899-12-30T04:27:58"/>
    <n v="267.96666666666664"/>
  </r>
  <r>
    <x v="92"/>
    <x v="12"/>
    <x v="2"/>
    <n v="89"/>
    <d v="1899-12-30T02:19:20"/>
    <n v="139.33333333333334"/>
  </r>
  <r>
    <x v="92"/>
    <x v="12"/>
    <x v="3"/>
    <n v="68"/>
    <d v="1899-12-30T01:11:41"/>
    <n v="71.683333333333337"/>
  </r>
  <r>
    <x v="92"/>
    <x v="12"/>
    <x v="4"/>
    <n v="59"/>
    <d v="1899-12-30T01:33:15"/>
    <n v="93.25"/>
  </r>
  <r>
    <x v="92"/>
    <x v="12"/>
    <x v="5"/>
    <n v="109"/>
    <d v="1899-12-30T02:13:05"/>
    <n v="133.08333333333334"/>
  </r>
  <r>
    <x v="92"/>
    <x v="13"/>
    <x v="0"/>
    <n v="44"/>
    <d v="1899-12-30T01:06:08"/>
    <n v="66.13333333333334"/>
  </r>
  <r>
    <x v="92"/>
    <x v="13"/>
    <x v="1"/>
    <n v="36"/>
    <d v="1899-12-30T00:37:48"/>
    <n v="37.799999999999997"/>
  </r>
  <r>
    <x v="92"/>
    <x v="13"/>
    <x v="2"/>
    <n v="14"/>
    <d v="1899-12-30T00:15:58"/>
    <n v="15.966666666666667"/>
  </r>
  <r>
    <x v="92"/>
    <x v="13"/>
    <x v="3"/>
    <n v="9"/>
    <d v="1899-12-30T00:10:38"/>
    <n v="10.633333333333333"/>
  </r>
  <r>
    <x v="92"/>
    <x v="13"/>
    <x v="4"/>
    <n v="0"/>
    <d v="1899-12-30T00:00:00"/>
    <n v="0"/>
  </r>
  <r>
    <x v="92"/>
    <x v="13"/>
    <x v="5"/>
    <n v="27"/>
    <d v="1899-12-30T00:30:16"/>
    <n v="30.266666666666666"/>
  </r>
  <r>
    <x v="93"/>
    <x v="0"/>
    <x v="0"/>
    <n v="59"/>
    <d v="1899-12-30T01:24:47"/>
    <n v="84.783333333333331"/>
  </r>
  <r>
    <x v="93"/>
    <x v="0"/>
    <x v="1"/>
    <n v="70"/>
    <d v="1899-12-30T01:18:22"/>
    <n v="78.36666666666666"/>
  </r>
  <r>
    <x v="93"/>
    <x v="0"/>
    <x v="2"/>
    <n v="45"/>
    <d v="1899-12-30T00:55:49"/>
    <n v="55.81666666666667"/>
  </r>
  <r>
    <x v="93"/>
    <x v="0"/>
    <x v="3"/>
    <n v="20"/>
    <d v="1899-12-30T00:20:13"/>
    <n v="20.216666666666665"/>
  </r>
  <r>
    <x v="93"/>
    <x v="0"/>
    <x v="4"/>
    <n v="5"/>
    <d v="1899-12-30T00:06:27"/>
    <n v="6.45"/>
  </r>
  <r>
    <x v="93"/>
    <x v="0"/>
    <x v="5"/>
    <n v="60"/>
    <d v="1899-12-30T01:09:12"/>
    <n v="69.2"/>
  </r>
  <r>
    <x v="93"/>
    <x v="1"/>
    <x v="0"/>
    <n v="64"/>
    <d v="1899-12-30T01:49:21"/>
    <n v="109.35"/>
  </r>
  <r>
    <x v="93"/>
    <x v="1"/>
    <x v="1"/>
    <n v="43"/>
    <d v="1899-12-30T01:31:41"/>
    <n v="91.683333333333337"/>
  </r>
  <r>
    <x v="93"/>
    <x v="1"/>
    <x v="2"/>
    <n v="31"/>
    <d v="1899-12-30T01:05:28"/>
    <n v="65.466666666666669"/>
  </r>
  <r>
    <x v="93"/>
    <x v="1"/>
    <x v="3"/>
    <n v="19"/>
    <d v="1899-12-30T00:17:11"/>
    <n v="17.183333333333334"/>
  </r>
  <r>
    <x v="93"/>
    <x v="1"/>
    <x v="4"/>
    <n v="39"/>
    <d v="1899-12-30T01:34:50"/>
    <n v="94.833333333333329"/>
  </r>
  <r>
    <x v="93"/>
    <x v="1"/>
    <x v="5"/>
    <n v="58"/>
    <d v="1899-12-30T01:39:30"/>
    <n v="99.5"/>
  </r>
  <r>
    <x v="93"/>
    <x v="2"/>
    <x v="0"/>
    <n v="87"/>
    <d v="1899-12-30T02:31:04"/>
    <n v="151.06666666666666"/>
  </r>
  <r>
    <x v="93"/>
    <x v="2"/>
    <x v="1"/>
    <n v="119"/>
    <d v="1899-12-30T03:33:59"/>
    <n v="213.98333333333332"/>
  </r>
  <r>
    <x v="93"/>
    <x v="2"/>
    <x v="2"/>
    <n v="60"/>
    <d v="1899-12-30T01:39:45"/>
    <n v="99.75"/>
  </r>
  <r>
    <x v="93"/>
    <x v="2"/>
    <x v="3"/>
    <n v="31"/>
    <d v="1899-12-30T00:33:50"/>
    <n v="33.833333333333336"/>
  </r>
  <r>
    <x v="93"/>
    <x v="2"/>
    <x v="4"/>
    <n v="37"/>
    <d v="1899-12-30T01:12:13"/>
    <n v="72.216666666666669"/>
  </r>
  <r>
    <x v="93"/>
    <x v="2"/>
    <x v="5"/>
    <n v="32"/>
    <d v="1899-12-30T00:42:09"/>
    <n v="42.15"/>
  </r>
  <r>
    <x v="93"/>
    <x v="3"/>
    <x v="0"/>
    <n v="16"/>
    <d v="1899-12-30T00:33:14"/>
    <n v="33.233333333333334"/>
  </r>
  <r>
    <x v="93"/>
    <x v="3"/>
    <x v="1"/>
    <n v="23"/>
    <d v="1899-12-30T01:00:08"/>
    <n v="60.133333333333333"/>
  </r>
  <r>
    <x v="93"/>
    <x v="3"/>
    <x v="2"/>
    <n v="15"/>
    <d v="1899-12-30T00:25:00"/>
    <n v="25"/>
  </r>
  <r>
    <x v="93"/>
    <x v="3"/>
    <x v="3"/>
    <n v="4"/>
    <d v="1899-12-30T00:05:37"/>
    <n v="5.6166666666666671"/>
  </r>
  <r>
    <x v="93"/>
    <x v="3"/>
    <x v="4"/>
    <n v="4"/>
    <d v="1899-12-30T00:11:46"/>
    <n v="11.766666666666667"/>
  </r>
  <r>
    <x v="93"/>
    <x v="3"/>
    <x v="5"/>
    <n v="8"/>
    <d v="1899-12-30T00:10:48"/>
    <n v="10.8"/>
  </r>
  <r>
    <x v="93"/>
    <x v="4"/>
    <x v="0"/>
    <n v="25"/>
    <d v="1899-12-30T00:35:18"/>
    <n v="35.299999999999997"/>
  </r>
  <r>
    <x v="93"/>
    <x v="4"/>
    <x v="1"/>
    <n v="25"/>
    <d v="1899-12-30T00:34:35"/>
    <n v="34.583333333333336"/>
  </r>
  <r>
    <x v="93"/>
    <x v="4"/>
    <x v="2"/>
    <n v="24"/>
    <d v="1899-12-30T00:34:25"/>
    <n v="34.416666666666664"/>
  </r>
  <r>
    <x v="93"/>
    <x v="4"/>
    <x v="3"/>
    <n v="7"/>
    <d v="1899-12-30T00:05:22"/>
    <n v="5.3666666666666663"/>
  </r>
  <r>
    <x v="93"/>
    <x v="4"/>
    <x v="4"/>
    <n v="6"/>
    <d v="1899-12-30T00:11:25"/>
    <n v="11.416666666666666"/>
  </r>
  <r>
    <x v="93"/>
    <x v="4"/>
    <x v="5"/>
    <n v="14"/>
    <d v="1899-12-30T00:17:34"/>
    <n v="17.566666666666666"/>
  </r>
  <r>
    <x v="93"/>
    <x v="5"/>
    <x v="0"/>
    <n v="41"/>
    <d v="1899-12-30T01:01:55"/>
    <n v="61.916666666666664"/>
  </r>
  <r>
    <x v="93"/>
    <x v="5"/>
    <x v="1"/>
    <n v="53"/>
    <d v="1899-12-30T01:14:07"/>
    <n v="74.11666666666666"/>
  </r>
  <r>
    <x v="93"/>
    <x v="5"/>
    <x v="2"/>
    <n v="40"/>
    <d v="1899-12-30T00:51:07"/>
    <n v="51.116666666666667"/>
  </r>
  <r>
    <x v="93"/>
    <x v="5"/>
    <x v="3"/>
    <n v="25"/>
    <d v="1899-12-30T00:21:31"/>
    <n v="21.516666666666666"/>
  </r>
  <r>
    <x v="93"/>
    <x v="5"/>
    <x v="4"/>
    <n v="1"/>
    <d v="1899-12-30T00:02:40"/>
    <n v="2.6666666666666665"/>
  </r>
  <r>
    <x v="93"/>
    <x v="5"/>
    <x v="5"/>
    <n v="60"/>
    <d v="1899-12-30T01:12:40"/>
    <n v="72.666666666666671"/>
  </r>
  <r>
    <x v="93"/>
    <x v="6"/>
    <x v="0"/>
    <n v="15"/>
    <d v="1899-12-30T00:26:08"/>
    <n v="26.133333333333333"/>
  </r>
  <r>
    <x v="93"/>
    <x v="6"/>
    <x v="1"/>
    <n v="10"/>
    <d v="1899-12-30T00:13:46"/>
    <n v="13.766666666666667"/>
  </r>
  <r>
    <x v="93"/>
    <x v="6"/>
    <x v="2"/>
    <n v="8"/>
    <d v="1899-12-30T00:10:37"/>
    <n v="10.616666666666667"/>
  </r>
  <r>
    <x v="93"/>
    <x v="6"/>
    <x v="3"/>
    <n v="3"/>
    <d v="1899-12-30T00:01:29"/>
    <n v="1.4833333333333334"/>
  </r>
  <r>
    <x v="93"/>
    <x v="6"/>
    <x v="4"/>
    <n v="5"/>
    <d v="1899-12-30T00:02:02"/>
    <n v="2.0333333333333332"/>
  </r>
  <r>
    <x v="93"/>
    <x v="6"/>
    <x v="5"/>
    <n v="4"/>
    <d v="1899-12-30T00:03:12"/>
    <n v="3.2"/>
  </r>
  <r>
    <x v="93"/>
    <x v="7"/>
    <x v="0"/>
    <n v="55"/>
    <d v="1899-12-30T01:03:55"/>
    <n v="63.916666666666664"/>
  </r>
  <r>
    <x v="93"/>
    <x v="7"/>
    <x v="1"/>
    <n v="83"/>
    <d v="1899-12-30T01:41:52"/>
    <n v="101.86666666666666"/>
  </r>
  <r>
    <x v="93"/>
    <x v="7"/>
    <x v="2"/>
    <n v="45"/>
    <d v="1899-12-30T00:54:35"/>
    <n v="54.583333333333336"/>
  </r>
  <r>
    <x v="93"/>
    <x v="7"/>
    <x v="3"/>
    <n v="81"/>
    <d v="1899-12-30T01:19:04"/>
    <n v="79.066666666666663"/>
  </r>
  <r>
    <x v="93"/>
    <x v="7"/>
    <x v="4"/>
    <n v="147"/>
    <d v="1899-12-30T04:02:31"/>
    <n v="242.51666666666668"/>
  </r>
  <r>
    <x v="93"/>
    <x v="7"/>
    <x v="5"/>
    <n v="32"/>
    <d v="1899-12-30T00:29:38"/>
    <n v="29.633333333333333"/>
  </r>
  <r>
    <x v="93"/>
    <x v="8"/>
    <x v="0"/>
    <n v="57"/>
    <d v="1899-12-30T01:26:19"/>
    <n v="86.316666666666663"/>
  </r>
  <r>
    <x v="93"/>
    <x v="8"/>
    <x v="1"/>
    <n v="64"/>
    <d v="1899-12-30T01:45:51"/>
    <n v="105.85"/>
  </r>
  <r>
    <x v="93"/>
    <x v="8"/>
    <x v="2"/>
    <n v="54"/>
    <d v="1899-12-30T01:17:35"/>
    <n v="77.583333333333329"/>
  </r>
  <r>
    <x v="93"/>
    <x v="8"/>
    <x v="3"/>
    <n v="58"/>
    <d v="1899-12-30T00:51:56"/>
    <n v="51.93333333333333"/>
  </r>
  <r>
    <x v="93"/>
    <x v="8"/>
    <x v="4"/>
    <n v="19"/>
    <d v="1899-12-30T00:24:28"/>
    <n v="24.466666666666665"/>
  </r>
  <r>
    <x v="93"/>
    <x v="8"/>
    <x v="5"/>
    <n v="46"/>
    <d v="1899-12-30T01:00:39"/>
    <n v="60.65"/>
  </r>
  <r>
    <x v="93"/>
    <x v="9"/>
    <x v="0"/>
    <n v="49"/>
    <d v="1899-12-30T01:13:16"/>
    <n v="73.266666666666666"/>
  </r>
  <r>
    <x v="93"/>
    <x v="9"/>
    <x v="1"/>
    <n v="68"/>
    <d v="1899-12-30T01:42:06"/>
    <n v="102.1"/>
  </r>
  <r>
    <x v="93"/>
    <x v="9"/>
    <x v="2"/>
    <n v="50"/>
    <d v="1899-12-30T01:09:38"/>
    <n v="69.63333333333334"/>
  </r>
  <r>
    <x v="93"/>
    <x v="9"/>
    <x v="3"/>
    <n v="24"/>
    <d v="1899-12-30T00:27:27"/>
    <n v="27.45"/>
  </r>
  <r>
    <x v="93"/>
    <x v="9"/>
    <x v="4"/>
    <n v="11"/>
    <d v="1899-12-30T00:14:32"/>
    <n v="14.533333333333333"/>
  </r>
  <r>
    <x v="93"/>
    <x v="9"/>
    <x v="5"/>
    <n v="35"/>
    <d v="1899-12-30T00:38:07"/>
    <n v="38.116666666666667"/>
  </r>
  <r>
    <x v="93"/>
    <x v="10"/>
    <x v="0"/>
    <n v="31"/>
    <d v="1899-12-30T00:57:25"/>
    <n v="57.416666666666664"/>
  </r>
  <r>
    <x v="93"/>
    <x v="10"/>
    <x v="1"/>
    <n v="26"/>
    <d v="1899-12-30T00:51:20"/>
    <n v="51.333333333333336"/>
  </r>
  <r>
    <x v="93"/>
    <x v="10"/>
    <x v="2"/>
    <n v="22"/>
    <d v="1899-12-30T00:42:02"/>
    <n v="42.033333333333331"/>
  </r>
  <r>
    <x v="93"/>
    <x v="10"/>
    <x v="3"/>
    <n v="9"/>
    <d v="1899-12-30T00:12:29"/>
    <n v="12.483333333333333"/>
  </r>
  <r>
    <x v="93"/>
    <x v="10"/>
    <x v="4"/>
    <n v="4"/>
    <d v="1899-12-30T00:05:47"/>
    <n v="5.7833333333333332"/>
  </r>
  <r>
    <x v="93"/>
    <x v="10"/>
    <x v="5"/>
    <n v="22"/>
    <d v="1899-12-30T00:27:57"/>
    <n v="27.95"/>
  </r>
  <r>
    <x v="93"/>
    <x v="11"/>
    <x v="0"/>
    <n v="15"/>
    <d v="1899-12-30T00:29:37"/>
    <n v="29.616666666666667"/>
  </r>
  <r>
    <x v="93"/>
    <x v="11"/>
    <x v="1"/>
    <n v="12"/>
    <d v="1899-12-30T00:20:56"/>
    <n v="20.933333333333334"/>
  </r>
  <r>
    <x v="93"/>
    <x v="11"/>
    <x v="2"/>
    <n v="8"/>
    <d v="1899-12-30T00:11:15"/>
    <n v="11.25"/>
  </r>
  <r>
    <x v="93"/>
    <x v="11"/>
    <x v="3"/>
    <n v="2"/>
    <d v="1899-12-30T00:01:24"/>
    <n v="1.4"/>
  </r>
  <r>
    <x v="93"/>
    <x v="11"/>
    <x v="4"/>
    <n v="2"/>
    <d v="1899-12-30T00:04:20"/>
    <n v="4.333333333333333"/>
  </r>
  <r>
    <x v="93"/>
    <x v="11"/>
    <x v="5"/>
    <n v="9"/>
    <d v="1899-12-30T00:14:20"/>
    <n v="14.333333333333334"/>
  </r>
  <r>
    <x v="93"/>
    <x v="12"/>
    <x v="0"/>
    <n v="133"/>
    <d v="1899-12-30T03:54:16"/>
    <n v="234.26666666666668"/>
  </r>
  <r>
    <x v="93"/>
    <x v="12"/>
    <x v="1"/>
    <n v="139"/>
    <d v="1899-12-30T04:34:08"/>
    <n v="274.13333333333333"/>
  </r>
  <r>
    <x v="93"/>
    <x v="12"/>
    <x v="2"/>
    <n v="87"/>
    <d v="1899-12-30T02:25:36"/>
    <n v="145.6"/>
  </r>
  <r>
    <x v="93"/>
    <x v="12"/>
    <x v="3"/>
    <n v="72"/>
    <d v="1899-12-30T01:12:17"/>
    <n v="72.283333333333331"/>
  </r>
  <r>
    <x v="93"/>
    <x v="12"/>
    <x v="4"/>
    <n v="43"/>
    <d v="1899-12-30T01:13:15"/>
    <n v="73.25"/>
  </r>
  <r>
    <x v="93"/>
    <x v="12"/>
    <x v="5"/>
    <n v="119"/>
    <d v="1899-12-30T02:20:13"/>
    <n v="140.21666666666667"/>
  </r>
  <r>
    <x v="93"/>
    <x v="13"/>
    <x v="0"/>
    <n v="61"/>
    <d v="1899-12-30T01:35:47"/>
    <n v="95.783333333333331"/>
  </r>
  <r>
    <x v="93"/>
    <x v="13"/>
    <x v="1"/>
    <n v="35"/>
    <d v="1899-12-30T00:48:29"/>
    <n v="48.483333333333334"/>
  </r>
  <r>
    <x v="93"/>
    <x v="13"/>
    <x v="2"/>
    <n v="23"/>
    <d v="1899-12-30T00:29:20"/>
    <n v="29.333333333333332"/>
  </r>
  <r>
    <x v="93"/>
    <x v="13"/>
    <x v="3"/>
    <n v="17"/>
    <d v="1899-12-30T00:17:05"/>
    <n v="17.083333333333332"/>
  </r>
  <r>
    <x v="93"/>
    <x v="13"/>
    <x v="4"/>
    <n v="1"/>
    <d v="1899-12-30T00:02:26"/>
    <n v="2.4333333333333336"/>
  </r>
  <r>
    <x v="93"/>
    <x v="13"/>
    <x v="5"/>
    <n v="29"/>
    <d v="1899-12-30T00:30:46"/>
    <n v="30.766666666666666"/>
  </r>
  <r>
    <x v="94"/>
    <x v="0"/>
    <x v="0"/>
    <n v="17"/>
    <d v="1899-12-30T00:20:22"/>
    <n v="20.366666666666667"/>
  </r>
  <r>
    <x v="94"/>
    <x v="0"/>
    <x v="1"/>
    <n v="28"/>
    <d v="1899-12-30T00:33:33"/>
    <n v="33.549999999999997"/>
  </r>
  <r>
    <x v="94"/>
    <x v="0"/>
    <x v="2"/>
    <n v="15"/>
    <d v="1899-12-30T00:15:14"/>
    <n v="15.233333333333333"/>
  </r>
  <r>
    <x v="94"/>
    <x v="0"/>
    <x v="3"/>
    <n v="4"/>
    <d v="1899-12-30T00:02:45"/>
    <n v="2.75"/>
  </r>
  <r>
    <x v="94"/>
    <x v="0"/>
    <x v="4"/>
    <n v="3"/>
    <d v="1899-12-30T00:07:23"/>
    <n v="7.3833333333333337"/>
  </r>
  <r>
    <x v="94"/>
    <x v="0"/>
    <x v="5"/>
    <n v="19"/>
    <d v="1899-12-30T00:16:00"/>
    <n v="16"/>
  </r>
  <r>
    <x v="94"/>
    <x v="1"/>
    <x v="0"/>
    <n v="46"/>
    <d v="1899-12-30T01:26:48"/>
    <n v="86.8"/>
  </r>
  <r>
    <x v="94"/>
    <x v="1"/>
    <x v="1"/>
    <n v="27"/>
    <d v="1899-12-30T00:56:37"/>
    <n v="56.616666666666667"/>
  </r>
  <r>
    <x v="94"/>
    <x v="1"/>
    <x v="2"/>
    <n v="24"/>
    <d v="1899-12-30T00:48:28"/>
    <n v="48.466666666666669"/>
  </r>
  <r>
    <x v="94"/>
    <x v="1"/>
    <x v="3"/>
    <n v="5"/>
    <d v="1899-12-30T00:03:34"/>
    <n v="3.5666666666666664"/>
  </r>
  <r>
    <x v="94"/>
    <x v="1"/>
    <x v="4"/>
    <n v="26"/>
    <d v="1899-12-30T01:10:26"/>
    <n v="70.433333333333337"/>
  </r>
  <r>
    <x v="94"/>
    <x v="1"/>
    <x v="5"/>
    <n v="47"/>
    <d v="1899-12-30T01:13:09"/>
    <n v="73.150000000000006"/>
  </r>
  <r>
    <x v="94"/>
    <x v="2"/>
    <x v="0"/>
    <n v="69"/>
    <d v="1899-12-30T02:07:19"/>
    <n v="127.31666666666666"/>
  </r>
  <r>
    <x v="94"/>
    <x v="2"/>
    <x v="1"/>
    <n v="94"/>
    <d v="1899-12-30T02:34:03"/>
    <n v="154.05000000000001"/>
  </r>
  <r>
    <x v="94"/>
    <x v="2"/>
    <x v="2"/>
    <n v="49"/>
    <d v="1899-12-30T01:24:28"/>
    <n v="84.466666666666669"/>
  </r>
  <r>
    <x v="94"/>
    <x v="2"/>
    <x v="3"/>
    <n v="27"/>
    <d v="1899-12-30T00:30:00"/>
    <n v="30"/>
  </r>
  <r>
    <x v="94"/>
    <x v="2"/>
    <x v="4"/>
    <n v="23"/>
    <d v="1899-12-30T00:48:53"/>
    <n v="48.883333333333333"/>
  </r>
  <r>
    <x v="94"/>
    <x v="2"/>
    <x v="5"/>
    <n v="29"/>
    <d v="1899-12-30T00:45:58"/>
    <n v="45.966666666666669"/>
  </r>
  <r>
    <x v="94"/>
    <x v="3"/>
    <x v="0"/>
    <n v="5"/>
    <d v="1899-12-30T00:08:22"/>
    <n v="8.3666666666666671"/>
  </r>
  <r>
    <x v="94"/>
    <x v="3"/>
    <x v="1"/>
    <n v="5"/>
    <d v="1899-12-30T00:08:08"/>
    <n v="8.1333333333333329"/>
  </r>
  <r>
    <x v="94"/>
    <x v="3"/>
    <x v="2"/>
    <n v="5"/>
    <d v="1899-12-30T00:09:26"/>
    <n v="9.4333333333333336"/>
  </r>
  <r>
    <x v="94"/>
    <x v="3"/>
    <x v="3"/>
    <n v="5"/>
    <d v="1899-12-30T00:06:28"/>
    <n v="6.4666666666666668"/>
  </r>
  <r>
    <x v="94"/>
    <x v="3"/>
    <x v="4"/>
    <n v="0"/>
    <d v="1899-12-30T00:00:00"/>
    <n v="0"/>
  </r>
  <r>
    <x v="94"/>
    <x v="3"/>
    <x v="5"/>
    <n v="3"/>
    <d v="1899-12-30T00:04:19"/>
    <n v="4.3166666666666664"/>
  </r>
  <r>
    <x v="94"/>
    <x v="4"/>
    <x v="0"/>
    <n v="23"/>
    <d v="1899-12-30T00:38:48"/>
    <n v="38.799999999999997"/>
  </r>
  <r>
    <x v="94"/>
    <x v="4"/>
    <x v="1"/>
    <n v="27"/>
    <d v="1899-12-30T00:44:26"/>
    <n v="44.43333333333333"/>
  </r>
  <r>
    <x v="94"/>
    <x v="4"/>
    <x v="2"/>
    <n v="18"/>
    <d v="1899-12-30T00:22:54"/>
    <n v="22.9"/>
  </r>
  <r>
    <x v="94"/>
    <x v="4"/>
    <x v="3"/>
    <n v="9"/>
    <d v="1899-12-30T00:07:43"/>
    <n v="7.7166666666666668"/>
  </r>
  <r>
    <x v="94"/>
    <x v="4"/>
    <x v="4"/>
    <n v="9"/>
    <d v="1899-12-30T00:13:55"/>
    <n v="13.916666666666666"/>
  </r>
  <r>
    <x v="94"/>
    <x v="4"/>
    <x v="5"/>
    <n v="11"/>
    <d v="1899-12-30T00:11:00"/>
    <n v="11"/>
  </r>
  <r>
    <x v="94"/>
    <x v="5"/>
    <x v="0"/>
    <n v="38"/>
    <d v="1899-12-30T00:52:02"/>
    <n v="52.033333333333331"/>
  </r>
  <r>
    <x v="94"/>
    <x v="5"/>
    <x v="1"/>
    <n v="44"/>
    <d v="1899-12-30T01:10:52"/>
    <n v="70.86666666666666"/>
  </r>
  <r>
    <x v="94"/>
    <x v="5"/>
    <x v="2"/>
    <n v="41"/>
    <d v="1899-12-30T00:50:20"/>
    <n v="50.333333333333336"/>
  </r>
  <r>
    <x v="94"/>
    <x v="5"/>
    <x v="3"/>
    <n v="13"/>
    <d v="1899-12-30T00:14:34"/>
    <n v="14.566666666666666"/>
  </r>
  <r>
    <x v="94"/>
    <x v="5"/>
    <x v="4"/>
    <n v="2"/>
    <d v="1899-12-30T00:02:46"/>
    <n v="2.7666666666666666"/>
  </r>
  <r>
    <x v="94"/>
    <x v="5"/>
    <x v="5"/>
    <n v="52"/>
    <d v="1899-12-30T01:00:17"/>
    <n v="60.283333333333331"/>
  </r>
  <r>
    <x v="94"/>
    <x v="6"/>
    <x v="0"/>
    <n v="11"/>
    <d v="1899-12-30T00:16:51"/>
    <n v="16.850000000000001"/>
  </r>
  <r>
    <x v="94"/>
    <x v="6"/>
    <x v="1"/>
    <n v="13"/>
    <d v="1899-12-30T00:17:54"/>
    <n v="17.899999999999999"/>
  </r>
  <r>
    <x v="94"/>
    <x v="6"/>
    <x v="2"/>
    <n v="7"/>
    <d v="1899-12-30T00:11:28"/>
    <n v="11.466666666666667"/>
  </r>
  <r>
    <x v="94"/>
    <x v="6"/>
    <x v="3"/>
    <n v="7"/>
    <d v="1899-12-30T00:07:09"/>
    <n v="7.15"/>
  </r>
  <r>
    <x v="94"/>
    <x v="6"/>
    <x v="4"/>
    <n v="5"/>
    <d v="1899-12-30T00:08:27"/>
    <n v="8.4499999999999993"/>
  </r>
  <r>
    <x v="94"/>
    <x v="6"/>
    <x v="5"/>
    <n v="7"/>
    <d v="1899-12-30T00:08:52"/>
    <n v="8.8666666666666671"/>
  </r>
  <r>
    <x v="94"/>
    <x v="7"/>
    <x v="0"/>
    <n v="97"/>
    <d v="1899-12-30T02:23:13"/>
    <n v="143.21666666666667"/>
  </r>
  <r>
    <x v="94"/>
    <x v="7"/>
    <x v="1"/>
    <n v="115"/>
    <d v="1899-12-30T02:30:15"/>
    <n v="150.25"/>
  </r>
  <r>
    <x v="94"/>
    <x v="7"/>
    <x v="2"/>
    <n v="54"/>
    <d v="1899-12-30T01:17:22"/>
    <n v="77.36666666666666"/>
  </r>
  <r>
    <x v="94"/>
    <x v="7"/>
    <x v="3"/>
    <n v="81"/>
    <d v="1899-12-30T01:17:14"/>
    <n v="77.233333333333334"/>
  </r>
  <r>
    <x v="94"/>
    <x v="7"/>
    <x v="4"/>
    <n v="118"/>
    <d v="1899-12-30T03:12:46"/>
    <n v="192.76666666666668"/>
  </r>
  <r>
    <x v="94"/>
    <x v="7"/>
    <x v="5"/>
    <n v="56"/>
    <d v="1899-12-30T01:02:35"/>
    <n v="62.583333333333336"/>
  </r>
  <r>
    <x v="94"/>
    <x v="8"/>
    <x v="0"/>
    <n v="27"/>
    <d v="1899-12-30T00:38:21"/>
    <n v="38.35"/>
  </r>
  <r>
    <x v="94"/>
    <x v="8"/>
    <x v="1"/>
    <n v="32"/>
    <d v="1899-12-30T00:46:27"/>
    <n v="46.45"/>
  </r>
  <r>
    <x v="94"/>
    <x v="8"/>
    <x v="2"/>
    <n v="27"/>
    <d v="1899-12-30T00:38:54"/>
    <n v="38.9"/>
  </r>
  <r>
    <x v="94"/>
    <x v="8"/>
    <x v="3"/>
    <n v="22"/>
    <d v="1899-12-30T00:24:09"/>
    <n v="24.15"/>
  </r>
  <r>
    <x v="94"/>
    <x v="8"/>
    <x v="4"/>
    <n v="10"/>
    <d v="1899-12-30T00:19:37"/>
    <n v="19.616666666666667"/>
  </r>
  <r>
    <x v="94"/>
    <x v="8"/>
    <x v="5"/>
    <n v="28"/>
    <d v="1899-12-30T00:35:27"/>
    <n v="35.450000000000003"/>
  </r>
  <r>
    <x v="94"/>
    <x v="9"/>
    <x v="0"/>
    <n v="56"/>
    <d v="1899-12-30T01:30:47"/>
    <n v="90.783333333333331"/>
  </r>
  <r>
    <x v="94"/>
    <x v="9"/>
    <x v="1"/>
    <n v="96"/>
    <d v="1899-12-30T02:08:09"/>
    <n v="128.15"/>
  </r>
  <r>
    <x v="94"/>
    <x v="9"/>
    <x v="2"/>
    <n v="63"/>
    <d v="1899-12-30T03:54:42"/>
    <n v="234.7"/>
  </r>
  <r>
    <x v="94"/>
    <x v="9"/>
    <x v="3"/>
    <n v="32"/>
    <d v="1899-12-30T00:36:33"/>
    <n v="36.549999999999997"/>
  </r>
  <r>
    <x v="94"/>
    <x v="9"/>
    <x v="4"/>
    <n v="13"/>
    <d v="1899-12-30T00:16:44"/>
    <n v="16.733333333333334"/>
  </r>
  <r>
    <x v="94"/>
    <x v="9"/>
    <x v="5"/>
    <n v="45"/>
    <d v="1899-12-30T00:53:35"/>
    <n v="53.583333333333336"/>
  </r>
  <r>
    <x v="94"/>
    <x v="10"/>
    <x v="0"/>
    <n v="11"/>
    <d v="1899-12-30T00:25:13"/>
    <n v="25.216666666666665"/>
  </r>
  <r>
    <x v="94"/>
    <x v="10"/>
    <x v="1"/>
    <n v="22"/>
    <d v="1899-12-30T00:46:42"/>
    <n v="46.7"/>
  </r>
  <r>
    <x v="94"/>
    <x v="10"/>
    <x v="2"/>
    <n v="17"/>
    <d v="1899-12-30T00:32:32"/>
    <n v="32.533333333333331"/>
  </r>
  <r>
    <x v="94"/>
    <x v="10"/>
    <x v="3"/>
    <n v="10"/>
    <d v="1899-12-30T00:14:26"/>
    <n v="14.433333333333334"/>
  </r>
  <r>
    <x v="94"/>
    <x v="10"/>
    <x v="4"/>
    <n v="2"/>
    <d v="1899-12-30T00:03:54"/>
    <n v="3.9"/>
  </r>
  <r>
    <x v="94"/>
    <x v="10"/>
    <x v="5"/>
    <n v="13"/>
    <d v="1899-12-30T00:24:35"/>
    <n v="24.583333333333332"/>
  </r>
  <r>
    <x v="94"/>
    <x v="11"/>
    <x v="0"/>
    <n v="8"/>
    <d v="1899-12-30T00:15:57"/>
    <n v="15.95"/>
  </r>
  <r>
    <x v="94"/>
    <x v="11"/>
    <x v="1"/>
    <n v="5"/>
    <d v="1899-12-30T00:14:56"/>
    <n v="14.933333333333334"/>
  </r>
  <r>
    <x v="94"/>
    <x v="11"/>
    <x v="2"/>
    <n v="4"/>
    <d v="1899-12-30T00:06:20"/>
    <n v="6.333333333333333"/>
  </r>
  <r>
    <x v="94"/>
    <x v="11"/>
    <x v="3"/>
    <n v="6"/>
    <d v="1899-12-30T00:04:48"/>
    <n v="4.8"/>
  </r>
  <r>
    <x v="94"/>
    <x v="11"/>
    <x v="4"/>
    <n v="0"/>
    <d v="1899-12-30T00:00:00"/>
    <n v="0"/>
  </r>
  <r>
    <x v="94"/>
    <x v="11"/>
    <x v="5"/>
    <n v="5"/>
    <d v="1899-12-30T00:07:16"/>
    <n v="7.2666666666666666"/>
  </r>
  <r>
    <x v="94"/>
    <x v="12"/>
    <x v="0"/>
    <n v="111"/>
    <d v="1899-12-30T03:12:16"/>
    <n v="192.26666666666668"/>
  </r>
  <r>
    <x v="94"/>
    <x v="12"/>
    <x v="1"/>
    <n v="136"/>
    <d v="1899-12-30T04:22:55"/>
    <n v="262.91666666666669"/>
  </r>
  <r>
    <x v="94"/>
    <x v="12"/>
    <x v="2"/>
    <n v="72"/>
    <d v="1899-12-30T01:56:30"/>
    <n v="116.5"/>
  </r>
  <r>
    <x v="94"/>
    <x v="12"/>
    <x v="3"/>
    <n v="69"/>
    <d v="1899-12-30T01:17:24"/>
    <n v="77.400000000000006"/>
  </r>
  <r>
    <x v="94"/>
    <x v="12"/>
    <x v="4"/>
    <n v="35"/>
    <d v="1899-12-30T01:06:34"/>
    <n v="66.566666666666663"/>
  </r>
  <r>
    <x v="94"/>
    <x v="12"/>
    <x v="5"/>
    <n v="92"/>
    <d v="1899-12-30T01:55:53"/>
    <n v="115.88333333333334"/>
  </r>
  <r>
    <x v="94"/>
    <x v="13"/>
    <x v="0"/>
    <n v="46"/>
    <d v="1899-12-30T01:07:31"/>
    <n v="67.516666666666666"/>
  </r>
  <r>
    <x v="94"/>
    <x v="13"/>
    <x v="1"/>
    <n v="32"/>
    <d v="1899-12-30T00:40:03"/>
    <n v="40.049999999999997"/>
  </r>
  <r>
    <x v="94"/>
    <x v="13"/>
    <x v="2"/>
    <n v="27"/>
    <d v="1899-12-30T00:23:00"/>
    <n v="23"/>
  </r>
  <r>
    <x v="94"/>
    <x v="13"/>
    <x v="3"/>
    <n v="12"/>
    <d v="1899-12-30T00:12:33"/>
    <n v="12.55"/>
  </r>
  <r>
    <x v="94"/>
    <x v="13"/>
    <x v="4"/>
    <n v="0"/>
    <d v="1899-12-30T00:00:00"/>
    <n v="0"/>
  </r>
  <r>
    <x v="94"/>
    <x v="13"/>
    <x v="5"/>
    <n v="26"/>
    <d v="1899-12-30T00:24:05"/>
    <n v="24.083333333333332"/>
  </r>
  <r>
    <x v="95"/>
    <x v="0"/>
    <x v="0"/>
    <n v="27"/>
    <d v="1899-12-30T00:37:59"/>
    <n v="37.983333333333334"/>
  </r>
  <r>
    <x v="95"/>
    <x v="0"/>
    <x v="1"/>
    <n v="36"/>
    <d v="1899-12-30T00:36:07"/>
    <n v="36.116666666666667"/>
  </r>
  <r>
    <x v="95"/>
    <x v="0"/>
    <x v="2"/>
    <n v="19"/>
    <d v="1899-12-30T00:21:32"/>
    <n v="21.533333333333335"/>
  </r>
  <r>
    <x v="95"/>
    <x v="0"/>
    <x v="3"/>
    <n v="12"/>
    <d v="1899-12-30T00:10:13"/>
    <n v="10.216666666666667"/>
  </r>
  <r>
    <x v="95"/>
    <x v="0"/>
    <x v="4"/>
    <n v="4"/>
    <d v="1899-12-30T00:06:40"/>
    <n v="6.666666666666667"/>
  </r>
  <r>
    <x v="95"/>
    <x v="0"/>
    <x v="5"/>
    <n v="18"/>
    <d v="1899-12-30T00:19:24"/>
    <n v="19.399999999999999"/>
  </r>
  <r>
    <x v="95"/>
    <x v="1"/>
    <x v="0"/>
    <n v="63"/>
    <d v="1899-12-30T01:52:00"/>
    <n v="112"/>
  </r>
  <r>
    <x v="95"/>
    <x v="1"/>
    <x v="1"/>
    <n v="50"/>
    <d v="1899-12-30T01:43:30"/>
    <n v="103.5"/>
  </r>
  <r>
    <x v="95"/>
    <x v="1"/>
    <x v="2"/>
    <n v="37"/>
    <d v="1899-12-30T01:01:15"/>
    <n v="61.25"/>
  </r>
  <r>
    <x v="95"/>
    <x v="1"/>
    <x v="3"/>
    <n v="5"/>
    <d v="1899-12-30T00:06:42"/>
    <n v="6.7"/>
  </r>
  <r>
    <x v="95"/>
    <x v="1"/>
    <x v="4"/>
    <n v="23"/>
    <d v="1899-12-30T01:00:42"/>
    <n v="60.7"/>
  </r>
  <r>
    <x v="95"/>
    <x v="1"/>
    <x v="5"/>
    <n v="51"/>
    <d v="1899-12-30T01:22:56"/>
    <n v="82.933333333333337"/>
  </r>
  <r>
    <x v="95"/>
    <x v="2"/>
    <x v="0"/>
    <n v="64"/>
    <d v="1899-12-30T02:10:56"/>
    <n v="130.93333333333334"/>
  </r>
  <r>
    <x v="95"/>
    <x v="2"/>
    <x v="1"/>
    <n v="93"/>
    <d v="1899-12-30T02:51:46"/>
    <n v="171.76666666666668"/>
  </r>
  <r>
    <x v="95"/>
    <x v="2"/>
    <x v="2"/>
    <n v="52"/>
    <d v="1899-12-30T01:33:36"/>
    <n v="93.6"/>
  </r>
  <r>
    <x v="95"/>
    <x v="2"/>
    <x v="3"/>
    <n v="39"/>
    <d v="1899-12-30T00:47:44"/>
    <n v="47.733333333333334"/>
  </r>
  <r>
    <x v="95"/>
    <x v="2"/>
    <x v="4"/>
    <n v="19"/>
    <d v="1899-12-30T00:36:32"/>
    <n v="36.533333333333331"/>
  </r>
  <r>
    <x v="95"/>
    <x v="2"/>
    <x v="5"/>
    <n v="41"/>
    <d v="1899-12-30T00:58:43"/>
    <n v="58.716666666666669"/>
  </r>
  <r>
    <x v="95"/>
    <x v="3"/>
    <x v="0"/>
    <n v="8"/>
    <d v="1899-12-30T00:17:25"/>
    <n v="17.416666666666668"/>
  </r>
  <r>
    <x v="95"/>
    <x v="3"/>
    <x v="1"/>
    <n v="14"/>
    <d v="1899-12-30T00:36:15"/>
    <n v="36.25"/>
  </r>
  <r>
    <x v="95"/>
    <x v="3"/>
    <x v="2"/>
    <n v="10"/>
    <d v="1899-12-30T00:22:07"/>
    <n v="22.116666666666667"/>
  </r>
  <r>
    <x v="95"/>
    <x v="3"/>
    <x v="3"/>
    <n v="7"/>
    <d v="1899-12-30T00:06:10"/>
    <n v="6.166666666666667"/>
  </r>
  <r>
    <x v="95"/>
    <x v="3"/>
    <x v="4"/>
    <n v="1"/>
    <d v="1899-12-30T00:02:34"/>
    <n v="2.5666666666666664"/>
  </r>
  <r>
    <x v="95"/>
    <x v="3"/>
    <x v="5"/>
    <n v="9"/>
    <d v="1899-12-30T00:12:52"/>
    <n v="12.866666666666667"/>
  </r>
  <r>
    <x v="95"/>
    <x v="4"/>
    <x v="0"/>
    <n v="23"/>
    <d v="1899-12-30T00:32:53"/>
    <n v="32.883333333333333"/>
  </r>
  <r>
    <x v="95"/>
    <x v="4"/>
    <x v="1"/>
    <n v="25"/>
    <d v="1899-12-30T00:35:00"/>
    <n v="35"/>
  </r>
  <r>
    <x v="95"/>
    <x v="4"/>
    <x v="2"/>
    <n v="18"/>
    <d v="1899-12-30T00:24:27"/>
    <n v="24.45"/>
  </r>
  <r>
    <x v="95"/>
    <x v="4"/>
    <x v="3"/>
    <n v="9"/>
    <d v="1899-12-30T00:05:44"/>
    <n v="5.7333333333333334"/>
  </r>
  <r>
    <x v="95"/>
    <x v="4"/>
    <x v="4"/>
    <n v="14"/>
    <d v="1899-12-30T00:21:49"/>
    <n v="21.816666666666666"/>
  </r>
  <r>
    <x v="95"/>
    <x v="4"/>
    <x v="5"/>
    <n v="12"/>
    <d v="1899-12-30T00:13:02"/>
    <n v="13.033333333333333"/>
  </r>
  <r>
    <x v="95"/>
    <x v="5"/>
    <x v="0"/>
    <n v="49"/>
    <d v="1899-12-30T01:17:21"/>
    <n v="77.349999999999994"/>
  </r>
  <r>
    <x v="95"/>
    <x v="5"/>
    <x v="1"/>
    <n v="48"/>
    <d v="1899-12-30T01:05:02"/>
    <n v="65.033333333333331"/>
  </r>
  <r>
    <x v="95"/>
    <x v="5"/>
    <x v="2"/>
    <n v="36"/>
    <d v="1899-12-30T00:42:05"/>
    <n v="42.083333333333336"/>
  </r>
  <r>
    <x v="95"/>
    <x v="5"/>
    <x v="3"/>
    <n v="13"/>
    <d v="1899-12-30T00:10:18"/>
    <n v="10.3"/>
  </r>
  <r>
    <x v="95"/>
    <x v="5"/>
    <x v="4"/>
    <n v="7"/>
    <d v="1899-12-30T00:09:35"/>
    <n v="9.5833333333333339"/>
  </r>
  <r>
    <x v="95"/>
    <x v="5"/>
    <x v="5"/>
    <n v="53"/>
    <d v="1899-12-30T01:03:40"/>
    <n v="63.666666666666664"/>
  </r>
  <r>
    <x v="95"/>
    <x v="6"/>
    <x v="0"/>
    <n v="7"/>
    <d v="1899-12-30T00:06:24"/>
    <n v="6.4"/>
  </r>
  <r>
    <x v="95"/>
    <x v="6"/>
    <x v="1"/>
    <n v="6"/>
    <d v="1899-12-30T00:12:15"/>
    <n v="12.25"/>
  </r>
  <r>
    <x v="95"/>
    <x v="6"/>
    <x v="2"/>
    <n v="4"/>
    <d v="1899-12-30T00:05:33"/>
    <n v="5.55"/>
  </r>
  <r>
    <x v="95"/>
    <x v="6"/>
    <x v="3"/>
    <n v="3"/>
    <d v="1899-12-30T00:04:02"/>
    <n v="4.0333333333333332"/>
  </r>
  <r>
    <x v="95"/>
    <x v="6"/>
    <x v="4"/>
    <n v="7"/>
    <d v="1899-12-30T00:13:21"/>
    <n v="13.35"/>
  </r>
  <r>
    <x v="95"/>
    <x v="6"/>
    <x v="5"/>
    <n v="5"/>
    <d v="1899-12-30T00:06:47"/>
    <n v="6.7833333333333332"/>
  </r>
  <r>
    <x v="95"/>
    <x v="7"/>
    <x v="0"/>
    <n v="45"/>
    <d v="1899-12-30T01:09:16"/>
    <n v="69.266666666666666"/>
  </r>
  <r>
    <x v="95"/>
    <x v="7"/>
    <x v="1"/>
    <n v="83"/>
    <d v="1899-12-30T01:40:45"/>
    <n v="100.75"/>
  </r>
  <r>
    <x v="95"/>
    <x v="7"/>
    <x v="2"/>
    <n v="50"/>
    <d v="1899-12-30T01:03:33"/>
    <n v="63.55"/>
  </r>
  <r>
    <x v="95"/>
    <x v="7"/>
    <x v="3"/>
    <n v="49"/>
    <d v="1899-12-30T00:43:39"/>
    <n v="43.65"/>
  </r>
  <r>
    <x v="95"/>
    <x v="7"/>
    <x v="4"/>
    <n v="119"/>
    <d v="1899-12-30T03:15:18"/>
    <n v="195.3"/>
  </r>
  <r>
    <x v="95"/>
    <x v="7"/>
    <x v="5"/>
    <n v="34"/>
    <d v="1899-12-30T00:32:24"/>
    <n v="32.4"/>
  </r>
  <r>
    <x v="95"/>
    <x v="8"/>
    <x v="0"/>
    <n v="21"/>
    <d v="1899-12-30T00:30:50"/>
    <n v="30.833333333333332"/>
  </r>
  <r>
    <x v="95"/>
    <x v="8"/>
    <x v="1"/>
    <n v="25"/>
    <d v="1899-12-30T00:34:11"/>
    <n v="34.18333333333333"/>
  </r>
  <r>
    <x v="95"/>
    <x v="8"/>
    <x v="2"/>
    <n v="23"/>
    <d v="1899-12-30T00:40:33"/>
    <n v="40.549999999999997"/>
  </r>
  <r>
    <x v="95"/>
    <x v="8"/>
    <x v="3"/>
    <n v="22"/>
    <d v="1899-12-30T00:19:22"/>
    <n v="19.366666666666667"/>
  </r>
  <r>
    <x v="95"/>
    <x v="8"/>
    <x v="4"/>
    <n v="14"/>
    <d v="1899-12-30T00:21:25"/>
    <n v="21.416666666666668"/>
  </r>
  <r>
    <x v="95"/>
    <x v="8"/>
    <x v="5"/>
    <n v="20"/>
    <d v="1899-12-30T00:24:25"/>
    <n v="24.416666666666668"/>
  </r>
  <r>
    <x v="95"/>
    <x v="9"/>
    <x v="0"/>
    <n v="31"/>
    <d v="1899-12-30T01:00:52"/>
    <n v="60.866666666666667"/>
  </r>
  <r>
    <x v="95"/>
    <x v="9"/>
    <x v="1"/>
    <n v="43"/>
    <d v="1899-12-30T00:58:16"/>
    <n v="58.266666666666666"/>
  </r>
  <r>
    <x v="95"/>
    <x v="9"/>
    <x v="2"/>
    <n v="22"/>
    <d v="1899-12-30T00:30:45"/>
    <n v="30.75"/>
  </r>
  <r>
    <x v="95"/>
    <x v="9"/>
    <x v="3"/>
    <n v="19"/>
    <d v="1899-12-30T00:17:08"/>
    <n v="17.133333333333333"/>
  </r>
  <r>
    <x v="95"/>
    <x v="9"/>
    <x v="4"/>
    <n v="3"/>
    <d v="1899-12-30T00:02:38"/>
    <n v="2.6333333333333333"/>
  </r>
  <r>
    <x v="95"/>
    <x v="9"/>
    <x v="5"/>
    <n v="18"/>
    <d v="1899-12-30T00:26:11"/>
    <n v="26.183333333333334"/>
  </r>
  <r>
    <x v="95"/>
    <x v="10"/>
    <x v="0"/>
    <n v="35"/>
    <d v="1899-12-30T00:58:56"/>
    <n v="58.93333333333333"/>
  </r>
  <r>
    <x v="95"/>
    <x v="10"/>
    <x v="1"/>
    <n v="25"/>
    <d v="1899-12-30T01:01:23"/>
    <n v="61.383333333333333"/>
  </r>
  <r>
    <x v="95"/>
    <x v="10"/>
    <x v="2"/>
    <n v="26"/>
    <d v="1899-12-30T00:45:13"/>
    <n v="45.216666666666669"/>
  </r>
  <r>
    <x v="95"/>
    <x v="10"/>
    <x v="3"/>
    <n v="9"/>
    <d v="1899-12-30T00:11:10"/>
    <n v="11.166666666666666"/>
  </r>
  <r>
    <x v="95"/>
    <x v="10"/>
    <x v="4"/>
    <n v="2"/>
    <d v="1899-12-30T00:01:55"/>
    <n v="1.9166666666666665"/>
  </r>
  <r>
    <x v="95"/>
    <x v="10"/>
    <x v="5"/>
    <n v="20"/>
    <d v="1899-12-30T00:26:33"/>
    <n v="26.55"/>
  </r>
  <r>
    <x v="95"/>
    <x v="11"/>
    <x v="0"/>
    <n v="13"/>
    <d v="1899-12-30T00:24:19"/>
    <n v="24.316666666666666"/>
  </r>
  <r>
    <x v="95"/>
    <x v="11"/>
    <x v="1"/>
    <n v="12"/>
    <d v="1899-12-30T00:23:44"/>
    <n v="23.733333333333334"/>
  </r>
  <r>
    <x v="95"/>
    <x v="11"/>
    <x v="2"/>
    <n v="6"/>
    <d v="1899-12-30T00:10:56"/>
    <n v="10.933333333333334"/>
  </r>
  <r>
    <x v="95"/>
    <x v="11"/>
    <x v="3"/>
    <n v="7"/>
    <d v="1899-12-30T00:05:00"/>
    <n v="5"/>
  </r>
  <r>
    <x v="95"/>
    <x v="11"/>
    <x v="4"/>
    <n v="1"/>
    <d v="1899-12-30T00:01:36"/>
    <n v="1.6"/>
  </r>
  <r>
    <x v="95"/>
    <x v="11"/>
    <x v="5"/>
    <n v="9"/>
    <d v="1899-12-30T00:11:40"/>
    <n v="11.666666666666666"/>
  </r>
  <r>
    <x v="95"/>
    <x v="12"/>
    <x v="0"/>
    <n v="132"/>
    <d v="1899-12-30T03:50:11"/>
    <n v="230.18333333333334"/>
  </r>
  <r>
    <x v="95"/>
    <x v="12"/>
    <x v="1"/>
    <n v="171"/>
    <d v="1899-12-30T05:19:05"/>
    <n v="319.08333333333331"/>
  </r>
  <r>
    <x v="95"/>
    <x v="12"/>
    <x v="2"/>
    <n v="101"/>
    <d v="1899-12-30T02:48:09"/>
    <n v="168.15"/>
  </r>
  <r>
    <x v="95"/>
    <x v="12"/>
    <x v="3"/>
    <n v="73"/>
    <d v="1899-12-30T01:17:21"/>
    <n v="77.349999999999994"/>
  </r>
  <r>
    <x v="95"/>
    <x v="12"/>
    <x v="4"/>
    <n v="45"/>
    <d v="1899-12-30T01:21:09"/>
    <n v="81.150000000000006"/>
  </r>
  <r>
    <x v="95"/>
    <x v="12"/>
    <x v="5"/>
    <n v="116"/>
    <d v="1899-12-30T02:43:37"/>
    <n v="163.61666666666667"/>
  </r>
  <r>
    <x v="95"/>
    <x v="13"/>
    <x v="0"/>
    <n v="33"/>
    <d v="1899-12-30T00:52:20"/>
    <n v="52.333333333333336"/>
  </r>
  <r>
    <x v="95"/>
    <x v="13"/>
    <x v="1"/>
    <n v="17"/>
    <d v="1899-12-30T00:17:18"/>
    <n v="17.3"/>
  </r>
  <r>
    <x v="95"/>
    <x v="13"/>
    <x v="2"/>
    <n v="7"/>
    <d v="1899-12-30T00:09:24"/>
    <n v="9.4"/>
  </r>
  <r>
    <x v="95"/>
    <x v="13"/>
    <x v="3"/>
    <n v="16"/>
    <d v="1899-12-30T00:16:03"/>
    <n v="16.05"/>
  </r>
  <r>
    <x v="95"/>
    <x v="13"/>
    <x v="4"/>
    <n v="0"/>
    <d v="1899-12-30T00:00:00"/>
    <n v="0"/>
  </r>
  <r>
    <x v="95"/>
    <x v="13"/>
    <x v="5"/>
    <n v="9"/>
    <d v="1899-12-30T00:07:11"/>
    <n v="7.1833333333333336"/>
  </r>
  <r>
    <x v="96"/>
    <x v="0"/>
    <x v="0"/>
    <n v="52"/>
    <d v="1899-12-30T01:10:04"/>
    <n v="70.066666666666663"/>
  </r>
  <r>
    <x v="96"/>
    <x v="0"/>
    <x v="1"/>
    <n v="76"/>
    <d v="1899-12-30T01:24:34"/>
    <n v="84.566666666666663"/>
  </r>
  <r>
    <x v="96"/>
    <x v="0"/>
    <x v="2"/>
    <n v="25"/>
    <d v="1899-12-30T00:28:45"/>
    <n v="28.75"/>
  </r>
  <r>
    <x v="96"/>
    <x v="0"/>
    <x v="3"/>
    <n v="12"/>
    <d v="1899-12-30T00:07:50"/>
    <n v="7.833333333333333"/>
  </r>
  <r>
    <x v="96"/>
    <x v="0"/>
    <x v="4"/>
    <n v="2"/>
    <d v="1899-12-30T00:00:40"/>
    <n v="0.66666666666666663"/>
  </r>
  <r>
    <x v="96"/>
    <x v="0"/>
    <x v="5"/>
    <n v="48"/>
    <d v="1899-12-30T00:53:28"/>
    <n v="53.466666666666669"/>
  </r>
  <r>
    <x v="96"/>
    <x v="1"/>
    <x v="0"/>
    <n v="76"/>
    <d v="1899-12-30T02:41:08"/>
    <n v="161.13333333333333"/>
  </r>
  <r>
    <x v="96"/>
    <x v="1"/>
    <x v="1"/>
    <n v="67"/>
    <d v="1899-12-30T02:22:32"/>
    <n v="142.53333333333333"/>
  </r>
  <r>
    <x v="96"/>
    <x v="1"/>
    <x v="2"/>
    <n v="24"/>
    <d v="1899-12-30T00:47:59"/>
    <n v="47.983333333333334"/>
  </r>
  <r>
    <x v="96"/>
    <x v="1"/>
    <x v="3"/>
    <n v="12"/>
    <d v="1899-12-30T00:14:47"/>
    <n v="14.783333333333333"/>
  </r>
  <r>
    <x v="96"/>
    <x v="1"/>
    <x v="4"/>
    <n v="23"/>
    <d v="1899-12-30T01:00:28"/>
    <n v="60.466666666666669"/>
  </r>
  <r>
    <x v="96"/>
    <x v="1"/>
    <x v="5"/>
    <n v="58"/>
    <d v="1899-12-30T01:27:27"/>
    <n v="87.45"/>
  </r>
  <r>
    <x v="96"/>
    <x v="2"/>
    <x v="0"/>
    <n v="68"/>
    <d v="1899-12-30T02:02:18"/>
    <n v="122.3"/>
  </r>
  <r>
    <x v="96"/>
    <x v="2"/>
    <x v="1"/>
    <n v="86"/>
    <d v="1899-12-30T02:21:27"/>
    <n v="141.44999999999999"/>
  </r>
  <r>
    <x v="96"/>
    <x v="2"/>
    <x v="2"/>
    <n v="61"/>
    <d v="1899-12-30T01:42:03"/>
    <n v="102.05"/>
  </r>
  <r>
    <x v="96"/>
    <x v="2"/>
    <x v="3"/>
    <n v="45"/>
    <d v="1899-12-30T00:45:36"/>
    <n v="45.6"/>
  </r>
  <r>
    <x v="96"/>
    <x v="2"/>
    <x v="4"/>
    <n v="34"/>
    <d v="1899-12-30T00:57:29"/>
    <n v="57.483333333333334"/>
  </r>
  <r>
    <x v="96"/>
    <x v="2"/>
    <x v="5"/>
    <n v="42"/>
    <d v="1899-12-30T00:55:42"/>
    <n v="55.7"/>
  </r>
  <r>
    <x v="96"/>
    <x v="3"/>
    <x v="0"/>
    <n v="13"/>
    <d v="1899-12-30T00:23:38"/>
    <n v="23.633333333333333"/>
  </r>
  <r>
    <x v="96"/>
    <x v="3"/>
    <x v="1"/>
    <n v="9"/>
    <d v="1899-12-30T00:26:32"/>
    <n v="26.533333333333335"/>
  </r>
  <r>
    <x v="96"/>
    <x v="3"/>
    <x v="2"/>
    <n v="10"/>
    <d v="1899-12-30T00:18:13"/>
    <n v="18.216666666666665"/>
  </r>
  <r>
    <x v="96"/>
    <x v="3"/>
    <x v="3"/>
    <n v="3"/>
    <d v="1899-12-30T00:03:14"/>
    <n v="3.2333333333333334"/>
  </r>
  <r>
    <x v="96"/>
    <x v="3"/>
    <x v="4"/>
    <n v="3"/>
    <d v="1899-12-30T00:07:01"/>
    <n v="7.0166666666666666"/>
  </r>
  <r>
    <x v="96"/>
    <x v="3"/>
    <x v="5"/>
    <n v="13"/>
    <d v="1899-12-30T00:18:12"/>
    <n v="18.2"/>
  </r>
  <r>
    <x v="96"/>
    <x v="4"/>
    <x v="0"/>
    <n v="28"/>
    <d v="1899-12-30T00:47:37"/>
    <n v="47.616666666666667"/>
  </r>
  <r>
    <x v="96"/>
    <x v="4"/>
    <x v="1"/>
    <n v="30"/>
    <d v="1899-12-30T00:37:47"/>
    <n v="37.783333333333331"/>
  </r>
  <r>
    <x v="96"/>
    <x v="4"/>
    <x v="2"/>
    <n v="36"/>
    <d v="1899-12-30T00:46:48"/>
    <n v="46.8"/>
  </r>
  <r>
    <x v="96"/>
    <x v="4"/>
    <x v="3"/>
    <n v="9"/>
    <d v="1899-12-30T00:05:44"/>
    <n v="5.7333333333333334"/>
  </r>
  <r>
    <x v="96"/>
    <x v="4"/>
    <x v="4"/>
    <n v="5"/>
    <d v="1899-12-30T00:10:36"/>
    <n v="10.6"/>
  </r>
  <r>
    <x v="96"/>
    <x v="4"/>
    <x v="5"/>
    <n v="14"/>
    <d v="1899-12-30T00:12:40"/>
    <n v="12.666666666666666"/>
  </r>
  <r>
    <x v="96"/>
    <x v="5"/>
    <x v="0"/>
    <n v="32"/>
    <d v="1899-12-30T00:43:44"/>
    <n v="43.733333333333334"/>
  </r>
  <r>
    <x v="96"/>
    <x v="5"/>
    <x v="1"/>
    <n v="42"/>
    <d v="1899-12-30T00:56:59"/>
    <n v="56.983333333333334"/>
  </r>
  <r>
    <x v="96"/>
    <x v="5"/>
    <x v="2"/>
    <n v="30"/>
    <d v="1899-12-30T00:37:07"/>
    <n v="37.116666666666667"/>
  </r>
  <r>
    <x v="96"/>
    <x v="5"/>
    <x v="3"/>
    <n v="13"/>
    <d v="1899-12-30T00:10:06"/>
    <n v="10.1"/>
  </r>
  <r>
    <x v="96"/>
    <x v="5"/>
    <x v="4"/>
    <n v="8"/>
    <d v="1899-12-30T00:09:23"/>
    <n v="9.3833333333333329"/>
  </r>
  <r>
    <x v="96"/>
    <x v="5"/>
    <x v="5"/>
    <n v="54"/>
    <d v="1899-12-30T01:00:41"/>
    <n v="60.68333333333333"/>
  </r>
  <r>
    <x v="96"/>
    <x v="6"/>
    <x v="0"/>
    <n v="10"/>
    <d v="1899-12-30T00:16:32"/>
    <n v="16.533333333333335"/>
  </r>
  <r>
    <x v="96"/>
    <x v="6"/>
    <x v="1"/>
    <n v="10"/>
    <d v="1899-12-30T00:10:30"/>
    <n v="10.5"/>
  </r>
  <r>
    <x v="96"/>
    <x v="6"/>
    <x v="2"/>
    <n v="4"/>
    <d v="1899-12-30T00:06:18"/>
    <n v="6.3"/>
  </r>
  <r>
    <x v="96"/>
    <x v="6"/>
    <x v="3"/>
    <n v="7"/>
    <d v="1899-12-30T00:07:52"/>
    <n v="7.8666666666666671"/>
  </r>
  <r>
    <x v="96"/>
    <x v="6"/>
    <x v="4"/>
    <n v="15"/>
    <d v="1899-12-30T00:25:48"/>
    <n v="25.8"/>
  </r>
  <r>
    <x v="96"/>
    <x v="6"/>
    <x v="5"/>
    <n v="5"/>
    <d v="1899-12-30T00:08:59"/>
    <n v="8.9833333333333325"/>
  </r>
  <r>
    <x v="96"/>
    <x v="7"/>
    <x v="0"/>
    <n v="143"/>
    <d v="1899-12-30T03:57:13"/>
    <n v="237.21666666666667"/>
  </r>
  <r>
    <x v="96"/>
    <x v="7"/>
    <x v="1"/>
    <n v="174"/>
    <d v="1899-12-30T03:54:23"/>
    <n v="234.38333333333333"/>
  </r>
  <r>
    <x v="96"/>
    <x v="7"/>
    <x v="2"/>
    <n v="96"/>
    <d v="1899-12-30T02:23:55"/>
    <n v="143.91666666666666"/>
  </r>
  <r>
    <x v="96"/>
    <x v="7"/>
    <x v="3"/>
    <n v="75"/>
    <d v="1899-12-30T01:18:51"/>
    <n v="78.849999999999994"/>
  </r>
  <r>
    <x v="96"/>
    <x v="7"/>
    <x v="4"/>
    <n v="139"/>
    <d v="1899-12-30T04:02:04"/>
    <n v="242.06666666666666"/>
  </r>
  <r>
    <x v="96"/>
    <x v="7"/>
    <x v="5"/>
    <n v="82"/>
    <d v="1899-12-30T01:33:25"/>
    <n v="93.416666666666671"/>
  </r>
  <r>
    <x v="96"/>
    <x v="8"/>
    <x v="0"/>
    <n v="28"/>
    <d v="1899-12-30T00:43:10"/>
    <n v="43.166666666666664"/>
  </r>
  <r>
    <x v="96"/>
    <x v="8"/>
    <x v="1"/>
    <n v="44"/>
    <d v="1899-12-30T01:07:33"/>
    <n v="67.55"/>
  </r>
  <r>
    <x v="96"/>
    <x v="8"/>
    <x v="2"/>
    <n v="33"/>
    <d v="1899-12-30T00:52:35"/>
    <n v="52.583333333333336"/>
  </r>
  <r>
    <x v="96"/>
    <x v="8"/>
    <x v="3"/>
    <n v="28"/>
    <d v="1899-12-30T00:27:20"/>
    <n v="27.333333333333332"/>
  </r>
  <r>
    <x v="96"/>
    <x v="8"/>
    <x v="4"/>
    <n v="14"/>
    <d v="1899-12-30T00:22:17"/>
    <n v="22.283333333333335"/>
  </r>
  <r>
    <x v="96"/>
    <x v="8"/>
    <x v="5"/>
    <n v="46"/>
    <d v="1899-12-30T01:01:57"/>
    <n v="61.95"/>
  </r>
  <r>
    <x v="96"/>
    <x v="9"/>
    <x v="0"/>
    <n v="35"/>
    <d v="1899-12-30T00:57:09"/>
    <n v="57.15"/>
  </r>
  <r>
    <x v="96"/>
    <x v="9"/>
    <x v="1"/>
    <n v="33"/>
    <d v="1899-12-30T00:55:21"/>
    <n v="55.35"/>
  </r>
  <r>
    <x v="96"/>
    <x v="9"/>
    <x v="2"/>
    <n v="23"/>
    <d v="1899-12-30T00:31:57"/>
    <n v="31.95"/>
  </r>
  <r>
    <x v="96"/>
    <x v="9"/>
    <x v="3"/>
    <n v="10"/>
    <d v="1899-12-30T00:12:46"/>
    <n v="12.766666666666667"/>
  </r>
  <r>
    <x v="96"/>
    <x v="9"/>
    <x v="4"/>
    <n v="5"/>
    <d v="1899-12-30T00:08:19"/>
    <n v="8.3166666666666664"/>
  </r>
  <r>
    <x v="96"/>
    <x v="9"/>
    <x v="5"/>
    <n v="19"/>
    <d v="1899-12-30T00:23:31"/>
    <n v="23.516666666666666"/>
  </r>
  <r>
    <x v="96"/>
    <x v="10"/>
    <x v="0"/>
    <n v="17"/>
    <d v="1899-12-30T00:31:30"/>
    <n v="31.5"/>
  </r>
  <r>
    <x v="96"/>
    <x v="10"/>
    <x v="1"/>
    <n v="29"/>
    <d v="1899-12-30T01:09:53"/>
    <n v="69.88333333333334"/>
  </r>
  <r>
    <x v="96"/>
    <x v="10"/>
    <x v="2"/>
    <n v="20"/>
    <d v="1899-12-30T00:32:27"/>
    <n v="32.450000000000003"/>
  </r>
  <r>
    <x v="96"/>
    <x v="10"/>
    <x v="3"/>
    <n v="13"/>
    <d v="1899-12-30T00:11:50"/>
    <n v="11.833333333333334"/>
  </r>
  <r>
    <x v="96"/>
    <x v="10"/>
    <x v="4"/>
    <n v="5"/>
    <d v="1899-12-30T00:10:59"/>
    <n v="10.983333333333333"/>
  </r>
  <r>
    <x v="96"/>
    <x v="10"/>
    <x v="5"/>
    <n v="20"/>
    <d v="1899-12-30T00:31:33"/>
    <n v="31.55"/>
  </r>
  <r>
    <x v="96"/>
    <x v="11"/>
    <x v="0"/>
    <n v="9"/>
    <d v="1899-12-30T00:15:02"/>
    <n v="15.033333333333333"/>
  </r>
  <r>
    <x v="96"/>
    <x v="11"/>
    <x v="1"/>
    <n v="11"/>
    <d v="1899-12-30T00:18:36"/>
    <n v="18.600000000000001"/>
  </r>
  <r>
    <x v="96"/>
    <x v="11"/>
    <x v="2"/>
    <n v="8"/>
    <d v="1899-12-30T00:16:40"/>
    <n v="16.666666666666668"/>
  </r>
  <r>
    <x v="96"/>
    <x v="11"/>
    <x v="3"/>
    <n v="7"/>
    <d v="1899-12-30T00:05:06"/>
    <n v="5.0999999999999996"/>
  </r>
  <r>
    <x v="96"/>
    <x v="11"/>
    <x v="4"/>
    <n v="3"/>
    <d v="1899-12-30T00:07:21"/>
    <n v="7.35"/>
  </r>
  <r>
    <x v="96"/>
    <x v="11"/>
    <x v="5"/>
    <n v="8"/>
    <d v="1899-12-30T00:08:38"/>
    <n v="8.6333333333333329"/>
  </r>
  <r>
    <x v="96"/>
    <x v="12"/>
    <x v="0"/>
    <n v="154"/>
    <d v="1899-12-30T04:19:22"/>
    <n v="259.36666666666667"/>
  </r>
  <r>
    <x v="96"/>
    <x v="12"/>
    <x v="1"/>
    <n v="166"/>
    <d v="1899-12-30T05:19:40"/>
    <n v="319.66666666666669"/>
  </r>
  <r>
    <x v="96"/>
    <x v="12"/>
    <x v="2"/>
    <n v="107"/>
    <d v="1899-12-30T03:01:36"/>
    <n v="181.6"/>
  </r>
  <r>
    <x v="96"/>
    <x v="12"/>
    <x v="3"/>
    <n v="81"/>
    <d v="1899-12-30T01:18:18"/>
    <n v="78.3"/>
  </r>
  <r>
    <x v="96"/>
    <x v="12"/>
    <x v="4"/>
    <n v="56"/>
    <d v="1899-12-30T01:37:29"/>
    <n v="97.483333333333334"/>
  </r>
  <r>
    <x v="96"/>
    <x v="12"/>
    <x v="5"/>
    <n v="110"/>
    <d v="1899-12-30T02:15:14"/>
    <n v="135.23333333333332"/>
  </r>
  <r>
    <x v="96"/>
    <x v="13"/>
    <x v="0"/>
    <n v="56"/>
    <d v="1899-12-30T01:24:18"/>
    <n v="84.3"/>
  </r>
  <r>
    <x v="96"/>
    <x v="13"/>
    <x v="1"/>
    <n v="40"/>
    <d v="1899-12-30T00:46:57"/>
    <n v="46.95"/>
  </r>
  <r>
    <x v="96"/>
    <x v="13"/>
    <x v="2"/>
    <n v="27"/>
    <d v="1899-12-30T00:38:49"/>
    <n v="38.81666666666667"/>
  </r>
  <r>
    <x v="96"/>
    <x v="13"/>
    <x v="3"/>
    <n v="18"/>
    <d v="1899-12-30T00:16:13"/>
    <n v="16.216666666666665"/>
  </r>
  <r>
    <x v="96"/>
    <x v="13"/>
    <x v="4"/>
    <n v="3"/>
    <d v="1899-12-30T00:03:36"/>
    <n v="3.6"/>
  </r>
  <r>
    <x v="96"/>
    <x v="13"/>
    <x v="5"/>
    <n v="31"/>
    <d v="1899-12-30T00:37:48"/>
    <n v="37.799999999999997"/>
  </r>
  <r>
    <x v="97"/>
    <x v="0"/>
    <x v="0"/>
    <n v="30"/>
    <d v="1899-12-30T00:34:21"/>
    <n v="34.35"/>
  </r>
  <r>
    <x v="97"/>
    <x v="0"/>
    <x v="1"/>
    <n v="31"/>
    <d v="1899-12-30T00:28:49"/>
    <n v="28.816666666666666"/>
  </r>
  <r>
    <x v="97"/>
    <x v="0"/>
    <x v="2"/>
    <n v="22"/>
    <d v="1899-12-30T00:25:02"/>
    <n v="25.033333333333335"/>
  </r>
  <r>
    <x v="97"/>
    <x v="0"/>
    <x v="3"/>
    <n v="9"/>
    <d v="1899-12-30T00:04:57"/>
    <n v="4.95"/>
  </r>
  <r>
    <x v="97"/>
    <x v="0"/>
    <x v="4"/>
    <n v="0"/>
    <d v="1899-12-30T00:00:00"/>
    <n v="0"/>
  </r>
  <r>
    <x v="97"/>
    <x v="0"/>
    <x v="5"/>
    <n v="16"/>
    <d v="1899-12-30T00:14:38"/>
    <n v="14.633333333333333"/>
  </r>
  <r>
    <x v="97"/>
    <x v="1"/>
    <x v="0"/>
    <n v="40"/>
    <d v="1899-12-30T01:17:16"/>
    <n v="77.266666666666666"/>
  </r>
  <r>
    <x v="97"/>
    <x v="1"/>
    <x v="1"/>
    <n v="46"/>
    <d v="1899-12-30T01:31:26"/>
    <n v="91.433333333333337"/>
  </r>
  <r>
    <x v="97"/>
    <x v="1"/>
    <x v="2"/>
    <n v="26"/>
    <d v="1899-12-30T00:47:27"/>
    <n v="47.45"/>
  </r>
  <r>
    <x v="97"/>
    <x v="1"/>
    <x v="3"/>
    <n v="15"/>
    <d v="1899-12-30T00:13:08"/>
    <n v="13.133333333333333"/>
  </r>
  <r>
    <x v="97"/>
    <x v="1"/>
    <x v="4"/>
    <n v="34"/>
    <d v="1899-12-30T01:27:16"/>
    <n v="87.266666666666666"/>
  </r>
  <r>
    <x v="97"/>
    <x v="1"/>
    <x v="5"/>
    <n v="41"/>
    <d v="1899-12-30T01:05:04"/>
    <n v="65.066666666666663"/>
  </r>
  <r>
    <x v="97"/>
    <x v="2"/>
    <x v="0"/>
    <n v="64"/>
    <d v="1899-12-30T02:07:23"/>
    <n v="127.38333333333334"/>
  </r>
  <r>
    <x v="97"/>
    <x v="2"/>
    <x v="1"/>
    <n v="70"/>
    <d v="1899-12-30T02:24:25"/>
    <n v="144.41666666666666"/>
  </r>
  <r>
    <x v="97"/>
    <x v="2"/>
    <x v="2"/>
    <n v="49"/>
    <d v="1899-12-30T01:25:58"/>
    <n v="85.966666666666669"/>
  </r>
  <r>
    <x v="97"/>
    <x v="2"/>
    <x v="3"/>
    <n v="38"/>
    <d v="1899-12-30T00:41:35"/>
    <n v="41.583333333333336"/>
  </r>
  <r>
    <x v="97"/>
    <x v="2"/>
    <x v="4"/>
    <n v="26"/>
    <d v="1899-12-30T00:42:16"/>
    <n v="42.266666666666666"/>
  </r>
  <r>
    <x v="97"/>
    <x v="2"/>
    <x v="5"/>
    <n v="46"/>
    <d v="1899-12-30T01:09:34"/>
    <n v="69.566666666666663"/>
  </r>
  <r>
    <x v="97"/>
    <x v="3"/>
    <x v="0"/>
    <n v="16"/>
    <d v="1899-12-30T00:36:03"/>
    <n v="36.049999999999997"/>
  </r>
  <r>
    <x v="97"/>
    <x v="3"/>
    <x v="1"/>
    <n v="12"/>
    <d v="1899-12-30T00:26:41"/>
    <n v="26.683333333333334"/>
  </r>
  <r>
    <x v="97"/>
    <x v="3"/>
    <x v="2"/>
    <n v="13"/>
    <d v="1899-12-30T00:24:50"/>
    <n v="24.833333333333332"/>
  </r>
  <r>
    <x v="97"/>
    <x v="3"/>
    <x v="3"/>
    <n v="3"/>
    <d v="1899-12-30T00:01:27"/>
    <n v="1.45"/>
  </r>
  <r>
    <x v="97"/>
    <x v="3"/>
    <x v="4"/>
    <n v="3"/>
    <d v="1899-12-30T00:05:36"/>
    <n v="5.6"/>
  </r>
  <r>
    <x v="97"/>
    <x v="3"/>
    <x v="5"/>
    <n v="21"/>
    <d v="1899-12-30T00:25:13"/>
    <n v="25.216666666666665"/>
  </r>
  <r>
    <x v="97"/>
    <x v="4"/>
    <x v="0"/>
    <n v="27"/>
    <d v="1899-12-30T00:43:44"/>
    <n v="43.733333333333334"/>
  </r>
  <r>
    <x v="97"/>
    <x v="4"/>
    <x v="1"/>
    <n v="22"/>
    <d v="1899-12-30T00:36:00"/>
    <n v="36"/>
  </r>
  <r>
    <x v="97"/>
    <x v="4"/>
    <x v="2"/>
    <n v="12"/>
    <d v="1899-12-30T00:18:01"/>
    <n v="18.016666666666666"/>
  </r>
  <r>
    <x v="97"/>
    <x v="4"/>
    <x v="3"/>
    <n v="9"/>
    <d v="1899-12-30T00:09:35"/>
    <n v="9.5833333333333339"/>
  </r>
  <r>
    <x v="97"/>
    <x v="4"/>
    <x v="4"/>
    <n v="4"/>
    <d v="1899-12-30T00:07:32"/>
    <n v="7.5333333333333332"/>
  </r>
  <r>
    <x v="97"/>
    <x v="4"/>
    <x v="5"/>
    <n v="5"/>
    <d v="1899-12-30T00:05:25"/>
    <n v="5.416666666666667"/>
  </r>
  <r>
    <x v="97"/>
    <x v="5"/>
    <x v="0"/>
    <n v="32"/>
    <d v="1899-12-30T00:36:50"/>
    <n v="36.833333333333336"/>
  </r>
  <r>
    <x v="97"/>
    <x v="5"/>
    <x v="1"/>
    <n v="33"/>
    <d v="1899-12-30T00:44:22"/>
    <n v="44.366666666666667"/>
  </r>
  <r>
    <x v="97"/>
    <x v="5"/>
    <x v="2"/>
    <n v="25"/>
    <d v="1899-12-30T00:29:31"/>
    <n v="29.516666666666666"/>
  </r>
  <r>
    <x v="97"/>
    <x v="5"/>
    <x v="3"/>
    <n v="21"/>
    <d v="1899-12-30T00:18:36"/>
    <n v="18.600000000000001"/>
  </r>
  <r>
    <x v="97"/>
    <x v="5"/>
    <x v="4"/>
    <n v="3"/>
    <d v="1899-12-30T00:02:56"/>
    <n v="2.9333333333333336"/>
  </r>
  <r>
    <x v="97"/>
    <x v="5"/>
    <x v="5"/>
    <n v="52"/>
    <d v="1899-12-30T00:59:43"/>
    <n v="59.716666666666669"/>
  </r>
  <r>
    <x v="97"/>
    <x v="6"/>
    <x v="0"/>
    <n v="9"/>
    <d v="1899-12-30T00:10:09"/>
    <n v="10.15"/>
  </r>
  <r>
    <x v="97"/>
    <x v="6"/>
    <x v="1"/>
    <n v="9"/>
    <d v="1899-12-30T00:15:56"/>
    <n v="15.933333333333334"/>
  </r>
  <r>
    <x v="97"/>
    <x v="6"/>
    <x v="2"/>
    <n v="3"/>
    <d v="1899-12-30T00:04:46"/>
    <n v="4.7666666666666666"/>
  </r>
  <r>
    <x v="97"/>
    <x v="6"/>
    <x v="3"/>
    <n v="4"/>
    <d v="1899-12-30T00:04:16"/>
    <n v="4.2666666666666666"/>
  </r>
  <r>
    <x v="97"/>
    <x v="6"/>
    <x v="4"/>
    <n v="6"/>
    <d v="1899-12-30T00:05:44"/>
    <n v="5.7333333333333334"/>
  </r>
  <r>
    <x v="97"/>
    <x v="6"/>
    <x v="5"/>
    <n v="2"/>
    <d v="1899-12-30T00:01:43"/>
    <n v="1.7166666666666668"/>
  </r>
  <r>
    <x v="97"/>
    <x v="7"/>
    <x v="0"/>
    <n v="96"/>
    <d v="1899-12-30T02:29:52"/>
    <n v="149.86666666666667"/>
  </r>
  <r>
    <x v="97"/>
    <x v="7"/>
    <x v="1"/>
    <n v="111"/>
    <d v="1899-12-30T02:26:37"/>
    <n v="146.61666666666667"/>
  </r>
  <r>
    <x v="97"/>
    <x v="7"/>
    <x v="2"/>
    <n v="57"/>
    <d v="1899-12-30T01:20:15"/>
    <n v="80.25"/>
  </r>
  <r>
    <x v="97"/>
    <x v="7"/>
    <x v="3"/>
    <n v="66"/>
    <d v="1899-12-30T01:06:09"/>
    <n v="66.150000000000006"/>
  </r>
  <r>
    <x v="97"/>
    <x v="7"/>
    <x v="4"/>
    <n v="119"/>
    <d v="1899-12-30T03:16:46"/>
    <n v="196.76666666666668"/>
  </r>
  <r>
    <x v="97"/>
    <x v="7"/>
    <x v="5"/>
    <n v="63"/>
    <d v="1899-12-30T01:12:35"/>
    <n v="72.583333333333329"/>
  </r>
  <r>
    <x v="97"/>
    <x v="8"/>
    <x v="0"/>
    <n v="16"/>
    <d v="1899-12-30T00:25:47"/>
    <n v="25.783333333333335"/>
  </r>
  <r>
    <x v="97"/>
    <x v="8"/>
    <x v="1"/>
    <n v="11"/>
    <d v="1899-12-30T00:19:23"/>
    <n v="19.383333333333333"/>
  </r>
  <r>
    <x v="97"/>
    <x v="8"/>
    <x v="2"/>
    <n v="17"/>
    <d v="1899-12-30T00:26:31"/>
    <n v="26.516666666666666"/>
  </r>
  <r>
    <x v="97"/>
    <x v="8"/>
    <x v="3"/>
    <n v="19"/>
    <d v="1899-12-30T00:18:32"/>
    <n v="18.533333333333335"/>
  </r>
  <r>
    <x v="97"/>
    <x v="8"/>
    <x v="4"/>
    <n v="8"/>
    <d v="1899-12-30T00:14:21"/>
    <n v="14.35"/>
  </r>
  <r>
    <x v="97"/>
    <x v="8"/>
    <x v="5"/>
    <n v="24"/>
    <d v="1899-12-30T00:29:03"/>
    <n v="29.05"/>
  </r>
  <r>
    <x v="97"/>
    <x v="9"/>
    <x v="0"/>
    <n v="16"/>
    <d v="1899-12-30T00:31:17"/>
    <n v="31.283333333333335"/>
  </r>
  <r>
    <x v="97"/>
    <x v="9"/>
    <x v="1"/>
    <n v="29"/>
    <d v="1899-12-30T00:40:52"/>
    <n v="40.866666666666667"/>
  </r>
  <r>
    <x v="97"/>
    <x v="9"/>
    <x v="2"/>
    <n v="13"/>
    <d v="1899-12-30T00:16:32"/>
    <n v="16.533333333333335"/>
  </r>
  <r>
    <x v="97"/>
    <x v="9"/>
    <x v="3"/>
    <n v="8"/>
    <d v="1899-12-30T00:07:27"/>
    <n v="7.45"/>
  </r>
  <r>
    <x v="97"/>
    <x v="9"/>
    <x v="4"/>
    <n v="1"/>
    <d v="1899-12-30T00:00:20"/>
    <n v="0.33333333333333331"/>
  </r>
  <r>
    <x v="97"/>
    <x v="9"/>
    <x v="5"/>
    <n v="15"/>
    <d v="1899-12-30T00:15:35"/>
    <n v="15.583333333333334"/>
  </r>
  <r>
    <x v="97"/>
    <x v="10"/>
    <x v="0"/>
    <n v="18"/>
    <d v="1899-12-30T00:36:09"/>
    <n v="36.15"/>
  </r>
  <r>
    <x v="97"/>
    <x v="10"/>
    <x v="1"/>
    <n v="21"/>
    <d v="1899-12-30T01:04:18"/>
    <n v="64.3"/>
  </r>
  <r>
    <x v="97"/>
    <x v="10"/>
    <x v="2"/>
    <n v="16"/>
    <d v="1899-12-30T00:31:59"/>
    <n v="31.983333333333334"/>
  </r>
  <r>
    <x v="97"/>
    <x v="10"/>
    <x v="3"/>
    <n v="5"/>
    <d v="1899-12-30T00:04:40"/>
    <n v="4.666666666666667"/>
  </r>
  <r>
    <x v="97"/>
    <x v="10"/>
    <x v="4"/>
    <n v="3"/>
    <d v="1899-12-30T00:06:55"/>
    <n v="6.916666666666667"/>
  </r>
  <r>
    <x v="97"/>
    <x v="10"/>
    <x v="5"/>
    <n v="14"/>
    <d v="1899-12-30T00:19:42"/>
    <n v="19.7"/>
  </r>
  <r>
    <x v="97"/>
    <x v="11"/>
    <x v="0"/>
    <n v="14"/>
    <d v="1899-12-30T00:26:08"/>
    <n v="26.133333333333333"/>
  </r>
  <r>
    <x v="97"/>
    <x v="11"/>
    <x v="1"/>
    <n v="11"/>
    <d v="1899-12-30T00:20:21"/>
    <n v="20.350000000000001"/>
  </r>
  <r>
    <x v="97"/>
    <x v="11"/>
    <x v="2"/>
    <n v="3"/>
    <d v="1899-12-30T00:04:55"/>
    <n v="4.916666666666667"/>
  </r>
  <r>
    <x v="97"/>
    <x v="11"/>
    <x v="3"/>
    <n v="11"/>
    <d v="1899-12-30T00:07:22"/>
    <n v="7.3666666666666663"/>
  </r>
  <r>
    <x v="97"/>
    <x v="11"/>
    <x v="4"/>
    <n v="2"/>
    <d v="1899-12-30T00:03:59"/>
    <n v="3.9833333333333334"/>
  </r>
  <r>
    <x v="97"/>
    <x v="11"/>
    <x v="5"/>
    <n v="11"/>
    <d v="1899-12-30T00:17:00"/>
    <n v="17"/>
  </r>
  <r>
    <x v="97"/>
    <x v="12"/>
    <x v="0"/>
    <n v="139"/>
    <d v="1899-12-30T03:57:39"/>
    <n v="237.65"/>
  </r>
  <r>
    <x v="97"/>
    <x v="12"/>
    <x v="1"/>
    <n v="193"/>
    <d v="1899-12-30T05:57:19"/>
    <n v="357.31666666666666"/>
  </r>
  <r>
    <x v="97"/>
    <x v="12"/>
    <x v="2"/>
    <n v="118"/>
    <d v="1899-12-30T03:04:49"/>
    <n v="184.81666666666666"/>
  </r>
  <r>
    <x v="97"/>
    <x v="12"/>
    <x v="3"/>
    <n v="77"/>
    <d v="1899-12-30T01:20:56"/>
    <n v="80.933333333333337"/>
  </r>
  <r>
    <x v="97"/>
    <x v="12"/>
    <x v="4"/>
    <n v="50"/>
    <d v="1899-12-30T01:23:03"/>
    <n v="83.05"/>
  </r>
  <r>
    <x v="97"/>
    <x v="12"/>
    <x v="5"/>
    <n v="128"/>
    <d v="1899-12-30T03:01:31"/>
    <n v="181.51666666666668"/>
  </r>
  <r>
    <x v="97"/>
    <x v="13"/>
    <x v="0"/>
    <n v="43"/>
    <d v="1899-12-30T01:05:22"/>
    <n v="65.36666666666666"/>
  </r>
  <r>
    <x v="97"/>
    <x v="13"/>
    <x v="1"/>
    <n v="34"/>
    <d v="1899-12-30T00:27:14"/>
    <n v="27.233333333333334"/>
  </r>
  <r>
    <x v="97"/>
    <x v="13"/>
    <x v="2"/>
    <n v="25"/>
    <d v="1899-12-30T00:28:00"/>
    <n v="28"/>
  </r>
  <r>
    <x v="97"/>
    <x v="13"/>
    <x v="3"/>
    <n v="17"/>
    <d v="1899-12-30T00:13:44"/>
    <n v="13.733333333333333"/>
  </r>
  <r>
    <x v="97"/>
    <x v="13"/>
    <x v="4"/>
    <n v="1"/>
    <d v="1899-12-30T00:02:59"/>
    <n v="2.9833333333333334"/>
  </r>
  <r>
    <x v="97"/>
    <x v="13"/>
    <x v="5"/>
    <n v="23"/>
    <d v="1899-12-30T00:22:46"/>
    <n v="22.766666666666666"/>
  </r>
  <r>
    <x v="98"/>
    <x v="0"/>
    <x v="0"/>
    <n v="42"/>
    <d v="1899-12-30T01:02:29"/>
    <n v="62.483333333333334"/>
  </r>
  <r>
    <x v="98"/>
    <x v="0"/>
    <x v="1"/>
    <n v="60"/>
    <d v="1899-12-30T01:22:02"/>
    <n v="82.033333333333331"/>
  </r>
  <r>
    <x v="98"/>
    <x v="0"/>
    <x v="2"/>
    <n v="40"/>
    <d v="1899-12-30T00:52:35"/>
    <n v="52.583333333333336"/>
  </r>
  <r>
    <x v="98"/>
    <x v="0"/>
    <x v="3"/>
    <n v="9"/>
    <d v="1899-12-30T00:11:36"/>
    <n v="11.6"/>
  </r>
  <r>
    <x v="98"/>
    <x v="0"/>
    <x v="4"/>
    <n v="0"/>
    <d v="1899-12-30T00:00:00"/>
    <n v="0"/>
  </r>
  <r>
    <x v="98"/>
    <x v="0"/>
    <x v="5"/>
    <n v="37"/>
    <d v="1899-12-30T00:49:48"/>
    <n v="49.8"/>
  </r>
  <r>
    <x v="98"/>
    <x v="1"/>
    <x v="0"/>
    <n v="35"/>
    <d v="1899-12-30T01:08:41"/>
    <n v="68.683333333333337"/>
  </r>
  <r>
    <x v="98"/>
    <x v="1"/>
    <x v="1"/>
    <n v="24"/>
    <d v="1899-12-30T01:03:46"/>
    <n v="63.766666666666666"/>
  </r>
  <r>
    <x v="98"/>
    <x v="1"/>
    <x v="2"/>
    <n v="23"/>
    <d v="1899-12-30T00:49:33"/>
    <n v="49.55"/>
  </r>
  <r>
    <x v="98"/>
    <x v="1"/>
    <x v="3"/>
    <n v="14"/>
    <d v="1899-12-30T00:14:04"/>
    <n v="14.066666666666666"/>
  </r>
  <r>
    <x v="98"/>
    <x v="1"/>
    <x v="4"/>
    <n v="21"/>
    <d v="1899-12-30T01:02:19"/>
    <n v="62.31666666666667"/>
  </r>
  <r>
    <x v="98"/>
    <x v="1"/>
    <x v="5"/>
    <n v="51"/>
    <d v="1899-12-30T01:15:25"/>
    <n v="75.416666666666671"/>
  </r>
  <r>
    <x v="98"/>
    <x v="2"/>
    <x v="0"/>
    <n v="51"/>
    <d v="1899-12-30T01:28:48"/>
    <n v="88.8"/>
  </r>
  <r>
    <x v="98"/>
    <x v="2"/>
    <x v="1"/>
    <n v="81"/>
    <d v="1899-12-30T02:15:05"/>
    <n v="135.08333333333334"/>
  </r>
  <r>
    <x v="98"/>
    <x v="2"/>
    <x v="2"/>
    <n v="43"/>
    <d v="1899-12-30T01:09:24"/>
    <n v="69.400000000000006"/>
  </r>
  <r>
    <x v="98"/>
    <x v="2"/>
    <x v="3"/>
    <n v="35"/>
    <d v="1899-12-30T00:34:38"/>
    <n v="34.633333333333333"/>
  </r>
  <r>
    <x v="98"/>
    <x v="2"/>
    <x v="4"/>
    <n v="34"/>
    <d v="1899-12-30T01:01:24"/>
    <n v="61.4"/>
  </r>
  <r>
    <x v="98"/>
    <x v="2"/>
    <x v="5"/>
    <n v="33"/>
    <d v="1899-12-30T00:46:01"/>
    <n v="46.016666666666666"/>
  </r>
  <r>
    <x v="98"/>
    <x v="3"/>
    <x v="0"/>
    <n v="9"/>
    <d v="1899-12-30T00:18:30"/>
    <n v="18.5"/>
  </r>
  <r>
    <x v="98"/>
    <x v="3"/>
    <x v="1"/>
    <n v="9"/>
    <d v="1899-12-30T00:23:23"/>
    <n v="23.383333333333333"/>
  </r>
  <r>
    <x v="98"/>
    <x v="3"/>
    <x v="2"/>
    <n v="9"/>
    <d v="1899-12-30T00:17:01"/>
    <n v="17.016666666666666"/>
  </r>
  <r>
    <x v="98"/>
    <x v="3"/>
    <x v="3"/>
    <n v="3"/>
    <d v="1899-12-30T00:01:55"/>
    <n v="1.9166666666666665"/>
  </r>
  <r>
    <x v="98"/>
    <x v="3"/>
    <x v="4"/>
    <n v="0"/>
    <d v="1899-12-30T00:00:00"/>
    <n v="0"/>
  </r>
  <r>
    <x v="98"/>
    <x v="3"/>
    <x v="5"/>
    <n v="8"/>
    <d v="1899-12-30T00:09:20"/>
    <n v="9.3333333333333339"/>
  </r>
  <r>
    <x v="98"/>
    <x v="4"/>
    <x v="0"/>
    <n v="25"/>
    <d v="1899-12-30T00:45:54"/>
    <n v="45.9"/>
  </r>
  <r>
    <x v="98"/>
    <x v="4"/>
    <x v="1"/>
    <n v="27"/>
    <d v="1899-12-30T00:38:44"/>
    <n v="38.733333333333334"/>
  </r>
  <r>
    <x v="98"/>
    <x v="4"/>
    <x v="2"/>
    <n v="13"/>
    <d v="1899-12-30T00:19:35"/>
    <n v="19.583333333333332"/>
  </r>
  <r>
    <x v="98"/>
    <x v="4"/>
    <x v="3"/>
    <n v="10"/>
    <d v="1899-12-30T00:10:39"/>
    <n v="10.65"/>
  </r>
  <r>
    <x v="98"/>
    <x v="4"/>
    <x v="4"/>
    <n v="10"/>
    <d v="1899-12-30T00:18:51"/>
    <n v="18.850000000000001"/>
  </r>
  <r>
    <x v="98"/>
    <x v="4"/>
    <x v="5"/>
    <n v="15"/>
    <d v="1899-12-30T00:19:56"/>
    <n v="19.933333333333334"/>
  </r>
  <r>
    <x v="98"/>
    <x v="5"/>
    <x v="0"/>
    <n v="22"/>
    <d v="1899-12-30T00:27:11"/>
    <n v="27.183333333333334"/>
  </r>
  <r>
    <x v="98"/>
    <x v="5"/>
    <x v="1"/>
    <n v="31"/>
    <d v="1899-12-30T00:40:00"/>
    <n v="40"/>
  </r>
  <r>
    <x v="98"/>
    <x v="5"/>
    <x v="2"/>
    <n v="14"/>
    <d v="1899-12-30T00:19:46"/>
    <n v="19.766666666666666"/>
  </r>
  <r>
    <x v="98"/>
    <x v="5"/>
    <x v="3"/>
    <n v="10"/>
    <d v="1899-12-30T00:08:21"/>
    <n v="8.35"/>
  </r>
  <r>
    <x v="98"/>
    <x v="5"/>
    <x v="4"/>
    <n v="5"/>
    <d v="1899-12-30T00:07:52"/>
    <n v="7.8666666666666671"/>
  </r>
  <r>
    <x v="98"/>
    <x v="5"/>
    <x v="5"/>
    <n v="17"/>
    <d v="1899-12-30T00:24:44"/>
    <n v="24.733333333333334"/>
  </r>
  <r>
    <x v="98"/>
    <x v="6"/>
    <x v="0"/>
    <n v="13"/>
    <d v="1899-12-30T00:18:03"/>
    <n v="18.05"/>
  </r>
  <r>
    <x v="98"/>
    <x v="6"/>
    <x v="1"/>
    <n v="21"/>
    <d v="1899-12-30T00:28:07"/>
    <n v="28.116666666666667"/>
  </r>
  <r>
    <x v="98"/>
    <x v="6"/>
    <x v="2"/>
    <n v="12"/>
    <d v="1899-12-30T00:18:45"/>
    <n v="18.75"/>
  </r>
  <r>
    <x v="98"/>
    <x v="6"/>
    <x v="3"/>
    <n v="10"/>
    <d v="1899-12-30T00:09:52"/>
    <n v="9.8666666666666671"/>
  </r>
  <r>
    <x v="98"/>
    <x v="6"/>
    <x v="4"/>
    <n v="10"/>
    <d v="1899-12-30T00:14:20"/>
    <n v="14.333333333333334"/>
  </r>
  <r>
    <x v="98"/>
    <x v="6"/>
    <x v="5"/>
    <n v="9"/>
    <d v="1899-12-30T00:14:26"/>
    <n v="14.433333333333334"/>
  </r>
  <r>
    <x v="98"/>
    <x v="7"/>
    <x v="0"/>
    <n v="45"/>
    <d v="1899-12-30T01:08:58"/>
    <n v="68.966666666666669"/>
  </r>
  <r>
    <x v="98"/>
    <x v="7"/>
    <x v="1"/>
    <n v="75"/>
    <d v="1899-12-30T01:29:46"/>
    <n v="89.766666666666666"/>
  </r>
  <r>
    <x v="98"/>
    <x v="7"/>
    <x v="2"/>
    <n v="30"/>
    <d v="1899-12-30T00:34:19"/>
    <n v="34.31666666666667"/>
  </r>
  <r>
    <x v="98"/>
    <x v="7"/>
    <x v="3"/>
    <n v="77"/>
    <d v="1899-12-30T01:03:33"/>
    <n v="63.55"/>
  </r>
  <r>
    <x v="98"/>
    <x v="7"/>
    <x v="4"/>
    <n v="105"/>
    <d v="1899-12-30T02:46:54"/>
    <n v="166.9"/>
  </r>
  <r>
    <x v="98"/>
    <x v="7"/>
    <x v="5"/>
    <n v="31"/>
    <d v="1899-12-30T00:35:05"/>
    <n v="35.083333333333336"/>
  </r>
  <r>
    <x v="98"/>
    <x v="8"/>
    <x v="0"/>
    <n v="32"/>
    <d v="1899-12-30T01:02:40"/>
    <n v="62.666666666666664"/>
  </r>
  <r>
    <x v="98"/>
    <x v="8"/>
    <x v="1"/>
    <n v="38"/>
    <d v="1899-12-30T01:04:11"/>
    <n v="64.183333333333337"/>
  </r>
  <r>
    <x v="98"/>
    <x v="8"/>
    <x v="2"/>
    <n v="35"/>
    <d v="1899-12-30T00:56:48"/>
    <n v="56.8"/>
  </r>
  <r>
    <x v="98"/>
    <x v="8"/>
    <x v="3"/>
    <n v="19"/>
    <d v="1899-12-30T00:20:33"/>
    <n v="20.55"/>
  </r>
  <r>
    <x v="98"/>
    <x v="8"/>
    <x v="4"/>
    <n v="13"/>
    <d v="1899-12-30T00:23:56"/>
    <n v="23.933333333333334"/>
  </r>
  <r>
    <x v="98"/>
    <x v="8"/>
    <x v="5"/>
    <n v="44"/>
    <d v="1899-12-30T00:56:58"/>
    <n v="56.966666666666669"/>
  </r>
  <r>
    <x v="98"/>
    <x v="9"/>
    <x v="0"/>
    <n v="42"/>
    <d v="1899-12-30T01:16:13"/>
    <n v="76.216666666666669"/>
  </r>
  <r>
    <x v="98"/>
    <x v="9"/>
    <x v="1"/>
    <n v="48"/>
    <d v="1899-12-30T01:09:59"/>
    <n v="69.983333333333334"/>
  </r>
  <r>
    <x v="98"/>
    <x v="9"/>
    <x v="2"/>
    <n v="39"/>
    <d v="1899-12-30T01:05:19"/>
    <n v="65.316666666666663"/>
  </r>
  <r>
    <x v="98"/>
    <x v="9"/>
    <x v="3"/>
    <n v="20"/>
    <d v="1899-12-30T00:19:55"/>
    <n v="19.916666666666668"/>
  </r>
  <r>
    <x v="98"/>
    <x v="9"/>
    <x v="4"/>
    <n v="3"/>
    <d v="1899-12-30T00:02:45"/>
    <n v="2.75"/>
  </r>
  <r>
    <x v="98"/>
    <x v="9"/>
    <x v="5"/>
    <n v="34"/>
    <d v="1899-12-30T00:41:27"/>
    <n v="41.45"/>
  </r>
  <r>
    <x v="98"/>
    <x v="10"/>
    <x v="0"/>
    <n v="12"/>
    <d v="1899-12-30T00:24:24"/>
    <n v="24.4"/>
  </r>
  <r>
    <x v="98"/>
    <x v="10"/>
    <x v="1"/>
    <n v="15"/>
    <d v="1899-12-30T00:27:37"/>
    <n v="27.616666666666667"/>
  </r>
  <r>
    <x v="98"/>
    <x v="10"/>
    <x v="2"/>
    <n v="15"/>
    <d v="1899-12-30T00:28:04"/>
    <n v="28.066666666666666"/>
  </r>
  <r>
    <x v="98"/>
    <x v="10"/>
    <x v="3"/>
    <n v="15"/>
    <d v="1899-12-30T00:18:15"/>
    <n v="18.25"/>
  </r>
  <r>
    <x v="98"/>
    <x v="10"/>
    <x v="4"/>
    <n v="2"/>
    <d v="1899-12-30T00:04:05"/>
    <n v="4.083333333333333"/>
  </r>
  <r>
    <x v="98"/>
    <x v="10"/>
    <x v="5"/>
    <n v="17"/>
    <d v="1899-12-30T00:23:53"/>
    <n v="23.883333333333333"/>
  </r>
  <r>
    <x v="98"/>
    <x v="11"/>
    <x v="0"/>
    <n v="16"/>
    <d v="1899-12-30T00:29:31"/>
    <n v="29.516666666666666"/>
  </r>
  <r>
    <x v="98"/>
    <x v="11"/>
    <x v="1"/>
    <n v="8"/>
    <d v="1899-12-30T00:18:49"/>
    <n v="18.816666666666666"/>
  </r>
  <r>
    <x v="98"/>
    <x v="11"/>
    <x v="2"/>
    <n v="7"/>
    <d v="1899-12-30T00:08:56"/>
    <n v="8.9333333333333336"/>
  </r>
  <r>
    <x v="98"/>
    <x v="11"/>
    <x v="3"/>
    <n v="4"/>
    <d v="1899-12-30T00:05:26"/>
    <n v="5.4333333333333336"/>
  </r>
  <r>
    <x v="98"/>
    <x v="11"/>
    <x v="4"/>
    <n v="1"/>
    <d v="1899-12-30T00:01:33"/>
    <n v="1.55"/>
  </r>
  <r>
    <x v="98"/>
    <x v="11"/>
    <x v="5"/>
    <n v="8"/>
    <d v="1899-12-30T00:12:26"/>
    <n v="12.433333333333334"/>
  </r>
  <r>
    <x v="98"/>
    <x v="12"/>
    <x v="0"/>
    <n v="164"/>
    <d v="1899-12-30T05:18:17"/>
    <n v="318.28333333333336"/>
  </r>
  <r>
    <x v="98"/>
    <x v="12"/>
    <x v="1"/>
    <n v="156"/>
    <d v="1899-12-30T05:03:18"/>
    <n v="303.3"/>
  </r>
  <r>
    <x v="98"/>
    <x v="12"/>
    <x v="2"/>
    <n v="96"/>
    <d v="1899-12-30T02:39:19"/>
    <n v="159.31666666666666"/>
  </r>
  <r>
    <x v="98"/>
    <x v="12"/>
    <x v="3"/>
    <n v="78"/>
    <d v="1899-12-30T01:18:13"/>
    <n v="78.216666666666669"/>
  </r>
  <r>
    <x v="98"/>
    <x v="12"/>
    <x v="4"/>
    <n v="50"/>
    <d v="1899-12-30T01:32:49"/>
    <n v="92.816666666666663"/>
  </r>
  <r>
    <x v="98"/>
    <x v="12"/>
    <x v="5"/>
    <n v="114"/>
    <d v="1899-12-30T02:46:23"/>
    <n v="166.38333333333333"/>
  </r>
  <r>
    <x v="98"/>
    <x v="13"/>
    <x v="0"/>
    <n v="38"/>
    <d v="1899-12-30T00:50:33"/>
    <n v="50.55"/>
  </r>
  <r>
    <x v="98"/>
    <x v="13"/>
    <x v="1"/>
    <n v="25"/>
    <d v="1899-12-30T00:21:34"/>
    <n v="21.566666666666666"/>
  </r>
  <r>
    <x v="98"/>
    <x v="13"/>
    <x v="2"/>
    <n v="11"/>
    <d v="1899-12-30T00:12:02"/>
    <n v="12.033333333333333"/>
  </r>
  <r>
    <x v="98"/>
    <x v="13"/>
    <x v="3"/>
    <n v="14"/>
    <d v="1899-12-30T00:10:20"/>
    <n v="10.333333333333334"/>
  </r>
  <r>
    <x v="98"/>
    <x v="13"/>
    <x v="4"/>
    <n v="0"/>
    <d v="1899-12-30T00:00:00"/>
    <n v="0"/>
  </r>
  <r>
    <x v="98"/>
    <x v="13"/>
    <x v="5"/>
    <n v="14"/>
    <d v="1899-12-30T00:15:57"/>
    <n v="15.95"/>
  </r>
  <r>
    <x v="99"/>
    <x v="0"/>
    <x v="0"/>
    <n v="27"/>
    <d v="1899-12-30T00:35:59"/>
    <n v="35.983333333333334"/>
  </r>
  <r>
    <x v="99"/>
    <x v="0"/>
    <x v="1"/>
    <n v="31"/>
    <d v="1899-12-30T00:28:35"/>
    <n v="28.583333333333332"/>
  </r>
  <r>
    <x v="99"/>
    <x v="0"/>
    <x v="2"/>
    <n v="24"/>
    <d v="1899-12-30T00:29:54"/>
    <n v="29.9"/>
  </r>
  <r>
    <x v="99"/>
    <x v="0"/>
    <x v="3"/>
    <n v="14"/>
    <d v="1899-12-30T00:08:30"/>
    <n v="8.5"/>
  </r>
  <r>
    <x v="99"/>
    <x v="0"/>
    <x v="4"/>
    <n v="5"/>
    <d v="1899-12-30T00:05:52"/>
    <n v="5.8666666666666671"/>
  </r>
  <r>
    <x v="99"/>
    <x v="0"/>
    <x v="5"/>
    <n v="21"/>
    <d v="1899-12-30T00:22:53"/>
    <n v="22.883333333333333"/>
  </r>
  <r>
    <x v="99"/>
    <x v="1"/>
    <x v="0"/>
    <n v="79"/>
    <d v="1899-12-30T02:34:16"/>
    <n v="154.26666666666668"/>
  </r>
  <r>
    <x v="99"/>
    <x v="1"/>
    <x v="1"/>
    <n v="35"/>
    <d v="1899-12-30T01:25:49"/>
    <n v="85.816666666666663"/>
  </r>
  <r>
    <x v="99"/>
    <x v="1"/>
    <x v="2"/>
    <n v="24"/>
    <d v="1899-12-30T00:46:10"/>
    <n v="46.166666666666664"/>
  </r>
  <r>
    <x v="99"/>
    <x v="1"/>
    <x v="3"/>
    <n v="13"/>
    <d v="1899-12-30T00:07:40"/>
    <n v="7.666666666666667"/>
  </r>
  <r>
    <x v="99"/>
    <x v="1"/>
    <x v="4"/>
    <n v="29"/>
    <d v="1899-12-30T01:18:38"/>
    <n v="78.63333333333334"/>
  </r>
  <r>
    <x v="99"/>
    <x v="1"/>
    <x v="5"/>
    <n v="48"/>
    <d v="1899-12-30T01:32:39"/>
    <n v="92.65"/>
  </r>
  <r>
    <x v="99"/>
    <x v="2"/>
    <x v="0"/>
    <n v="91"/>
    <d v="1899-12-30T02:29:04"/>
    <n v="149.06666666666666"/>
  </r>
  <r>
    <x v="99"/>
    <x v="2"/>
    <x v="1"/>
    <n v="82"/>
    <d v="1899-12-30T02:48:10"/>
    <n v="168.16666666666666"/>
  </r>
  <r>
    <x v="99"/>
    <x v="2"/>
    <x v="2"/>
    <n v="48"/>
    <d v="1899-12-30T01:29:03"/>
    <n v="89.05"/>
  </r>
  <r>
    <x v="99"/>
    <x v="2"/>
    <x v="3"/>
    <n v="44"/>
    <d v="1899-12-30T00:42:25"/>
    <n v="42.416666666666664"/>
  </r>
  <r>
    <x v="99"/>
    <x v="2"/>
    <x v="4"/>
    <n v="32"/>
    <d v="1899-12-30T01:15:40"/>
    <n v="75.666666666666671"/>
  </r>
  <r>
    <x v="99"/>
    <x v="2"/>
    <x v="5"/>
    <n v="38"/>
    <d v="1899-12-30T00:55:29"/>
    <n v="55.483333333333334"/>
  </r>
  <r>
    <x v="99"/>
    <x v="3"/>
    <x v="0"/>
    <n v="14"/>
    <d v="1899-12-30T00:27:24"/>
    <n v="27.4"/>
  </r>
  <r>
    <x v="99"/>
    <x v="3"/>
    <x v="1"/>
    <n v="18"/>
    <d v="1899-12-30T00:44:36"/>
    <n v="44.6"/>
  </r>
  <r>
    <x v="99"/>
    <x v="3"/>
    <x v="2"/>
    <n v="13"/>
    <d v="1899-12-30T00:24:29"/>
    <n v="24.483333333333334"/>
  </r>
  <r>
    <x v="99"/>
    <x v="3"/>
    <x v="3"/>
    <n v="3"/>
    <d v="1899-12-30T00:03:39"/>
    <n v="3.65"/>
  </r>
  <r>
    <x v="99"/>
    <x v="3"/>
    <x v="4"/>
    <n v="0"/>
    <d v="1899-12-30T00:00:00"/>
    <n v="0"/>
  </r>
  <r>
    <x v="99"/>
    <x v="3"/>
    <x v="5"/>
    <n v="8"/>
    <d v="1899-12-30T00:13:13"/>
    <n v="13.216666666666667"/>
  </r>
  <r>
    <x v="99"/>
    <x v="4"/>
    <x v="0"/>
    <n v="37"/>
    <d v="1899-12-30T00:51:50"/>
    <n v="51.833333333333336"/>
  </r>
  <r>
    <x v="99"/>
    <x v="4"/>
    <x v="1"/>
    <n v="38"/>
    <d v="1899-12-30T00:53:36"/>
    <n v="53.6"/>
  </r>
  <r>
    <x v="99"/>
    <x v="4"/>
    <x v="2"/>
    <n v="22"/>
    <d v="1899-12-30T00:32:22"/>
    <n v="32.366666666666667"/>
  </r>
  <r>
    <x v="99"/>
    <x v="4"/>
    <x v="3"/>
    <n v="10"/>
    <d v="1899-12-30T00:06:37"/>
    <n v="6.6166666666666671"/>
  </r>
  <r>
    <x v="99"/>
    <x v="4"/>
    <x v="4"/>
    <n v="6"/>
    <d v="1899-12-30T00:10:35"/>
    <n v="10.583333333333334"/>
  </r>
  <r>
    <x v="99"/>
    <x v="4"/>
    <x v="5"/>
    <n v="11"/>
    <d v="1899-12-30T00:13:13"/>
    <n v="13.216666666666667"/>
  </r>
  <r>
    <x v="99"/>
    <x v="5"/>
    <x v="0"/>
    <n v="46"/>
    <d v="1899-12-30T01:10:36"/>
    <n v="70.599999999999994"/>
  </r>
  <r>
    <x v="99"/>
    <x v="5"/>
    <x v="1"/>
    <n v="52"/>
    <d v="1899-12-30T01:12:20"/>
    <n v="72.333333333333329"/>
  </r>
  <r>
    <x v="99"/>
    <x v="5"/>
    <x v="2"/>
    <n v="46"/>
    <d v="1899-12-30T01:11:22"/>
    <n v="71.36666666666666"/>
  </r>
  <r>
    <x v="99"/>
    <x v="5"/>
    <x v="3"/>
    <n v="32"/>
    <d v="1899-12-30T00:23:30"/>
    <n v="23.5"/>
  </r>
  <r>
    <x v="99"/>
    <x v="5"/>
    <x v="4"/>
    <n v="3"/>
    <d v="1899-12-30T00:07:25"/>
    <n v="7.416666666666667"/>
  </r>
  <r>
    <x v="99"/>
    <x v="5"/>
    <x v="5"/>
    <n v="56"/>
    <d v="1899-12-30T01:14:49"/>
    <n v="74.816666666666663"/>
  </r>
  <r>
    <x v="99"/>
    <x v="6"/>
    <x v="0"/>
    <n v="13"/>
    <d v="1899-12-30T00:15:58"/>
    <n v="15.966666666666667"/>
  </r>
  <r>
    <x v="99"/>
    <x v="6"/>
    <x v="1"/>
    <n v="11"/>
    <d v="1899-12-30T00:13:10"/>
    <n v="13.166666666666666"/>
  </r>
  <r>
    <x v="99"/>
    <x v="6"/>
    <x v="2"/>
    <n v="9"/>
    <d v="1899-12-30T00:13:36"/>
    <n v="13.6"/>
  </r>
  <r>
    <x v="99"/>
    <x v="6"/>
    <x v="3"/>
    <n v="10"/>
    <d v="1899-12-30T00:09:42"/>
    <n v="9.6999999999999993"/>
  </r>
  <r>
    <x v="99"/>
    <x v="6"/>
    <x v="4"/>
    <n v="7"/>
    <d v="1899-12-30T00:10:12"/>
    <n v="10.199999999999999"/>
  </r>
  <r>
    <x v="99"/>
    <x v="6"/>
    <x v="5"/>
    <n v="6"/>
    <d v="1899-12-30T00:08:53"/>
    <n v="8.8833333333333329"/>
  </r>
  <r>
    <x v="99"/>
    <x v="7"/>
    <x v="0"/>
    <n v="88"/>
    <d v="1899-12-30T02:15:16"/>
    <n v="135.26666666666668"/>
  </r>
  <r>
    <x v="99"/>
    <x v="7"/>
    <x v="1"/>
    <n v="128"/>
    <d v="1899-12-30T02:35:28"/>
    <n v="155.46666666666667"/>
  </r>
  <r>
    <x v="99"/>
    <x v="7"/>
    <x v="2"/>
    <n v="59"/>
    <d v="1899-12-30T01:25:00"/>
    <n v="85"/>
  </r>
  <r>
    <x v="99"/>
    <x v="7"/>
    <x v="3"/>
    <n v="95"/>
    <d v="1899-12-30T01:24:50"/>
    <n v="84.833333333333329"/>
  </r>
  <r>
    <x v="99"/>
    <x v="7"/>
    <x v="4"/>
    <n v="134"/>
    <d v="1899-12-30T03:42:17"/>
    <n v="222.28333333333333"/>
  </r>
  <r>
    <x v="99"/>
    <x v="7"/>
    <x v="5"/>
    <n v="75"/>
    <d v="1899-12-30T01:42:13"/>
    <n v="102.21666666666667"/>
  </r>
  <r>
    <x v="99"/>
    <x v="8"/>
    <x v="0"/>
    <n v="29"/>
    <d v="1899-12-30T00:45:00"/>
    <n v="45"/>
  </r>
  <r>
    <x v="99"/>
    <x v="8"/>
    <x v="1"/>
    <n v="34"/>
    <d v="1899-12-30T01:01:32"/>
    <n v="61.533333333333331"/>
  </r>
  <r>
    <x v="99"/>
    <x v="8"/>
    <x v="2"/>
    <n v="37"/>
    <d v="1899-12-30T00:55:22"/>
    <n v="55.366666666666667"/>
  </r>
  <r>
    <x v="99"/>
    <x v="8"/>
    <x v="3"/>
    <n v="32"/>
    <d v="1899-12-30T00:29:15"/>
    <n v="29.25"/>
  </r>
  <r>
    <x v="99"/>
    <x v="8"/>
    <x v="4"/>
    <n v="20"/>
    <d v="1899-12-30T00:35:40"/>
    <n v="35.666666666666664"/>
  </r>
  <r>
    <x v="99"/>
    <x v="8"/>
    <x v="5"/>
    <n v="36"/>
    <d v="1899-12-30T00:51:09"/>
    <n v="51.15"/>
  </r>
  <r>
    <x v="99"/>
    <x v="9"/>
    <x v="0"/>
    <n v="96"/>
    <d v="1899-12-30T02:34:14"/>
    <n v="154.23333333333332"/>
  </r>
  <r>
    <x v="99"/>
    <x v="9"/>
    <x v="1"/>
    <n v="127"/>
    <d v="1899-12-30T03:52:26"/>
    <n v="232.43333333333334"/>
  </r>
  <r>
    <x v="99"/>
    <x v="9"/>
    <x v="2"/>
    <n v="77"/>
    <d v="1899-12-30T01:57:35"/>
    <n v="117.58333333333333"/>
  </r>
  <r>
    <x v="99"/>
    <x v="9"/>
    <x v="3"/>
    <n v="42"/>
    <d v="1899-12-30T00:47:04"/>
    <n v="47.06666666666667"/>
  </r>
  <r>
    <x v="99"/>
    <x v="9"/>
    <x v="4"/>
    <n v="18"/>
    <d v="1899-12-30T00:37:20"/>
    <n v="37.333333333333336"/>
  </r>
  <r>
    <x v="99"/>
    <x v="9"/>
    <x v="5"/>
    <n v="66"/>
    <d v="1899-12-30T01:24:35"/>
    <n v="84.583333333333329"/>
  </r>
  <r>
    <x v="99"/>
    <x v="10"/>
    <x v="0"/>
    <n v="29"/>
    <d v="1899-12-30T00:51:08"/>
    <n v="51.133333333333333"/>
  </r>
  <r>
    <x v="99"/>
    <x v="10"/>
    <x v="1"/>
    <n v="25"/>
    <d v="1899-12-30T00:55:59"/>
    <n v="55.983333333333334"/>
  </r>
  <r>
    <x v="99"/>
    <x v="10"/>
    <x v="2"/>
    <n v="24"/>
    <d v="1899-12-30T00:46:28"/>
    <n v="46.466666666666669"/>
  </r>
  <r>
    <x v="99"/>
    <x v="10"/>
    <x v="3"/>
    <n v="15"/>
    <d v="1899-12-30T00:11:35"/>
    <n v="11.583333333333334"/>
  </r>
  <r>
    <x v="99"/>
    <x v="10"/>
    <x v="4"/>
    <n v="8"/>
    <d v="1899-12-30T00:12:18"/>
    <n v="12.3"/>
  </r>
  <r>
    <x v="99"/>
    <x v="10"/>
    <x v="5"/>
    <n v="18"/>
    <d v="1899-12-30T00:24:36"/>
    <n v="24.6"/>
  </r>
  <r>
    <x v="99"/>
    <x v="11"/>
    <x v="0"/>
    <n v="10"/>
    <d v="1899-12-30T00:20:28"/>
    <n v="20.466666666666665"/>
  </r>
  <r>
    <x v="99"/>
    <x v="11"/>
    <x v="1"/>
    <n v="13"/>
    <d v="1899-12-30T00:27:00"/>
    <n v="27"/>
  </r>
  <r>
    <x v="99"/>
    <x v="11"/>
    <x v="2"/>
    <n v="9"/>
    <d v="1899-12-30T00:14:57"/>
    <n v="14.95"/>
  </r>
  <r>
    <x v="99"/>
    <x v="11"/>
    <x v="3"/>
    <n v="6"/>
    <d v="1899-12-30T00:02:37"/>
    <n v="2.6166666666666667"/>
  </r>
  <r>
    <x v="99"/>
    <x v="11"/>
    <x v="4"/>
    <n v="3"/>
    <d v="1899-12-30T00:06:18"/>
    <n v="6.3"/>
  </r>
  <r>
    <x v="99"/>
    <x v="11"/>
    <x v="5"/>
    <n v="8"/>
    <d v="1899-12-30T00:11:37"/>
    <n v="11.616666666666667"/>
  </r>
  <r>
    <x v="99"/>
    <x v="12"/>
    <x v="0"/>
    <n v="118"/>
    <d v="1899-12-30T03:25:56"/>
    <n v="205.93333333333334"/>
  </r>
  <r>
    <x v="99"/>
    <x v="12"/>
    <x v="1"/>
    <n v="140"/>
    <d v="1899-12-30T04:28:35"/>
    <n v="268.58333333333331"/>
  </r>
  <r>
    <x v="99"/>
    <x v="12"/>
    <x v="2"/>
    <n v="69"/>
    <d v="1899-12-30T01:55:08"/>
    <n v="115.13333333333334"/>
  </r>
  <r>
    <x v="99"/>
    <x v="12"/>
    <x v="3"/>
    <n v="59"/>
    <d v="1899-12-30T00:49:29"/>
    <n v="49.483333333333334"/>
  </r>
  <r>
    <x v="99"/>
    <x v="12"/>
    <x v="4"/>
    <n v="35"/>
    <d v="1899-12-30T01:11:45"/>
    <n v="71.75"/>
  </r>
  <r>
    <x v="99"/>
    <x v="12"/>
    <x v="5"/>
    <n v="86"/>
    <d v="1899-12-30T02:10:10"/>
    <n v="130.16666666666666"/>
  </r>
  <r>
    <x v="99"/>
    <x v="13"/>
    <x v="0"/>
    <n v="38"/>
    <d v="1899-12-30T01:04:39"/>
    <n v="64.650000000000006"/>
  </r>
  <r>
    <x v="99"/>
    <x v="13"/>
    <x v="1"/>
    <n v="33"/>
    <d v="1899-12-30T00:30:48"/>
    <n v="30.8"/>
  </r>
  <r>
    <x v="99"/>
    <x v="13"/>
    <x v="2"/>
    <n v="30"/>
    <d v="1899-12-30T00:38:13"/>
    <n v="38.216666666666669"/>
  </r>
  <r>
    <x v="99"/>
    <x v="13"/>
    <x v="3"/>
    <n v="21"/>
    <d v="1899-12-30T00:18:17"/>
    <n v="18.283333333333335"/>
  </r>
  <r>
    <x v="99"/>
    <x v="13"/>
    <x v="4"/>
    <n v="0"/>
    <d v="1899-12-30T00:00:00"/>
    <n v="0"/>
  </r>
  <r>
    <x v="99"/>
    <x v="13"/>
    <x v="5"/>
    <n v="18"/>
    <d v="1899-12-30T00:21:37"/>
    <n v="21.616666666666667"/>
  </r>
  <r>
    <x v="100"/>
    <x v="0"/>
    <x v="0"/>
    <n v="54"/>
    <d v="1899-12-30T01:23:31"/>
    <n v="83.516666666666666"/>
  </r>
  <r>
    <x v="100"/>
    <x v="0"/>
    <x v="1"/>
    <n v="62"/>
    <d v="1899-12-30T01:21:58"/>
    <n v="81.966666666666669"/>
  </r>
  <r>
    <x v="100"/>
    <x v="0"/>
    <x v="2"/>
    <n v="40"/>
    <d v="1899-12-30T00:52:16"/>
    <n v="52.266666666666666"/>
  </r>
  <r>
    <x v="100"/>
    <x v="0"/>
    <x v="3"/>
    <n v="16"/>
    <d v="1899-12-30T00:16:45"/>
    <n v="16.75"/>
  </r>
  <r>
    <x v="100"/>
    <x v="0"/>
    <x v="4"/>
    <n v="2"/>
    <d v="1899-12-30T00:03:15"/>
    <n v="3.25"/>
  </r>
  <r>
    <x v="100"/>
    <x v="0"/>
    <x v="5"/>
    <n v="36"/>
    <d v="1899-12-30T00:40:37"/>
    <n v="40.616666666666667"/>
  </r>
  <r>
    <x v="100"/>
    <x v="1"/>
    <x v="0"/>
    <n v="56"/>
    <d v="1899-12-30T01:47:13"/>
    <n v="107.21666666666667"/>
  </r>
  <r>
    <x v="100"/>
    <x v="1"/>
    <x v="1"/>
    <n v="34"/>
    <d v="1899-12-30T01:07:06"/>
    <n v="67.099999999999994"/>
  </r>
  <r>
    <x v="100"/>
    <x v="1"/>
    <x v="2"/>
    <n v="39"/>
    <d v="1899-12-30T01:10:10"/>
    <n v="70.166666666666671"/>
  </r>
  <r>
    <x v="100"/>
    <x v="1"/>
    <x v="3"/>
    <n v="13"/>
    <d v="1899-12-30T00:12:26"/>
    <n v="12.433333333333334"/>
  </r>
  <r>
    <x v="100"/>
    <x v="1"/>
    <x v="4"/>
    <n v="29"/>
    <d v="1899-12-30T01:18:29"/>
    <n v="78.483333333333334"/>
  </r>
  <r>
    <x v="100"/>
    <x v="1"/>
    <x v="5"/>
    <n v="53"/>
    <d v="1899-12-30T01:20:20"/>
    <n v="80.333333333333329"/>
  </r>
  <r>
    <x v="100"/>
    <x v="2"/>
    <x v="0"/>
    <n v="49"/>
    <d v="1899-12-30T01:21:35"/>
    <n v="81.583333333333329"/>
  </r>
  <r>
    <x v="100"/>
    <x v="2"/>
    <x v="1"/>
    <n v="71"/>
    <d v="1899-12-30T02:31:43"/>
    <n v="151.71666666666667"/>
  </r>
  <r>
    <x v="100"/>
    <x v="2"/>
    <x v="2"/>
    <n v="38"/>
    <d v="1899-12-30T00:58:13"/>
    <n v="58.216666666666669"/>
  </r>
  <r>
    <x v="100"/>
    <x v="2"/>
    <x v="3"/>
    <n v="37"/>
    <d v="1899-12-30T00:29:45"/>
    <n v="29.75"/>
  </r>
  <r>
    <x v="100"/>
    <x v="2"/>
    <x v="4"/>
    <n v="13"/>
    <d v="1899-12-30T00:24:42"/>
    <n v="24.7"/>
  </r>
  <r>
    <x v="100"/>
    <x v="2"/>
    <x v="5"/>
    <n v="25"/>
    <d v="1899-12-30T00:34:46"/>
    <n v="34.766666666666666"/>
  </r>
  <r>
    <x v="100"/>
    <x v="3"/>
    <x v="0"/>
    <n v="16"/>
    <d v="1899-12-30T00:34:37"/>
    <n v="34.616666666666667"/>
  </r>
  <r>
    <x v="100"/>
    <x v="3"/>
    <x v="1"/>
    <n v="23"/>
    <d v="1899-12-30T00:55:36"/>
    <n v="55.6"/>
  </r>
  <r>
    <x v="100"/>
    <x v="3"/>
    <x v="2"/>
    <n v="8"/>
    <d v="1899-12-30T00:19:42"/>
    <n v="19.7"/>
  </r>
  <r>
    <x v="100"/>
    <x v="3"/>
    <x v="3"/>
    <n v="3"/>
    <d v="1899-12-30T00:03:55"/>
    <n v="3.9166666666666665"/>
  </r>
  <r>
    <x v="100"/>
    <x v="3"/>
    <x v="4"/>
    <n v="3"/>
    <d v="1899-12-30T00:08:45"/>
    <n v="8.75"/>
  </r>
  <r>
    <x v="100"/>
    <x v="3"/>
    <x v="5"/>
    <n v="10"/>
    <d v="1899-12-30T00:16:13"/>
    <n v="16.216666666666665"/>
  </r>
  <r>
    <x v="100"/>
    <x v="4"/>
    <x v="0"/>
    <n v="24"/>
    <d v="1899-12-30T00:36:02"/>
    <n v="36.033333333333331"/>
  </r>
  <r>
    <x v="100"/>
    <x v="4"/>
    <x v="1"/>
    <n v="34"/>
    <d v="1899-12-30T00:42:08"/>
    <n v="42.133333333333333"/>
  </r>
  <r>
    <x v="100"/>
    <x v="4"/>
    <x v="2"/>
    <n v="27"/>
    <d v="1899-12-30T00:40:05"/>
    <n v="40.083333333333336"/>
  </r>
  <r>
    <x v="100"/>
    <x v="4"/>
    <x v="3"/>
    <n v="8"/>
    <d v="1899-12-30T00:06:04"/>
    <n v="6.0666666666666664"/>
  </r>
  <r>
    <x v="100"/>
    <x v="4"/>
    <x v="4"/>
    <n v="9"/>
    <d v="1899-12-30T00:22:07"/>
    <n v="22.116666666666667"/>
  </r>
  <r>
    <x v="100"/>
    <x v="4"/>
    <x v="5"/>
    <n v="13"/>
    <d v="1899-12-30T00:15:39"/>
    <n v="15.65"/>
  </r>
  <r>
    <x v="100"/>
    <x v="5"/>
    <x v="0"/>
    <n v="34"/>
    <d v="1899-12-30T00:48:04"/>
    <n v="48.06666666666667"/>
  </r>
  <r>
    <x v="100"/>
    <x v="5"/>
    <x v="1"/>
    <n v="63"/>
    <d v="1899-12-30T01:20:48"/>
    <n v="80.8"/>
  </r>
  <r>
    <x v="100"/>
    <x v="5"/>
    <x v="2"/>
    <n v="31"/>
    <d v="1899-12-30T00:39:20"/>
    <n v="39.333333333333336"/>
  </r>
  <r>
    <x v="100"/>
    <x v="5"/>
    <x v="3"/>
    <n v="30"/>
    <d v="1899-12-30T00:30:34"/>
    <n v="30.566666666666666"/>
  </r>
  <r>
    <x v="100"/>
    <x v="5"/>
    <x v="4"/>
    <n v="2"/>
    <d v="1899-12-30T00:03:04"/>
    <n v="3.0666666666666669"/>
  </r>
  <r>
    <x v="100"/>
    <x v="5"/>
    <x v="5"/>
    <n v="52"/>
    <d v="1899-12-30T01:04:30"/>
    <n v="64.5"/>
  </r>
  <r>
    <x v="100"/>
    <x v="6"/>
    <x v="0"/>
    <n v="13"/>
    <d v="1899-12-30T00:17:07"/>
    <n v="17.116666666666667"/>
  </r>
  <r>
    <x v="100"/>
    <x v="6"/>
    <x v="1"/>
    <n v="15"/>
    <d v="1899-12-30T00:25:05"/>
    <n v="25.083333333333332"/>
  </r>
  <r>
    <x v="100"/>
    <x v="6"/>
    <x v="2"/>
    <n v="8"/>
    <d v="1899-12-30T00:14:08"/>
    <n v="14.133333333333333"/>
  </r>
  <r>
    <x v="100"/>
    <x v="6"/>
    <x v="3"/>
    <n v="4"/>
    <d v="1899-12-30T00:04:27"/>
    <n v="4.45"/>
  </r>
  <r>
    <x v="100"/>
    <x v="6"/>
    <x v="4"/>
    <n v="10"/>
    <d v="1899-12-30T00:11:14"/>
    <n v="11.233333333333333"/>
  </r>
  <r>
    <x v="100"/>
    <x v="6"/>
    <x v="5"/>
    <n v="8"/>
    <d v="1899-12-30T00:08:12"/>
    <n v="8.1999999999999993"/>
  </r>
  <r>
    <x v="100"/>
    <x v="7"/>
    <x v="0"/>
    <n v="26"/>
    <d v="1899-12-30T00:38:25"/>
    <n v="38.416666666666664"/>
  </r>
  <r>
    <x v="100"/>
    <x v="7"/>
    <x v="1"/>
    <n v="60"/>
    <d v="1899-12-30T01:12:57"/>
    <n v="72.95"/>
  </r>
  <r>
    <x v="100"/>
    <x v="7"/>
    <x v="2"/>
    <n v="22"/>
    <d v="1899-12-30T00:22:18"/>
    <n v="22.3"/>
  </r>
  <r>
    <x v="100"/>
    <x v="7"/>
    <x v="3"/>
    <n v="36"/>
    <d v="1899-12-30T00:31:28"/>
    <n v="31.466666666666665"/>
  </r>
  <r>
    <x v="100"/>
    <x v="7"/>
    <x v="4"/>
    <n v="103"/>
    <d v="1899-12-30T03:00:20"/>
    <n v="180.33333333333334"/>
  </r>
  <r>
    <x v="100"/>
    <x v="7"/>
    <x v="5"/>
    <n v="33"/>
    <d v="1899-12-30T00:31:47"/>
    <n v="31.783333333333335"/>
  </r>
  <r>
    <x v="100"/>
    <x v="8"/>
    <x v="0"/>
    <n v="32"/>
    <d v="1899-12-30T00:45:44"/>
    <n v="45.733333333333334"/>
  </r>
  <r>
    <x v="100"/>
    <x v="8"/>
    <x v="1"/>
    <n v="42"/>
    <d v="1899-12-30T01:01:03"/>
    <n v="61.05"/>
  </r>
  <r>
    <x v="100"/>
    <x v="8"/>
    <x v="2"/>
    <n v="31"/>
    <d v="1899-12-30T00:43:22"/>
    <n v="43.366666666666667"/>
  </r>
  <r>
    <x v="100"/>
    <x v="8"/>
    <x v="3"/>
    <n v="37"/>
    <d v="1899-12-30T00:34:54"/>
    <n v="34.9"/>
  </r>
  <r>
    <x v="100"/>
    <x v="8"/>
    <x v="4"/>
    <n v="16"/>
    <d v="1899-12-30T00:25:21"/>
    <n v="25.35"/>
  </r>
  <r>
    <x v="100"/>
    <x v="8"/>
    <x v="5"/>
    <n v="29"/>
    <d v="1899-12-30T00:33:25"/>
    <n v="33.416666666666664"/>
  </r>
  <r>
    <x v="100"/>
    <x v="9"/>
    <x v="0"/>
    <n v="55"/>
    <d v="1899-12-30T01:51:09"/>
    <n v="111.15"/>
  </r>
  <r>
    <x v="100"/>
    <x v="9"/>
    <x v="1"/>
    <n v="75"/>
    <d v="1899-12-30T01:41:40"/>
    <n v="101.66666666666667"/>
  </r>
  <r>
    <x v="100"/>
    <x v="9"/>
    <x v="2"/>
    <n v="36"/>
    <d v="1899-12-30T01:02:35"/>
    <n v="62.583333333333336"/>
  </r>
  <r>
    <x v="100"/>
    <x v="9"/>
    <x v="3"/>
    <n v="29"/>
    <d v="1899-12-30T00:26:28"/>
    <n v="26.466666666666665"/>
  </r>
  <r>
    <x v="100"/>
    <x v="9"/>
    <x v="4"/>
    <n v="16"/>
    <d v="1899-12-30T00:24:50"/>
    <n v="24.833333333333332"/>
  </r>
  <r>
    <x v="100"/>
    <x v="9"/>
    <x v="5"/>
    <n v="39"/>
    <d v="1899-12-30T00:42:03"/>
    <n v="42.05"/>
  </r>
  <r>
    <x v="100"/>
    <x v="10"/>
    <x v="0"/>
    <n v="28"/>
    <d v="1899-12-30T00:50:07"/>
    <n v="50.116666666666667"/>
  </r>
  <r>
    <x v="100"/>
    <x v="10"/>
    <x v="1"/>
    <n v="33"/>
    <d v="1899-12-30T00:58:47"/>
    <n v="58.783333333333331"/>
  </r>
  <r>
    <x v="100"/>
    <x v="10"/>
    <x v="2"/>
    <n v="26"/>
    <d v="1899-12-30T00:44:18"/>
    <n v="44.3"/>
  </r>
  <r>
    <x v="100"/>
    <x v="10"/>
    <x v="3"/>
    <n v="17"/>
    <d v="1899-12-30T00:17:10"/>
    <n v="17.166666666666668"/>
  </r>
  <r>
    <x v="100"/>
    <x v="10"/>
    <x v="4"/>
    <n v="3"/>
    <d v="1899-12-30T00:06:09"/>
    <n v="6.15"/>
  </r>
  <r>
    <x v="100"/>
    <x v="10"/>
    <x v="5"/>
    <n v="24"/>
    <d v="1899-12-30T00:36:19"/>
    <n v="36.31666666666667"/>
  </r>
  <r>
    <x v="100"/>
    <x v="11"/>
    <x v="0"/>
    <n v="12"/>
    <d v="1899-12-30T00:26:14"/>
    <n v="26.233333333333334"/>
  </r>
  <r>
    <x v="100"/>
    <x v="11"/>
    <x v="1"/>
    <n v="16"/>
    <d v="1899-12-30T00:27:26"/>
    <n v="27.433333333333334"/>
  </r>
  <r>
    <x v="100"/>
    <x v="11"/>
    <x v="2"/>
    <n v="7"/>
    <d v="1899-12-30T00:11:43"/>
    <n v="11.716666666666667"/>
  </r>
  <r>
    <x v="100"/>
    <x v="11"/>
    <x v="3"/>
    <n v="6"/>
    <d v="1899-12-30T00:03:38"/>
    <n v="3.6333333333333333"/>
  </r>
  <r>
    <x v="100"/>
    <x v="11"/>
    <x v="4"/>
    <n v="2"/>
    <d v="1899-12-30T00:03:32"/>
    <n v="3.5333333333333332"/>
  </r>
  <r>
    <x v="100"/>
    <x v="11"/>
    <x v="5"/>
    <n v="4"/>
    <d v="1899-12-30T00:07:05"/>
    <n v="7.083333333333333"/>
  </r>
  <r>
    <x v="100"/>
    <x v="12"/>
    <x v="0"/>
    <n v="75"/>
    <d v="1899-12-30T02:05:27"/>
    <n v="125.45"/>
  </r>
  <r>
    <x v="100"/>
    <x v="12"/>
    <x v="1"/>
    <n v="90"/>
    <d v="1899-12-30T02:58:14"/>
    <n v="178.23333333333332"/>
  </r>
  <r>
    <x v="100"/>
    <x v="12"/>
    <x v="2"/>
    <n v="69"/>
    <d v="1899-12-30T01:47:56"/>
    <n v="107.93333333333334"/>
  </r>
  <r>
    <x v="100"/>
    <x v="12"/>
    <x v="3"/>
    <n v="41"/>
    <d v="1899-12-30T00:34:31"/>
    <n v="34.516666666666666"/>
  </r>
  <r>
    <x v="100"/>
    <x v="12"/>
    <x v="4"/>
    <n v="43"/>
    <d v="1899-12-30T01:17:27"/>
    <n v="77.45"/>
  </r>
  <r>
    <x v="100"/>
    <x v="12"/>
    <x v="5"/>
    <n v="74"/>
    <d v="1899-12-30T01:38:15"/>
    <n v="98.25"/>
  </r>
  <r>
    <x v="100"/>
    <x v="13"/>
    <x v="0"/>
    <n v="63"/>
    <d v="1899-12-30T01:44:34"/>
    <n v="104.56666666666666"/>
  </r>
  <r>
    <x v="100"/>
    <x v="13"/>
    <x v="1"/>
    <n v="48"/>
    <d v="1899-12-30T00:47:17"/>
    <n v="47.283333333333331"/>
  </r>
  <r>
    <x v="100"/>
    <x v="13"/>
    <x v="2"/>
    <n v="34"/>
    <d v="1899-12-30T00:37:49"/>
    <n v="37.81666666666667"/>
  </r>
  <r>
    <x v="100"/>
    <x v="13"/>
    <x v="3"/>
    <n v="26"/>
    <d v="1899-12-30T00:23:28"/>
    <n v="23.466666666666665"/>
  </r>
  <r>
    <x v="100"/>
    <x v="13"/>
    <x v="4"/>
    <n v="0"/>
    <d v="1899-12-30T00:00:00"/>
    <n v="0"/>
  </r>
  <r>
    <x v="100"/>
    <x v="13"/>
    <x v="5"/>
    <n v="23"/>
    <d v="1899-12-30T00:28:13"/>
    <n v="28.216666666666665"/>
  </r>
  <r>
    <x v="101"/>
    <x v="0"/>
    <x v="0"/>
    <n v="60"/>
    <d v="1899-12-30T01:27:09"/>
    <n v="87.15"/>
  </r>
  <r>
    <x v="101"/>
    <x v="0"/>
    <x v="1"/>
    <n v="62"/>
    <d v="1899-12-30T01:11:24"/>
    <n v="71.400000000000006"/>
  </r>
  <r>
    <x v="101"/>
    <x v="0"/>
    <x v="2"/>
    <n v="39"/>
    <d v="1899-12-30T00:51:32"/>
    <n v="51.533333333333331"/>
  </r>
  <r>
    <x v="101"/>
    <x v="0"/>
    <x v="3"/>
    <n v="21"/>
    <d v="1899-12-30T00:16:11"/>
    <n v="16.183333333333334"/>
  </r>
  <r>
    <x v="101"/>
    <x v="0"/>
    <x v="4"/>
    <n v="5"/>
    <d v="1899-12-30T00:03:33"/>
    <n v="3.55"/>
  </r>
  <r>
    <x v="101"/>
    <x v="0"/>
    <x v="5"/>
    <n v="42"/>
    <d v="1899-12-30T00:38:01"/>
    <n v="38.016666666666666"/>
  </r>
  <r>
    <x v="101"/>
    <x v="1"/>
    <x v="0"/>
    <n v="65"/>
    <d v="1899-12-30T02:15:20"/>
    <n v="135.33333333333334"/>
  </r>
  <r>
    <x v="101"/>
    <x v="1"/>
    <x v="1"/>
    <n v="32"/>
    <d v="1899-12-30T01:03:12"/>
    <n v="63.2"/>
  </r>
  <r>
    <x v="101"/>
    <x v="1"/>
    <x v="2"/>
    <n v="22"/>
    <d v="1899-12-30T00:40:36"/>
    <n v="40.6"/>
  </r>
  <r>
    <x v="101"/>
    <x v="1"/>
    <x v="3"/>
    <n v="14"/>
    <d v="1899-12-30T00:15:30"/>
    <n v="15.5"/>
  </r>
  <r>
    <x v="101"/>
    <x v="1"/>
    <x v="4"/>
    <n v="30"/>
    <d v="1899-12-30T01:10:51"/>
    <n v="70.849999999999994"/>
  </r>
  <r>
    <x v="101"/>
    <x v="1"/>
    <x v="5"/>
    <n v="52"/>
    <d v="1899-12-30T01:22:14"/>
    <n v="82.233333333333334"/>
  </r>
  <r>
    <x v="101"/>
    <x v="2"/>
    <x v="0"/>
    <n v="41"/>
    <d v="1899-12-30T01:19:10"/>
    <n v="79.166666666666671"/>
  </r>
  <r>
    <x v="101"/>
    <x v="2"/>
    <x v="1"/>
    <n v="84"/>
    <d v="1899-12-30T02:45:35"/>
    <n v="165.58333333333334"/>
  </r>
  <r>
    <x v="101"/>
    <x v="2"/>
    <x v="2"/>
    <n v="35"/>
    <d v="1899-12-30T01:06:31"/>
    <n v="66.516666666666666"/>
  </r>
  <r>
    <x v="101"/>
    <x v="2"/>
    <x v="3"/>
    <n v="26"/>
    <d v="1899-12-30T00:25:38"/>
    <n v="25.633333333333333"/>
  </r>
  <r>
    <x v="101"/>
    <x v="2"/>
    <x v="4"/>
    <n v="17"/>
    <d v="1899-12-30T00:41:24"/>
    <n v="41.4"/>
  </r>
  <r>
    <x v="101"/>
    <x v="2"/>
    <x v="5"/>
    <n v="36"/>
    <d v="1899-12-30T00:48:22"/>
    <n v="48.366666666666667"/>
  </r>
  <r>
    <x v="101"/>
    <x v="3"/>
    <x v="0"/>
    <n v="26"/>
    <d v="1899-12-30T00:54:12"/>
    <n v="54.2"/>
  </r>
  <r>
    <x v="101"/>
    <x v="3"/>
    <x v="1"/>
    <n v="22"/>
    <d v="1899-12-30T00:49:21"/>
    <n v="49.35"/>
  </r>
  <r>
    <x v="101"/>
    <x v="3"/>
    <x v="2"/>
    <n v="18"/>
    <d v="1899-12-30T00:41:11"/>
    <n v="41.18333333333333"/>
  </r>
  <r>
    <x v="101"/>
    <x v="3"/>
    <x v="3"/>
    <n v="6"/>
    <d v="1899-12-30T00:07:18"/>
    <n v="7.3"/>
  </r>
  <r>
    <x v="101"/>
    <x v="3"/>
    <x v="4"/>
    <n v="0"/>
    <d v="1899-12-30T00:00:00"/>
    <n v="0"/>
  </r>
  <r>
    <x v="101"/>
    <x v="3"/>
    <x v="5"/>
    <n v="15"/>
    <d v="1899-12-30T00:19:30"/>
    <n v="19.5"/>
  </r>
  <r>
    <x v="101"/>
    <x v="4"/>
    <x v="0"/>
    <n v="20"/>
    <d v="1899-12-30T00:30:01"/>
    <n v="30.016666666666666"/>
  </r>
  <r>
    <x v="101"/>
    <x v="4"/>
    <x v="1"/>
    <n v="39"/>
    <d v="1899-12-30T01:12:47"/>
    <n v="72.783333333333331"/>
  </r>
  <r>
    <x v="101"/>
    <x v="4"/>
    <x v="2"/>
    <n v="12"/>
    <d v="1899-12-30T00:13:17"/>
    <n v="13.283333333333333"/>
  </r>
  <r>
    <x v="101"/>
    <x v="4"/>
    <x v="3"/>
    <n v="8"/>
    <d v="1899-12-30T00:07:10"/>
    <n v="7.166666666666667"/>
  </r>
  <r>
    <x v="101"/>
    <x v="4"/>
    <x v="4"/>
    <n v="3"/>
    <d v="1899-12-30T00:04:27"/>
    <n v="4.45"/>
  </r>
  <r>
    <x v="101"/>
    <x v="4"/>
    <x v="5"/>
    <n v="19"/>
    <d v="1899-12-30T00:24:37"/>
    <n v="24.616666666666667"/>
  </r>
  <r>
    <x v="101"/>
    <x v="5"/>
    <x v="0"/>
    <n v="16"/>
    <d v="1899-12-30T00:21:43"/>
    <n v="21.716666666666665"/>
  </r>
  <r>
    <x v="101"/>
    <x v="5"/>
    <x v="1"/>
    <n v="17"/>
    <d v="1899-12-30T00:19:10"/>
    <n v="19.166666666666668"/>
  </r>
  <r>
    <x v="101"/>
    <x v="5"/>
    <x v="2"/>
    <n v="22"/>
    <d v="1899-12-30T00:21:36"/>
    <n v="21.6"/>
  </r>
  <r>
    <x v="101"/>
    <x v="5"/>
    <x v="3"/>
    <n v="9"/>
    <d v="1899-12-30T00:08:02"/>
    <n v="8.0333333333333332"/>
  </r>
  <r>
    <x v="101"/>
    <x v="5"/>
    <x v="4"/>
    <n v="1"/>
    <d v="1899-12-30T00:00:20"/>
    <n v="0.33333333333333331"/>
  </r>
  <r>
    <x v="101"/>
    <x v="5"/>
    <x v="5"/>
    <n v="28"/>
    <d v="1899-12-30T00:37:43"/>
    <n v="37.716666666666669"/>
  </r>
  <r>
    <x v="101"/>
    <x v="6"/>
    <x v="0"/>
    <n v="13"/>
    <d v="1899-12-30T00:20:33"/>
    <n v="20.55"/>
  </r>
  <r>
    <x v="101"/>
    <x v="6"/>
    <x v="1"/>
    <n v="21"/>
    <d v="1899-12-30T00:38:29"/>
    <n v="38.483333333333334"/>
  </r>
  <r>
    <x v="101"/>
    <x v="6"/>
    <x v="2"/>
    <n v="12"/>
    <d v="1899-12-30T00:19:03"/>
    <n v="19.05"/>
  </r>
  <r>
    <x v="101"/>
    <x v="6"/>
    <x v="3"/>
    <n v="9"/>
    <d v="1899-12-30T00:09:18"/>
    <n v="9.3000000000000007"/>
  </r>
  <r>
    <x v="101"/>
    <x v="6"/>
    <x v="4"/>
    <n v="5"/>
    <d v="1899-12-30T00:07:59"/>
    <n v="7.9833333333333334"/>
  </r>
  <r>
    <x v="101"/>
    <x v="6"/>
    <x v="5"/>
    <n v="8"/>
    <d v="1899-12-30T00:11:55"/>
    <n v="11.916666666666666"/>
  </r>
  <r>
    <x v="101"/>
    <x v="7"/>
    <x v="0"/>
    <n v="55"/>
    <d v="1899-12-30T01:18:48"/>
    <n v="78.8"/>
  </r>
  <r>
    <x v="101"/>
    <x v="7"/>
    <x v="1"/>
    <n v="67"/>
    <d v="1899-12-30T01:23:27"/>
    <n v="83.45"/>
  </r>
  <r>
    <x v="101"/>
    <x v="7"/>
    <x v="2"/>
    <n v="44"/>
    <d v="1899-12-30T00:41:10"/>
    <n v="41.166666666666664"/>
  </r>
  <r>
    <x v="101"/>
    <x v="7"/>
    <x v="3"/>
    <n v="63"/>
    <d v="1899-12-30T00:48:36"/>
    <n v="48.6"/>
  </r>
  <r>
    <x v="101"/>
    <x v="7"/>
    <x v="4"/>
    <n v="115"/>
    <d v="1899-12-30T03:10:44"/>
    <n v="190.73333333333332"/>
  </r>
  <r>
    <x v="101"/>
    <x v="7"/>
    <x v="5"/>
    <n v="43"/>
    <d v="1899-12-30T00:40:35"/>
    <n v="40.583333333333336"/>
  </r>
  <r>
    <x v="101"/>
    <x v="8"/>
    <x v="0"/>
    <n v="27"/>
    <d v="1899-12-30T00:44:12"/>
    <n v="44.2"/>
  </r>
  <r>
    <x v="101"/>
    <x v="8"/>
    <x v="1"/>
    <n v="47"/>
    <d v="1899-12-30T01:03:15"/>
    <n v="63.25"/>
  </r>
  <r>
    <x v="101"/>
    <x v="8"/>
    <x v="2"/>
    <n v="35"/>
    <d v="1899-12-30T00:51:55"/>
    <n v="51.916666666666664"/>
  </r>
  <r>
    <x v="101"/>
    <x v="8"/>
    <x v="3"/>
    <n v="48"/>
    <d v="1899-12-30T00:40:32"/>
    <n v="40.533333333333331"/>
  </r>
  <r>
    <x v="101"/>
    <x v="8"/>
    <x v="4"/>
    <n v="25"/>
    <d v="1899-12-30T00:45:34"/>
    <n v="45.56666666666667"/>
  </r>
  <r>
    <x v="101"/>
    <x v="8"/>
    <x v="5"/>
    <n v="32"/>
    <d v="1899-12-30T00:41:29"/>
    <n v="41.483333333333334"/>
  </r>
  <r>
    <x v="101"/>
    <x v="9"/>
    <x v="0"/>
    <n v="52"/>
    <d v="1899-12-30T01:26:37"/>
    <n v="86.61666666666666"/>
  </r>
  <r>
    <x v="101"/>
    <x v="9"/>
    <x v="1"/>
    <n v="55"/>
    <d v="1899-12-30T01:27:07"/>
    <n v="87.11666666666666"/>
  </r>
  <r>
    <x v="101"/>
    <x v="9"/>
    <x v="2"/>
    <n v="44"/>
    <d v="1899-12-30T01:02:06"/>
    <n v="62.1"/>
  </r>
  <r>
    <x v="101"/>
    <x v="9"/>
    <x v="3"/>
    <n v="33"/>
    <d v="1899-12-30T00:31:41"/>
    <n v="31.683333333333334"/>
  </r>
  <r>
    <x v="101"/>
    <x v="9"/>
    <x v="4"/>
    <n v="12"/>
    <d v="1899-12-30T00:25:55"/>
    <n v="25.916666666666668"/>
  </r>
  <r>
    <x v="101"/>
    <x v="9"/>
    <x v="5"/>
    <n v="44"/>
    <d v="1899-12-30T00:49:12"/>
    <n v="49.2"/>
  </r>
  <r>
    <x v="101"/>
    <x v="10"/>
    <x v="0"/>
    <n v="18"/>
    <d v="1899-12-30T00:31:48"/>
    <n v="31.8"/>
  </r>
  <r>
    <x v="101"/>
    <x v="10"/>
    <x v="1"/>
    <n v="34"/>
    <d v="1899-12-30T00:53:02"/>
    <n v="53.033333333333331"/>
  </r>
  <r>
    <x v="101"/>
    <x v="10"/>
    <x v="2"/>
    <n v="18"/>
    <d v="1899-12-30T00:31:24"/>
    <n v="31.4"/>
  </r>
  <r>
    <x v="101"/>
    <x v="10"/>
    <x v="3"/>
    <n v="14"/>
    <d v="1899-12-30T00:11:44"/>
    <n v="11.733333333333333"/>
  </r>
  <r>
    <x v="101"/>
    <x v="10"/>
    <x v="4"/>
    <n v="2"/>
    <d v="1899-12-30T00:03:33"/>
    <n v="3.55"/>
  </r>
  <r>
    <x v="101"/>
    <x v="10"/>
    <x v="5"/>
    <n v="24"/>
    <d v="1899-12-30T00:31:41"/>
    <n v="31.683333333333334"/>
  </r>
  <r>
    <x v="101"/>
    <x v="11"/>
    <x v="0"/>
    <n v="8"/>
    <d v="1899-12-30T00:16:35"/>
    <n v="16.583333333333332"/>
  </r>
  <r>
    <x v="101"/>
    <x v="11"/>
    <x v="1"/>
    <n v="7"/>
    <d v="1899-12-30T00:12:31"/>
    <n v="12.516666666666667"/>
  </r>
  <r>
    <x v="101"/>
    <x v="11"/>
    <x v="2"/>
    <n v="2"/>
    <d v="1899-12-30T00:05:52"/>
    <n v="5.8666666666666671"/>
  </r>
  <r>
    <x v="101"/>
    <x v="11"/>
    <x v="3"/>
    <n v="8"/>
    <d v="1899-12-30T00:05:33"/>
    <n v="5.55"/>
  </r>
  <r>
    <x v="101"/>
    <x v="11"/>
    <x v="4"/>
    <n v="1"/>
    <d v="1899-12-30T00:01:23"/>
    <n v="1.3833333333333333"/>
  </r>
  <r>
    <x v="101"/>
    <x v="11"/>
    <x v="5"/>
    <n v="7"/>
    <d v="1899-12-30T00:10:59"/>
    <n v="10.983333333333333"/>
  </r>
  <r>
    <x v="101"/>
    <x v="12"/>
    <x v="0"/>
    <n v="79"/>
    <d v="1899-12-30T02:30:47"/>
    <n v="150.78333333333333"/>
  </r>
  <r>
    <x v="101"/>
    <x v="12"/>
    <x v="1"/>
    <n v="119"/>
    <d v="1899-12-30T04:10:25"/>
    <n v="250.41666666666666"/>
  </r>
  <r>
    <x v="101"/>
    <x v="12"/>
    <x v="2"/>
    <n v="79"/>
    <d v="1899-12-30T02:10:12"/>
    <n v="130.19999999999999"/>
  </r>
  <r>
    <x v="101"/>
    <x v="12"/>
    <x v="3"/>
    <n v="56"/>
    <d v="1899-12-30T00:53:01"/>
    <n v="53.016666666666666"/>
  </r>
  <r>
    <x v="101"/>
    <x v="12"/>
    <x v="4"/>
    <n v="26"/>
    <d v="1899-12-30T01:04:17"/>
    <n v="64.283333333333331"/>
  </r>
  <r>
    <x v="101"/>
    <x v="12"/>
    <x v="5"/>
    <n v="73"/>
    <d v="1899-12-30T01:30:13"/>
    <n v="90.216666666666669"/>
  </r>
  <r>
    <x v="101"/>
    <x v="13"/>
    <x v="0"/>
    <n v="46"/>
    <d v="1899-12-30T01:09:21"/>
    <n v="69.349999999999994"/>
  </r>
  <r>
    <x v="101"/>
    <x v="13"/>
    <x v="1"/>
    <n v="47"/>
    <d v="1899-12-30T00:59:22"/>
    <n v="59.366666666666667"/>
  </r>
  <r>
    <x v="101"/>
    <x v="13"/>
    <x v="2"/>
    <n v="31"/>
    <d v="1899-12-30T00:44:29"/>
    <n v="44.483333333333334"/>
  </r>
  <r>
    <x v="101"/>
    <x v="13"/>
    <x v="3"/>
    <n v="24"/>
    <d v="1899-12-30T00:18:42"/>
    <n v="18.7"/>
  </r>
  <r>
    <x v="101"/>
    <x v="13"/>
    <x v="4"/>
    <n v="0"/>
    <d v="1899-12-30T00:00:00"/>
    <n v="0"/>
  </r>
  <r>
    <x v="101"/>
    <x v="13"/>
    <x v="5"/>
    <n v="36"/>
    <d v="1899-12-30T00:33:39"/>
    <n v="33.65"/>
  </r>
  <r>
    <x v="102"/>
    <x v="0"/>
    <x v="0"/>
    <n v="96"/>
    <d v="1899-12-30T02:37:27"/>
    <n v="157.44999999999999"/>
  </r>
  <r>
    <x v="102"/>
    <x v="0"/>
    <x v="1"/>
    <n v="141"/>
    <d v="1899-12-30T02:52:33"/>
    <n v="172.55"/>
  </r>
  <r>
    <x v="102"/>
    <x v="0"/>
    <x v="2"/>
    <n v="74"/>
    <d v="1899-12-30T01:37:55"/>
    <n v="97.916666666666671"/>
  </r>
  <r>
    <x v="102"/>
    <x v="0"/>
    <x v="3"/>
    <n v="50"/>
    <d v="1899-12-30T00:51:17"/>
    <n v="51.283333333333331"/>
  </r>
  <r>
    <x v="102"/>
    <x v="0"/>
    <x v="4"/>
    <n v="10"/>
    <d v="1899-12-30T00:09:11"/>
    <n v="9.1833333333333336"/>
  </r>
  <r>
    <x v="102"/>
    <x v="0"/>
    <x v="5"/>
    <n v="83"/>
    <d v="1899-12-30T01:29:57"/>
    <n v="89.95"/>
  </r>
  <r>
    <x v="102"/>
    <x v="1"/>
    <x v="0"/>
    <n v="74"/>
    <d v="1899-12-30T02:17:25"/>
    <n v="137.41666666666666"/>
  </r>
  <r>
    <x v="102"/>
    <x v="1"/>
    <x v="1"/>
    <n v="53"/>
    <d v="1899-12-30T02:06:04"/>
    <n v="126.06666666666666"/>
  </r>
  <r>
    <x v="102"/>
    <x v="1"/>
    <x v="2"/>
    <n v="23"/>
    <d v="1899-12-30T00:47:33"/>
    <n v="47.55"/>
  </r>
  <r>
    <x v="102"/>
    <x v="1"/>
    <x v="3"/>
    <n v="7"/>
    <d v="1899-12-30T00:06:24"/>
    <n v="6.4"/>
  </r>
  <r>
    <x v="102"/>
    <x v="1"/>
    <x v="4"/>
    <n v="33"/>
    <d v="1899-12-30T01:38:26"/>
    <n v="98.433333333333337"/>
  </r>
  <r>
    <x v="102"/>
    <x v="1"/>
    <x v="5"/>
    <n v="53"/>
    <d v="1899-12-30T01:19:03"/>
    <n v="79.05"/>
  </r>
  <r>
    <x v="102"/>
    <x v="2"/>
    <x v="0"/>
    <n v="63"/>
    <d v="1899-12-30T02:00:46"/>
    <n v="120.76666666666667"/>
  </r>
  <r>
    <x v="102"/>
    <x v="2"/>
    <x v="1"/>
    <n v="67"/>
    <d v="1899-12-30T02:09:27"/>
    <n v="129.44999999999999"/>
  </r>
  <r>
    <x v="102"/>
    <x v="2"/>
    <x v="2"/>
    <n v="43"/>
    <d v="1899-12-30T01:23:23"/>
    <n v="83.38333333333334"/>
  </r>
  <r>
    <x v="102"/>
    <x v="2"/>
    <x v="3"/>
    <n v="25"/>
    <d v="1899-12-30T00:25:14"/>
    <n v="25.233333333333334"/>
  </r>
  <r>
    <x v="102"/>
    <x v="2"/>
    <x v="4"/>
    <n v="16"/>
    <d v="1899-12-30T00:30:41"/>
    <n v="30.683333333333334"/>
  </r>
  <r>
    <x v="102"/>
    <x v="2"/>
    <x v="5"/>
    <n v="38"/>
    <d v="1899-12-30T00:54:52"/>
    <n v="54.866666666666667"/>
  </r>
  <r>
    <x v="102"/>
    <x v="3"/>
    <x v="0"/>
    <n v="10"/>
    <d v="1899-12-30T00:17:52"/>
    <n v="17.866666666666667"/>
  </r>
  <r>
    <x v="102"/>
    <x v="3"/>
    <x v="1"/>
    <n v="12"/>
    <d v="1899-12-30T00:18:59"/>
    <n v="18.983333333333334"/>
  </r>
  <r>
    <x v="102"/>
    <x v="3"/>
    <x v="2"/>
    <n v="7"/>
    <d v="1899-12-30T00:11:18"/>
    <n v="11.3"/>
  </r>
  <r>
    <x v="102"/>
    <x v="3"/>
    <x v="3"/>
    <n v="2"/>
    <d v="1899-12-30T00:00:55"/>
    <n v="0.91666666666666663"/>
  </r>
  <r>
    <x v="102"/>
    <x v="3"/>
    <x v="4"/>
    <n v="0"/>
    <d v="1899-12-30T00:00:00"/>
    <n v="0"/>
  </r>
  <r>
    <x v="102"/>
    <x v="3"/>
    <x v="5"/>
    <n v="6"/>
    <d v="1899-12-30T00:09:29"/>
    <n v="9.4833333333333325"/>
  </r>
  <r>
    <x v="102"/>
    <x v="4"/>
    <x v="0"/>
    <n v="49"/>
    <d v="1899-12-30T01:18:36"/>
    <n v="78.599999999999994"/>
  </r>
  <r>
    <x v="102"/>
    <x v="4"/>
    <x v="1"/>
    <n v="59"/>
    <d v="1899-12-30T01:26:59"/>
    <n v="86.983333333333334"/>
  </r>
  <r>
    <x v="102"/>
    <x v="4"/>
    <x v="2"/>
    <n v="27"/>
    <d v="1899-12-30T00:39:30"/>
    <n v="39.5"/>
  </r>
  <r>
    <x v="102"/>
    <x v="4"/>
    <x v="3"/>
    <n v="13"/>
    <d v="1899-12-30T00:11:00"/>
    <n v="11"/>
  </r>
  <r>
    <x v="102"/>
    <x v="4"/>
    <x v="4"/>
    <n v="3"/>
    <d v="1899-12-30T00:06:41"/>
    <n v="6.6833333333333336"/>
  </r>
  <r>
    <x v="102"/>
    <x v="4"/>
    <x v="5"/>
    <n v="22"/>
    <d v="1899-12-30T00:26:11"/>
    <n v="26.183333333333334"/>
  </r>
  <r>
    <x v="102"/>
    <x v="5"/>
    <x v="0"/>
    <n v="28"/>
    <d v="1899-12-30T00:40:00"/>
    <n v="40"/>
  </r>
  <r>
    <x v="102"/>
    <x v="5"/>
    <x v="1"/>
    <n v="35"/>
    <d v="1899-12-30T00:49:56"/>
    <n v="49.93333333333333"/>
  </r>
  <r>
    <x v="102"/>
    <x v="5"/>
    <x v="2"/>
    <n v="24"/>
    <d v="1899-12-30T00:30:03"/>
    <n v="30.05"/>
  </r>
  <r>
    <x v="102"/>
    <x v="5"/>
    <x v="3"/>
    <n v="25"/>
    <d v="1899-12-30T00:23:01"/>
    <n v="23.016666666666666"/>
  </r>
  <r>
    <x v="102"/>
    <x v="5"/>
    <x v="4"/>
    <n v="2"/>
    <d v="1899-12-30T00:01:55"/>
    <n v="1.9166666666666665"/>
  </r>
  <r>
    <x v="102"/>
    <x v="5"/>
    <x v="5"/>
    <n v="38"/>
    <d v="1899-12-30T00:43:08"/>
    <n v="43.133333333333333"/>
  </r>
  <r>
    <x v="102"/>
    <x v="6"/>
    <x v="0"/>
    <n v="9"/>
    <d v="1899-12-30T00:10:42"/>
    <n v="10.7"/>
  </r>
  <r>
    <x v="102"/>
    <x v="6"/>
    <x v="1"/>
    <n v="8"/>
    <d v="1899-12-30T00:11:27"/>
    <n v="11.45"/>
  </r>
  <r>
    <x v="102"/>
    <x v="6"/>
    <x v="2"/>
    <n v="8"/>
    <d v="1899-12-30T00:15:12"/>
    <n v="15.2"/>
  </r>
  <r>
    <x v="102"/>
    <x v="6"/>
    <x v="3"/>
    <n v="1"/>
    <d v="1899-12-30T00:01:27"/>
    <n v="1.45"/>
  </r>
  <r>
    <x v="102"/>
    <x v="6"/>
    <x v="4"/>
    <n v="1"/>
    <d v="1899-12-30T00:03:06"/>
    <n v="3.1"/>
  </r>
  <r>
    <x v="102"/>
    <x v="6"/>
    <x v="5"/>
    <n v="5"/>
    <d v="1899-12-30T00:05:03"/>
    <n v="5.05"/>
  </r>
  <r>
    <x v="102"/>
    <x v="7"/>
    <x v="0"/>
    <n v="54"/>
    <d v="1899-12-30T01:18:00"/>
    <n v="78"/>
  </r>
  <r>
    <x v="102"/>
    <x v="7"/>
    <x v="1"/>
    <n v="75"/>
    <d v="1899-12-30T01:19:35"/>
    <n v="79.583333333333329"/>
  </r>
  <r>
    <x v="102"/>
    <x v="7"/>
    <x v="2"/>
    <n v="50"/>
    <d v="1899-12-30T00:52:25"/>
    <n v="52.416666666666664"/>
  </r>
  <r>
    <x v="102"/>
    <x v="7"/>
    <x v="3"/>
    <n v="62"/>
    <d v="1899-12-30T00:53:10"/>
    <n v="53.166666666666664"/>
  </r>
  <r>
    <x v="102"/>
    <x v="7"/>
    <x v="4"/>
    <n v="160"/>
    <d v="1899-12-30T04:28:08"/>
    <n v="268.13333333333333"/>
  </r>
  <r>
    <x v="102"/>
    <x v="7"/>
    <x v="5"/>
    <n v="47"/>
    <d v="1899-12-30T00:42:51"/>
    <n v="42.85"/>
  </r>
  <r>
    <x v="102"/>
    <x v="8"/>
    <x v="0"/>
    <n v="27"/>
    <d v="1899-12-30T00:47:17"/>
    <n v="47.283333333333331"/>
  </r>
  <r>
    <x v="102"/>
    <x v="8"/>
    <x v="1"/>
    <n v="44"/>
    <d v="1899-12-30T01:20:48"/>
    <n v="80.8"/>
  </r>
  <r>
    <x v="102"/>
    <x v="8"/>
    <x v="2"/>
    <n v="25"/>
    <d v="1899-12-30T00:36:14"/>
    <n v="36.233333333333334"/>
  </r>
  <r>
    <x v="102"/>
    <x v="8"/>
    <x v="3"/>
    <n v="41"/>
    <d v="1899-12-30T00:35:17"/>
    <n v="35.283333333333331"/>
  </r>
  <r>
    <x v="102"/>
    <x v="8"/>
    <x v="4"/>
    <n v="44"/>
    <d v="1899-12-30T01:17:37"/>
    <n v="77.61666666666666"/>
  </r>
  <r>
    <x v="102"/>
    <x v="8"/>
    <x v="5"/>
    <n v="23"/>
    <d v="1899-12-30T00:26:04"/>
    <n v="26.066666666666666"/>
  </r>
  <r>
    <x v="102"/>
    <x v="9"/>
    <x v="0"/>
    <n v="51"/>
    <d v="1899-12-30T01:31:22"/>
    <n v="91.36666666666666"/>
  </r>
  <r>
    <x v="102"/>
    <x v="9"/>
    <x v="1"/>
    <n v="81"/>
    <d v="1899-12-30T01:48:21"/>
    <n v="108.35"/>
  </r>
  <r>
    <x v="102"/>
    <x v="9"/>
    <x v="2"/>
    <n v="48"/>
    <d v="1899-12-30T01:04:20"/>
    <n v="64.333333333333329"/>
  </r>
  <r>
    <x v="102"/>
    <x v="9"/>
    <x v="3"/>
    <n v="32"/>
    <d v="1899-12-30T00:32:22"/>
    <n v="32.366666666666667"/>
  </r>
  <r>
    <x v="102"/>
    <x v="9"/>
    <x v="4"/>
    <n v="7"/>
    <d v="1899-12-30T00:13:02"/>
    <n v="13.033333333333333"/>
  </r>
  <r>
    <x v="102"/>
    <x v="9"/>
    <x v="5"/>
    <n v="41"/>
    <d v="1899-12-30T00:46:07"/>
    <n v="46.116666666666667"/>
  </r>
  <r>
    <x v="102"/>
    <x v="10"/>
    <x v="0"/>
    <n v="19"/>
    <d v="1899-12-30T00:34:08"/>
    <n v="34.133333333333333"/>
  </r>
  <r>
    <x v="102"/>
    <x v="10"/>
    <x v="1"/>
    <n v="27"/>
    <d v="1899-12-30T00:49:25"/>
    <n v="49.416666666666664"/>
  </r>
  <r>
    <x v="102"/>
    <x v="10"/>
    <x v="2"/>
    <n v="21"/>
    <d v="1899-12-30T00:36:59"/>
    <n v="36.983333333333334"/>
  </r>
  <r>
    <x v="102"/>
    <x v="10"/>
    <x v="3"/>
    <n v="7"/>
    <d v="1899-12-30T00:07:19"/>
    <n v="7.3166666666666664"/>
  </r>
  <r>
    <x v="102"/>
    <x v="10"/>
    <x v="4"/>
    <n v="1"/>
    <d v="1899-12-30T00:01:05"/>
    <n v="1.0833333333333333"/>
  </r>
  <r>
    <x v="102"/>
    <x v="10"/>
    <x v="5"/>
    <n v="14"/>
    <d v="1899-12-30T00:15:07"/>
    <n v="15.116666666666667"/>
  </r>
  <r>
    <x v="102"/>
    <x v="11"/>
    <x v="0"/>
    <n v="11"/>
    <d v="1899-12-30T00:17:15"/>
    <n v="17.25"/>
  </r>
  <r>
    <x v="102"/>
    <x v="11"/>
    <x v="1"/>
    <n v="17"/>
    <d v="1899-12-30T00:40:27"/>
    <n v="40.450000000000003"/>
  </r>
  <r>
    <x v="102"/>
    <x v="11"/>
    <x v="2"/>
    <n v="8"/>
    <d v="1899-12-30T00:11:43"/>
    <n v="11.716666666666667"/>
  </r>
  <r>
    <x v="102"/>
    <x v="11"/>
    <x v="3"/>
    <n v="4"/>
    <d v="1899-12-30T00:05:07"/>
    <n v="5.1166666666666663"/>
  </r>
  <r>
    <x v="102"/>
    <x v="11"/>
    <x v="4"/>
    <n v="1"/>
    <d v="1899-12-30T00:01:32"/>
    <n v="1.5333333333333332"/>
  </r>
  <r>
    <x v="102"/>
    <x v="11"/>
    <x v="5"/>
    <n v="11"/>
    <d v="1899-12-30T00:14:48"/>
    <n v="14.8"/>
  </r>
  <r>
    <x v="102"/>
    <x v="12"/>
    <x v="0"/>
    <n v="148"/>
    <d v="1899-12-30T04:21:41"/>
    <n v="261.68333333333334"/>
  </r>
  <r>
    <x v="102"/>
    <x v="12"/>
    <x v="1"/>
    <n v="192"/>
    <d v="1899-12-30T04:48:38"/>
    <n v="288.63333333333333"/>
  </r>
  <r>
    <x v="102"/>
    <x v="12"/>
    <x v="2"/>
    <n v="101"/>
    <d v="1899-12-30T02:35:56"/>
    <n v="155.93333333333334"/>
  </r>
  <r>
    <x v="102"/>
    <x v="12"/>
    <x v="3"/>
    <n v="90"/>
    <d v="1899-12-30T01:27:51"/>
    <n v="87.85"/>
  </r>
  <r>
    <x v="102"/>
    <x v="12"/>
    <x v="4"/>
    <n v="32"/>
    <d v="1899-12-30T00:58:10"/>
    <n v="58.166666666666664"/>
  </r>
  <r>
    <x v="102"/>
    <x v="12"/>
    <x v="5"/>
    <n v="132"/>
    <d v="1899-12-30T02:48:11"/>
    <n v="168.18333333333334"/>
  </r>
  <r>
    <x v="102"/>
    <x v="13"/>
    <x v="0"/>
    <n v="57"/>
    <d v="1899-12-30T01:21:59"/>
    <n v="81.983333333333334"/>
  </r>
  <r>
    <x v="102"/>
    <x v="13"/>
    <x v="1"/>
    <n v="66"/>
    <d v="1899-12-30T01:13:53"/>
    <n v="73.88333333333334"/>
  </r>
  <r>
    <x v="102"/>
    <x v="13"/>
    <x v="2"/>
    <n v="53"/>
    <d v="1899-12-30T01:08:48"/>
    <n v="68.8"/>
  </r>
  <r>
    <x v="102"/>
    <x v="13"/>
    <x v="3"/>
    <n v="50"/>
    <d v="1899-12-30T00:57:52"/>
    <n v="57.866666666666667"/>
  </r>
  <r>
    <x v="102"/>
    <x v="13"/>
    <x v="4"/>
    <n v="0"/>
    <d v="1899-12-30T00:00:00"/>
    <n v="0"/>
  </r>
  <r>
    <x v="102"/>
    <x v="13"/>
    <x v="5"/>
    <n v="40"/>
    <d v="1899-12-30T00:42:21"/>
    <n v="42.35"/>
  </r>
  <r>
    <x v="103"/>
    <x v="0"/>
    <x v="0"/>
    <n v="34"/>
    <d v="1899-12-30T00:37:08"/>
    <n v="37.133333333333333"/>
  </r>
  <r>
    <x v="103"/>
    <x v="0"/>
    <x v="1"/>
    <n v="56"/>
    <d v="1899-12-30T01:02:44"/>
    <n v="62.733333333333334"/>
  </r>
  <r>
    <x v="103"/>
    <x v="0"/>
    <x v="2"/>
    <n v="38"/>
    <d v="1899-12-30T00:49:50"/>
    <n v="49.833333333333336"/>
  </r>
  <r>
    <x v="103"/>
    <x v="0"/>
    <x v="3"/>
    <n v="18"/>
    <d v="1899-12-30T00:12:07"/>
    <n v="12.116666666666667"/>
  </r>
  <r>
    <x v="103"/>
    <x v="0"/>
    <x v="4"/>
    <n v="3"/>
    <d v="1899-12-30T00:01:55"/>
    <n v="1.9166666666666665"/>
  </r>
  <r>
    <x v="103"/>
    <x v="0"/>
    <x v="5"/>
    <n v="24"/>
    <d v="1899-12-30T00:22:41"/>
    <n v="22.683333333333334"/>
  </r>
  <r>
    <x v="103"/>
    <x v="1"/>
    <x v="0"/>
    <n v="70"/>
    <d v="1899-12-30T02:26:47"/>
    <n v="146.78333333333333"/>
  </r>
  <r>
    <x v="103"/>
    <x v="1"/>
    <x v="1"/>
    <n v="50"/>
    <d v="1899-12-30T01:56:30"/>
    <n v="116.5"/>
  </r>
  <r>
    <x v="103"/>
    <x v="1"/>
    <x v="2"/>
    <n v="25"/>
    <d v="1899-12-30T00:52:53"/>
    <n v="52.883333333333333"/>
  </r>
  <r>
    <x v="103"/>
    <x v="1"/>
    <x v="3"/>
    <n v="12"/>
    <d v="1899-12-30T00:12:29"/>
    <n v="12.483333333333333"/>
  </r>
  <r>
    <x v="103"/>
    <x v="1"/>
    <x v="4"/>
    <n v="26"/>
    <d v="1899-12-30T01:22:19"/>
    <n v="82.316666666666663"/>
  </r>
  <r>
    <x v="103"/>
    <x v="1"/>
    <x v="5"/>
    <n v="39"/>
    <d v="1899-12-30T01:03:57"/>
    <n v="63.95"/>
  </r>
  <r>
    <x v="103"/>
    <x v="2"/>
    <x v="0"/>
    <n v="62"/>
    <d v="1899-12-30T02:04:30"/>
    <n v="124.5"/>
  </r>
  <r>
    <x v="103"/>
    <x v="2"/>
    <x v="1"/>
    <n v="91"/>
    <d v="1899-12-30T02:52:07"/>
    <n v="172.11666666666667"/>
  </r>
  <r>
    <x v="103"/>
    <x v="2"/>
    <x v="2"/>
    <n v="52"/>
    <d v="1899-12-30T01:41:20"/>
    <n v="101.33333333333333"/>
  </r>
  <r>
    <x v="103"/>
    <x v="2"/>
    <x v="3"/>
    <n v="19"/>
    <d v="1899-12-30T00:25:10"/>
    <n v="25.166666666666668"/>
  </r>
  <r>
    <x v="103"/>
    <x v="2"/>
    <x v="4"/>
    <n v="15"/>
    <d v="1899-12-30T00:36:42"/>
    <n v="36.700000000000003"/>
  </r>
  <r>
    <x v="103"/>
    <x v="2"/>
    <x v="5"/>
    <n v="31"/>
    <d v="1899-12-30T00:46:16"/>
    <n v="46.266666666666666"/>
  </r>
  <r>
    <x v="103"/>
    <x v="3"/>
    <x v="0"/>
    <n v="19"/>
    <d v="1899-12-30T00:35:18"/>
    <n v="35.299999999999997"/>
  </r>
  <r>
    <x v="103"/>
    <x v="3"/>
    <x v="1"/>
    <n v="8"/>
    <d v="1899-12-30T00:14:12"/>
    <n v="14.2"/>
  </r>
  <r>
    <x v="103"/>
    <x v="3"/>
    <x v="2"/>
    <n v="11"/>
    <d v="1899-12-30T00:23:33"/>
    <n v="23.55"/>
  </r>
  <r>
    <x v="103"/>
    <x v="3"/>
    <x v="3"/>
    <n v="5"/>
    <d v="1899-12-30T00:06:02"/>
    <n v="6.0333333333333332"/>
  </r>
  <r>
    <x v="103"/>
    <x v="3"/>
    <x v="4"/>
    <n v="0"/>
    <d v="1899-12-30T00:00:00"/>
    <n v="0"/>
  </r>
  <r>
    <x v="103"/>
    <x v="3"/>
    <x v="5"/>
    <n v="12"/>
    <d v="1899-12-30T00:19:48"/>
    <n v="19.8"/>
  </r>
  <r>
    <x v="103"/>
    <x v="4"/>
    <x v="0"/>
    <n v="26"/>
    <d v="1899-12-30T00:47:06"/>
    <n v="47.1"/>
  </r>
  <r>
    <x v="103"/>
    <x v="4"/>
    <x v="1"/>
    <n v="31"/>
    <d v="1899-12-30T00:48:14"/>
    <n v="48.233333333333334"/>
  </r>
  <r>
    <x v="103"/>
    <x v="4"/>
    <x v="2"/>
    <n v="19"/>
    <d v="1899-12-30T00:30:12"/>
    <n v="30.2"/>
  </r>
  <r>
    <x v="103"/>
    <x v="4"/>
    <x v="3"/>
    <n v="11"/>
    <d v="1899-12-30T00:10:17"/>
    <n v="10.283333333333333"/>
  </r>
  <r>
    <x v="103"/>
    <x v="4"/>
    <x v="4"/>
    <n v="11"/>
    <d v="1899-12-30T00:21:09"/>
    <n v="21.15"/>
  </r>
  <r>
    <x v="103"/>
    <x v="4"/>
    <x v="5"/>
    <n v="7"/>
    <d v="1899-12-30T00:09:23"/>
    <n v="9.3833333333333329"/>
  </r>
  <r>
    <x v="103"/>
    <x v="5"/>
    <x v="0"/>
    <n v="57"/>
    <d v="1899-12-30T01:37:02"/>
    <n v="97.033333333333331"/>
  </r>
  <r>
    <x v="103"/>
    <x v="5"/>
    <x v="1"/>
    <n v="63"/>
    <d v="1899-12-30T01:24:42"/>
    <n v="84.7"/>
  </r>
  <r>
    <x v="103"/>
    <x v="5"/>
    <x v="2"/>
    <n v="49"/>
    <d v="1899-12-30T01:03:02"/>
    <n v="63.033333333333331"/>
  </r>
  <r>
    <x v="103"/>
    <x v="5"/>
    <x v="3"/>
    <n v="42"/>
    <d v="1899-12-30T00:37:40"/>
    <n v="37.666666666666664"/>
  </r>
  <r>
    <x v="103"/>
    <x v="5"/>
    <x v="4"/>
    <n v="5"/>
    <d v="1899-12-30T00:08:43"/>
    <n v="8.7166666666666668"/>
  </r>
  <r>
    <x v="103"/>
    <x v="5"/>
    <x v="5"/>
    <n v="53"/>
    <d v="1899-12-30T01:03:22"/>
    <n v="63.366666666666667"/>
  </r>
  <r>
    <x v="103"/>
    <x v="6"/>
    <x v="0"/>
    <n v="8"/>
    <d v="1899-12-30T00:08:26"/>
    <n v="8.4333333333333336"/>
  </r>
  <r>
    <x v="103"/>
    <x v="6"/>
    <x v="1"/>
    <n v="4"/>
    <d v="1899-12-30T00:03:54"/>
    <n v="3.9"/>
  </r>
  <r>
    <x v="103"/>
    <x v="6"/>
    <x v="2"/>
    <n v="5"/>
    <d v="1899-12-30T00:07:47"/>
    <n v="7.7833333333333332"/>
  </r>
  <r>
    <x v="103"/>
    <x v="6"/>
    <x v="3"/>
    <n v="5"/>
    <d v="1899-12-30T00:05:19"/>
    <n v="5.3166666666666664"/>
  </r>
  <r>
    <x v="103"/>
    <x v="6"/>
    <x v="4"/>
    <n v="6"/>
    <d v="1899-12-30T00:10:08"/>
    <n v="10.133333333333333"/>
  </r>
  <r>
    <x v="103"/>
    <x v="6"/>
    <x v="5"/>
    <n v="2"/>
    <d v="1899-12-30T00:02:12"/>
    <n v="2.2000000000000002"/>
  </r>
  <r>
    <x v="103"/>
    <x v="7"/>
    <x v="0"/>
    <n v="59"/>
    <d v="1899-12-30T01:28:20"/>
    <n v="88.333333333333329"/>
  </r>
  <r>
    <x v="103"/>
    <x v="7"/>
    <x v="1"/>
    <n v="102"/>
    <d v="1899-12-30T02:05:23"/>
    <n v="125.38333333333334"/>
  </r>
  <r>
    <x v="103"/>
    <x v="7"/>
    <x v="2"/>
    <n v="47"/>
    <d v="1899-12-30T00:57:58"/>
    <n v="57.966666666666669"/>
  </r>
  <r>
    <x v="103"/>
    <x v="7"/>
    <x v="3"/>
    <n v="63"/>
    <d v="1899-12-30T01:08:03"/>
    <n v="68.05"/>
  </r>
  <r>
    <x v="103"/>
    <x v="7"/>
    <x v="4"/>
    <n v="110"/>
    <d v="1899-12-30T03:12:58"/>
    <n v="192.96666666666667"/>
  </r>
  <r>
    <x v="103"/>
    <x v="7"/>
    <x v="5"/>
    <n v="53"/>
    <d v="1899-12-30T01:06:52"/>
    <n v="66.86666666666666"/>
  </r>
  <r>
    <x v="103"/>
    <x v="8"/>
    <x v="0"/>
    <n v="17"/>
    <d v="1899-12-30T00:23:09"/>
    <n v="23.15"/>
  </r>
  <r>
    <x v="103"/>
    <x v="8"/>
    <x v="1"/>
    <n v="27"/>
    <d v="1899-12-30T00:42:41"/>
    <n v="42.68333333333333"/>
  </r>
  <r>
    <x v="103"/>
    <x v="8"/>
    <x v="2"/>
    <n v="20"/>
    <d v="1899-12-30T00:32:08"/>
    <n v="32.133333333333333"/>
  </r>
  <r>
    <x v="103"/>
    <x v="8"/>
    <x v="3"/>
    <n v="21"/>
    <d v="1899-12-30T00:19:39"/>
    <n v="19.649999999999999"/>
  </r>
  <r>
    <x v="103"/>
    <x v="8"/>
    <x v="4"/>
    <n v="19"/>
    <d v="1899-12-30T00:31:28"/>
    <n v="31.466666666666665"/>
  </r>
  <r>
    <x v="103"/>
    <x v="8"/>
    <x v="5"/>
    <n v="23"/>
    <d v="1899-12-30T00:27:59"/>
    <n v="27.983333333333334"/>
  </r>
  <r>
    <x v="103"/>
    <x v="9"/>
    <x v="0"/>
    <n v="23"/>
    <d v="1899-12-30T00:36:30"/>
    <n v="36.5"/>
  </r>
  <r>
    <x v="103"/>
    <x v="9"/>
    <x v="1"/>
    <n v="29"/>
    <d v="1899-12-30T00:37:13"/>
    <n v="37.216666666666669"/>
  </r>
  <r>
    <x v="103"/>
    <x v="9"/>
    <x v="2"/>
    <n v="23"/>
    <d v="1899-12-30T00:34:47"/>
    <n v="34.783333333333331"/>
  </r>
  <r>
    <x v="103"/>
    <x v="9"/>
    <x v="3"/>
    <n v="12"/>
    <d v="1899-12-30T00:12:59"/>
    <n v="12.983333333333333"/>
  </r>
  <r>
    <x v="103"/>
    <x v="9"/>
    <x v="4"/>
    <n v="3"/>
    <d v="1899-12-30T00:05:22"/>
    <n v="5.3666666666666663"/>
  </r>
  <r>
    <x v="103"/>
    <x v="9"/>
    <x v="5"/>
    <n v="25"/>
    <d v="1899-12-30T00:25:08"/>
    <n v="25.133333333333333"/>
  </r>
  <r>
    <x v="103"/>
    <x v="10"/>
    <x v="0"/>
    <n v="13"/>
    <d v="1899-12-30T00:26:11"/>
    <n v="26.183333333333334"/>
  </r>
  <r>
    <x v="103"/>
    <x v="10"/>
    <x v="1"/>
    <n v="6"/>
    <d v="1899-12-30T00:12:35"/>
    <n v="12.583333333333334"/>
  </r>
  <r>
    <x v="103"/>
    <x v="10"/>
    <x v="2"/>
    <n v="17"/>
    <d v="1899-12-30T00:32:30"/>
    <n v="32.5"/>
  </r>
  <r>
    <x v="103"/>
    <x v="10"/>
    <x v="3"/>
    <n v="5"/>
    <d v="1899-12-30T00:05:07"/>
    <n v="5.1166666666666663"/>
  </r>
  <r>
    <x v="103"/>
    <x v="10"/>
    <x v="4"/>
    <n v="7"/>
    <d v="1899-12-30T00:14:35"/>
    <n v="14.583333333333334"/>
  </r>
  <r>
    <x v="103"/>
    <x v="10"/>
    <x v="5"/>
    <n v="10"/>
    <d v="1899-12-30T00:15:51"/>
    <n v="15.85"/>
  </r>
  <r>
    <x v="103"/>
    <x v="11"/>
    <x v="0"/>
    <n v="17"/>
    <d v="1899-12-30T00:30:41"/>
    <n v="30.683333333333334"/>
  </r>
  <r>
    <x v="103"/>
    <x v="11"/>
    <x v="1"/>
    <n v="19"/>
    <d v="1899-12-30T00:36:10"/>
    <n v="36.166666666666664"/>
  </r>
  <r>
    <x v="103"/>
    <x v="11"/>
    <x v="2"/>
    <n v="10"/>
    <d v="1899-12-30T00:20:41"/>
    <n v="20.683333333333334"/>
  </r>
  <r>
    <x v="103"/>
    <x v="11"/>
    <x v="3"/>
    <n v="4"/>
    <d v="1899-12-30T00:04:00"/>
    <n v="4"/>
  </r>
  <r>
    <x v="103"/>
    <x v="11"/>
    <x v="4"/>
    <n v="1"/>
    <d v="1899-12-30T00:01:49"/>
    <n v="1.8166666666666667"/>
  </r>
  <r>
    <x v="103"/>
    <x v="11"/>
    <x v="5"/>
    <n v="10"/>
    <d v="1899-12-30T00:13:24"/>
    <n v="13.4"/>
  </r>
  <r>
    <x v="103"/>
    <x v="12"/>
    <x v="0"/>
    <n v="96"/>
    <d v="1899-12-30T02:52:05"/>
    <n v="172.08333333333334"/>
  </r>
  <r>
    <x v="103"/>
    <x v="12"/>
    <x v="1"/>
    <n v="142"/>
    <d v="1899-12-30T04:17:21"/>
    <n v="257.35000000000002"/>
  </r>
  <r>
    <x v="103"/>
    <x v="12"/>
    <x v="2"/>
    <n v="58"/>
    <d v="1899-12-30T01:34:32"/>
    <n v="94.533333333333331"/>
  </r>
  <r>
    <x v="103"/>
    <x v="12"/>
    <x v="3"/>
    <n v="63"/>
    <d v="1899-12-30T01:08:24"/>
    <n v="68.400000000000006"/>
  </r>
  <r>
    <x v="103"/>
    <x v="12"/>
    <x v="4"/>
    <n v="19"/>
    <d v="1899-12-30T00:45:12"/>
    <n v="45.2"/>
  </r>
  <r>
    <x v="103"/>
    <x v="12"/>
    <x v="5"/>
    <n v="88"/>
    <d v="1899-12-30T01:56:29"/>
    <n v="116.48333333333333"/>
  </r>
  <r>
    <x v="103"/>
    <x v="13"/>
    <x v="0"/>
    <n v="44"/>
    <d v="1899-12-30T01:03:55"/>
    <n v="63.916666666666664"/>
  </r>
  <r>
    <x v="103"/>
    <x v="13"/>
    <x v="1"/>
    <n v="52"/>
    <d v="1899-12-30T00:55:54"/>
    <n v="55.9"/>
  </r>
  <r>
    <x v="103"/>
    <x v="13"/>
    <x v="2"/>
    <n v="24"/>
    <d v="1899-12-30T00:30:58"/>
    <n v="30.966666666666665"/>
  </r>
  <r>
    <x v="103"/>
    <x v="13"/>
    <x v="3"/>
    <n v="21"/>
    <d v="1899-12-30T00:21:12"/>
    <n v="21.2"/>
  </r>
  <r>
    <x v="103"/>
    <x v="13"/>
    <x v="4"/>
    <n v="1"/>
    <d v="1899-12-30T00:02:13"/>
    <n v="2.2166666666666668"/>
  </r>
  <r>
    <x v="103"/>
    <x v="13"/>
    <x v="5"/>
    <n v="21"/>
    <d v="1899-12-30T00:21:42"/>
    <n v="21.7"/>
  </r>
  <r>
    <x v="104"/>
    <x v="0"/>
    <x v="0"/>
    <n v="16"/>
    <d v="1899-12-30T00:22:48"/>
    <n v="22.8"/>
  </r>
  <r>
    <x v="104"/>
    <x v="0"/>
    <x v="1"/>
    <n v="30"/>
    <d v="1899-12-30T00:31:25"/>
    <n v="31.416666666666668"/>
  </r>
  <r>
    <x v="104"/>
    <x v="0"/>
    <x v="2"/>
    <n v="17"/>
    <d v="1899-12-30T00:20:57"/>
    <n v="20.95"/>
  </r>
  <r>
    <x v="104"/>
    <x v="0"/>
    <x v="3"/>
    <n v="12"/>
    <d v="1899-12-30T00:11:09"/>
    <n v="11.15"/>
  </r>
  <r>
    <x v="104"/>
    <x v="0"/>
    <x v="4"/>
    <n v="3"/>
    <d v="1899-12-30T00:05:09"/>
    <n v="5.15"/>
  </r>
  <r>
    <x v="104"/>
    <x v="0"/>
    <x v="5"/>
    <n v="19"/>
    <d v="1899-12-30T00:24:15"/>
    <n v="24.25"/>
  </r>
  <r>
    <x v="104"/>
    <x v="1"/>
    <x v="0"/>
    <n v="56"/>
    <d v="1899-12-30T01:44:47"/>
    <n v="104.78333333333333"/>
  </r>
  <r>
    <x v="104"/>
    <x v="1"/>
    <x v="1"/>
    <n v="35"/>
    <d v="1899-12-30T01:56:48"/>
    <n v="116.8"/>
  </r>
  <r>
    <x v="104"/>
    <x v="1"/>
    <x v="2"/>
    <n v="32"/>
    <d v="1899-12-30T01:03:12"/>
    <n v="63.2"/>
  </r>
  <r>
    <x v="104"/>
    <x v="1"/>
    <x v="3"/>
    <n v="7"/>
    <d v="1899-12-30T00:10:10"/>
    <n v="10.166666666666666"/>
  </r>
  <r>
    <x v="104"/>
    <x v="1"/>
    <x v="4"/>
    <n v="27"/>
    <d v="1899-12-30T01:16:14"/>
    <n v="76.233333333333334"/>
  </r>
  <r>
    <x v="104"/>
    <x v="1"/>
    <x v="5"/>
    <n v="43"/>
    <d v="1899-12-30T01:10:51"/>
    <n v="70.849999999999994"/>
  </r>
  <r>
    <x v="104"/>
    <x v="2"/>
    <x v="0"/>
    <n v="53"/>
    <d v="1899-12-30T01:43:10"/>
    <n v="103.16666666666667"/>
  </r>
  <r>
    <x v="104"/>
    <x v="2"/>
    <x v="1"/>
    <n v="74"/>
    <d v="1899-12-30T02:43:09"/>
    <n v="163.15"/>
  </r>
  <r>
    <x v="104"/>
    <x v="2"/>
    <x v="2"/>
    <n v="42"/>
    <d v="1899-12-30T01:14:25"/>
    <n v="74.416666666666671"/>
  </r>
  <r>
    <x v="104"/>
    <x v="2"/>
    <x v="3"/>
    <n v="34"/>
    <d v="1899-12-30T00:37:45"/>
    <n v="37.75"/>
  </r>
  <r>
    <x v="104"/>
    <x v="2"/>
    <x v="4"/>
    <n v="16"/>
    <d v="1899-12-30T00:38:37"/>
    <n v="38.616666666666667"/>
  </r>
  <r>
    <x v="104"/>
    <x v="2"/>
    <x v="5"/>
    <n v="27"/>
    <d v="1899-12-30T00:45:18"/>
    <n v="45.3"/>
  </r>
  <r>
    <x v="104"/>
    <x v="3"/>
    <x v="0"/>
    <n v="21"/>
    <d v="1899-12-30T00:42:16"/>
    <n v="42.266666666666666"/>
  </r>
  <r>
    <x v="104"/>
    <x v="3"/>
    <x v="1"/>
    <n v="30"/>
    <d v="1899-12-30T01:14:40"/>
    <n v="74.666666666666671"/>
  </r>
  <r>
    <x v="104"/>
    <x v="3"/>
    <x v="2"/>
    <n v="10"/>
    <d v="1899-12-30T00:21:45"/>
    <n v="21.75"/>
  </r>
  <r>
    <x v="104"/>
    <x v="3"/>
    <x v="3"/>
    <n v="8"/>
    <d v="1899-12-30T00:08:38"/>
    <n v="8.6333333333333329"/>
  </r>
  <r>
    <x v="104"/>
    <x v="3"/>
    <x v="4"/>
    <n v="2"/>
    <d v="1899-12-30T00:03:31"/>
    <n v="3.5166666666666666"/>
  </r>
  <r>
    <x v="104"/>
    <x v="3"/>
    <x v="5"/>
    <n v="19"/>
    <d v="1899-12-30T00:29:17"/>
    <n v="29.283333333333335"/>
  </r>
  <r>
    <x v="104"/>
    <x v="4"/>
    <x v="0"/>
    <n v="23"/>
    <d v="1899-12-30T00:40:28"/>
    <n v="40.466666666666669"/>
  </r>
  <r>
    <x v="104"/>
    <x v="4"/>
    <x v="1"/>
    <n v="39"/>
    <d v="1899-12-30T00:53:07"/>
    <n v="53.116666666666667"/>
  </r>
  <r>
    <x v="104"/>
    <x v="4"/>
    <x v="2"/>
    <n v="22"/>
    <d v="1899-12-30T00:39:02"/>
    <n v="39.033333333333331"/>
  </r>
  <r>
    <x v="104"/>
    <x v="4"/>
    <x v="3"/>
    <n v="15"/>
    <d v="1899-12-30T00:09:37"/>
    <n v="9.6166666666666671"/>
  </r>
  <r>
    <x v="104"/>
    <x v="4"/>
    <x v="4"/>
    <n v="13"/>
    <d v="1899-12-30T00:26:11"/>
    <n v="26.183333333333334"/>
  </r>
  <r>
    <x v="104"/>
    <x v="4"/>
    <x v="5"/>
    <n v="15"/>
    <d v="1899-12-30T00:16:45"/>
    <n v="16.75"/>
  </r>
  <r>
    <x v="104"/>
    <x v="5"/>
    <x v="0"/>
    <n v="47"/>
    <d v="1899-12-30T01:19:06"/>
    <n v="79.099999999999994"/>
  </r>
  <r>
    <x v="104"/>
    <x v="5"/>
    <x v="1"/>
    <n v="61"/>
    <d v="1899-12-30T01:18:28"/>
    <n v="78.466666666666669"/>
  </r>
  <r>
    <x v="104"/>
    <x v="5"/>
    <x v="2"/>
    <n v="41"/>
    <d v="1899-12-30T00:59:16"/>
    <n v="59.266666666666666"/>
  </r>
  <r>
    <x v="104"/>
    <x v="5"/>
    <x v="3"/>
    <n v="17"/>
    <d v="1899-12-30T00:18:02"/>
    <n v="18.033333333333335"/>
  </r>
  <r>
    <x v="104"/>
    <x v="5"/>
    <x v="4"/>
    <n v="1"/>
    <d v="1899-12-30T00:02:14"/>
    <n v="2.2333333333333334"/>
  </r>
  <r>
    <x v="104"/>
    <x v="5"/>
    <x v="5"/>
    <n v="56"/>
    <d v="1899-12-30T02:44:35"/>
    <n v="164.58333333333334"/>
  </r>
  <r>
    <x v="104"/>
    <x v="6"/>
    <x v="0"/>
    <n v="5"/>
    <d v="1899-12-30T00:07:30"/>
    <n v="7.5"/>
  </r>
  <r>
    <x v="104"/>
    <x v="6"/>
    <x v="1"/>
    <n v="13"/>
    <d v="1899-12-30T00:28:28"/>
    <n v="28.466666666666665"/>
  </r>
  <r>
    <x v="104"/>
    <x v="6"/>
    <x v="2"/>
    <n v="6"/>
    <d v="1899-12-30T00:12:05"/>
    <n v="12.083333333333334"/>
  </r>
  <r>
    <x v="104"/>
    <x v="6"/>
    <x v="3"/>
    <n v="5"/>
    <d v="1899-12-30T00:07:46"/>
    <n v="7.7666666666666666"/>
  </r>
  <r>
    <x v="104"/>
    <x v="6"/>
    <x v="4"/>
    <n v="4"/>
    <d v="1899-12-30T00:10:45"/>
    <n v="10.75"/>
  </r>
  <r>
    <x v="104"/>
    <x v="6"/>
    <x v="5"/>
    <n v="4"/>
    <d v="1899-12-30T00:03:58"/>
    <n v="3.9666666666666668"/>
  </r>
  <r>
    <x v="104"/>
    <x v="7"/>
    <x v="0"/>
    <n v="95"/>
    <d v="1899-12-30T02:41:33"/>
    <n v="161.55000000000001"/>
  </r>
  <r>
    <x v="104"/>
    <x v="7"/>
    <x v="1"/>
    <n v="120"/>
    <d v="1899-12-30T02:33:12"/>
    <n v="153.19999999999999"/>
  </r>
  <r>
    <x v="104"/>
    <x v="7"/>
    <x v="2"/>
    <n v="76"/>
    <d v="1899-12-30T01:49:29"/>
    <n v="109.48333333333333"/>
  </r>
  <r>
    <x v="104"/>
    <x v="7"/>
    <x v="3"/>
    <n v="53"/>
    <d v="1899-12-30T00:48:54"/>
    <n v="48.9"/>
  </r>
  <r>
    <x v="104"/>
    <x v="7"/>
    <x v="4"/>
    <n v="120"/>
    <d v="1899-12-30T03:30:25"/>
    <n v="210.41666666666666"/>
  </r>
  <r>
    <x v="104"/>
    <x v="7"/>
    <x v="5"/>
    <n v="65"/>
    <d v="1899-12-30T01:28:04"/>
    <n v="88.066666666666663"/>
  </r>
  <r>
    <x v="104"/>
    <x v="8"/>
    <x v="0"/>
    <n v="14"/>
    <d v="1899-12-30T00:21:16"/>
    <n v="21.266666666666666"/>
  </r>
  <r>
    <x v="104"/>
    <x v="8"/>
    <x v="1"/>
    <n v="17"/>
    <d v="1899-12-30T00:25:43"/>
    <n v="25.716666666666665"/>
  </r>
  <r>
    <x v="104"/>
    <x v="8"/>
    <x v="2"/>
    <n v="19"/>
    <d v="1899-12-30T00:27:45"/>
    <n v="27.75"/>
  </r>
  <r>
    <x v="104"/>
    <x v="8"/>
    <x v="3"/>
    <n v="15"/>
    <d v="1899-12-30T00:18:05"/>
    <n v="18.083333333333332"/>
  </r>
  <r>
    <x v="104"/>
    <x v="8"/>
    <x v="4"/>
    <n v="13"/>
    <d v="1899-12-30T00:18:45"/>
    <n v="18.75"/>
  </r>
  <r>
    <x v="104"/>
    <x v="8"/>
    <x v="5"/>
    <n v="18"/>
    <d v="1899-12-30T00:27:27"/>
    <n v="27.45"/>
  </r>
  <r>
    <x v="104"/>
    <x v="9"/>
    <x v="0"/>
    <n v="30"/>
    <d v="1899-12-30T00:51:33"/>
    <n v="51.55"/>
  </r>
  <r>
    <x v="104"/>
    <x v="9"/>
    <x v="1"/>
    <n v="45"/>
    <d v="1899-12-30T00:55:28"/>
    <n v="55.466666666666669"/>
  </r>
  <r>
    <x v="104"/>
    <x v="9"/>
    <x v="2"/>
    <n v="32"/>
    <d v="1899-12-30T00:44:02"/>
    <n v="44.033333333333331"/>
  </r>
  <r>
    <x v="104"/>
    <x v="9"/>
    <x v="3"/>
    <n v="15"/>
    <d v="1899-12-30T00:14:49"/>
    <n v="14.816666666666666"/>
  </r>
  <r>
    <x v="104"/>
    <x v="9"/>
    <x v="4"/>
    <n v="6"/>
    <d v="1899-12-30T00:10:58"/>
    <n v="10.966666666666667"/>
  </r>
  <r>
    <x v="104"/>
    <x v="9"/>
    <x v="5"/>
    <n v="27"/>
    <d v="1899-12-30T00:27:17"/>
    <n v="27.283333333333335"/>
  </r>
  <r>
    <x v="104"/>
    <x v="10"/>
    <x v="0"/>
    <n v="18"/>
    <d v="1899-12-30T00:36:59"/>
    <n v="36.983333333333334"/>
  </r>
  <r>
    <x v="104"/>
    <x v="10"/>
    <x v="1"/>
    <n v="17"/>
    <d v="1899-12-30T00:45:43"/>
    <n v="45.716666666666669"/>
  </r>
  <r>
    <x v="104"/>
    <x v="10"/>
    <x v="2"/>
    <n v="16"/>
    <d v="1899-12-30T00:29:13"/>
    <n v="29.216666666666665"/>
  </r>
  <r>
    <x v="104"/>
    <x v="10"/>
    <x v="3"/>
    <n v="9"/>
    <d v="1899-12-30T00:10:38"/>
    <n v="10.633333333333333"/>
  </r>
  <r>
    <x v="104"/>
    <x v="10"/>
    <x v="4"/>
    <n v="3"/>
    <d v="1899-12-30T00:10:17"/>
    <n v="10.283333333333333"/>
  </r>
  <r>
    <x v="104"/>
    <x v="10"/>
    <x v="5"/>
    <n v="9"/>
    <d v="1899-12-30T00:15:17"/>
    <n v="15.283333333333333"/>
  </r>
  <r>
    <x v="104"/>
    <x v="11"/>
    <x v="0"/>
    <n v="15"/>
    <d v="1899-12-30T00:26:57"/>
    <n v="26.95"/>
  </r>
  <r>
    <x v="104"/>
    <x v="11"/>
    <x v="1"/>
    <n v="7"/>
    <d v="1899-12-30T00:12:38"/>
    <n v="12.633333333333333"/>
  </r>
  <r>
    <x v="104"/>
    <x v="11"/>
    <x v="2"/>
    <n v="4"/>
    <d v="1899-12-30T00:08:13"/>
    <n v="8.2166666666666668"/>
  </r>
  <r>
    <x v="104"/>
    <x v="11"/>
    <x v="3"/>
    <n v="6"/>
    <d v="1899-12-30T00:05:21"/>
    <n v="5.35"/>
  </r>
  <r>
    <x v="104"/>
    <x v="11"/>
    <x v="4"/>
    <n v="1"/>
    <d v="1899-12-30T00:00:56"/>
    <n v="0.93333333333333335"/>
  </r>
  <r>
    <x v="104"/>
    <x v="11"/>
    <x v="5"/>
    <n v="5"/>
    <d v="1899-12-30T00:10:13"/>
    <n v="10.216666666666667"/>
  </r>
  <r>
    <x v="104"/>
    <x v="12"/>
    <x v="0"/>
    <n v="75"/>
    <d v="1899-12-30T02:16:23"/>
    <n v="136.38333333333333"/>
  </r>
  <r>
    <x v="104"/>
    <x v="12"/>
    <x v="1"/>
    <n v="92"/>
    <d v="1899-12-30T03:22:52"/>
    <n v="202.86666666666667"/>
  </r>
  <r>
    <x v="104"/>
    <x v="12"/>
    <x v="2"/>
    <n v="64"/>
    <d v="1899-12-30T01:38:39"/>
    <n v="98.65"/>
  </r>
  <r>
    <x v="104"/>
    <x v="12"/>
    <x v="3"/>
    <n v="41"/>
    <d v="1899-12-30T00:48:07"/>
    <n v="48.116666666666667"/>
  </r>
  <r>
    <x v="104"/>
    <x v="12"/>
    <x v="4"/>
    <n v="22"/>
    <d v="1899-12-30T00:44:59"/>
    <n v="44.983333333333334"/>
  </r>
  <r>
    <x v="104"/>
    <x v="12"/>
    <x v="5"/>
    <n v="77"/>
    <d v="1899-12-30T01:50:17"/>
    <n v="110.28333333333333"/>
  </r>
  <r>
    <x v="104"/>
    <x v="13"/>
    <x v="0"/>
    <n v="44"/>
    <d v="1899-12-30T01:11:59"/>
    <n v="71.983333333333334"/>
  </r>
  <r>
    <x v="104"/>
    <x v="13"/>
    <x v="1"/>
    <n v="39"/>
    <d v="1899-12-30T00:54:52"/>
    <n v="54.866666666666667"/>
  </r>
  <r>
    <x v="104"/>
    <x v="13"/>
    <x v="2"/>
    <n v="14"/>
    <d v="1899-12-30T00:18:36"/>
    <n v="18.600000000000001"/>
  </r>
  <r>
    <x v="104"/>
    <x v="13"/>
    <x v="3"/>
    <n v="15"/>
    <d v="1899-12-30T00:11:19"/>
    <n v="11.316666666666666"/>
  </r>
  <r>
    <x v="104"/>
    <x v="13"/>
    <x v="4"/>
    <n v="1"/>
    <d v="1899-12-30T00:00:20"/>
    <n v="0.33333333333333331"/>
  </r>
  <r>
    <x v="104"/>
    <x v="13"/>
    <x v="5"/>
    <n v="27"/>
    <d v="1899-12-30T00:32:34"/>
    <n v="32.56666666666667"/>
  </r>
  <r>
    <x v="105"/>
    <x v="0"/>
    <x v="0"/>
    <n v="40"/>
    <d v="1899-12-30T00:56:21"/>
    <n v="56.35"/>
  </r>
  <r>
    <x v="105"/>
    <x v="0"/>
    <x v="1"/>
    <n v="63"/>
    <d v="1899-12-30T01:07:31"/>
    <n v="67.516666666666666"/>
  </r>
  <r>
    <x v="105"/>
    <x v="0"/>
    <x v="2"/>
    <n v="42"/>
    <d v="1899-12-30T00:50:24"/>
    <n v="50.4"/>
  </r>
  <r>
    <x v="105"/>
    <x v="0"/>
    <x v="3"/>
    <n v="15"/>
    <d v="1899-12-30T00:14:51"/>
    <n v="14.85"/>
  </r>
  <r>
    <x v="105"/>
    <x v="0"/>
    <x v="4"/>
    <n v="18"/>
    <d v="1899-12-30T00:27:07"/>
    <n v="27.116666666666667"/>
  </r>
  <r>
    <x v="105"/>
    <x v="0"/>
    <x v="5"/>
    <n v="33"/>
    <d v="1899-12-30T00:35:53"/>
    <n v="35.883333333333333"/>
  </r>
  <r>
    <x v="105"/>
    <x v="1"/>
    <x v="0"/>
    <n v="71"/>
    <d v="1899-12-30T02:35:19"/>
    <n v="155.31666666666666"/>
  </r>
  <r>
    <x v="105"/>
    <x v="1"/>
    <x v="1"/>
    <n v="49"/>
    <d v="1899-12-30T01:57:41"/>
    <n v="117.68333333333334"/>
  </r>
  <r>
    <x v="105"/>
    <x v="1"/>
    <x v="2"/>
    <n v="26"/>
    <d v="1899-12-30T00:56:36"/>
    <n v="56.6"/>
  </r>
  <r>
    <x v="105"/>
    <x v="1"/>
    <x v="3"/>
    <n v="14"/>
    <d v="1899-12-30T00:13:25"/>
    <n v="13.416666666666666"/>
  </r>
  <r>
    <x v="105"/>
    <x v="1"/>
    <x v="4"/>
    <n v="34"/>
    <d v="1899-12-30T01:22:31"/>
    <n v="82.516666666666666"/>
  </r>
  <r>
    <x v="105"/>
    <x v="1"/>
    <x v="5"/>
    <n v="65"/>
    <d v="1899-12-30T01:49:48"/>
    <n v="109.8"/>
  </r>
  <r>
    <x v="105"/>
    <x v="2"/>
    <x v="0"/>
    <n v="88"/>
    <d v="1899-12-30T02:40:33"/>
    <n v="160.55000000000001"/>
  </r>
  <r>
    <x v="105"/>
    <x v="2"/>
    <x v="1"/>
    <n v="117"/>
    <d v="1899-12-30T03:18:05"/>
    <n v="198.08333333333334"/>
  </r>
  <r>
    <x v="105"/>
    <x v="2"/>
    <x v="2"/>
    <n v="87"/>
    <d v="1899-12-30T02:44:00"/>
    <n v="164"/>
  </r>
  <r>
    <x v="105"/>
    <x v="2"/>
    <x v="3"/>
    <n v="46"/>
    <d v="1899-12-30T00:52:07"/>
    <n v="52.116666666666667"/>
  </r>
  <r>
    <x v="105"/>
    <x v="2"/>
    <x v="4"/>
    <n v="23"/>
    <d v="1899-12-30T00:53:56"/>
    <n v="53.93333333333333"/>
  </r>
  <r>
    <x v="105"/>
    <x v="2"/>
    <x v="5"/>
    <n v="57"/>
    <d v="1899-12-30T01:29:08"/>
    <n v="89.13333333333334"/>
  </r>
  <r>
    <x v="105"/>
    <x v="3"/>
    <x v="0"/>
    <n v="19"/>
    <d v="1899-12-30T00:43:33"/>
    <n v="43.55"/>
  </r>
  <r>
    <x v="105"/>
    <x v="3"/>
    <x v="1"/>
    <n v="17"/>
    <d v="1899-12-30T00:52:06"/>
    <n v="52.1"/>
  </r>
  <r>
    <x v="105"/>
    <x v="3"/>
    <x v="2"/>
    <n v="10"/>
    <d v="1899-12-30T00:22:33"/>
    <n v="22.55"/>
  </r>
  <r>
    <x v="105"/>
    <x v="3"/>
    <x v="3"/>
    <n v="1"/>
    <d v="1899-12-30T00:01:01"/>
    <n v="1.0166666666666666"/>
  </r>
  <r>
    <x v="105"/>
    <x v="3"/>
    <x v="4"/>
    <n v="1"/>
    <d v="1899-12-30T00:03:03"/>
    <n v="3.05"/>
  </r>
  <r>
    <x v="105"/>
    <x v="3"/>
    <x v="5"/>
    <n v="4"/>
    <d v="1899-12-30T00:06:42"/>
    <n v="6.7"/>
  </r>
  <r>
    <x v="105"/>
    <x v="4"/>
    <x v="0"/>
    <n v="20"/>
    <d v="1899-12-30T00:31:24"/>
    <n v="31.4"/>
  </r>
  <r>
    <x v="105"/>
    <x v="4"/>
    <x v="1"/>
    <n v="36"/>
    <d v="1899-12-30T01:03:19"/>
    <n v="63.31666666666667"/>
  </r>
  <r>
    <x v="105"/>
    <x v="4"/>
    <x v="2"/>
    <n v="15"/>
    <d v="1899-12-30T00:14:34"/>
    <n v="14.566666666666666"/>
  </r>
  <r>
    <x v="105"/>
    <x v="4"/>
    <x v="3"/>
    <n v="15"/>
    <d v="1899-12-30T00:15:32"/>
    <n v="15.533333333333333"/>
  </r>
  <r>
    <x v="105"/>
    <x v="4"/>
    <x v="4"/>
    <n v="7"/>
    <d v="1899-12-30T00:13:05"/>
    <n v="13.083333333333334"/>
  </r>
  <r>
    <x v="105"/>
    <x v="4"/>
    <x v="5"/>
    <n v="14"/>
    <d v="1899-12-30T00:13:45"/>
    <n v="13.75"/>
  </r>
  <r>
    <x v="105"/>
    <x v="5"/>
    <x v="0"/>
    <n v="31"/>
    <d v="1899-12-30T00:41:44"/>
    <n v="41.733333333333334"/>
  </r>
  <r>
    <x v="105"/>
    <x v="5"/>
    <x v="1"/>
    <n v="37"/>
    <d v="1899-12-30T00:48:50"/>
    <n v="48.833333333333336"/>
  </r>
  <r>
    <x v="105"/>
    <x v="5"/>
    <x v="2"/>
    <n v="34"/>
    <d v="1899-12-30T00:48:58"/>
    <n v="48.966666666666669"/>
  </r>
  <r>
    <x v="105"/>
    <x v="5"/>
    <x v="3"/>
    <n v="13"/>
    <d v="1899-12-30T00:17:00"/>
    <n v="17"/>
  </r>
  <r>
    <x v="105"/>
    <x v="5"/>
    <x v="4"/>
    <n v="1"/>
    <d v="1899-12-30T00:00:21"/>
    <n v="0.35"/>
  </r>
  <r>
    <x v="105"/>
    <x v="5"/>
    <x v="5"/>
    <n v="44"/>
    <d v="1899-12-30T00:53:59"/>
    <n v="53.983333333333334"/>
  </r>
  <r>
    <x v="105"/>
    <x v="6"/>
    <x v="0"/>
    <n v="11"/>
    <d v="1899-12-30T00:18:43"/>
    <n v="18.716666666666665"/>
  </r>
  <r>
    <x v="105"/>
    <x v="6"/>
    <x v="1"/>
    <n v="15"/>
    <d v="1899-12-30T00:25:39"/>
    <n v="25.65"/>
  </r>
  <r>
    <x v="105"/>
    <x v="6"/>
    <x v="2"/>
    <n v="14"/>
    <d v="1899-12-30T00:21:48"/>
    <n v="21.8"/>
  </r>
  <r>
    <x v="105"/>
    <x v="6"/>
    <x v="3"/>
    <n v="4"/>
    <d v="1899-12-30T00:02:38"/>
    <n v="2.6333333333333333"/>
  </r>
  <r>
    <x v="105"/>
    <x v="6"/>
    <x v="4"/>
    <n v="13"/>
    <d v="1899-12-30T00:24:33"/>
    <n v="24.55"/>
  </r>
  <r>
    <x v="105"/>
    <x v="6"/>
    <x v="5"/>
    <n v="10"/>
    <d v="1899-12-30T00:06:49"/>
    <n v="6.8166666666666664"/>
  </r>
  <r>
    <x v="105"/>
    <x v="7"/>
    <x v="0"/>
    <n v="71"/>
    <d v="1899-12-30T01:52:27"/>
    <n v="112.45"/>
  </r>
  <r>
    <x v="105"/>
    <x v="7"/>
    <x v="1"/>
    <n v="97"/>
    <d v="1899-12-30T02:11:00"/>
    <n v="131"/>
  </r>
  <r>
    <x v="105"/>
    <x v="7"/>
    <x v="2"/>
    <n v="38"/>
    <d v="1899-12-30T00:48:31"/>
    <n v="48.516666666666666"/>
  </r>
  <r>
    <x v="105"/>
    <x v="7"/>
    <x v="3"/>
    <n v="63"/>
    <d v="1899-12-30T01:10:06"/>
    <n v="70.099999999999994"/>
  </r>
  <r>
    <x v="105"/>
    <x v="7"/>
    <x v="4"/>
    <n v="125"/>
    <d v="1899-12-30T03:33:20"/>
    <n v="213.33333333333334"/>
  </r>
  <r>
    <x v="105"/>
    <x v="7"/>
    <x v="5"/>
    <n v="43"/>
    <d v="1899-12-30T00:47:41"/>
    <n v="47.68333333333333"/>
  </r>
  <r>
    <x v="105"/>
    <x v="8"/>
    <x v="0"/>
    <n v="30"/>
    <d v="1899-12-30T00:56:26"/>
    <n v="56.43333333333333"/>
  </r>
  <r>
    <x v="105"/>
    <x v="8"/>
    <x v="1"/>
    <n v="31"/>
    <d v="1899-12-30T00:51:10"/>
    <n v="51.166666666666664"/>
  </r>
  <r>
    <x v="105"/>
    <x v="8"/>
    <x v="2"/>
    <n v="34"/>
    <d v="1899-12-30T00:42:47"/>
    <n v="42.783333333333331"/>
  </r>
  <r>
    <x v="105"/>
    <x v="8"/>
    <x v="3"/>
    <n v="18"/>
    <d v="1899-12-30T00:15:40"/>
    <n v="15.666666666666666"/>
  </r>
  <r>
    <x v="105"/>
    <x v="8"/>
    <x v="4"/>
    <n v="14"/>
    <d v="1899-12-30T00:21:04"/>
    <n v="21.066666666666666"/>
  </r>
  <r>
    <x v="105"/>
    <x v="8"/>
    <x v="5"/>
    <n v="28"/>
    <d v="1899-12-30T00:36:31"/>
    <n v="36.516666666666666"/>
  </r>
  <r>
    <x v="105"/>
    <x v="9"/>
    <x v="0"/>
    <n v="63"/>
    <d v="1899-12-30T01:45:47"/>
    <n v="105.78333333333333"/>
  </r>
  <r>
    <x v="105"/>
    <x v="9"/>
    <x v="1"/>
    <n v="89"/>
    <d v="1899-12-30T02:14:11"/>
    <n v="134.18333333333334"/>
  </r>
  <r>
    <x v="105"/>
    <x v="9"/>
    <x v="2"/>
    <n v="50"/>
    <d v="1899-12-30T01:19:20"/>
    <n v="79.333333333333329"/>
  </r>
  <r>
    <x v="105"/>
    <x v="9"/>
    <x v="3"/>
    <n v="34"/>
    <d v="1899-12-30T00:42:43"/>
    <n v="42.716666666666669"/>
  </r>
  <r>
    <x v="105"/>
    <x v="9"/>
    <x v="4"/>
    <n v="15"/>
    <d v="1899-12-30T00:28:35"/>
    <n v="28.583333333333332"/>
  </r>
  <r>
    <x v="105"/>
    <x v="9"/>
    <x v="5"/>
    <n v="55"/>
    <d v="1899-12-30T01:04:07"/>
    <n v="64.11666666666666"/>
  </r>
  <r>
    <x v="105"/>
    <x v="10"/>
    <x v="0"/>
    <n v="32"/>
    <d v="1899-12-30T00:59:14"/>
    <n v="59.233333333333334"/>
  </r>
  <r>
    <x v="105"/>
    <x v="10"/>
    <x v="1"/>
    <n v="24"/>
    <d v="1899-12-30T00:44:59"/>
    <n v="44.983333333333334"/>
  </r>
  <r>
    <x v="105"/>
    <x v="10"/>
    <x v="2"/>
    <n v="25"/>
    <d v="1899-12-30T00:45:41"/>
    <n v="45.68333333333333"/>
  </r>
  <r>
    <x v="105"/>
    <x v="10"/>
    <x v="3"/>
    <n v="12"/>
    <d v="1899-12-30T00:17:08"/>
    <n v="17.133333333333333"/>
  </r>
  <r>
    <x v="105"/>
    <x v="10"/>
    <x v="4"/>
    <n v="5"/>
    <d v="1899-12-30T00:13:11"/>
    <n v="13.183333333333334"/>
  </r>
  <r>
    <x v="105"/>
    <x v="10"/>
    <x v="5"/>
    <n v="27"/>
    <d v="1899-12-30T00:41:15"/>
    <n v="41.25"/>
  </r>
  <r>
    <x v="105"/>
    <x v="11"/>
    <x v="0"/>
    <n v="11"/>
    <d v="1899-12-30T00:27:47"/>
    <n v="27.783333333333335"/>
  </r>
  <r>
    <x v="105"/>
    <x v="11"/>
    <x v="1"/>
    <n v="21"/>
    <d v="1899-12-30T00:38:41"/>
    <n v="38.68333333333333"/>
  </r>
  <r>
    <x v="105"/>
    <x v="11"/>
    <x v="2"/>
    <n v="7"/>
    <d v="1899-12-30T00:12:12"/>
    <n v="12.2"/>
  </r>
  <r>
    <x v="105"/>
    <x v="11"/>
    <x v="3"/>
    <n v="11"/>
    <d v="1899-12-30T00:08:55"/>
    <n v="8.9166666666666661"/>
  </r>
  <r>
    <x v="105"/>
    <x v="11"/>
    <x v="4"/>
    <n v="5"/>
    <d v="1899-12-30T00:11:19"/>
    <n v="11.316666666666666"/>
  </r>
  <r>
    <x v="105"/>
    <x v="11"/>
    <x v="5"/>
    <n v="11"/>
    <d v="1899-12-30T00:11:31"/>
    <n v="11.516666666666667"/>
  </r>
  <r>
    <x v="105"/>
    <x v="12"/>
    <x v="0"/>
    <n v="101"/>
    <d v="1899-12-30T02:53:27"/>
    <n v="173.45"/>
  </r>
  <r>
    <x v="105"/>
    <x v="12"/>
    <x v="1"/>
    <n v="157"/>
    <d v="1899-12-30T05:50:22"/>
    <n v="350.36666666666667"/>
  </r>
  <r>
    <x v="105"/>
    <x v="12"/>
    <x v="2"/>
    <n v="84"/>
    <d v="1899-12-30T02:22:46"/>
    <n v="142.76666666666668"/>
  </r>
  <r>
    <x v="105"/>
    <x v="12"/>
    <x v="3"/>
    <n v="70"/>
    <d v="1899-12-30T01:12:28"/>
    <n v="72.466666666666669"/>
  </r>
  <r>
    <x v="105"/>
    <x v="12"/>
    <x v="4"/>
    <n v="39"/>
    <d v="1899-12-30T01:18:01"/>
    <n v="78.016666666666666"/>
  </r>
  <r>
    <x v="105"/>
    <x v="12"/>
    <x v="5"/>
    <n v="128"/>
    <d v="1899-12-30T03:00:38"/>
    <n v="180.63333333333333"/>
  </r>
  <r>
    <x v="105"/>
    <x v="13"/>
    <x v="0"/>
    <n v="52"/>
    <d v="1899-12-30T01:25:47"/>
    <n v="85.783333333333331"/>
  </r>
  <r>
    <x v="105"/>
    <x v="13"/>
    <x v="1"/>
    <n v="40"/>
    <d v="1899-12-30T00:44:53"/>
    <n v="44.883333333333333"/>
  </r>
  <r>
    <x v="105"/>
    <x v="13"/>
    <x v="2"/>
    <n v="31"/>
    <d v="1899-12-30T00:25:32"/>
    <n v="25.533333333333335"/>
  </r>
  <r>
    <x v="105"/>
    <x v="13"/>
    <x v="3"/>
    <n v="15"/>
    <d v="1899-12-30T00:15:27"/>
    <n v="15.45"/>
  </r>
  <r>
    <x v="105"/>
    <x v="13"/>
    <x v="4"/>
    <n v="1"/>
    <d v="1899-12-30T00:03:07"/>
    <n v="3.1166666666666667"/>
  </r>
  <r>
    <x v="105"/>
    <x v="13"/>
    <x v="5"/>
    <n v="22"/>
    <d v="1899-12-30T00:20:23"/>
    <n v="20.383333333333333"/>
  </r>
  <r>
    <x v="106"/>
    <x v="0"/>
    <x v="0"/>
    <n v="48"/>
    <d v="1899-12-30T01:23:00"/>
    <n v="83"/>
  </r>
  <r>
    <x v="106"/>
    <x v="0"/>
    <x v="1"/>
    <n v="57"/>
    <d v="1899-12-30T01:20:11"/>
    <n v="80.183333333333337"/>
  </r>
  <r>
    <x v="106"/>
    <x v="0"/>
    <x v="2"/>
    <n v="34"/>
    <d v="1899-12-30T00:46:48"/>
    <n v="46.8"/>
  </r>
  <r>
    <x v="106"/>
    <x v="0"/>
    <x v="3"/>
    <n v="17"/>
    <d v="1899-12-30T00:17:05"/>
    <n v="17.083333333333332"/>
  </r>
  <r>
    <x v="106"/>
    <x v="0"/>
    <x v="4"/>
    <n v="11"/>
    <d v="1899-12-30T00:17:38"/>
    <n v="17.633333333333333"/>
  </r>
  <r>
    <x v="106"/>
    <x v="0"/>
    <x v="5"/>
    <n v="22"/>
    <d v="1899-12-30T00:26:24"/>
    <n v="26.4"/>
  </r>
  <r>
    <x v="106"/>
    <x v="1"/>
    <x v="0"/>
    <n v="47"/>
    <d v="1899-12-30T01:45:25"/>
    <n v="105.41666666666667"/>
  </r>
  <r>
    <x v="106"/>
    <x v="1"/>
    <x v="1"/>
    <n v="41"/>
    <d v="1899-12-30T01:24:08"/>
    <n v="84.13333333333334"/>
  </r>
  <r>
    <x v="106"/>
    <x v="1"/>
    <x v="2"/>
    <n v="13"/>
    <d v="1899-12-30T00:26:36"/>
    <n v="26.6"/>
  </r>
  <r>
    <x v="106"/>
    <x v="1"/>
    <x v="3"/>
    <n v="16"/>
    <d v="1899-12-30T00:13:40"/>
    <n v="13.666666666666666"/>
  </r>
  <r>
    <x v="106"/>
    <x v="1"/>
    <x v="4"/>
    <n v="25"/>
    <d v="1899-12-30T01:09:09"/>
    <n v="69.150000000000006"/>
  </r>
  <r>
    <x v="106"/>
    <x v="1"/>
    <x v="5"/>
    <n v="45"/>
    <d v="1899-12-30T01:22:02"/>
    <n v="82.033333333333331"/>
  </r>
  <r>
    <x v="106"/>
    <x v="2"/>
    <x v="0"/>
    <n v="92"/>
    <d v="1899-12-30T02:34:03"/>
    <n v="154.05000000000001"/>
  </r>
  <r>
    <x v="106"/>
    <x v="2"/>
    <x v="1"/>
    <n v="109"/>
    <d v="1899-12-30T03:16:57"/>
    <n v="196.95"/>
  </r>
  <r>
    <x v="106"/>
    <x v="2"/>
    <x v="2"/>
    <n v="71"/>
    <d v="1899-12-30T01:58:11"/>
    <n v="118.18333333333334"/>
  </r>
  <r>
    <x v="106"/>
    <x v="2"/>
    <x v="3"/>
    <n v="41"/>
    <d v="1899-12-30T00:45:01"/>
    <n v="45.016666666666666"/>
  </r>
  <r>
    <x v="106"/>
    <x v="2"/>
    <x v="4"/>
    <n v="20"/>
    <d v="1899-12-30T00:42:29"/>
    <n v="42.483333333333334"/>
  </r>
  <r>
    <x v="106"/>
    <x v="2"/>
    <x v="5"/>
    <n v="66"/>
    <d v="1899-12-30T01:30:00"/>
    <n v="90"/>
  </r>
  <r>
    <x v="106"/>
    <x v="3"/>
    <x v="0"/>
    <n v="7"/>
    <d v="1899-12-30T00:12:12"/>
    <n v="12.2"/>
  </r>
  <r>
    <x v="106"/>
    <x v="3"/>
    <x v="1"/>
    <n v="6"/>
    <d v="1899-12-30T00:23:21"/>
    <n v="23.35"/>
  </r>
  <r>
    <x v="106"/>
    <x v="3"/>
    <x v="2"/>
    <n v="8"/>
    <d v="1899-12-30T00:10:48"/>
    <n v="10.8"/>
  </r>
  <r>
    <x v="106"/>
    <x v="3"/>
    <x v="3"/>
    <n v="5"/>
    <d v="1899-12-30T00:03:22"/>
    <n v="3.3666666666666667"/>
  </r>
  <r>
    <x v="106"/>
    <x v="3"/>
    <x v="4"/>
    <n v="3"/>
    <d v="1899-12-30T00:06:17"/>
    <n v="6.2833333333333332"/>
  </r>
  <r>
    <x v="106"/>
    <x v="3"/>
    <x v="5"/>
    <n v="7"/>
    <d v="1899-12-30T00:08:41"/>
    <n v="8.6833333333333336"/>
  </r>
  <r>
    <x v="106"/>
    <x v="4"/>
    <x v="0"/>
    <n v="10"/>
    <d v="1899-12-30T00:19:27"/>
    <n v="19.45"/>
  </r>
  <r>
    <x v="106"/>
    <x v="4"/>
    <x v="1"/>
    <n v="26"/>
    <d v="1899-12-30T00:33:19"/>
    <n v="33.31666666666667"/>
  </r>
  <r>
    <x v="106"/>
    <x v="4"/>
    <x v="2"/>
    <n v="21"/>
    <d v="1899-12-30T00:24:57"/>
    <n v="24.95"/>
  </r>
  <r>
    <x v="106"/>
    <x v="4"/>
    <x v="3"/>
    <n v="6"/>
    <d v="1899-12-30T00:05:36"/>
    <n v="5.6"/>
  </r>
  <r>
    <x v="106"/>
    <x v="4"/>
    <x v="4"/>
    <n v="13"/>
    <d v="1899-12-30T00:21:08"/>
    <n v="21.133333333333333"/>
  </r>
  <r>
    <x v="106"/>
    <x v="4"/>
    <x v="5"/>
    <n v="14"/>
    <d v="1899-12-30T00:13:56"/>
    <n v="13.933333333333334"/>
  </r>
  <r>
    <x v="106"/>
    <x v="5"/>
    <x v="0"/>
    <n v="33"/>
    <d v="1899-12-30T00:52:14"/>
    <n v="52.233333333333334"/>
  </r>
  <r>
    <x v="106"/>
    <x v="5"/>
    <x v="1"/>
    <n v="37"/>
    <d v="1899-12-30T00:46:15"/>
    <n v="46.25"/>
  </r>
  <r>
    <x v="106"/>
    <x v="5"/>
    <x v="2"/>
    <n v="41"/>
    <d v="1899-12-30T00:49:15"/>
    <n v="49.25"/>
  </r>
  <r>
    <x v="106"/>
    <x v="5"/>
    <x v="3"/>
    <n v="15"/>
    <d v="1899-12-30T00:17:40"/>
    <n v="17.666666666666668"/>
  </r>
  <r>
    <x v="106"/>
    <x v="5"/>
    <x v="4"/>
    <n v="1"/>
    <d v="1899-12-30T00:00:50"/>
    <n v="0.83333333333333337"/>
  </r>
  <r>
    <x v="106"/>
    <x v="5"/>
    <x v="5"/>
    <n v="46"/>
    <d v="1899-12-30T00:56:34"/>
    <n v="56.56666666666667"/>
  </r>
  <r>
    <x v="106"/>
    <x v="6"/>
    <x v="0"/>
    <n v="27"/>
    <d v="1899-12-30T00:48:15"/>
    <n v="48.25"/>
  </r>
  <r>
    <x v="106"/>
    <x v="6"/>
    <x v="1"/>
    <n v="31"/>
    <d v="1899-12-30T00:59:11"/>
    <n v="59.18333333333333"/>
  </r>
  <r>
    <x v="106"/>
    <x v="6"/>
    <x v="2"/>
    <n v="23"/>
    <d v="1899-12-30T00:40:42"/>
    <n v="40.700000000000003"/>
  </r>
  <r>
    <x v="106"/>
    <x v="6"/>
    <x v="3"/>
    <n v="10"/>
    <d v="1899-12-30T00:08:37"/>
    <n v="8.6166666666666671"/>
  </r>
  <r>
    <x v="106"/>
    <x v="6"/>
    <x v="4"/>
    <n v="16"/>
    <d v="1899-12-30T00:29:29"/>
    <n v="29.483333333333334"/>
  </r>
  <r>
    <x v="106"/>
    <x v="6"/>
    <x v="5"/>
    <n v="17"/>
    <d v="1899-12-30T00:23:59"/>
    <n v="23.983333333333334"/>
  </r>
  <r>
    <x v="106"/>
    <x v="7"/>
    <x v="0"/>
    <n v="52"/>
    <d v="1899-12-30T01:32:22"/>
    <n v="92.36666666666666"/>
  </r>
  <r>
    <x v="106"/>
    <x v="7"/>
    <x v="1"/>
    <n v="78"/>
    <d v="1899-12-30T02:09:13"/>
    <n v="129.21666666666667"/>
  </r>
  <r>
    <x v="106"/>
    <x v="7"/>
    <x v="2"/>
    <n v="40"/>
    <d v="1899-12-30T00:56:19"/>
    <n v="56.31666666666667"/>
  </r>
  <r>
    <x v="106"/>
    <x v="7"/>
    <x v="3"/>
    <n v="61"/>
    <d v="1899-12-30T01:03:26"/>
    <n v="63.43333333333333"/>
  </r>
  <r>
    <x v="106"/>
    <x v="7"/>
    <x v="4"/>
    <n v="102"/>
    <d v="1899-12-30T02:45:21"/>
    <n v="165.35"/>
  </r>
  <r>
    <x v="106"/>
    <x v="7"/>
    <x v="5"/>
    <n v="46"/>
    <d v="1899-12-30T01:03:54"/>
    <n v="63.9"/>
  </r>
  <r>
    <x v="106"/>
    <x v="8"/>
    <x v="0"/>
    <n v="12"/>
    <d v="1899-12-30T00:26:14"/>
    <n v="26.233333333333334"/>
  </r>
  <r>
    <x v="106"/>
    <x v="8"/>
    <x v="1"/>
    <n v="15"/>
    <d v="1899-12-30T00:24:47"/>
    <n v="24.783333333333335"/>
  </r>
  <r>
    <x v="106"/>
    <x v="8"/>
    <x v="2"/>
    <n v="25"/>
    <d v="1899-12-30T00:43:59"/>
    <n v="43.983333333333334"/>
  </r>
  <r>
    <x v="106"/>
    <x v="8"/>
    <x v="3"/>
    <n v="19"/>
    <d v="1899-12-30T00:18:24"/>
    <n v="18.399999999999999"/>
  </r>
  <r>
    <x v="106"/>
    <x v="8"/>
    <x v="4"/>
    <n v="7"/>
    <d v="1899-12-30T00:15:18"/>
    <n v="15.3"/>
  </r>
  <r>
    <x v="106"/>
    <x v="8"/>
    <x v="5"/>
    <n v="32"/>
    <d v="1899-12-30T00:44:56"/>
    <n v="44.93333333333333"/>
  </r>
  <r>
    <x v="106"/>
    <x v="9"/>
    <x v="0"/>
    <n v="28"/>
    <d v="1899-12-30T00:50:48"/>
    <n v="50.8"/>
  </r>
  <r>
    <x v="106"/>
    <x v="9"/>
    <x v="1"/>
    <n v="28"/>
    <d v="1899-12-30T00:41:01"/>
    <n v="41.016666666666666"/>
  </r>
  <r>
    <x v="106"/>
    <x v="9"/>
    <x v="2"/>
    <n v="29"/>
    <d v="1899-12-30T00:43:57"/>
    <n v="43.95"/>
  </r>
  <r>
    <x v="106"/>
    <x v="9"/>
    <x v="3"/>
    <n v="26"/>
    <d v="1899-12-30T00:24:40"/>
    <n v="24.666666666666668"/>
  </r>
  <r>
    <x v="106"/>
    <x v="9"/>
    <x v="4"/>
    <n v="5"/>
    <d v="1899-12-30T00:07:52"/>
    <n v="7.8666666666666671"/>
  </r>
  <r>
    <x v="106"/>
    <x v="9"/>
    <x v="5"/>
    <n v="20"/>
    <d v="1899-12-30T00:23:02"/>
    <n v="23.033333333333335"/>
  </r>
  <r>
    <x v="106"/>
    <x v="10"/>
    <x v="0"/>
    <n v="11"/>
    <d v="1899-12-30T00:19:43"/>
    <n v="19.716666666666665"/>
  </r>
  <r>
    <x v="106"/>
    <x v="10"/>
    <x v="1"/>
    <n v="18"/>
    <d v="1899-12-30T00:55:20"/>
    <n v="55.333333333333336"/>
  </r>
  <r>
    <x v="106"/>
    <x v="10"/>
    <x v="2"/>
    <n v="16"/>
    <d v="1899-12-30T00:24:48"/>
    <n v="24.8"/>
  </r>
  <r>
    <x v="106"/>
    <x v="10"/>
    <x v="3"/>
    <n v="3"/>
    <d v="1899-12-30T00:02:29"/>
    <n v="2.4833333333333334"/>
  </r>
  <r>
    <x v="106"/>
    <x v="10"/>
    <x v="4"/>
    <n v="0"/>
    <d v="1899-12-30T00:00:00"/>
    <n v="0"/>
  </r>
  <r>
    <x v="106"/>
    <x v="10"/>
    <x v="5"/>
    <n v="11"/>
    <d v="1899-12-30T00:20:34"/>
    <n v="20.566666666666666"/>
  </r>
  <r>
    <x v="106"/>
    <x v="11"/>
    <x v="0"/>
    <n v="6"/>
    <d v="1899-12-30T00:11:25"/>
    <n v="11.416666666666666"/>
  </r>
  <r>
    <x v="106"/>
    <x v="11"/>
    <x v="1"/>
    <n v="15"/>
    <d v="1899-12-30T00:22:39"/>
    <n v="22.65"/>
  </r>
  <r>
    <x v="106"/>
    <x v="11"/>
    <x v="2"/>
    <n v="8"/>
    <d v="1899-12-30T00:11:14"/>
    <n v="11.233333333333333"/>
  </r>
  <r>
    <x v="106"/>
    <x v="11"/>
    <x v="3"/>
    <n v="5"/>
    <d v="1899-12-30T00:05:34"/>
    <n v="5.5666666666666664"/>
  </r>
  <r>
    <x v="106"/>
    <x v="11"/>
    <x v="4"/>
    <n v="4"/>
    <d v="1899-12-30T00:03:43"/>
    <n v="3.7166666666666668"/>
  </r>
  <r>
    <x v="106"/>
    <x v="11"/>
    <x v="5"/>
    <n v="8"/>
    <d v="1899-12-30T00:13:34"/>
    <n v="13.566666666666666"/>
  </r>
  <r>
    <x v="106"/>
    <x v="12"/>
    <x v="0"/>
    <n v="74"/>
    <d v="1899-12-30T02:20:46"/>
    <n v="140.76666666666668"/>
  </r>
  <r>
    <x v="106"/>
    <x v="12"/>
    <x v="1"/>
    <n v="93"/>
    <d v="1899-12-30T03:44:51"/>
    <n v="224.85"/>
  </r>
  <r>
    <x v="106"/>
    <x v="12"/>
    <x v="2"/>
    <n v="66"/>
    <d v="1899-12-30T01:40:13"/>
    <n v="100.21666666666667"/>
  </r>
  <r>
    <x v="106"/>
    <x v="12"/>
    <x v="3"/>
    <n v="54"/>
    <d v="1899-12-30T00:54:10"/>
    <n v="54.166666666666664"/>
  </r>
  <r>
    <x v="106"/>
    <x v="12"/>
    <x v="4"/>
    <n v="32"/>
    <d v="1899-12-30T01:13:51"/>
    <n v="73.849999999999994"/>
  </r>
  <r>
    <x v="106"/>
    <x v="12"/>
    <x v="5"/>
    <n v="60"/>
    <d v="1899-12-30T01:38:09"/>
    <n v="98.15"/>
  </r>
  <r>
    <x v="106"/>
    <x v="13"/>
    <x v="0"/>
    <n v="52"/>
    <d v="1899-12-30T01:26:45"/>
    <n v="86.75"/>
  </r>
  <r>
    <x v="106"/>
    <x v="13"/>
    <x v="1"/>
    <n v="32"/>
    <d v="1899-12-30T00:36:02"/>
    <n v="36.033333333333331"/>
  </r>
  <r>
    <x v="106"/>
    <x v="13"/>
    <x v="2"/>
    <n v="27"/>
    <d v="1899-12-30T00:32:00"/>
    <n v="32"/>
  </r>
  <r>
    <x v="106"/>
    <x v="13"/>
    <x v="3"/>
    <n v="24"/>
    <d v="1899-12-30T00:28:29"/>
    <n v="28.483333333333334"/>
  </r>
  <r>
    <x v="106"/>
    <x v="13"/>
    <x v="4"/>
    <n v="2"/>
    <d v="1899-12-30T00:04:52"/>
    <n v="4.8666666666666671"/>
  </r>
  <r>
    <x v="106"/>
    <x v="13"/>
    <x v="5"/>
    <n v="26"/>
    <d v="1899-12-30T00:24:53"/>
    <n v="24.883333333333333"/>
  </r>
  <r>
    <x v="107"/>
    <x v="0"/>
    <x v="0"/>
    <n v="58"/>
    <d v="1899-12-30T01:22:48"/>
    <n v="82.8"/>
  </r>
  <r>
    <x v="107"/>
    <x v="0"/>
    <x v="1"/>
    <n v="60"/>
    <d v="1899-12-30T01:15:06"/>
    <n v="75.099999999999994"/>
  </r>
  <r>
    <x v="107"/>
    <x v="0"/>
    <x v="2"/>
    <n v="51"/>
    <d v="1899-12-30T01:05:06"/>
    <n v="65.099999999999994"/>
  </r>
  <r>
    <x v="107"/>
    <x v="0"/>
    <x v="3"/>
    <n v="33"/>
    <d v="1899-12-30T00:29:37"/>
    <n v="29.616666666666667"/>
  </r>
  <r>
    <x v="107"/>
    <x v="0"/>
    <x v="4"/>
    <n v="0"/>
    <d v="1899-12-30T00:00:00"/>
    <n v="0"/>
  </r>
  <r>
    <x v="107"/>
    <x v="0"/>
    <x v="5"/>
    <n v="40"/>
    <d v="1899-12-30T00:42:18"/>
    <n v="42.3"/>
  </r>
  <r>
    <x v="107"/>
    <x v="1"/>
    <x v="0"/>
    <n v="71"/>
    <d v="1899-12-30T02:16:19"/>
    <n v="136.31666666666666"/>
  </r>
  <r>
    <x v="107"/>
    <x v="1"/>
    <x v="1"/>
    <n v="69"/>
    <d v="1899-12-30T03:04:19"/>
    <n v="184.31666666666666"/>
  </r>
  <r>
    <x v="107"/>
    <x v="1"/>
    <x v="2"/>
    <n v="26"/>
    <d v="1899-12-30T00:48:31"/>
    <n v="48.516666666666666"/>
  </r>
  <r>
    <x v="107"/>
    <x v="1"/>
    <x v="3"/>
    <n v="12"/>
    <d v="1899-12-30T00:13:36"/>
    <n v="13.6"/>
  </r>
  <r>
    <x v="107"/>
    <x v="1"/>
    <x v="4"/>
    <n v="33"/>
    <d v="1899-12-30T01:26:13"/>
    <n v="86.216666666666669"/>
  </r>
  <r>
    <x v="107"/>
    <x v="1"/>
    <x v="5"/>
    <n v="59"/>
    <d v="1899-12-30T01:39:12"/>
    <n v="99.2"/>
  </r>
  <r>
    <x v="107"/>
    <x v="2"/>
    <x v="0"/>
    <n v="86"/>
    <d v="1899-12-30T02:56:40"/>
    <n v="176.66666666666666"/>
  </r>
  <r>
    <x v="107"/>
    <x v="2"/>
    <x v="1"/>
    <n v="113"/>
    <d v="1899-12-30T04:16:26"/>
    <n v="256.43333333333334"/>
  </r>
  <r>
    <x v="107"/>
    <x v="2"/>
    <x v="2"/>
    <n v="66"/>
    <d v="1899-12-30T01:52:51"/>
    <n v="112.85"/>
  </r>
  <r>
    <x v="107"/>
    <x v="2"/>
    <x v="3"/>
    <n v="31"/>
    <d v="1899-12-30T00:28:52"/>
    <n v="28.866666666666667"/>
  </r>
  <r>
    <x v="107"/>
    <x v="2"/>
    <x v="4"/>
    <n v="16"/>
    <d v="1899-12-30T00:44:43"/>
    <n v="44.716666666666669"/>
  </r>
  <r>
    <x v="107"/>
    <x v="2"/>
    <x v="5"/>
    <n v="41"/>
    <d v="1899-12-30T01:05:13"/>
    <n v="65.216666666666669"/>
  </r>
  <r>
    <x v="107"/>
    <x v="3"/>
    <x v="0"/>
    <n v="10"/>
    <d v="1899-12-30T00:24:52"/>
    <n v="24.866666666666667"/>
  </r>
  <r>
    <x v="107"/>
    <x v="3"/>
    <x v="1"/>
    <n v="12"/>
    <d v="1899-12-30T00:30:04"/>
    <n v="30.066666666666666"/>
  </r>
  <r>
    <x v="107"/>
    <x v="3"/>
    <x v="2"/>
    <n v="7"/>
    <d v="1899-12-30T00:17:48"/>
    <n v="17.8"/>
  </r>
  <r>
    <x v="107"/>
    <x v="3"/>
    <x v="3"/>
    <n v="4"/>
    <d v="1899-12-30T00:04:47"/>
    <n v="4.7833333333333332"/>
  </r>
  <r>
    <x v="107"/>
    <x v="3"/>
    <x v="4"/>
    <n v="2"/>
    <d v="1899-12-30T00:05:37"/>
    <n v="5.6166666666666671"/>
  </r>
  <r>
    <x v="107"/>
    <x v="3"/>
    <x v="5"/>
    <n v="8"/>
    <d v="1899-12-30T00:10:15"/>
    <n v="10.25"/>
  </r>
  <r>
    <x v="107"/>
    <x v="4"/>
    <x v="0"/>
    <n v="23"/>
    <d v="1899-12-30T00:39:15"/>
    <n v="39.25"/>
  </r>
  <r>
    <x v="107"/>
    <x v="4"/>
    <x v="1"/>
    <n v="31"/>
    <d v="1899-12-30T00:51:31"/>
    <n v="51.516666666666666"/>
  </r>
  <r>
    <x v="107"/>
    <x v="4"/>
    <x v="2"/>
    <n v="23"/>
    <d v="1899-12-30T00:32:22"/>
    <n v="32.366666666666667"/>
  </r>
  <r>
    <x v="107"/>
    <x v="4"/>
    <x v="3"/>
    <n v="14"/>
    <d v="1899-12-30T00:12:05"/>
    <n v="12.083333333333334"/>
  </r>
  <r>
    <x v="107"/>
    <x v="4"/>
    <x v="4"/>
    <n v="3"/>
    <d v="1899-12-30T00:07:54"/>
    <n v="7.9"/>
  </r>
  <r>
    <x v="107"/>
    <x v="4"/>
    <x v="5"/>
    <n v="15"/>
    <d v="1899-12-30T00:16:50"/>
    <n v="16.833333333333332"/>
  </r>
  <r>
    <x v="107"/>
    <x v="5"/>
    <x v="0"/>
    <n v="43"/>
    <d v="1899-12-30T00:51:33"/>
    <n v="51.55"/>
  </r>
  <r>
    <x v="107"/>
    <x v="5"/>
    <x v="1"/>
    <n v="40"/>
    <d v="1899-12-30T00:54:47"/>
    <n v="54.783333333333331"/>
  </r>
  <r>
    <x v="107"/>
    <x v="5"/>
    <x v="2"/>
    <n v="38"/>
    <d v="1899-12-30T00:44:48"/>
    <n v="44.8"/>
  </r>
  <r>
    <x v="107"/>
    <x v="5"/>
    <x v="3"/>
    <n v="19"/>
    <d v="1899-12-30T00:16:05"/>
    <n v="16.083333333333332"/>
  </r>
  <r>
    <x v="107"/>
    <x v="5"/>
    <x v="4"/>
    <n v="3"/>
    <d v="1899-12-30T00:04:15"/>
    <n v="4.25"/>
  </r>
  <r>
    <x v="107"/>
    <x v="5"/>
    <x v="5"/>
    <n v="48"/>
    <d v="1899-12-30T01:05:14"/>
    <n v="65.233333333333334"/>
  </r>
  <r>
    <x v="107"/>
    <x v="6"/>
    <x v="0"/>
    <n v="46"/>
    <d v="1899-12-30T01:27:55"/>
    <n v="87.916666666666671"/>
  </r>
  <r>
    <x v="107"/>
    <x v="6"/>
    <x v="1"/>
    <n v="54"/>
    <d v="1899-12-30T01:24:51"/>
    <n v="84.85"/>
  </r>
  <r>
    <x v="107"/>
    <x v="6"/>
    <x v="2"/>
    <n v="37"/>
    <d v="1899-12-30T00:47:37"/>
    <n v="47.616666666666667"/>
  </r>
  <r>
    <x v="107"/>
    <x v="6"/>
    <x v="3"/>
    <n v="26"/>
    <d v="1899-12-30T00:25:51"/>
    <n v="25.85"/>
  </r>
  <r>
    <x v="107"/>
    <x v="6"/>
    <x v="4"/>
    <n v="15"/>
    <d v="1899-12-30T00:29:58"/>
    <n v="29.966666666666665"/>
  </r>
  <r>
    <x v="107"/>
    <x v="6"/>
    <x v="5"/>
    <n v="33"/>
    <d v="1899-12-30T00:45:51"/>
    <n v="45.85"/>
  </r>
  <r>
    <x v="107"/>
    <x v="7"/>
    <x v="0"/>
    <n v="79"/>
    <d v="1899-12-30T01:53:55"/>
    <n v="113.91666666666667"/>
  </r>
  <r>
    <x v="107"/>
    <x v="7"/>
    <x v="1"/>
    <n v="101"/>
    <d v="1899-12-30T02:05:40"/>
    <n v="125.66666666666667"/>
  </r>
  <r>
    <x v="107"/>
    <x v="7"/>
    <x v="2"/>
    <n v="57"/>
    <d v="1899-12-30T01:02:37"/>
    <n v="62.616666666666667"/>
  </r>
  <r>
    <x v="107"/>
    <x v="7"/>
    <x v="3"/>
    <n v="87"/>
    <d v="1899-12-30T01:22:26"/>
    <n v="82.433333333333337"/>
  </r>
  <r>
    <x v="107"/>
    <x v="7"/>
    <x v="4"/>
    <n v="141"/>
    <d v="1899-12-30T04:08:04"/>
    <n v="248.06666666666666"/>
  </r>
  <r>
    <x v="107"/>
    <x v="7"/>
    <x v="5"/>
    <n v="53"/>
    <d v="1899-12-30T00:57:38"/>
    <n v="57.633333333333333"/>
  </r>
  <r>
    <x v="107"/>
    <x v="8"/>
    <x v="0"/>
    <n v="18"/>
    <d v="1899-12-30T00:25:27"/>
    <n v="25.45"/>
  </r>
  <r>
    <x v="107"/>
    <x v="8"/>
    <x v="1"/>
    <n v="16"/>
    <d v="1899-12-30T00:24:35"/>
    <n v="24.583333333333332"/>
  </r>
  <r>
    <x v="107"/>
    <x v="8"/>
    <x v="2"/>
    <n v="24"/>
    <d v="1899-12-30T00:30:32"/>
    <n v="30.533333333333335"/>
  </r>
  <r>
    <x v="107"/>
    <x v="8"/>
    <x v="3"/>
    <n v="14"/>
    <d v="1899-12-30T00:13:21"/>
    <n v="13.35"/>
  </r>
  <r>
    <x v="107"/>
    <x v="8"/>
    <x v="4"/>
    <n v="16"/>
    <d v="1899-12-30T00:27:26"/>
    <n v="27.433333333333334"/>
  </r>
  <r>
    <x v="107"/>
    <x v="8"/>
    <x v="5"/>
    <n v="26"/>
    <d v="1899-12-30T00:32:30"/>
    <n v="32.5"/>
  </r>
  <r>
    <x v="107"/>
    <x v="9"/>
    <x v="0"/>
    <n v="28"/>
    <d v="1899-12-30T00:58:17"/>
    <n v="58.283333333333331"/>
  </r>
  <r>
    <x v="107"/>
    <x v="9"/>
    <x v="1"/>
    <n v="36"/>
    <d v="1899-12-30T01:12:29"/>
    <n v="72.483333333333334"/>
  </r>
  <r>
    <x v="107"/>
    <x v="9"/>
    <x v="2"/>
    <n v="31"/>
    <d v="1899-12-30T00:45:50"/>
    <n v="45.833333333333336"/>
  </r>
  <r>
    <x v="107"/>
    <x v="9"/>
    <x v="3"/>
    <n v="29"/>
    <d v="1899-12-30T00:28:09"/>
    <n v="28.15"/>
  </r>
  <r>
    <x v="107"/>
    <x v="9"/>
    <x v="4"/>
    <n v="5"/>
    <d v="1899-12-30T00:08:30"/>
    <n v="8.5"/>
  </r>
  <r>
    <x v="107"/>
    <x v="9"/>
    <x v="5"/>
    <n v="21"/>
    <d v="1899-12-30T00:39:16"/>
    <n v="39.266666666666666"/>
  </r>
  <r>
    <x v="107"/>
    <x v="10"/>
    <x v="0"/>
    <n v="17"/>
    <d v="1899-12-30T00:31:26"/>
    <n v="31.433333333333334"/>
  </r>
  <r>
    <x v="107"/>
    <x v="10"/>
    <x v="1"/>
    <n v="20"/>
    <d v="1899-12-30T00:36:49"/>
    <n v="36.81666666666667"/>
  </r>
  <r>
    <x v="107"/>
    <x v="10"/>
    <x v="2"/>
    <n v="19"/>
    <d v="1899-12-30T00:33:20"/>
    <n v="33.333333333333336"/>
  </r>
  <r>
    <x v="107"/>
    <x v="10"/>
    <x v="3"/>
    <n v="7"/>
    <d v="1899-12-30T00:07:30"/>
    <n v="7.5"/>
  </r>
  <r>
    <x v="107"/>
    <x v="10"/>
    <x v="4"/>
    <n v="3"/>
    <d v="1899-12-30T00:03:49"/>
    <n v="3.8166666666666664"/>
  </r>
  <r>
    <x v="107"/>
    <x v="10"/>
    <x v="5"/>
    <n v="22"/>
    <d v="1899-12-30T00:32:14"/>
    <n v="32.233333333333334"/>
  </r>
  <r>
    <x v="107"/>
    <x v="11"/>
    <x v="0"/>
    <n v="9"/>
    <d v="1899-12-30T00:17:53"/>
    <n v="17.883333333333333"/>
  </r>
  <r>
    <x v="107"/>
    <x v="11"/>
    <x v="1"/>
    <n v="14"/>
    <d v="1899-12-30T00:19:07"/>
    <n v="19.116666666666667"/>
  </r>
  <r>
    <x v="107"/>
    <x v="11"/>
    <x v="2"/>
    <n v="13"/>
    <d v="1899-12-30T00:14:49"/>
    <n v="14.816666666666666"/>
  </r>
  <r>
    <x v="107"/>
    <x v="11"/>
    <x v="3"/>
    <n v="7"/>
    <d v="1899-12-30T00:06:07"/>
    <n v="6.1166666666666663"/>
  </r>
  <r>
    <x v="107"/>
    <x v="11"/>
    <x v="4"/>
    <n v="6"/>
    <d v="1899-12-30T00:08:32"/>
    <n v="8.5333333333333332"/>
  </r>
  <r>
    <x v="107"/>
    <x v="11"/>
    <x v="5"/>
    <n v="11"/>
    <d v="1899-12-30T00:20:24"/>
    <n v="20.399999999999999"/>
  </r>
  <r>
    <x v="107"/>
    <x v="12"/>
    <x v="0"/>
    <n v="117"/>
    <d v="1899-12-30T03:16:59"/>
    <n v="196.98333333333332"/>
  </r>
  <r>
    <x v="107"/>
    <x v="12"/>
    <x v="1"/>
    <n v="158"/>
    <d v="1899-12-30T05:15:35"/>
    <n v="315.58333333333331"/>
  </r>
  <r>
    <x v="107"/>
    <x v="12"/>
    <x v="2"/>
    <n v="114"/>
    <d v="1899-12-30T03:20:06"/>
    <n v="200.1"/>
  </r>
  <r>
    <x v="107"/>
    <x v="12"/>
    <x v="3"/>
    <n v="71"/>
    <d v="1899-12-30T01:13:59"/>
    <n v="73.983333333333334"/>
  </r>
  <r>
    <x v="107"/>
    <x v="12"/>
    <x v="4"/>
    <n v="44"/>
    <d v="1899-12-30T01:43:38"/>
    <n v="103.63333333333334"/>
  </r>
  <r>
    <x v="107"/>
    <x v="12"/>
    <x v="5"/>
    <n v="113"/>
    <d v="1899-12-30T02:48:24"/>
    <n v="168.4"/>
  </r>
  <r>
    <x v="107"/>
    <x v="13"/>
    <x v="0"/>
    <n v="33"/>
    <d v="1899-12-30T00:56:24"/>
    <n v="56.4"/>
  </r>
  <r>
    <x v="107"/>
    <x v="13"/>
    <x v="1"/>
    <n v="27"/>
    <d v="1899-12-30T00:34:47"/>
    <n v="34.783333333333331"/>
  </r>
  <r>
    <x v="107"/>
    <x v="13"/>
    <x v="2"/>
    <n v="22"/>
    <d v="1899-12-30T00:26:09"/>
    <n v="26.15"/>
  </r>
  <r>
    <x v="107"/>
    <x v="13"/>
    <x v="3"/>
    <n v="11"/>
    <d v="1899-12-30T00:09:55"/>
    <n v="9.9166666666666661"/>
  </r>
  <r>
    <x v="107"/>
    <x v="13"/>
    <x v="4"/>
    <n v="0"/>
    <d v="1899-12-30T00:00:00"/>
    <n v="0"/>
  </r>
  <r>
    <x v="107"/>
    <x v="13"/>
    <x v="5"/>
    <n v="20"/>
    <d v="1899-12-30T00:27:44"/>
    <n v="27.733333333333334"/>
  </r>
  <r>
    <x v="108"/>
    <x v="0"/>
    <x v="0"/>
    <n v="61"/>
    <d v="1899-12-30T01:25:20"/>
    <n v="85.333333333333329"/>
  </r>
  <r>
    <x v="108"/>
    <x v="0"/>
    <x v="1"/>
    <n v="71"/>
    <d v="1899-12-30T01:29:11"/>
    <n v="89.183333333333337"/>
  </r>
  <r>
    <x v="108"/>
    <x v="0"/>
    <x v="2"/>
    <n v="47"/>
    <d v="1899-12-30T01:03:12"/>
    <n v="63.2"/>
  </r>
  <r>
    <x v="108"/>
    <x v="0"/>
    <x v="3"/>
    <n v="13"/>
    <d v="1899-12-30T00:10:32"/>
    <n v="10.533333333333333"/>
  </r>
  <r>
    <x v="108"/>
    <x v="0"/>
    <x v="4"/>
    <n v="2"/>
    <d v="1899-12-30T00:00:41"/>
    <n v="0.68333333333333335"/>
  </r>
  <r>
    <x v="108"/>
    <x v="0"/>
    <x v="5"/>
    <n v="49"/>
    <d v="1899-12-30T00:52:34"/>
    <n v="52.56666666666667"/>
  </r>
  <r>
    <x v="108"/>
    <x v="1"/>
    <x v="0"/>
    <n v="50"/>
    <d v="1899-12-30T01:50:38"/>
    <n v="110.63333333333334"/>
  </r>
  <r>
    <x v="108"/>
    <x v="1"/>
    <x v="1"/>
    <n v="40"/>
    <d v="1899-12-30T01:26:13"/>
    <n v="86.216666666666669"/>
  </r>
  <r>
    <x v="108"/>
    <x v="1"/>
    <x v="2"/>
    <n v="16"/>
    <d v="1899-12-30T00:26:30"/>
    <n v="26.5"/>
  </r>
  <r>
    <x v="108"/>
    <x v="1"/>
    <x v="3"/>
    <n v="13"/>
    <d v="1899-12-30T00:15:02"/>
    <n v="15.033333333333333"/>
  </r>
  <r>
    <x v="108"/>
    <x v="1"/>
    <x v="4"/>
    <n v="22"/>
    <d v="1899-12-30T01:02:23"/>
    <n v="62.383333333333333"/>
  </r>
  <r>
    <x v="108"/>
    <x v="1"/>
    <x v="5"/>
    <n v="40"/>
    <d v="1899-12-30T01:14:11"/>
    <n v="74.183333333333337"/>
  </r>
  <r>
    <x v="108"/>
    <x v="2"/>
    <x v="0"/>
    <n v="46"/>
    <d v="1899-12-30T01:22:59"/>
    <n v="82.983333333333334"/>
  </r>
  <r>
    <x v="108"/>
    <x v="2"/>
    <x v="1"/>
    <n v="61"/>
    <d v="1899-12-30T02:18:17"/>
    <n v="138.28333333333333"/>
  </r>
  <r>
    <x v="108"/>
    <x v="2"/>
    <x v="2"/>
    <n v="34"/>
    <d v="1899-12-30T01:06:48"/>
    <n v="66.8"/>
  </r>
  <r>
    <x v="108"/>
    <x v="2"/>
    <x v="3"/>
    <n v="26"/>
    <d v="1899-12-30T00:27:08"/>
    <n v="27.133333333333333"/>
  </r>
  <r>
    <x v="108"/>
    <x v="2"/>
    <x v="4"/>
    <n v="14"/>
    <d v="1899-12-30T00:33:35"/>
    <n v="33.583333333333336"/>
  </r>
  <r>
    <x v="108"/>
    <x v="2"/>
    <x v="5"/>
    <n v="29"/>
    <d v="1899-12-30T00:37:58"/>
    <n v="37.966666666666669"/>
  </r>
  <r>
    <x v="108"/>
    <x v="3"/>
    <x v="0"/>
    <n v="18"/>
    <d v="1899-12-30T00:38:19"/>
    <n v="38.31666666666667"/>
  </r>
  <r>
    <x v="108"/>
    <x v="3"/>
    <x v="1"/>
    <n v="13"/>
    <d v="1899-12-30T00:34:12"/>
    <n v="34.200000000000003"/>
  </r>
  <r>
    <x v="108"/>
    <x v="3"/>
    <x v="2"/>
    <n v="12"/>
    <d v="1899-12-30T00:32:01"/>
    <n v="32.016666666666666"/>
  </r>
  <r>
    <x v="108"/>
    <x v="3"/>
    <x v="3"/>
    <n v="3"/>
    <d v="1899-12-30T00:03:18"/>
    <n v="3.3"/>
  </r>
  <r>
    <x v="108"/>
    <x v="3"/>
    <x v="4"/>
    <n v="3"/>
    <d v="1899-12-30T00:09:52"/>
    <n v="9.8666666666666671"/>
  </r>
  <r>
    <x v="108"/>
    <x v="3"/>
    <x v="5"/>
    <n v="10"/>
    <d v="1899-12-30T00:15:27"/>
    <n v="15.45"/>
  </r>
  <r>
    <x v="108"/>
    <x v="4"/>
    <x v="0"/>
    <n v="29"/>
    <d v="1899-12-30T00:45:35"/>
    <n v="45.583333333333336"/>
  </r>
  <r>
    <x v="108"/>
    <x v="4"/>
    <x v="1"/>
    <n v="29"/>
    <d v="1899-12-30T00:45:02"/>
    <n v="45.033333333333331"/>
  </r>
  <r>
    <x v="108"/>
    <x v="4"/>
    <x v="2"/>
    <n v="35"/>
    <d v="1899-12-30T00:52:08"/>
    <n v="52.133333333333333"/>
  </r>
  <r>
    <x v="108"/>
    <x v="4"/>
    <x v="3"/>
    <n v="14"/>
    <d v="1899-12-30T00:10:45"/>
    <n v="10.75"/>
  </r>
  <r>
    <x v="108"/>
    <x v="4"/>
    <x v="4"/>
    <n v="10"/>
    <d v="1899-12-30T00:12:48"/>
    <n v="12.8"/>
  </r>
  <r>
    <x v="108"/>
    <x v="4"/>
    <x v="5"/>
    <n v="12"/>
    <d v="1899-12-30T00:19:38"/>
    <n v="19.633333333333333"/>
  </r>
  <r>
    <x v="108"/>
    <x v="5"/>
    <x v="0"/>
    <n v="20"/>
    <d v="1899-12-30T00:27:44"/>
    <n v="27.733333333333334"/>
  </r>
  <r>
    <x v="108"/>
    <x v="5"/>
    <x v="1"/>
    <n v="20"/>
    <d v="1899-12-30T00:25:32"/>
    <n v="25.533333333333335"/>
  </r>
  <r>
    <x v="108"/>
    <x v="5"/>
    <x v="2"/>
    <n v="21"/>
    <d v="1899-12-30T00:21:43"/>
    <n v="21.716666666666665"/>
  </r>
  <r>
    <x v="108"/>
    <x v="5"/>
    <x v="3"/>
    <n v="13"/>
    <d v="1899-12-30T00:11:37"/>
    <n v="11.616666666666667"/>
  </r>
  <r>
    <x v="108"/>
    <x v="5"/>
    <x v="4"/>
    <n v="1"/>
    <d v="1899-12-30T00:01:00"/>
    <n v="1"/>
  </r>
  <r>
    <x v="108"/>
    <x v="5"/>
    <x v="5"/>
    <n v="34"/>
    <d v="1899-12-30T00:43:34"/>
    <n v="43.56666666666667"/>
  </r>
  <r>
    <x v="108"/>
    <x v="6"/>
    <x v="0"/>
    <n v="9"/>
    <d v="1899-12-30T00:12:50"/>
    <n v="12.833333333333334"/>
  </r>
  <r>
    <x v="108"/>
    <x v="6"/>
    <x v="1"/>
    <n v="13"/>
    <d v="1899-12-30T00:21:31"/>
    <n v="21.516666666666666"/>
  </r>
  <r>
    <x v="108"/>
    <x v="6"/>
    <x v="2"/>
    <n v="13"/>
    <d v="1899-12-30T00:14:24"/>
    <n v="14.4"/>
  </r>
  <r>
    <x v="108"/>
    <x v="6"/>
    <x v="3"/>
    <n v="5"/>
    <d v="1899-12-30T00:03:12"/>
    <n v="3.2"/>
  </r>
  <r>
    <x v="108"/>
    <x v="6"/>
    <x v="4"/>
    <n v="12"/>
    <d v="1899-12-30T00:24:55"/>
    <n v="24.916666666666668"/>
  </r>
  <r>
    <x v="108"/>
    <x v="6"/>
    <x v="5"/>
    <n v="9"/>
    <d v="1899-12-30T00:08:07"/>
    <n v="8.1166666666666671"/>
  </r>
  <r>
    <x v="108"/>
    <x v="7"/>
    <x v="0"/>
    <n v="46"/>
    <d v="1899-12-30T01:12:43"/>
    <n v="72.716666666666669"/>
  </r>
  <r>
    <x v="108"/>
    <x v="7"/>
    <x v="1"/>
    <n v="72"/>
    <d v="1899-12-30T01:26:35"/>
    <n v="86.583333333333329"/>
  </r>
  <r>
    <x v="108"/>
    <x v="7"/>
    <x v="2"/>
    <n v="35"/>
    <d v="1899-12-30T00:48:52"/>
    <n v="48.866666666666667"/>
  </r>
  <r>
    <x v="108"/>
    <x v="7"/>
    <x v="3"/>
    <n v="55"/>
    <d v="1899-12-30T00:51:41"/>
    <n v="51.68333333333333"/>
  </r>
  <r>
    <x v="108"/>
    <x v="7"/>
    <x v="4"/>
    <n v="124"/>
    <d v="1899-12-30T03:38:32"/>
    <n v="218.53333333333333"/>
  </r>
  <r>
    <x v="108"/>
    <x v="7"/>
    <x v="5"/>
    <n v="36"/>
    <d v="1899-12-30T00:41:00"/>
    <n v="41"/>
  </r>
  <r>
    <x v="108"/>
    <x v="8"/>
    <x v="0"/>
    <n v="32"/>
    <d v="1899-12-30T00:50:48"/>
    <n v="50.8"/>
  </r>
  <r>
    <x v="108"/>
    <x v="8"/>
    <x v="1"/>
    <n v="34"/>
    <d v="1899-12-30T00:52:49"/>
    <n v="52.81666666666667"/>
  </r>
  <r>
    <x v="108"/>
    <x v="8"/>
    <x v="2"/>
    <n v="33"/>
    <d v="1899-12-30T01:08:50"/>
    <n v="68.833333333333329"/>
  </r>
  <r>
    <x v="108"/>
    <x v="8"/>
    <x v="3"/>
    <n v="21"/>
    <d v="1899-12-30T00:24:24"/>
    <n v="24.4"/>
  </r>
  <r>
    <x v="108"/>
    <x v="8"/>
    <x v="4"/>
    <n v="12"/>
    <d v="1899-12-30T00:20:03"/>
    <n v="20.05"/>
  </r>
  <r>
    <x v="108"/>
    <x v="8"/>
    <x v="5"/>
    <n v="41"/>
    <d v="1899-12-30T00:53:24"/>
    <n v="53.4"/>
  </r>
  <r>
    <x v="108"/>
    <x v="9"/>
    <x v="0"/>
    <n v="31"/>
    <d v="1899-12-30T01:02:55"/>
    <n v="62.916666666666664"/>
  </r>
  <r>
    <x v="108"/>
    <x v="9"/>
    <x v="1"/>
    <n v="35"/>
    <d v="1899-12-30T00:58:28"/>
    <n v="58.466666666666669"/>
  </r>
  <r>
    <x v="108"/>
    <x v="9"/>
    <x v="2"/>
    <n v="31"/>
    <d v="1899-12-30T00:43:47"/>
    <n v="43.783333333333331"/>
  </r>
  <r>
    <x v="108"/>
    <x v="9"/>
    <x v="3"/>
    <n v="14"/>
    <d v="1899-12-30T00:16:24"/>
    <n v="16.399999999999999"/>
  </r>
  <r>
    <x v="108"/>
    <x v="9"/>
    <x v="4"/>
    <n v="5"/>
    <d v="1899-12-30T00:10:55"/>
    <n v="10.916666666666666"/>
  </r>
  <r>
    <x v="108"/>
    <x v="9"/>
    <x v="5"/>
    <n v="24"/>
    <d v="1899-12-30T00:30:31"/>
    <n v="30.516666666666666"/>
  </r>
  <r>
    <x v="108"/>
    <x v="10"/>
    <x v="0"/>
    <n v="28"/>
    <d v="1899-12-30T00:51:19"/>
    <n v="51.31666666666667"/>
  </r>
  <r>
    <x v="108"/>
    <x v="10"/>
    <x v="1"/>
    <n v="25"/>
    <d v="1899-12-30T00:52:43"/>
    <n v="52.716666666666669"/>
  </r>
  <r>
    <x v="108"/>
    <x v="10"/>
    <x v="2"/>
    <n v="25"/>
    <d v="1899-12-30T00:50:09"/>
    <n v="50.15"/>
  </r>
  <r>
    <x v="108"/>
    <x v="10"/>
    <x v="3"/>
    <n v="10"/>
    <d v="1899-12-30T00:08:02"/>
    <n v="8.0333333333333332"/>
  </r>
  <r>
    <x v="108"/>
    <x v="10"/>
    <x v="4"/>
    <n v="1"/>
    <d v="1899-12-30T00:02:24"/>
    <n v="2.4"/>
  </r>
  <r>
    <x v="108"/>
    <x v="10"/>
    <x v="5"/>
    <n v="22"/>
    <d v="1899-12-30T00:35:40"/>
    <n v="35.666666666666664"/>
  </r>
  <r>
    <x v="108"/>
    <x v="11"/>
    <x v="0"/>
    <n v="13"/>
    <d v="1899-12-30T00:26:35"/>
    <n v="26.583333333333332"/>
  </r>
  <r>
    <x v="108"/>
    <x v="11"/>
    <x v="1"/>
    <n v="7"/>
    <d v="1899-12-30T00:13:27"/>
    <n v="13.45"/>
  </r>
  <r>
    <x v="108"/>
    <x v="11"/>
    <x v="2"/>
    <n v="12"/>
    <d v="1899-12-30T00:22:35"/>
    <n v="22.583333333333332"/>
  </r>
  <r>
    <x v="108"/>
    <x v="11"/>
    <x v="3"/>
    <n v="12"/>
    <d v="1899-12-30T00:07:18"/>
    <n v="7.3"/>
  </r>
  <r>
    <x v="108"/>
    <x v="11"/>
    <x v="4"/>
    <n v="2"/>
    <d v="1899-12-30T00:06:37"/>
    <n v="6.6166666666666671"/>
  </r>
  <r>
    <x v="108"/>
    <x v="11"/>
    <x v="5"/>
    <n v="6"/>
    <d v="1899-12-30T00:10:47"/>
    <n v="10.783333333333333"/>
  </r>
  <r>
    <x v="108"/>
    <x v="12"/>
    <x v="0"/>
    <n v="114"/>
    <d v="1899-12-30T03:20:09"/>
    <n v="200.15"/>
  </r>
  <r>
    <x v="108"/>
    <x v="12"/>
    <x v="1"/>
    <n v="146"/>
    <d v="1899-12-30T05:05:53"/>
    <n v="305.88333333333333"/>
  </r>
  <r>
    <x v="108"/>
    <x v="12"/>
    <x v="2"/>
    <n v="78"/>
    <d v="1899-12-30T01:50:39"/>
    <n v="110.65"/>
  </r>
  <r>
    <x v="108"/>
    <x v="12"/>
    <x v="3"/>
    <n v="63"/>
    <d v="1899-12-30T01:03:22"/>
    <n v="63.366666666666667"/>
  </r>
  <r>
    <x v="108"/>
    <x v="12"/>
    <x v="4"/>
    <n v="22"/>
    <d v="1899-12-30T00:46:35"/>
    <n v="46.583333333333336"/>
  </r>
  <r>
    <x v="108"/>
    <x v="12"/>
    <x v="5"/>
    <n v="110"/>
    <d v="1899-12-30T02:39:34"/>
    <n v="159.56666666666666"/>
  </r>
  <r>
    <x v="108"/>
    <x v="13"/>
    <x v="0"/>
    <n v="44"/>
    <d v="1899-12-30T01:10:22"/>
    <n v="70.36666666666666"/>
  </r>
  <r>
    <x v="108"/>
    <x v="13"/>
    <x v="1"/>
    <n v="32"/>
    <d v="1899-12-30T00:35:29"/>
    <n v="35.483333333333334"/>
  </r>
  <r>
    <x v="108"/>
    <x v="13"/>
    <x v="2"/>
    <n v="24"/>
    <d v="1899-12-30T00:23:22"/>
    <n v="23.366666666666667"/>
  </r>
  <r>
    <x v="108"/>
    <x v="13"/>
    <x v="3"/>
    <n v="18"/>
    <d v="1899-12-30T00:12:49"/>
    <n v="12.816666666666666"/>
  </r>
  <r>
    <x v="108"/>
    <x v="13"/>
    <x v="4"/>
    <n v="2"/>
    <d v="1899-12-30T00:05:44"/>
    <n v="5.7333333333333334"/>
  </r>
  <r>
    <x v="108"/>
    <x v="13"/>
    <x v="5"/>
    <n v="23"/>
    <d v="1899-12-30T00:20:26"/>
    <n v="20.433333333333334"/>
  </r>
  <r>
    <x v="109"/>
    <x v="0"/>
    <x v="0"/>
    <n v="58"/>
    <d v="1899-12-30T01:17:23"/>
    <n v="77.38333333333334"/>
  </r>
  <r>
    <x v="109"/>
    <x v="0"/>
    <x v="1"/>
    <n v="54"/>
    <d v="1899-12-30T01:04:02"/>
    <n v="64.033333333333331"/>
  </r>
  <r>
    <x v="109"/>
    <x v="0"/>
    <x v="2"/>
    <n v="50"/>
    <d v="1899-12-30T01:00:47"/>
    <n v="60.783333333333331"/>
  </r>
  <r>
    <x v="109"/>
    <x v="0"/>
    <x v="3"/>
    <n v="15"/>
    <d v="1899-12-30T00:10:29"/>
    <n v="10.483333333333333"/>
  </r>
  <r>
    <x v="109"/>
    <x v="0"/>
    <x v="4"/>
    <n v="2"/>
    <d v="1899-12-30T00:00:40"/>
    <n v="0.66666666666666663"/>
  </r>
  <r>
    <x v="109"/>
    <x v="0"/>
    <x v="5"/>
    <n v="57"/>
    <d v="1899-12-30T00:55:10"/>
    <n v="55.166666666666664"/>
  </r>
  <r>
    <x v="109"/>
    <x v="1"/>
    <x v="0"/>
    <n v="45"/>
    <d v="1899-12-30T01:26:55"/>
    <n v="86.916666666666671"/>
  </r>
  <r>
    <x v="109"/>
    <x v="1"/>
    <x v="1"/>
    <n v="41"/>
    <d v="1899-12-30T01:42:01"/>
    <n v="102.01666666666667"/>
  </r>
  <r>
    <x v="109"/>
    <x v="1"/>
    <x v="2"/>
    <n v="16"/>
    <d v="1899-12-30T00:33:06"/>
    <n v="33.1"/>
  </r>
  <r>
    <x v="109"/>
    <x v="1"/>
    <x v="3"/>
    <n v="14"/>
    <d v="1899-12-30T00:16:39"/>
    <n v="16.649999999999999"/>
  </r>
  <r>
    <x v="109"/>
    <x v="1"/>
    <x v="4"/>
    <n v="28"/>
    <d v="1899-12-30T01:18:05"/>
    <n v="78.083333333333329"/>
  </r>
  <r>
    <x v="109"/>
    <x v="1"/>
    <x v="5"/>
    <n v="41"/>
    <d v="1899-12-30T01:19:28"/>
    <n v="79.466666666666669"/>
  </r>
  <r>
    <x v="109"/>
    <x v="2"/>
    <x v="0"/>
    <n v="70"/>
    <d v="1899-12-30T02:08:05"/>
    <n v="128.08333333333334"/>
  </r>
  <r>
    <x v="109"/>
    <x v="2"/>
    <x v="1"/>
    <n v="76"/>
    <d v="1899-12-30T03:01:00"/>
    <n v="181"/>
  </r>
  <r>
    <x v="109"/>
    <x v="2"/>
    <x v="2"/>
    <n v="46"/>
    <d v="1899-12-30T01:29:08"/>
    <n v="89.13333333333334"/>
  </r>
  <r>
    <x v="109"/>
    <x v="2"/>
    <x v="3"/>
    <n v="24"/>
    <d v="1899-12-30T00:26:43"/>
    <n v="26.716666666666665"/>
  </r>
  <r>
    <x v="109"/>
    <x v="2"/>
    <x v="4"/>
    <n v="14"/>
    <d v="1899-12-30T00:27:37"/>
    <n v="27.616666666666667"/>
  </r>
  <r>
    <x v="109"/>
    <x v="2"/>
    <x v="5"/>
    <n v="38"/>
    <d v="1899-12-30T01:11:18"/>
    <n v="71.3"/>
  </r>
  <r>
    <x v="109"/>
    <x v="3"/>
    <x v="0"/>
    <n v="13"/>
    <d v="1899-12-30T00:28:04"/>
    <n v="28.066666666666666"/>
  </r>
  <r>
    <x v="109"/>
    <x v="3"/>
    <x v="1"/>
    <n v="7"/>
    <d v="1899-12-30T00:14:43"/>
    <n v="14.716666666666667"/>
  </r>
  <r>
    <x v="109"/>
    <x v="3"/>
    <x v="2"/>
    <n v="1"/>
    <d v="1899-12-30T00:01:32"/>
    <n v="1.5333333333333332"/>
  </r>
  <r>
    <x v="109"/>
    <x v="3"/>
    <x v="3"/>
    <n v="0"/>
    <d v="1899-12-30T00:00:00"/>
    <n v="0"/>
  </r>
  <r>
    <x v="109"/>
    <x v="3"/>
    <x v="4"/>
    <n v="2"/>
    <d v="1899-12-30T00:04:55"/>
    <n v="4.916666666666667"/>
  </r>
  <r>
    <x v="109"/>
    <x v="3"/>
    <x v="5"/>
    <n v="5"/>
    <d v="1899-12-30T00:09:33"/>
    <n v="9.5500000000000007"/>
  </r>
  <r>
    <x v="109"/>
    <x v="4"/>
    <x v="0"/>
    <n v="47"/>
    <d v="1899-12-30T01:10:40"/>
    <n v="70.666666666666671"/>
  </r>
  <r>
    <x v="109"/>
    <x v="4"/>
    <x v="1"/>
    <n v="64"/>
    <d v="1899-12-30T01:23:22"/>
    <n v="83.36666666666666"/>
  </r>
  <r>
    <x v="109"/>
    <x v="4"/>
    <x v="2"/>
    <n v="28"/>
    <d v="1899-12-30T00:41:35"/>
    <n v="41.583333333333336"/>
  </r>
  <r>
    <x v="109"/>
    <x v="4"/>
    <x v="3"/>
    <n v="9"/>
    <d v="1899-12-30T00:08:59"/>
    <n v="8.9833333333333325"/>
  </r>
  <r>
    <x v="109"/>
    <x v="4"/>
    <x v="4"/>
    <n v="5"/>
    <d v="1899-12-30T00:11:23"/>
    <n v="11.383333333333333"/>
  </r>
  <r>
    <x v="109"/>
    <x v="4"/>
    <x v="5"/>
    <n v="24"/>
    <d v="1899-12-30T00:29:59"/>
    <n v="29.983333333333334"/>
  </r>
  <r>
    <x v="109"/>
    <x v="5"/>
    <x v="0"/>
    <n v="17"/>
    <d v="1899-12-30T00:22:01"/>
    <n v="22.016666666666666"/>
  </r>
  <r>
    <x v="109"/>
    <x v="5"/>
    <x v="1"/>
    <n v="28"/>
    <d v="1899-12-30T00:44:37"/>
    <n v="44.616666666666667"/>
  </r>
  <r>
    <x v="109"/>
    <x v="5"/>
    <x v="2"/>
    <n v="18"/>
    <d v="1899-12-30T00:26:11"/>
    <n v="26.183333333333334"/>
  </r>
  <r>
    <x v="109"/>
    <x v="5"/>
    <x v="3"/>
    <n v="14"/>
    <d v="1899-12-30T00:14:07"/>
    <n v="14.116666666666667"/>
  </r>
  <r>
    <x v="109"/>
    <x v="5"/>
    <x v="4"/>
    <n v="3"/>
    <d v="1899-12-30T00:03:24"/>
    <n v="3.4"/>
  </r>
  <r>
    <x v="109"/>
    <x v="5"/>
    <x v="5"/>
    <n v="44"/>
    <d v="1899-12-30T00:50:42"/>
    <n v="50.7"/>
  </r>
  <r>
    <x v="109"/>
    <x v="6"/>
    <x v="0"/>
    <n v="6"/>
    <d v="1899-12-30T00:05:21"/>
    <n v="5.35"/>
  </r>
  <r>
    <x v="109"/>
    <x v="6"/>
    <x v="1"/>
    <n v="10"/>
    <d v="1899-12-30T00:20:17"/>
    <n v="20.283333333333335"/>
  </r>
  <r>
    <x v="109"/>
    <x v="6"/>
    <x v="2"/>
    <n v="4"/>
    <d v="1899-12-30T00:04:41"/>
    <n v="4.6833333333333336"/>
  </r>
  <r>
    <x v="109"/>
    <x v="6"/>
    <x v="3"/>
    <n v="5"/>
    <d v="1899-12-30T00:06:25"/>
    <n v="6.416666666666667"/>
  </r>
  <r>
    <x v="109"/>
    <x v="6"/>
    <x v="4"/>
    <n v="9"/>
    <d v="1899-12-30T00:15:12"/>
    <n v="15.2"/>
  </r>
  <r>
    <x v="109"/>
    <x v="6"/>
    <x v="5"/>
    <n v="3"/>
    <d v="1899-12-30T00:06:06"/>
    <n v="6.1"/>
  </r>
  <r>
    <x v="109"/>
    <x v="7"/>
    <x v="0"/>
    <n v="64"/>
    <d v="1899-12-30T01:44:21"/>
    <n v="104.35"/>
  </r>
  <r>
    <x v="109"/>
    <x v="7"/>
    <x v="1"/>
    <n v="99"/>
    <d v="1899-12-30T02:15:45"/>
    <n v="135.75"/>
  </r>
  <r>
    <x v="109"/>
    <x v="7"/>
    <x v="2"/>
    <n v="47"/>
    <d v="1899-12-30T00:58:43"/>
    <n v="58.716666666666669"/>
  </r>
  <r>
    <x v="109"/>
    <x v="7"/>
    <x v="3"/>
    <n v="64"/>
    <d v="1899-12-30T01:06:53"/>
    <n v="66.88333333333334"/>
  </r>
  <r>
    <x v="109"/>
    <x v="7"/>
    <x v="4"/>
    <n v="115"/>
    <d v="1899-12-30T03:23:30"/>
    <n v="203.5"/>
  </r>
  <r>
    <x v="109"/>
    <x v="7"/>
    <x v="5"/>
    <n v="60"/>
    <d v="1899-12-30T01:10:34"/>
    <n v="70.566666666666663"/>
  </r>
  <r>
    <x v="109"/>
    <x v="8"/>
    <x v="0"/>
    <n v="20"/>
    <d v="1899-12-30T00:33:59"/>
    <n v="33.983333333333334"/>
  </r>
  <r>
    <x v="109"/>
    <x v="8"/>
    <x v="1"/>
    <n v="19"/>
    <d v="1899-12-30T00:32:54"/>
    <n v="32.9"/>
  </r>
  <r>
    <x v="109"/>
    <x v="8"/>
    <x v="2"/>
    <n v="22"/>
    <d v="1899-12-30T00:40:59"/>
    <n v="40.983333333333334"/>
  </r>
  <r>
    <x v="109"/>
    <x v="8"/>
    <x v="3"/>
    <n v="23"/>
    <d v="1899-12-30T00:22:09"/>
    <n v="22.15"/>
  </r>
  <r>
    <x v="109"/>
    <x v="8"/>
    <x v="4"/>
    <n v="15"/>
    <d v="1899-12-30T00:22:02"/>
    <n v="22.033333333333335"/>
  </r>
  <r>
    <x v="109"/>
    <x v="8"/>
    <x v="5"/>
    <n v="29"/>
    <d v="1899-12-30T00:37:00"/>
    <n v="37"/>
  </r>
  <r>
    <x v="109"/>
    <x v="9"/>
    <x v="0"/>
    <n v="22"/>
    <d v="1899-12-30T00:29:12"/>
    <n v="29.2"/>
  </r>
  <r>
    <x v="109"/>
    <x v="9"/>
    <x v="1"/>
    <n v="20"/>
    <d v="1899-12-30T00:33:13"/>
    <n v="33.216666666666669"/>
  </r>
  <r>
    <x v="109"/>
    <x v="9"/>
    <x v="2"/>
    <n v="15"/>
    <d v="1899-12-30T00:37:19"/>
    <n v="37.31666666666667"/>
  </r>
  <r>
    <x v="109"/>
    <x v="9"/>
    <x v="3"/>
    <n v="13"/>
    <d v="1899-12-30T00:16:14"/>
    <n v="16.233333333333334"/>
  </r>
  <r>
    <x v="109"/>
    <x v="9"/>
    <x v="4"/>
    <n v="9"/>
    <d v="1899-12-30T00:19:33"/>
    <n v="19.55"/>
  </r>
  <r>
    <x v="109"/>
    <x v="9"/>
    <x v="5"/>
    <n v="11"/>
    <d v="1899-12-30T00:15:07"/>
    <n v="15.116666666666667"/>
  </r>
  <r>
    <x v="109"/>
    <x v="10"/>
    <x v="0"/>
    <n v="15"/>
    <d v="1899-12-30T00:28:01"/>
    <n v="28.016666666666666"/>
  </r>
  <r>
    <x v="109"/>
    <x v="10"/>
    <x v="1"/>
    <n v="16"/>
    <d v="1899-12-30T00:28:35"/>
    <n v="28.583333333333332"/>
  </r>
  <r>
    <x v="109"/>
    <x v="10"/>
    <x v="2"/>
    <n v="17"/>
    <d v="1899-12-30T00:29:31"/>
    <n v="29.516666666666666"/>
  </r>
  <r>
    <x v="109"/>
    <x v="10"/>
    <x v="3"/>
    <n v="7"/>
    <d v="1899-12-30T00:09:44"/>
    <n v="9.7333333333333325"/>
  </r>
  <r>
    <x v="109"/>
    <x v="10"/>
    <x v="4"/>
    <n v="2"/>
    <d v="1899-12-30T00:06:50"/>
    <n v="6.833333333333333"/>
  </r>
  <r>
    <x v="109"/>
    <x v="10"/>
    <x v="5"/>
    <n v="10"/>
    <d v="1899-12-30T00:11:02"/>
    <n v="11.033333333333333"/>
  </r>
  <r>
    <x v="109"/>
    <x v="11"/>
    <x v="0"/>
    <n v="12"/>
    <d v="1899-12-30T00:25:36"/>
    <n v="25.6"/>
  </r>
  <r>
    <x v="109"/>
    <x v="11"/>
    <x v="1"/>
    <n v="11"/>
    <d v="1899-12-30T00:25:21"/>
    <n v="25.35"/>
  </r>
  <r>
    <x v="109"/>
    <x v="11"/>
    <x v="2"/>
    <n v="2"/>
    <d v="1899-12-30T00:04:21"/>
    <n v="4.3499999999999996"/>
  </r>
  <r>
    <x v="109"/>
    <x v="11"/>
    <x v="3"/>
    <n v="5"/>
    <d v="1899-12-30T00:03:21"/>
    <n v="3.35"/>
  </r>
  <r>
    <x v="109"/>
    <x v="11"/>
    <x v="4"/>
    <n v="1"/>
    <d v="1899-12-30T00:03:20"/>
    <n v="3.3333333333333335"/>
  </r>
  <r>
    <x v="109"/>
    <x v="11"/>
    <x v="5"/>
    <n v="7"/>
    <d v="1899-12-30T00:13:29"/>
    <n v="13.483333333333333"/>
  </r>
  <r>
    <x v="109"/>
    <x v="12"/>
    <x v="0"/>
    <n v="91"/>
    <d v="1899-12-30T02:33:34"/>
    <n v="153.56666666666666"/>
  </r>
  <r>
    <x v="109"/>
    <x v="12"/>
    <x v="1"/>
    <n v="90"/>
    <d v="1899-12-30T02:52:53"/>
    <n v="172.88333333333333"/>
  </r>
  <r>
    <x v="109"/>
    <x v="12"/>
    <x v="2"/>
    <n v="56"/>
    <d v="1899-12-30T01:33:57"/>
    <n v="93.95"/>
  </r>
  <r>
    <x v="109"/>
    <x v="12"/>
    <x v="3"/>
    <n v="49"/>
    <d v="1899-12-30T00:50:48"/>
    <n v="50.8"/>
  </r>
  <r>
    <x v="109"/>
    <x v="12"/>
    <x v="4"/>
    <n v="26"/>
    <d v="1899-12-30T00:46:50"/>
    <n v="46.833333333333336"/>
  </r>
  <r>
    <x v="109"/>
    <x v="12"/>
    <x v="5"/>
    <n v="103"/>
    <d v="1899-12-30T02:23:03"/>
    <n v="143.05000000000001"/>
  </r>
  <r>
    <x v="109"/>
    <x v="13"/>
    <x v="0"/>
    <n v="73"/>
    <d v="1899-12-30T02:02:56"/>
    <n v="122.93333333333334"/>
  </r>
  <r>
    <x v="109"/>
    <x v="13"/>
    <x v="1"/>
    <n v="117"/>
    <d v="1899-12-30T02:20:05"/>
    <n v="140.08333333333334"/>
  </r>
  <r>
    <x v="109"/>
    <x v="13"/>
    <x v="2"/>
    <n v="33"/>
    <d v="1899-12-30T00:47:25"/>
    <n v="47.416666666666664"/>
  </r>
  <r>
    <x v="109"/>
    <x v="13"/>
    <x v="3"/>
    <n v="18"/>
    <d v="1899-12-30T00:19:45"/>
    <n v="19.75"/>
  </r>
  <r>
    <x v="109"/>
    <x v="13"/>
    <x v="4"/>
    <n v="5"/>
    <d v="1899-12-30T00:06:44"/>
    <n v="6.7333333333333334"/>
  </r>
  <r>
    <x v="109"/>
    <x v="13"/>
    <x v="5"/>
    <n v="39"/>
    <d v="1899-12-30T00:39:49"/>
    <n v="39.81666666666667"/>
  </r>
  <r>
    <x v="110"/>
    <x v="0"/>
    <x v="0"/>
    <n v="51"/>
    <d v="1899-12-30T01:20:58"/>
    <n v="80.966666666666669"/>
  </r>
  <r>
    <x v="110"/>
    <x v="0"/>
    <x v="1"/>
    <n v="53"/>
    <d v="1899-12-30T01:22:36"/>
    <n v="82.6"/>
  </r>
  <r>
    <x v="110"/>
    <x v="0"/>
    <x v="2"/>
    <n v="29"/>
    <d v="1899-12-30T00:43:05"/>
    <n v="43.083333333333336"/>
  </r>
  <r>
    <x v="110"/>
    <x v="0"/>
    <x v="3"/>
    <n v="16"/>
    <d v="1899-12-30T00:14:36"/>
    <n v="14.6"/>
  </r>
  <r>
    <x v="110"/>
    <x v="0"/>
    <x v="4"/>
    <n v="10"/>
    <d v="1899-12-30T00:15:26"/>
    <n v="15.433333333333334"/>
  </r>
  <r>
    <x v="110"/>
    <x v="0"/>
    <x v="5"/>
    <n v="34"/>
    <d v="1899-12-30T00:49:15"/>
    <n v="49.25"/>
  </r>
  <r>
    <x v="110"/>
    <x v="1"/>
    <x v="0"/>
    <n v="37"/>
    <d v="1899-12-30T01:15:06"/>
    <n v="75.099999999999994"/>
  </r>
  <r>
    <x v="110"/>
    <x v="1"/>
    <x v="1"/>
    <n v="32"/>
    <d v="1899-12-30T01:17:50"/>
    <n v="77.833333333333329"/>
  </r>
  <r>
    <x v="110"/>
    <x v="1"/>
    <x v="2"/>
    <n v="23"/>
    <d v="1899-12-30T00:44:40"/>
    <n v="44.666666666666664"/>
  </r>
  <r>
    <x v="110"/>
    <x v="1"/>
    <x v="3"/>
    <n v="17"/>
    <d v="1899-12-30T00:21:34"/>
    <n v="21.566666666666666"/>
  </r>
  <r>
    <x v="110"/>
    <x v="1"/>
    <x v="4"/>
    <n v="28"/>
    <d v="1899-12-30T00:59:23"/>
    <n v="59.383333333333333"/>
  </r>
  <r>
    <x v="110"/>
    <x v="1"/>
    <x v="5"/>
    <n v="44"/>
    <d v="1899-12-30T01:25:41"/>
    <n v="85.683333333333337"/>
  </r>
  <r>
    <x v="110"/>
    <x v="2"/>
    <x v="0"/>
    <n v="39"/>
    <d v="1899-12-30T01:14:09"/>
    <n v="74.150000000000006"/>
  </r>
  <r>
    <x v="110"/>
    <x v="2"/>
    <x v="1"/>
    <n v="60"/>
    <d v="1899-12-30T02:08:28"/>
    <n v="128.46666666666667"/>
  </r>
  <r>
    <x v="110"/>
    <x v="2"/>
    <x v="2"/>
    <n v="34"/>
    <d v="1899-12-30T00:53:37"/>
    <n v="53.616666666666667"/>
  </r>
  <r>
    <x v="110"/>
    <x v="2"/>
    <x v="3"/>
    <n v="17"/>
    <d v="1899-12-30T00:16:03"/>
    <n v="16.05"/>
  </r>
  <r>
    <x v="110"/>
    <x v="2"/>
    <x v="4"/>
    <n v="10"/>
    <d v="1899-12-30T00:20:37"/>
    <n v="20.616666666666667"/>
  </r>
  <r>
    <x v="110"/>
    <x v="2"/>
    <x v="5"/>
    <n v="24"/>
    <d v="1899-12-30T00:42:33"/>
    <n v="42.55"/>
  </r>
  <r>
    <x v="110"/>
    <x v="3"/>
    <x v="0"/>
    <n v="7"/>
    <d v="1899-12-30T00:17:02"/>
    <n v="17.033333333333335"/>
  </r>
  <r>
    <x v="110"/>
    <x v="3"/>
    <x v="1"/>
    <n v="9"/>
    <d v="1899-12-30T00:27:44"/>
    <n v="27.733333333333334"/>
  </r>
  <r>
    <x v="110"/>
    <x v="3"/>
    <x v="2"/>
    <n v="4"/>
    <d v="1899-12-30T00:10:49"/>
    <n v="10.816666666666666"/>
  </r>
  <r>
    <x v="110"/>
    <x v="3"/>
    <x v="3"/>
    <n v="1"/>
    <d v="1899-12-30T00:00:24"/>
    <n v="0.4"/>
  </r>
  <r>
    <x v="110"/>
    <x v="3"/>
    <x v="4"/>
    <n v="5"/>
    <d v="1899-12-30T00:17:21"/>
    <n v="17.350000000000001"/>
  </r>
  <r>
    <x v="110"/>
    <x v="3"/>
    <x v="5"/>
    <n v="7"/>
    <d v="1899-12-30T00:13:27"/>
    <n v="13.45"/>
  </r>
  <r>
    <x v="110"/>
    <x v="4"/>
    <x v="0"/>
    <n v="47"/>
    <d v="1899-12-30T01:14:59"/>
    <n v="74.983333333333334"/>
  </r>
  <r>
    <x v="110"/>
    <x v="4"/>
    <x v="1"/>
    <n v="55"/>
    <d v="1899-12-30T01:16:23"/>
    <n v="76.38333333333334"/>
  </r>
  <r>
    <x v="110"/>
    <x v="4"/>
    <x v="2"/>
    <n v="37"/>
    <d v="1899-12-30T00:53:49"/>
    <n v="53.81666666666667"/>
  </r>
  <r>
    <x v="110"/>
    <x v="4"/>
    <x v="3"/>
    <n v="16"/>
    <d v="1899-12-30T00:15:08"/>
    <n v="15.133333333333333"/>
  </r>
  <r>
    <x v="110"/>
    <x v="4"/>
    <x v="4"/>
    <n v="6"/>
    <d v="1899-12-30T00:11:31"/>
    <n v="11.516666666666667"/>
  </r>
  <r>
    <x v="110"/>
    <x v="4"/>
    <x v="5"/>
    <n v="27"/>
    <d v="1899-12-30T00:38:14"/>
    <n v="38.233333333333334"/>
  </r>
  <r>
    <x v="110"/>
    <x v="5"/>
    <x v="0"/>
    <n v="11"/>
    <d v="1899-12-30T00:18:45"/>
    <n v="18.75"/>
  </r>
  <r>
    <x v="110"/>
    <x v="5"/>
    <x v="1"/>
    <n v="11"/>
    <d v="1899-12-30T00:15:11"/>
    <n v="15.183333333333334"/>
  </r>
  <r>
    <x v="110"/>
    <x v="5"/>
    <x v="2"/>
    <n v="10"/>
    <d v="1899-12-30T00:11:23"/>
    <n v="11.383333333333333"/>
  </r>
  <r>
    <x v="110"/>
    <x v="5"/>
    <x v="3"/>
    <n v="12"/>
    <d v="1899-12-30T00:09:15"/>
    <n v="9.25"/>
  </r>
  <r>
    <x v="110"/>
    <x v="5"/>
    <x v="4"/>
    <n v="0"/>
    <d v="1899-12-30T00:00:00"/>
    <n v="0"/>
  </r>
  <r>
    <x v="110"/>
    <x v="5"/>
    <x v="5"/>
    <n v="28"/>
    <d v="1899-12-30T00:33:15"/>
    <n v="33.25"/>
  </r>
  <r>
    <x v="110"/>
    <x v="6"/>
    <x v="0"/>
    <n v="11"/>
    <d v="1899-12-30T00:15:54"/>
    <n v="15.9"/>
  </r>
  <r>
    <x v="110"/>
    <x v="6"/>
    <x v="1"/>
    <n v="12"/>
    <d v="1899-12-30T00:21:08"/>
    <n v="21.133333333333333"/>
  </r>
  <r>
    <x v="110"/>
    <x v="6"/>
    <x v="2"/>
    <n v="12"/>
    <d v="1899-12-30T00:21:20"/>
    <n v="21.333333333333332"/>
  </r>
  <r>
    <x v="110"/>
    <x v="6"/>
    <x v="3"/>
    <n v="5"/>
    <d v="1899-12-30T00:04:05"/>
    <n v="4.083333333333333"/>
  </r>
  <r>
    <x v="110"/>
    <x v="6"/>
    <x v="4"/>
    <n v="10"/>
    <d v="1899-12-30T00:18:53"/>
    <n v="18.883333333333333"/>
  </r>
  <r>
    <x v="110"/>
    <x v="6"/>
    <x v="5"/>
    <n v="7"/>
    <d v="1899-12-30T00:07:51"/>
    <n v="7.85"/>
  </r>
  <r>
    <x v="110"/>
    <x v="7"/>
    <x v="0"/>
    <n v="87"/>
    <d v="1899-12-30T02:08:04"/>
    <n v="128.06666666666666"/>
  </r>
  <r>
    <x v="110"/>
    <x v="7"/>
    <x v="1"/>
    <n v="111"/>
    <d v="1899-12-30T02:16:07"/>
    <n v="136.11666666666667"/>
  </r>
  <r>
    <x v="110"/>
    <x v="7"/>
    <x v="2"/>
    <n v="46"/>
    <d v="1899-12-30T01:00:00"/>
    <n v="60"/>
  </r>
  <r>
    <x v="110"/>
    <x v="7"/>
    <x v="3"/>
    <n v="60"/>
    <d v="1899-12-30T00:52:33"/>
    <n v="52.55"/>
  </r>
  <r>
    <x v="110"/>
    <x v="7"/>
    <x v="4"/>
    <n v="113"/>
    <d v="1899-12-30T03:21:55"/>
    <n v="201.91666666666666"/>
  </r>
  <r>
    <x v="110"/>
    <x v="7"/>
    <x v="5"/>
    <n v="41"/>
    <d v="1899-12-30T00:48:47"/>
    <n v="48.783333333333331"/>
  </r>
  <r>
    <x v="110"/>
    <x v="8"/>
    <x v="0"/>
    <n v="45"/>
    <d v="1899-12-30T01:24:02"/>
    <n v="84.033333333333331"/>
  </r>
  <r>
    <x v="110"/>
    <x v="8"/>
    <x v="1"/>
    <n v="50"/>
    <d v="1899-12-30T01:24:42"/>
    <n v="84.7"/>
  </r>
  <r>
    <x v="110"/>
    <x v="8"/>
    <x v="2"/>
    <n v="39"/>
    <d v="1899-12-30T01:02:55"/>
    <n v="62.916666666666664"/>
  </r>
  <r>
    <x v="110"/>
    <x v="8"/>
    <x v="3"/>
    <n v="45"/>
    <d v="1899-12-30T00:47:59"/>
    <n v="47.983333333333334"/>
  </r>
  <r>
    <x v="110"/>
    <x v="8"/>
    <x v="4"/>
    <n v="20"/>
    <d v="1899-12-30T00:37:28"/>
    <n v="37.466666666666669"/>
  </r>
  <r>
    <x v="110"/>
    <x v="8"/>
    <x v="5"/>
    <n v="49"/>
    <d v="1899-12-30T01:05:39"/>
    <n v="65.650000000000006"/>
  </r>
  <r>
    <x v="110"/>
    <x v="9"/>
    <x v="0"/>
    <n v="55"/>
    <d v="1899-12-30T01:31:16"/>
    <n v="91.266666666666666"/>
  </r>
  <r>
    <x v="110"/>
    <x v="9"/>
    <x v="1"/>
    <n v="77"/>
    <d v="1899-12-30T02:13:21"/>
    <n v="133.35"/>
  </r>
  <r>
    <x v="110"/>
    <x v="9"/>
    <x v="2"/>
    <n v="62"/>
    <d v="1899-12-30T01:49:09"/>
    <n v="109.15"/>
  </r>
  <r>
    <x v="110"/>
    <x v="9"/>
    <x v="3"/>
    <n v="26"/>
    <d v="1899-12-30T00:21:31"/>
    <n v="21.516666666666666"/>
  </r>
  <r>
    <x v="110"/>
    <x v="9"/>
    <x v="4"/>
    <n v="15"/>
    <d v="1899-12-30T00:40:47"/>
    <n v="40.783333333333331"/>
  </r>
  <r>
    <x v="110"/>
    <x v="9"/>
    <x v="5"/>
    <n v="60"/>
    <d v="1899-12-30T01:22:46"/>
    <n v="82.766666666666666"/>
  </r>
  <r>
    <x v="110"/>
    <x v="10"/>
    <x v="0"/>
    <n v="14"/>
    <d v="1899-12-30T00:28:16"/>
    <n v="28.266666666666666"/>
  </r>
  <r>
    <x v="110"/>
    <x v="10"/>
    <x v="1"/>
    <n v="21"/>
    <d v="1899-12-30T00:41:41"/>
    <n v="41.68333333333333"/>
  </r>
  <r>
    <x v="110"/>
    <x v="10"/>
    <x v="2"/>
    <n v="16"/>
    <d v="1899-12-30T00:34:57"/>
    <n v="34.950000000000003"/>
  </r>
  <r>
    <x v="110"/>
    <x v="10"/>
    <x v="3"/>
    <n v="9"/>
    <d v="1899-12-30T00:06:35"/>
    <n v="6.583333333333333"/>
  </r>
  <r>
    <x v="110"/>
    <x v="10"/>
    <x v="4"/>
    <n v="3"/>
    <d v="1899-12-30T00:05:19"/>
    <n v="5.3166666666666664"/>
  </r>
  <r>
    <x v="110"/>
    <x v="10"/>
    <x v="5"/>
    <n v="14"/>
    <d v="1899-12-30T00:19:50"/>
    <n v="19.833333333333332"/>
  </r>
  <r>
    <x v="110"/>
    <x v="11"/>
    <x v="0"/>
    <n v="11"/>
    <d v="1899-12-30T00:24:12"/>
    <n v="24.2"/>
  </r>
  <r>
    <x v="110"/>
    <x v="11"/>
    <x v="1"/>
    <n v="12"/>
    <d v="1899-12-30T00:26:07"/>
    <n v="26.116666666666667"/>
  </r>
  <r>
    <x v="110"/>
    <x v="11"/>
    <x v="2"/>
    <n v="5"/>
    <d v="1899-12-30T00:11:04"/>
    <n v="11.066666666666666"/>
  </r>
  <r>
    <x v="110"/>
    <x v="11"/>
    <x v="3"/>
    <n v="6"/>
    <d v="1899-12-30T00:04:11"/>
    <n v="4.1833333333333336"/>
  </r>
  <r>
    <x v="110"/>
    <x v="11"/>
    <x v="4"/>
    <n v="3"/>
    <d v="1899-12-30T00:05:12"/>
    <n v="5.2"/>
  </r>
  <r>
    <x v="110"/>
    <x v="11"/>
    <x v="5"/>
    <n v="6"/>
    <d v="1899-12-30T00:09:49"/>
    <n v="9.8166666666666664"/>
  </r>
  <r>
    <x v="110"/>
    <x v="12"/>
    <x v="0"/>
    <n v="64"/>
    <d v="1899-12-30T01:59:57"/>
    <n v="119.95"/>
  </r>
  <r>
    <x v="110"/>
    <x v="12"/>
    <x v="1"/>
    <n v="69"/>
    <d v="1899-12-30T02:30:34"/>
    <n v="150.56666666666666"/>
  </r>
  <r>
    <x v="110"/>
    <x v="12"/>
    <x v="2"/>
    <n v="43"/>
    <d v="1899-12-30T01:11:24"/>
    <n v="71.400000000000006"/>
  </r>
  <r>
    <x v="110"/>
    <x v="12"/>
    <x v="3"/>
    <n v="40"/>
    <d v="1899-12-30T00:35:26"/>
    <n v="35.43333333333333"/>
  </r>
  <r>
    <x v="110"/>
    <x v="12"/>
    <x v="4"/>
    <n v="18"/>
    <d v="1899-12-30T00:34:06"/>
    <n v="34.1"/>
  </r>
  <r>
    <x v="110"/>
    <x v="12"/>
    <x v="5"/>
    <n v="66"/>
    <d v="1899-12-30T01:34:38"/>
    <n v="94.63333333333334"/>
  </r>
  <r>
    <x v="110"/>
    <x v="13"/>
    <x v="0"/>
    <n v="32"/>
    <d v="1899-12-30T00:49:51"/>
    <n v="49.85"/>
  </r>
  <r>
    <x v="110"/>
    <x v="13"/>
    <x v="1"/>
    <n v="35"/>
    <d v="1899-12-30T00:40:46"/>
    <n v="40.766666666666666"/>
  </r>
  <r>
    <x v="110"/>
    <x v="13"/>
    <x v="2"/>
    <n v="20"/>
    <d v="1899-12-30T00:23:10"/>
    <n v="23.166666666666668"/>
  </r>
  <r>
    <x v="110"/>
    <x v="13"/>
    <x v="3"/>
    <n v="18"/>
    <d v="1899-12-30T00:15:28"/>
    <n v="15.466666666666667"/>
  </r>
  <r>
    <x v="110"/>
    <x v="13"/>
    <x v="4"/>
    <n v="0"/>
    <d v="1899-12-30T00:00:00"/>
    <n v="0"/>
  </r>
  <r>
    <x v="110"/>
    <x v="13"/>
    <x v="5"/>
    <n v="17"/>
    <d v="1899-12-30T00:18:16"/>
    <n v="18.266666666666666"/>
  </r>
  <r>
    <x v="111"/>
    <x v="0"/>
    <x v="0"/>
    <n v="18"/>
    <d v="1899-12-30T00:26:30"/>
    <n v="26.5"/>
  </r>
  <r>
    <x v="111"/>
    <x v="0"/>
    <x v="1"/>
    <n v="36"/>
    <d v="1899-12-30T00:45:38"/>
    <n v="45.633333333333333"/>
  </r>
  <r>
    <x v="111"/>
    <x v="0"/>
    <x v="2"/>
    <n v="16"/>
    <d v="1899-12-30T00:17:24"/>
    <n v="17.399999999999999"/>
  </r>
  <r>
    <x v="111"/>
    <x v="0"/>
    <x v="3"/>
    <n v="20"/>
    <d v="1899-12-30T00:14:23"/>
    <n v="14.383333333333333"/>
  </r>
  <r>
    <x v="111"/>
    <x v="0"/>
    <x v="4"/>
    <n v="9"/>
    <d v="1899-12-30T00:06:49"/>
    <n v="6.8166666666666664"/>
  </r>
  <r>
    <x v="111"/>
    <x v="0"/>
    <x v="5"/>
    <n v="21"/>
    <d v="1899-12-30T00:22:39"/>
    <n v="22.65"/>
  </r>
  <r>
    <x v="111"/>
    <x v="1"/>
    <x v="0"/>
    <n v="53"/>
    <d v="1899-12-30T02:06:33"/>
    <n v="126.55"/>
  </r>
  <r>
    <x v="111"/>
    <x v="1"/>
    <x v="1"/>
    <n v="50"/>
    <d v="1899-12-30T01:54:07"/>
    <n v="114.11666666666666"/>
  </r>
  <r>
    <x v="111"/>
    <x v="1"/>
    <x v="2"/>
    <n v="20"/>
    <d v="1899-12-30T00:42:45"/>
    <n v="42.75"/>
  </r>
  <r>
    <x v="111"/>
    <x v="1"/>
    <x v="3"/>
    <n v="21"/>
    <d v="1899-12-30T00:24:51"/>
    <n v="24.85"/>
  </r>
  <r>
    <x v="111"/>
    <x v="1"/>
    <x v="4"/>
    <n v="35"/>
    <d v="1899-12-30T01:28:40"/>
    <n v="88.666666666666671"/>
  </r>
  <r>
    <x v="111"/>
    <x v="1"/>
    <x v="5"/>
    <n v="42"/>
    <d v="1899-12-30T01:10:38"/>
    <n v="70.63333333333334"/>
  </r>
  <r>
    <x v="111"/>
    <x v="2"/>
    <x v="0"/>
    <n v="67"/>
    <d v="1899-12-30T02:11:11"/>
    <n v="131.18333333333334"/>
  </r>
  <r>
    <x v="111"/>
    <x v="2"/>
    <x v="1"/>
    <n v="79"/>
    <d v="1899-12-30T02:50:21"/>
    <n v="170.35"/>
  </r>
  <r>
    <x v="111"/>
    <x v="2"/>
    <x v="2"/>
    <n v="58"/>
    <d v="1899-12-30T01:41:54"/>
    <n v="101.9"/>
  </r>
  <r>
    <x v="111"/>
    <x v="2"/>
    <x v="3"/>
    <n v="26"/>
    <d v="1899-12-30T00:27:44"/>
    <n v="27.733333333333334"/>
  </r>
  <r>
    <x v="111"/>
    <x v="2"/>
    <x v="4"/>
    <n v="19"/>
    <d v="1899-12-30T00:37:25"/>
    <n v="37.416666666666664"/>
  </r>
  <r>
    <x v="111"/>
    <x v="2"/>
    <x v="5"/>
    <n v="42"/>
    <d v="1899-12-30T01:07:13"/>
    <n v="67.216666666666669"/>
  </r>
  <r>
    <x v="111"/>
    <x v="3"/>
    <x v="0"/>
    <n v="11"/>
    <d v="1899-12-30T00:20:59"/>
    <n v="20.983333333333334"/>
  </r>
  <r>
    <x v="111"/>
    <x v="3"/>
    <x v="1"/>
    <n v="8"/>
    <d v="1899-12-30T00:22:24"/>
    <n v="22.4"/>
  </r>
  <r>
    <x v="111"/>
    <x v="3"/>
    <x v="2"/>
    <n v="8"/>
    <d v="1899-12-30T00:18:29"/>
    <n v="18.483333333333334"/>
  </r>
  <r>
    <x v="111"/>
    <x v="3"/>
    <x v="3"/>
    <n v="0"/>
    <d v="1899-12-30T00:00:00"/>
    <n v="0"/>
  </r>
  <r>
    <x v="111"/>
    <x v="3"/>
    <x v="4"/>
    <n v="2"/>
    <d v="1899-12-30T00:04:35"/>
    <n v="4.583333333333333"/>
  </r>
  <r>
    <x v="111"/>
    <x v="3"/>
    <x v="5"/>
    <n v="9"/>
    <d v="1899-12-30T00:19:20"/>
    <n v="19.333333333333332"/>
  </r>
  <r>
    <x v="111"/>
    <x v="4"/>
    <x v="0"/>
    <n v="23"/>
    <d v="1899-12-30T00:50:04"/>
    <n v="50.06666666666667"/>
  </r>
  <r>
    <x v="111"/>
    <x v="4"/>
    <x v="1"/>
    <n v="27"/>
    <d v="1899-12-30T00:52:24"/>
    <n v="52.4"/>
  </r>
  <r>
    <x v="111"/>
    <x v="4"/>
    <x v="2"/>
    <n v="17"/>
    <d v="1899-12-30T00:24:15"/>
    <n v="24.25"/>
  </r>
  <r>
    <x v="111"/>
    <x v="4"/>
    <x v="3"/>
    <n v="4"/>
    <d v="1899-12-30T00:03:40"/>
    <n v="3.6666666666666665"/>
  </r>
  <r>
    <x v="111"/>
    <x v="4"/>
    <x v="4"/>
    <n v="4"/>
    <d v="1899-12-30T00:08:50"/>
    <n v="8.8333333333333339"/>
  </r>
  <r>
    <x v="111"/>
    <x v="4"/>
    <x v="5"/>
    <n v="4"/>
    <d v="1899-12-30T00:06:13"/>
    <n v="6.2166666666666668"/>
  </r>
  <r>
    <x v="111"/>
    <x v="5"/>
    <x v="0"/>
    <n v="24"/>
    <d v="1899-12-30T00:31:09"/>
    <n v="31.15"/>
  </r>
  <r>
    <x v="111"/>
    <x v="5"/>
    <x v="1"/>
    <n v="33"/>
    <d v="1899-12-30T00:50:11"/>
    <n v="50.18333333333333"/>
  </r>
  <r>
    <x v="111"/>
    <x v="5"/>
    <x v="2"/>
    <n v="34"/>
    <d v="1899-12-30T00:42:23"/>
    <n v="42.383333333333333"/>
  </r>
  <r>
    <x v="111"/>
    <x v="5"/>
    <x v="3"/>
    <n v="14"/>
    <d v="1899-12-30T00:12:11"/>
    <n v="12.183333333333334"/>
  </r>
  <r>
    <x v="111"/>
    <x v="5"/>
    <x v="4"/>
    <n v="1"/>
    <d v="1899-12-30T00:03:04"/>
    <n v="3.0666666666666669"/>
  </r>
  <r>
    <x v="111"/>
    <x v="5"/>
    <x v="5"/>
    <n v="54"/>
    <d v="1899-12-30T01:04:29"/>
    <n v="64.483333333333334"/>
  </r>
  <r>
    <x v="111"/>
    <x v="6"/>
    <x v="0"/>
    <n v="21"/>
    <d v="1899-12-30T00:31:01"/>
    <n v="31.016666666666666"/>
  </r>
  <r>
    <x v="111"/>
    <x v="6"/>
    <x v="1"/>
    <n v="22"/>
    <d v="1899-12-30T00:32:22"/>
    <n v="32.366666666666667"/>
  </r>
  <r>
    <x v="111"/>
    <x v="6"/>
    <x v="2"/>
    <n v="17"/>
    <d v="1899-12-30T00:26:44"/>
    <n v="26.733333333333334"/>
  </r>
  <r>
    <x v="111"/>
    <x v="6"/>
    <x v="3"/>
    <n v="8"/>
    <d v="1899-12-30T00:06:07"/>
    <n v="6.1166666666666663"/>
  </r>
  <r>
    <x v="111"/>
    <x v="6"/>
    <x v="4"/>
    <n v="11"/>
    <d v="1899-12-30T00:16:25"/>
    <n v="16.416666666666668"/>
  </r>
  <r>
    <x v="111"/>
    <x v="6"/>
    <x v="5"/>
    <n v="10"/>
    <d v="1899-12-30T00:12:10"/>
    <n v="12.166666666666666"/>
  </r>
  <r>
    <x v="111"/>
    <x v="7"/>
    <x v="0"/>
    <n v="74"/>
    <d v="1899-12-30T02:03:47"/>
    <n v="123.78333333333333"/>
  </r>
  <r>
    <x v="111"/>
    <x v="7"/>
    <x v="1"/>
    <n v="114"/>
    <d v="1899-12-30T02:33:08"/>
    <n v="153.13333333333333"/>
  </r>
  <r>
    <x v="111"/>
    <x v="7"/>
    <x v="2"/>
    <n v="63"/>
    <d v="1899-12-30T01:22:17"/>
    <n v="82.283333333333331"/>
  </r>
  <r>
    <x v="111"/>
    <x v="7"/>
    <x v="3"/>
    <n v="78"/>
    <d v="1899-12-30T01:12:52"/>
    <n v="72.86666666666666"/>
  </r>
  <r>
    <x v="111"/>
    <x v="7"/>
    <x v="4"/>
    <n v="144"/>
    <d v="1899-12-30T04:16:53"/>
    <n v="256.88333333333333"/>
  </r>
  <r>
    <x v="111"/>
    <x v="7"/>
    <x v="5"/>
    <n v="77"/>
    <d v="1899-12-30T01:34:11"/>
    <n v="94.183333333333337"/>
  </r>
  <r>
    <x v="111"/>
    <x v="8"/>
    <x v="0"/>
    <n v="24"/>
    <d v="1899-12-30T00:45:24"/>
    <n v="45.4"/>
  </r>
  <r>
    <x v="111"/>
    <x v="8"/>
    <x v="1"/>
    <n v="30"/>
    <d v="1899-12-30T00:48:41"/>
    <n v="48.68333333333333"/>
  </r>
  <r>
    <x v="111"/>
    <x v="8"/>
    <x v="2"/>
    <n v="35"/>
    <d v="1899-12-30T00:53:48"/>
    <n v="53.8"/>
  </r>
  <r>
    <x v="111"/>
    <x v="8"/>
    <x v="3"/>
    <n v="22"/>
    <d v="1899-12-30T00:22:41"/>
    <n v="22.683333333333334"/>
  </r>
  <r>
    <x v="111"/>
    <x v="8"/>
    <x v="4"/>
    <n v="10"/>
    <d v="1899-12-30T00:13:37"/>
    <n v="13.616666666666667"/>
  </r>
  <r>
    <x v="111"/>
    <x v="8"/>
    <x v="5"/>
    <n v="43"/>
    <d v="1899-12-30T00:53:05"/>
    <n v="53.083333333333336"/>
  </r>
  <r>
    <x v="111"/>
    <x v="9"/>
    <x v="0"/>
    <n v="112"/>
    <d v="1899-12-30T03:23:07"/>
    <n v="203.11666666666667"/>
  </r>
  <r>
    <x v="111"/>
    <x v="9"/>
    <x v="1"/>
    <n v="146"/>
    <d v="1899-12-30T03:42:46"/>
    <n v="222.76666666666668"/>
  </r>
  <r>
    <x v="111"/>
    <x v="9"/>
    <x v="2"/>
    <n v="94"/>
    <d v="1899-12-30T02:15:42"/>
    <n v="135.69999999999999"/>
  </r>
  <r>
    <x v="111"/>
    <x v="9"/>
    <x v="3"/>
    <n v="54"/>
    <d v="1899-12-30T00:57:24"/>
    <n v="57.4"/>
  </r>
  <r>
    <x v="111"/>
    <x v="9"/>
    <x v="4"/>
    <n v="24"/>
    <d v="1899-12-30T00:46:28"/>
    <n v="46.466666666666669"/>
  </r>
  <r>
    <x v="111"/>
    <x v="9"/>
    <x v="5"/>
    <n v="73"/>
    <d v="1899-12-30T01:46:35"/>
    <n v="106.58333333333333"/>
  </r>
  <r>
    <x v="111"/>
    <x v="10"/>
    <x v="0"/>
    <n v="19"/>
    <d v="1899-12-30T00:49:09"/>
    <n v="49.15"/>
  </r>
  <r>
    <x v="111"/>
    <x v="10"/>
    <x v="1"/>
    <n v="22"/>
    <d v="1899-12-30T00:48:33"/>
    <n v="48.55"/>
  </r>
  <r>
    <x v="111"/>
    <x v="10"/>
    <x v="2"/>
    <n v="20"/>
    <d v="1899-12-30T00:38:27"/>
    <n v="38.450000000000003"/>
  </r>
  <r>
    <x v="111"/>
    <x v="10"/>
    <x v="3"/>
    <n v="1"/>
    <d v="1899-12-30T00:00:41"/>
    <n v="0.68333333333333335"/>
  </r>
  <r>
    <x v="111"/>
    <x v="10"/>
    <x v="4"/>
    <n v="6"/>
    <d v="1899-12-30T00:17:29"/>
    <n v="17.483333333333334"/>
  </r>
  <r>
    <x v="111"/>
    <x v="10"/>
    <x v="5"/>
    <n v="22"/>
    <d v="1899-12-30T00:41:20"/>
    <n v="41.333333333333336"/>
  </r>
  <r>
    <x v="111"/>
    <x v="11"/>
    <x v="0"/>
    <n v="15"/>
    <d v="1899-12-30T00:32:43"/>
    <n v="32.716666666666669"/>
  </r>
  <r>
    <x v="111"/>
    <x v="11"/>
    <x v="1"/>
    <n v="16"/>
    <d v="1899-12-30T00:26:42"/>
    <n v="26.7"/>
  </r>
  <r>
    <x v="111"/>
    <x v="11"/>
    <x v="2"/>
    <n v="12"/>
    <d v="1899-12-30T00:18:03"/>
    <n v="18.05"/>
  </r>
  <r>
    <x v="111"/>
    <x v="11"/>
    <x v="3"/>
    <n v="7"/>
    <d v="1899-12-30T00:05:02"/>
    <n v="5.0333333333333332"/>
  </r>
  <r>
    <x v="111"/>
    <x v="11"/>
    <x v="4"/>
    <n v="3"/>
    <d v="1899-12-30T00:05:30"/>
    <n v="5.5"/>
  </r>
  <r>
    <x v="111"/>
    <x v="11"/>
    <x v="5"/>
    <n v="13"/>
    <d v="1899-12-30T00:22:51"/>
    <n v="22.85"/>
  </r>
  <r>
    <x v="111"/>
    <x v="12"/>
    <x v="0"/>
    <n v="99"/>
    <d v="1899-12-30T02:51:09"/>
    <n v="171.15"/>
  </r>
  <r>
    <x v="111"/>
    <x v="12"/>
    <x v="1"/>
    <n v="130"/>
    <d v="1899-12-30T04:06:53"/>
    <n v="246.88333333333333"/>
  </r>
  <r>
    <x v="111"/>
    <x v="12"/>
    <x v="2"/>
    <n v="81"/>
    <d v="1899-12-30T02:19:01"/>
    <n v="139.01666666666668"/>
  </r>
  <r>
    <x v="111"/>
    <x v="12"/>
    <x v="3"/>
    <n v="47"/>
    <d v="1899-12-30T00:43:14"/>
    <n v="43.233333333333334"/>
  </r>
  <r>
    <x v="111"/>
    <x v="12"/>
    <x v="4"/>
    <n v="35"/>
    <d v="1899-12-30T01:20:05"/>
    <n v="80.083333333333329"/>
  </r>
  <r>
    <x v="111"/>
    <x v="12"/>
    <x v="5"/>
    <n v="104"/>
    <d v="1899-12-30T02:32:33"/>
    <n v="152.55000000000001"/>
  </r>
  <r>
    <x v="111"/>
    <x v="13"/>
    <x v="0"/>
    <n v="46"/>
    <d v="1899-12-30T01:18:35"/>
    <n v="78.583333333333329"/>
  </r>
  <r>
    <x v="111"/>
    <x v="13"/>
    <x v="1"/>
    <n v="40"/>
    <d v="1899-12-30T00:44:25"/>
    <n v="44.416666666666664"/>
  </r>
  <r>
    <x v="111"/>
    <x v="13"/>
    <x v="2"/>
    <n v="31"/>
    <d v="1899-12-30T00:29:20"/>
    <n v="29.333333333333332"/>
  </r>
  <r>
    <x v="111"/>
    <x v="13"/>
    <x v="3"/>
    <n v="39"/>
    <d v="1899-12-30T00:32:34"/>
    <n v="32.56666666666667"/>
  </r>
  <r>
    <x v="111"/>
    <x v="13"/>
    <x v="4"/>
    <n v="0"/>
    <d v="1899-12-30T00:00:00"/>
    <n v="0"/>
  </r>
  <r>
    <x v="111"/>
    <x v="13"/>
    <x v="5"/>
    <n v="24"/>
    <d v="1899-12-30T00:19:16"/>
    <n v="19.266666666666666"/>
  </r>
  <r>
    <x v="112"/>
    <x v="0"/>
    <x v="0"/>
    <n v="25"/>
    <d v="1899-12-30T00:33:25"/>
    <n v="33.416666666666664"/>
  </r>
  <r>
    <x v="112"/>
    <x v="0"/>
    <x v="1"/>
    <n v="32"/>
    <d v="1899-12-30T00:37:36"/>
    <n v="37.6"/>
  </r>
  <r>
    <x v="112"/>
    <x v="0"/>
    <x v="2"/>
    <n v="22"/>
    <d v="1899-12-30T00:26:03"/>
    <n v="26.05"/>
  </r>
  <r>
    <x v="112"/>
    <x v="0"/>
    <x v="3"/>
    <n v="10"/>
    <d v="1899-12-30T00:07:11"/>
    <n v="7.1833333333333336"/>
  </r>
  <r>
    <x v="112"/>
    <x v="0"/>
    <x v="4"/>
    <n v="10"/>
    <d v="1899-12-30T00:12:46"/>
    <n v="12.766666666666667"/>
  </r>
  <r>
    <x v="112"/>
    <x v="0"/>
    <x v="5"/>
    <n v="31"/>
    <d v="1899-12-30T00:32:33"/>
    <n v="32.549999999999997"/>
  </r>
  <r>
    <x v="112"/>
    <x v="1"/>
    <x v="0"/>
    <n v="60"/>
    <d v="1899-12-30T02:00:01"/>
    <n v="120.01666666666667"/>
  </r>
  <r>
    <x v="112"/>
    <x v="1"/>
    <x v="1"/>
    <n v="33"/>
    <d v="1899-12-30T01:02:06"/>
    <n v="62.1"/>
  </r>
  <r>
    <x v="112"/>
    <x v="1"/>
    <x v="2"/>
    <n v="29"/>
    <d v="1899-12-30T00:52:58"/>
    <n v="52.966666666666669"/>
  </r>
  <r>
    <x v="112"/>
    <x v="1"/>
    <x v="3"/>
    <n v="21"/>
    <d v="1899-12-30T00:24:24"/>
    <n v="24.4"/>
  </r>
  <r>
    <x v="112"/>
    <x v="1"/>
    <x v="4"/>
    <n v="23"/>
    <d v="1899-12-30T01:01:11"/>
    <n v="61.18333333333333"/>
  </r>
  <r>
    <x v="112"/>
    <x v="1"/>
    <x v="5"/>
    <n v="46"/>
    <d v="1899-12-30T01:05:49"/>
    <n v="65.816666666666663"/>
  </r>
  <r>
    <x v="112"/>
    <x v="2"/>
    <x v="0"/>
    <n v="42"/>
    <d v="1899-12-30T01:20:56"/>
    <n v="80.933333333333337"/>
  </r>
  <r>
    <x v="112"/>
    <x v="2"/>
    <x v="1"/>
    <n v="82"/>
    <d v="1899-12-30T02:52:26"/>
    <n v="172.43333333333334"/>
  </r>
  <r>
    <x v="112"/>
    <x v="2"/>
    <x v="2"/>
    <n v="43"/>
    <d v="1899-12-30T01:19:24"/>
    <n v="79.400000000000006"/>
  </r>
  <r>
    <x v="112"/>
    <x v="2"/>
    <x v="3"/>
    <n v="31"/>
    <d v="1899-12-30T00:31:17"/>
    <n v="31.283333333333335"/>
  </r>
  <r>
    <x v="112"/>
    <x v="2"/>
    <x v="4"/>
    <n v="7"/>
    <d v="1899-12-30T00:16:04"/>
    <n v="16.066666666666666"/>
  </r>
  <r>
    <x v="112"/>
    <x v="2"/>
    <x v="5"/>
    <n v="32"/>
    <d v="1899-12-30T00:55:55"/>
    <n v="55.916666666666664"/>
  </r>
  <r>
    <x v="112"/>
    <x v="3"/>
    <x v="0"/>
    <n v="16"/>
    <d v="1899-12-30T00:33:17"/>
    <n v="33.283333333333331"/>
  </r>
  <r>
    <x v="112"/>
    <x v="3"/>
    <x v="1"/>
    <n v="9"/>
    <d v="1899-12-30T00:24:26"/>
    <n v="24.433333333333334"/>
  </r>
  <r>
    <x v="112"/>
    <x v="3"/>
    <x v="2"/>
    <n v="6"/>
    <d v="1899-12-30T00:10:36"/>
    <n v="10.6"/>
  </r>
  <r>
    <x v="112"/>
    <x v="3"/>
    <x v="3"/>
    <n v="1"/>
    <d v="1899-12-30T00:00:09"/>
    <n v="0.15"/>
  </r>
  <r>
    <x v="112"/>
    <x v="3"/>
    <x v="4"/>
    <n v="0"/>
    <d v="1899-12-30T00:00:00"/>
    <n v="0"/>
  </r>
  <r>
    <x v="112"/>
    <x v="3"/>
    <x v="5"/>
    <n v="6"/>
    <d v="1899-12-30T00:07:52"/>
    <n v="7.8666666666666671"/>
  </r>
  <r>
    <x v="112"/>
    <x v="4"/>
    <x v="0"/>
    <n v="20"/>
    <d v="1899-12-30T00:39:54"/>
    <n v="39.9"/>
  </r>
  <r>
    <x v="112"/>
    <x v="4"/>
    <x v="1"/>
    <n v="23"/>
    <d v="1899-12-30T00:43:17"/>
    <n v="43.283333333333331"/>
  </r>
  <r>
    <x v="112"/>
    <x v="4"/>
    <x v="2"/>
    <n v="9"/>
    <d v="1899-12-30T00:14:25"/>
    <n v="14.416666666666666"/>
  </r>
  <r>
    <x v="112"/>
    <x v="4"/>
    <x v="3"/>
    <n v="5"/>
    <d v="1899-12-30T00:03:24"/>
    <n v="3.4"/>
  </r>
  <r>
    <x v="112"/>
    <x v="4"/>
    <x v="4"/>
    <n v="2"/>
    <d v="1899-12-30T00:04:29"/>
    <n v="4.4833333333333334"/>
  </r>
  <r>
    <x v="112"/>
    <x v="4"/>
    <x v="5"/>
    <n v="5"/>
    <d v="1899-12-30T00:04:58"/>
    <n v="4.9666666666666668"/>
  </r>
  <r>
    <x v="112"/>
    <x v="5"/>
    <x v="0"/>
    <n v="23"/>
    <d v="1899-12-30T00:24:38"/>
    <n v="24.633333333333333"/>
  </r>
  <r>
    <x v="112"/>
    <x v="5"/>
    <x v="1"/>
    <n v="29"/>
    <d v="1899-12-30T00:37:03"/>
    <n v="37.049999999999997"/>
  </r>
  <r>
    <x v="112"/>
    <x v="5"/>
    <x v="2"/>
    <n v="30"/>
    <d v="1899-12-30T00:32:44"/>
    <n v="32.733333333333334"/>
  </r>
  <r>
    <x v="112"/>
    <x v="5"/>
    <x v="3"/>
    <n v="7"/>
    <d v="1899-12-30T00:08:26"/>
    <n v="8.4333333333333336"/>
  </r>
  <r>
    <x v="112"/>
    <x v="5"/>
    <x v="4"/>
    <n v="0"/>
    <d v="1899-12-30T00:00:00"/>
    <n v="0"/>
  </r>
  <r>
    <x v="112"/>
    <x v="5"/>
    <x v="5"/>
    <n v="43"/>
    <d v="1899-12-30T00:53:08"/>
    <n v="53.133333333333333"/>
  </r>
  <r>
    <x v="112"/>
    <x v="6"/>
    <x v="0"/>
    <n v="18"/>
    <d v="1899-12-30T00:27:39"/>
    <n v="27.65"/>
  </r>
  <r>
    <x v="112"/>
    <x v="6"/>
    <x v="1"/>
    <n v="24"/>
    <d v="1899-12-30T00:43:47"/>
    <n v="43.783333333333331"/>
  </r>
  <r>
    <x v="112"/>
    <x v="6"/>
    <x v="2"/>
    <n v="19"/>
    <d v="1899-12-30T00:29:23"/>
    <n v="29.383333333333333"/>
  </r>
  <r>
    <x v="112"/>
    <x v="6"/>
    <x v="3"/>
    <n v="6"/>
    <d v="1899-12-30T00:05:31"/>
    <n v="5.5166666666666666"/>
  </r>
  <r>
    <x v="112"/>
    <x v="6"/>
    <x v="4"/>
    <n v="9"/>
    <d v="1899-12-30T00:13:53"/>
    <n v="13.883333333333333"/>
  </r>
  <r>
    <x v="112"/>
    <x v="6"/>
    <x v="5"/>
    <n v="6"/>
    <d v="1899-12-30T00:08:21"/>
    <n v="8.35"/>
  </r>
  <r>
    <x v="112"/>
    <x v="7"/>
    <x v="0"/>
    <n v="114"/>
    <d v="1899-12-30T02:56:14"/>
    <n v="176.23333333333332"/>
  </r>
  <r>
    <x v="112"/>
    <x v="7"/>
    <x v="1"/>
    <n v="155"/>
    <d v="1899-12-30T03:15:13"/>
    <n v="195.21666666666667"/>
  </r>
  <r>
    <x v="112"/>
    <x v="7"/>
    <x v="2"/>
    <n v="79"/>
    <d v="1899-12-30T02:10:48"/>
    <n v="130.80000000000001"/>
  </r>
  <r>
    <x v="112"/>
    <x v="7"/>
    <x v="3"/>
    <n v="77"/>
    <d v="1899-12-30T01:14:31"/>
    <n v="74.516666666666666"/>
  </r>
  <r>
    <x v="112"/>
    <x v="7"/>
    <x v="4"/>
    <n v="138"/>
    <d v="1899-12-30T04:31:43"/>
    <n v="271.71666666666664"/>
  </r>
  <r>
    <x v="112"/>
    <x v="7"/>
    <x v="5"/>
    <n v="88"/>
    <d v="1899-12-30T01:50:41"/>
    <n v="110.68333333333334"/>
  </r>
  <r>
    <x v="112"/>
    <x v="8"/>
    <x v="0"/>
    <n v="28"/>
    <d v="1899-12-30T00:47:00"/>
    <n v="47"/>
  </r>
  <r>
    <x v="112"/>
    <x v="8"/>
    <x v="1"/>
    <n v="36"/>
    <d v="1899-12-30T00:54:47"/>
    <n v="54.783333333333331"/>
  </r>
  <r>
    <x v="112"/>
    <x v="8"/>
    <x v="2"/>
    <n v="36"/>
    <d v="1899-12-30T00:49:33"/>
    <n v="49.55"/>
  </r>
  <r>
    <x v="112"/>
    <x v="8"/>
    <x v="3"/>
    <n v="21"/>
    <d v="1899-12-30T00:21:56"/>
    <n v="21.933333333333334"/>
  </r>
  <r>
    <x v="112"/>
    <x v="8"/>
    <x v="4"/>
    <n v="7"/>
    <d v="1899-12-30T00:13:06"/>
    <n v="13.1"/>
  </r>
  <r>
    <x v="112"/>
    <x v="8"/>
    <x v="5"/>
    <n v="34"/>
    <d v="1899-12-30T00:46:36"/>
    <n v="46.6"/>
  </r>
  <r>
    <x v="112"/>
    <x v="9"/>
    <x v="0"/>
    <n v="23"/>
    <d v="1899-12-30T00:33:48"/>
    <n v="33.799999999999997"/>
  </r>
  <r>
    <x v="112"/>
    <x v="9"/>
    <x v="1"/>
    <n v="38"/>
    <d v="1899-12-30T01:10:15"/>
    <n v="70.25"/>
  </r>
  <r>
    <x v="112"/>
    <x v="9"/>
    <x v="2"/>
    <n v="34"/>
    <d v="1899-12-30T00:43:45"/>
    <n v="43.75"/>
  </r>
  <r>
    <x v="112"/>
    <x v="9"/>
    <x v="3"/>
    <n v="15"/>
    <d v="1899-12-30T00:09:35"/>
    <n v="9.5833333333333339"/>
  </r>
  <r>
    <x v="112"/>
    <x v="9"/>
    <x v="4"/>
    <n v="8"/>
    <d v="1899-12-30T00:13:46"/>
    <n v="13.766666666666667"/>
  </r>
  <r>
    <x v="112"/>
    <x v="9"/>
    <x v="5"/>
    <n v="22"/>
    <d v="1899-12-30T00:29:00"/>
    <n v="29"/>
  </r>
  <r>
    <x v="112"/>
    <x v="10"/>
    <x v="0"/>
    <n v="15"/>
    <d v="1899-12-30T00:27:59"/>
    <n v="27.983333333333334"/>
  </r>
  <r>
    <x v="112"/>
    <x v="10"/>
    <x v="1"/>
    <n v="9"/>
    <d v="1899-12-30T00:16:28"/>
    <n v="16.466666666666665"/>
  </r>
  <r>
    <x v="112"/>
    <x v="10"/>
    <x v="2"/>
    <n v="16"/>
    <d v="1899-12-30T00:32:19"/>
    <n v="32.31666666666667"/>
  </r>
  <r>
    <x v="112"/>
    <x v="10"/>
    <x v="3"/>
    <n v="7"/>
    <d v="1899-12-30T00:05:11"/>
    <n v="5.1833333333333336"/>
  </r>
  <r>
    <x v="112"/>
    <x v="10"/>
    <x v="4"/>
    <n v="2"/>
    <d v="1899-12-30T00:03:29"/>
    <n v="3.4833333333333334"/>
  </r>
  <r>
    <x v="112"/>
    <x v="10"/>
    <x v="5"/>
    <n v="20"/>
    <d v="1899-12-30T00:41:39"/>
    <n v="41.65"/>
  </r>
  <r>
    <x v="112"/>
    <x v="11"/>
    <x v="0"/>
    <n v="8"/>
    <d v="1899-12-30T00:15:41"/>
    <n v="15.683333333333334"/>
  </r>
  <r>
    <x v="112"/>
    <x v="11"/>
    <x v="1"/>
    <n v="17"/>
    <d v="1899-12-30T00:31:15"/>
    <n v="31.25"/>
  </r>
  <r>
    <x v="112"/>
    <x v="11"/>
    <x v="2"/>
    <n v="2"/>
    <d v="1899-12-30T00:03:41"/>
    <n v="3.6833333333333336"/>
  </r>
  <r>
    <x v="112"/>
    <x v="11"/>
    <x v="3"/>
    <n v="4"/>
    <d v="1899-12-30T00:04:09"/>
    <n v="4.1500000000000004"/>
  </r>
  <r>
    <x v="112"/>
    <x v="11"/>
    <x v="4"/>
    <n v="1"/>
    <d v="1899-12-30T00:00:58"/>
    <n v="0.96666666666666667"/>
  </r>
  <r>
    <x v="112"/>
    <x v="11"/>
    <x v="5"/>
    <n v="11"/>
    <d v="1899-12-30T00:19:39"/>
    <n v="19.649999999999999"/>
  </r>
  <r>
    <x v="112"/>
    <x v="12"/>
    <x v="0"/>
    <n v="58"/>
    <d v="1899-12-30T01:44:59"/>
    <n v="104.98333333333333"/>
  </r>
  <r>
    <x v="112"/>
    <x v="12"/>
    <x v="1"/>
    <n v="87"/>
    <d v="1899-12-30T03:13:27"/>
    <n v="193.45"/>
  </r>
  <r>
    <x v="112"/>
    <x v="12"/>
    <x v="2"/>
    <n v="64"/>
    <d v="1899-12-30T01:45:08"/>
    <n v="105.13333333333334"/>
  </r>
  <r>
    <x v="112"/>
    <x v="12"/>
    <x v="3"/>
    <n v="30"/>
    <d v="1899-12-30T00:25:08"/>
    <n v="25.133333333333333"/>
  </r>
  <r>
    <x v="112"/>
    <x v="12"/>
    <x v="4"/>
    <n v="25"/>
    <d v="1899-12-30T00:46:52"/>
    <n v="46.866666666666667"/>
  </r>
  <r>
    <x v="112"/>
    <x v="12"/>
    <x v="5"/>
    <n v="75"/>
    <d v="1899-12-30T01:47:12"/>
    <n v="107.2"/>
  </r>
  <r>
    <x v="112"/>
    <x v="13"/>
    <x v="0"/>
    <n v="52"/>
    <d v="1899-12-30T01:39:26"/>
    <n v="99.433333333333337"/>
  </r>
  <r>
    <x v="112"/>
    <x v="13"/>
    <x v="1"/>
    <n v="47"/>
    <d v="1899-12-30T00:59:41"/>
    <n v="59.68333333333333"/>
  </r>
  <r>
    <x v="112"/>
    <x v="13"/>
    <x v="2"/>
    <n v="27"/>
    <d v="1899-12-30T00:22:28"/>
    <n v="22.466666666666665"/>
  </r>
  <r>
    <x v="112"/>
    <x v="13"/>
    <x v="3"/>
    <n v="27"/>
    <d v="1899-12-30T00:26:00"/>
    <n v="26"/>
  </r>
  <r>
    <x v="112"/>
    <x v="13"/>
    <x v="4"/>
    <n v="0"/>
    <d v="1899-12-30T00:00:00"/>
    <n v="0"/>
  </r>
  <r>
    <x v="112"/>
    <x v="13"/>
    <x v="5"/>
    <n v="26"/>
    <d v="1899-12-30T00:26:05"/>
    <n v="26.083333333333332"/>
  </r>
  <r>
    <x v="113"/>
    <x v="0"/>
    <x v="0"/>
    <n v="10"/>
    <d v="1899-12-30T00:11:59"/>
    <n v="11.983333333333333"/>
  </r>
  <r>
    <x v="113"/>
    <x v="0"/>
    <x v="1"/>
    <n v="24"/>
    <d v="1899-12-30T00:27:26"/>
    <n v="27.433333333333334"/>
  </r>
  <r>
    <x v="113"/>
    <x v="0"/>
    <x v="2"/>
    <n v="10"/>
    <d v="1899-12-30T00:12:18"/>
    <n v="12.3"/>
  </r>
  <r>
    <x v="113"/>
    <x v="0"/>
    <x v="3"/>
    <n v="8"/>
    <d v="1899-12-30T00:04:16"/>
    <n v="4.2666666666666666"/>
  </r>
  <r>
    <x v="113"/>
    <x v="0"/>
    <x v="4"/>
    <n v="3"/>
    <d v="1899-12-30T00:06:35"/>
    <n v="6.583333333333333"/>
  </r>
  <r>
    <x v="113"/>
    <x v="0"/>
    <x v="5"/>
    <n v="24"/>
    <d v="1899-12-30T00:24:33"/>
    <n v="24.55"/>
  </r>
  <r>
    <x v="113"/>
    <x v="1"/>
    <x v="0"/>
    <n v="23"/>
    <d v="1899-12-30T00:45:32"/>
    <n v="45.533333333333331"/>
  </r>
  <r>
    <x v="113"/>
    <x v="1"/>
    <x v="1"/>
    <n v="40"/>
    <d v="1899-12-30T01:28:28"/>
    <n v="88.466666666666669"/>
  </r>
  <r>
    <x v="113"/>
    <x v="1"/>
    <x v="2"/>
    <n v="18"/>
    <d v="1899-12-30T00:38:04"/>
    <n v="38.06666666666667"/>
  </r>
  <r>
    <x v="113"/>
    <x v="1"/>
    <x v="3"/>
    <n v="18"/>
    <d v="1899-12-30T00:18:41"/>
    <n v="18.683333333333334"/>
  </r>
  <r>
    <x v="113"/>
    <x v="1"/>
    <x v="4"/>
    <n v="30"/>
    <d v="1899-12-30T01:13:08"/>
    <n v="73.13333333333334"/>
  </r>
  <r>
    <x v="113"/>
    <x v="1"/>
    <x v="5"/>
    <n v="43"/>
    <d v="1899-12-30T01:16:57"/>
    <n v="76.95"/>
  </r>
  <r>
    <x v="113"/>
    <x v="2"/>
    <x v="0"/>
    <n v="30"/>
    <d v="1899-12-30T00:47:29"/>
    <n v="47.483333333333334"/>
  </r>
  <r>
    <x v="113"/>
    <x v="2"/>
    <x v="1"/>
    <n v="57"/>
    <d v="1899-12-30T02:05:45"/>
    <n v="125.75"/>
  </r>
  <r>
    <x v="113"/>
    <x v="2"/>
    <x v="2"/>
    <n v="27"/>
    <d v="1899-12-30T00:45:00"/>
    <n v="45"/>
  </r>
  <r>
    <x v="113"/>
    <x v="2"/>
    <x v="3"/>
    <n v="14"/>
    <d v="1899-12-30T00:13:58"/>
    <n v="13.966666666666667"/>
  </r>
  <r>
    <x v="113"/>
    <x v="2"/>
    <x v="4"/>
    <n v="13"/>
    <d v="1899-12-30T00:22:31"/>
    <n v="22.516666666666666"/>
  </r>
  <r>
    <x v="113"/>
    <x v="2"/>
    <x v="5"/>
    <n v="24"/>
    <d v="1899-12-30T00:39:58"/>
    <n v="39.966666666666669"/>
  </r>
  <r>
    <x v="113"/>
    <x v="3"/>
    <x v="0"/>
    <n v="21"/>
    <d v="1899-12-30T00:39:38"/>
    <n v="39.633333333333333"/>
  </r>
  <r>
    <x v="113"/>
    <x v="3"/>
    <x v="1"/>
    <n v="13"/>
    <d v="1899-12-30T00:38:47"/>
    <n v="38.783333333333331"/>
  </r>
  <r>
    <x v="113"/>
    <x v="3"/>
    <x v="2"/>
    <n v="17"/>
    <d v="1899-12-30T00:37:57"/>
    <n v="37.950000000000003"/>
  </r>
  <r>
    <x v="113"/>
    <x v="3"/>
    <x v="3"/>
    <n v="6"/>
    <d v="1899-12-30T00:06:51"/>
    <n v="6.85"/>
  </r>
  <r>
    <x v="113"/>
    <x v="3"/>
    <x v="4"/>
    <n v="3"/>
    <d v="1899-12-30T00:06:47"/>
    <n v="6.7833333333333332"/>
  </r>
  <r>
    <x v="113"/>
    <x v="3"/>
    <x v="5"/>
    <n v="19"/>
    <d v="1899-12-30T00:27:28"/>
    <n v="27.466666666666665"/>
  </r>
  <r>
    <x v="113"/>
    <x v="4"/>
    <x v="0"/>
    <n v="12"/>
    <d v="1899-12-30T00:17:13"/>
    <n v="17.216666666666665"/>
  </r>
  <r>
    <x v="113"/>
    <x v="4"/>
    <x v="1"/>
    <n v="24"/>
    <d v="1899-12-30T00:48:42"/>
    <n v="48.7"/>
  </r>
  <r>
    <x v="113"/>
    <x v="4"/>
    <x v="2"/>
    <n v="15"/>
    <d v="1899-12-30T00:23:30"/>
    <n v="23.5"/>
  </r>
  <r>
    <x v="113"/>
    <x v="4"/>
    <x v="3"/>
    <n v="3"/>
    <d v="1899-12-30T00:04:01"/>
    <n v="4.0166666666666666"/>
  </r>
  <r>
    <x v="113"/>
    <x v="4"/>
    <x v="4"/>
    <n v="3"/>
    <d v="1899-12-30T00:06:57"/>
    <n v="6.95"/>
  </r>
  <r>
    <x v="113"/>
    <x v="4"/>
    <x v="5"/>
    <n v="9"/>
    <d v="1899-12-30T00:11:50"/>
    <n v="11.833333333333334"/>
  </r>
  <r>
    <x v="113"/>
    <x v="5"/>
    <x v="0"/>
    <n v="16"/>
    <d v="1899-12-30T00:22:24"/>
    <n v="22.4"/>
  </r>
  <r>
    <x v="113"/>
    <x v="5"/>
    <x v="1"/>
    <n v="19"/>
    <d v="1899-12-30T00:25:54"/>
    <n v="25.9"/>
  </r>
  <r>
    <x v="113"/>
    <x v="5"/>
    <x v="2"/>
    <n v="18"/>
    <d v="1899-12-30T00:24:48"/>
    <n v="24.8"/>
  </r>
  <r>
    <x v="113"/>
    <x v="5"/>
    <x v="3"/>
    <n v="14"/>
    <d v="1899-12-30T00:14:01"/>
    <n v="14.016666666666667"/>
  </r>
  <r>
    <x v="113"/>
    <x v="5"/>
    <x v="4"/>
    <n v="1"/>
    <d v="1899-12-30T00:02:06"/>
    <n v="2.1"/>
  </r>
  <r>
    <x v="113"/>
    <x v="5"/>
    <x v="5"/>
    <n v="37"/>
    <d v="1899-12-30T00:43:35"/>
    <n v="43.583333333333336"/>
  </r>
  <r>
    <x v="113"/>
    <x v="6"/>
    <x v="0"/>
    <n v="45"/>
    <d v="1899-12-30T01:12:05"/>
    <n v="72.083333333333329"/>
  </r>
  <r>
    <x v="113"/>
    <x v="6"/>
    <x v="1"/>
    <n v="57"/>
    <d v="1899-12-30T01:37:37"/>
    <n v="97.61666666666666"/>
  </r>
  <r>
    <x v="113"/>
    <x v="6"/>
    <x v="2"/>
    <n v="39"/>
    <d v="1899-12-30T01:09:46"/>
    <n v="69.766666666666666"/>
  </r>
  <r>
    <x v="113"/>
    <x v="6"/>
    <x v="3"/>
    <n v="13"/>
    <d v="1899-12-30T00:17:38"/>
    <n v="17.633333333333333"/>
  </r>
  <r>
    <x v="113"/>
    <x v="6"/>
    <x v="4"/>
    <n v="6"/>
    <d v="1899-12-30T00:11:18"/>
    <n v="11.3"/>
  </r>
  <r>
    <x v="113"/>
    <x v="6"/>
    <x v="5"/>
    <n v="32"/>
    <d v="1899-12-30T00:41:07"/>
    <n v="41.116666666666667"/>
  </r>
  <r>
    <x v="113"/>
    <x v="7"/>
    <x v="0"/>
    <n v="48"/>
    <d v="1899-12-30T01:30:39"/>
    <n v="90.65"/>
  </r>
  <r>
    <x v="113"/>
    <x v="7"/>
    <x v="1"/>
    <n v="89"/>
    <d v="1899-12-30T01:50:18"/>
    <n v="110.3"/>
  </r>
  <r>
    <x v="113"/>
    <x v="7"/>
    <x v="2"/>
    <n v="35"/>
    <d v="1899-12-30T00:39:45"/>
    <n v="39.75"/>
  </r>
  <r>
    <x v="113"/>
    <x v="7"/>
    <x v="3"/>
    <n v="62"/>
    <d v="1899-12-30T00:58:52"/>
    <n v="58.866666666666667"/>
  </r>
  <r>
    <x v="113"/>
    <x v="7"/>
    <x v="4"/>
    <n v="124"/>
    <d v="1899-12-30T03:45:09"/>
    <n v="225.15"/>
  </r>
  <r>
    <x v="113"/>
    <x v="7"/>
    <x v="5"/>
    <n v="47"/>
    <d v="1899-12-30T00:40:01"/>
    <n v="40.016666666666666"/>
  </r>
  <r>
    <x v="113"/>
    <x v="8"/>
    <x v="0"/>
    <n v="28"/>
    <d v="1899-12-30T00:34:54"/>
    <n v="34.9"/>
  </r>
  <r>
    <x v="113"/>
    <x v="8"/>
    <x v="1"/>
    <n v="41"/>
    <d v="1899-12-30T01:11:23"/>
    <n v="71.38333333333334"/>
  </r>
  <r>
    <x v="113"/>
    <x v="8"/>
    <x v="2"/>
    <n v="33"/>
    <d v="1899-12-30T01:00:06"/>
    <n v="60.1"/>
  </r>
  <r>
    <x v="113"/>
    <x v="8"/>
    <x v="3"/>
    <n v="34"/>
    <d v="1899-12-30T00:34:32"/>
    <n v="34.533333333333331"/>
  </r>
  <r>
    <x v="113"/>
    <x v="8"/>
    <x v="4"/>
    <n v="17"/>
    <d v="1899-12-30T00:33:16"/>
    <n v="33.266666666666666"/>
  </r>
  <r>
    <x v="113"/>
    <x v="8"/>
    <x v="5"/>
    <n v="39"/>
    <d v="1899-12-30T00:49:33"/>
    <n v="49.55"/>
  </r>
  <r>
    <x v="113"/>
    <x v="9"/>
    <x v="0"/>
    <n v="32"/>
    <d v="1899-12-30T00:53:50"/>
    <n v="53.833333333333336"/>
  </r>
  <r>
    <x v="113"/>
    <x v="9"/>
    <x v="1"/>
    <n v="43"/>
    <d v="1899-12-30T01:13:07"/>
    <n v="73.11666666666666"/>
  </r>
  <r>
    <x v="113"/>
    <x v="9"/>
    <x v="2"/>
    <n v="15"/>
    <d v="1899-12-30T00:29:17"/>
    <n v="29.283333333333335"/>
  </r>
  <r>
    <x v="113"/>
    <x v="9"/>
    <x v="3"/>
    <n v="12"/>
    <d v="1899-12-30T00:11:06"/>
    <n v="11.1"/>
  </r>
  <r>
    <x v="113"/>
    <x v="9"/>
    <x v="4"/>
    <n v="7"/>
    <d v="1899-12-30T00:16:15"/>
    <n v="16.25"/>
  </r>
  <r>
    <x v="113"/>
    <x v="9"/>
    <x v="5"/>
    <n v="18"/>
    <d v="1899-12-30T00:20:27"/>
    <n v="20.45"/>
  </r>
  <r>
    <x v="113"/>
    <x v="10"/>
    <x v="0"/>
    <n v="6"/>
    <d v="1899-12-30T00:11:17"/>
    <n v="11.283333333333333"/>
  </r>
  <r>
    <x v="113"/>
    <x v="10"/>
    <x v="1"/>
    <n v="5"/>
    <d v="1899-12-30T00:14:29"/>
    <n v="14.483333333333333"/>
  </r>
  <r>
    <x v="113"/>
    <x v="10"/>
    <x v="2"/>
    <n v="8"/>
    <d v="1899-12-30T00:21:15"/>
    <n v="21.25"/>
  </r>
  <r>
    <x v="113"/>
    <x v="10"/>
    <x v="3"/>
    <n v="2"/>
    <d v="1899-12-30T00:00:57"/>
    <n v="0.95"/>
  </r>
  <r>
    <x v="113"/>
    <x v="10"/>
    <x v="4"/>
    <n v="2"/>
    <d v="1899-12-30T00:05:35"/>
    <n v="5.583333333333333"/>
  </r>
  <r>
    <x v="113"/>
    <x v="10"/>
    <x v="5"/>
    <n v="11"/>
    <d v="1899-12-30T00:16:24"/>
    <n v="16.399999999999999"/>
  </r>
  <r>
    <x v="113"/>
    <x v="11"/>
    <x v="0"/>
    <n v="3"/>
    <d v="1899-12-30T00:05:11"/>
    <n v="5.1833333333333336"/>
  </r>
  <r>
    <x v="113"/>
    <x v="11"/>
    <x v="1"/>
    <n v="8"/>
    <d v="1899-12-30T00:17:12"/>
    <n v="17.2"/>
  </r>
  <r>
    <x v="113"/>
    <x v="11"/>
    <x v="2"/>
    <n v="4"/>
    <d v="1899-12-30T00:06:30"/>
    <n v="6.5"/>
  </r>
  <r>
    <x v="113"/>
    <x v="11"/>
    <x v="3"/>
    <n v="5"/>
    <d v="1899-12-30T00:04:55"/>
    <n v="4.916666666666667"/>
  </r>
  <r>
    <x v="113"/>
    <x v="11"/>
    <x v="4"/>
    <n v="0"/>
    <d v="1899-12-30T00:00:00"/>
    <n v="0"/>
  </r>
  <r>
    <x v="113"/>
    <x v="11"/>
    <x v="5"/>
    <n v="7"/>
    <d v="1899-12-30T00:12:40"/>
    <n v="12.666666666666666"/>
  </r>
  <r>
    <x v="113"/>
    <x v="12"/>
    <x v="0"/>
    <n v="98"/>
    <d v="1899-12-30T02:43:50"/>
    <n v="163.83333333333334"/>
  </r>
  <r>
    <x v="113"/>
    <x v="12"/>
    <x v="1"/>
    <n v="126"/>
    <d v="1899-12-30T03:24:52"/>
    <n v="204.86666666666667"/>
  </r>
  <r>
    <x v="113"/>
    <x v="12"/>
    <x v="2"/>
    <n v="83"/>
    <d v="1899-12-30T02:11:24"/>
    <n v="131.4"/>
  </r>
  <r>
    <x v="113"/>
    <x v="12"/>
    <x v="3"/>
    <n v="48"/>
    <d v="1899-12-30T00:44:33"/>
    <n v="44.55"/>
  </r>
  <r>
    <x v="113"/>
    <x v="12"/>
    <x v="4"/>
    <n v="21"/>
    <d v="1899-12-30T00:45:14"/>
    <n v="45.233333333333334"/>
  </r>
  <r>
    <x v="113"/>
    <x v="12"/>
    <x v="5"/>
    <n v="95"/>
    <d v="1899-12-30T02:23:41"/>
    <n v="143.68333333333334"/>
  </r>
  <r>
    <x v="113"/>
    <x v="13"/>
    <x v="0"/>
    <n v="150"/>
    <d v="1899-12-30T03:57:19"/>
    <n v="237.31666666666666"/>
  </r>
  <r>
    <x v="113"/>
    <x v="13"/>
    <x v="1"/>
    <n v="93"/>
    <d v="1899-12-30T02:01:10"/>
    <n v="121.16666666666667"/>
  </r>
  <r>
    <x v="113"/>
    <x v="13"/>
    <x v="2"/>
    <n v="57"/>
    <d v="1899-12-30T01:02:47"/>
    <n v="62.783333333333331"/>
  </r>
  <r>
    <x v="113"/>
    <x v="13"/>
    <x v="3"/>
    <n v="46"/>
    <d v="1899-12-30T00:49:00"/>
    <n v="49"/>
  </r>
  <r>
    <x v="113"/>
    <x v="13"/>
    <x v="4"/>
    <n v="2"/>
    <d v="1899-12-30T00:06:11"/>
    <n v="6.1833333333333336"/>
  </r>
  <r>
    <x v="113"/>
    <x v="13"/>
    <x v="5"/>
    <n v="77"/>
    <d v="1899-12-30T01:25:04"/>
    <n v="85.066666666666663"/>
  </r>
  <r>
    <x v="114"/>
    <x v="0"/>
    <x v="0"/>
    <n v="131"/>
    <d v="1899-12-30T03:13:56"/>
    <n v="193.93333333333334"/>
  </r>
  <r>
    <x v="114"/>
    <x v="0"/>
    <x v="1"/>
    <n v="140"/>
    <d v="1899-12-30T03:04:03"/>
    <n v="184.05"/>
  </r>
  <r>
    <x v="114"/>
    <x v="0"/>
    <x v="2"/>
    <n v="87"/>
    <d v="1899-12-30T02:01:02"/>
    <n v="121.03333333333333"/>
  </r>
  <r>
    <x v="114"/>
    <x v="0"/>
    <x v="3"/>
    <n v="41"/>
    <d v="1899-12-30T00:38:47"/>
    <n v="38.783333333333331"/>
  </r>
  <r>
    <x v="114"/>
    <x v="0"/>
    <x v="4"/>
    <n v="26"/>
    <d v="1899-12-30T00:32:18"/>
    <n v="32.299999999999997"/>
  </r>
  <r>
    <x v="114"/>
    <x v="0"/>
    <x v="5"/>
    <n v="88"/>
    <d v="1899-12-30T01:48:47"/>
    <n v="108.78333333333333"/>
  </r>
  <r>
    <x v="114"/>
    <x v="1"/>
    <x v="0"/>
    <n v="49"/>
    <d v="1899-12-30T01:43:26"/>
    <n v="103.43333333333334"/>
  </r>
  <r>
    <x v="114"/>
    <x v="1"/>
    <x v="1"/>
    <n v="40"/>
    <d v="1899-12-30T01:39:23"/>
    <n v="99.38333333333334"/>
  </r>
  <r>
    <x v="114"/>
    <x v="1"/>
    <x v="2"/>
    <n v="31"/>
    <d v="1899-12-30T01:05:37"/>
    <n v="65.61666666666666"/>
  </r>
  <r>
    <x v="114"/>
    <x v="1"/>
    <x v="3"/>
    <n v="27"/>
    <d v="1899-12-30T00:34:36"/>
    <n v="34.6"/>
  </r>
  <r>
    <x v="114"/>
    <x v="1"/>
    <x v="4"/>
    <n v="35"/>
    <d v="1899-12-30T01:54:17"/>
    <n v="114.28333333333333"/>
  </r>
  <r>
    <x v="114"/>
    <x v="1"/>
    <x v="5"/>
    <n v="43"/>
    <d v="1899-12-30T01:08:59"/>
    <n v="68.983333333333334"/>
  </r>
  <r>
    <x v="114"/>
    <x v="2"/>
    <x v="0"/>
    <n v="51"/>
    <d v="1899-12-30T01:38:28"/>
    <n v="98.466666666666669"/>
  </r>
  <r>
    <x v="114"/>
    <x v="2"/>
    <x v="1"/>
    <n v="65"/>
    <d v="1899-12-30T02:40:26"/>
    <n v="160.43333333333334"/>
  </r>
  <r>
    <x v="114"/>
    <x v="2"/>
    <x v="2"/>
    <n v="43"/>
    <d v="1899-12-30T01:22:12"/>
    <n v="82.2"/>
  </r>
  <r>
    <x v="114"/>
    <x v="2"/>
    <x v="3"/>
    <n v="15"/>
    <d v="1899-12-30T00:13:53"/>
    <n v="13.883333333333333"/>
  </r>
  <r>
    <x v="114"/>
    <x v="2"/>
    <x v="4"/>
    <n v="12"/>
    <d v="1899-12-30T00:23:42"/>
    <n v="23.7"/>
  </r>
  <r>
    <x v="114"/>
    <x v="2"/>
    <x v="5"/>
    <n v="36"/>
    <d v="1899-12-30T01:03:27"/>
    <n v="63.45"/>
  </r>
  <r>
    <x v="114"/>
    <x v="3"/>
    <x v="0"/>
    <n v="9"/>
    <d v="1899-12-30T00:14:52"/>
    <n v="14.866666666666667"/>
  </r>
  <r>
    <x v="114"/>
    <x v="3"/>
    <x v="1"/>
    <n v="10"/>
    <d v="1899-12-30T00:19:08"/>
    <n v="19.133333333333333"/>
  </r>
  <r>
    <x v="114"/>
    <x v="3"/>
    <x v="2"/>
    <n v="10"/>
    <d v="1899-12-30T00:15:34"/>
    <n v="15.566666666666666"/>
  </r>
  <r>
    <x v="114"/>
    <x v="3"/>
    <x v="3"/>
    <n v="4"/>
    <d v="1899-12-30T00:04:09"/>
    <n v="4.1500000000000004"/>
  </r>
  <r>
    <x v="114"/>
    <x v="3"/>
    <x v="4"/>
    <n v="2"/>
    <d v="1899-12-30T00:05:31"/>
    <n v="5.5166666666666666"/>
  </r>
  <r>
    <x v="114"/>
    <x v="3"/>
    <x v="5"/>
    <n v="7"/>
    <d v="1899-12-30T00:08:06"/>
    <n v="8.1"/>
  </r>
  <r>
    <x v="114"/>
    <x v="4"/>
    <x v="0"/>
    <n v="19"/>
    <d v="1899-12-30T00:42:22"/>
    <n v="42.366666666666667"/>
  </r>
  <r>
    <x v="114"/>
    <x v="4"/>
    <x v="1"/>
    <n v="38"/>
    <d v="1899-12-30T00:59:23"/>
    <n v="59.383333333333333"/>
  </r>
  <r>
    <x v="114"/>
    <x v="4"/>
    <x v="2"/>
    <n v="20"/>
    <d v="1899-12-30T00:25:20"/>
    <n v="25.333333333333332"/>
  </r>
  <r>
    <x v="114"/>
    <x v="4"/>
    <x v="3"/>
    <n v="9"/>
    <d v="1899-12-30T00:09:05"/>
    <n v="9.0833333333333339"/>
  </r>
  <r>
    <x v="114"/>
    <x v="4"/>
    <x v="4"/>
    <n v="4"/>
    <d v="1899-12-30T00:07:53"/>
    <n v="7.8833333333333329"/>
  </r>
  <r>
    <x v="114"/>
    <x v="4"/>
    <x v="5"/>
    <n v="14"/>
    <d v="1899-12-30T00:17:14"/>
    <n v="17.233333333333334"/>
  </r>
  <r>
    <x v="114"/>
    <x v="5"/>
    <x v="0"/>
    <n v="20"/>
    <d v="1899-12-30T00:27:25"/>
    <n v="27.416666666666668"/>
  </r>
  <r>
    <x v="114"/>
    <x v="5"/>
    <x v="1"/>
    <n v="29"/>
    <d v="1899-12-30T00:44:01"/>
    <n v="44.016666666666666"/>
  </r>
  <r>
    <x v="114"/>
    <x v="5"/>
    <x v="2"/>
    <n v="24"/>
    <d v="1899-12-30T00:35:53"/>
    <n v="35.883333333333333"/>
  </r>
  <r>
    <x v="114"/>
    <x v="5"/>
    <x v="3"/>
    <n v="15"/>
    <d v="1899-12-30T00:18:18"/>
    <n v="18.3"/>
  </r>
  <r>
    <x v="114"/>
    <x v="5"/>
    <x v="4"/>
    <n v="1"/>
    <d v="1899-12-30T00:02:32"/>
    <n v="2.5333333333333332"/>
  </r>
  <r>
    <x v="114"/>
    <x v="5"/>
    <x v="5"/>
    <n v="28"/>
    <d v="1899-12-30T00:43:56"/>
    <n v="43.93333333333333"/>
  </r>
  <r>
    <x v="114"/>
    <x v="6"/>
    <x v="0"/>
    <n v="17"/>
    <d v="1899-12-30T00:20:24"/>
    <n v="20.399999999999999"/>
  </r>
  <r>
    <x v="114"/>
    <x v="6"/>
    <x v="1"/>
    <n v="19"/>
    <d v="1899-12-30T00:22:04"/>
    <n v="22.066666666666666"/>
  </r>
  <r>
    <x v="114"/>
    <x v="6"/>
    <x v="2"/>
    <n v="12"/>
    <d v="1899-12-30T00:19:08"/>
    <n v="19.133333333333333"/>
  </r>
  <r>
    <x v="114"/>
    <x v="6"/>
    <x v="3"/>
    <n v="8"/>
    <d v="1899-12-30T00:08:37"/>
    <n v="8.6166666666666671"/>
  </r>
  <r>
    <x v="114"/>
    <x v="6"/>
    <x v="4"/>
    <n v="9"/>
    <d v="1899-12-30T00:11:53"/>
    <n v="11.883333333333333"/>
  </r>
  <r>
    <x v="114"/>
    <x v="6"/>
    <x v="5"/>
    <n v="4"/>
    <d v="1899-12-30T00:04:28"/>
    <n v="4.4666666666666668"/>
  </r>
  <r>
    <x v="114"/>
    <x v="7"/>
    <x v="0"/>
    <n v="68"/>
    <d v="1899-12-30T01:25:18"/>
    <n v="85.3"/>
  </r>
  <r>
    <x v="114"/>
    <x v="7"/>
    <x v="1"/>
    <n v="115"/>
    <d v="1899-12-30T02:17:10"/>
    <n v="137.16666666666666"/>
  </r>
  <r>
    <x v="114"/>
    <x v="7"/>
    <x v="2"/>
    <n v="43"/>
    <d v="1899-12-30T00:50:40"/>
    <n v="50.666666666666664"/>
  </r>
  <r>
    <x v="114"/>
    <x v="7"/>
    <x v="3"/>
    <n v="83"/>
    <d v="1899-12-30T01:30:51"/>
    <n v="90.85"/>
  </r>
  <r>
    <x v="114"/>
    <x v="7"/>
    <x v="4"/>
    <n v="143"/>
    <d v="1899-12-30T03:58:32"/>
    <n v="238.53333333333333"/>
  </r>
  <r>
    <x v="114"/>
    <x v="7"/>
    <x v="5"/>
    <n v="60"/>
    <d v="1899-12-30T01:04:20"/>
    <n v="64.333333333333329"/>
  </r>
  <r>
    <x v="114"/>
    <x v="8"/>
    <x v="0"/>
    <n v="26"/>
    <d v="1899-12-30T01:06:54"/>
    <n v="66.900000000000006"/>
  </r>
  <r>
    <x v="114"/>
    <x v="8"/>
    <x v="1"/>
    <n v="45"/>
    <d v="1899-12-30T01:24:06"/>
    <n v="84.1"/>
  </r>
  <r>
    <x v="114"/>
    <x v="8"/>
    <x v="2"/>
    <n v="33"/>
    <d v="1899-12-30T00:47:58"/>
    <n v="47.966666666666669"/>
  </r>
  <r>
    <x v="114"/>
    <x v="8"/>
    <x v="3"/>
    <n v="25"/>
    <d v="1899-12-30T00:24:44"/>
    <n v="24.733333333333334"/>
  </r>
  <r>
    <x v="114"/>
    <x v="8"/>
    <x v="4"/>
    <n v="13"/>
    <d v="1899-12-30T00:22:51"/>
    <n v="22.85"/>
  </r>
  <r>
    <x v="114"/>
    <x v="8"/>
    <x v="5"/>
    <n v="39"/>
    <d v="1899-12-30T00:49:07"/>
    <n v="49.116666666666667"/>
  </r>
  <r>
    <x v="114"/>
    <x v="9"/>
    <x v="0"/>
    <n v="37"/>
    <d v="1899-12-30T01:05:26"/>
    <n v="65.433333333333337"/>
  </r>
  <r>
    <x v="114"/>
    <x v="9"/>
    <x v="1"/>
    <n v="47"/>
    <d v="1899-12-30T01:15:44"/>
    <n v="75.733333333333334"/>
  </r>
  <r>
    <x v="114"/>
    <x v="9"/>
    <x v="2"/>
    <n v="38"/>
    <d v="1899-12-30T01:01:11"/>
    <n v="61.18333333333333"/>
  </r>
  <r>
    <x v="114"/>
    <x v="9"/>
    <x v="3"/>
    <n v="23"/>
    <d v="1899-12-30T00:24:01"/>
    <n v="24.016666666666666"/>
  </r>
  <r>
    <x v="114"/>
    <x v="9"/>
    <x v="4"/>
    <n v="10"/>
    <d v="1899-12-30T00:12:47"/>
    <n v="12.783333333333333"/>
  </r>
  <r>
    <x v="114"/>
    <x v="9"/>
    <x v="5"/>
    <n v="27"/>
    <d v="1899-12-30T00:36:06"/>
    <n v="36.1"/>
  </r>
  <r>
    <x v="114"/>
    <x v="10"/>
    <x v="0"/>
    <n v="9"/>
    <d v="1899-12-30T00:16:13"/>
    <n v="16.216666666666665"/>
  </r>
  <r>
    <x v="114"/>
    <x v="10"/>
    <x v="1"/>
    <n v="22"/>
    <d v="1899-12-30T00:44:10"/>
    <n v="44.166666666666664"/>
  </r>
  <r>
    <x v="114"/>
    <x v="10"/>
    <x v="2"/>
    <n v="13"/>
    <d v="1899-12-30T00:25:46"/>
    <n v="25.766666666666666"/>
  </r>
  <r>
    <x v="114"/>
    <x v="10"/>
    <x v="3"/>
    <n v="12"/>
    <d v="1899-12-30T00:11:31"/>
    <n v="11.516666666666667"/>
  </r>
  <r>
    <x v="114"/>
    <x v="10"/>
    <x v="4"/>
    <n v="6"/>
    <d v="1899-12-30T00:10:42"/>
    <n v="10.7"/>
  </r>
  <r>
    <x v="114"/>
    <x v="10"/>
    <x v="5"/>
    <n v="8"/>
    <d v="1899-12-30T00:15:19"/>
    <n v="15.316666666666666"/>
  </r>
  <r>
    <x v="114"/>
    <x v="11"/>
    <x v="0"/>
    <n v="5"/>
    <d v="1899-12-30T00:12:37"/>
    <n v="12.616666666666667"/>
  </r>
  <r>
    <x v="114"/>
    <x v="11"/>
    <x v="1"/>
    <n v="15"/>
    <d v="1899-12-30T00:35:07"/>
    <n v="35.116666666666667"/>
  </r>
  <r>
    <x v="114"/>
    <x v="11"/>
    <x v="2"/>
    <n v="7"/>
    <d v="1899-12-30T00:14:38"/>
    <n v="14.633333333333333"/>
  </r>
  <r>
    <x v="114"/>
    <x v="11"/>
    <x v="3"/>
    <n v="9"/>
    <d v="1899-12-30T00:07:33"/>
    <n v="7.55"/>
  </r>
  <r>
    <x v="114"/>
    <x v="11"/>
    <x v="4"/>
    <n v="0"/>
    <d v="1899-12-30T00:00:00"/>
    <n v="0"/>
  </r>
  <r>
    <x v="114"/>
    <x v="11"/>
    <x v="5"/>
    <n v="2"/>
    <d v="1899-12-30T00:04:37"/>
    <n v="4.6166666666666671"/>
  </r>
  <r>
    <x v="114"/>
    <x v="12"/>
    <x v="0"/>
    <n v="95"/>
    <d v="1899-12-30T02:37:22"/>
    <n v="157.36666666666667"/>
  </r>
  <r>
    <x v="114"/>
    <x v="12"/>
    <x v="1"/>
    <n v="123"/>
    <d v="1899-12-30T03:37:18"/>
    <n v="217.3"/>
  </r>
  <r>
    <x v="114"/>
    <x v="12"/>
    <x v="2"/>
    <n v="91"/>
    <d v="1899-12-30T02:07:40"/>
    <n v="127.66666666666667"/>
  </r>
  <r>
    <x v="114"/>
    <x v="12"/>
    <x v="3"/>
    <n v="47"/>
    <d v="1899-12-30T00:41:41"/>
    <n v="41.68333333333333"/>
  </r>
  <r>
    <x v="114"/>
    <x v="12"/>
    <x v="4"/>
    <n v="30"/>
    <d v="1899-12-30T00:58:17"/>
    <n v="58.283333333333331"/>
  </r>
  <r>
    <x v="114"/>
    <x v="12"/>
    <x v="5"/>
    <n v="97"/>
    <d v="1899-12-30T02:03:30"/>
    <n v="123.5"/>
  </r>
  <r>
    <x v="114"/>
    <x v="13"/>
    <x v="0"/>
    <n v="152"/>
    <d v="1899-12-30T03:49:53"/>
    <n v="229.88333333333333"/>
  </r>
  <r>
    <x v="114"/>
    <x v="13"/>
    <x v="1"/>
    <n v="112"/>
    <d v="1899-12-30T02:29:00"/>
    <n v="149"/>
  </r>
  <r>
    <x v="114"/>
    <x v="13"/>
    <x v="2"/>
    <n v="69"/>
    <d v="1899-12-30T01:25:24"/>
    <n v="85.4"/>
  </r>
  <r>
    <x v="114"/>
    <x v="13"/>
    <x v="3"/>
    <n v="58"/>
    <d v="1899-12-30T00:54:36"/>
    <n v="54.6"/>
  </r>
  <r>
    <x v="114"/>
    <x v="13"/>
    <x v="4"/>
    <n v="9"/>
    <d v="1899-12-30T00:17:22"/>
    <n v="17.366666666666667"/>
  </r>
  <r>
    <x v="114"/>
    <x v="13"/>
    <x v="5"/>
    <n v="87"/>
    <d v="1899-12-30T01:35:00"/>
    <n v="95"/>
  </r>
  <r>
    <x v="115"/>
    <x v="0"/>
    <x v="0"/>
    <n v="32"/>
    <d v="1899-12-30T00:45:31"/>
    <n v="45.516666666666666"/>
  </r>
  <r>
    <x v="115"/>
    <x v="0"/>
    <x v="1"/>
    <n v="45"/>
    <d v="1899-12-30T00:53:04"/>
    <n v="53.06666666666667"/>
  </r>
  <r>
    <x v="115"/>
    <x v="0"/>
    <x v="2"/>
    <n v="35"/>
    <d v="1899-12-30T00:43:03"/>
    <n v="43.05"/>
  </r>
  <r>
    <x v="115"/>
    <x v="0"/>
    <x v="3"/>
    <n v="14"/>
    <d v="1899-12-30T00:09:36"/>
    <n v="9.6"/>
  </r>
  <r>
    <x v="115"/>
    <x v="0"/>
    <x v="4"/>
    <n v="5"/>
    <d v="1899-12-30T00:01:24"/>
    <n v="1.4"/>
  </r>
  <r>
    <x v="115"/>
    <x v="0"/>
    <x v="5"/>
    <n v="25"/>
    <d v="1899-12-30T00:32:30"/>
    <n v="32.5"/>
  </r>
  <r>
    <x v="115"/>
    <x v="1"/>
    <x v="0"/>
    <n v="62"/>
    <d v="1899-12-30T02:10:56"/>
    <n v="130.93333333333334"/>
  </r>
  <r>
    <x v="115"/>
    <x v="1"/>
    <x v="1"/>
    <n v="37"/>
    <d v="1899-12-30T01:26:25"/>
    <n v="86.416666666666671"/>
  </r>
  <r>
    <x v="115"/>
    <x v="1"/>
    <x v="2"/>
    <n v="12"/>
    <d v="1899-12-30T00:26:20"/>
    <n v="26.333333333333332"/>
  </r>
  <r>
    <x v="115"/>
    <x v="1"/>
    <x v="3"/>
    <n v="18"/>
    <d v="1899-12-30T00:21:41"/>
    <n v="21.683333333333334"/>
  </r>
  <r>
    <x v="115"/>
    <x v="1"/>
    <x v="4"/>
    <n v="26"/>
    <d v="1899-12-30T01:16:41"/>
    <n v="76.683333333333337"/>
  </r>
  <r>
    <x v="115"/>
    <x v="1"/>
    <x v="5"/>
    <n v="42"/>
    <d v="1899-12-30T01:08:28"/>
    <n v="68.466666666666669"/>
  </r>
  <r>
    <x v="115"/>
    <x v="2"/>
    <x v="0"/>
    <n v="66"/>
    <d v="1899-12-30T02:10:27"/>
    <n v="130.44999999999999"/>
  </r>
  <r>
    <x v="115"/>
    <x v="2"/>
    <x v="1"/>
    <n v="68"/>
    <d v="1899-12-30T02:34:21"/>
    <n v="154.35"/>
  </r>
  <r>
    <x v="115"/>
    <x v="2"/>
    <x v="2"/>
    <n v="43"/>
    <d v="1899-12-30T01:22:48"/>
    <n v="82.8"/>
  </r>
  <r>
    <x v="115"/>
    <x v="2"/>
    <x v="3"/>
    <n v="18"/>
    <d v="1899-12-30T00:18:27"/>
    <n v="18.45"/>
  </r>
  <r>
    <x v="115"/>
    <x v="2"/>
    <x v="4"/>
    <n v="12"/>
    <d v="1899-12-30T00:31:03"/>
    <n v="31.05"/>
  </r>
  <r>
    <x v="115"/>
    <x v="2"/>
    <x v="5"/>
    <n v="34"/>
    <d v="1899-12-30T00:59:55"/>
    <n v="59.916666666666664"/>
  </r>
  <r>
    <x v="115"/>
    <x v="3"/>
    <x v="0"/>
    <n v="17"/>
    <d v="1899-12-30T00:30:25"/>
    <n v="30.416666666666668"/>
  </r>
  <r>
    <x v="115"/>
    <x v="3"/>
    <x v="1"/>
    <n v="8"/>
    <d v="1899-12-30T00:13:55"/>
    <n v="13.916666666666666"/>
  </r>
  <r>
    <x v="115"/>
    <x v="3"/>
    <x v="2"/>
    <n v="4"/>
    <d v="1899-12-30T00:08:03"/>
    <n v="8.0500000000000007"/>
  </r>
  <r>
    <x v="115"/>
    <x v="3"/>
    <x v="3"/>
    <n v="2"/>
    <d v="1899-12-30T00:02:10"/>
    <n v="2.1666666666666665"/>
  </r>
  <r>
    <x v="115"/>
    <x v="3"/>
    <x v="4"/>
    <n v="0"/>
    <d v="1899-12-30T00:00:00"/>
    <n v="0"/>
  </r>
  <r>
    <x v="115"/>
    <x v="3"/>
    <x v="5"/>
    <n v="11"/>
    <d v="1899-12-30T00:18:22"/>
    <n v="18.366666666666667"/>
  </r>
  <r>
    <x v="115"/>
    <x v="4"/>
    <x v="0"/>
    <n v="27"/>
    <d v="1899-12-30T00:50:41"/>
    <n v="50.68333333333333"/>
  </r>
  <r>
    <x v="115"/>
    <x v="4"/>
    <x v="1"/>
    <n v="23"/>
    <d v="1899-12-30T00:44:43"/>
    <n v="44.716666666666669"/>
  </r>
  <r>
    <x v="115"/>
    <x v="4"/>
    <x v="2"/>
    <n v="11"/>
    <d v="1899-12-30T00:20:00"/>
    <n v="20"/>
  </r>
  <r>
    <x v="115"/>
    <x v="4"/>
    <x v="3"/>
    <n v="5"/>
    <d v="1899-12-30T00:06:06"/>
    <n v="6.1"/>
  </r>
  <r>
    <x v="115"/>
    <x v="4"/>
    <x v="4"/>
    <n v="3"/>
    <d v="1899-12-30T00:05:53"/>
    <n v="5.8833333333333329"/>
  </r>
  <r>
    <x v="115"/>
    <x v="4"/>
    <x v="5"/>
    <n v="10"/>
    <d v="1899-12-30T00:14:29"/>
    <n v="14.483333333333333"/>
  </r>
  <r>
    <x v="115"/>
    <x v="5"/>
    <x v="0"/>
    <n v="16"/>
    <d v="1899-12-30T00:21:24"/>
    <n v="21.4"/>
  </r>
  <r>
    <x v="115"/>
    <x v="5"/>
    <x v="1"/>
    <n v="31"/>
    <d v="1899-12-30T00:43:17"/>
    <n v="43.283333333333331"/>
  </r>
  <r>
    <x v="115"/>
    <x v="5"/>
    <x v="2"/>
    <n v="29"/>
    <d v="1899-12-30T00:29:25"/>
    <n v="29.416666666666668"/>
  </r>
  <r>
    <x v="115"/>
    <x v="5"/>
    <x v="3"/>
    <n v="8"/>
    <d v="1899-12-30T00:08:03"/>
    <n v="8.0500000000000007"/>
  </r>
  <r>
    <x v="115"/>
    <x v="5"/>
    <x v="4"/>
    <n v="2"/>
    <d v="1899-12-30T00:02:55"/>
    <n v="2.9166666666666665"/>
  </r>
  <r>
    <x v="115"/>
    <x v="5"/>
    <x v="5"/>
    <n v="30"/>
    <d v="1899-12-30T00:39:22"/>
    <n v="39.366666666666667"/>
  </r>
  <r>
    <x v="115"/>
    <x v="6"/>
    <x v="0"/>
    <n v="29"/>
    <d v="1899-12-30T00:52:46"/>
    <n v="52.766666666666666"/>
  </r>
  <r>
    <x v="115"/>
    <x v="6"/>
    <x v="1"/>
    <n v="30"/>
    <d v="1899-12-30T00:56:00"/>
    <n v="56"/>
  </r>
  <r>
    <x v="115"/>
    <x v="6"/>
    <x v="2"/>
    <n v="26"/>
    <d v="1899-12-30T00:45:30"/>
    <n v="45.5"/>
  </r>
  <r>
    <x v="115"/>
    <x v="6"/>
    <x v="3"/>
    <n v="14"/>
    <d v="1899-12-30T00:15:07"/>
    <n v="15.116666666666667"/>
  </r>
  <r>
    <x v="115"/>
    <x v="6"/>
    <x v="4"/>
    <n v="13"/>
    <d v="1899-12-30T00:32:34"/>
    <n v="32.56666666666667"/>
  </r>
  <r>
    <x v="115"/>
    <x v="6"/>
    <x v="5"/>
    <n v="20"/>
    <d v="1899-12-30T00:26:01"/>
    <n v="26.016666666666666"/>
  </r>
  <r>
    <x v="115"/>
    <x v="7"/>
    <x v="0"/>
    <n v="75"/>
    <d v="1899-12-30T01:44:35"/>
    <n v="104.58333333333333"/>
  </r>
  <r>
    <x v="115"/>
    <x v="7"/>
    <x v="1"/>
    <n v="113"/>
    <d v="1899-12-30T02:25:02"/>
    <n v="145.03333333333333"/>
  </r>
  <r>
    <x v="115"/>
    <x v="7"/>
    <x v="2"/>
    <n v="54"/>
    <d v="1899-12-30T01:07:31"/>
    <n v="67.516666666666666"/>
  </r>
  <r>
    <x v="115"/>
    <x v="7"/>
    <x v="3"/>
    <n v="82"/>
    <d v="1899-12-30T01:29:42"/>
    <n v="89.7"/>
  </r>
  <r>
    <x v="115"/>
    <x v="7"/>
    <x v="4"/>
    <n v="120"/>
    <d v="1899-12-30T03:20:55"/>
    <n v="200.91666666666666"/>
  </r>
  <r>
    <x v="115"/>
    <x v="7"/>
    <x v="5"/>
    <n v="62"/>
    <d v="1899-12-30T00:56:58"/>
    <n v="56.966666666666669"/>
  </r>
  <r>
    <x v="115"/>
    <x v="8"/>
    <x v="0"/>
    <n v="16"/>
    <d v="1899-12-30T00:23:05"/>
    <n v="23.083333333333332"/>
  </r>
  <r>
    <x v="115"/>
    <x v="8"/>
    <x v="1"/>
    <n v="26"/>
    <d v="1899-12-30T00:41:57"/>
    <n v="41.95"/>
  </r>
  <r>
    <x v="115"/>
    <x v="8"/>
    <x v="2"/>
    <n v="16"/>
    <d v="1899-12-30T00:23:19"/>
    <n v="23.316666666666666"/>
  </r>
  <r>
    <x v="115"/>
    <x v="8"/>
    <x v="3"/>
    <n v="13"/>
    <d v="1899-12-30T00:15:37"/>
    <n v="15.616666666666667"/>
  </r>
  <r>
    <x v="115"/>
    <x v="8"/>
    <x v="4"/>
    <n v="4"/>
    <d v="1899-12-30T00:06:54"/>
    <n v="6.9"/>
  </r>
  <r>
    <x v="115"/>
    <x v="8"/>
    <x v="5"/>
    <n v="15"/>
    <d v="1899-12-30T00:17:22"/>
    <n v="17.366666666666667"/>
  </r>
  <r>
    <x v="115"/>
    <x v="9"/>
    <x v="0"/>
    <n v="48"/>
    <d v="1899-12-30T01:20:20"/>
    <n v="80.333333333333329"/>
  </r>
  <r>
    <x v="115"/>
    <x v="9"/>
    <x v="1"/>
    <n v="55"/>
    <d v="1899-12-30T01:37:30"/>
    <n v="97.5"/>
  </r>
  <r>
    <x v="115"/>
    <x v="9"/>
    <x v="2"/>
    <n v="45"/>
    <d v="1899-12-30T01:02:02"/>
    <n v="62.033333333333331"/>
  </r>
  <r>
    <x v="115"/>
    <x v="9"/>
    <x v="3"/>
    <n v="24"/>
    <d v="1899-12-30T00:27:04"/>
    <n v="27.066666666666666"/>
  </r>
  <r>
    <x v="115"/>
    <x v="9"/>
    <x v="4"/>
    <n v="10"/>
    <d v="1899-12-30T00:19:57"/>
    <n v="19.95"/>
  </r>
  <r>
    <x v="115"/>
    <x v="9"/>
    <x v="5"/>
    <n v="30"/>
    <d v="1899-12-30T00:45:33"/>
    <n v="45.55"/>
  </r>
  <r>
    <x v="115"/>
    <x v="10"/>
    <x v="0"/>
    <n v="11"/>
    <d v="1899-12-30T00:19:21"/>
    <n v="19.350000000000001"/>
  </r>
  <r>
    <x v="115"/>
    <x v="10"/>
    <x v="1"/>
    <n v="27"/>
    <d v="1899-12-30T00:40:26"/>
    <n v="40.43333333333333"/>
  </r>
  <r>
    <x v="115"/>
    <x v="10"/>
    <x v="2"/>
    <n v="13"/>
    <d v="1899-12-30T00:24:59"/>
    <n v="24.983333333333334"/>
  </r>
  <r>
    <x v="115"/>
    <x v="10"/>
    <x v="3"/>
    <n v="18"/>
    <d v="1899-12-30T00:21:16"/>
    <n v="21.266666666666666"/>
  </r>
  <r>
    <x v="115"/>
    <x v="10"/>
    <x v="4"/>
    <n v="13"/>
    <d v="1899-12-30T00:17:46"/>
    <n v="17.766666666666666"/>
  </r>
  <r>
    <x v="115"/>
    <x v="10"/>
    <x v="5"/>
    <n v="7"/>
    <d v="1899-12-30T00:06:02"/>
    <n v="6.0333333333333332"/>
  </r>
  <r>
    <x v="115"/>
    <x v="11"/>
    <x v="0"/>
    <n v="12"/>
    <d v="1899-12-30T00:21:04"/>
    <n v="21.066666666666666"/>
  </r>
  <r>
    <x v="115"/>
    <x v="11"/>
    <x v="1"/>
    <n v="11"/>
    <d v="1899-12-30T00:28:35"/>
    <n v="28.583333333333332"/>
  </r>
  <r>
    <x v="115"/>
    <x v="11"/>
    <x v="2"/>
    <n v="5"/>
    <d v="1899-12-30T00:08:05"/>
    <n v="8.0833333333333339"/>
  </r>
  <r>
    <x v="115"/>
    <x v="11"/>
    <x v="3"/>
    <n v="9"/>
    <d v="1899-12-30T00:11:13"/>
    <n v="11.216666666666667"/>
  </r>
  <r>
    <x v="115"/>
    <x v="11"/>
    <x v="4"/>
    <n v="2"/>
    <d v="1899-12-30T00:05:45"/>
    <n v="5.75"/>
  </r>
  <r>
    <x v="115"/>
    <x v="11"/>
    <x v="5"/>
    <n v="10"/>
    <d v="1899-12-30T00:16:36"/>
    <n v="16.600000000000001"/>
  </r>
  <r>
    <x v="115"/>
    <x v="12"/>
    <x v="0"/>
    <n v="51"/>
    <d v="1899-12-30T01:25:29"/>
    <n v="85.483333333333334"/>
  </r>
  <r>
    <x v="115"/>
    <x v="12"/>
    <x v="1"/>
    <n v="99"/>
    <d v="1899-12-30T02:45:28"/>
    <n v="165.46666666666667"/>
  </r>
  <r>
    <x v="115"/>
    <x v="12"/>
    <x v="2"/>
    <n v="76"/>
    <d v="1899-12-30T02:02:39"/>
    <n v="122.65"/>
  </r>
  <r>
    <x v="115"/>
    <x v="12"/>
    <x v="3"/>
    <n v="37"/>
    <d v="1899-12-30T00:40:14"/>
    <n v="40.233333333333334"/>
  </r>
  <r>
    <x v="115"/>
    <x v="12"/>
    <x v="4"/>
    <n v="29"/>
    <d v="1899-12-30T00:45:25"/>
    <n v="45.416666666666664"/>
  </r>
  <r>
    <x v="115"/>
    <x v="12"/>
    <x v="5"/>
    <n v="72"/>
    <d v="1899-12-30T01:44:30"/>
    <n v="104.5"/>
  </r>
  <r>
    <x v="115"/>
    <x v="13"/>
    <x v="0"/>
    <n v="47"/>
    <d v="1899-12-30T01:09:42"/>
    <n v="69.7"/>
  </r>
  <r>
    <x v="115"/>
    <x v="13"/>
    <x v="1"/>
    <n v="74"/>
    <d v="1899-12-30T01:29:37"/>
    <n v="89.61666666666666"/>
  </r>
  <r>
    <x v="115"/>
    <x v="13"/>
    <x v="2"/>
    <n v="35"/>
    <d v="1899-12-30T00:46:03"/>
    <n v="46.05"/>
  </r>
  <r>
    <x v="115"/>
    <x v="13"/>
    <x v="3"/>
    <n v="29"/>
    <d v="1899-12-30T00:27:54"/>
    <n v="27.9"/>
  </r>
  <r>
    <x v="115"/>
    <x v="13"/>
    <x v="4"/>
    <n v="0"/>
    <d v="1899-12-30T00:00:00"/>
    <n v="0"/>
  </r>
  <r>
    <x v="115"/>
    <x v="13"/>
    <x v="5"/>
    <n v="33"/>
    <d v="1899-12-30T00:32:29"/>
    <n v="32.483333333333334"/>
  </r>
  <r>
    <x v="116"/>
    <x v="0"/>
    <x v="0"/>
    <n v="40"/>
    <d v="1899-12-30T01:00:56"/>
    <n v="60.93333333333333"/>
  </r>
  <r>
    <x v="116"/>
    <x v="0"/>
    <x v="1"/>
    <n v="54"/>
    <d v="1899-12-30T01:12:53"/>
    <n v="72.88333333333334"/>
  </r>
  <r>
    <x v="116"/>
    <x v="0"/>
    <x v="2"/>
    <n v="40"/>
    <d v="1899-12-30T00:55:25"/>
    <n v="55.416666666666664"/>
  </r>
  <r>
    <x v="116"/>
    <x v="0"/>
    <x v="3"/>
    <n v="7"/>
    <d v="1899-12-30T00:06:47"/>
    <n v="6.7833333333333332"/>
  </r>
  <r>
    <x v="116"/>
    <x v="0"/>
    <x v="4"/>
    <n v="6"/>
    <d v="1899-12-30T00:07:46"/>
    <n v="7.7666666666666666"/>
  </r>
  <r>
    <x v="116"/>
    <x v="0"/>
    <x v="5"/>
    <n v="47"/>
    <d v="1899-12-30T00:53:38"/>
    <n v="53.633333333333333"/>
  </r>
  <r>
    <x v="116"/>
    <x v="1"/>
    <x v="0"/>
    <n v="63"/>
    <d v="1899-12-30T02:11:20"/>
    <n v="131.33333333333334"/>
  </r>
  <r>
    <x v="116"/>
    <x v="1"/>
    <x v="1"/>
    <n v="43"/>
    <d v="1899-12-30T02:05:12"/>
    <n v="125.2"/>
  </r>
  <r>
    <x v="116"/>
    <x v="1"/>
    <x v="2"/>
    <n v="24"/>
    <d v="1899-12-30T00:47:38"/>
    <n v="47.633333333333333"/>
  </r>
  <r>
    <x v="116"/>
    <x v="1"/>
    <x v="3"/>
    <n v="20"/>
    <d v="1899-12-30T00:25:51"/>
    <n v="25.85"/>
  </r>
  <r>
    <x v="116"/>
    <x v="1"/>
    <x v="4"/>
    <n v="30"/>
    <d v="1899-12-30T01:29:50"/>
    <n v="89.833333333333329"/>
  </r>
  <r>
    <x v="116"/>
    <x v="1"/>
    <x v="5"/>
    <n v="56"/>
    <d v="1899-12-30T01:31:29"/>
    <n v="91.483333333333334"/>
  </r>
  <r>
    <x v="116"/>
    <x v="2"/>
    <x v="0"/>
    <n v="66"/>
    <d v="1899-12-30T01:58:44"/>
    <n v="118.73333333333333"/>
  </r>
  <r>
    <x v="116"/>
    <x v="2"/>
    <x v="1"/>
    <n v="85"/>
    <d v="1899-12-30T02:32:59"/>
    <n v="152.98333333333332"/>
  </r>
  <r>
    <x v="116"/>
    <x v="2"/>
    <x v="2"/>
    <n v="60"/>
    <d v="1899-12-30T01:44:12"/>
    <n v="104.2"/>
  </r>
  <r>
    <x v="116"/>
    <x v="2"/>
    <x v="3"/>
    <n v="30"/>
    <d v="1899-12-30T00:28:42"/>
    <n v="28.7"/>
  </r>
  <r>
    <x v="116"/>
    <x v="2"/>
    <x v="4"/>
    <n v="6"/>
    <d v="1899-12-30T00:05:20"/>
    <n v="5.333333333333333"/>
  </r>
  <r>
    <x v="116"/>
    <x v="2"/>
    <x v="5"/>
    <n v="43"/>
    <d v="1899-12-30T01:06:38"/>
    <n v="66.63333333333334"/>
  </r>
  <r>
    <x v="116"/>
    <x v="3"/>
    <x v="0"/>
    <n v="23"/>
    <d v="1899-12-30T00:42:48"/>
    <n v="42.8"/>
  </r>
  <r>
    <x v="116"/>
    <x v="3"/>
    <x v="1"/>
    <n v="20"/>
    <d v="1899-12-30T00:51:09"/>
    <n v="51.15"/>
  </r>
  <r>
    <x v="116"/>
    <x v="3"/>
    <x v="2"/>
    <n v="20"/>
    <d v="1899-12-30T00:38:01"/>
    <n v="38.016666666666666"/>
  </r>
  <r>
    <x v="116"/>
    <x v="3"/>
    <x v="3"/>
    <n v="5"/>
    <d v="1899-12-30T00:03:40"/>
    <n v="3.6666666666666665"/>
  </r>
  <r>
    <x v="116"/>
    <x v="3"/>
    <x v="4"/>
    <n v="2"/>
    <d v="1899-12-30T00:06:12"/>
    <n v="6.2"/>
  </r>
  <r>
    <x v="116"/>
    <x v="3"/>
    <x v="5"/>
    <n v="32"/>
    <d v="1899-12-30T00:53:14"/>
    <n v="53.233333333333334"/>
  </r>
  <r>
    <x v="116"/>
    <x v="4"/>
    <x v="0"/>
    <n v="24"/>
    <d v="1899-12-30T00:37:25"/>
    <n v="37.416666666666664"/>
  </r>
  <r>
    <x v="116"/>
    <x v="4"/>
    <x v="1"/>
    <n v="32"/>
    <d v="1899-12-30T01:06:54"/>
    <n v="66.900000000000006"/>
  </r>
  <r>
    <x v="116"/>
    <x v="4"/>
    <x v="2"/>
    <n v="19"/>
    <d v="1899-12-30T00:29:42"/>
    <n v="29.7"/>
  </r>
  <r>
    <x v="116"/>
    <x v="4"/>
    <x v="3"/>
    <n v="7"/>
    <d v="1899-12-30T00:09:03"/>
    <n v="9.0500000000000007"/>
  </r>
  <r>
    <x v="116"/>
    <x v="4"/>
    <x v="4"/>
    <n v="6"/>
    <d v="1899-12-30T00:12:23"/>
    <n v="12.383333333333333"/>
  </r>
  <r>
    <x v="116"/>
    <x v="4"/>
    <x v="5"/>
    <n v="7"/>
    <d v="1899-12-30T00:11:00"/>
    <n v="11"/>
  </r>
  <r>
    <x v="116"/>
    <x v="5"/>
    <x v="0"/>
    <n v="21"/>
    <d v="1899-12-30T00:29:06"/>
    <n v="29.1"/>
  </r>
  <r>
    <x v="116"/>
    <x v="5"/>
    <x v="1"/>
    <n v="30"/>
    <d v="1899-12-30T00:56:03"/>
    <n v="56.05"/>
  </r>
  <r>
    <x v="116"/>
    <x v="5"/>
    <x v="2"/>
    <n v="26"/>
    <d v="1899-12-30T00:33:03"/>
    <n v="33.049999999999997"/>
  </r>
  <r>
    <x v="116"/>
    <x v="5"/>
    <x v="3"/>
    <n v="6"/>
    <d v="1899-12-30T00:04:53"/>
    <n v="4.8833333333333329"/>
  </r>
  <r>
    <x v="116"/>
    <x v="5"/>
    <x v="4"/>
    <n v="1"/>
    <d v="1899-12-30T00:02:09"/>
    <n v="2.15"/>
  </r>
  <r>
    <x v="116"/>
    <x v="5"/>
    <x v="5"/>
    <n v="44"/>
    <d v="1899-12-30T00:54:59"/>
    <n v="54.983333333333334"/>
  </r>
  <r>
    <x v="116"/>
    <x v="6"/>
    <x v="0"/>
    <n v="10"/>
    <d v="1899-12-30T00:14:15"/>
    <n v="14.25"/>
  </r>
  <r>
    <x v="116"/>
    <x v="6"/>
    <x v="1"/>
    <n v="9"/>
    <d v="1899-12-30T00:16:41"/>
    <n v="16.683333333333334"/>
  </r>
  <r>
    <x v="116"/>
    <x v="6"/>
    <x v="2"/>
    <n v="8"/>
    <d v="1899-12-30T00:08:40"/>
    <n v="8.6666666666666661"/>
  </r>
  <r>
    <x v="116"/>
    <x v="6"/>
    <x v="3"/>
    <n v="3"/>
    <d v="1899-12-30T00:03:12"/>
    <n v="3.2"/>
  </r>
  <r>
    <x v="116"/>
    <x v="6"/>
    <x v="4"/>
    <n v="5"/>
    <d v="1899-12-30T00:07:48"/>
    <n v="7.8"/>
  </r>
  <r>
    <x v="116"/>
    <x v="6"/>
    <x v="5"/>
    <n v="0"/>
    <d v="1899-12-30T00:00:00"/>
    <n v="0"/>
  </r>
  <r>
    <x v="116"/>
    <x v="7"/>
    <x v="0"/>
    <n v="132"/>
    <d v="1899-12-30T03:18:47"/>
    <n v="198.78333333333333"/>
  </r>
  <r>
    <x v="116"/>
    <x v="7"/>
    <x v="1"/>
    <n v="163"/>
    <d v="1899-12-30T03:39:35"/>
    <n v="219.58333333333334"/>
  </r>
  <r>
    <x v="116"/>
    <x v="7"/>
    <x v="2"/>
    <n v="67"/>
    <d v="1899-12-30T01:27:57"/>
    <n v="87.95"/>
  </r>
  <r>
    <x v="116"/>
    <x v="7"/>
    <x v="3"/>
    <n v="86"/>
    <d v="1899-12-30T01:36:56"/>
    <n v="96.933333333333337"/>
  </r>
  <r>
    <x v="116"/>
    <x v="7"/>
    <x v="4"/>
    <n v="177"/>
    <d v="1899-12-30T05:36:25"/>
    <n v="336.41666666666669"/>
  </r>
  <r>
    <x v="116"/>
    <x v="7"/>
    <x v="5"/>
    <n v="72"/>
    <d v="1899-12-30T01:42:29"/>
    <n v="102.48333333333333"/>
  </r>
  <r>
    <x v="116"/>
    <x v="8"/>
    <x v="0"/>
    <n v="27"/>
    <d v="1899-12-30T00:43:46"/>
    <n v="43.766666666666666"/>
  </r>
  <r>
    <x v="116"/>
    <x v="8"/>
    <x v="1"/>
    <n v="29"/>
    <d v="1899-12-30T00:54:14"/>
    <n v="54.233333333333334"/>
  </r>
  <r>
    <x v="116"/>
    <x v="8"/>
    <x v="2"/>
    <n v="27"/>
    <d v="1899-12-30T00:37:36"/>
    <n v="37.6"/>
  </r>
  <r>
    <x v="116"/>
    <x v="8"/>
    <x v="3"/>
    <n v="16"/>
    <d v="1899-12-30T00:13:21"/>
    <n v="13.35"/>
  </r>
  <r>
    <x v="116"/>
    <x v="8"/>
    <x v="4"/>
    <n v="6"/>
    <d v="1899-12-30T00:13:07"/>
    <n v="13.116666666666667"/>
  </r>
  <r>
    <x v="116"/>
    <x v="8"/>
    <x v="5"/>
    <n v="36"/>
    <d v="1899-12-30T00:51:51"/>
    <n v="51.85"/>
  </r>
  <r>
    <x v="116"/>
    <x v="9"/>
    <x v="0"/>
    <n v="74"/>
    <d v="1899-12-30T02:25:34"/>
    <n v="145.56666666666666"/>
  </r>
  <r>
    <x v="116"/>
    <x v="9"/>
    <x v="1"/>
    <n v="103"/>
    <d v="1899-12-30T03:20:52"/>
    <n v="200.86666666666667"/>
  </r>
  <r>
    <x v="116"/>
    <x v="9"/>
    <x v="2"/>
    <n v="76"/>
    <d v="1899-12-30T01:53:24"/>
    <n v="113.4"/>
  </r>
  <r>
    <x v="116"/>
    <x v="9"/>
    <x v="3"/>
    <n v="32"/>
    <d v="1899-12-30T00:33:19"/>
    <n v="33.31666666666667"/>
  </r>
  <r>
    <x v="116"/>
    <x v="9"/>
    <x v="4"/>
    <n v="14"/>
    <d v="1899-12-30T00:27:48"/>
    <n v="27.8"/>
  </r>
  <r>
    <x v="116"/>
    <x v="9"/>
    <x v="5"/>
    <n v="56"/>
    <d v="1899-12-30T01:12:20"/>
    <n v="72.333333333333329"/>
  </r>
  <r>
    <x v="116"/>
    <x v="10"/>
    <x v="0"/>
    <n v="18"/>
    <d v="1899-12-30T00:31:30"/>
    <n v="31.5"/>
  </r>
  <r>
    <x v="116"/>
    <x v="10"/>
    <x v="1"/>
    <n v="30"/>
    <d v="1899-12-30T00:51:16"/>
    <n v="51.266666666666666"/>
  </r>
  <r>
    <x v="116"/>
    <x v="10"/>
    <x v="2"/>
    <n v="22"/>
    <d v="1899-12-30T00:32:43"/>
    <n v="32.716666666666669"/>
  </r>
  <r>
    <x v="116"/>
    <x v="10"/>
    <x v="3"/>
    <n v="19"/>
    <d v="1899-12-30T00:18:29"/>
    <n v="18.483333333333334"/>
  </r>
  <r>
    <x v="116"/>
    <x v="10"/>
    <x v="4"/>
    <n v="12"/>
    <d v="1899-12-30T00:21:41"/>
    <n v="21.683333333333334"/>
  </r>
  <r>
    <x v="116"/>
    <x v="10"/>
    <x v="5"/>
    <n v="26"/>
    <d v="1899-12-30T00:35:24"/>
    <n v="35.4"/>
  </r>
  <r>
    <x v="116"/>
    <x v="11"/>
    <x v="0"/>
    <n v="7"/>
    <d v="1899-12-30T00:14:54"/>
    <n v="14.9"/>
  </r>
  <r>
    <x v="116"/>
    <x v="11"/>
    <x v="1"/>
    <n v="16"/>
    <d v="1899-12-30T00:28:27"/>
    <n v="28.45"/>
  </r>
  <r>
    <x v="116"/>
    <x v="11"/>
    <x v="2"/>
    <n v="8"/>
    <d v="1899-12-30T00:18:35"/>
    <n v="18.583333333333332"/>
  </r>
  <r>
    <x v="116"/>
    <x v="11"/>
    <x v="3"/>
    <n v="6"/>
    <d v="1899-12-30T00:06:45"/>
    <n v="6.75"/>
  </r>
  <r>
    <x v="116"/>
    <x v="11"/>
    <x v="4"/>
    <n v="1"/>
    <d v="1899-12-30T00:03:09"/>
    <n v="3.15"/>
  </r>
  <r>
    <x v="116"/>
    <x v="11"/>
    <x v="5"/>
    <n v="9"/>
    <d v="1899-12-30T00:16:49"/>
    <n v="16.816666666666666"/>
  </r>
  <r>
    <x v="116"/>
    <x v="12"/>
    <x v="0"/>
    <n v="109"/>
    <d v="1899-12-30T03:09:39"/>
    <n v="189.65"/>
  </r>
  <r>
    <x v="116"/>
    <x v="12"/>
    <x v="1"/>
    <n v="134"/>
    <d v="1899-12-30T04:20:57"/>
    <n v="260.95"/>
  </r>
  <r>
    <x v="116"/>
    <x v="12"/>
    <x v="2"/>
    <n v="92"/>
    <d v="1899-12-30T02:25:59"/>
    <n v="145.98333333333332"/>
  </r>
  <r>
    <x v="116"/>
    <x v="12"/>
    <x v="3"/>
    <n v="42"/>
    <d v="1899-12-30T00:40:59"/>
    <n v="40.983333333333334"/>
  </r>
  <r>
    <x v="116"/>
    <x v="12"/>
    <x v="4"/>
    <n v="22"/>
    <d v="1899-12-30T00:40:20"/>
    <n v="40.333333333333336"/>
  </r>
  <r>
    <x v="116"/>
    <x v="12"/>
    <x v="5"/>
    <n v="85"/>
    <d v="1899-12-30T01:57:56"/>
    <n v="117.93333333333334"/>
  </r>
  <r>
    <x v="116"/>
    <x v="13"/>
    <x v="0"/>
    <n v="45"/>
    <d v="1899-12-30T01:12:51"/>
    <n v="72.849999999999994"/>
  </r>
  <r>
    <x v="116"/>
    <x v="13"/>
    <x v="1"/>
    <n v="40"/>
    <d v="1899-12-30T00:38:19"/>
    <n v="38.31666666666667"/>
  </r>
  <r>
    <x v="116"/>
    <x v="13"/>
    <x v="2"/>
    <n v="23"/>
    <d v="1899-12-30T00:17:14"/>
    <n v="17.233333333333334"/>
  </r>
  <r>
    <x v="116"/>
    <x v="13"/>
    <x v="3"/>
    <n v="42"/>
    <d v="1899-12-30T00:44:49"/>
    <n v="44.81666666666667"/>
  </r>
  <r>
    <x v="116"/>
    <x v="13"/>
    <x v="4"/>
    <n v="0"/>
    <d v="1899-12-30T00:00:00"/>
    <n v="0"/>
  </r>
  <r>
    <x v="116"/>
    <x v="13"/>
    <x v="5"/>
    <n v="16"/>
    <d v="1899-12-30T00:16:16"/>
    <n v="16.266666666666666"/>
  </r>
  <r>
    <x v="117"/>
    <x v="0"/>
    <x v="0"/>
    <n v="43"/>
    <d v="1899-12-30T01:05:43"/>
    <n v="65.716666666666669"/>
  </r>
  <r>
    <x v="117"/>
    <x v="0"/>
    <x v="1"/>
    <n v="51"/>
    <d v="1899-12-30T01:14:39"/>
    <n v="74.650000000000006"/>
  </r>
  <r>
    <x v="117"/>
    <x v="0"/>
    <x v="2"/>
    <n v="31"/>
    <d v="1899-12-30T00:45:50"/>
    <n v="45.833333333333336"/>
  </r>
  <r>
    <x v="117"/>
    <x v="0"/>
    <x v="3"/>
    <n v="12"/>
    <d v="1899-12-30T00:11:05"/>
    <n v="11.083333333333334"/>
  </r>
  <r>
    <x v="117"/>
    <x v="0"/>
    <x v="4"/>
    <n v="3"/>
    <d v="1899-12-30T00:07:43"/>
    <n v="7.7166666666666668"/>
  </r>
  <r>
    <x v="117"/>
    <x v="0"/>
    <x v="5"/>
    <n v="34"/>
    <d v="1899-12-30T00:42:45"/>
    <n v="42.75"/>
  </r>
  <r>
    <x v="117"/>
    <x v="1"/>
    <x v="0"/>
    <n v="45"/>
    <d v="1899-12-30T01:32:42"/>
    <n v="92.7"/>
  </r>
  <r>
    <x v="117"/>
    <x v="1"/>
    <x v="1"/>
    <n v="30"/>
    <d v="1899-12-30T01:27:48"/>
    <n v="87.8"/>
  </r>
  <r>
    <x v="117"/>
    <x v="1"/>
    <x v="2"/>
    <n v="28"/>
    <d v="1899-12-30T00:56:59"/>
    <n v="56.983333333333334"/>
  </r>
  <r>
    <x v="117"/>
    <x v="1"/>
    <x v="3"/>
    <n v="28"/>
    <d v="1899-12-30T00:30:06"/>
    <n v="30.1"/>
  </r>
  <r>
    <x v="117"/>
    <x v="1"/>
    <x v="4"/>
    <n v="26"/>
    <d v="1899-12-30T01:12:29"/>
    <n v="72.483333333333334"/>
  </r>
  <r>
    <x v="117"/>
    <x v="1"/>
    <x v="5"/>
    <n v="33"/>
    <d v="1899-12-30T01:00:28"/>
    <n v="60.466666666666669"/>
  </r>
  <r>
    <x v="117"/>
    <x v="2"/>
    <x v="0"/>
    <n v="67"/>
    <d v="1899-12-30T01:55:23"/>
    <n v="115.38333333333334"/>
  </r>
  <r>
    <x v="117"/>
    <x v="2"/>
    <x v="1"/>
    <n v="81"/>
    <d v="1899-12-30T02:54:39"/>
    <n v="174.65"/>
  </r>
  <r>
    <x v="117"/>
    <x v="2"/>
    <x v="2"/>
    <n v="63"/>
    <d v="1899-12-30T01:56:29"/>
    <n v="116.48333333333333"/>
  </r>
  <r>
    <x v="117"/>
    <x v="2"/>
    <x v="3"/>
    <n v="17"/>
    <d v="1899-12-30T00:15:30"/>
    <n v="15.5"/>
  </r>
  <r>
    <x v="117"/>
    <x v="2"/>
    <x v="4"/>
    <n v="11"/>
    <d v="1899-12-30T00:24:47"/>
    <n v="24.783333333333335"/>
  </r>
  <r>
    <x v="117"/>
    <x v="2"/>
    <x v="5"/>
    <n v="35"/>
    <d v="1899-12-30T01:12:36"/>
    <n v="72.599999999999994"/>
  </r>
  <r>
    <x v="117"/>
    <x v="3"/>
    <x v="0"/>
    <n v="10"/>
    <d v="1899-12-30T00:21:22"/>
    <n v="21.366666666666667"/>
  </r>
  <r>
    <x v="117"/>
    <x v="3"/>
    <x v="1"/>
    <n v="5"/>
    <d v="1899-12-30T00:12:55"/>
    <n v="12.916666666666666"/>
  </r>
  <r>
    <x v="117"/>
    <x v="3"/>
    <x v="2"/>
    <n v="2"/>
    <d v="1899-12-30T00:05:04"/>
    <n v="5.0666666666666664"/>
  </r>
  <r>
    <x v="117"/>
    <x v="3"/>
    <x v="3"/>
    <n v="2"/>
    <d v="1899-12-30T00:03:18"/>
    <n v="3.3"/>
  </r>
  <r>
    <x v="117"/>
    <x v="3"/>
    <x v="4"/>
    <n v="1"/>
    <d v="1899-12-30T00:02:52"/>
    <n v="2.8666666666666667"/>
  </r>
  <r>
    <x v="117"/>
    <x v="3"/>
    <x v="5"/>
    <n v="2"/>
    <d v="1899-12-30T00:04:32"/>
    <n v="4.5333333333333332"/>
  </r>
  <r>
    <x v="117"/>
    <x v="4"/>
    <x v="0"/>
    <n v="47"/>
    <d v="1899-12-30T01:18:02"/>
    <n v="78.033333333333331"/>
  </r>
  <r>
    <x v="117"/>
    <x v="4"/>
    <x v="1"/>
    <n v="55"/>
    <d v="1899-12-30T01:26:13"/>
    <n v="86.216666666666669"/>
  </r>
  <r>
    <x v="117"/>
    <x v="4"/>
    <x v="2"/>
    <n v="35"/>
    <d v="1899-12-30T00:49:49"/>
    <n v="49.81666666666667"/>
  </r>
  <r>
    <x v="117"/>
    <x v="4"/>
    <x v="3"/>
    <n v="13"/>
    <d v="1899-12-30T00:13:10"/>
    <n v="13.166666666666666"/>
  </r>
  <r>
    <x v="117"/>
    <x v="4"/>
    <x v="4"/>
    <n v="2"/>
    <d v="1899-12-30T00:03:30"/>
    <n v="3.5"/>
  </r>
  <r>
    <x v="117"/>
    <x v="4"/>
    <x v="5"/>
    <n v="32"/>
    <d v="1899-12-30T00:42:38"/>
    <n v="42.633333333333333"/>
  </r>
  <r>
    <x v="117"/>
    <x v="5"/>
    <x v="0"/>
    <n v="17"/>
    <d v="1899-12-30T00:28:44"/>
    <n v="28.733333333333334"/>
  </r>
  <r>
    <x v="117"/>
    <x v="5"/>
    <x v="1"/>
    <n v="22"/>
    <d v="1899-12-30T00:34:33"/>
    <n v="34.549999999999997"/>
  </r>
  <r>
    <x v="117"/>
    <x v="5"/>
    <x v="2"/>
    <n v="23"/>
    <d v="1899-12-30T00:30:46"/>
    <n v="30.766666666666666"/>
  </r>
  <r>
    <x v="117"/>
    <x v="5"/>
    <x v="3"/>
    <n v="10"/>
    <d v="1899-12-30T00:12:33"/>
    <n v="12.55"/>
  </r>
  <r>
    <x v="117"/>
    <x v="5"/>
    <x v="4"/>
    <n v="2"/>
    <d v="1899-12-30T00:04:35"/>
    <n v="4.583333333333333"/>
  </r>
  <r>
    <x v="117"/>
    <x v="5"/>
    <x v="5"/>
    <n v="31"/>
    <d v="1899-12-30T00:45:31"/>
    <n v="45.516666666666666"/>
  </r>
  <r>
    <x v="117"/>
    <x v="6"/>
    <x v="0"/>
    <n v="4"/>
    <d v="1899-12-30T00:04:46"/>
    <n v="4.7666666666666666"/>
  </r>
  <r>
    <x v="117"/>
    <x v="6"/>
    <x v="1"/>
    <n v="9"/>
    <d v="1899-12-30T00:11:19"/>
    <n v="11.316666666666666"/>
  </r>
  <r>
    <x v="117"/>
    <x v="6"/>
    <x v="2"/>
    <n v="5"/>
    <d v="1899-12-30T00:06:00"/>
    <n v="6"/>
  </r>
  <r>
    <x v="117"/>
    <x v="6"/>
    <x v="3"/>
    <n v="2"/>
    <d v="1899-12-30T00:01:35"/>
    <n v="1.5833333333333335"/>
  </r>
  <r>
    <x v="117"/>
    <x v="6"/>
    <x v="4"/>
    <n v="5"/>
    <d v="1899-12-30T00:10:49"/>
    <n v="10.816666666666666"/>
  </r>
  <r>
    <x v="117"/>
    <x v="6"/>
    <x v="5"/>
    <n v="2"/>
    <d v="1899-12-30T00:01:40"/>
    <n v="1.6666666666666665"/>
  </r>
  <r>
    <x v="117"/>
    <x v="7"/>
    <x v="0"/>
    <n v="54"/>
    <d v="1899-12-30T01:21:49"/>
    <n v="81.816666666666663"/>
  </r>
  <r>
    <x v="117"/>
    <x v="7"/>
    <x v="1"/>
    <n v="99"/>
    <d v="1899-12-30T02:03:52"/>
    <n v="123.86666666666666"/>
  </r>
  <r>
    <x v="117"/>
    <x v="7"/>
    <x v="2"/>
    <n v="47"/>
    <d v="1899-12-30T00:56:22"/>
    <n v="56.366666666666667"/>
  </r>
  <r>
    <x v="117"/>
    <x v="7"/>
    <x v="3"/>
    <n v="58"/>
    <d v="1899-12-30T01:01:02"/>
    <n v="61.033333333333331"/>
  </r>
  <r>
    <x v="117"/>
    <x v="7"/>
    <x v="4"/>
    <n v="121"/>
    <d v="1899-12-30T03:29:25"/>
    <n v="209.41666666666666"/>
  </r>
  <r>
    <x v="117"/>
    <x v="7"/>
    <x v="5"/>
    <n v="47"/>
    <d v="1899-12-30T00:58:54"/>
    <n v="58.9"/>
  </r>
  <r>
    <x v="117"/>
    <x v="8"/>
    <x v="0"/>
    <n v="24"/>
    <d v="1899-12-30T00:33:58"/>
    <n v="33.966666666666669"/>
  </r>
  <r>
    <x v="117"/>
    <x v="8"/>
    <x v="1"/>
    <n v="26"/>
    <d v="1899-12-30T00:44:02"/>
    <n v="44.033333333333331"/>
  </r>
  <r>
    <x v="117"/>
    <x v="8"/>
    <x v="2"/>
    <n v="25"/>
    <d v="1899-12-30T00:30:05"/>
    <n v="30.083333333333332"/>
  </r>
  <r>
    <x v="117"/>
    <x v="8"/>
    <x v="3"/>
    <n v="16"/>
    <d v="1899-12-30T00:12:10"/>
    <n v="12.166666666666666"/>
  </r>
  <r>
    <x v="117"/>
    <x v="8"/>
    <x v="4"/>
    <n v="8"/>
    <d v="1899-12-30T00:17:13"/>
    <n v="17.216666666666665"/>
  </r>
  <r>
    <x v="117"/>
    <x v="8"/>
    <x v="5"/>
    <n v="32"/>
    <d v="1899-12-30T00:47:42"/>
    <n v="47.7"/>
  </r>
  <r>
    <x v="117"/>
    <x v="9"/>
    <x v="0"/>
    <n v="37"/>
    <d v="1899-12-30T01:12:05"/>
    <n v="72.083333333333329"/>
  </r>
  <r>
    <x v="117"/>
    <x v="9"/>
    <x v="1"/>
    <n v="37"/>
    <d v="1899-12-30T01:09:31"/>
    <n v="69.516666666666666"/>
  </r>
  <r>
    <x v="117"/>
    <x v="9"/>
    <x v="2"/>
    <n v="27"/>
    <d v="1899-12-30T00:41:51"/>
    <n v="41.85"/>
  </r>
  <r>
    <x v="117"/>
    <x v="9"/>
    <x v="3"/>
    <n v="22"/>
    <d v="1899-12-30T00:18:55"/>
    <n v="18.916666666666668"/>
  </r>
  <r>
    <x v="117"/>
    <x v="9"/>
    <x v="4"/>
    <n v="8"/>
    <d v="1899-12-30T00:13:16"/>
    <n v="13.266666666666667"/>
  </r>
  <r>
    <x v="117"/>
    <x v="9"/>
    <x v="5"/>
    <n v="15"/>
    <d v="1899-12-30T00:22:16"/>
    <n v="22.266666666666666"/>
  </r>
  <r>
    <x v="117"/>
    <x v="10"/>
    <x v="0"/>
    <n v="27"/>
    <d v="1899-12-30T00:41:41"/>
    <n v="41.68333333333333"/>
  </r>
  <r>
    <x v="117"/>
    <x v="10"/>
    <x v="1"/>
    <n v="57"/>
    <d v="1899-12-30T01:24:48"/>
    <n v="84.8"/>
  </r>
  <r>
    <x v="117"/>
    <x v="10"/>
    <x v="2"/>
    <n v="49"/>
    <d v="1899-12-30T01:20:25"/>
    <n v="80.416666666666671"/>
  </r>
  <r>
    <x v="117"/>
    <x v="10"/>
    <x v="3"/>
    <n v="17"/>
    <d v="1899-12-30T00:16:16"/>
    <n v="16.266666666666666"/>
  </r>
  <r>
    <x v="117"/>
    <x v="10"/>
    <x v="4"/>
    <n v="19"/>
    <d v="1899-12-30T00:30:25"/>
    <n v="30.416666666666668"/>
  </r>
  <r>
    <x v="117"/>
    <x v="10"/>
    <x v="5"/>
    <n v="49"/>
    <d v="1899-12-30T00:58:54"/>
    <n v="58.9"/>
  </r>
  <r>
    <x v="117"/>
    <x v="11"/>
    <x v="0"/>
    <n v="10"/>
    <d v="1899-12-30T00:18:25"/>
    <n v="18.416666666666668"/>
  </r>
  <r>
    <x v="117"/>
    <x v="11"/>
    <x v="1"/>
    <n v="10"/>
    <d v="1899-12-30T00:17:42"/>
    <n v="17.7"/>
  </r>
  <r>
    <x v="117"/>
    <x v="11"/>
    <x v="2"/>
    <n v="10"/>
    <d v="1899-12-30T00:14:01"/>
    <n v="14.016666666666667"/>
  </r>
  <r>
    <x v="117"/>
    <x v="11"/>
    <x v="3"/>
    <n v="1"/>
    <d v="1899-12-30T00:01:23"/>
    <n v="1.3833333333333333"/>
  </r>
  <r>
    <x v="117"/>
    <x v="11"/>
    <x v="4"/>
    <n v="3"/>
    <d v="1899-12-30T00:02:57"/>
    <n v="2.95"/>
  </r>
  <r>
    <x v="117"/>
    <x v="11"/>
    <x v="5"/>
    <n v="8"/>
    <d v="1899-12-30T00:14:21"/>
    <n v="14.35"/>
  </r>
  <r>
    <x v="117"/>
    <x v="12"/>
    <x v="0"/>
    <n v="57"/>
    <d v="1899-12-30T01:41:04"/>
    <n v="101.06666666666666"/>
  </r>
  <r>
    <x v="117"/>
    <x v="12"/>
    <x v="1"/>
    <n v="102"/>
    <d v="1899-12-30T03:39:36"/>
    <n v="219.6"/>
  </r>
  <r>
    <x v="117"/>
    <x v="12"/>
    <x v="2"/>
    <n v="98"/>
    <d v="1899-12-30T02:49:49"/>
    <n v="169.81666666666666"/>
  </r>
  <r>
    <x v="117"/>
    <x v="12"/>
    <x v="3"/>
    <n v="29"/>
    <d v="1899-12-30T00:31:06"/>
    <n v="31.1"/>
  </r>
  <r>
    <x v="117"/>
    <x v="12"/>
    <x v="4"/>
    <n v="27"/>
    <d v="1899-12-30T00:58:11"/>
    <n v="58.18333333333333"/>
  </r>
  <r>
    <x v="117"/>
    <x v="12"/>
    <x v="5"/>
    <n v="70"/>
    <d v="1899-12-30T01:54:50"/>
    <n v="114.83333333333333"/>
  </r>
  <r>
    <x v="117"/>
    <x v="13"/>
    <x v="0"/>
    <n v="48"/>
    <d v="1899-12-30T01:29:26"/>
    <n v="89.433333333333337"/>
  </r>
  <r>
    <x v="117"/>
    <x v="13"/>
    <x v="1"/>
    <n v="33"/>
    <d v="1899-12-30T00:40:38"/>
    <n v="40.633333333333333"/>
  </r>
  <r>
    <x v="117"/>
    <x v="13"/>
    <x v="2"/>
    <n v="25"/>
    <d v="1899-12-30T00:26:33"/>
    <n v="26.55"/>
  </r>
  <r>
    <x v="117"/>
    <x v="13"/>
    <x v="3"/>
    <n v="32"/>
    <d v="1899-12-30T00:38:57"/>
    <n v="38.950000000000003"/>
  </r>
  <r>
    <x v="117"/>
    <x v="13"/>
    <x v="4"/>
    <n v="0"/>
    <d v="1899-12-30T00:00:00"/>
    <n v="0"/>
  </r>
  <r>
    <x v="117"/>
    <x v="13"/>
    <x v="5"/>
    <n v="17"/>
    <d v="1899-12-30T00:20:03"/>
    <n v="20.05"/>
  </r>
  <r>
    <x v="118"/>
    <x v="0"/>
    <x v="0"/>
    <n v="40"/>
    <d v="1899-12-30T00:48:58"/>
    <n v="48.966666666666669"/>
  </r>
  <r>
    <x v="118"/>
    <x v="0"/>
    <x v="1"/>
    <n v="50"/>
    <d v="1899-12-30T01:04:34"/>
    <n v="64.566666666666663"/>
  </r>
  <r>
    <x v="118"/>
    <x v="0"/>
    <x v="2"/>
    <n v="42"/>
    <d v="1899-12-30T00:48:59"/>
    <n v="48.983333333333334"/>
  </r>
  <r>
    <x v="118"/>
    <x v="0"/>
    <x v="3"/>
    <n v="6"/>
    <d v="1899-12-30T00:03:10"/>
    <n v="3.1666666666666665"/>
  </r>
  <r>
    <x v="118"/>
    <x v="0"/>
    <x v="4"/>
    <n v="3"/>
    <d v="1899-12-30T00:05:13"/>
    <n v="5.2166666666666668"/>
  </r>
  <r>
    <x v="118"/>
    <x v="0"/>
    <x v="5"/>
    <n v="36"/>
    <d v="1899-12-30T00:39:06"/>
    <n v="39.1"/>
  </r>
  <r>
    <x v="118"/>
    <x v="1"/>
    <x v="0"/>
    <n v="48"/>
    <d v="1899-12-30T01:43:05"/>
    <n v="103.08333333333333"/>
  </r>
  <r>
    <x v="118"/>
    <x v="1"/>
    <x v="1"/>
    <n v="38"/>
    <d v="1899-12-30T01:27:54"/>
    <n v="87.9"/>
  </r>
  <r>
    <x v="118"/>
    <x v="1"/>
    <x v="2"/>
    <n v="32"/>
    <d v="1899-12-30T00:57:39"/>
    <n v="57.65"/>
  </r>
  <r>
    <x v="118"/>
    <x v="1"/>
    <x v="3"/>
    <n v="20"/>
    <d v="1899-12-30T00:24:46"/>
    <n v="24.766666666666666"/>
  </r>
  <r>
    <x v="118"/>
    <x v="1"/>
    <x v="4"/>
    <n v="21"/>
    <d v="1899-12-30T01:00:40"/>
    <n v="60.666666666666664"/>
  </r>
  <r>
    <x v="118"/>
    <x v="1"/>
    <x v="5"/>
    <n v="52"/>
    <d v="1899-12-30T01:28:08"/>
    <n v="88.13333333333334"/>
  </r>
  <r>
    <x v="118"/>
    <x v="2"/>
    <x v="0"/>
    <n v="50"/>
    <d v="1899-12-30T01:26:13"/>
    <n v="86.216666666666669"/>
  </r>
  <r>
    <x v="118"/>
    <x v="2"/>
    <x v="1"/>
    <n v="69"/>
    <d v="1899-12-30T02:46:09"/>
    <n v="166.15"/>
  </r>
  <r>
    <x v="118"/>
    <x v="2"/>
    <x v="2"/>
    <n v="38"/>
    <d v="1899-12-30T01:03:58"/>
    <n v="63.966666666666669"/>
  </r>
  <r>
    <x v="118"/>
    <x v="2"/>
    <x v="3"/>
    <n v="19"/>
    <d v="1899-12-30T00:18:58"/>
    <n v="18.966666666666665"/>
  </r>
  <r>
    <x v="118"/>
    <x v="2"/>
    <x v="4"/>
    <n v="15"/>
    <d v="1899-12-30T00:43:02"/>
    <n v="43.033333333333331"/>
  </r>
  <r>
    <x v="118"/>
    <x v="2"/>
    <x v="5"/>
    <n v="23"/>
    <d v="1899-12-30T00:31:20"/>
    <n v="31.333333333333332"/>
  </r>
  <r>
    <x v="118"/>
    <x v="3"/>
    <x v="0"/>
    <n v="9"/>
    <d v="1899-12-30T00:21:18"/>
    <n v="21.3"/>
  </r>
  <r>
    <x v="118"/>
    <x v="3"/>
    <x v="1"/>
    <n v="9"/>
    <d v="1899-12-30T00:33:50"/>
    <n v="33.833333333333336"/>
  </r>
  <r>
    <x v="118"/>
    <x v="3"/>
    <x v="2"/>
    <n v="4"/>
    <d v="1899-12-30T00:08:15"/>
    <n v="8.25"/>
  </r>
  <r>
    <x v="118"/>
    <x v="3"/>
    <x v="3"/>
    <n v="1"/>
    <d v="1899-12-30T00:01:29"/>
    <n v="1.4833333333333334"/>
  </r>
  <r>
    <x v="118"/>
    <x v="3"/>
    <x v="4"/>
    <n v="0"/>
    <d v="1899-12-30T00:00:00"/>
    <n v="0"/>
  </r>
  <r>
    <x v="118"/>
    <x v="3"/>
    <x v="5"/>
    <n v="7"/>
    <d v="1899-12-30T00:12:05"/>
    <n v="12.083333333333334"/>
  </r>
  <r>
    <x v="118"/>
    <x v="4"/>
    <x v="0"/>
    <n v="56"/>
    <d v="1899-12-30T01:21:30"/>
    <n v="81.5"/>
  </r>
  <r>
    <x v="118"/>
    <x v="4"/>
    <x v="1"/>
    <n v="32"/>
    <d v="1899-12-30T00:50:05"/>
    <n v="50.083333333333336"/>
  </r>
  <r>
    <x v="118"/>
    <x v="4"/>
    <x v="2"/>
    <n v="28"/>
    <d v="1899-12-30T00:35:31"/>
    <n v="35.516666666666666"/>
  </r>
  <r>
    <x v="118"/>
    <x v="4"/>
    <x v="3"/>
    <n v="11"/>
    <d v="1899-12-30T00:15:14"/>
    <n v="15.233333333333333"/>
  </r>
  <r>
    <x v="118"/>
    <x v="4"/>
    <x v="4"/>
    <n v="13"/>
    <d v="1899-12-30T00:20:30"/>
    <n v="20.5"/>
  </r>
  <r>
    <x v="118"/>
    <x v="4"/>
    <x v="5"/>
    <n v="20"/>
    <d v="1899-12-30T00:19:43"/>
    <n v="19.716666666666665"/>
  </r>
  <r>
    <x v="118"/>
    <x v="5"/>
    <x v="0"/>
    <n v="21"/>
    <d v="1899-12-30T00:23:21"/>
    <n v="23.35"/>
  </r>
  <r>
    <x v="118"/>
    <x v="5"/>
    <x v="1"/>
    <n v="23"/>
    <d v="1899-12-30T00:30:16"/>
    <n v="30.266666666666666"/>
  </r>
  <r>
    <x v="118"/>
    <x v="5"/>
    <x v="2"/>
    <n v="20"/>
    <d v="1899-12-30T00:21:02"/>
    <n v="21.033333333333335"/>
  </r>
  <r>
    <x v="118"/>
    <x v="5"/>
    <x v="3"/>
    <n v="7"/>
    <d v="1899-12-30T00:09:05"/>
    <n v="9.0833333333333339"/>
  </r>
  <r>
    <x v="118"/>
    <x v="5"/>
    <x v="4"/>
    <n v="0"/>
    <d v="1899-12-30T00:00:00"/>
    <n v="0"/>
  </r>
  <r>
    <x v="118"/>
    <x v="5"/>
    <x v="5"/>
    <n v="43"/>
    <d v="1899-12-30T00:51:24"/>
    <n v="51.4"/>
  </r>
  <r>
    <x v="118"/>
    <x v="6"/>
    <x v="0"/>
    <n v="25"/>
    <d v="1899-12-30T00:43:38"/>
    <n v="43.633333333333333"/>
  </r>
  <r>
    <x v="118"/>
    <x v="6"/>
    <x v="1"/>
    <n v="22"/>
    <d v="1899-12-30T00:37:50"/>
    <n v="37.833333333333336"/>
  </r>
  <r>
    <x v="118"/>
    <x v="6"/>
    <x v="2"/>
    <n v="20"/>
    <d v="1899-12-30T00:29:47"/>
    <n v="29.783333333333335"/>
  </r>
  <r>
    <x v="118"/>
    <x v="6"/>
    <x v="3"/>
    <n v="5"/>
    <d v="1899-12-30T00:07:57"/>
    <n v="7.95"/>
  </r>
  <r>
    <x v="118"/>
    <x v="6"/>
    <x v="4"/>
    <n v="10"/>
    <d v="1899-12-30T00:18:14"/>
    <n v="18.233333333333334"/>
  </r>
  <r>
    <x v="118"/>
    <x v="6"/>
    <x v="5"/>
    <n v="8"/>
    <d v="1899-12-30T00:07:59"/>
    <n v="7.9833333333333334"/>
  </r>
  <r>
    <x v="118"/>
    <x v="7"/>
    <x v="0"/>
    <n v="58"/>
    <d v="1899-12-30T01:32:10"/>
    <n v="92.166666666666671"/>
  </r>
  <r>
    <x v="118"/>
    <x v="7"/>
    <x v="1"/>
    <n v="84"/>
    <d v="1899-12-30T01:56:15"/>
    <n v="116.25"/>
  </r>
  <r>
    <x v="118"/>
    <x v="7"/>
    <x v="2"/>
    <n v="44"/>
    <d v="1899-12-30T00:56:32"/>
    <n v="56.533333333333331"/>
  </r>
  <r>
    <x v="118"/>
    <x v="7"/>
    <x v="3"/>
    <n v="48"/>
    <d v="1899-12-30T00:49:53"/>
    <n v="49.883333333333333"/>
  </r>
  <r>
    <x v="118"/>
    <x v="7"/>
    <x v="4"/>
    <n v="105"/>
    <d v="1899-12-30T02:59:09"/>
    <n v="179.15"/>
  </r>
  <r>
    <x v="118"/>
    <x v="7"/>
    <x v="5"/>
    <n v="42"/>
    <d v="1899-12-30T00:45:28"/>
    <n v="45.466666666666669"/>
  </r>
  <r>
    <x v="118"/>
    <x v="8"/>
    <x v="0"/>
    <n v="32"/>
    <d v="1899-12-30T00:52:56"/>
    <n v="52.93333333333333"/>
  </r>
  <r>
    <x v="118"/>
    <x v="8"/>
    <x v="1"/>
    <n v="39"/>
    <d v="1899-12-30T00:57:28"/>
    <n v="57.466666666666669"/>
  </r>
  <r>
    <x v="118"/>
    <x v="8"/>
    <x v="2"/>
    <n v="31"/>
    <d v="1899-12-30T00:56:01"/>
    <n v="56.016666666666666"/>
  </r>
  <r>
    <x v="118"/>
    <x v="8"/>
    <x v="3"/>
    <n v="19"/>
    <d v="1899-12-30T00:18:39"/>
    <n v="18.649999999999999"/>
  </r>
  <r>
    <x v="118"/>
    <x v="8"/>
    <x v="4"/>
    <n v="16"/>
    <d v="1899-12-30T00:25:11"/>
    <n v="25.183333333333334"/>
  </r>
  <r>
    <x v="118"/>
    <x v="8"/>
    <x v="5"/>
    <n v="31"/>
    <d v="1899-12-30T00:39:42"/>
    <n v="39.700000000000003"/>
  </r>
  <r>
    <x v="118"/>
    <x v="9"/>
    <x v="0"/>
    <n v="37"/>
    <d v="1899-12-30T01:01:42"/>
    <n v="61.7"/>
  </r>
  <r>
    <x v="118"/>
    <x v="9"/>
    <x v="1"/>
    <n v="57"/>
    <d v="1899-12-30T01:38:55"/>
    <n v="98.916666666666671"/>
  </r>
  <r>
    <x v="118"/>
    <x v="9"/>
    <x v="2"/>
    <n v="35"/>
    <d v="1899-12-30T00:47:42"/>
    <n v="47.7"/>
  </r>
  <r>
    <x v="118"/>
    <x v="9"/>
    <x v="3"/>
    <n v="29"/>
    <d v="1899-12-30T00:24:59"/>
    <n v="24.983333333333334"/>
  </r>
  <r>
    <x v="118"/>
    <x v="9"/>
    <x v="4"/>
    <n v="4"/>
    <d v="1899-12-30T00:07:58"/>
    <n v="7.9666666666666668"/>
  </r>
  <r>
    <x v="118"/>
    <x v="9"/>
    <x v="5"/>
    <n v="22"/>
    <d v="1899-12-30T00:28:50"/>
    <n v="28.833333333333332"/>
  </r>
  <r>
    <x v="118"/>
    <x v="10"/>
    <x v="0"/>
    <n v="16"/>
    <d v="1899-12-30T00:26:51"/>
    <n v="26.85"/>
  </r>
  <r>
    <x v="118"/>
    <x v="10"/>
    <x v="1"/>
    <n v="14"/>
    <d v="1899-12-30T00:32:23"/>
    <n v="32.383333333333333"/>
  </r>
  <r>
    <x v="118"/>
    <x v="10"/>
    <x v="2"/>
    <n v="18"/>
    <d v="1899-12-30T00:35:10"/>
    <n v="35.166666666666664"/>
  </r>
  <r>
    <x v="118"/>
    <x v="10"/>
    <x v="3"/>
    <n v="4"/>
    <d v="1899-12-30T00:04:52"/>
    <n v="4.8666666666666671"/>
  </r>
  <r>
    <x v="118"/>
    <x v="10"/>
    <x v="4"/>
    <n v="7"/>
    <d v="1899-12-30T00:11:17"/>
    <n v="11.283333333333333"/>
  </r>
  <r>
    <x v="118"/>
    <x v="10"/>
    <x v="5"/>
    <n v="20"/>
    <d v="1899-12-30T00:33:03"/>
    <n v="33.049999999999997"/>
  </r>
  <r>
    <x v="118"/>
    <x v="11"/>
    <x v="0"/>
    <n v="17"/>
    <d v="1899-12-30T00:34:59"/>
    <n v="34.983333333333334"/>
  </r>
  <r>
    <x v="118"/>
    <x v="11"/>
    <x v="1"/>
    <n v="22"/>
    <d v="1899-12-30T00:44:09"/>
    <n v="44.15"/>
  </r>
  <r>
    <x v="118"/>
    <x v="11"/>
    <x v="2"/>
    <n v="8"/>
    <d v="1899-12-30T00:13:50"/>
    <n v="13.833333333333334"/>
  </r>
  <r>
    <x v="118"/>
    <x v="11"/>
    <x v="3"/>
    <n v="7"/>
    <d v="1899-12-30T00:06:46"/>
    <n v="6.7666666666666666"/>
  </r>
  <r>
    <x v="118"/>
    <x v="11"/>
    <x v="4"/>
    <n v="5"/>
    <d v="1899-12-30T00:06:24"/>
    <n v="6.4"/>
  </r>
  <r>
    <x v="118"/>
    <x v="11"/>
    <x v="5"/>
    <n v="12"/>
    <d v="1899-12-30T00:25:48"/>
    <n v="25.8"/>
  </r>
  <r>
    <x v="118"/>
    <x v="12"/>
    <x v="0"/>
    <n v="84"/>
    <d v="1899-12-30T02:31:23"/>
    <n v="151.38333333333333"/>
  </r>
  <r>
    <x v="118"/>
    <x v="12"/>
    <x v="1"/>
    <n v="86"/>
    <d v="1899-12-30T03:14:02"/>
    <n v="194.03333333333333"/>
  </r>
  <r>
    <x v="118"/>
    <x v="12"/>
    <x v="2"/>
    <n v="59"/>
    <d v="1899-12-30T01:46:30"/>
    <n v="106.5"/>
  </r>
  <r>
    <x v="118"/>
    <x v="12"/>
    <x v="3"/>
    <n v="43"/>
    <d v="1899-12-30T00:37:24"/>
    <n v="37.4"/>
  </r>
  <r>
    <x v="118"/>
    <x v="12"/>
    <x v="4"/>
    <n v="33"/>
    <d v="1899-12-30T01:09:06"/>
    <n v="69.099999999999994"/>
  </r>
  <r>
    <x v="118"/>
    <x v="12"/>
    <x v="5"/>
    <n v="86"/>
    <d v="1899-12-30T02:20:01"/>
    <n v="140.01666666666668"/>
  </r>
  <r>
    <x v="118"/>
    <x v="13"/>
    <x v="0"/>
    <n v="38"/>
    <d v="1899-12-30T00:59:58"/>
    <n v="59.966666666666669"/>
  </r>
  <r>
    <x v="118"/>
    <x v="13"/>
    <x v="1"/>
    <n v="39"/>
    <d v="1899-12-30T00:48:44"/>
    <n v="48.733333333333334"/>
  </r>
  <r>
    <x v="118"/>
    <x v="13"/>
    <x v="2"/>
    <n v="26"/>
    <d v="1899-12-30T00:34:56"/>
    <n v="34.93333333333333"/>
  </r>
  <r>
    <x v="118"/>
    <x v="13"/>
    <x v="3"/>
    <n v="41"/>
    <d v="1899-12-30T00:44:33"/>
    <n v="44.55"/>
  </r>
  <r>
    <x v="118"/>
    <x v="13"/>
    <x v="4"/>
    <n v="0"/>
    <d v="1899-12-30T00:00:00"/>
    <n v="0"/>
  </r>
  <r>
    <x v="118"/>
    <x v="13"/>
    <x v="5"/>
    <n v="30"/>
    <d v="1899-12-30T00:33:43"/>
    <n v="33.716666666666669"/>
  </r>
  <r>
    <x v="119"/>
    <x v="0"/>
    <x v="0"/>
    <n v="74"/>
    <d v="1899-12-30T01:55:13"/>
    <n v="115.21666666666667"/>
  </r>
  <r>
    <x v="119"/>
    <x v="0"/>
    <x v="1"/>
    <n v="88"/>
    <d v="1899-12-30T02:13:39"/>
    <n v="133.65"/>
  </r>
  <r>
    <x v="119"/>
    <x v="0"/>
    <x v="2"/>
    <n v="57"/>
    <d v="1899-12-30T01:20:48"/>
    <n v="80.8"/>
  </r>
  <r>
    <x v="119"/>
    <x v="0"/>
    <x v="3"/>
    <n v="16"/>
    <d v="1899-12-30T00:18:59"/>
    <n v="18.983333333333334"/>
  </r>
  <r>
    <x v="119"/>
    <x v="0"/>
    <x v="4"/>
    <n v="16"/>
    <d v="1899-12-30T00:22:29"/>
    <n v="22.483333333333334"/>
  </r>
  <r>
    <x v="119"/>
    <x v="0"/>
    <x v="5"/>
    <n v="56"/>
    <d v="1899-12-30T01:09:07"/>
    <n v="69.11666666666666"/>
  </r>
  <r>
    <x v="119"/>
    <x v="1"/>
    <x v="0"/>
    <n v="80"/>
    <d v="1899-12-30T02:41:51"/>
    <n v="161.85"/>
  </r>
  <r>
    <x v="119"/>
    <x v="1"/>
    <x v="1"/>
    <n v="55"/>
    <d v="1899-12-30T02:09:23"/>
    <n v="129.38333333333333"/>
  </r>
  <r>
    <x v="119"/>
    <x v="1"/>
    <x v="2"/>
    <n v="44"/>
    <d v="1899-12-30T01:22:24"/>
    <n v="82.4"/>
  </r>
  <r>
    <x v="119"/>
    <x v="1"/>
    <x v="3"/>
    <n v="28"/>
    <d v="1899-12-30T00:38:39"/>
    <n v="38.65"/>
  </r>
  <r>
    <x v="119"/>
    <x v="1"/>
    <x v="4"/>
    <n v="25"/>
    <d v="1899-12-30T01:02:25"/>
    <n v="62.416666666666664"/>
  </r>
  <r>
    <x v="119"/>
    <x v="1"/>
    <x v="5"/>
    <n v="74"/>
    <d v="1899-12-30T02:14:39"/>
    <n v="134.65"/>
  </r>
  <r>
    <x v="119"/>
    <x v="2"/>
    <x v="0"/>
    <n v="79"/>
    <d v="1899-12-30T02:27:28"/>
    <n v="147.46666666666667"/>
  </r>
  <r>
    <x v="119"/>
    <x v="2"/>
    <x v="1"/>
    <n v="86"/>
    <d v="1899-12-30T03:27:50"/>
    <n v="207.83333333333334"/>
  </r>
  <r>
    <x v="119"/>
    <x v="2"/>
    <x v="2"/>
    <n v="61"/>
    <d v="1899-12-30T01:47:06"/>
    <n v="107.1"/>
  </r>
  <r>
    <x v="119"/>
    <x v="2"/>
    <x v="3"/>
    <n v="22"/>
    <d v="1899-12-30T00:21:30"/>
    <n v="21.5"/>
  </r>
  <r>
    <x v="119"/>
    <x v="2"/>
    <x v="4"/>
    <n v="24"/>
    <d v="1899-12-30T00:54:00"/>
    <n v="54"/>
  </r>
  <r>
    <x v="119"/>
    <x v="2"/>
    <x v="5"/>
    <n v="44"/>
    <d v="1899-12-30T01:08:49"/>
    <n v="68.816666666666663"/>
  </r>
  <r>
    <x v="119"/>
    <x v="3"/>
    <x v="0"/>
    <n v="11"/>
    <d v="1899-12-30T00:29:06"/>
    <n v="29.1"/>
  </r>
  <r>
    <x v="119"/>
    <x v="3"/>
    <x v="1"/>
    <n v="8"/>
    <d v="1899-12-30T00:22:18"/>
    <n v="22.3"/>
  </r>
  <r>
    <x v="119"/>
    <x v="3"/>
    <x v="2"/>
    <n v="6"/>
    <d v="1899-12-30T00:14:41"/>
    <n v="14.683333333333334"/>
  </r>
  <r>
    <x v="119"/>
    <x v="3"/>
    <x v="3"/>
    <n v="5"/>
    <d v="1899-12-30T00:05:00"/>
    <n v="5"/>
  </r>
  <r>
    <x v="119"/>
    <x v="3"/>
    <x v="4"/>
    <n v="1"/>
    <d v="1899-12-30T00:03:14"/>
    <n v="3.2333333333333334"/>
  </r>
  <r>
    <x v="119"/>
    <x v="3"/>
    <x v="5"/>
    <n v="5"/>
    <d v="1899-12-30T00:07:41"/>
    <n v="7.6833333333333336"/>
  </r>
  <r>
    <x v="119"/>
    <x v="4"/>
    <x v="0"/>
    <n v="33"/>
    <d v="1899-12-30T01:00:59"/>
    <n v="60.983333333333334"/>
  </r>
  <r>
    <x v="119"/>
    <x v="4"/>
    <x v="1"/>
    <n v="43"/>
    <d v="1899-12-30T01:02:32"/>
    <n v="62.533333333333331"/>
  </r>
  <r>
    <x v="119"/>
    <x v="4"/>
    <x v="2"/>
    <n v="24"/>
    <d v="1899-12-30T00:34:37"/>
    <n v="34.616666666666667"/>
  </r>
  <r>
    <x v="119"/>
    <x v="4"/>
    <x v="3"/>
    <n v="10"/>
    <d v="1899-12-30T00:06:26"/>
    <n v="6.4333333333333336"/>
  </r>
  <r>
    <x v="119"/>
    <x v="4"/>
    <x v="4"/>
    <n v="12"/>
    <d v="1899-12-30T00:28:33"/>
    <n v="28.55"/>
  </r>
  <r>
    <x v="119"/>
    <x v="4"/>
    <x v="5"/>
    <n v="17"/>
    <d v="1899-12-30T00:18:24"/>
    <n v="18.399999999999999"/>
  </r>
  <r>
    <x v="119"/>
    <x v="5"/>
    <x v="0"/>
    <n v="25"/>
    <d v="1899-12-30T00:39:41"/>
    <n v="39.68333333333333"/>
  </r>
  <r>
    <x v="119"/>
    <x v="5"/>
    <x v="1"/>
    <n v="31"/>
    <d v="1899-12-30T00:38:03"/>
    <n v="38.049999999999997"/>
  </r>
  <r>
    <x v="119"/>
    <x v="5"/>
    <x v="2"/>
    <n v="29"/>
    <d v="1899-12-30T00:32:32"/>
    <n v="32.533333333333331"/>
  </r>
  <r>
    <x v="119"/>
    <x v="5"/>
    <x v="3"/>
    <n v="17"/>
    <d v="1899-12-30T00:18:33"/>
    <n v="18.55"/>
  </r>
  <r>
    <x v="119"/>
    <x v="5"/>
    <x v="4"/>
    <n v="10"/>
    <d v="1899-12-30T00:11:40"/>
    <n v="11.666666666666666"/>
  </r>
  <r>
    <x v="119"/>
    <x v="5"/>
    <x v="5"/>
    <n v="47"/>
    <d v="1899-12-30T00:55:48"/>
    <n v="55.8"/>
  </r>
  <r>
    <x v="119"/>
    <x v="6"/>
    <x v="0"/>
    <n v="6"/>
    <d v="1899-12-30T00:06:51"/>
    <n v="6.85"/>
  </r>
  <r>
    <x v="119"/>
    <x v="6"/>
    <x v="1"/>
    <n v="20"/>
    <d v="1899-12-30T00:44:04"/>
    <n v="44.06666666666667"/>
  </r>
  <r>
    <x v="119"/>
    <x v="6"/>
    <x v="2"/>
    <n v="11"/>
    <d v="1899-12-30T00:17:19"/>
    <n v="17.316666666666666"/>
  </r>
  <r>
    <x v="119"/>
    <x v="6"/>
    <x v="3"/>
    <n v="2"/>
    <d v="1899-12-30T00:01:37"/>
    <n v="1.6166666666666667"/>
  </r>
  <r>
    <x v="119"/>
    <x v="6"/>
    <x v="4"/>
    <n v="6"/>
    <d v="1899-12-30T00:13:20"/>
    <n v="13.333333333333334"/>
  </r>
  <r>
    <x v="119"/>
    <x v="6"/>
    <x v="5"/>
    <n v="4"/>
    <d v="1899-12-30T00:05:18"/>
    <n v="5.3"/>
  </r>
  <r>
    <x v="119"/>
    <x v="7"/>
    <x v="0"/>
    <n v="60"/>
    <d v="1899-12-30T01:38:24"/>
    <n v="98.4"/>
  </r>
  <r>
    <x v="119"/>
    <x v="7"/>
    <x v="1"/>
    <n v="91"/>
    <d v="1899-12-30T02:00:55"/>
    <n v="120.91666666666667"/>
  </r>
  <r>
    <x v="119"/>
    <x v="7"/>
    <x v="2"/>
    <n v="35"/>
    <d v="1899-12-30T00:46:05"/>
    <n v="46.083333333333336"/>
  </r>
  <r>
    <x v="119"/>
    <x v="7"/>
    <x v="3"/>
    <n v="51"/>
    <d v="1899-12-30T00:53:03"/>
    <n v="53.05"/>
  </r>
  <r>
    <x v="119"/>
    <x v="7"/>
    <x v="4"/>
    <n v="128"/>
    <d v="1899-12-30T03:40:58"/>
    <n v="220.96666666666667"/>
  </r>
  <r>
    <x v="119"/>
    <x v="7"/>
    <x v="5"/>
    <n v="37"/>
    <d v="1899-12-30T00:38:44"/>
    <n v="38.733333333333334"/>
  </r>
  <r>
    <x v="119"/>
    <x v="8"/>
    <x v="0"/>
    <n v="13"/>
    <d v="1899-12-30T00:17:33"/>
    <n v="17.55"/>
  </r>
  <r>
    <x v="119"/>
    <x v="8"/>
    <x v="1"/>
    <n v="16"/>
    <d v="1899-12-30T00:22:48"/>
    <n v="22.8"/>
  </r>
  <r>
    <x v="119"/>
    <x v="8"/>
    <x v="2"/>
    <n v="11"/>
    <d v="1899-12-30T00:15:28"/>
    <n v="15.466666666666667"/>
  </r>
  <r>
    <x v="119"/>
    <x v="8"/>
    <x v="3"/>
    <n v="11"/>
    <d v="1899-12-30T00:10:32"/>
    <n v="10.533333333333333"/>
  </r>
  <r>
    <x v="119"/>
    <x v="8"/>
    <x v="4"/>
    <n v="14"/>
    <d v="1899-12-30T00:22:38"/>
    <n v="22.633333333333333"/>
  </r>
  <r>
    <x v="119"/>
    <x v="8"/>
    <x v="5"/>
    <n v="32"/>
    <d v="1899-12-30T00:39:56"/>
    <n v="39.93333333333333"/>
  </r>
  <r>
    <x v="119"/>
    <x v="9"/>
    <x v="0"/>
    <n v="49"/>
    <d v="1899-12-30T01:03:07"/>
    <n v="63.116666666666667"/>
  </r>
  <r>
    <x v="119"/>
    <x v="9"/>
    <x v="1"/>
    <n v="50"/>
    <d v="1899-12-30T01:58:34"/>
    <n v="118.56666666666666"/>
  </r>
  <r>
    <x v="119"/>
    <x v="9"/>
    <x v="2"/>
    <n v="39"/>
    <d v="1899-12-30T01:02:58"/>
    <n v="62.966666666666669"/>
  </r>
  <r>
    <x v="119"/>
    <x v="9"/>
    <x v="3"/>
    <n v="23"/>
    <d v="1899-12-30T00:22:50"/>
    <n v="22.833333333333332"/>
  </r>
  <r>
    <x v="119"/>
    <x v="9"/>
    <x v="4"/>
    <n v="7"/>
    <d v="1899-12-30T00:11:16"/>
    <n v="11.266666666666667"/>
  </r>
  <r>
    <x v="119"/>
    <x v="9"/>
    <x v="5"/>
    <n v="20"/>
    <d v="1899-12-30T00:27:27"/>
    <n v="27.45"/>
  </r>
  <r>
    <x v="119"/>
    <x v="10"/>
    <x v="0"/>
    <n v="25"/>
    <d v="1899-12-30T00:45:34"/>
    <n v="45.56666666666667"/>
  </r>
  <r>
    <x v="119"/>
    <x v="10"/>
    <x v="1"/>
    <n v="30"/>
    <d v="1899-12-30T00:57:31"/>
    <n v="57.516666666666666"/>
  </r>
  <r>
    <x v="119"/>
    <x v="10"/>
    <x v="2"/>
    <n v="26"/>
    <d v="1899-12-30T00:46:27"/>
    <n v="46.45"/>
  </r>
  <r>
    <x v="119"/>
    <x v="10"/>
    <x v="3"/>
    <n v="7"/>
    <d v="1899-12-30T00:05:04"/>
    <n v="5.0666666666666664"/>
  </r>
  <r>
    <x v="119"/>
    <x v="10"/>
    <x v="4"/>
    <n v="10"/>
    <d v="1899-12-30T00:19:16"/>
    <n v="19.266666666666666"/>
  </r>
  <r>
    <x v="119"/>
    <x v="10"/>
    <x v="5"/>
    <n v="20"/>
    <d v="1899-12-30T00:30:47"/>
    <n v="30.783333333333335"/>
  </r>
  <r>
    <x v="119"/>
    <x v="11"/>
    <x v="0"/>
    <n v="11"/>
    <d v="1899-12-30T00:21:23"/>
    <n v="21.383333333333333"/>
  </r>
  <r>
    <x v="119"/>
    <x v="11"/>
    <x v="1"/>
    <n v="10"/>
    <d v="1899-12-30T00:14:26"/>
    <n v="14.433333333333334"/>
  </r>
  <r>
    <x v="119"/>
    <x v="11"/>
    <x v="2"/>
    <n v="6"/>
    <d v="1899-12-30T00:08:33"/>
    <n v="8.5500000000000007"/>
  </r>
  <r>
    <x v="119"/>
    <x v="11"/>
    <x v="3"/>
    <n v="7"/>
    <d v="1899-12-30T00:07:46"/>
    <n v="7.7666666666666666"/>
  </r>
  <r>
    <x v="119"/>
    <x v="11"/>
    <x v="4"/>
    <n v="3"/>
    <d v="1899-12-30T00:05:00"/>
    <n v="5"/>
  </r>
  <r>
    <x v="119"/>
    <x v="11"/>
    <x v="5"/>
    <n v="6"/>
    <d v="1899-12-30T00:08:36"/>
    <n v="8.6"/>
  </r>
  <r>
    <x v="119"/>
    <x v="12"/>
    <x v="0"/>
    <n v="141"/>
    <d v="1899-12-30T04:03:30"/>
    <n v="243.5"/>
  </r>
  <r>
    <x v="119"/>
    <x v="12"/>
    <x v="1"/>
    <n v="182"/>
    <d v="1899-12-30T06:02:57"/>
    <n v="362.95"/>
  </r>
  <r>
    <x v="119"/>
    <x v="12"/>
    <x v="2"/>
    <n v="118"/>
    <d v="1899-12-30T03:20:41"/>
    <n v="200.68333333333334"/>
  </r>
  <r>
    <x v="119"/>
    <x v="12"/>
    <x v="3"/>
    <n v="65"/>
    <d v="1899-12-30T01:01:41"/>
    <n v="61.68333333333333"/>
  </r>
  <r>
    <x v="119"/>
    <x v="12"/>
    <x v="4"/>
    <n v="46"/>
    <d v="1899-12-30T01:29:51"/>
    <n v="89.85"/>
  </r>
  <r>
    <x v="119"/>
    <x v="12"/>
    <x v="5"/>
    <n v="130"/>
    <d v="1899-12-30T03:11:52"/>
    <n v="191.86666666666667"/>
  </r>
  <r>
    <x v="119"/>
    <x v="13"/>
    <x v="0"/>
    <n v="31"/>
    <d v="1899-12-30T00:50:13"/>
    <n v="50.216666666666669"/>
  </r>
  <r>
    <x v="119"/>
    <x v="13"/>
    <x v="1"/>
    <n v="27"/>
    <d v="1899-12-30T00:25:31"/>
    <n v="25.516666666666666"/>
  </r>
  <r>
    <x v="119"/>
    <x v="13"/>
    <x v="2"/>
    <n v="17"/>
    <d v="1899-12-30T00:16:57"/>
    <n v="16.95"/>
  </r>
  <r>
    <x v="119"/>
    <x v="13"/>
    <x v="3"/>
    <n v="43"/>
    <d v="1899-12-30T00:48:12"/>
    <n v="48.2"/>
  </r>
  <r>
    <x v="119"/>
    <x v="13"/>
    <x v="4"/>
    <n v="0"/>
    <d v="1899-12-30T00:00:00"/>
    <n v="0"/>
  </r>
  <r>
    <x v="119"/>
    <x v="13"/>
    <x v="5"/>
    <n v="16"/>
    <d v="1899-12-30T00:19:01"/>
    <n v="19.016666666666666"/>
  </r>
  <r>
    <x v="120"/>
    <x v="0"/>
    <x v="0"/>
    <n v="29"/>
    <d v="1899-12-30T00:34:10"/>
    <n v="34.166666666666664"/>
  </r>
  <r>
    <x v="120"/>
    <x v="0"/>
    <x v="1"/>
    <n v="27"/>
    <d v="1899-12-30T00:27:58"/>
    <n v="27.966666666666665"/>
  </r>
  <r>
    <x v="120"/>
    <x v="0"/>
    <x v="2"/>
    <n v="35"/>
    <d v="1899-12-30T00:37:20"/>
    <n v="37.333333333333336"/>
  </r>
  <r>
    <x v="120"/>
    <x v="0"/>
    <x v="3"/>
    <n v="7"/>
    <d v="1899-12-30T00:05:28"/>
    <n v="5.4666666666666668"/>
  </r>
  <r>
    <x v="120"/>
    <x v="0"/>
    <x v="4"/>
    <n v="5"/>
    <d v="1899-12-30T00:04:29"/>
    <n v="4.4833333333333334"/>
  </r>
  <r>
    <x v="120"/>
    <x v="0"/>
    <x v="5"/>
    <n v="34"/>
    <d v="1899-12-30T00:36:43"/>
    <n v="36.716666666666669"/>
  </r>
  <r>
    <x v="120"/>
    <x v="1"/>
    <x v="0"/>
    <n v="41"/>
    <d v="1899-12-30T01:23:42"/>
    <n v="83.7"/>
  </r>
  <r>
    <x v="120"/>
    <x v="1"/>
    <x v="1"/>
    <n v="34"/>
    <d v="1899-12-30T01:19:25"/>
    <n v="79.416666666666671"/>
  </r>
  <r>
    <x v="120"/>
    <x v="1"/>
    <x v="2"/>
    <n v="18"/>
    <d v="1899-12-30T00:33:33"/>
    <n v="33.549999999999997"/>
  </r>
  <r>
    <x v="120"/>
    <x v="1"/>
    <x v="3"/>
    <n v="26"/>
    <d v="1899-12-30T00:32:27"/>
    <n v="32.450000000000003"/>
  </r>
  <r>
    <x v="120"/>
    <x v="1"/>
    <x v="4"/>
    <n v="25"/>
    <d v="1899-12-30T00:49:58"/>
    <n v="49.966666666666669"/>
  </r>
  <r>
    <x v="120"/>
    <x v="1"/>
    <x v="5"/>
    <n v="47"/>
    <d v="1899-12-30T01:15:51"/>
    <n v="75.849999999999994"/>
  </r>
  <r>
    <x v="120"/>
    <x v="2"/>
    <x v="0"/>
    <n v="39"/>
    <d v="1899-12-30T01:18:27"/>
    <n v="78.45"/>
  </r>
  <r>
    <x v="120"/>
    <x v="2"/>
    <x v="1"/>
    <n v="48"/>
    <d v="1899-12-30T01:59:18"/>
    <n v="119.3"/>
  </r>
  <r>
    <x v="120"/>
    <x v="2"/>
    <x v="2"/>
    <n v="23"/>
    <d v="1899-12-30T00:39:49"/>
    <n v="39.81666666666667"/>
  </r>
  <r>
    <x v="120"/>
    <x v="2"/>
    <x v="3"/>
    <n v="13"/>
    <d v="1899-12-30T00:12:03"/>
    <n v="12.05"/>
  </r>
  <r>
    <x v="120"/>
    <x v="2"/>
    <x v="4"/>
    <n v="8"/>
    <d v="1899-12-30T00:20:00"/>
    <n v="20"/>
  </r>
  <r>
    <x v="120"/>
    <x v="2"/>
    <x v="5"/>
    <n v="16"/>
    <d v="1899-12-30T00:25:57"/>
    <n v="25.95"/>
  </r>
  <r>
    <x v="120"/>
    <x v="3"/>
    <x v="0"/>
    <n v="8"/>
    <d v="1899-12-30T00:14:38"/>
    <n v="14.633333333333333"/>
  </r>
  <r>
    <x v="120"/>
    <x v="3"/>
    <x v="1"/>
    <n v="10"/>
    <d v="1899-12-30T00:22:58"/>
    <n v="22.966666666666665"/>
  </r>
  <r>
    <x v="120"/>
    <x v="3"/>
    <x v="2"/>
    <n v="6"/>
    <d v="1899-12-30T00:11:04"/>
    <n v="11.066666666666666"/>
  </r>
  <r>
    <x v="120"/>
    <x v="3"/>
    <x v="3"/>
    <n v="2"/>
    <d v="1899-12-30T00:01:44"/>
    <n v="1.7333333333333334"/>
  </r>
  <r>
    <x v="120"/>
    <x v="3"/>
    <x v="4"/>
    <n v="3"/>
    <d v="1899-12-30T00:07:00"/>
    <n v="7"/>
  </r>
  <r>
    <x v="120"/>
    <x v="3"/>
    <x v="5"/>
    <n v="8"/>
    <d v="1899-12-30T00:13:17"/>
    <n v="13.283333333333333"/>
  </r>
  <r>
    <x v="120"/>
    <x v="4"/>
    <x v="0"/>
    <n v="21"/>
    <d v="1899-12-30T00:41:04"/>
    <n v="41.06666666666667"/>
  </r>
  <r>
    <x v="120"/>
    <x v="4"/>
    <x v="1"/>
    <n v="15"/>
    <d v="1899-12-30T00:21:43"/>
    <n v="21.716666666666665"/>
  </r>
  <r>
    <x v="120"/>
    <x v="4"/>
    <x v="2"/>
    <n v="8"/>
    <d v="1899-12-30T00:15:29"/>
    <n v="15.483333333333333"/>
  </r>
  <r>
    <x v="120"/>
    <x v="4"/>
    <x v="3"/>
    <n v="4"/>
    <d v="1899-12-30T00:02:54"/>
    <n v="2.9"/>
  </r>
  <r>
    <x v="120"/>
    <x v="4"/>
    <x v="4"/>
    <n v="1"/>
    <d v="1899-12-30T00:02:37"/>
    <n v="2.6166666666666667"/>
  </r>
  <r>
    <x v="120"/>
    <x v="4"/>
    <x v="5"/>
    <n v="8"/>
    <d v="1899-12-30T00:13:31"/>
    <n v="13.516666666666667"/>
  </r>
  <r>
    <x v="120"/>
    <x v="5"/>
    <x v="0"/>
    <n v="6"/>
    <d v="1899-12-30T00:07:09"/>
    <n v="7.15"/>
  </r>
  <r>
    <x v="120"/>
    <x v="5"/>
    <x v="1"/>
    <n v="6"/>
    <d v="1899-12-30T00:07:16"/>
    <n v="7.2666666666666666"/>
  </r>
  <r>
    <x v="120"/>
    <x v="5"/>
    <x v="2"/>
    <n v="10"/>
    <d v="1899-12-30T00:09:02"/>
    <n v="9.0333333333333332"/>
  </r>
  <r>
    <x v="120"/>
    <x v="5"/>
    <x v="3"/>
    <n v="4"/>
    <d v="1899-12-30T00:04:04"/>
    <n v="4.0666666666666664"/>
  </r>
  <r>
    <x v="120"/>
    <x v="5"/>
    <x v="4"/>
    <n v="0"/>
    <d v="1899-12-30T00:00:00"/>
    <n v="0"/>
  </r>
  <r>
    <x v="120"/>
    <x v="5"/>
    <x v="5"/>
    <n v="6"/>
    <d v="1899-12-30T00:07:53"/>
    <n v="7.8833333333333329"/>
  </r>
  <r>
    <x v="120"/>
    <x v="6"/>
    <x v="0"/>
    <n v="16"/>
    <d v="1899-12-30T00:31:58"/>
    <n v="31.966666666666665"/>
  </r>
  <r>
    <x v="120"/>
    <x v="6"/>
    <x v="1"/>
    <n v="14"/>
    <d v="1899-12-30T00:31:00"/>
    <n v="31"/>
  </r>
  <r>
    <x v="120"/>
    <x v="6"/>
    <x v="2"/>
    <n v="13"/>
    <d v="1899-12-30T00:21:43"/>
    <n v="21.716666666666665"/>
  </r>
  <r>
    <x v="120"/>
    <x v="6"/>
    <x v="3"/>
    <n v="10"/>
    <d v="1899-12-30T00:10:14"/>
    <n v="10.233333333333333"/>
  </r>
  <r>
    <x v="120"/>
    <x v="6"/>
    <x v="4"/>
    <n v="11"/>
    <d v="1899-12-30T00:22:45"/>
    <n v="22.75"/>
  </r>
  <r>
    <x v="120"/>
    <x v="6"/>
    <x v="5"/>
    <n v="13"/>
    <d v="1899-12-30T00:14:50"/>
    <n v="14.833333333333334"/>
  </r>
  <r>
    <x v="120"/>
    <x v="7"/>
    <x v="0"/>
    <n v="65"/>
    <d v="1899-12-30T01:47:14"/>
    <n v="107.23333333333333"/>
  </r>
  <r>
    <x v="120"/>
    <x v="7"/>
    <x v="1"/>
    <n v="98"/>
    <d v="1899-12-30T02:04:40"/>
    <n v="124.66666666666667"/>
  </r>
  <r>
    <x v="120"/>
    <x v="7"/>
    <x v="2"/>
    <n v="51"/>
    <d v="1899-12-30T01:01:41"/>
    <n v="61.68333333333333"/>
  </r>
  <r>
    <x v="120"/>
    <x v="7"/>
    <x v="3"/>
    <n v="55"/>
    <d v="1899-12-30T00:55:09"/>
    <n v="55.15"/>
  </r>
  <r>
    <x v="120"/>
    <x v="7"/>
    <x v="4"/>
    <n v="108"/>
    <d v="1899-12-30T02:49:51"/>
    <n v="169.85"/>
  </r>
  <r>
    <x v="120"/>
    <x v="7"/>
    <x v="5"/>
    <n v="44"/>
    <d v="1899-12-30T00:52:22"/>
    <n v="52.366666666666667"/>
  </r>
  <r>
    <x v="120"/>
    <x v="8"/>
    <x v="0"/>
    <n v="13"/>
    <d v="1899-12-30T00:20:31"/>
    <n v="20.516666666666666"/>
  </r>
  <r>
    <x v="120"/>
    <x v="8"/>
    <x v="1"/>
    <n v="8"/>
    <d v="1899-12-30T00:14:32"/>
    <n v="14.533333333333333"/>
  </r>
  <r>
    <x v="120"/>
    <x v="8"/>
    <x v="2"/>
    <n v="11"/>
    <d v="1899-12-30T00:18:46"/>
    <n v="18.766666666666666"/>
  </r>
  <r>
    <x v="120"/>
    <x v="8"/>
    <x v="3"/>
    <n v="13"/>
    <d v="1899-12-30T00:15:24"/>
    <n v="15.4"/>
  </r>
  <r>
    <x v="120"/>
    <x v="8"/>
    <x v="4"/>
    <n v="6"/>
    <d v="1899-12-30T00:09:59"/>
    <n v="9.9833333333333325"/>
  </r>
  <r>
    <x v="120"/>
    <x v="8"/>
    <x v="5"/>
    <n v="20"/>
    <d v="1899-12-30T00:27:42"/>
    <n v="27.7"/>
  </r>
  <r>
    <x v="120"/>
    <x v="9"/>
    <x v="0"/>
    <n v="223"/>
    <d v="1899-12-30T07:26:07"/>
    <n v="446.11666666666667"/>
  </r>
  <r>
    <x v="120"/>
    <x v="9"/>
    <x v="1"/>
    <n v="262"/>
    <d v="1899-12-30T09:10:05"/>
    <n v="550.08333333333337"/>
  </r>
  <r>
    <x v="120"/>
    <x v="9"/>
    <x v="2"/>
    <n v="144"/>
    <d v="1899-12-30T03:36:02"/>
    <n v="216.03333333333333"/>
  </r>
  <r>
    <x v="120"/>
    <x v="9"/>
    <x v="3"/>
    <n v="79"/>
    <d v="1899-12-30T01:20:42"/>
    <n v="80.7"/>
  </r>
  <r>
    <x v="120"/>
    <x v="9"/>
    <x v="4"/>
    <n v="58"/>
    <d v="1899-12-30T01:34:55"/>
    <n v="94.916666666666671"/>
  </r>
  <r>
    <x v="120"/>
    <x v="9"/>
    <x v="5"/>
    <n v="191"/>
    <d v="1899-12-30T04:37:43"/>
    <n v="277.71666666666664"/>
  </r>
  <r>
    <x v="120"/>
    <x v="10"/>
    <x v="0"/>
    <n v="18"/>
    <d v="1899-12-30T00:32:11"/>
    <n v="32.18333333333333"/>
  </r>
  <r>
    <x v="120"/>
    <x v="10"/>
    <x v="1"/>
    <n v="17"/>
    <d v="1899-12-30T00:32:13"/>
    <n v="32.216666666666669"/>
  </r>
  <r>
    <x v="120"/>
    <x v="10"/>
    <x v="2"/>
    <n v="13"/>
    <d v="1899-12-30T00:21:00"/>
    <n v="21"/>
  </r>
  <r>
    <x v="120"/>
    <x v="10"/>
    <x v="3"/>
    <n v="5"/>
    <d v="1899-12-30T00:03:23"/>
    <n v="3.3833333333333333"/>
  </r>
  <r>
    <x v="120"/>
    <x v="10"/>
    <x v="4"/>
    <n v="2"/>
    <d v="1899-12-30T00:03:38"/>
    <n v="3.6333333333333333"/>
  </r>
  <r>
    <x v="120"/>
    <x v="10"/>
    <x v="5"/>
    <n v="20"/>
    <d v="1899-12-30T00:24:52"/>
    <n v="24.866666666666667"/>
  </r>
  <r>
    <x v="120"/>
    <x v="11"/>
    <x v="0"/>
    <n v="10"/>
    <d v="1899-12-30T00:21:40"/>
    <n v="21.666666666666668"/>
  </r>
  <r>
    <x v="120"/>
    <x v="11"/>
    <x v="1"/>
    <n v="4"/>
    <d v="1899-12-30T00:08:59"/>
    <n v="8.9833333333333325"/>
  </r>
  <r>
    <x v="120"/>
    <x v="11"/>
    <x v="2"/>
    <n v="3"/>
    <d v="1899-12-30T00:04:01"/>
    <n v="4.0166666666666666"/>
  </r>
  <r>
    <x v="120"/>
    <x v="11"/>
    <x v="3"/>
    <n v="3"/>
    <d v="1899-12-30T00:04:12"/>
    <n v="4.2"/>
  </r>
  <r>
    <x v="120"/>
    <x v="11"/>
    <x v="4"/>
    <n v="0"/>
    <d v="1899-12-30T00:00:00"/>
    <n v="0"/>
  </r>
  <r>
    <x v="120"/>
    <x v="11"/>
    <x v="5"/>
    <n v="5"/>
    <d v="1899-12-30T00:07:11"/>
    <n v="7.1833333333333336"/>
  </r>
  <r>
    <x v="120"/>
    <x v="12"/>
    <x v="0"/>
    <n v="72"/>
    <d v="1899-12-30T02:12:31"/>
    <n v="132.51666666666668"/>
  </r>
  <r>
    <x v="120"/>
    <x v="12"/>
    <x v="1"/>
    <n v="91"/>
    <d v="1899-12-30T02:40:56"/>
    <n v="160.93333333333334"/>
  </r>
  <r>
    <x v="120"/>
    <x v="12"/>
    <x v="2"/>
    <n v="67"/>
    <d v="1899-12-30T01:46:54"/>
    <n v="106.9"/>
  </r>
  <r>
    <x v="120"/>
    <x v="12"/>
    <x v="3"/>
    <n v="27"/>
    <d v="1899-12-30T00:25:42"/>
    <n v="25.7"/>
  </r>
  <r>
    <x v="120"/>
    <x v="12"/>
    <x v="4"/>
    <n v="32"/>
    <d v="1899-12-30T01:10:41"/>
    <n v="70.683333333333337"/>
  </r>
  <r>
    <x v="120"/>
    <x v="12"/>
    <x v="5"/>
    <n v="79"/>
    <d v="1899-12-30T01:59:35"/>
    <n v="119.58333333333333"/>
  </r>
  <r>
    <x v="120"/>
    <x v="13"/>
    <x v="0"/>
    <n v="25"/>
    <d v="1899-12-30T00:30:54"/>
    <n v="30.9"/>
  </r>
  <r>
    <x v="120"/>
    <x v="13"/>
    <x v="1"/>
    <n v="23"/>
    <d v="1899-12-30T00:18:05"/>
    <n v="18.083333333333332"/>
  </r>
  <r>
    <x v="120"/>
    <x v="13"/>
    <x v="2"/>
    <n v="13"/>
    <d v="1899-12-30T00:09:33"/>
    <n v="9.5500000000000007"/>
  </r>
  <r>
    <x v="120"/>
    <x v="13"/>
    <x v="3"/>
    <n v="26"/>
    <d v="1899-12-30T00:30:42"/>
    <n v="30.7"/>
  </r>
  <r>
    <x v="120"/>
    <x v="13"/>
    <x v="4"/>
    <n v="0"/>
    <d v="1899-12-30T00:00:00"/>
    <n v="0"/>
  </r>
  <r>
    <x v="120"/>
    <x v="13"/>
    <x v="5"/>
    <n v="10"/>
    <d v="1899-12-30T00:07:39"/>
    <n v="7.65"/>
  </r>
  <r>
    <x v="121"/>
    <x v="0"/>
    <x v="0"/>
    <n v="48"/>
    <d v="1899-12-30T01:07:20"/>
    <n v="67.333333333333329"/>
  </r>
  <r>
    <x v="121"/>
    <x v="0"/>
    <x v="1"/>
    <n v="38"/>
    <d v="1899-12-30T00:50:52"/>
    <n v="50.866666666666667"/>
  </r>
  <r>
    <x v="121"/>
    <x v="0"/>
    <x v="2"/>
    <n v="37"/>
    <d v="1899-12-30T00:46:22"/>
    <n v="46.366666666666667"/>
  </r>
  <r>
    <x v="121"/>
    <x v="0"/>
    <x v="3"/>
    <n v="4"/>
    <d v="1899-12-30T00:02:44"/>
    <n v="2.7333333333333334"/>
  </r>
  <r>
    <x v="121"/>
    <x v="0"/>
    <x v="4"/>
    <n v="3"/>
    <d v="1899-12-30T00:03:38"/>
    <n v="3.6333333333333333"/>
  </r>
  <r>
    <x v="121"/>
    <x v="0"/>
    <x v="5"/>
    <n v="26"/>
    <d v="1899-12-30T00:34:04"/>
    <n v="34.06666666666667"/>
  </r>
  <r>
    <x v="121"/>
    <x v="1"/>
    <x v="0"/>
    <n v="54"/>
    <d v="1899-12-30T01:45:35"/>
    <n v="105.58333333333333"/>
  </r>
  <r>
    <x v="121"/>
    <x v="1"/>
    <x v="1"/>
    <n v="37"/>
    <d v="1899-12-30T01:17:00"/>
    <n v="77"/>
  </r>
  <r>
    <x v="121"/>
    <x v="1"/>
    <x v="2"/>
    <n v="23"/>
    <d v="1899-12-30T00:42:18"/>
    <n v="42.3"/>
  </r>
  <r>
    <x v="121"/>
    <x v="1"/>
    <x v="3"/>
    <n v="27"/>
    <d v="1899-12-30T00:33:18"/>
    <n v="33.299999999999997"/>
  </r>
  <r>
    <x v="121"/>
    <x v="1"/>
    <x v="4"/>
    <n v="26"/>
    <d v="1899-12-30T01:09:20"/>
    <n v="69.333333333333329"/>
  </r>
  <r>
    <x v="121"/>
    <x v="1"/>
    <x v="5"/>
    <n v="40"/>
    <d v="1899-12-30T01:15:00"/>
    <n v="75"/>
  </r>
  <r>
    <x v="121"/>
    <x v="2"/>
    <x v="0"/>
    <n v="84"/>
    <d v="1899-12-30T02:37:50"/>
    <n v="157.83333333333334"/>
  </r>
  <r>
    <x v="121"/>
    <x v="2"/>
    <x v="1"/>
    <n v="107"/>
    <d v="1899-12-30T03:44:49"/>
    <n v="224.81666666666666"/>
  </r>
  <r>
    <x v="121"/>
    <x v="2"/>
    <x v="2"/>
    <n v="66"/>
    <d v="1899-12-30T01:54:53"/>
    <n v="114.88333333333334"/>
  </r>
  <r>
    <x v="121"/>
    <x v="2"/>
    <x v="3"/>
    <n v="29"/>
    <d v="1899-12-30T00:27:34"/>
    <n v="27.566666666666666"/>
  </r>
  <r>
    <x v="121"/>
    <x v="2"/>
    <x v="4"/>
    <n v="40"/>
    <d v="1899-12-30T01:22:00"/>
    <n v="82"/>
  </r>
  <r>
    <x v="121"/>
    <x v="2"/>
    <x v="5"/>
    <n v="51"/>
    <d v="1899-12-30T01:27:21"/>
    <n v="87.35"/>
  </r>
  <r>
    <x v="121"/>
    <x v="3"/>
    <x v="0"/>
    <n v="16"/>
    <d v="1899-12-30T00:35:10"/>
    <n v="35.166666666666664"/>
  </r>
  <r>
    <x v="121"/>
    <x v="3"/>
    <x v="1"/>
    <n v="7"/>
    <d v="1899-12-30T00:19:03"/>
    <n v="19.05"/>
  </r>
  <r>
    <x v="121"/>
    <x v="3"/>
    <x v="2"/>
    <n v="6"/>
    <d v="1899-12-30T00:07:33"/>
    <n v="7.55"/>
  </r>
  <r>
    <x v="121"/>
    <x v="3"/>
    <x v="3"/>
    <n v="2"/>
    <d v="1899-12-30T00:02:28"/>
    <n v="2.4666666666666668"/>
  </r>
  <r>
    <x v="121"/>
    <x v="3"/>
    <x v="4"/>
    <n v="1"/>
    <d v="1899-12-30T00:02:36"/>
    <n v="2.6"/>
  </r>
  <r>
    <x v="121"/>
    <x v="3"/>
    <x v="5"/>
    <n v="8"/>
    <d v="1899-12-30T00:11:31"/>
    <n v="11.516666666666667"/>
  </r>
  <r>
    <x v="121"/>
    <x v="4"/>
    <x v="0"/>
    <n v="32"/>
    <d v="1899-12-30T00:47:18"/>
    <n v="47.3"/>
  </r>
  <r>
    <x v="121"/>
    <x v="4"/>
    <x v="1"/>
    <n v="27"/>
    <d v="1899-12-30T00:52:41"/>
    <n v="52.68333333333333"/>
  </r>
  <r>
    <x v="121"/>
    <x v="4"/>
    <x v="2"/>
    <n v="26"/>
    <d v="1899-12-30T00:40:45"/>
    <n v="40.75"/>
  </r>
  <r>
    <x v="121"/>
    <x v="4"/>
    <x v="3"/>
    <n v="6"/>
    <d v="1899-12-30T00:03:44"/>
    <n v="3.7333333333333334"/>
  </r>
  <r>
    <x v="121"/>
    <x v="4"/>
    <x v="4"/>
    <n v="2"/>
    <d v="1899-12-30T00:08:06"/>
    <n v="8.1"/>
  </r>
  <r>
    <x v="121"/>
    <x v="4"/>
    <x v="5"/>
    <n v="15"/>
    <d v="1899-12-30T00:20:38"/>
    <n v="20.633333333333333"/>
  </r>
  <r>
    <x v="121"/>
    <x v="5"/>
    <x v="0"/>
    <n v="22"/>
    <d v="1899-12-30T00:35:16"/>
    <n v="35.266666666666666"/>
  </r>
  <r>
    <x v="121"/>
    <x v="5"/>
    <x v="1"/>
    <n v="28"/>
    <d v="1899-12-30T00:31:46"/>
    <n v="31.766666666666666"/>
  </r>
  <r>
    <x v="121"/>
    <x v="5"/>
    <x v="2"/>
    <n v="20"/>
    <d v="1899-12-30T00:24:48"/>
    <n v="24.8"/>
  </r>
  <r>
    <x v="121"/>
    <x v="5"/>
    <x v="3"/>
    <n v="9"/>
    <d v="1899-12-30T00:09:11"/>
    <n v="9.1833333333333336"/>
  </r>
  <r>
    <x v="121"/>
    <x v="5"/>
    <x v="4"/>
    <n v="3"/>
    <d v="1899-12-30T00:02:55"/>
    <n v="2.9166666666666665"/>
  </r>
  <r>
    <x v="121"/>
    <x v="5"/>
    <x v="5"/>
    <n v="25"/>
    <d v="1899-12-30T00:33:21"/>
    <n v="33.35"/>
  </r>
  <r>
    <x v="121"/>
    <x v="6"/>
    <x v="0"/>
    <n v="7"/>
    <d v="1899-12-30T00:15:17"/>
    <n v="15.283333333333333"/>
  </r>
  <r>
    <x v="121"/>
    <x v="6"/>
    <x v="1"/>
    <n v="16"/>
    <d v="1899-12-30T00:23:30"/>
    <n v="23.5"/>
  </r>
  <r>
    <x v="121"/>
    <x v="6"/>
    <x v="2"/>
    <n v="9"/>
    <d v="1899-12-30T00:08:56"/>
    <n v="8.9333333333333336"/>
  </r>
  <r>
    <x v="121"/>
    <x v="6"/>
    <x v="3"/>
    <n v="2"/>
    <d v="1899-12-30T00:02:41"/>
    <n v="2.6833333333333336"/>
  </r>
  <r>
    <x v="121"/>
    <x v="6"/>
    <x v="4"/>
    <n v="6"/>
    <d v="1899-12-30T00:07:35"/>
    <n v="7.583333333333333"/>
  </r>
  <r>
    <x v="121"/>
    <x v="6"/>
    <x v="5"/>
    <n v="4"/>
    <d v="1899-12-30T00:03:48"/>
    <n v="3.8"/>
  </r>
  <r>
    <x v="121"/>
    <x v="7"/>
    <x v="0"/>
    <n v="65"/>
    <d v="1899-12-30T01:55:53"/>
    <n v="115.88333333333334"/>
  </r>
  <r>
    <x v="121"/>
    <x v="7"/>
    <x v="1"/>
    <n v="92"/>
    <d v="1899-12-30T02:29:05"/>
    <n v="149.08333333333334"/>
  </r>
  <r>
    <x v="121"/>
    <x v="7"/>
    <x v="2"/>
    <n v="60"/>
    <d v="1899-12-30T01:13:38"/>
    <n v="73.63333333333334"/>
  </r>
  <r>
    <x v="121"/>
    <x v="7"/>
    <x v="3"/>
    <n v="52"/>
    <d v="1899-12-30T00:49:57"/>
    <n v="49.95"/>
  </r>
  <r>
    <x v="121"/>
    <x v="7"/>
    <x v="4"/>
    <n v="114"/>
    <d v="1899-12-30T03:28:14"/>
    <n v="208.23333333333332"/>
  </r>
  <r>
    <x v="121"/>
    <x v="7"/>
    <x v="5"/>
    <n v="51"/>
    <d v="1899-12-30T01:04:51"/>
    <n v="64.849999999999994"/>
  </r>
  <r>
    <x v="121"/>
    <x v="8"/>
    <x v="0"/>
    <n v="22"/>
    <d v="1899-12-30T00:34:08"/>
    <n v="34.133333333333333"/>
  </r>
  <r>
    <x v="121"/>
    <x v="8"/>
    <x v="1"/>
    <n v="26"/>
    <d v="1899-12-30T00:46:32"/>
    <n v="46.533333333333331"/>
  </r>
  <r>
    <x v="121"/>
    <x v="8"/>
    <x v="2"/>
    <n v="17"/>
    <d v="1899-12-30T00:29:11"/>
    <n v="29.183333333333334"/>
  </r>
  <r>
    <x v="121"/>
    <x v="8"/>
    <x v="3"/>
    <n v="23"/>
    <d v="1899-12-30T00:28:28"/>
    <n v="28.466666666666665"/>
  </r>
  <r>
    <x v="121"/>
    <x v="8"/>
    <x v="4"/>
    <n v="11"/>
    <d v="1899-12-30T00:17:01"/>
    <n v="17.016666666666666"/>
  </r>
  <r>
    <x v="121"/>
    <x v="8"/>
    <x v="5"/>
    <n v="29"/>
    <d v="1899-12-30T00:42:21"/>
    <n v="42.35"/>
  </r>
  <r>
    <x v="121"/>
    <x v="9"/>
    <x v="0"/>
    <n v="50"/>
    <d v="1899-12-30T01:26:24"/>
    <n v="86.4"/>
  </r>
  <r>
    <x v="121"/>
    <x v="9"/>
    <x v="1"/>
    <n v="62"/>
    <d v="1899-12-30T01:49:13"/>
    <n v="109.21666666666667"/>
  </r>
  <r>
    <x v="121"/>
    <x v="9"/>
    <x v="2"/>
    <n v="33"/>
    <d v="1899-12-30T00:42:36"/>
    <n v="42.6"/>
  </r>
  <r>
    <x v="121"/>
    <x v="9"/>
    <x v="3"/>
    <n v="20"/>
    <d v="1899-12-30T00:24:34"/>
    <n v="24.566666666666666"/>
  </r>
  <r>
    <x v="121"/>
    <x v="9"/>
    <x v="4"/>
    <n v="10"/>
    <d v="1899-12-30T00:19:09"/>
    <n v="19.149999999999999"/>
  </r>
  <r>
    <x v="121"/>
    <x v="9"/>
    <x v="5"/>
    <n v="45"/>
    <d v="1899-12-30T00:59:27"/>
    <n v="59.45"/>
  </r>
  <r>
    <x v="121"/>
    <x v="10"/>
    <x v="0"/>
    <n v="15"/>
    <d v="1899-12-30T00:28:21"/>
    <n v="28.35"/>
  </r>
  <r>
    <x v="121"/>
    <x v="10"/>
    <x v="1"/>
    <n v="12"/>
    <d v="1899-12-30T00:38:16"/>
    <n v="38.266666666666666"/>
  </r>
  <r>
    <x v="121"/>
    <x v="10"/>
    <x v="2"/>
    <n v="15"/>
    <d v="1899-12-30T00:27:27"/>
    <n v="27.45"/>
  </r>
  <r>
    <x v="121"/>
    <x v="10"/>
    <x v="3"/>
    <n v="3"/>
    <d v="1899-12-30T00:03:02"/>
    <n v="3.0333333333333332"/>
  </r>
  <r>
    <x v="121"/>
    <x v="10"/>
    <x v="4"/>
    <n v="2"/>
    <d v="1899-12-30T00:03:34"/>
    <n v="3.5666666666666664"/>
  </r>
  <r>
    <x v="121"/>
    <x v="10"/>
    <x v="5"/>
    <n v="17"/>
    <d v="1899-12-30T00:30:25"/>
    <n v="30.416666666666668"/>
  </r>
  <r>
    <x v="121"/>
    <x v="11"/>
    <x v="0"/>
    <n v="8"/>
    <d v="1899-12-30T00:15:43"/>
    <n v="15.716666666666667"/>
  </r>
  <r>
    <x v="121"/>
    <x v="11"/>
    <x v="1"/>
    <n v="8"/>
    <d v="1899-12-30T00:09:35"/>
    <n v="9.5833333333333339"/>
  </r>
  <r>
    <x v="121"/>
    <x v="11"/>
    <x v="2"/>
    <n v="5"/>
    <d v="1899-12-30T00:10:53"/>
    <n v="10.883333333333333"/>
  </r>
  <r>
    <x v="121"/>
    <x v="11"/>
    <x v="3"/>
    <n v="5"/>
    <d v="1899-12-30T00:03:01"/>
    <n v="3.0166666666666666"/>
  </r>
  <r>
    <x v="121"/>
    <x v="11"/>
    <x v="4"/>
    <n v="0"/>
    <d v="1899-12-30T00:00:00"/>
    <n v="0"/>
  </r>
  <r>
    <x v="121"/>
    <x v="11"/>
    <x v="5"/>
    <n v="5"/>
    <d v="1899-12-30T00:10:10"/>
    <n v="10.166666666666666"/>
  </r>
  <r>
    <x v="121"/>
    <x v="12"/>
    <x v="0"/>
    <n v="50"/>
    <d v="1899-12-30T01:34:13"/>
    <n v="94.216666666666669"/>
  </r>
  <r>
    <x v="121"/>
    <x v="12"/>
    <x v="1"/>
    <n v="76"/>
    <d v="1899-12-30T03:01:17"/>
    <n v="181.28333333333333"/>
  </r>
  <r>
    <x v="121"/>
    <x v="12"/>
    <x v="2"/>
    <n v="54"/>
    <d v="1899-12-30T01:39:11"/>
    <n v="99.183333333333337"/>
  </r>
  <r>
    <x v="121"/>
    <x v="12"/>
    <x v="3"/>
    <n v="41"/>
    <d v="1899-12-30T00:41:55"/>
    <n v="41.916666666666664"/>
  </r>
  <r>
    <x v="121"/>
    <x v="12"/>
    <x v="4"/>
    <n v="20"/>
    <d v="1899-12-30T00:38:12"/>
    <n v="38.200000000000003"/>
  </r>
  <r>
    <x v="121"/>
    <x v="12"/>
    <x v="5"/>
    <n v="68"/>
    <d v="1899-12-30T01:41:07"/>
    <n v="101.11666666666666"/>
  </r>
  <r>
    <x v="121"/>
    <x v="13"/>
    <x v="0"/>
    <n v="41"/>
    <d v="1899-12-30T01:30:07"/>
    <n v="90.11666666666666"/>
  </r>
  <r>
    <x v="121"/>
    <x v="13"/>
    <x v="1"/>
    <n v="41"/>
    <d v="1899-12-30T00:54:10"/>
    <n v="54.166666666666664"/>
  </r>
  <r>
    <x v="121"/>
    <x v="13"/>
    <x v="2"/>
    <n v="25"/>
    <d v="1899-12-30T00:33:40"/>
    <n v="33.666666666666664"/>
  </r>
  <r>
    <x v="121"/>
    <x v="13"/>
    <x v="3"/>
    <n v="27"/>
    <d v="1899-12-30T00:36:15"/>
    <n v="36.25"/>
  </r>
  <r>
    <x v="121"/>
    <x v="13"/>
    <x v="4"/>
    <n v="1"/>
    <d v="1899-12-30T00:01:30"/>
    <n v="1.5"/>
  </r>
  <r>
    <x v="121"/>
    <x v="13"/>
    <x v="5"/>
    <n v="27"/>
    <d v="1899-12-30T00:28:06"/>
    <n v="28.1"/>
  </r>
  <r>
    <x v="122"/>
    <x v="0"/>
    <x v="0"/>
    <n v="97"/>
    <d v="1899-12-30T02:44:46"/>
    <n v="164.76666666666668"/>
  </r>
  <r>
    <x v="122"/>
    <x v="0"/>
    <x v="1"/>
    <n v="133"/>
    <d v="1899-12-30T03:32:09"/>
    <n v="212.15"/>
  </r>
  <r>
    <x v="122"/>
    <x v="0"/>
    <x v="2"/>
    <n v="72"/>
    <d v="1899-12-30T01:38:19"/>
    <n v="98.316666666666663"/>
  </r>
  <r>
    <x v="122"/>
    <x v="0"/>
    <x v="3"/>
    <n v="27"/>
    <d v="1899-12-30T00:32:03"/>
    <n v="32.049999999999997"/>
  </r>
  <r>
    <x v="122"/>
    <x v="0"/>
    <x v="4"/>
    <n v="15"/>
    <d v="1899-12-30T00:21:17"/>
    <n v="21.283333333333335"/>
  </r>
  <r>
    <x v="122"/>
    <x v="0"/>
    <x v="5"/>
    <n v="74"/>
    <d v="1899-12-30T01:40:46"/>
    <n v="100.76666666666667"/>
  </r>
  <r>
    <x v="122"/>
    <x v="1"/>
    <x v="0"/>
    <n v="45"/>
    <d v="1899-12-30T01:32:12"/>
    <n v="92.2"/>
  </r>
  <r>
    <x v="122"/>
    <x v="1"/>
    <x v="1"/>
    <n v="30"/>
    <d v="1899-12-30T01:16:25"/>
    <n v="76.416666666666671"/>
  </r>
  <r>
    <x v="122"/>
    <x v="1"/>
    <x v="2"/>
    <n v="25"/>
    <d v="1899-12-30T00:51:24"/>
    <n v="51.4"/>
  </r>
  <r>
    <x v="122"/>
    <x v="1"/>
    <x v="3"/>
    <n v="27"/>
    <d v="1899-12-30T01:27:17"/>
    <n v="87.283333333333331"/>
  </r>
  <r>
    <x v="122"/>
    <x v="1"/>
    <x v="4"/>
    <n v="23"/>
    <d v="1899-12-30T01:03:08"/>
    <n v="63.133333333333333"/>
  </r>
  <r>
    <x v="122"/>
    <x v="1"/>
    <x v="5"/>
    <n v="42"/>
    <d v="1899-12-30T01:12:15"/>
    <n v="72.25"/>
  </r>
  <r>
    <x v="122"/>
    <x v="2"/>
    <x v="0"/>
    <n v="51"/>
    <d v="1899-12-30T01:28:21"/>
    <n v="88.35"/>
  </r>
  <r>
    <x v="122"/>
    <x v="2"/>
    <x v="1"/>
    <n v="62"/>
    <d v="1899-12-30T02:18:39"/>
    <n v="138.65"/>
  </r>
  <r>
    <x v="122"/>
    <x v="2"/>
    <x v="2"/>
    <n v="35"/>
    <d v="1899-12-30T00:53:59"/>
    <n v="53.983333333333334"/>
  </r>
  <r>
    <x v="122"/>
    <x v="2"/>
    <x v="3"/>
    <n v="21"/>
    <d v="1899-12-30T00:24:19"/>
    <n v="24.316666666666666"/>
  </r>
  <r>
    <x v="122"/>
    <x v="2"/>
    <x v="4"/>
    <n v="17"/>
    <d v="1899-12-30T00:34:18"/>
    <n v="34.299999999999997"/>
  </r>
  <r>
    <x v="122"/>
    <x v="2"/>
    <x v="5"/>
    <n v="18"/>
    <d v="1899-12-30T00:27:40"/>
    <n v="27.666666666666668"/>
  </r>
  <r>
    <x v="122"/>
    <x v="3"/>
    <x v="0"/>
    <n v="15"/>
    <d v="1899-12-30T00:30:27"/>
    <n v="30.45"/>
  </r>
  <r>
    <x v="122"/>
    <x v="3"/>
    <x v="1"/>
    <n v="12"/>
    <d v="1899-12-30T00:31:07"/>
    <n v="31.116666666666667"/>
  </r>
  <r>
    <x v="122"/>
    <x v="3"/>
    <x v="2"/>
    <n v="7"/>
    <d v="1899-12-30T00:16:37"/>
    <n v="16.616666666666667"/>
  </r>
  <r>
    <x v="122"/>
    <x v="3"/>
    <x v="3"/>
    <n v="3"/>
    <d v="1899-12-30T00:04:40"/>
    <n v="4.666666666666667"/>
  </r>
  <r>
    <x v="122"/>
    <x v="3"/>
    <x v="4"/>
    <n v="0"/>
    <d v="1899-12-30T00:00:00"/>
    <n v="0"/>
  </r>
  <r>
    <x v="122"/>
    <x v="3"/>
    <x v="5"/>
    <n v="9"/>
    <d v="1899-12-30T00:14:52"/>
    <n v="14.866666666666667"/>
  </r>
  <r>
    <x v="122"/>
    <x v="4"/>
    <x v="0"/>
    <n v="41"/>
    <d v="1899-12-30T01:16:03"/>
    <n v="76.05"/>
  </r>
  <r>
    <x v="122"/>
    <x v="4"/>
    <x v="1"/>
    <n v="41"/>
    <d v="1899-12-30T01:02:51"/>
    <n v="62.85"/>
  </r>
  <r>
    <x v="122"/>
    <x v="4"/>
    <x v="2"/>
    <n v="43"/>
    <d v="1899-12-30T01:02:34"/>
    <n v="62.56666666666667"/>
  </r>
  <r>
    <x v="122"/>
    <x v="4"/>
    <x v="3"/>
    <n v="9"/>
    <d v="1899-12-30T00:08:37"/>
    <n v="8.6166666666666671"/>
  </r>
  <r>
    <x v="122"/>
    <x v="4"/>
    <x v="4"/>
    <n v="10"/>
    <d v="1899-12-30T00:17:13"/>
    <n v="17.216666666666665"/>
  </r>
  <r>
    <x v="122"/>
    <x v="4"/>
    <x v="5"/>
    <n v="30"/>
    <d v="1899-12-30T00:37:02"/>
    <n v="37.033333333333331"/>
  </r>
  <r>
    <x v="122"/>
    <x v="5"/>
    <x v="0"/>
    <n v="53"/>
    <d v="1899-12-30T01:32:15"/>
    <n v="92.25"/>
  </r>
  <r>
    <x v="122"/>
    <x v="5"/>
    <x v="1"/>
    <n v="59"/>
    <d v="1899-12-30T01:29:31"/>
    <n v="89.516666666666666"/>
  </r>
  <r>
    <x v="122"/>
    <x v="5"/>
    <x v="2"/>
    <n v="39"/>
    <d v="1899-12-30T00:45:31"/>
    <n v="45.516666666666666"/>
  </r>
  <r>
    <x v="122"/>
    <x v="5"/>
    <x v="3"/>
    <n v="23"/>
    <d v="1899-12-30T00:26:43"/>
    <n v="26.716666666666665"/>
  </r>
  <r>
    <x v="122"/>
    <x v="5"/>
    <x v="4"/>
    <n v="8"/>
    <d v="1899-12-30T00:12:19"/>
    <n v="12.316666666666666"/>
  </r>
  <r>
    <x v="122"/>
    <x v="5"/>
    <x v="5"/>
    <n v="57"/>
    <d v="1899-12-30T01:12:11"/>
    <n v="72.183333333333337"/>
  </r>
  <r>
    <x v="122"/>
    <x v="6"/>
    <x v="0"/>
    <n v="6"/>
    <d v="1899-12-30T00:08:49"/>
    <n v="8.8166666666666664"/>
  </r>
  <r>
    <x v="122"/>
    <x v="6"/>
    <x v="1"/>
    <n v="9"/>
    <d v="1899-12-30T00:21:41"/>
    <n v="21.683333333333334"/>
  </r>
  <r>
    <x v="122"/>
    <x v="6"/>
    <x v="2"/>
    <n v="6"/>
    <d v="1899-12-30T00:05:01"/>
    <n v="5.0166666666666666"/>
  </r>
  <r>
    <x v="122"/>
    <x v="6"/>
    <x v="3"/>
    <n v="1"/>
    <d v="1899-12-30T00:00:36"/>
    <n v="0.6"/>
  </r>
  <r>
    <x v="122"/>
    <x v="6"/>
    <x v="4"/>
    <n v="9"/>
    <d v="1899-12-30T00:11:57"/>
    <n v="11.95"/>
  </r>
  <r>
    <x v="122"/>
    <x v="6"/>
    <x v="5"/>
    <n v="1"/>
    <d v="1899-12-30T00:00:33"/>
    <n v="0.55000000000000004"/>
  </r>
  <r>
    <x v="122"/>
    <x v="7"/>
    <x v="0"/>
    <n v="64"/>
    <d v="1899-12-30T01:41:25"/>
    <n v="101.41666666666667"/>
  </r>
  <r>
    <x v="122"/>
    <x v="7"/>
    <x v="1"/>
    <n v="99"/>
    <d v="1899-12-30T02:20:36"/>
    <n v="140.6"/>
  </r>
  <r>
    <x v="122"/>
    <x v="7"/>
    <x v="2"/>
    <n v="38"/>
    <d v="1899-12-30T00:49:42"/>
    <n v="49.7"/>
  </r>
  <r>
    <x v="122"/>
    <x v="7"/>
    <x v="3"/>
    <n v="42"/>
    <d v="1899-12-30T00:43:37"/>
    <n v="43.616666666666667"/>
  </r>
  <r>
    <x v="122"/>
    <x v="7"/>
    <x v="4"/>
    <n v="160"/>
    <d v="1899-12-30T04:27:44"/>
    <n v="267.73333333333335"/>
  </r>
  <r>
    <x v="122"/>
    <x v="7"/>
    <x v="5"/>
    <n v="55"/>
    <d v="1899-12-30T01:10:44"/>
    <n v="70.733333333333334"/>
  </r>
  <r>
    <x v="122"/>
    <x v="8"/>
    <x v="0"/>
    <n v="11"/>
    <d v="1899-12-30T00:14:09"/>
    <n v="14.15"/>
  </r>
  <r>
    <x v="122"/>
    <x v="8"/>
    <x v="1"/>
    <n v="21"/>
    <d v="1899-12-30T00:40:30"/>
    <n v="40.5"/>
  </r>
  <r>
    <x v="122"/>
    <x v="8"/>
    <x v="2"/>
    <n v="18"/>
    <d v="1899-12-30T00:23:00"/>
    <n v="23"/>
  </r>
  <r>
    <x v="122"/>
    <x v="8"/>
    <x v="3"/>
    <n v="18"/>
    <d v="1899-12-30T00:17:22"/>
    <n v="17.366666666666667"/>
  </r>
  <r>
    <x v="122"/>
    <x v="8"/>
    <x v="4"/>
    <n v="13"/>
    <d v="1899-12-30T00:19:27"/>
    <n v="19.45"/>
  </r>
  <r>
    <x v="122"/>
    <x v="8"/>
    <x v="5"/>
    <n v="27"/>
    <d v="1899-12-30T00:34:38"/>
    <n v="34.633333333333333"/>
  </r>
  <r>
    <x v="122"/>
    <x v="9"/>
    <x v="0"/>
    <n v="102"/>
    <d v="1899-12-30T03:02:44"/>
    <n v="182.73333333333332"/>
  </r>
  <r>
    <x v="122"/>
    <x v="9"/>
    <x v="1"/>
    <n v="138"/>
    <d v="1899-12-30T04:40:27"/>
    <n v="280.45"/>
  </r>
  <r>
    <x v="122"/>
    <x v="9"/>
    <x v="2"/>
    <n v="58"/>
    <d v="1899-12-30T01:22:22"/>
    <n v="82.36666666666666"/>
  </r>
  <r>
    <x v="122"/>
    <x v="9"/>
    <x v="3"/>
    <n v="34"/>
    <d v="1899-12-30T00:33:24"/>
    <n v="33.4"/>
  </r>
  <r>
    <x v="122"/>
    <x v="9"/>
    <x v="4"/>
    <n v="15"/>
    <d v="1899-12-30T00:27:34"/>
    <n v="27.566666666666666"/>
  </r>
  <r>
    <x v="122"/>
    <x v="9"/>
    <x v="5"/>
    <n v="91"/>
    <d v="1899-12-30T02:19:25"/>
    <n v="139.41666666666666"/>
  </r>
  <r>
    <x v="122"/>
    <x v="10"/>
    <x v="0"/>
    <n v="29"/>
    <d v="1899-12-30T00:55:30"/>
    <n v="55.5"/>
  </r>
  <r>
    <x v="122"/>
    <x v="10"/>
    <x v="1"/>
    <n v="25"/>
    <d v="1899-12-30T00:45:30"/>
    <n v="45.5"/>
  </r>
  <r>
    <x v="122"/>
    <x v="10"/>
    <x v="2"/>
    <n v="17"/>
    <d v="1899-12-30T00:29:35"/>
    <n v="29.583333333333332"/>
  </r>
  <r>
    <x v="122"/>
    <x v="10"/>
    <x v="3"/>
    <n v="7"/>
    <d v="1899-12-30T00:05:39"/>
    <n v="5.65"/>
  </r>
  <r>
    <x v="122"/>
    <x v="10"/>
    <x v="4"/>
    <n v="2"/>
    <d v="1899-12-30T00:03:56"/>
    <n v="3.9333333333333336"/>
  </r>
  <r>
    <x v="122"/>
    <x v="10"/>
    <x v="5"/>
    <n v="23"/>
    <d v="1899-12-30T00:36:34"/>
    <n v="36.56666666666667"/>
  </r>
  <r>
    <x v="122"/>
    <x v="11"/>
    <x v="0"/>
    <n v="14"/>
    <d v="1899-12-30T00:29:41"/>
    <n v="29.683333333333334"/>
  </r>
  <r>
    <x v="122"/>
    <x v="11"/>
    <x v="1"/>
    <n v="25"/>
    <d v="1899-12-30T00:49:51"/>
    <n v="49.85"/>
  </r>
  <r>
    <x v="122"/>
    <x v="11"/>
    <x v="2"/>
    <n v="12"/>
    <d v="1899-12-30T00:16:46"/>
    <n v="16.766666666666666"/>
  </r>
  <r>
    <x v="122"/>
    <x v="11"/>
    <x v="3"/>
    <n v="3"/>
    <d v="1899-12-30T00:02:15"/>
    <n v="2.25"/>
  </r>
  <r>
    <x v="122"/>
    <x v="11"/>
    <x v="4"/>
    <n v="4"/>
    <d v="1899-12-30T00:07:38"/>
    <n v="7.6333333333333329"/>
  </r>
  <r>
    <x v="122"/>
    <x v="11"/>
    <x v="5"/>
    <n v="17"/>
    <d v="1899-12-30T00:34:12"/>
    <n v="34.200000000000003"/>
  </r>
  <r>
    <x v="122"/>
    <x v="12"/>
    <x v="0"/>
    <n v="91"/>
    <d v="1899-12-30T02:51:10"/>
    <n v="171.16666666666666"/>
  </r>
  <r>
    <x v="122"/>
    <x v="12"/>
    <x v="1"/>
    <n v="83"/>
    <d v="1899-12-30T03:26:31"/>
    <n v="206.51666666666668"/>
  </r>
  <r>
    <x v="122"/>
    <x v="12"/>
    <x v="2"/>
    <n v="68"/>
    <d v="1899-12-30T01:47:52"/>
    <n v="107.86666666666666"/>
  </r>
  <r>
    <x v="122"/>
    <x v="12"/>
    <x v="3"/>
    <n v="39"/>
    <d v="1899-12-30T00:37:18"/>
    <n v="37.299999999999997"/>
  </r>
  <r>
    <x v="122"/>
    <x v="12"/>
    <x v="4"/>
    <n v="40"/>
    <d v="1899-12-30T01:31:35"/>
    <n v="91.583333333333329"/>
  </r>
  <r>
    <x v="122"/>
    <x v="12"/>
    <x v="5"/>
    <n v="94"/>
    <d v="1899-12-30T02:13:02"/>
    <n v="133.03333333333333"/>
  </r>
  <r>
    <x v="122"/>
    <x v="13"/>
    <x v="0"/>
    <n v="36"/>
    <d v="1899-12-30T01:03:46"/>
    <n v="63.766666666666666"/>
  </r>
  <r>
    <x v="122"/>
    <x v="13"/>
    <x v="1"/>
    <n v="34"/>
    <d v="1899-12-30T00:26:50"/>
    <n v="26.833333333333332"/>
  </r>
  <r>
    <x v="122"/>
    <x v="13"/>
    <x v="2"/>
    <n v="34"/>
    <d v="1899-12-30T00:36:31"/>
    <n v="36.516666666666666"/>
  </r>
  <r>
    <x v="122"/>
    <x v="13"/>
    <x v="3"/>
    <n v="41"/>
    <d v="1899-12-30T00:45:23"/>
    <n v="45.383333333333333"/>
  </r>
  <r>
    <x v="122"/>
    <x v="13"/>
    <x v="4"/>
    <n v="1"/>
    <d v="1899-12-30T00:02:21"/>
    <n v="2.35"/>
  </r>
  <r>
    <x v="122"/>
    <x v="13"/>
    <x v="5"/>
    <n v="27"/>
    <d v="1899-12-30T00:26:42"/>
    <n v="26.7"/>
  </r>
  <r>
    <x v="123"/>
    <x v="0"/>
    <x v="0"/>
    <n v="69"/>
    <d v="1899-12-30T01:50:48"/>
    <n v="110.8"/>
  </r>
  <r>
    <x v="123"/>
    <x v="0"/>
    <x v="1"/>
    <n v="64"/>
    <d v="1899-12-30T01:39:22"/>
    <n v="99.36666666666666"/>
  </r>
  <r>
    <x v="123"/>
    <x v="0"/>
    <x v="2"/>
    <n v="53"/>
    <d v="1899-12-30T01:13:44"/>
    <n v="73.733333333333334"/>
  </r>
  <r>
    <x v="123"/>
    <x v="0"/>
    <x v="3"/>
    <n v="25"/>
    <d v="1899-12-30T00:28:24"/>
    <n v="28.4"/>
  </r>
  <r>
    <x v="123"/>
    <x v="0"/>
    <x v="4"/>
    <n v="12"/>
    <d v="1899-12-30T00:18:14"/>
    <n v="18.233333333333334"/>
  </r>
  <r>
    <x v="123"/>
    <x v="0"/>
    <x v="5"/>
    <n v="57"/>
    <d v="1899-12-30T01:10:46"/>
    <n v="70.766666666666666"/>
  </r>
  <r>
    <x v="123"/>
    <x v="1"/>
    <x v="0"/>
    <n v="43"/>
    <d v="1899-12-30T01:31:09"/>
    <n v="91.15"/>
  </r>
  <r>
    <x v="123"/>
    <x v="1"/>
    <x v="1"/>
    <n v="36"/>
    <d v="1899-12-30T01:49:37"/>
    <n v="109.61666666666666"/>
  </r>
  <r>
    <x v="123"/>
    <x v="1"/>
    <x v="2"/>
    <n v="36"/>
    <d v="1899-12-30T01:02:03"/>
    <n v="62.05"/>
  </r>
  <r>
    <x v="123"/>
    <x v="1"/>
    <x v="3"/>
    <n v="34"/>
    <d v="1899-12-30T00:42:34"/>
    <n v="42.56666666666667"/>
  </r>
  <r>
    <x v="123"/>
    <x v="1"/>
    <x v="4"/>
    <n v="26"/>
    <d v="1899-12-30T01:08:04"/>
    <n v="68.066666666666663"/>
  </r>
  <r>
    <x v="123"/>
    <x v="1"/>
    <x v="5"/>
    <n v="39"/>
    <d v="1899-12-30T01:13:46"/>
    <n v="73.766666666666666"/>
  </r>
  <r>
    <x v="123"/>
    <x v="2"/>
    <x v="0"/>
    <n v="44"/>
    <d v="1899-12-30T01:18:39"/>
    <n v="78.650000000000006"/>
  </r>
  <r>
    <x v="123"/>
    <x v="2"/>
    <x v="1"/>
    <n v="80"/>
    <d v="1899-12-30T03:01:38"/>
    <n v="181.63333333333333"/>
  </r>
  <r>
    <x v="123"/>
    <x v="2"/>
    <x v="2"/>
    <n v="50"/>
    <d v="1899-12-30T01:31:12"/>
    <n v="91.2"/>
  </r>
  <r>
    <x v="123"/>
    <x v="2"/>
    <x v="3"/>
    <n v="15"/>
    <d v="1899-12-30T00:13:48"/>
    <n v="13.8"/>
  </r>
  <r>
    <x v="123"/>
    <x v="2"/>
    <x v="4"/>
    <n v="17"/>
    <d v="1899-12-30T00:34:31"/>
    <n v="34.516666666666666"/>
  </r>
  <r>
    <x v="123"/>
    <x v="2"/>
    <x v="5"/>
    <n v="40"/>
    <d v="1899-12-30T01:01:48"/>
    <n v="61.8"/>
  </r>
  <r>
    <x v="123"/>
    <x v="3"/>
    <x v="0"/>
    <n v="13"/>
    <d v="1899-12-30T00:30:27"/>
    <n v="30.45"/>
  </r>
  <r>
    <x v="123"/>
    <x v="3"/>
    <x v="1"/>
    <n v="10"/>
    <d v="1899-12-30T00:30:06"/>
    <n v="30.1"/>
  </r>
  <r>
    <x v="123"/>
    <x v="3"/>
    <x v="2"/>
    <n v="4"/>
    <d v="1899-12-30T00:10:33"/>
    <n v="10.55"/>
  </r>
  <r>
    <x v="123"/>
    <x v="3"/>
    <x v="3"/>
    <n v="0"/>
    <d v="1899-12-30T00:00:00"/>
    <n v="0"/>
  </r>
  <r>
    <x v="123"/>
    <x v="3"/>
    <x v="4"/>
    <n v="3"/>
    <d v="1899-12-30T00:07:32"/>
    <n v="7.5333333333333332"/>
  </r>
  <r>
    <x v="123"/>
    <x v="3"/>
    <x v="5"/>
    <n v="4"/>
    <d v="1899-12-30T00:04:44"/>
    <n v="4.7333333333333334"/>
  </r>
  <r>
    <x v="123"/>
    <x v="4"/>
    <x v="0"/>
    <n v="17"/>
    <d v="1899-12-30T00:29:33"/>
    <n v="29.55"/>
  </r>
  <r>
    <x v="123"/>
    <x v="4"/>
    <x v="1"/>
    <n v="17"/>
    <d v="1899-12-30T00:31:43"/>
    <n v="31.716666666666665"/>
  </r>
  <r>
    <x v="123"/>
    <x v="4"/>
    <x v="2"/>
    <n v="7"/>
    <d v="1899-12-30T00:12:21"/>
    <n v="12.35"/>
  </r>
  <r>
    <x v="123"/>
    <x v="4"/>
    <x v="3"/>
    <n v="6"/>
    <d v="1899-12-30T00:05:43"/>
    <n v="5.7166666666666668"/>
  </r>
  <r>
    <x v="123"/>
    <x v="4"/>
    <x v="4"/>
    <n v="2"/>
    <d v="1899-12-30T00:04:06"/>
    <n v="4.0999999999999996"/>
  </r>
  <r>
    <x v="123"/>
    <x v="4"/>
    <x v="5"/>
    <n v="11"/>
    <d v="1899-12-30T00:14:15"/>
    <n v="14.25"/>
  </r>
  <r>
    <x v="123"/>
    <x v="5"/>
    <x v="0"/>
    <n v="48"/>
    <d v="1899-12-30T01:11:42"/>
    <n v="71.7"/>
  </r>
  <r>
    <x v="123"/>
    <x v="5"/>
    <x v="1"/>
    <n v="51"/>
    <d v="1899-12-30T01:19:49"/>
    <n v="79.816666666666663"/>
  </r>
  <r>
    <x v="123"/>
    <x v="5"/>
    <x v="2"/>
    <n v="45"/>
    <d v="1899-12-30T00:53:59"/>
    <n v="53.983333333333334"/>
  </r>
  <r>
    <x v="123"/>
    <x v="5"/>
    <x v="3"/>
    <n v="21"/>
    <d v="1899-12-30T00:18:59"/>
    <n v="18.983333333333334"/>
  </r>
  <r>
    <x v="123"/>
    <x v="5"/>
    <x v="4"/>
    <n v="2"/>
    <d v="1899-12-30T00:05:56"/>
    <n v="5.9333333333333336"/>
  </r>
  <r>
    <x v="123"/>
    <x v="5"/>
    <x v="5"/>
    <n v="54"/>
    <d v="1899-12-30T01:01:44"/>
    <n v="61.733333333333334"/>
  </r>
  <r>
    <x v="123"/>
    <x v="6"/>
    <x v="0"/>
    <n v="29"/>
    <d v="1899-12-30T00:43:08"/>
    <n v="43.133333333333333"/>
  </r>
  <r>
    <x v="123"/>
    <x v="6"/>
    <x v="1"/>
    <n v="26"/>
    <d v="1899-12-30T00:42:03"/>
    <n v="42.05"/>
  </r>
  <r>
    <x v="123"/>
    <x v="6"/>
    <x v="2"/>
    <n v="30"/>
    <d v="1899-12-30T00:43:02"/>
    <n v="43.033333333333331"/>
  </r>
  <r>
    <x v="123"/>
    <x v="6"/>
    <x v="3"/>
    <n v="11"/>
    <d v="1899-12-30T00:12:04"/>
    <n v="12.066666666666666"/>
  </r>
  <r>
    <x v="123"/>
    <x v="6"/>
    <x v="4"/>
    <n v="24"/>
    <d v="1899-12-30T00:43:20"/>
    <n v="43.333333333333336"/>
  </r>
  <r>
    <x v="123"/>
    <x v="6"/>
    <x v="5"/>
    <n v="19"/>
    <d v="1899-12-30T00:22:52"/>
    <n v="22.866666666666667"/>
  </r>
  <r>
    <x v="123"/>
    <x v="7"/>
    <x v="0"/>
    <n v="32"/>
    <d v="1899-12-30T00:59:31"/>
    <n v="59.516666666666666"/>
  </r>
  <r>
    <x v="123"/>
    <x v="7"/>
    <x v="1"/>
    <n v="55"/>
    <d v="1899-12-30T01:19:14"/>
    <n v="79.233333333333334"/>
  </r>
  <r>
    <x v="123"/>
    <x v="7"/>
    <x v="2"/>
    <n v="19"/>
    <d v="1899-12-30T00:24:19"/>
    <n v="24.316666666666666"/>
  </r>
  <r>
    <x v="123"/>
    <x v="7"/>
    <x v="3"/>
    <n v="29"/>
    <d v="1899-12-30T00:32:46"/>
    <n v="32.766666666666666"/>
  </r>
  <r>
    <x v="123"/>
    <x v="7"/>
    <x v="4"/>
    <n v="88"/>
    <d v="1899-12-30T02:42:52"/>
    <n v="162.86666666666667"/>
  </r>
  <r>
    <x v="123"/>
    <x v="7"/>
    <x v="5"/>
    <n v="35"/>
    <d v="1899-12-30T00:39:41"/>
    <n v="39.68333333333333"/>
  </r>
  <r>
    <x v="123"/>
    <x v="8"/>
    <x v="0"/>
    <n v="21"/>
    <d v="1899-12-30T00:32:24"/>
    <n v="32.4"/>
  </r>
  <r>
    <x v="123"/>
    <x v="8"/>
    <x v="1"/>
    <n v="18"/>
    <d v="1899-12-30T00:26:29"/>
    <n v="26.483333333333334"/>
  </r>
  <r>
    <x v="123"/>
    <x v="8"/>
    <x v="2"/>
    <n v="9"/>
    <d v="1899-12-30T00:12:59"/>
    <n v="12.983333333333333"/>
  </r>
  <r>
    <x v="123"/>
    <x v="8"/>
    <x v="3"/>
    <n v="7"/>
    <d v="1899-12-30T00:07:35"/>
    <n v="7.583333333333333"/>
  </r>
  <r>
    <x v="123"/>
    <x v="8"/>
    <x v="4"/>
    <n v="13"/>
    <d v="1899-12-30T00:16:55"/>
    <n v="16.916666666666668"/>
  </r>
  <r>
    <x v="123"/>
    <x v="8"/>
    <x v="5"/>
    <n v="33"/>
    <d v="1899-12-30T00:34:12"/>
    <n v="34.200000000000003"/>
  </r>
  <r>
    <x v="123"/>
    <x v="9"/>
    <x v="0"/>
    <n v="48"/>
    <d v="1899-12-30T01:44:03"/>
    <n v="104.05"/>
  </r>
  <r>
    <x v="123"/>
    <x v="9"/>
    <x v="1"/>
    <n v="56"/>
    <d v="1899-12-30T01:31:52"/>
    <n v="91.86666666666666"/>
  </r>
  <r>
    <x v="123"/>
    <x v="9"/>
    <x v="2"/>
    <n v="48"/>
    <d v="1899-12-30T01:00:50"/>
    <n v="60.833333333333336"/>
  </r>
  <r>
    <x v="123"/>
    <x v="9"/>
    <x v="3"/>
    <n v="30"/>
    <d v="1899-12-30T00:27:32"/>
    <n v="27.533333333333335"/>
  </r>
  <r>
    <x v="123"/>
    <x v="9"/>
    <x v="4"/>
    <n v="17"/>
    <d v="1899-12-30T00:30:41"/>
    <n v="30.683333333333334"/>
  </r>
  <r>
    <x v="123"/>
    <x v="9"/>
    <x v="5"/>
    <n v="34"/>
    <d v="1899-12-30T00:47:52"/>
    <n v="47.866666666666667"/>
  </r>
  <r>
    <x v="123"/>
    <x v="10"/>
    <x v="0"/>
    <n v="25"/>
    <d v="1899-12-30T00:53:08"/>
    <n v="53.133333333333333"/>
  </r>
  <r>
    <x v="123"/>
    <x v="10"/>
    <x v="1"/>
    <n v="7"/>
    <d v="1899-12-30T00:18:55"/>
    <n v="18.916666666666668"/>
  </r>
  <r>
    <x v="123"/>
    <x v="10"/>
    <x v="2"/>
    <n v="15"/>
    <d v="1899-12-30T00:29:26"/>
    <n v="29.433333333333334"/>
  </r>
  <r>
    <x v="123"/>
    <x v="10"/>
    <x v="3"/>
    <n v="6"/>
    <d v="1899-12-30T00:06:44"/>
    <n v="6.7333333333333334"/>
  </r>
  <r>
    <x v="123"/>
    <x v="10"/>
    <x v="4"/>
    <n v="2"/>
    <d v="1899-12-30T00:03:23"/>
    <n v="3.3833333333333333"/>
  </r>
  <r>
    <x v="123"/>
    <x v="10"/>
    <x v="5"/>
    <n v="17"/>
    <d v="1899-12-30T00:26:52"/>
    <n v="26.866666666666667"/>
  </r>
  <r>
    <x v="123"/>
    <x v="11"/>
    <x v="0"/>
    <n v="11"/>
    <d v="1899-12-30T00:22:04"/>
    <n v="22.066666666666666"/>
  </r>
  <r>
    <x v="123"/>
    <x v="11"/>
    <x v="1"/>
    <n v="10"/>
    <d v="1899-12-30T00:19:59"/>
    <n v="19.983333333333334"/>
  </r>
  <r>
    <x v="123"/>
    <x v="11"/>
    <x v="2"/>
    <n v="7"/>
    <d v="1899-12-30T00:10:06"/>
    <n v="10.1"/>
  </r>
  <r>
    <x v="123"/>
    <x v="11"/>
    <x v="3"/>
    <n v="7"/>
    <d v="1899-12-30T00:08:57"/>
    <n v="8.9499999999999993"/>
  </r>
  <r>
    <x v="123"/>
    <x v="11"/>
    <x v="4"/>
    <n v="5"/>
    <d v="1899-12-30T00:10:04"/>
    <n v="10.066666666666666"/>
  </r>
  <r>
    <x v="123"/>
    <x v="11"/>
    <x v="5"/>
    <n v="9"/>
    <d v="1899-12-30T00:12:40"/>
    <n v="12.666666666666666"/>
  </r>
  <r>
    <x v="123"/>
    <x v="12"/>
    <x v="0"/>
    <n v="73"/>
    <d v="1899-12-30T02:14:24"/>
    <n v="134.4"/>
  </r>
  <r>
    <x v="123"/>
    <x v="12"/>
    <x v="1"/>
    <n v="110"/>
    <d v="1899-12-30T03:45:02"/>
    <n v="225.03333333333333"/>
  </r>
  <r>
    <x v="123"/>
    <x v="12"/>
    <x v="2"/>
    <n v="51"/>
    <d v="1899-12-30T01:23:48"/>
    <n v="83.8"/>
  </r>
  <r>
    <x v="123"/>
    <x v="12"/>
    <x v="3"/>
    <n v="32"/>
    <d v="1899-12-30T00:28:07"/>
    <n v="28.116666666666667"/>
  </r>
  <r>
    <x v="123"/>
    <x v="12"/>
    <x v="4"/>
    <n v="29"/>
    <d v="1899-12-30T00:54:58"/>
    <n v="54.966666666666669"/>
  </r>
  <r>
    <x v="123"/>
    <x v="12"/>
    <x v="5"/>
    <n v="89"/>
    <d v="1899-12-30T01:48:19"/>
    <n v="108.31666666666666"/>
  </r>
  <r>
    <x v="123"/>
    <x v="13"/>
    <x v="0"/>
    <n v="33"/>
    <d v="1899-12-30T01:01:36"/>
    <n v="61.6"/>
  </r>
  <r>
    <x v="123"/>
    <x v="13"/>
    <x v="1"/>
    <n v="22"/>
    <d v="1899-12-30T00:26:30"/>
    <n v="26.5"/>
  </r>
  <r>
    <x v="123"/>
    <x v="13"/>
    <x v="2"/>
    <n v="20"/>
    <d v="1899-12-30T00:21:03"/>
    <n v="21.05"/>
  </r>
  <r>
    <x v="123"/>
    <x v="13"/>
    <x v="3"/>
    <n v="34"/>
    <d v="1899-12-30T00:35:43"/>
    <n v="35.716666666666669"/>
  </r>
  <r>
    <x v="123"/>
    <x v="13"/>
    <x v="4"/>
    <n v="0"/>
    <d v="1899-12-30T00:00:00"/>
    <n v="0"/>
  </r>
  <r>
    <x v="123"/>
    <x v="13"/>
    <x v="5"/>
    <n v="16"/>
    <d v="1899-12-30T00:16:28"/>
    <n v="16.466666666666665"/>
  </r>
  <r>
    <x v="124"/>
    <x v="0"/>
    <x v="0"/>
    <n v="27"/>
    <d v="1899-12-30T00:47:35"/>
    <n v="47.583333333333336"/>
  </r>
  <r>
    <x v="124"/>
    <x v="0"/>
    <x v="1"/>
    <n v="23"/>
    <d v="1899-12-30T00:34:12"/>
    <n v="34.200000000000003"/>
  </r>
  <r>
    <x v="124"/>
    <x v="0"/>
    <x v="2"/>
    <n v="21"/>
    <d v="1899-12-30T00:27:16"/>
    <n v="27.266666666666666"/>
  </r>
  <r>
    <x v="124"/>
    <x v="0"/>
    <x v="3"/>
    <n v="5"/>
    <d v="1899-12-30T00:04:57"/>
    <n v="4.95"/>
  </r>
  <r>
    <x v="124"/>
    <x v="0"/>
    <x v="4"/>
    <n v="8"/>
    <d v="1899-12-30T00:10:13"/>
    <n v="10.216666666666667"/>
  </r>
  <r>
    <x v="124"/>
    <x v="0"/>
    <x v="5"/>
    <n v="28"/>
    <d v="1899-12-30T00:30:00"/>
    <n v="30"/>
  </r>
  <r>
    <x v="124"/>
    <x v="1"/>
    <x v="0"/>
    <n v="50"/>
    <d v="1899-12-30T01:43:49"/>
    <n v="103.81666666666666"/>
  </r>
  <r>
    <x v="124"/>
    <x v="1"/>
    <x v="1"/>
    <n v="39"/>
    <d v="1899-12-30T01:31:36"/>
    <n v="91.6"/>
  </r>
  <r>
    <x v="124"/>
    <x v="1"/>
    <x v="2"/>
    <n v="29"/>
    <d v="1899-12-30T01:00:12"/>
    <n v="60.2"/>
  </r>
  <r>
    <x v="124"/>
    <x v="1"/>
    <x v="3"/>
    <n v="23"/>
    <d v="1899-12-30T00:33:43"/>
    <n v="33.716666666666669"/>
  </r>
  <r>
    <x v="124"/>
    <x v="1"/>
    <x v="4"/>
    <n v="26"/>
    <d v="1899-12-30T01:03:51"/>
    <n v="63.85"/>
  </r>
  <r>
    <x v="124"/>
    <x v="1"/>
    <x v="5"/>
    <n v="58"/>
    <d v="1899-12-30T01:28:32"/>
    <n v="88.533333333333331"/>
  </r>
  <r>
    <x v="124"/>
    <x v="2"/>
    <x v="0"/>
    <n v="49"/>
    <d v="1899-12-30T01:41:09"/>
    <n v="101.15"/>
  </r>
  <r>
    <x v="124"/>
    <x v="2"/>
    <x v="1"/>
    <n v="89"/>
    <d v="1899-12-30T03:29:26"/>
    <n v="209.43333333333334"/>
  </r>
  <r>
    <x v="124"/>
    <x v="2"/>
    <x v="2"/>
    <n v="47"/>
    <d v="1899-12-30T01:36:42"/>
    <n v="96.7"/>
  </r>
  <r>
    <x v="124"/>
    <x v="2"/>
    <x v="3"/>
    <n v="12"/>
    <d v="1899-12-30T00:15:19"/>
    <n v="15.316666666666666"/>
  </r>
  <r>
    <x v="124"/>
    <x v="2"/>
    <x v="4"/>
    <n v="5"/>
    <d v="1899-12-30T00:11:33"/>
    <n v="11.55"/>
  </r>
  <r>
    <x v="124"/>
    <x v="2"/>
    <x v="5"/>
    <n v="25"/>
    <d v="1899-12-30T00:40:44"/>
    <n v="40.733333333333334"/>
  </r>
  <r>
    <x v="124"/>
    <x v="3"/>
    <x v="0"/>
    <n v="24"/>
    <d v="1899-12-30T00:46:37"/>
    <n v="46.616666666666667"/>
  </r>
  <r>
    <x v="124"/>
    <x v="3"/>
    <x v="1"/>
    <n v="22"/>
    <d v="1899-12-30T00:44:28"/>
    <n v="44.466666666666669"/>
  </r>
  <r>
    <x v="124"/>
    <x v="3"/>
    <x v="2"/>
    <n v="19"/>
    <d v="1899-12-30T00:42:50"/>
    <n v="42.833333333333336"/>
  </r>
  <r>
    <x v="124"/>
    <x v="3"/>
    <x v="3"/>
    <n v="4"/>
    <d v="1899-12-30T00:06:26"/>
    <n v="6.4333333333333336"/>
  </r>
  <r>
    <x v="124"/>
    <x v="3"/>
    <x v="4"/>
    <n v="4"/>
    <d v="1899-12-30T00:07:31"/>
    <n v="7.5166666666666666"/>
  </r>
  <r>
    <x v="124"/>
    <x v="3"/>
    <x v="5"/>
    <n v="20"/>
    <d v="1899-12-30T00:31:21"/>
    <n v="31.35"/>
  </r>
  <r>
    <x v="124"/>
    <x v="4"/>
    <x v="0"/>
    <n v="18"/>
    <d v="1899-12-30T00:35:39"/>
    <n v="35.65"/>
  </r>
  <r>
    <x v="124"/>
    <x v="4"/>
    <x v="1"/>
    <n v="26"/>
    <d v="1899-12-30T00:57:55"/>
    <n v="57.916666666666664"/>
  </r>
  <r>
    <x v="124"/>
    <x v="4"/>
    <x v="2"/>
    <n v="17"/>
    <d v="1899-12-30T00:31:32"/>
    <n v="31.533333333333335"/>
  </r>
  <r>
    <x v="124"/>
    <x v="4"/>
    <x v="3"/>
    <n v="4"/>
    <d v="1899-12-30T00:04:03"/>
    <n v="4.05"/>
  </r>
  <r>
    <x v="124"/>
    <x v="4"/>
    <x v="4"/>
    <n v="9"/>
    <d v="1899-12-30T00:12:14"/>
    <n v="12.233333333333333"/>
  </r>
  <r>
    <x v="124"/>
    <x v="4"/>
    <x v="5"/>
    <n v="4"/>
    <d v="1899-12-30T00:06:00"/>
    <n v="6"/>
  </r>
  <r>
    <x v="124"/>
    <x v="5"/>
    <x v="0"/>
    <n v="16"/>
    <d v="1899-12-30T00:26:25"/>
    <n v="26.416666666666668"/>
  </r>
  <r>
    <x v="124"/>
    <x v="5"/>
    <x v="1"/>
    <n v="15"/>
    <d v="1899-12-30T00:30:03"/>
    <n v="30.05"/>
  </r>
  <r>
    <x v="124"/>
    <x v="5"/>
    <x v="2"/>
    <n v="24"/>
    <d v="1899-12-30T00:30:38"/>
    <n v="30.633333333333333"/>
  </r>
  <r>
    <x v="124"/>
    <x v="5"/>
    <x v="3"/>
    <n v="4"/>
    <d v="1899-12-30T00:02:56"/>
    <n v="2.9333333333333336"/>
  </r>
  <r>
    <x v="124"/>
    <x v="5"/>
    <x v="4"/>
    <n v="1"/>
    <d v="1899-12-30T00:01:38"/>
    <n v="1.6333333333333333"/>
  </r>
  <r>
    <x v="124"/>
    <x v="5"/>
    <x v="5"/>
    <n v="18"/>
    <d v="1899-12-30T00:23:00"/>
    <n v="23"/>
  </r>
  <r>
    <x v="124"/>
    <x v="6"/>
    <x v="0"/>
    <n v="21"/>
    <d v="1899-12-30T00:40:50"/>
    <n v="40.833333333333336"/>
  </r>
  <r>
    <x v="124"/>
    <x v="6"/>
    <x v="1"/>
    <n v="24"/>
    <d v="1899-12-30T00:38:43"/>
    <n v="38.716666666666669"/>
  </r>
  <r>
    <x v="124"/>
    <x v="6"/>
    <x v="2"/>
    <n v="17"/>
    <d v="1899-12-30T00:23:38"/>
    <n v="23.633333333333333"/>
  </r>
  <r>
    <x v="124"/>
    <x v="6"/>
    <x v="3"/>
    <n v="10"/>
    <d v="1899-12-30T00:10:21"/>
    <n v="10.35"/>
  </r>
  <r>
    <x v="124"/>
    <x v="6"/>
    <x v="4"/>
    <n v="11"/>
    <d v="1899-12-30T00:20:18"/>
    <n v="20.3"/>
  </r>
  <r>
    <x v="124"/>
    <x v="6"/>
    <x v="5"/>
    <n v="13"/>
    <d v="1899-12-30T00:18:58"/>
    <n v="18.966666666666665"/>
  </r>
  <r>
    <x v="124"/>
    <x v="7"/>
    <x v="0"/>
    <n v="51"/>
    <d v="1899-12-30T01:32:23"/>
    <n v="92.38333333333334"/>
  </r>
  <r>
    <x v="124"/>
    <x v="7"/>
    <x v="1"/>
    <n v="98"/>
    <d v="1899-12-30T02:34:35"/>
    <n v="154.58333333333334"/>
  </r>
  <r>
    <x v="124"/>
    <x v="7"/>
    <x v="2"/>
    <n v="35"/>
    <d v="1899-12-30T00:47:29"/>
    <n v="47.483333333333334"/>
  </r>
  <r>
    <x v="124"/>
    <x v="7"/>
    <x v="3"/>
    <n v="52"/>
    <d v="1899-12-30T00:54:38"/>
    <n v="54.633333333333333"/>
  </r>
  <r>
    <x v="124"/>
    <x v="7"/>
    <x v="4"/>
    <n v="128"/>
    <d v="1899-12-30T03:40:58"/>
    <n v="220.96666666666667"/>
  </r>
  <r>
    <x v="124"/>
    <x v="7"/>
    <x v="5"/>
    <n v="48"/>
    <d v="1899-12-30T00:55:49"/>
    <n v="55.81666666666667"/>
  </r>
  <r>
    <x v="124"/>
    <x v="8"/>
    <x v="0"/>
    <n v="25"/>
    <d v="1899-12-30T00:48:05"/>
    <n v="48.083333333333336"/>
  </r>
  <r>
    <x v="124"/>
    <x v="8"/>
    <x v="1"/>
    <n v="15"/>
    <d v="1899-12-30T00:23:17"/>
    <n v="23.283333333333335"/>
  </r>
  <r>
    <x v="124"/>
    <x v="8"/>
    <x v="2"/>
    <n v="18"/>
    <d v="1899-12-30T00:29:57"/>
    <n v="29.95"/>
  </r>
  <r>
    <x v="124"/>
    <x v="8"/>
    <x v="3"/>
    <n v="15"/>
    <d v="1899-12-30T00:19:30"/>
    <n v="19.5"/>
  </r>
  <r>
    <x v="124"/>
    <x v="8"/>
    <x v="4"/>
    <n v="12"/>
    <d v="1899-12-30T00:22:01"/>
    <n v="22.016666666666666"/>
  </r>
  <r>
    <x v="124"/>
    <x v="8"/>
    <x v="5"/>
    <n v="29"/>
    <d v="1899-12-30T00:35:13"/>
    <n v="35.216666666666669"/>
  </r>
  <r>
    <x v="124"/>
    <x v="9"/>
    <x v="0"/>
    <n v="33"/>
    <d v="1899-12-30T00:57:30"/>
    <n v="57.5"/>
  </r>
  <r>
    <x v="124"/>
    <x v="9"/>
    <x v="1"/>
    <n v="34"/>
    <d v="1899-12-30T00:55:31"/>
    <n v="55.516666666666666"/>
  </r>
  <r>
    <x v="124"/>
    <x v="9"/>
    <x v="2"/>
    <n v="32"/>
    <d v="1899-12-30T00:51:55"/>
    <n v="51.916666666666664"/>
  </r>
  <r>
    <x v="124"/>
    <x v="9"/>
    <x v="3"/>
    <n v="18"/>
    <d v="1899-12-30T00:17:22"/>
    <n v="17.366666666666667"/>
  </r>
  <r>
    <x v="124"/>
    <x v="9"/>
    <x v="4"/>
    <n v="6"/>
    <d v="1899-12-30T00:12:57"/>
    <n v="12.95"/>
  </r>
  <r>
    <x v="124"/>
    <x v="9"/>
    <x v="5"/>
    <n v="25"/>
    <d v="1899-12-30T00:31:09"/>
    <n v="31.15"/>
  </r>
  <r>
    <x v="124"/>
    <x v="10"/>
    <x v="0"/>
    <n v="20"/>
    <d v="1899-12-30T00:40:18"/>
    <n v="40.299999999999997"/>
  </r>
  <r>
    <x v="124"/>
    <x v="10"/>
    <x v="1"/>
    <n v="20"/>
    <d v="1899-12-30T01:05:46"/>
    <n v="65.766666666666666"/>
  </r>
  <r>
    <x v="124"/>
    <x v="10"/>
    <x v="2"/>
    <n v="12"/>
    <d v="1899-12-30T00:25:39"/>
    <n v="25.65"/>
  </r>
  <r>
    <x v="124"/>
    <x v="10"/>
    <x v="3"/>
    <n v="4"/>
    <d v="1899-12-30T00:05:34"/>
    <n v="5.5666666666666664"/>
  </r>
  <r>
    <x v="124"/>
    <x v="10"/>
    <x v="4"/>
    <n v="2"/>
    <d v="1899-12-30T00:03:35"/>
    <n v="3.5833333333333335"/>
  </r>
  <r>
    <x v="124"/>
    <x v="10"/>
    <x v="5"/>
    <n v="26"/>
    <d v="1899-12-30T00:47:55"/>
    <n v="47.916666666666664"/>
  </r>
  <r>
    <x v="124"/>
    <x v="11"/>
    <x v="0"/>
    <n v="16"/>
    <d v="1899-12-30T00:37:13"/>
    <n v="37.216666666666669"/>
  </r>
  <r>
    <x v="124"/>
    <x v="11"/>
    <x v="1"/>
    <n v="6"/>
    <d v="1899-12-30T00:18:05"/>
    <n v="18.083333333333332"/>
  </r>
  <r>
    <x v="124"/>
    <x v="11"/>
    <x v="2"/>
    <n v="6"/>
    <d v="1899-12-30T00:11:07"/>
    <n v="11.116666666666667"/>
  </r>
  <r>
    <x v="124"/>
    <x v="11"/>
    <x v="3"/>
    <n v="3"/>
    <d v="1899-12-30T00:02:41"/>
    <n v="2.6833333333333336"/>
  </r>
  <r>
    <x v="124"/>
    <x v="11"/>
    <x v="4"/>
    <n v="0"/>
    <d v="1899-12-30T00:00:00"/>
    <n v="0"/>
  </r>
  <r>
    <x v="124"/>
    <x v="11"/>
    <x v="5"/>
    <n v="12"/>
    <d v="1899-12-30T00:23:31"/>
    <n v="23.516666666666666"/>
  </r>
  <r>
    <x v="124"/>
    <x v="12"/>
    <x v="0"/>
    <n v="98"/>
    <d v="1899-12-30T03:03:47"/>
    <n v="183.78333333333333"/>
  </r>
  <r>
    <x v="124"/>
    <x v="12"/>
    <x v="1"/>
    <n v="97"/>
    <d v="1899-12-30T03:36:06"/>
    <n v="216.1"/>
  </r>
  <r>
    <x v="124"/>
    <x v="12"/>
    <x v="2"/>
    <n v="54"/>
    <d v="1899-12-30T01:32:39"/>
    <n v="92.65"/>
  </r>
  <r>
    <x v="124"/>
    <x v="12"/>
    <x v="3"/>
    <n v="21"/>
    <d v="1899-12-30T00:26:06"/>
    <n v="26.1"/>
  </r>
  <r>
    <x v="124"/>
    <x v="12"/>
    <x v="4"/>
    <n v="27"/>
    <d v="1899-12-30T00:47:06"/>
    <n v="47.1"/>
  </r>
  <r>
    <x v="124"/>
    <x v="12"/>
    <x v="5"/>
    <n v="81"/>
    <d v="1899-12-30T01:59:42"/>
    <n v="119.7"/>
  </r>
  <r>
    <x v="124"/>
    <x v="13"/>
    <x v="0"/>
    <n v="47"/>
    <d v="1899-12-30T01:18:24"/>
    <n v="78.400000000000006"/>
  </r>
  <r>
    <x v="124"/>
    <x v="13"/>
    <x v="1"/>
    <n v="28"/>
    <d v="1899-12-30T00:27:32"/>
    <n v="27.533333333333335"/>
  </r>
  <r>
    <x v="124"/>
    <x v="13"/>
    <x v="2"/>
    <n v="25"/>
    <d v="1899-12-30T00:30:06"/>
    <n v="30.1"/>
  </r>
  <r>
    <x v="124"/>
    <x v="13"/>
    <x v="3"/>
    <n v="40"/>
    <d v="1899-12-30T00:48:34"/>
    <n v="48.56666666666667"/>
  </r>
  <r>
    <x v="124"/>
    <x v="13"/>
    <x v="4"/>
    <n v="4"/>
    <d v="1899-12-30T00:08:20"/>
    <n v="8.3333333333333339"/>
  </r>
  <r>
    <x v="124"/>
    <x v="13"/>
    <x v="5"/>
    <n v="28"/>
    <d v="1899-12-30T00:33:06"/>
    <n v="33.1"/>
  </r>
  <r>
    <x v="125"/>
    <x v="0"/>
    <x v="0"/>
    <n v="32"/>
    <d v="1899-12-30T00:42:16"/>
    <n v="42.266666666666666"/>
  </r>
  <r>
    <x v="125"/>
    <x v="0"/>
    <x v="1"/>
    <n v="26"/>
    <d v="1899-12-30T00:25:12"/>
    <n v="25.2"/>
  </r>
  <r>
    <x v="125"/>
    <x v="0"/>
    <x v="2"/>
    <n v="13"/>
    <d v="1899-12-30T00:15:36"/>
    <n v="15.6"/>
  </r>
  <r>
    <x v="125"/>
    <x v="0"/>
    <x v="3"/>
    <n v="10"/>
    <d v="1899-12-30T00:09:46"/>
    <n v="9.7666666666666675"/>
  </r>
  <r>
    <x v="125"/>
    <x v="0"/>
    <x v="4"/>
    <n v="3"/>
    <d v="1899-12-30T00:04:10"/>
    <n v="4.166666666666667"/>
  </r>
  <r>
    <x v="125"/>
    <x v="0"/>
    <x v="5"/>
    <n v="34"/>
    <d v="1899-12-30T00:34:54"/>
    <n v="34.9"/>
  </r>
  <r>
    <x v="125"/>
    <x v="1"/>
    <x v="0"/>
    <n v="51"/>
    <d v="1899-12-30T01:44:33"/>
    <n v="104.55"/>
  </r>
  <r>
    <x v="125"/>
    <x v="1"/>
    <x v="1"/>
    <n v="40"/>
    <d v="1899-12-30T01:33:32"/>
    <n v="93.533333333333331"/>
  </r>
  <r>
    <x v="125"/>
    <x v="1"/>
    <x v="2"/>
    <n v="24"/>
    <d v="1899-12-30T00:44:42"/>
    <n v="44.7"/>
  </r>
  <r>
    <x v="125"/>
    <x v="1"/>
    <x v="3"/>
    <n v="29"/>
    <d v="1899-12-30T00:41:15"/>
    <n v="41.25"/>
  </r>
  <r>
    <x v="125"/>
    <x v="1"/>
    <x v="4"/>
    <n v="34"/>
    <d v="1899-12-30T01:26:36"/>
    <n v="86.6"/>
  </r>
  <r>
    <x v="125"/>
    <x v="1"/>
    <x v="5"/>
    <n v="60"/>
    <d v="1899-12-30T01:31:34"/>
    <n v="91.566666666666663"/>
  </r>
  <r>
    <x v="125"/>
    <x v="2"/>
    <x v="0"/>
    <n v="77"/>
    <d v="1899-12-30T02:26:06"/>
    <n v="146.1"/>
  </r>
  <r>
    <x v="125"/>
    <x v="2"/>
    <x v="1"/>
    <n v="142"/>
    <d v="1899-12-30T05:18:08"/>
    <n v="318.13333333333333"/>
  </r>
  <r>
    <x v="125"/>
    <x v="2"/>
    <x v="2"/>
    <n v="70"/>
    <d v="1899-12-30T02:01:06"/>
    <n v="121.1"/>
  </r>
  <r>
    <x v="125"/>
    <x v="2"/>
    <x v="3"/>
    <n v="42"/>
    <d v="1899-12-30T00:43:00"/>
    <n v="43"/>
  </r>
  <r>
    <x v="125"/>
    <x v="2"/>
    <x v="4"/>
    <n v="47"/>
    <d v="1899-12-30T01:44:49"/>
    <n v="104.81666666666666"/>
  </r>
  <r>
    <x v="125"/>
    <x v="2"/>
    <x v="5"/>
    <n v="57"/>
    <d v="1899-12-30T01:16:33"/>
    <n v="76.55"/>
  </r>
  <r>
    <x v="125"/>
    <x v="3"/>
    <x v="0"/>
    <n v="21"/>
    <d v="1899-12-30T00:43:54"/>
    <n v="43.9"/>
  </r>
  <r>
    <x v="125"/>
    <x v="3"/>
    <x v="1"/>
    <n v="23"/>
    <d v="1899-12-30T00:56:30"/>
    <n v="56.5"/>
  </r>
  <r>
    <x v="125"/>
    <x v="3"/>
    <x v="2"/>
    <n v="8"/>
    <d v="1899-12-30T00:18:09"/>
    <n v="18.149999999999999"/>
  </r>
  <r>
    <x v="125"/>
    <x v="3"/>
    <x v="3"/>
    <n v="2"/>
    <d v="1899-12-30T00:02:14"/>
    <n v="2.2333333333333334"/>
  </r>
  <r>
    <x v="125"/>
    <x v="3"/>
    <x v="4"/>
    <n v="0"/>
    <d v="1899-12-30T00:00:00"/>
    <n v="0"/>
  </r>
  <r>
    <x v="125"/>
    <x v="3"/>
    <x v="5"/>
    <n v="14"/>
    <d v="1899-12-30T00:19:29"/>
    <n v="19.483333333333334"/>
  </r>
  <r>
    <x v="125"/>
    <x v="4"/>
    <x v="0"/>
    <n v="39"/>
    <d v="1899-12-30T01:04:05"/>
    <n v="64.083333333333329"/>
  </r>
  <r>
    <x v="125"/>
    <x v="4"/>
    <x v="1"/>
    <n v="31"/>
    <d v="1899-12-30T01:07:30"/>
    <n v="67.5"/>
  </r>
  <r>
    <x v="125"/>
    <x v="4"/>
    <x v="2"/>
    <n v="27"/>
    <d v="1899-12-30T00:46:55"/>
    <n v="46.916666666666664"/>
  </r>
  <r>
    <x v="125"/>
    <x v="4"/>
    <x v="3"/>
    <n v="4"/>
    <d v="1899-12-30T00:04:18"/>
    <n v="4.3"/>
  </r>
  <r>
    <x v="125"/>
    <x v="4"/>
    <x v="4"/>
    <n v="14"/>
    <d v="1899-12-30T00:25:39"/>
    <n v="25.65"/>
  </r>
  <r>
    <x v="125"/>
    <x v="4"/>
    <x v="5"/>
    <n v="22"/>
    <d v="1899-12-30T00:32:34"/>
    <n v="32.56666666666667"/>
  </r>
  <r>
    <x v="125"/>
    <x v="5"/>
    <x v="0"/>
    <n v="25"/>
    <d v="1899-12-30T00:33:21"/>
    <n v="33.35"/>
  </r>
  <r>
    <x v="125"/>
    <x v="5"/>
    <x v="1"/>
    <n v="18"/>
    <d v="1899-12-30T00:25:08"/>
    <n v="25.133333333333333"/>
  </r>
  <r>
    <x v="125"/>
    <x v="5"/>
    <x v="2"/>
    <n v="27"/>
    <d v="1899-12-30T00:30:45"/>
    <n v="30.75"/>
  </r>
  <r>
    <x v="125"/>
    <x v="5"/>
    <x v="3"/>
    <n v="11"/>
    <d v="1899-12-30T00:09:38"/>
    <n v="9.6333333333333329"/>
  </r>
  <r>
    <x v="125"/>
    <x v="5"/>
    <x v="4"/>
    <n v="6"/>
    <d v="1899-12-30T00:11:46"/>
    <n v="11.766666666666667"/>
  </r>
  <r>
    <x v="125"/>
    <x v="5"/>
    <x v="5"/>
    <n v="42"/>
    <d v="1899-12-30T00:54:19"/>
    <n v="54.31666666666667"/>
  </r>
  <r>
    <x v="125"/>
    <x v="6"/>
    <x v="0"/>
    <n v="23"/>
    <d v="1899-12-30T00:37:56"/>
    <n v="37.93333333333333"/>
  </r>
  <r>
    <x v="125"/>
    <x v="6"/>
    <x v="1"/>
    <n v="14"/>
    <d v="1899-12-30T00:10:58"/>
    <n v="10.966666666666667"/>
  </r>
  <r>
    <x v="125"/>
    <x v="6"/>
    <x v="2"/>
    <n v="13"/>
    <d v="1899-12-30T00:13:00"/>
    <n v="13"/>
  </r>
  <r>
    <x v="125"/>
    <x v="6"/>
    <x v="3"/>
    <n v="7"/>
    <d v="1899-12-30T00:05:27"/>
    <n v="5.45"/>
  </r>
  <r>
    <x v="125"/>
    <x v="6"/>
    <x v="4"/>
    <n v="6"/>
    <d v="1899-12-30T00:07:15"/>
    <n v="7.25"/>
  </r>
  <r>
    <x v="125"/>
    <x v="6"/>
    <x v="5"/>
    <n v="14"/>
    <d v="1899-12-30T00:14:23"/>
    <n v="14.383333333333333"/>
  </r>
  <r>
    <x v="125"/>
    <x v="7"/>
    <x v="0"/>
    <n v="89"/>
    <d v="1899-12-30T02:29:11"/>
    <n v="149.18333333333334"/>
  </r>
  <r>
    <x v="125"/>
    <x v="7"/>
    <x v="1"/>
    <n v="117"/>
    <d v="1899-12-30T02:40:24"/>
    <n v="160.4"/>
  </r>
  <r>
    <x v="125"/>
    <x v="7"/>
    <x v="2"/>
    <n v="55"/>
    <d v="1899-12-30T01:21:37"/>
    <n v="81.61666666666666"/>
  </r>
  <r>
    <x v="125"/>
    <x v="7"/>
    <x v="3"/>
    <n v="69"/>
    <d v="1899-12-30T01:00:57"/>
    <n v="60.95"/>
  </r>
  <r>
    <x v="125"/>
    <x v="7"/>
    <x v="4"/>
    <n v="124"/>
    <d v="1899-12-30T03:36:56"/>
    <n v="216.93333333333334"/>
  </r>
  <r>
    <x v="125"/>
    <x v="7"/>
    <x v="5"/>
    <n v="64"/>
    <d v="1899-12-30T01:19:47"/>
    <n v="79.783333333333331"/>
  </r>
  <r>
    <x v="125"/>
    <x v="8"/>
    <x v="0"/>
    <n v="27"/>
    <d v="1899-12-30T00:49:37"/>
    <n v="49.616666666666667"/>
  </r>
  <r>
    <x v="125"/>
    <x v="8"/>
    <x v="1"/>
    <n v="23"/>
    <d v="1899-12-30T00:45:07"/>
    <n v="45.116666666666667"/>
  </r>
  <r>
    <x v="125"/>
    <x v="8"/>
    <x v="2"/>
    <n v="24"/>
    <d v="1899-12-30T00:36:03"/>
    <n v="36.049999999999997"/>
  </r>
  <r>
    <x v="125"/>
    <x v="8"/>
    <x v="3"/>
    <n v="25"/>
    <d v="1899-12-30T00:25:07"/>
    <n v="25.116666666666667"/>
  </r>
  <r>
    <x v="125"/>
    <x v="8"/>
    <x v="4"/>
    <n v="17"/>
    <d v="1899-12-30T00:32:17"/>
    <n v="32.283333333333331"/>
  </r>
  <r>
    <x v="125"/>
    <x v="8"/>
    <x v="5"/>
    <n v="33"/>
    <d v="1899-12-30T00:45:50"/>
    <n v="45.833333333333336"/>
  </r>
  <r>
    <x v="125"/>
    <x v="9"/>
    <x v="0"/>
    <n v="79"/>
    <d v="1899-12-30T02:24:38"/>
    <n v="144.63333333333333"/>
  </r>
  <r>
    <x v="125"/>
    <x v="9"/>
    <x v="1"/>
    <n v="84"/>
    <d v="1899-12-30T02:14:26"/>
    <n v="134.43333333333334"/>
  </r>
  <r>
    <x v="125"/>
    <x v="9"/>
    <x v="2"/>
    <n v="68"/>
    <d v="1899-12-30T01:33:15"/>
    <n v="93.25"/>
  </r>
  <r>
    <x v="125"/>
    <x v="9"/>
    <x v="3"/>
    <n v="49"/>
    <d v="1899-12-30T00:47:27"/>
    <n v="47.45"/>
  </r>
  <r>
    <x v="125"/>
    <x v="9"/>
    <x v="4"/>
    <n v="11"/>
    <d v="1899-12-30T00:18:57"/>
    <n v="18.95"/>
  </r>
  <r>
    <x v="125"/>
    <x v="9"/>
    <x v="5"/>
    <n v="66"/>
    <d v="1899-12-30T01:26:59"/>
    <n v="86.983333333333334"/>
  </r>
  <r>
    <x v="125"/>
    <x v="10"/>
    <x v="0"/>
    <n v="23"/>
    <d v="1899-12-30T00:47:22"/>
    <n v="47.366666666666667"/>
  </r>
  <r>
    <x v="125"/>
    <x v="10"/>
    <x v="1"/>
    <n v="8"/>
    <d v="1899-12-30T00:24:36"/>
    <n v="24.6"/>
  </r>
  <r>
    <x v="125"/>
    <x v="10"/>
    <x v="2"/>
    <n v="16"/>
    <d v="1899-12-30T00:26:35"/>
    <n v="26.583333333333332"/>
  </r>
  <r>
    <x v="125"/>
    <x v="10"/>
    <x v="3"/>
    <n v="8"/>
    <d v="1899-12-30T00:09:51"/>
    <n v="9.85"/>
  </r>
  <r>
    <x v="125"/>
    <x v="10"/>
    <x v="4"/>
    <n v="5"/>
    <d v="1899-12-30T00:08:19"/>
    <n v="8.3166666666666664"/>
  </r>
  <r>
    <x v="125"/>
    <x v="10"/>
    <x v="5"/>
    <n v="32"/>
    <d v="1899-12-30T00:47:09"/>
    <n v="47.15"/>
  </r>
  <r>
    <x v="125"/>
    <x v="11"/>
    <x v="0"/>
    <n v="10"/>
    <d v="1899-12-30T00:17:06"/>
    <n v="17.100000000000001"/>
  </r>
  <r>
    <x v="125"/>
    <x v="11"/>
    <x v="1"/>
    <n v="15"/>
    <d v="1899-12-30T00:25:22"/>
    <n v="25.366666666666667"/>
  </r>
  <r>
    <x v="125"/>
    <x v="11"/>
    <x v="2"/>
    <n v="11"/>
    <d v="1899-12-30T00:18:23"/>
    <n v="18.383333333333333"/>
  </r>
  <r>
    <x v="125"/>
    <x v="11"/>
    <x v="3"/>
    <n v="4"/>
    <d v="1899-12-30T00:03:56"/>
    <n v="3.9333333333333336"/>
  </r>
  <r>
    <x v="125"/>
    <x v="11"/>
    <x v="4"/>
    <n v="6"/>
    <d v="1899-12-30T00:09:34"/>
    <n v="9.5666666666666664"/>
  </r>
  <r>
    <x v="125"/>
    <x v="11"/>
    <x v="5"/>
    <n v="16"/>
    <d v="1899-12-30T00:28:50"/>
    <n v="28.833333333333332"/>
  </r>
  <r>
    <x v="125"/>
    <x v="12"/>
    <x v="0"/>
    <n v="89"/>
    <d v="1899-12-30T02:53:46"/>
    <n v="173.76666666666668"/>
  </r>
  <r>
    <x v="125"/>
    <x v="12"/>
    <x v="1"/>
    <n v="106"/>
    <d v="1899-12-30T03:58:49"/>
    <n v="238.81666666666666"/>
  </r>
  <r>
    <x v="125"/>
    <x v="12"/>
    <x v="2"/>
    <n v="83"/>
    <d v="1899-12-30T02:22:42"/>
    <n v="142.69999999999999"/>
  </r>
  <r>
    <x v="125"/>
    <x v="12"/>
    <x v="3"/>
    <n v="46"/>
    <d v="1899-12-30T00:47:40"/>
    <n v="47.666666666666664"/>
  </r>
  <r>
    <x v="125"/>
    <x v="12"/>
    <x v="4"/>
    <n v="29"/>
    <d v="1899-12-30T00:52:42"/>
    <n v="52.7"/>
  </r>
  <r>
    <x v="125"/>
    <x v="12"/>
    <x v="5"/>
    <n v="79"/>
    <d v="1899-12-30T01:53:28"/>
    <n v="113.46666666666667"/>
  </r>
  <r>
    <x v="125"/>
    <x v="13"/>
    <x v="0"/>
    <n v="59"/>
    <d v="1899-12-30T01:34:06"/>
    <n v="94.1"/>
  </r>
  <r>
    <x v="125"/>
    <x v="13"/>
    <x v="1"/>
    <n v="46"/>
    <d v="1899-12-30T01:01:55"/>
    <n v="61.916666666666664"/>
  </r>
  <r>
    <x v="125"/>
    <x v="13"/>
    <x v="2"/>
    <n v="38"/>
    <d v="1899-12-30T00:41:55"/>
    <n v="41.916666666666664"/>
  </r>
  <r>
    <x v="125"/>
    <x v="13"/>
    <x v="3"/>
    <n v="54"/>
    <d v="1899-12-30T00:57:03"/>
    <n v="57.05"/>
  </r>
  <r>
    <x v="125"/>
    <x v="13"/>
    <x v="4"/>
    <n v="4"/>
    <d v="1899-12-30T00:06:41"/>
    <n v="6.6833333333333336"/>
  </r>
  <r>
    <x v="125"/>
    <x v="13"/>
    <x v="5"/>
    <n v="43"/>
    <d v="1899-12-30T00:51:37"/>
    <n v="51.616666666666667"/>
  </r>
  <r>
    <x v="126"/>
    <x v="0"/>
    <x v="0"/>
    <n v="32"/>
    <d v="1899-12-30T00:45:56"/>
    <n v="45.93333333333333"/>
  </r>
  <r>
    <x v="126"/>
    <x v="0"/>
    <x v="1"/>
    <n v="55"/>
    <d v="1899-12-30T01:13:44"/>
    <n v="73.733333333333334"/>
  </r>
  <r>
    <x v="126"/>
    <x v="0"/>
    <x v="2"/>
    <n v="44"/>
    <d v="1899-12-30T00:57:44"/>
    <n v="57.733333333333334"/>
  </r>
  <r>
    <x v="126"/>
    <x v="0"/>
    <x v="3"/>
    <n v="15"/>
    <d v="1899-12-30T00:12:16"/>
    <n v="12.266666666666667"/>
  </r>
  <r>
    <x v="126"/>
    <x v="0"/>
    <x v="4"/>
    <n v="4"/>
    <d v="1899-12-30T00:03:23"/>
    <n v="3.3833333333333333"/>
  </r>
  <r>
    <x v="126"/>
    <x v="0"/>
    <x v="5"/>
    <n v="34"/>
    <d v="1899-12-30T00:33:03"/>
    <n v="33.049999999999997"/>
  </r>
  <r>
    <x v="126"/>
    <x v="1"/>
    <x v="0"/>
    <n v="57"/>
    <d v="1899-12-30T02:06:13"/>
    <n v="126.21666666666667"/>
  </r>
  <r>
    <x v="126"/>
    <x v="1"/>
    <x v="1"/>
    <n v="22"/>
    <d v="1899-12-30T01:01:21"/>
    <n v="61.35"/>
  </r>
  <r>
    <x v="126"/>
    <x v="1"/>
    <x v="2"/>
    <n v="30"/>
    <d v="1899-12-30T01:12:01"/>
    <n v="72.016666666666666"/>
  </r>
  <r>
    <x v="126"/>
    <x v="1"/>
    <x v="3"/>
    <n v="36"/>
    <d v="1899-12-30T00:44:10"/>
    <n v="44.166666666666664"/>
  </r>
  <r>
    <x v="126"/>
    <x v="1"/>
    <x v="4"/>
    <n v="28"/>
    <d v="1899-12-30T01:17:04"/>
    <n v="77.066666666666663"/>
  </r>
  <r>
    <x v="126"/>
    <x v="1"/>
    <x v="5"/>
    <n v="50"/>
    <d v="1899-12-30T01:14:53"/>
    <n v="74.88333333333334"/>
  </r>
  <r>
    <x v="126"/>
    <x v="2"/>
    <x v="0"/>
    <n v="126"/>
    <d v="1899-12-30T04:04:43"/>
    <n v="244.71666666666667"/>
  </r>
  <r>
    <x v="126"/>
    <x v="2"/>
    <x v="1"/>
    <n v="154"/>
    <d v="1899-12-30T04:56:00"/>
    <n v="296"/>
  </r>
  <r>
    <x v="126"/>
    <x v="2"/>
    <x v="2"/>
    <n v="90"/>
    <d v="1899-12-30T02:17:20"/>
    <n v="137.33333333333334"/>
  </r>
  <r>
    <x v="126"/>
    <x v="2"/>
    <x v="3"/>
    <n v="56"/>
    <d v="1899-12-30T01:03:23"/>
    <n v="63.383333333333333"/>
  </r>
  <r>
    <x v="126"/>
    <x v="2"/>
    <x v="4"/>
    <n v="56"/>
    <d v="1899-12-30T01:51:22"/>
    <n v="111.36666666666666"/>
  </r>
  <r>
    <x v="126"/>
    <x v="2"/>
    <x v="5"/>
    <n v="78"/>
    <d v="1899-12-30T01:41:39"/>
    <n v="101.65"/>
  </r>
  <r>
    <x v="126"/>
    <x v="3"/>
    <x v="0"/>
    <n v="5"/>
    <d v="1899-12-30T00:11:20"/>
    <n v="11.333333333333334"/>
  </r>
  <r>
    <x v="126"/>
    <x v="3"/>
    <x v="1"/>
    <n v="5"/>
    <d v="1899-12-30T00:05:54"/>
    <n v="5.9"/>
  </r>
  <r>
    <x v="126"/>
    <x v="3"/>
    <x v="2"/>
    <n v="3"/>
    <d v="1899-12-30T00:06:22"/>
    <n v="6.3666666666666663"/>
  </r>
  <r>
    <x v="126"/>
    <x v="3"/>
    <x v="3"/>
    <n v="3"/>
    <d v="1899-12-30T00:04:37"/>
    <n v="4.6166666666666671"/>
  </r>
  <r>
    <x v="126"/>
    <x v="3"/>
    <x v="4"/>
    <n v="0"/>
    <d v="1899-12-30T00:00:00"/>
    <n v="0"/>
  </r>
  <r>
    <x v="126"/>
    <x v="3"/>
    <x v="5"/>
    <n v="9"/>
    <d v="1899-12-30T00:14:33"/>
    <n v="14.55"/>
  </r>
  <r>
    <x v="126"/>
    <x v="4"/>
    <x v="0"/>
    <n v="28"/>
    <d v="1899-12-30T00:59:04"/>
    <n v="59.06666666666667"/>
  </r>
  <r>
    <x v="126"/>
    <x v="4"/>
    <x v="1"/>
    <n v="32"/>
    <d v="1899-12-30T01:06:35"/>
    <n v="66.583333333333329"/>
  </r>
  <r>
    <x v="126"/>
    <x v="4"/>
    <x v="2"/>
    <n v="25"/>
    <d v="1899-12-30T00:45:17"/>
    <n v="45.283333333333331"/>
  </r>
  <r>
    <x v="126"/>
    <x v="4"/>
    <x v="3"/>
    <n v="8"/>
    <d v="1899-12-30T00:09:38"/>
    <n v="9.6333333333333329"/>
  </r>
  <r>
    <x v="126"/>
    <x v="4"/>
    <x v="4"/>
    <n v="2"/>
    <d v="1899-12-30T00:04:28"/>
    <n v="4.4666666666666668"/>
  </r>
  <r>
    <x v="126"/>
    <x v="4"/>
    <x v="5"/>
    <n v="14"/>
    <d v="1899-12-30T00:17:17"/>
    <n v="17.283333333333335"/>
  </r>
  <r>
    <x v="126"/>
    <x v="5"/>
    <x v="0"/>
    <n v="8"/>
    <d v="1899-12-30T00:13:04"/>
    <n v="13.066666666666666"/>
  </r>
  <r>
    <x v="126"/>
    <x v="5"/>
    <x v="1"/>
    <n v="13"/>
    <d v="1899-12-30T00:20:57"/>
    <n v="20.95"/>
  </r>
  <r>
    <x v="126"/>
    <x v="5"/>
    <x v="2"/>
    <n v="10"/>
    <d v="1899-12-30T00:15:52"/>
    <n v="15.866666666666667"/>
  </r>
  <r>
    <x v="126"/>
    <x v="5"/>
    <x v="3"/>
    <n v="7"/>
    <d v="1899-12-30T00:05:14"/>
    <n v="5.2333333333333334"/>
  </r>
  <r>
    <x v="126"/>
    <x v="5"/>
    <x v="4"/>
    <n v="9"/>
    <d v="1899-12-30T00:13:50"/>
    <n v="13.833333333333334"/>
  </r>
  <r>
    <x v="126"/>
    <x v="5"/>
    <x v="5"/>
    <n v="19"/>
    <d v="1899-12-30T00:18:12"/>
    <n v="18.2"/>
  </r>
  <r>
    <x v="126"/>
    <x v="6"/>
    <x v="0"/>
    <n v="4"/>
    <d v="1899-12-30T00:05:49"/>
    <n v="5.8166666666666664"/>
  </r>
  <r>
    <x v="126"/>
    <x v="6"/>
    <x v="1"/>
    <n v="8"/>
    <d v="1899-12-30T00:17:12"/>
    <n v="17.2"/>
  </r>
  <r>
    <x v="126"/>
    <x v="6"/>
    <x v="2"/>
    <n v="7"/>
    <d v="1899-12-30T00:08:52"/>
    <n v="8.8666666666666671"/>
  </r>
  <r>
    <x v="126"/>
    <x v="6"/>
    <x v="3"/>
    <n v="4"/>
    <d v="1899-12-30T00:02:54"/>
    <n v="2.9"/>
  </r>
  <r>
    <x v="126"/>
    <x v="6"/>
    <x v="4"/>
    <n v="4"/>
    <d v="1899-12-30T00:07:51"/>
    <n v="7.85"/>
  </r>
  <r>
    <x v="126"/>
    <x v="6"/>
    <x v="5"/>
    <n v="4"/>
    <d v="1899-12-30T00:04:45"/>
    <n v="4.75"/>
  </r>
  <r>
    <x v="126"/>
    <x v="7"/>
    <x v="0"/>
    <n v="50"/>
    <d v="1899-12-30T01:13:40"/>
    <n v="73.666666666666671"/>
  </r>
  <r>
    <x v="126"/>
    <x v="7"/>
    <x v="1"/>
    <n v="89"/>
    <d v="1899-12-30T01:59:48"/>
    <n v="119.8"/>
  </r>
  <r>
    <x v="126"/>
    <x v="7"/>
    <x v="2"/>
    <n v="42"/>
    <d v="1899-12-30T01:00:16"/>
    <n v="60.266666666666666"/>
  </r>
  <r>
    <x v="126"/>
    <x v="7"/>
    <x v="3"/>
    <n v="42"/>
    <d v="1899-12-30T00:48:05"/>
    <n v="48.083333333333336"/>
  </r>
  <r>
    <x v="126"/>
    <x v="7"/>
    <x v="4"/>
    <n v="103"/>
    <d v="1899-12-30T03:00:31"/>
    <n v="180.51666666666668"/>
  </r>
  <r>
    <x v="126"/>
    <x v="7"/>
    <x v="5"/>
    <n v="41"/>
    <d v="1899-12-30T00:40:05"/>
    <n v="40.083333333333336"/>
  </r>
  <r>
    <x v="126"/>
    <x v="8"/>
    <x v="0"/>
    <n v="4"/>
    <d v="1899-12-30T00:06:31"/>
    <n v="6.5166666666666666"/>
  </r>
  <r>
    <x v="126"/>
    <x v="8"/>
    <x v="1"/>
    <n v="17"/>
    <d v="1899-12-30T00:33:11"/>
    <n v="33.18333333333333"/>
  </r>
  <r>
    <x v="126"/>
    <x v="8"/>
    <x v="2"/>
    <n v="8"/>
    <d v="1899-12-30T00:09:48"/>
    <n v="9.8000000000000007"/>
  </r>
  <r>
    <x v="126"/>
    <x v="8"/>
    <x v="3"/>
    <n v="8"/>
    <d v="1899-12-30T00:08:54"/>
    <n v="8.9"/>
  </r>
  <r>
    <x v="126"/>
    <x v="8"/>
    <x v="4"/>
    <n v="6"/>
    <d v="1899-12-30T00:10:14"/>
    <n v="10.233333333333333"/>
  </r>
  <r>
    <x v="126"/>
    <x v="8"/>
    <x v="5"/>
    <n v="21"/>
    <d v="1899-12-30T00:29:59"/>
    <n v="29.983333333333334"/>
  </r>
  <r>
    <x v="126"/>
    <x v="9"/>
    <x v="0"/>
    <n v="43"/>
    <d v="1899-12-30T01:20:10"/>
    <n v="80.166666666666671"/>
  </r>
  <r>
    <x v="126"/>
    <x v="9"/>
    <x v="1"/>
    <n v="31"/>
    <d v="1899-12-30T01:01:26"/>
    <n v="61.43333333333333"/>
  </r>
  <r>
    <x v="126"/>
    <x v="9"/>
    <x v="2"/>
    <n v="30"/>
    <d v="1899-12-30T00:47:10"/>
    <n v="47.166666666666664"/>
  </r>
  <r>
    <x v="126"/>
    <x v="9"/>
    <x v="3"/>
    <n v="23"/>
    <d v="1899-12-30T00:26:45"/>
    <n v="26.75"/>
  </r>
  <r>
    <x v="126"/>
    <x v="9"/>
    <x v="4"/>
    <n v="5"/>
    <d v="1899-12-30T00:09:11"/>
    <n v="9.1833333333333336"/>
  </r>
  <r>
    <x v="126"/>
    <x v="9"/>
    <x v="5"/>
    <n v="26"/>
    <d v="1899-12-30T00:34:10"/>
    <n v="34.166666666666664"/>
  </r>
  <r>
    <x v="126"/>
    <x v="10"/>
    <x v="0"/>
    <n v="11"/>
    <d v="1899-12-30T00:19:39"/>
    <n v="19.649999999999999"/>
  </r>
  <r>
    <x v="126"/>
    <x v="10"/>
    <x v="1"/>
    <n v="5"/>
    <d v="1899-12-30T00:12:22"/>
    <n v="12.366666666666667"/>
  </r>
  <r>
    <x v="126"/>
    <x v="10"/>
    <x v="2"/>
    <n v="10"/>
    <d v="1899-12-30T00:19:27"/>
    <n v="19.45"/>
  </r>
  <r>
    <x v="126"/>
    <x v="10"/>
    <x v="3"/>
    <n v="9"/>
    <d v="1899-12-30T00:09:54"/>
    <n v="9.9"/>
  </r>
  <r>
    <x v="126"/>
    <x v="10"/>
    <x v="4"/>
    <n v="2"/>
    <d v="1899-12-30T00:02:57"/>
    <n v="2.95"/>
  </r>
  <r>
    <x v="126"/>
    <x v="10"/>
    <x v="5"/>
    <n v="15"/>
    <d v="1899-12-30T00:21:34"/>
    <n v="21.566666666666666"/>
  </r>
  <r>
    <x v="126"/>
    <x v="11"/>
    <x v="0"/>
    <n v="20"/>
    <d v="1899-12-30T00:36:06"/>
    <n v="36.1"/>
  </r>
  <r>
    <x v="126"/>
    <x v="11"/>
    <x v="1"/>
    <n v="12"/>
    <d v="1899-12-30T00:30:02"/>
    <n v="30.033333333333335"/>
  </r>
  <r>
    <x v="126"/>
    <x v="11"/>
    <x v="2"/>
    <n v="7"/>
    <d v="1899-12-30T00:09:18"/>
    <n v="9.3000000000000007"/>
  </r>
  <r>
    <x v="126"/>
    <x v="11"/>
    <x v="3"/>
    <n v="3"/>
    <d v="1899-12-30T00:04:33"/>
    <n v="4.55"/>
  </r>
  <r>
    <x v="126"/>
    <x v="11"/>
    <x v="4"/>
    <n v="3"/>
    <d v="1899-12-30T00:06:22"/>
    <n v="6.3666666666666663"/>
  </r>
  <r>
    <x v="126"/>
    <x v="11"/>
    <x v="5"/>
    <n v="13"/>
    <d v="1899-12-30T00:17:33"/>
    <n v="17.55"/>
  </r>
  <r>
    <x v="126"/>
    <x v="12"/>
    <x v="0"/>
    <n v="79"/>
    <d v="1899-12-30T02:36:04"/>
    <n v="156.06666666666666"/>
  </r>
  <r>
    <x v="126"/>
    <x v="12"/>
    <x v="1"/>
    <n v="90"/>
    <d v="1899-12-30T03:31:20"/>
    <n v="211.33333333333334"/>
  </r>
  <r>
    <x v="126"/>
    <x v="12"/>
    <x v="2"/>
    <n v="50"/>
    <d v="1899-12-30T01:09:15"/>
    <n v="69.25"/>
  </r>
  <r>
    <x v="126"/>
    <x v="12"/>
    <x v="3"/>
    <n v="31"/>
    <d v="1899-12-30T00:39:09"/>
    <n v="39.15"/>
  </r>
  <r>
    <x v="126"/>
    <x v="12"/>
    <x v="4"/>
    <n v="18"/>
    <d v="1899-12-30T00:40:22"/>
    <n v="40.366666666666667"/>
  </r>
  <r>
    <x v="126"/>
    <x v="12"/>
    <x v="5"/>
    <n v="76"/>
    <d v="1899-12-30T01:40:10"/>
    <n v="100.16666666666667"/>
  </r>
  <r>
    <x v="126"/>
    <x v="13"/>
    <x v="0"/>
    <n v="51"/>
    <d v="1899-12-30T01:15:31"/>
    <n v="75.516666666666666"/>
  </r>
  <r>
    <x v="126"/>
    <x v="13"/>
    <x v="1"/>
    <n v="54"/>
    <d v="1899-12-30T00:53:43"/>
    <n v="53.716666666666669"/>
  </r>
  <r>
    <x v="126"/>
    <x v="13"/>
    <x v="2"/>
    <n v="47"/>
    <d v="1899-12-30T00:52:47"/>
    <n v="52.783333333333331"/>
  </r>
  <r>
    <x v="126"/>
    <x v="13"/>
    <x v="3"/>
    <n v="53"/>
    <d v="1899-12-30T00:51:16"/>
    <n v="51.266666666666666"/>
  </r>
  <r>
    <x v="126"/>
    <x v="13"/>
    <x v="4"/>
    <n v="4"/>
    <d v="1899-12-30T00:06:37"/>
    <n v="6.6166666666666671"/>
  </r>
  <r>
    <x v="126"/>
    <x v="13"/>
    <x v="5"/>
    <n v="41"/>
    <d v="1899-12-30T00:35:17"/>
    <n v="35.283333333333331"/>
  </r>
  <r>
    <x v="127"/>
    <x v="0"/>
    <x v="0"/>
    <n v="31"/>
    <d v="1899-12-30T00:41:11"/>
    <n v="41.18333333333333"/>
  </r>
  <r>
    <x v="127"/>
    <x v="0"/>
    <x v="1"/>
    <n v="62"/>
    <d v="1899-12-30T01:20:06"/>
    <n v="80.099999999999994"/>
  </r>
  <r>
    <x v="127"/>
    <x v="0"/>
    <x v="2"/>
    <n v="43"/>
    <d v="1899-12-30T00:53:50"/>
    <n v="53.833333333333336"/>
  </r>
  <r>
    <x v="127"/>
    <x v="0"/>
    <x v="3"/>
    <n v="11"/>
    <d v="1899-12-30T00:13:36"/>
    <n v="13.6"/>
  </r>
  <r>
    <x v="127"/>
    <x v="0"/>
    <x v="4"/>
    <n v="18"/>
    <d v="1899-12-30T00:19:50"/>
    <n v="19.833333333333332"/>
  </r>
  <r>
    <x v="127"/>
    <x v="0"/>
    <x v="5"/>
    <n v="51"/>
    <d v="1899-12-30T00:47:07"/>
    <n v="47.116666666666667"/>
  </r>
  <r>
    <x v="127"/>
    <x v="1"/>
    <x v="0"/>
    <n v="54"/>
    <d v="1899-12-30T01:57:05"/>
    <n v="117.08333333333333"/>
  </r>
  <r>
    <x v="127"/>
    <x v="1"/>
    <x v="1"/>
    <n v="33"/>
    <d v="1899-12-30T01:34:16"/>
    <n v="94.266666666666666"/>
  </r>
  <r>
    <x v="127"/>
    <x v="1"/>
    <x v="2"/>
    <n v="19"/>
    <d v="1899-12-30T00:35:25"/>
    <n v="35.416666666666664"/>
  </r>
  <r>
    <x v="127"/>
    <x v="1"/>
    <x v="3"/>
    <n v="25"/>
    <d v="1899-12-30T00:34:49"/>
    <n v="34.81666666666667"/>
  </r>
  <r>
    <x v="127"/>
    <x v="1"/>
    <x v="4"/>
    <n v="27"/>
    <d v="1899-12-30T01:05:28"/>
    <n v="65.466666666666669"/>
  </r>
  <r>
    <x v="127"/>
    <x v="1"/>
    <x v="5"/>
    <n v="48"/>
    <d v="1899-12-30T01:15:47"/>
    <n v="75.783333333333331"/>
  </r>
  <r>
    <x v="127"/>
    <x v="2"/>
    <x v="0"/>
    <n v="96"/>
    <d v="1899-12-30T03:14:01"/>
    <n v="194.01666666666668"/>
  </r>
  <r>
    <x v="127"/>
    <x v="2"/>
    <x v="1"/>
    <n v="104"/>
    <d v="1899-12-30T03:56:59"/>
    <n v="236.98333333333332"/>
  </r>
  <r>
    <x v="127"/>
    <x v="2"/>
    <x v="2"/>
    <n v="70"/>
    <d v="1899-12-30T01:52:56"/>
    <n v="112.93333333333334"/>
  </r>
  <r>
    <x v="127"/>
    <x v="2"/>
    <x v="3"/>
    <n v="42"/>
    <d v="1899-12-30T00:52:21"/>
    <n v="52.35"/>
  </r>
  <r>
    <x v="127"/>
    <x v="2"/>
    <x v="4"/>
    <n v="21"/>
    <d v="1899-12-30T00:44:10"/>
    <n v="44.166666666666664"/>
  </r>
  <r>
    <x v="127"/>
    <x v="2"/>
    <x v="5"/>
    <n v="50"/>
    <d v="1899-12-30T01:02:06"/>
    <n v="62.1"/>
  </r>
  <r>
    <x v="127"/>
    <x v="3"/>
    <x v="0"/>
    <n v="13"/>
    <d v="1899-12-30T00:32:12"/>
    <n v="32.200000000000003"/>
  </r>
  <r>
    <x v="127"/>
    <x v="3"/>
    <x v="1"/>
    <n v="5"/>
    <d v="1899-12-30T00:11:02"/>
    <n v="11.033333333333333"/>
  </r>
  <r>
    <x v="127"/>
    <x v="3"/>
    <x v="2"/>
    <n v="7"/>
    <d v="1899-12-30T00:13:21"/>
    <n v="13.35"/>
  </r>
  <r>
    <x v="127"/>
    <x v="3"/>
    <x v="3"/>
    <n v="4"/>
    <d v="1899-12-30T00:05:09"/>
    <n v="5.15"/>
  </r>
  <r>
    <x v="127"/>
    <x v="3"/>
    <x v="4"/>
    <n v="2"/>
    <d v="1899-12-30T00:04:54"/>
    <n v="4.9000000000000004"/>
  </r>
  <r>
    <x v="127"/>
    <x v="3"/>
    <x v="5"/>
    <n v="9"/>
    <d v="1899-12-30T00:14:29"/>
    <n v="14.483333333333333"/>
  </r>
  <r>
    <x v="127"/>
    <x v="4"/>
    <x v="0"/>
    <n v="27"/>
    <d v="1899-12-30T01:00:21"/>
    <n v="60.35"/>
  </r>
  <r>
    <x v="127"/>
    <x v="4"/>
    <x v="1"/>
    <n v="37"/>
    <d v="1899-12-30T01:25:18"/>
    <n v="85.3"/>
  </r>
  <r>
    <x v="127"/>
    <x v="4"/>
    <x v="2"/>
    <n v="21"/>
    <d v="1899-12-30T00:35:46"/>
    <n v="35.766666666666666"/>
  </r>
  <r>
    <x v="127"/>
    <x v="4"/>
    <x v="3"/>
    <n v="8"/>
    <d v="1899-12-30T00:09:44"/>
    <n v="9.7333333333333325"/>
  </r>
  <r>
    <x v="127"/>
    <x v="4"/>
    <x v="4"/>
    <n v="7"/>
    <d v="1899-12-30T00:14:56"/>
    <n v="14.933333333333334"/>
  </r>
  <r>
    <x v="127"/>
    <x v="4"/>
    <x v="5"/>
    <n v="23"/>
    <d v="1899-12-30T00:28:51"/>
    <n v="28.85"/>
  </r>
  <r>
    <x v="127"/>
    <x v="5"/>
    <x v="0"/>
    <n v="25"/>
    <d v="1899-12-30T00:30:43"/>
    <n v="30.716666666666665"/>
  </r>
  <r>
    <x v="127"/>
    <x v="5"/>
    <x v="1"/>
    <n v="22"/>
    <d v="1899-12-30T00:32:58"/>
    <n v="32.966666666666669"/>
  </r>
  <r>
    <x v="127"/>
    <x v="5"/>
    <x v="2"/>
    <n v="22"/>
    <d v="1899-12-30T00:31:16"/>
    <n v="31.266666666666666"/>
  </r>
  <r>
    <x v="127"/>
    <x v="5"/>
    <x v="3"/>
    <n v="15"/>
    <d v="1899-12-30T00:17:53"/>
    <n v="17.883333333333333"/>
  </r>
  <r>
    <x v="127"/>
    <x v="5"/>
    <x v="4"/>
    <n v="3"/>
    <d v="1899-12-30T00:03:09"/>
    <n v="3.15"/>
  </r>
  <r>
    <x v="127"/>
    <x v="5"/>
    <x v="5"/>
    <n v="30"/>
    <d v="1899-12-30T00:37:07"/>
    <n v="37.116666666666667"/>
  </r>
  <r>
    <x v="127"/>
    <x v="6"/>
    <x v="0"/>
    <n v="4"/>
    <d v="1899-12-30T00:04:32"/>
    <n v="4.5333333333333332"/>
  </r>
  <r>
    <x v="127"/>
    <x v="6"/>
    <x v="1"/>
    <n v="9"/>
    <d v="1899-12-30T00:21:51"/>
    <n v="21.85"/>
  </r>
  <r>
    <x v="127"/>
    <x v="6"/>
    <x v="2"/>
    <n v="6"/>
    <d v="1899-12-30T00:06:42"/>
    <n v="6.7"/>
  </r>
  <r>
    <x v="127"/>
    <x v="6"/>
    <x v="3"/>
    <n v="1"/>
    <d v="1899-12-30T00:01:08"/>
    <n v="1.1333333333333333"/>
  </r>
  <r>
    <x v="127"/>
    <x v="6"/>
    <x v="4"/>
    <n v="7"/>
    <d v="1899-12-30T00:14:05"/>
    <n v="14.083333333333334"/>
  </r>
  <r>
    <x v="127"/>
    <x v="6"/>
    <x v="5"/>
    <n v="5"/>
    <d v="1899-12-30T00:03:29"/>
    <n v="3.4833333333333334"/>
  </r>
  <r>
    <x v="127"/>
    <x v="7"/>
    <x v="0"/>
    <n v="47"/>
    <d v="1899-12-30T01:13:18"/>
    <n v="73.3"/>
  </r>
  <r>
    <x v="127"/>
    <x v="7"/>
    <x v="1"/>
    <n v="63"/>
    <d v="1899-12-30T01:35:32"/>
    <n v="95.533333333333331"/>
  </r>
  <r>
    <x v="127"/>
    <x v="7"/>
    <x v="2"/>
    <n v="30"/>
    <d v="1899-12-30T00:37:38"/>
    <n v="37.633333333333333"/>
  </r>
  <r>
    <x v="127"/>
    <x v="7"/>
    <x v="3"/>
    <n v="39"/>
    <d v="1899-12-30T00:55:11"/>
    <n v="55.18333333333333"/>
  </r>
  <r>
    <x v="127"/>
    <x v="7"/>
    <x v="4"/>
    <n v="118"/>
    <d v="1899-12-30T03:09:19"/>
    <n v="189.31666666666666"/>
  </r>
  <r>
    <x v="127"/>
    <x v="7"/>
    <x v="5"/>
    <n v="37"/>
    <d v="1899-12-30T00:38:17"/>
    <n v="38.283333333333331"/>
  </r>
  <r>
    <x v="127"/>
    <x v="8"/>
    <x v="0"/>
    <n v="7"/>
    <d v="1899-12-30T00:15:29"/>
    <n v="15.483333333333333"/>
  </r>
  <r>
    <x v="127"/>
    <x v="8"/>
    <x v="1"/>
    <n v="13"/>
    <d v="1899-12-30T00:23:28"/>
    <n v="23.466666666666665"/>
  </r>
  <r>
    <x v="127"/>
    <x v="8"/>
    <x v="2"/>
    <n v="13"/>
    <d v="1899-12-30T00:15:54"/>
    <n v="15.9"/>
  </r>
  <r>
    <x v="127"/>
    <x v="8"/>
    <x v="3"/>
    <n v="11"/>
    <d v="1899-12-30T00:13:53"/>
    <n v="13.883333333333333"/>
  </r>
  <r>
    <x v="127"/>
    <x v="8"/>
    <x v="4"/>
    <n v="10"/>
    <d v="1899-12-30T00:24:09"/>
    <n v="24.15"/>
  </r>
  <r>
    <x v="127"/>
    <x v="8"/>
    <x v="5"/>
    <n v="8"/>
    <d v="1899-12-30T00:07:45"/>
    <n v="7.75"/>
  </r>
  <r>
    <x v="127"/>
    <x v="9"/>
    <x v="0"/>
    <n v="55"/>
    <d v="1899-12-30T01:47:16"/>
    <n v="107.26666666666667"/>
  </r>
  <r>
    <x v="127"/>
    <x v="9"/>
    <x v="1"/>
    <n v="52"/>
    <d v="1899-12-30T01:35:43"/>
    <n v="95.716666666666669"/>
  </r>
  <r>
    <x v="127"/>
    <x v="9"/>
    <x v="2"/>
    <n v="49"/>
    <d v="1899-12-30T01:14:29"/>
    <n v="74.483333333333334"/>
  </r>
  <r>
    <x v="127"/>
    <x v="9"/>
    <x v="3"/>
    <n v="28"/>
    <d v="1899-12-30T00:35:27"/>
    <n v="35.450000000000003"/>
  </r>
  <r>
    <x v="127"/>
    <x v="9"/>
    <x v="4"/>
    <n v="14"/>
    <d v="1899-12-30T00:25:23"/>
    <n v="25.383333333333333"/>
  </r>
  <r>
    <x v="127"/>
    <x v="9"/>
    <x v="5"/>
    <n v="45"/>
    <d v="1899-12-30T00:54:30"/>
    <n v="54.5"/>
  </r>
  <r>
    <x v="127"/>
    <x v="10"/>
    <x v="0"/>
    <n v="9"/>
    <d v="1899-12-30T00:19:37"/>
    <n v="19.616666666666667"/>
  </r>
  <r>
    <x v="127"/>
    <x v="10"/>
    <x v="1"/>
    <n v="11"/>
    <d v="1899-12-30T00:23:18"/>
    <n v="23.3"/>
  </r>
  <r>
    <x v="127"/>
    <x v="10"/>
    <x v="2"/>
    <n v="4"/>
    <d v="1899-12-30T00:05:30"/>
    <n v="5.5"/>
  </r>
  <r>
    <x v="127"/>
    <x v="10"/>
    <x v="3"/>
    <n v="6"/>
    <d v="1899-12-30T00:08:14"/>
    <n v="8.2333333333333325"/>
  </r>
  <r>
    <x v="127"/>
    <x v="10"/>
    <x v="4"/>
    <n v="2"/>
    <d v="1899-12-30T00:04:46"/>
    <n v="4.7666666666666666"/>
  </r>
  <r>
    <x v="127"/>
    <x v="10"/>
    <x v="5"/>
    <n v="11"/>
    <d v="1899-12-30T00:11:20"/>
    <n v="11.333333333333334"/>
  </r>
  <r>
    <x v="127"/>
    <x v="11"/>
    <x v="0"/>
    <n v="18"/>
    <d v="1899-12-30T00:40:48"/>
    <n v="40.799999999999997"/>
  </r>
  <r>
    <x v="127"/>
    <x v="11"/>
    <x v="1"/>
    <n v="12"/>
    <d v="1899-12-30T00:27:29"/>
    <n v="27.483333333333334"/>
  </r>
  <r>
    <x v="127"/>
    <x v="11"/>
    <x v="2"/>
    <n v="13"/>
    <d v="1899-12-30T00:23:53"/>
    <n v="23.883333333333333"/>
  </r>
  <r>
    <x v="127"/>
    <x v="11"/>
    <x v="3"/>
    <n v="5"/>
    <d v="1899-12-30T00:04:55"/>
    <n v="4.916666666666667"/>
  </r>
  <r>
    <x v="127"/>
    <x v="11"/>
    <x v="4"/>
    <n v="3"/>
    <d v="1899-12-30T00:04:55"/>
    <n v="4.916666666666667"/>
  </r>
  <r>
    <x v="127"/>
    <x v="11"/>
    <x v="5"/>
    <n v="12"/>
    <d v="1899-12-30T00:15:12"/>
    <n v="15.2"/>
  </r>
  <r>
    <x v="127"/>
    <x v="12"/>
    <x v="0"/>
    <n v="93"/>
    <d v="1899-12-30T03:00:03"/>
    <n v="180.05"/>
  </r>
  <r>
    <x v="127"/>
    <x v="12"/>
    <x v="1"/>
    <n v="87"/>
    <d v="1899-12-30T03:08:06"/>
    <n v="188.1"/>
  </r>
  <r>
    <x v="127"/>
    <x v="12"/>
    <x v="2"/>
    <n v="68"/>
    <d v="1899-12-30T01:53:02"/>
    <n v="113.03333333333333"/>
  </r>
  <r>
    <x v="127"/>
    <x v="12"/>
    <x v="3"/>
    <n v="22"/>
    <d v="1899-12-30T00:28:09"/>
    <n v="28.15"/>
  </r>
  <r>
    <x v="127"/>
    <x v="12"/>
    <x v="4"/>
    <n v="23"/>
    <d v="1899-12-30T00:37:58"/>
    <n v="37.966666666666669"/>
  </r>
  <r>
    <x v="127"/>
    <x v="12"/>
    <x v="5"/>
    <n v="72"/>
    <d v="1899-12-30T01:32:44"/>
    <n v="92.733333333333334"/>
  </r>
  <r>
    <x v="127"/>
    <x v="13"/>
    <x v="0"/>
    <n v="41"/>
    <d v="1899-12-30T01:07:31"/>
    <n v="67.516666666666666"/>
  </r>
  <r>
    <x v="127"/>
    <x v="13"/>
    <x v="1"/>
    <n v="39"/>
    <d v="1899-12-30T00:51:51"/>
    <n v="51.85"/>
  </r>
  <r>
    <x v="127"/>
    <x v="13"/>
    <x v="2"/>
    <n v="31"/>
    <d v="1899-12-30T00:35:40"/>
    <n v="35.666666666666664"/>
  </r>
  <r>
    <x v="127"/>
    <x v="13"/>
    <x v="3"/>
    <n v="39"/>
    <d v="1899-12-30T00:39:53"/>
    <n v="39.883333333333333"/>
  </r>
  <r>
    <x v="127"/>
    <x v="13"/>
    <x v="4"/>
    <n v="2"/>
    <d v="1899-12-30T00:04:46"/>
    <n v="4.7666666666666666"/>
  </r>
  <r>
    <x v="127"/>
    <x v="13"/>
    <x v="5"/>
    <n v="29"/>
    <d v="1899-12-30T00:29:08"/>
    <n v="29.133333333333333"/>
  </r>
  <r>
    <x v="128"/>
    <x v="0"/>
    <x v="0"/>
    <n v="23"/>
    <d v="1899-12-30T00:37:34"/>
    <n v="37.56666666666667"/>
  </r>
  <r>
    <x v="128"/>
    <x v="0"/>
    <x v="1"/>
    <n v="39"/>
    <d v="1899-12-30T00:45:08"/>
    <n v="45.133333333333333"/>
  </r>
  <r>
    <x v="128"/>
    <x v="0"/>
    <x v="2"/>
    <n v="31"/>
    <d v="1899-12-30T00:35:57"/>
    <n v="35.950000000000003"/>
  </r>
  <r>
    <x v="128"/>
    <x v="0"/>
    <x v="3"/>
    <n v="5"/>
    <d v="1899-12-30T00:04:04"/>
    <n v="4.0666666666666664"/>
  </r>
  <r>
    <x v="128"/>
    <x v="0"/>
    <x v="4"/>
    <n v="1"/>
    <d v="1899-12-30T00:00:27"/>
    <n v="0.45"/>
  </r>
  <r>
    <x v="128"/>
    <x v="0"/>
    <x v="5"/>
    <n v="35"/>
    <d v="1899-12-30T00:39:32"/>
    <n v="39.533333333333331"/>
  </r>
  <r>
    <x v="128"/>
    <x v="1"/>
    <x v="0"/>
    <n v="48"/>
    <d v="1899-12-30T01:38:36"/>
    <n v="98.6"/>
  </r>
  <r>
    <x v="128"/>
    <x v="1"/>
    <x v="1"/>
    <n v="33"/>
    <d v="1899-12-30T01:33:22"/>
    <n v="93.36666666666666"/>
  </r>
  <r>
    <x v="128"/>
    <x v="1"/>
    <x v="2"/>
    <n v="30"/>
    <d v="1899-12-30T01:01:36"/>
    <n v="61.6"/>
  </r>
  <r>
    <x v="128"/>
    <x v="1"/>
    <x v="3"/>
    <n v="11"/>
    <d v="1899-12-30T00:13:41"/>
    <n v="13.683333333333334"/>
  </r>
  <r>
    <x v="128"/>
    <x v="1"/>
    <x v="4"/>
    <n v="26"/>
    <d v="1899-12-30T01:04:29"/>
    <n v="64.483333333333334"/>
  </r>
  <r>
    <x v="128"/>
    <x v="1"/>
    <x v="5"/>
    <n v="54"/>
    <d v="1899-12-30T01:34:01"/>
    <n v="94.016666666666666"/>
  </r>
  <r>
    <x v="128"/>
    <x v="2"/>
    <x v="0"/>
    <n v="65"/>
    <d v="1899-12-30T02:16:21"/>
    <n v="136.35"/>
  </r>
  <r>
    <x v="128"/>
    <x v="2"/>
    <x v="1"/>
    <n v="100"/>
    <d v="1899-12-30T04:10:51"/>
    <n v="250.85"/>
  </r>
  <r>
    <x v="128"/>
    <x v="2"/>
    <x v="2"/>
    <n v="39"/>
    <d v="1899-12-30T01:31:37"/>
    <n v="91.61666666666666"/>
  </r>
  <r>
    <x v="128"/>
    <x v="2"/>
    <x v="3"/>
    <n v="13"/>
    <d v="1899-12-30T00:11:52"/>
    <n v="11.866666666666667"/>
  </r>
  <r>
    <x v="128"/>
    <x v="2"/>
    <x v="4"/>
    <n v="11"/>
    <d v="1899-12-30T00:22:12"/>
    <n v="22.2"/>
  </r>
  <r>
    <x v="128"/>
    <x v="2"/>
    <x v="5"/>
    <n v="37"/>
    <d v="1899-12-30T01:01:27"/>
    <n v="61.45"/>
  </r>
  <r>
    <x v="128"/>
    <x v="3"/>
    <x v="0"/>
    <n v="31"/>
    <d v="1899-12-30T01:11:41"/>
    <n v="71.683333333333337"/>
  </r>
  <r>
    <x v="128"/>
    <x v="3"/>
    <x v="1"/>
    <n v="18"/>
    <d v="1899-12-30T00:51:01"/>
    <n v="51.016666666666666"/>
  </r>
  <r>
    <x v="128"/>
    <x v="3"/>
    <x v="2"/>
    <n v="22"/>
    <d v="1899-12-30T00:54:00"/>
    <n v="54"/>
  </r>
  <r>
    <x v="128"/>
    <x v="3"/>
    <x v="3"/>
    <n v="7"/>
    <d v="1899-12-30T00:07:37"/>
    <n v="7.6166666666666671"/>
  </r>
  <r>
    <x v="128"/>
    <x v="3"/>
    <x v="4"/>
    <n v="0"/>
    <d v="1899-12-30T00:00:00"/>
    <n v="0"/>
  </r>
  <r>
    <x v="128"/>
    <x v="3"/>
    <x v="5"/>
    <n v="20"/>
    <d v="1899-12-30T00:36:06"/>
    <n v="36.1"/>
  </r>
  <r>
    <x v="128"/>
    <x v="4"/>
    <x v="0"/>
    <n v="42"/>
    <d v="1899-12-30T01:16:27"/>
    <n v="76.45"/>
  </r>
  <r>
    <x v="128"/>
    <x v="4"/>
    <x v="1"/>
    <n v="56"/>
    <d v="1899-12-30T02:01:07"/>
    <n v="121.11666666666666"/>
  </r>
  <r>
    <x v="128"/>
    <x v="4"/>
    <x v="2"/>
    <n v="33"/>
    <d v="1899-12-30T00:48:46"/>
    <n v="48.766666666666666"/>
  </r>
  <r>
    <x v="128"/>
    <x v="4"/>
    <x v="3"/>
    <n v="19"/>
    <d v="1899-12-30T00:14:58"/>
    <n v="14.966666666666667"/>
  </r>
  <r>
    <x v="128"/>
    <x v="4"/>
    <x v="4"/>
    <n v="19"/>
    <d v="1899-12-30T00:36:30"/>
    <n v="36.5"/>
  </r>
  <r>
    <x v="128"/>
    <x v="4"/>
    <x v="5"/>
    <n v="26"/>
    <d v="1899-12-30T00:43:20"/>
    <n v="43.333333333333336"/>
  </r>
  <r>
    <x v="128"/>
    <x v="5"/>
    <x v="0"/>
    <n v="12"/>
    <d v="1899-12-30T00:19:16"/>
    <n v="19.266666666666666"/>
  </r>
  <r>
    <x v="128"/>
    <x v="5"/>
    <x v="1"/>
    <n v="13"/>
    <d v="1899-12-30T00:18:03"/>
    <n v="18.05"/>
  </r>
  <r>
    <x v="128"/>
    <x v="5"/>
    <x v="2"/>
    <n v="19"/>
    <d v="1899-12-30T00:20:32"/>
    <n v="20.533333333333335"/>
  </r>
  <r>
    <x v="128"/>
    <x v="5"/>
    <x v="3"/>
    <n v="7"/>
    <d v="1899-12-30T00:05:31"/>
    <n v="5.5166666666666666"/>
  </r>
  <r>
    <x v="128"/>
    <x v="5"/>
    <x v="4"/>
    <n v="3"/>
    <d v="1899-12-30T00:05:38"/>
    <n v="5.6333333333333329"/>
  </r>
  <r>
    <x v="128"/>
    <x v="5"/>
    <x v="5"/>
    <n v="21"/>
    <d v="1899-12-30T00:27:08"/>
    <n v="27.133333333333333"/>
  </r>
  <r>
    <x v="128"/>
    <x v="6"/>
    <x v="0"/>
    <n v="9"/>
    <d v="1899-12-30T00:16:52"/>
    <n v="16.866666666666667"/>
  </r>
  <r>
    <x v="128"/>
    <x v="6"/>
    <x v="1"/>
    <n v="7"/>
    <d v="1899-12-30T00:14:14"/>
    <n v="14.233333333333333"/>
  </r>
  <r>
    <x v="128"/>
    <x v="6"/>
    <x v="2"/>
    <n v="8"/>
    <d v="1899-12-30T00:13:37"/>
    <n v="13.616666666666667"/>
  </r>
  <r>
    <x v="128"/>
    <x v="6"/>
    <x v="3"/>
    <n v="4"/>
    <d v="1899-12-30T00:03:32"/>
    <n v="3.5333333333333332"/>
  </r>
  <r>
    <x v="128"/>
    <x v="6"/>
    <x v="4"/>
    <n v="6"/>
    <d v="1899-12-30T00:09:08"/>
    <n v="9.1333333333333329"/>
  </r>
  <r>
    <x v="128"/>
    <x v="6"/>
    <x v="5"/>
    <n v="5"/>
    <d v="1899-12-30T00:05:48"/>
    <n v="5.8"/>
  </r>
  <r>
    <x v="128"/>
    <x v="7"/>
    <x v="0"/>
    <n v="97"/>
    <d v="1899-12-30T02:23:58"/>
    <n v="143.96666666666667"/>
  </r>
  <r>
    <x v="128"/>
    <x v="7"/>
    <x v="1"/>
    <n v="156"/>
    <d v="1899-12-30T03:46:07"/>
    <n v="226.11666666666667"/>
  </r>
  <r>
    <x v="128"/>
    <x v="7"/>
    <x v="2"/>
    <n v="87"/>
    <d v="1899-12-30T01:56:42"/>
    <n v="116.7"/>
  </r>
  <r>
    <x v="128"/>
    <x v="7"/>
    <x v="3"/>
    <n v="48"/>
    <d v="1899-12-30T00:48:22"/>
    <n v="48.366666666666667"/>
  </r>
  <r>
    <x v="128"/>
    <x v="7"/>
    <x v="4"/>
    <n v="149"/>
    <d v="1899-12-30T04:35:15"/>
    <n v="275.25"/>
  </r>
  <r>
    <x v="128"/>
    <x v="7"/>
    <x v="5"/>
    <n v="83"/>
    <d v="1899-12-30T01:41:35"/>
    <n v="101.58333333333333"/>
  </r>
  <r>
    <x v="128"/>
    <x v="8"/>
    <x v="0"/>
    <n v="19"/>
    <d v="1899-12-30T00:36:04"/>
    <n v="36.06666666666667"/>
  </r>
  <r>
    <x v="128"/>
    <x v="8"/>
    <x v="1"/>
    <n v="18"/>
    <d v="1899-12-30T00:28:04"/>
    <n v="28.066666666666666"/>
  </r>
  <r>
    <x v="128"/>
    <x v="8"/>
    <x v="2"/>
    <n v="16"/>
    <d v="1899-12-30T00:25:49"/>
    <n v="25.816666666666666"/>
  </r>
  <r>
    <x v="128"/>
    <x v="8"/>
    <x v="3"/>
    <n v="14"/>
    <d v="1899-12-30T00:12:13"/>
    <n v="12.216666666666667"/>
  </r>
  <r>
    <x v="128"/>
    <x v="8"/>
    <x v="4"/>
    <n v="8"/>
    <d v="1899-12-30T00:10:30"/>
    <n v="10.5"/>
  </r>
  <r>
    <x v="128"/>
    <x v="8"/>
    <x v="5"/>
    <n v="31"/>
    <d v="1899-12-30T00:42:53"/>
    <n v="42.883333333333333"/>
  </r>
  <r>
    <x v="128"/>
    <x v="9"/>
    <x v="0"/>
    <n v="59"/>
    <d v="1899-12-30T02:11:35"/>
    <n v="131.58333333333334"/>
  </r>
  <r>
    <x v="128"/>
    <x v="9"/>
    <x v="1"/>
    <n v="86"/>
    <d v="1899-12-30T02:32:14"/>
    <n v="152.23333333333332"/>
  </r>
  <r>
    <x v="128"/>
    <x v="9"/>
    <x v="2"/>
    <n v="59"/>
    <d v="1899-12-30T01:37:08"/>
    <n v="97.13333333333334"/>
  </r>
  <r>
    <x v="128"/>
    <x v="9"/>
    <x v="3"/>
    <n v="16"/>
    <d v="1899-12-30T00:13:53"/>
    <n v="13.883333333333333"/>
  </r>
  <r>
    <x v="128"/>
    <x v="9"/>
    <x v="4"/>
    <n v="21"/>
    <d v="1899-12-30T00:42:13"/>
    <n v="42.216666666666669"/>
  </r>
  <r>
    <x v="128"/>
    <x v="9"/>
    <x v="5"/>
    <n v="45"/>
    <d v="1899-12-30T00:54:24"/>
    <n v="54.4"/>
  </r>
  <r>
    <x v="128"/>
    <x v="10"/>
    <x v="0"/>
    <n v="15"/>
    <d v="1899-12-30T00:36:02"/>
    <n v="36.033333333333331"/>
  </r>
  <r>
    <x v="128"/>
    <x v="10"/>
    <x v="1"/>
    <n v="9"/>
    <d v="1899-12-30T00:32:53"/>
    <n v="32.883333333333333"/>
  </r>
  <r>
    <x v="128"/>
    <x v="10"/>
    <x v="2"/>
    <n v="20"/>
    <d v="1899-12-30T00:36:25"/>
    <n v="36.416666666666664"/>
  </r>
  <r>
    <x v="128"/>
    <x v="10"/>
    <x v="3"/>
    <n v="4"/>
    <d v="1899-12-30T00:03:11"/>
    <n v="3.1833333333333331"/>
  </r>
  <r>
    <x v="128"/>
    <x v="10"/>
    <x v="4"/>
    <n v="1"/>
    <d v="1899-12-30T00:02:30"/>
    <n v="2.5"/>
  </r>
  <r>
    <x v="128"/>
    <x v="10"/>
    <x v="5"/>
    <n v="17"/>
    <d v="1899-12-30T00:35:52"/>
    <n v="35.866666666666667"/>
  </r>
  <r>
    <x v="128"/>
    <x v="11"/>
    <x v="0"/>
    <n v="21"/>
    <d v="1899-12-30T00:39:10"/>
    <n v="39.166666666666664"/>
  </r>
  <r>
    <x v="128"/>
    <x v="11"/>
    <x v="1"/>
    <n v="13"/>
    <d v="1899-12-30T00:23:44"/>
    <n v="23.733333333333334"/>
  </r>
  <r>
    <x v="128"/>
    <x v="11"/>
    <x v="2"/>
    <n v="8"/>
    <d v="1899-12-30T00:13:06"/>
    <n v="13.1"/>
  </r>
  <r>
    <x v="128"/>
    <x v="11"/>
    <x v="3"/>
    <n v="3"/>
    <d v="1899-12-30T00:02:00"/>
    <n v="2"/>
  </r>
  <r>
    <x v="128"/>
    <x v="11"/>
    <x v="4"/>
    <n v="7"/>
    <d v="1899-12-30T00:12:09"/>
    <n v="12.15"/>
  </r>
  <r>
    <x v="128"/>
    <x v="11"/>
    <x v="5"/>
    <n v="13"/>
    <d v="1899-12-30T00:23:34"/>
    <n v="23.566666666666666"/>
  </r>
  <r>
    <x v="128"/>
    <x v="12"/>
    <x v="0"/>
    <n v="108"/>
    <d v="1899-12-30T03:35:17"/>
    <n v="215.28333333333333"/>
  </r>
  <r>
    <x v="128"/>
    <x v="12"/>
    <x v="1"/>
    <n v="119"/>
    <d v="1899-12-30T04:20:28"/>
    <n v="260.46666666666664"/>
  </r>
  <r>
    <x v="128"/>
    <x v="12"/>
    <x v="2"/>
    <n v="66"/>
    <d v="1899-12-30T01:48:51"/>
    <n v="108.85"/>
  </r>
  <r>
    <x v="128"/>
    <x v="12"/>
    <x v="3"/>
    <n v="27"/>
    <d v="1899-12-30T00:27:32"/>
    <n v="27.533333333333335"/>
  </r>
  <r>
    <x v="128"/>
    <x v="12"/>
    <x v="4"/>
    <n v="36"/>
    <d v="1899-12-30T01:00:16"/>
    <n v="60.266666666666666"/>
  </r>
  <r>
    <x v="128"/>
    <x v="12"/>
    <x v="5"/>
    <n v="94"/>
    <d v="1899-12-30T02:26:30"/>
    <n v="146.5"/>
  </r>
  <r>
    <x v="128"/>
    <x v="13"/>
    <x v="0"/>
    <n v="85"/>
    <d v="1899-12-30T03:07:58"/>
    <n v="187.96666666666667"/>
  </r>
  <r>
    <x v="128"/>
    <x v="13"/>
    <x v="1"/>
    <n v="37"/>
    <d v="1899-12-30T00:26:31"/>
    <n v="26.516666666666666"/>
  </r>
  <r>
    <x v="128"/>
    <x v="13"/>
    <x v="2"/>
    <n v="26"/>
    <d v="1899-12-30T00:26:44"/>
    <n v="26.733333333333334"/>
  </r>
  <r>
    <x v="128"/>
    <x v="13"/>
    <x v="3"/>
    <n v="45"/>
    <d v="1899-12-30T00:45:56"/>
    <n v="45.93333333333333"/>
  </r>
  <r>
    <x v="128"/>
    <x v="13"/>
    <x v="4"/>
    <n v="2"/>
    <d v="1899-12-30T00:03:39"/>
    <n v="3.65"/>
  </r>
  <r>
    <x v="128"/>
    <x v="13"/>
    <x v="5"/>
    <n v="32"/>
    <d v="1899-12-30T00:29:55"/>
    <n v="29.916666666666668"/>
  </r>
  <r>
    <x v="129"/>
    <x v="0"/>
    <x v="0"/>
    <n v="74"/>
    <d v="1899-12-30T02:07:46"/>
    <n v="127.76666666666667"/>
  </r>
  <r>
    <x v="129"/>
    <x v="0"/>
    <x v="1"/>
    <n v="79"/>
    <d v="1899-12-30T02:11:42"/>
    <n v="131.69999999999999"/>
  </r>
  <r>
    <x v="129"/>
    <x v="0"/>
    <x v="2"/>
    <n v="49"/>
    <d v="1899-12-30T01:20:04"/>
    <n v="80.066666666666663"/>
  </r>
  <r>
    <x v="129"/>
    <x v="0"/>
    <x v="3"/>
    <n v="14"/>
    <d v="1899-12-30T00:16:01"/>
    <n v="16.016666666666666"/>
  </r>
  <r>
    <x v="129"/>
    <x v="0"/>
    <x v="4"/>
    <n v="9"/>
    <d v="1899-12-30T00:12:35"/>
    <n v="12.583333333333334"/>
  </r>
  <r>
    <x v="129"/>
    <x v="0"/>
    <x v="5"/>
    <n v="55"/>
    <d v="1899-12-30T01:21:37"/>
    <n v="81.61666666666666"/>
  </r>
  <r>
    <x v="129"/>
    <x v="1"/>
    <x v="0"/>
    <n v="44"/>
    <d v="1899-12-30T01:30:36"/>
    <n v="90.6"/>
  </r>
  <r>
    <x v="129"/>
    <x v="1"/>
    <x v="1"/>
    <n v="33"/>
    <d v="1899-12-30T01:28:35"/>
    <n v="88.583333333333329"/>
  </r>
  <r>
    <x v="129"/>
    <x v="1"/>
    <x v="2"/>
    <n v="22"/>
    <d v="1899-12-30T00:52:04"/>
    <n v="52.06666666666667"/>
  </r>
  <r>
    <x v="129"/>
    <x v="1"/>
    <x v="3"/>
    <n v="10"/>
    <d v="1899-12-30T00:10:12"/>
    <n v="10.199999999999999"/>
  </r>
  <r>
    <x v="129"/>
    <x v="1"/>
    <x v="4"/>
    <n v="27"/>
    <d v="1899-12-30T01:00:11"/>
    <n v="60.18333333333333"/>
  </r>
  <r>
    <x v="129"/>
    <x v="1"/>
    <x v="5"/>
    <n v="51"/>
    <d v="1899-12-30T01:36:56"/>
    <n v="96.933333333333337"/>
  </r>
  <r>
    <x v="129"/>
    <x v="2"/>
    <x v="0"/>
    <n v="32"/>
    <d v="1899-12-30T01:10:33"/>
    <n v="70.55"/>
  </r>
  <r>
    <x v="129"/>
    <x v="2"/>
    <x v="1"/>
    <n v="61"/>
    <d v="1899-12-30T03:02:16"/>
    <n v="182.26666666666668"/>
  </r>
  <r>
    <x v="129"/>
    <x v="2"/>
    <x v="2"/>
    <n v="19"/>
    <d v="1899-12-30T00:38:05"/>
    <n v="38.083333333333336"/>
  </r>
  <r>
    <x v="129"/>
    <x v="2"/>
    <x v="3"/>
    <n v="9"/>
    <d v="1899-12-30T00:06:38"/>
    <n v="6.6333333333333329"/>
  </r>
  <r>
    <x v="129"/>
    <x v="2"/>
    <x v="4"/>
    <n v="10"/>
    <d v="1899-12-30T00:20:12"/>
    <n v="20.2"/>
  </r>
  <r>
    <x v="129"/>
    <x v="2"/>
    <x v="5"/>
    <n v="17"/>
    <d v="1899-12-30T00:36:31"/>
    <n v="36.516666666666666"/>
  </r>
  <r>
    <x v="129"/>
    <x v="3"/>
    <x v="0"/>
    <n v="8"/>
    <d v="1899-12-30T00:15:40"/>
    <n v="15.666666666666666"/>
  </r>
  <r>
    <x v="129"/>
    <x v="3"/>
    <x v="1"/>
    <n v="16"/>
    <d v="1899-12-30T00:42:17"/>
    <n v="42.283333333333331"/>
  </r>
  <r>
    <x v="129"/>
    <x v="3"/>
    <x v="2"/>
    <n v="6"/>
    <d v="1899-12-30T00:13:12"/>
    <n v="13.2"/>
  </r>
  <r>
    <x v="129"/>
    <x v="3"/>
    <x v="3"/>
    <n v="4"/>
    <d v="1899-12-30T00:02:13"/>
    <n v="2.2166666666666668"/>
  </r>
  <r>
    <x v="129"/>
    <x v="3"/>
    <x v="4"/>
    <n v="2"/>
    <d v="1899-12-30T00:02:01"/>
    <n v="2.0166666666666666"/>
  </r>
  <r>
    <x v="129"/>
    <x v="3"/>
    <x v="5"/>
    <n v="6"/>
    <d v="1899-12-30T00:08:59"/>
    <n v="8.9833333333333325"/>
  </r>
  <r>
    <x v="129"/>
    <x v="4"/>
    <x v="0"/>
    <n v="34"/>
    <d v="1899-12-30T01:15:42"/>
    <n v="75.7"/>
  </r>
  <r>
    <x v="129"/>
    <x v="4"/>
    <x v="1"/>
    <n v="19"/>
    <d v="1899-12-30T00:45:14"/>
    <n v="45.233333333333334"/>
  </r>
  <r>
    <x v="129"/>
    <x v="4"/>
    <x v="2"/>
    <n v="25"/>
    <d v="1899-12-30T00:45:11"/>
    <n v="45.18333333333333"/>
  </r>
  <r>
    <x v="129"/>
    <x v="4"/>
    <x v="3"/>
    <n v="5"/>
    <d v="1899-12-30T00:03:41"/>
    <n v="3.6833333333333336"/>
  </r>
  <r>
    <x v="129"/>
    <x v="4"/>
    <x v="4"/>
    <n v="9"/>
    <d v="1899-12-30T00:14:36"/>
    <n v="14.6"/>
  </r>
  <r>
    <x v="129"/>
    <x v="4"/>
    <x v="5"/>
    <n v="19"/>
    <d v="1899-12-30T00:28:25"/>
    <n v="28.416666666666668"/>
  </r>
  <r>
    <x v="129"/>
    <x v="5"/>
    <x v="0"/>
    <n v="19"/>
    <d v="1899-12-30T00:28:00"/>
    <n v="28"/>
  </r>
  <r>
    <x v="129"/>
    <x v="5"/>
    <x v="1"/>
    <n v="26"/>
    <d v="1899-12-30T00:40:04"/>
    <n v="40.06666666666667"/>
  </r>
  <r>
    <x v="129"/>
    <x v="5"/>
    <x v="2"/>
    <n v="22"/>
    <d v="1899-12-30T00:24:45"/>
    <n v="24.75"/>
  </r>
  <r>
    <x v="129"/>
    <x v="5"/>
    <x v="3"/>
    <n v="6"/>
    <d v="1899-12-30T00:04:48"/>
    <n v="4.8"/>
  </r>
  <r>
    <x v="129"/>
    <x v="5"/>
    <x v="4"/>
    <n v="5"/>
    <d v="1899-12-30T00:05:18"/>
    <n v="5.3"/>
  </r>
  <r>
    <x v="129"/>
    <x v="5"/>
    <x v="5"/>
    <n v="30"/>
    <d v="1899-12-30T00:42:54"/>
    <n v="42.9"/>
  </r>
  <r>
    <x v="129"/>
    <x v="6"/>
    <x v="0"/>
    <n v="5"/>
    <d v="1899-12-30T00:12:08"/>
    <n v="12.133333333333333"/>
  </r>
  <r>
    <x v="129"/>
    <x v="6"/>
    <x v="1"/>
    <n v="9"/>
    <d v="1899-12-30T00:16:38"/>
    <n v="16.633333333333333"/>
  </r>
  <r>
    <x v="129"/>
    <x v="6"/>
    <x v="2"/>
    <n v="4"/>
    <d v="1899-12-30T00:03:58"/>
    <n v="3.9666666666666668"/>
  </r>
  <r>
    <x v="129"/>
    <x v="6"/>
    <x v="3"/>
    <n v="2"/>
    <d v="1899-12-30T00:01:57"/>
    <n v="1.95"/>
  </r>
  <r>
    <x v="129"/>
    <x v="6"/>
    <x v="4"/>
    <n v="3"/>
    <d v="1899-12-30T00:03:14"/>
    <n v="3.2333333333333334"/>
  </r>
  <r>
    <x v="129"/>
    <x v="6"/>
    <x v="5"/>
    <n v="4"/>
    <d v="1899-12-30T00:03:39"/>
    <n v="3.65"/>
  </r>
  <r>
    <x v="129"/>
    <x v="7"/>
    <x v="0"/>
    <n v="53"/>
    <d v="1899-12-30T01:23:47"/>
    <n v="83.783333333333331"/>
  </r>
  <r>
    <x v="129"/>
    <x v="7"/>
    <x v="1"/>
    <n v="91"/>
    <d v="1899-12-30T02:03:15"/>
    <n v="123.25"/>
  </r>
  <r>
    <x v="129"/>
    <x v="7"/>
    <x v="2"/>
    <n v="41"/>
    <d v="1899-12-30T00:58:36"/>
    <n v="58.6"/>
  </r>
  <r>
    <x v="129"/>
    <x v="7"/>
    <x v="3"/>
    <n v="43"/>
    <d v="1899-12-30T00:39:28"/>
    <n v="39.466666666666669"/>
  </r>
  <r>
    <x v="129"/>
    <x v="7"/>
    <x v="4"/>
    <n v="152"/>
    <d v="1899-12-30T04:10:22"/>
    <n v="250.36666666666667"/>
  </r>
  <r>
    <x v="129"/>
    <x v="7"/>
    <x v="5"/>
    <n v="53"/>
    <d v="1899-12-30T01:02:48"/>
    <n v="62.8"/>
  </r>
  <r>
    <x v="129"/>
    <x v="8"/>
    <x v="0"/>
    <n v="22"/>
    <d v="1899-12-30T00:38:23"/>
    <n v="38.383333333333333"/>
  </r>
  <r>
    <x v="129"/>
    <x v="8"/>
    <x v="1"/>
    <n v="25"/>
    <d v="1899-12-30T00:44:18"/>
    <n v="44.3"/>
  </r>
  <r>
    <x v="129"/>
    <x v="8"/>
    <x v="2"/>
    <n v="28"/>
    <d v="1899-12-30T00:37:44"/>
    <n v="37.733333333333334"/>
  </r>
  <r>
    <x v="129"/>
    <x v="8"/>
    <x v="3"/>
    <n v="23"/>
    <d v="1899-12-30T00:18:26"/>
    <n v="18.433333333333334"/>
  </r>
  <r>
    <x v="129"/>
    <x v="8"/>
    <x v="4"/>
    <n v="6"/>
    <d v="1899-12-30T00:12:16"/>
    <n v="12.266666666666667"/>
  </r>
  <r>
    <x v="129"/>
    <x v="8"/>
    <x v="5"/>
    <n v="35"/>
    <d v="1899-12-30T00:47:32"/>
    <n v="47.533333333333331"/>
  </r>
  <r>
    <x v="129"/>
    <x v="9"/>
    <x v="0"/>
    <n v="34"/>
    <d v="1899-12-30T00:58:39"/>
    <n v="58.65"/>
  </r>
  <r>
    <x v="129"/>
    <x v="9"/>
    <x v="1"/>
    <n v="35"/>
    <d v="1899-12-30T01:06:56"/>
    <n v="66.933333333333337"/>
  </r>
  <r>
    <x v="129"/>
    <x v="9"/>
    <x v="2"/>
    <n v="32"/>
    <d v="1899-12-30T00:39:45"/>
    <n v="39.75"/>
  </r>
  <r>
    <x v="129"/>
    <x v="9"/>
    <x v="3"/>
    <n v="10"/>
    <d v="1899-12-30T00:09:16"/>
    <n v="9.2666666666666675"/>
  </r>
  <r>
    <x v="129"/>
    <x v="9"/>
    <x v="4"/>
    <n v="13"/>
    <d v="1899-12-30T00:19:23"/>
    <n v="19.383333333333333"/>
  </r>
  <r>
    <x v="129"/>
    <x v="9"/>
    <x v="5"/>
    <n v="23"/>
    <d v="1899-12-30T00:28:57"/>
    <n v="28.95"/>
  </r>
  <r>
    <x v="129"/>
    <x v="10"/>
    <x v="0"/>
    <n v="17"/>
    <d v="1899-12-30T00:34:42"/>
    <n v="34.700000000000003"/>
  </r>
  <r>
    <x v="129"/>
    <x v="10"/>
    <x v="1"/>
    <n v="15"/>
    <d v="1899-12-30T00:55:29"/>
    <n v="55.483333333333334"/>
  </r>
  <r>
    <x v="129"/>
    <x v="10"/>
    <x v="2"/>
    <n v="14"/>
    <d v="1899-12-30T00:30:36"/>
    <n v="30.6"/>
  </r>
  <r>
    <x v="129"/>
    <x v="10"/>
    <x v="3"/>
    <n v="5"/>
    <d v="1899-12-30T00:03:54"/>
    <n v="3.9"/>
  </r>
  <r>
    <x v="129"/>
    <x v="10"/>
    <x v="4"/>
    <n v="2"/>
    <d v="1899-12-30T00:01:54"/>
    <n v="1.9"/>
  </r>
  <r>
    <x v="129"/>
    <x v="10"/>
    <x v="5"/>
    <n v="15"/>
    <d v="1899-12-30T00:25:01"/>
    <n v="25.016666666666666"/>
  </r>
  <r>
    <x v="129"/>
    <x v="11"/>
    <x v="0"/>
    <n v="3"/>
    <d v="1899-12-30T00:09:04"/>
    <n v="9.0666666666666664"/>
  </r>
  <r>
    <x v="129"/>
    <x v="11"/>
    <x v="1"/>
    <n v="8"/>
    <d v="1899-12-30T00:16:25"/>
    <n v="16.416666666666668"/>
  </r>
  <r>
    <x v="129"/>
    <x v="11"/>
    <x v="2"/>
    <n v="7"/>
    <d v="1899-12-30T00:15:46"/>
    <n v="15.766666666666667"/>
  </r>
  <r>
    <x v="129"/>
    <x v="11"/>
    <x v="3"/>
    <n v="2"/>
    <d v="1899-12-30T00:00:58"/>
    <n v="0.96666666666666667"/>
  </r>
  <r>
    <x v="129"/>
    <x v="11"/>
    <x v="4"/>
    <n v="3"/>
    <d v="1899-12-30T00:08:27"/>
    <n v="8.4499999999999993"/>
  </r>
  <r>
    <x v="129"/>
    <x v="11"/>
    <x v="5"/>
    <n v="9"/>
    <d v="1899-12-30T00:14:34"/>
    <n v="14.566666666666666"/>
  </r>
  <r>
    <x v="129"/>
    <x v="12"/>
    <x v="0"/>
    <n v="94"/>
    <d v="1899-12-30T03:07:47"/>
    <n v="187.78333333333333"/>
  </r>
  <r>
    <x v="129"/>
    <x v="12"/>
    <x v="1"/>
    <n v="100"/>
    <d v="1899-12-30T03:25:38"/>
    <n v="205.63333333333333"/>
  </r>
  <r>
    <x v="129"/>
    <x v="12"/>
    <x v="2"/>
    <n v="73"/>
    <d v="1899-12-30T01:55:23"/>
    <n v="115.38333333333334"/>
  </r>
  <r>
    <x v="129"/>
    <x v="12"/>
    <x v="3"/>
    <n v="35"/>
    <d v="1899-12-30T00:30:54"/>
    <n v="30.9"/>
  </r>
  <r>
    <x v="129"/>
    <x v="12"/>
    <x v="4"/>
    <n v="23"/>
    <d v="1899-12-30T00:46:24"/>
    <n v="46.4"/>
  </r>
  <r>
    <x v="129"/>
    <x v="12"/>
    <x v="5"/>
    <n v="77"/>
    <d v="1899-12-30T02:12:44"/>
    <n v="132.73333333333332"/>
  </r>
  <r>
    <x v="129"/>
    <x v="13"/>
    <x v="0"/>
    <n v="65"/>
    <d v="1899-12-30T01:25:23"/>
    <n v="85.38333333333334"/>
  </r>
  <r>
    <x v="129"/>
    <x v="13"/>
    <x v="1"/>
    <n v="22"/>
    <d v="1899-12-30T00:20:30"/>
    <n v="20.5"/>
  </r>
  <r>
    <x v="129"/>
    <x v="13"/>
    <x v="2"/>
    <n v="23"/>
    <d v="1899-12-30T00:31:26"/>
    <n v="31.433333333333334"/>
  </r>
  <r>
    <x v="129"/>
    <x v="13"/>
    <x v="3"/>
    <n v="35"/>
    <d v="1899-12-30T00:36:42"/>
    <n v="36.700000000000003"/>
  </r>
  <r>
    <x v="129"/>
    <x v="13"/>
    <x v="4"/>
    <n v="2"/>
    <d v="1899-12-30T00:01:50"/>
    <n v="1.8333333333333335"/>
  </r>
  <r>
    <x v="129"/>
    <x v="13"/>
    <x v="5"/>
    <n v="16"/>
    <d v="1899-12-30T00:16:56"/>
    <n v="16.933333333333334"/>
  </r>
  <r>
    <x v="130"/>
    <x v="0"/>
    <x v="0"/>
    <n v="43"/>
    <d v="1899-12-30T01:01:33"/>
    <n v="61.55"/>
  </r>
  <r>
    <x v="130"/>
    <x v="0"/>
    <x v="1"/>
    <n v="40"/>
    <d v="1899-12-30T00:51:03"/>
    <n v="51.05"/>
  </r>
  <r>
    <x v="130"/>
    <x v="0"/>
    <x v="2"/>
    <n v="33"/>
    <d v="1899-12-30T00:41:31"/>
    <n v="41.516666666666666"/>
  </r>
  <r>
    <x v="130"/>
    <x v="0"/>
    <x v="3"/>
    <n v="10"/>
    <d v="1899-12-30T00:10:12"/>
    <n v="10.199999999999999"/>
  </r>
  <r>
    <x v="130"/>
    <x v="0"/>
    <x v="4"/>
    <n v="6"/>
    <d v="1899-12-30T00:09:06"/>
    <n v="9.1"/>
  </r>
  <r>
    <x v="130"/>
    <x v="0"/>
    <x v="5"/>
    <n v="38"/>
    <d v="1899-12-30T00:40:47"/>
    <n v="40.783333333333331"/>
  </r>
  <r>
    <x v="130"/>
    <x v="1"/>
    <x v="0"/>
    <n v="33"/>
    <d v="1899-12-30T01:03:22"/>
    <n v="63.366666666666667"/>
  </r>
  <r>
    <x v="130"/>
    <x v="1"/>
    <x v="1"/>
    <n v="22"/>
    <d v="1899-12-30T01:03:56"/>
    <n v="63.93333333333333"/>
  </r>
  <r>
    <x v="130"/>
    <x v="1"/>
    <x v="2"/>
    <n v="8"/>
    <d v="1899-12-30T00:13:29"/>
    <n v="13.483333333333333"/>
  </r>
  <r>
    <x v="130"/>
    <x v="1"/>
    <x v="3"/>
    <n v="6"/>
    <d v="1899-12-30T00:07:17"/>
    <n v="7.2833333333333332"/>
  </r>
  <r>
    <x v="130"/>
    <x v="1"/>
    <x v="4"/>
    <n v="22"/>
    <d v="1899-12-30T00:56:19"/>
    <n v="56.31666666666667"/>
  </r>
  <r>
    <x v="130"/>
    <x v="1"/>
    <x v="5"/>
    <n v="40"/>
    <d v="1899-12-30T01:11:27"/>
    <n v="71.45"/>
  </r>
  <r>
    <x v="130"/>
    <x v="2"/>
    <x v="0"/>
    <n v="34"/>
    <d v="1899-12-30T01:02:21"/>
    <n v="62.35"/>
  </r>
  <r>
    <x v="130"/>
    <x v="2"/>
    <x v="1"/>
    <n v="53"/>
    <d v="1899-12-30T02:22:58"/>
    <n v="142.96666666666667"/>
  </r>
  <r>
    <x v="130"/>
    <x v="2"/>
    <x v="2"/>
    <n v="33"/>
    <d v="1899-12-30T00:58:17"/>
    <n v="58.283333333333331"/>
  </r>
  <r>
    <x v="130"/>
    <x v="2"/>
    <x v="3"/>
    <n v="3"/>
    <d v="1899-12-30T00:03:59"/>
    <n v="3.9833333333333334"/>
  </r>
  <r>
    <x v="130"/>
    <x v="2"/>
    <x v="4"/>
    <n v="3"/>
    <d v="1899-12-30T00:06:10"/>
    <n v="6.166666666666667"/>
  </r>
  <r>
    <x v="130"/>
    <x v="2"/>
    <x v="5"/>
    <n v="19"/>
    <d v="1899-12-30T00:30:31"/>
    <n v="30.516666666666666"/>
  </r>
  <r>
    <x v="130"/>
    <x v="3"/>
    <x v="0"/>
    <n v="5"/>
    <d v="1899-12-30T00:10:42"/>
    <n v="10.7"/>
  </r>
  <r>
    <x v="130"/>
    <x v="3"/>
    <x v="1"/>
    <n v="2"/>
    <d v="1899-12-30T00:03:38"/>
    <n v="3.6333333333333333"/>
  </r>
  <r>
    <x v="130"/>
    <x v="3"/>
    <x v="2"/>
    <n v="4"/>
    <d v="1899-12-30T00:12:46"/>
    <n v="12.766666666666667"/>
  </r>
  <r>
    <x v="130"/>
    <x v="3"/>
    <x v="3"/>
    <n v="1"/>
    <d v="1899-12-30T00:01:17"/>
    <n v="1.2833333333333332"/>
  </r>
  <r>
    <x v="130"/>
    <x v="3"/>
    <x v="4"/>
    <n v="1"/>
    <d v="1899-12-30T00:03:18"/>
    <n v="3.3"/>
  </r>
  <r>
    <x v="130"/>
    <x v="3"/>
    <x v="5"/>
    <n v="3"/>
    <d v="1899-12-30T00:05:05"/>
    <n v="5.083333333333333"/>
  </r>
  <r>
    <x v="130"/>
    <x v="4"/>
    <x v="0"/>
    <n v="52"/>
    <d v="1899-12-30T01:45:09"/>
    <n v="105.15"/>
  </r>
  <r>
    <x v="130"/>
    <x v="4"/>
    <x v="1"/>
    <n v="37"/>
    <d v="1899-12-30T01:13:57"/>
    <n v="73.95"/>
  </r>
  <r>
    <x v="130"/>
    <x v="4"/>
    <x v="2"/>
    <n v="32"/>
    <d v="1899-12-30T00:53:12"/>
    <n v="53.2"/>
  </r>
  <r>
    <x v="130"/>
    <x v="4"/>
    <x v="3"/>
    <n v="15"/>
    <d v="1899-12-30T00:12:14"/>
    <n v="12.233333333333333"/>
  </r>
  <r>
    <x v="130"/>
    <x v="4"/>
    <x v="4"/>
    <n v="7"/>
    <d v="1899-12-30T00:14:51"/>
    <n v="14.85"/>
  </r>
  <r>
    <x v="130"/>
    <x v="4"/>
    <x v="5"/>
    <n v="18"/>
    <d v="1899-12-30T00:20:12"/>
    <n v="20.2"/>
  </r>
  <r>
    <x v="130"/>
    <x v="5"/>
    <x v="0"/>
    <n v="12"/>
    <d v="1899-12-30T00:17:17"/>
    <n v="17.283333333333335"/>
  </r>
  <r>
    <x v="130"/>
    <x v="5"/>
    <x v="1"/>
    <n v="7"/>
    <d v="1899-12-30T00:07:02"/>
    <n v="7.0333333333333332"/>
  </r>
  <r>
    <x v="130"/>
    <x v="5"/>
    <x v="2"/>
    <n v="7"/>
    <d v="1899-12-30T00:09:44"/>
    <n v="9.7333333333333325"/>
  </r>
  <r>
    <x v="130"/>
    <x v="5"/>
    <x v="3"/>
    <n v="5"/>
    <d v="1899-12-30T00:03:12"/>
    <n v="3.2"/>
  </r>
  <r>
    <x v="130"/>
    <x v="5"/>
    <x v="4"/>
    <n v="1"/>
    <d v="1899-12-30T00:00:21"/>
    <n v="0.35"/>
  </r>
  <r>
    <x v="130"/>
    <x v="5"/>
    <x v="5"/>
    <n v="13"/>
    <d v="1899-12-30T00:16:06"/>
    <n v="16.100000000000001"/>
  </r>
  <r>
    <x v="130"/>
    <x v="6"/>
    <x v="0"/>
    <n v="6"/>
    <d v="1899-12-30T00:15:46"/>
    <n v="15.766666666666667"/>
  </r>
  <r>
    <x v="130"/>
    <x v="6"/>
    <x v="1"/>
    <n v="7"/>
    <d v="1899-12-30T00:10:30"/>
    <n v="10.5"/>
  </r>
  <r>
    <x v="130"/>
    <x v="6"/>
    <x v="2"/>
    <n v="4"/>
    <d v="1899-12-30T00:10:50"/>
    <n v="10.833333333333334"/>
  </r>
  <r>
    <x v="130"/>
    <x v="6"/>
    <x v="3"/>
    <n v="5"/>
    <d v="1899-12-30T00:02:40"/>
    <n v="2.6666666666666665"/>
  </r>
  <r>
    <x v="130"/>
    <x v="6"/>
    <x v="4"/>
    <n v="10"/>
    <d v="1899-12-30T00:19:04"/>
    <n v="19.066666666666666"/>
  </r>
  <r>
    <x v="130"/>
    <x v="6"/>
    <x v="5"/>
    <n v="6"/>
    <d v="1899-12-30T00:07:02"/>
    <n v="7.0333333333333332"/>
  </r>
  <r>
    <x v="130"/>
    <x v="7"/>
    <x v="0"/>
    <n v="99"/>
    <d v="1899-12-30T03:11:49"/>
    <n v="191.81666666666666"/>
  </r>
  <r>
    <x v="130"/>
    <x v="7"/>
    <x v="1"/>
    <n v="133"/>
    <d v="1899-12-30T03:31:47"/>
    <n v="211.78333333333333"/>
  </r>
  <r>
    <x v="130"/>
    <x v="7"/>
    <x v="2"/>
    <n v="57"/>
    <d v="1899-12-30T01:19:45"/>
    <n v="79.75"/>
  </r>
  <r>
    <x v="130"/>
    <x v="7"/>
    <x v="3"/>
    <n v="64"/>
    <d v="1899-12-30T01:06:50"/>
    <n v="66.833333333333329"/>
  </r>
  <r>
    <x v="130"/>
    <x v="7"/>
    <x v="4"/>
    <n v="117"/>
    <d v="1899-12-30T03:42:35"/>
    <n v="222.58333333333334"/>
  </r>
  <r>
    <x v="130"/>
    <x v="7"/>
    <x v="5"/>
    <n v="90"/>
    <d v="1899-12-30T02:19:15"/>
    <n v="139.25"/>
  </r>
  <r>
    <x v="130"/>
    <x v="8"/>
    <x v="0"/>
    <n v="16"/>
    <d v="1899-12-30T00:23:55"/>
    <n v="23.916666666666668"/>
  </r>
  <r>
    <x v="130"/>
    <x v="8"/>
    <x v="1"/>
    <n v="11"/>
    <d v="1899-12-30T00:18:55"/>
    <n v="18.916666666666668"/>
  </r>
  <r>
    <x v="130"/>
    <x v="8"/>
    <x v="2"/>
    <n v="14"/>
    <d v="1899-12-30T00:24:47"/>
    <n v="24.783333333333335"/>
  </r>
  <r>
    <x v="130"/>
    <x v="8"/>
    <x v="3"/>
    <n v="16"/>
    <d v="1899-12-30T00:12:31"/>
    <n v="12.516666666666667"/>
  </r>
  <r>
    <x v="130"/>
    <x v="8"/>
    <x v="4"/>
    <n v="1"/>
    <d v="1899-12-30T00:02:02"/>
    <n v="2.0333333333333332"/>
  </r>
  <r>
    <x v="130"/>
    <x v="8"/>
    <x v="5"/>
    <n v="20"/>
    <d v="1899-12-30T00:26:53"/>
    <n v="26.883333333333333"/>
  </r>
  <r>
    <x v="130"/>
    <x v="9"/>
    <x v="0"/>
    <n v="169"/>
    <d v="1899-12-30T06:11:57"/>
    <n v="371.95"/>
  </r>
  <r>
    <x v="130"/>
    <x v="9"/>
    <x v="1"/>
    <n v="215"/>
    <d v="1899-12-30T07:25:14"/>
    <n v="445.23333333333335"/>
  </r>
  <r>
    <x v="130"/>
    <x v="9"/>
    <x v="2"/>
    <n v="149"/>
    <d v="1899-12-30T04:11:57"/>
    <n v="251.95"/>
  </r>
  <r>
    <x v="130"/>
    <x v="9"/>
    <x v="3"/>
    <n v="85"/>
    <d v="1899-12-30T01:36:11"/>
    <n v="96.183333333333337"/>
  </r>
  <r>
    <x v="130"/>
    <x v="9"/>
    <x v="4"/>
    <n v="49"/>
    <d v="1899-12-30T01:47:53"/>
    <n v="107.88333333333334"/>
  </r>
  <r>
    <x v="130"/>
    <x v="9"/>
    <x v="5"/>
    <n v="152"/>
    <d v="1899-12-30T05:01:23"/>
    <n v="301.38333333333333"/>
  </r>
  <r>
    <x v="130"/>
    <x v="10"/>
    <x v="0"/>
    <n v="10"/>
    <d v="1899-12-30T00:21:01"/>
    <n v="21.016666666666666"/>
  </r>
  <r>
    <x v="130"/>
    <x v="10"/>
    <x v="1"/>
    <n v="8"/>
    <d v="1899-12-30T00:15:27"/>
    <n v="15.45"/>
  </r>
  <r>
    <x v="130"/>
    <x v="10"/>
    <x v="2"/>
    <n v="9"/>
    <d v="1899-12-30T00:19:56"/>
    <n v="19.933333333333334"/>
  </r>
  <r>
    <x v="130"/>
    <x v="10"/>
    <x v="3"/>
    <n v="5"/>
    <d v="1899-12-30T00:04:00"/>
    <n v="4"/>
  </r>
  <r>
    <x v="130"/>
    <x v="10"/>
    <x v="4"/>
    <n v="1"/>
    <d v="1899-12-30T00:01:03"/>
    <n v="1.05"/>
  </r>
  <r>
    <x v="130"/>
    <x v="10"/>
    <x v="5"/>
    <n v="16"/>
    <d v="1899-12-30T00:25:47"/>
    <n v="25.783333333333335"/>
  </r>
  <r>
    <x v="130"/>
    <x v="11"/>
    <x v="0"/>
    <n v="10"/>
    <d v="1899-12-30T00:30:31"/>
    <n v="30.516666666666666"/>
  </r>
  <r>
    <x v="130"/>
    <x v="11"/>
    <x v="1"/>
    <n v="7"/>
    <d v="1899-12-30T00:21:25"/>
    <n v="21.416666666666668"/>
  </r>
  <r>
    <x v="130"/>
    <x v="11"/>
    <x v="2"/>
    <n v="4"/>
    <d v="1899-12-30T00:04:46"/>
    <n v="4.7666666666666666"/>
  </r>
  <r>
    <x v="130"/>
    <x v="11"/>
    <x v="3"/>
    <n v="3"/>
    <d v="1899-12-30T00:02:39"/>
    <n v="2.65"/>
  </r>
  <r>
    <x v="130"/>
    <x v="11"/>
    <x v="4"/>
    <n v="4"/>
    <d v="1899-12-30T00:04:45"/>
    <n v="4.75"/>
  </r>
  <r>
    <x v="130"/>
    <x v="11"/>
    <x v="5"/>
    <n v="11"/>
    <d v="1899-12-30T00:21:38"/>
    <n v="21.633333333333333"/>
  </r>
  <r>
    <x v="130"/>
    <x v="12"/>
    <x v="0"/>
    <n v="42"/>
    <d v="1899-12-30T01:26:47"/>
    <n v="86.783333333333331"/>
  </r>
  <r>
    <x v="130"/>
    <x v="12"/>
    <x v="1"/>
    <n v="39"/>
    <d v="1899-12-30T01:23:21"/>
    <n v="83.35"/>
  </r>
  <r>
    <x v="130"/>
    <x v="12"/>
    <x v="2"/>
    <n v="24"/>
    <d v="1899-12-30T00:40:10"/>
    <n v="40.166666666666664"/>
  </r>
  <r>
    <x v="130"/>
    <x v="12"/>
    <x v="3"/>
    <n v="20"/>
    <d v="1899-12-30T00:19:41"/>
    <n v="19.683333333333334"/>
  </r>
  <r>
    <x v="130"/>
    <x v="12"/>
    <x v="4"/>
    <n v="14"/>
    <d v="1899-12-30T00:28:53"/>
    <n v="28.883333333333333"/>
  </r>
  <r>
    <x v="130"/>
    <x v="12"/>
    <x v="5"/>
    <n v="46"/>
    <d v="1899-12-30T01:05:09"/>
    <n v="65.150000000000006"/>
  </r>
  <r>
    <x v="130"/>
    <x v="13"/>
    <x v="0"/>
    <n v="17"/>
    <d v="1899-12-30T00:26:27"/>
    <n v="26.45"/>
  </r>
  <r>
    <x v="130"/>
    <x v="13"/>
    <x v="1"/>
    <n v="13"/>
    <d v="1899-12-30T00:11:19"/>
    <n v="11.316666666666666"/>
  </r>
  <r>
    <x v="130"/>
    <x v="13"/>
    <x v="2"/>
    <n v="10"/>
    <d v="1899-12-30T00:11:13"/>
    <n v="11.216666666666667"/>
  </r>
  <r>
    <x v="130"/>
    <x v="13"/>
    <x v="3"/>
    <n v="27"/>
    <d v="1899-12-30T00:24:37"/>
    <n v="24.616666666666667"/>
  </r>
  <r>
    <x v="130"/>
    <x v="13"/>
    <x v="4"/>
    <n v="4"/>
    <d v="1899-12-30T00:04:26"/>
    <n v="4.4333333333333336"/>
  </r>
  <r>
    <x v="130"/>
    <x v="13"/>
    <x v="5"/>
    <n v="18"/>
    <d v="1899-12-30T00:17:58"/>
    <n v="17.966666666666665"/>
  </r>
  <r>
    <x v="131"/>
    <x v="0"/>
    <x v="0"/>
    <n v="6"/>
    <d v="1899-12-30T00:06:05"/>
    <n v="6.083333333333333"/>
  </r>
  <r>
    <x v="131"/>
    <x v="0"/>
    <x v="1"/>
    <n v="19"/>
    <d v="1899-12-30T00:17:30"/>
    <n v="17.5"/>
  </r>
  <r>
    <x v="131"/>
    <x v="0"/>
    <x v="2"/>
    <n v="10"/>
    <d v="1899-12-30T00:11:36"/>
    <n v="11.6"/>
  </r>
  <r>
    <x v="131"/>
    <x v="0"/>
    <x v="3"/>
    <n v="6"/>
    <d v="1899-12-30T00:02:33"/>
    <n v="2.5499999999999998"/>
  </r>
  <r>
    <x v="131"/>
    <x v="0"/>
    <x v="4"/>
    <n v="2"/>
    <d v="1899-12-30T00:03:08"/>
    <n v="3.1333333333333333"/>
  </r>
  <r>
    <x v="131"/>
    <x v="0"/>
    <x v="5"/>
    <n v="18"/>
    <d v="1899-12-30T00:33:43"/>
    <n v="33.716666666666669"/>
  </r>
  <r>
    <x v="131"/>
    <x v="1"/>
    <x v="0"/>
    <n v="75"/>
    <d v="1899-12-30T02:32:11"/>
    <n v="152.18333333333334"/>
  </r>
  <r>
    <x v="131"/>
    <x v="1"/>
    <x v="1"/>
    <n v="40"/>
    <d v="1899-12-30T01:57:48"/>
    <n v="117.8"/>
  </r>
  <r>
    <x v="131"/>
    <x v="1"/>
    <x v="2"/>
    <n v="29"/>
    <d v="1899-12-30T00:55:57"/>
    <n v="55.95"/>
  </r>
  <r>
    <x v="131"/>
    <x v="1"/>
    <x v="3"/>
    <n v="21"/>
    <d v="1899-12-30T00:24:05"/>
    <n v="24.083333333333332"/>
  </r>
  <r>
    <x v="131"/>
    <x v="1"/>
    <x v="4"/>
    <n v="30"/>
    <d v="1899-12-30T01:13:51"/>
    <n v="73.849999999999994"/>
  </r>
  <r>
    <x v="131"/>
    <x v="1"/>
    <x v="5"/>
    <n v="63"/>
    <d v="1899-12-30T02:04:38"/>
    <n v="124.63333333333334"/>
  </r>
  <r>
    <x v="131"/>
    <x v="2"/>
    <x v="0"/>
    <n v="54"/>
    <d v="1899-12-30T02:03:42"/>
    <n v="123.7"/>
  </r>
  <r>
    <x v="131"/>
    <x v="2"/>
    <x v="1"/>
    <n v="60"/>
    <d v="1899-12-30T02:28:58"/>
    <n v="148.96666666666667"/>
  </r>
  <r>
    <x v="131"/>
    <x v="2"/>
    <x v="2"/>
    <n v="38"/>
    <d v="1899-12-30T01:20:23"/>
    <n v="80.38333333333334"/>
  </r>
  <r>
    <x v="131"/>
    <x v="2"/>
    <x v="3"/>
    <n v="10"/>
    <d v="1899-12-30T00:13:02"/>
    <n v="13.033333333333333"/>
  </r>
  <r>
    <x v="131"/>
    <x v="2"/>
    <x v="4"/>
    <n v="6"/>
    <d v="1899-12-30T00:14:07"/>
    <n v="14.116666666666667"/>
  </r>
  <r>
    <x v="131"/>
    <x v="2"/>
    <x v="5"/>
    <n v="35"/>
    <d v="1899-12-30T01:00:22"/>
    <n v="60.366666666666667"/>
  </r>
  <r>
    <x v="131"/>
    <x v="3"/>
    <x v="0"/>
    <n v="5"/>
    <d v="1899-12-30T00:11:25"/>
    <n v="11.416666666666666"/>
  </r>
  <r>
    <x v="131"/>
    <x v="3"/>
    <x v="1"/>
    <n v="7"/>
    <d v="1899-12-30T00:11:20"/>
    <n v="11.333333333333334"/>
  </r>
  <r>
    <x v="131"/>
    <x v="3"/>
    <x v="2"/>
    <n v="3"/>
    <d v="1899-12-30T00:08:25"/>
    <n v="8.4166666666666661"/>
  </r>
  <r>
    <x v="131"/>
    <x v="3"/>
    <x v="3"/>
    <n v="1"/>
    <d v="1899-12-30T00:01:09"/>
    <n v="1.1499999999999999"/>
  </r>
  <r>
    <x v="131"/>
    <x v="3"/>
    <x v="4"/>
    <n v="2"/>
    <d v="1899-12-30T00:05:35"/>
    <n v="5.583333333333333"/>
  </r>
  <r>
    <x v="131"/>
    <x v="3"/>
    <x v="5"/>
    <n v="6"/>
    <d v="1899-12-30T00:08:30"/>
    <n v="8.5"/>
  </r>
  <r>
    <x v="131"/>
    <x v="4"/>
    <x v="0"/>
    <n v="87"/>
    <d v="1899-12-30T02:27:07"/>
    <n v="147.11666666666667"/>
  </r>
  <r>
    <x v="131"/>
    <x v="4"/>
    <x v="1"/>
    <n v="84"/>
    <d v="1899-12-30T02:26:27"/>
    <n v="146.44999999999999"/>
  </r>
  <r>
    <x v="131"/>
    <x v="4"/>
    <x v="2"/>
    <n v="69"/>
    <d v="1899-12-30T01:53:10"/>
    <n v="113.16666666666667"/>
  </r>
  <r>
    <x v="131"/>
    <x v="4"/>
    <x v="3"/>
    <n v="25"/>
    <d v="1899-12-30T00:22:49"/>
    <n v="22.816666666666666"/>
  </r>
  <r>
    <x v="131"/>
    <x v="4"/>
    <x v="4"/>
    <n v="48"/>
    <d v="1899-12-30T01:44:26"/>
    <n v="104.43333333333334"/>
  </r>
  <r>
    <x v="131"/>
    <x v="4"/>
    <x v="5"/>
    <n v="52"/>
    <d v="1899-12-30T01:18:11"/>
    <n v="78.183333333333337"/>
  </r>
  <r>
    <x v="131"/>
    <x v="5"/>
    <x v="0"/>
    <n v="18"/>
    <d v="1899-12-30T00:24:51"/>
    <n v="24.85"/>
  </r>
  <r>
    <x v="131"/>
    <x v="5"/>
    <x v="1"/>
    <n v="22"/>
    <d v="1899-12-30T00:34:23"/>
    <n v="34.383333333333333"/>
  </r>
  <r>
    <x v="131"/>
    <x v="5"/>
    <x v="2"/>
    <n v="28"/>
    <d v="1899-12-30T00:37:16"/>
    <n v="37.266666666666666"/>
  </r>
  <r>
    <x v="131"/>
    <x v="5"/>
    <x v="3"/>
    <n v="7"/>
    <d v="1899-12-30T00:08:06"/>
    <n v="8.1"/>
  </r>
  <r>
    <x v="131"/>
    <x v="5"/>
    <x v="4"/>
    <n v="5"/>
    <d v="1899-12-30T00:05:21"/>
    <n v="5.35"/>
  </r>
  <r>
    <x v="131"/>
    <x v="5"/>
    <x v="5"/>
    <n v="24"/>
    <d v="1899-12-30T00:31:16"/>
    <n v="31.266666666666666"/>
  </r>
  <r>
    <x v="131"/>
    <x v="6"/>
    <x v="0"/>
    <n v="8"/>
    <d v="1899-12-30T00:11:05"/>
    <n v="11.083333333333334"/>
  </r>
  <r>
    <x v="131"/>
    <x v="6"/>
    <x v="1"/>
    <n v="9"/>
    <d v="1899-12-30T00:16:27"/>
    <n v="16.45"/>
  </r>
  <r>
    <x v="131"/>
    <x v="6"/>
    <x v="2"/>
    <n v="4"/>
    <d v="1899-12-30T00:06:31"/>
    <n v="6.5166666666666666"/>
  </r>
  <r>
    <x v="131"/>
    <x v="6"/>
    <x v="3"/>
    <n v="2"/>
    <d v="1899-12-30T00:01:35"/>
    <n v="1.5833333333333335"/>
  </r>
  <r>
    <x v="131"/>
    <x v="6"/>
    <x v="4"/>
    <n v="4"/>
    <d v="1899-12-30T00:08:28"/>
    <n v="8.4666666666666668"/>
  </r>
  <r>
    <x v="131"/>
    <x v="6"/>
    <x v="5"/>
    <n v="1"/>
    <d v="1899-12-30T00:00:45"/>
    <n v="0.75"/>
  </r>
  <r>
    <x v="131"/>
    <x v="7"/>
    <x v="0"/>
    <n v="53"/>
    <d v="1899-12-30T01:28:06"/>
    <n v="88.1"/>
  </r>
  <r>
    <x v="131"/>
    <x v="7"/>
    <x v="1"/>
    <n v="112"/>
    <d v="1899-12-30T02:41:15"/>
    <n v="161.25"/>
  </r>
  <r>
    <x v="131"/>
    <x v="7"/>
    <x v="2"/>
    <n v="56"/>
    <d v="1899-12-30T01:05:55"/>
    <n v="65.916666666666671"/>
  </r>
  <r>
    <x v="131"/>
    <x v="7"/>
    <x v="3"/>
    <n v="44"/>
    <d v="1899-12-30T00:42:00"/>
    <n v="42"/>
  </r>
  <r>
    <x v="131"/>
    <x v="7"/>
    <x v="4"/>
    <n v="122"/>
    <d v="1899-12-30T03:20:21"/>
    <n v="200.35"/>
  </r>
  <r>
    <x v="131"/>
    <x v="7"/>
    <x v="5"/>
    <n v="42"/>
    <d v="1899-12-30T00:43:53"/>
    <n v="43.883333333333333"/>
  </r>
  <r>
    <x v="131"/>
    <x v="8"/>
    <x v="0"/>
    <n v="16"/>
    <d v="1899-12-30T00:31:08"/>
    <n v="31.133333333333333"/>
  </r>
  <r>
    <x v="131"/>
    <x v="8"/>
    <x v="1"/>
    <n v="13"/>
    <d v="1899-12-30T00:33:14"/>
    <n v="33.233333333333334"/>
  </r>
  <r>
    <x v="131"/>
    <x v="8"/>
    <x v="2"/>
    <n v="15"/>
    <d v="1899-12-30T00:21:42"/>
    <n v="21.7"/>
  </r>
  <r>
    <x v="131"/>
    <x v="8"/>
    <x v="3"/>
    <n v="13"/>
    <d v="1899-12-30T00:09:17"/>
    <n v="9.2833333333333332"/>
  </r>
  <r>
    <x v="131"/>
    <x v="8"/>
    <x v="4"/>
    <n v="11"/>
    <d v="1899-12-30T00:23:53"/>
    <n v="23.883333333333333"/>
  </r>
  <r>
    <x v="131"/>
    <x v="8"/>
    <x v="5"/>
    <n v="17"/>
    <d v="1899-12-30T00:21:46"/>
    <n v="21.766666666666666"/>
  </r>
  <r>
    <x v="131"/>
    <x v="9"/>
    <x v="0"/>
    <n v="128"/>
    <d v="1899-12-30T04:17:35"/>
    <n v="257.58333333333331"/>
  </r>
  <r>
    <x v="131"/>
    <x v="9"/>
    <x v="1"/>
    <n v="125"/>
    <d v="1899-12-30T04:51:51"/>
    <n v="291.85000000000002"/>
  </r>
  <r>
    <x v="131"/>
    <x v="9"/>
    <x v="2"/>
    <n v="99"/>
    <d v="1899-12-30T03:00:30"/>
    <n v="180.5"/>
  </r>
  <r>
    <x v="131"/>
    <x v="9"/>
    <x v="3"/>
    <n v="54"/>
    <d v="1899-12-30T00:51:14"/>
    <n v="51.233333333333334"/>
  </r>
  <r>
    <x v="131"/>
    <x v="9"/>
    <x v="4"/>
    <n v="37"/>
    <d v="1899-12-30T01:13:41"/>
    <n v="73.683333333333337"/>
  </r>
  <r>
    <x v="131"/>
    <x v="9"/>
    <x v="5"/>
    <n v="145"/>
    <d v="1899-12-30T03:44:16"/>
    <n v="224.26666666666668"/>
  </r>
  <r>
    <x v="131"/>
    <x v="10"/>
    <x v="0"/>
    <n v="19"/>
    <d v="1899-12-30T00:38:39"/>
    <n v="38.65"/>
  </r>
  <r>
    <x v="131"/>
    <x v="10"/>
    <x v="1"/>
    <n v="11"/>
    <d v="1899-12-30T00:34:49"/>
    <n v="34.81666666666667"/>
  </r>
  <r>
    <x v="131"/>
    <x v="10"/>
    <x v="2"/>
    <n v="21"/>
    <d v="1899-12-30T00:32:44"/>
    <n v="32.733333333333334"/>
  </r>
  <r>
    <x v="131"/>
    <x v="10"/>
    <x v="3"/>
    <n v="4"/>
    <d v="1899-12-30T00:03:43"/>
    <n v="3.7166666666666668"/>
  </r>
  <r>
    <x v="131"/>
    <x v="10"/>
    <x v="4"/>
    <n v="3"/>
    <d v="1899-12-30T00:05:53"/>
    <n v="5.8833333333333329"/>
  </r>
  <r>
    <x v="131"/>
    <x v="10"/>
    <x v="5"/>
    <n v="15"/>
    <d v="1899-12-30T00:26:52"/>
    <n v="26.866666666666667"/>
  </r>
  <r>
    <x v="131"/>
    <x v="11"/>
    <x v="0"/>
    <n v="12"/>
    <d v="1899-12-30T00:22:08"/>
    <n v="22.133333333333333"/>
  </r>
  <r>
    <x v="131"/>
    <x v="11"/>
    <x v="1"/>
    <n v="9"/>
    <d v="1899-12-30T00:14:09"/>
    <n v="14.15"/>
  </r>
  <r>
    <x v="131"/>
    <x v="11"/>
    <x v="2"/>
    <n v="4"/>
    <d v="1899-12-30T00:05:01"/>
    <n v="5.0166666666666666"/>
  </r>
  <r>
    <x v="131"/>
    <x v="11"/>
    <x v="3"/>
    <n v="1"/>
    <d v="1899-12-30T00:01:27"/>
    <n v="1.45"/>
  </r>
  <r>
    <x v="131"/>
    <x v="11"/>
    <x v="4"/>
    <n v="3"/>
    <d v="1899-12-30T00:01:31"/>
    <n v="1.5166666666666666"/>
  </r>
  <r>
    <x v="131"/>
    <x v="11"/>
    <x v="5"/>
    <n v="3"/>
    <d v="1899-12-30T00:06:09"/>
    <n v="6.15"/>
  </r>
  <r>
    <x v="131"/>
    <x v="12"/>
    <x v="0"/>
    <n v="95"/>
    <d v="1899-12-30T02:54:53"/>
    <n v="174.88333333333333"/>
  </r>
  <r>
    <x v="131"/>
    <x v="12"/>
    <x v="1"/>
    <n v="97"/>
    <d v="1899-12-30T04:13:02"/>
    <n v="253.03333333333333"/>
  </r>
  <r>
    <x v="131"/>
    <x v="12"/>
    <x v="2"/>
    <n v="62"/>
    <d v="1899-12-30T01:51:03"/>
    <n v="111.05"/>
  </r>
  <r>
    <x v="131"/>
    <x v="12"/>
    <x v="3"/>
    <n v="24"/>
    <d v="1899-12-30T00:22:41"/>
    <n v="22.683333333333334"/>
  </r>
  <r>
    <x v="131"/>
    <x v="12"/>
    <x v="4"/>
    <n v="21"/>
    <d v="1899-12-30T00:50:00"/>
    <n v="50"/>
  </r>
  <r>
    <x v="131"/>
    <x v="12"/>
    <x v="5"/>
    <n v="77"/>
    <d v="1899-12-30T01:53:38"/>
    <n v="113.63333333333334"/>
  </r>
  <r>
    <x v="131"/>
    <x v="13"/>
    <x v="0"/>
    <n v="27"/>
    <d v="1899-12-30T00:45:36"/>
    <n v="45.6"/>
  </r>
  <r>
    <x v="131"/>
    <x v="13"/>
    <x v="1"/>
    <n v="14"/>
    <d v="1899-12-30T00:17:25"/>
    <n v="17.416666666666668"/>
  </r>
  <r>
    <x v="131"/>
    <x v="13"/>
    <x v="2"/>
    <n v="12"/>
    <d v="1899-12-30T00:14:08"/>
    <n v="14.133333333333333"/>
  </r>
  <r>
    <x v="131"/>
    <x v="13"/>
    <x v="3"/>
    <n v="35"/>
    <d v="1899-12-30T00:27:30"/>
    <n v="27.5"/>
  </r>
  <r>
    <x v="131"/>
    <x v="13"/>
    <x v="4"/>
    <n v="2"/>
    <d v="1899-12-30T00:04:11"/>
    <n v="4.1833333333333336"/>
  </r>
  <r>
    <x v="131"/>
    <x v="13"/>
    <x v="5"/>
    <n v="25"/>
    <d v="1899-12-30T00:30:58"/>
    <n v="30.966666666666665"/>
  </r>
  <r>
    <x v="132"/>
    <x v="0"/>
    <x v="0"/>
    <n v="24"/>
    <d v="1899-12-30T00:35:41"/>
    <n v="35.68333333333333"/>
  </r>
  <r>
    <x v="132"/>
    <x v="0"/>
    <x v="1"/>
    <n v="32"/>
    <d v="1899-12-30T00:37:23"/>
    <n v="37.383333333333333"/>
  </r>
  <r>
    <x v="132"/>
    <x v="0"/>
    <x v="2"/>
    <n v="29"/>
    <d v="1899-12-30T00:37:57"/>
    <n v="37.950000000000003"/>
  </r>
  <r>
    <x v="132"/>
    <x v="0"/>
    <x v="3"/>
    <n v="6"/>
    <d v="1899-12-30T00:05:19"/>
    <n v="5.3166666666666664"/>
  </r>
  <r>
    <x v="132"/>
    <x v="0"/>
    <x v="4"/>
    <n v="2"/>
    <d v="1899-12-30T00:00:40"/>
    <n v="0.66666666666666663"/>
  </r>
  <r>
    <x v="132"/>
    <x v="0"/>
    <x v="5"/>
    <n v="30"/>
    <d v="1899-12-30T00:54:37"/>
    <n v="54.616666666666667"/>
  </r>
  <r>
    <x v="132"/>
    <x v="1"/>
    <x v="0"/>
    <n v="47"/>
    <d v="1899-12-30T01:48:01"/>
    <n v="108.01666666666667"/>
  </r>
  <r>
    <x v="132"/>
    <x v="1"/>
    <x v="1"/>
    <n v="41"/>
    <d v="1899-12-30T01:58:36"/>
    <n v="118.6"/>
  </r>
  <r>
    <x v="132"/>
    <x v="1"/>
    <x v="2"/>
    <n v="15"/>
    <d v="1899-12-30T00:35:05"/>
    <n v="35.083333333333336"/>
  </r>
  <r>
    <x v="132"/>
    <x v="1"/>
    <x v="3"/>
    <n v="11"/>
    <d v="1899-12-30T00:14:09"/>
    <n v="14.15"/>
  </r>
  <r>
    <x v="132"/>
    <x v="1"/>
    <x v="4"/>
    <n v="23"/>
    <d v="1899-12-30T00:56:27"/>
    <n v="56.45"/>
  </r>
  <r>
    <x v="132"/>
    <x v="1"/>
    <x v="5"/>
    <n v="42"/>
    <d v="1899-12-30T01:24:06"/>
    <n v="84.1"/>
  </r>
  <r>
    <x v="132"/>
    <x v="2"/>
    <x v="0"/>
    <n v="53"/>
    <d v="1899-12-30T01:47:42"/>
    <n v="107.7"/>
  </r>
  <r>
    <x v="132"/>
    <x v="2"/>
    <x v="1"/>
    <n v="56"/>
    <d v="1899-12-30T01:58:44"/>
    <n v="118.73333333333333"/>
  </r>
  <r>
    <x v="132"/>
    <x v="2"/>
    <x v="2"/>
    <n v="32"/>
    <d v="1899-12-30T00:48:47"/>
    <n v="48.783333333333331"/>
  </r>
  <r>
    <x v="132"/>
    <x v="2"/>
    <x v="3"/>
    <n v="13"/>
    <d v="1899-12-30T00:10:16"/>
    <n v="10.266666666666667"/>
  </r>
  <r>
    <x v="132"/>
    <x v="2"/>
    <x v="4"/>
    <n v="7"/>
    <d v="1899-12-30T00:15:16"/>
    <n v="15.266666666666667"/>
  </r>
  <r>
    <x v="132"/>
    <x v="2"/>
    <x v="5"/>
    <n v="26"/>
    <d v="1899-12-30T00:41:24"/>
    <n v="41.4"/>
  </r>
  <r>
    <x v="132"/>
    <x v="3"/>
    <x v="0"/>
    <n v="16"/>
    <d v="1899-12-30T00:40:04"/>
    <n v="40.06666666666667"/>
  </r>
  <r>
    <x v="132"/>
    <x v="3"/>
    <x v="1"/>
    <n v="5"/>
    <d v="1899-12-30T00:28:20"/>
    <n v="28.333333333333332"/>
  </r>
  <r>
    <x v="132"/>
    <x v="3"/>
    <x v="2"/>
    <n v="6"/>
    <d v="1899-12-30T00:15:44"/>
    <n v="15.733333333333333"/>
  </r>
  <r>
    <x v="132"/>
    <x v="3"/>
    <x v="3"/>
    <n v="0"/>
    <d v="1899-12-30T00:00:00"/>
    <n v="0"/>
  </r>
  <r>
    <x v="132"/>
    <x v="3"/>
    <x v="4"/>
    <n v="4"/>
    <d v="1899-12-30T00:10:26"/>
    <n v="10.433333333333334"/>
  </r>
  <r>
    <x v="132"/>
    <x v="3"/>
    <x v="5"/>
    <n v="12"/>
    <d v="1899-12-30T00:19:34"/>
    <n v="19.566666666666666"/>
  </r>
  <r>
    <x v="132"/>
    <x v="4"/>
    <x v="0"/>
    <n v="40"/>
    <d v="1899-12-30T01:13:38"/>
    <n v="73.63333333333334"/>
  </r>
  <r>
    <x v="132"/>
    <x v="4"/>
    <x v="1"/>
    <n v="31"/>
    <d v="1899-12-30T00:53:20"/>
    <n v="53.333333333333336"/>
  </r>
  <r>
    <x v="132"/>
    <x v="4"/>
    <x v="2"/>
    <n v="29"/>
    <d v="1899-12-30T00:39:56"/>
    <n v="39.93333333333333"/>
  </r>
  <r>
    <x v="132"/>
    <x v="4"/>
    <x v="3"/>
    <n v="6"/>
    <d v="1899-12-30T00:06:44"/>
    <n v="6.7333333333333334"/>
  </r>
  <r>
    <x v="132"/>
    <x v="4"/>
    <x v="4"/>
    <n v="6"/>
    <d v="1899-12-30T00:08:11"/>
    <n v="8.1833333333333336"/>
  </r>
  <r>
    <x v="132"/>
    <x v="4"/>
    <x v="5"/>
    <n v="16"/>
    <d v="1899-12-30T00:16:20"/>
    <n v="16.333333333333332"/>
  </r>
  <r>
    <x v="132"/>
    <x v="5"/>
    <x v="0"/>
    <n v="15"/>
    <d v="1899-12-30T00:20:32"/>
    <n v="20.533333333333335"/>
  </r>
  <r>
    <x v="132"/>
    <x v="5"/>
    <x v="1"/>
    <n v="24"/>
    <d v="1899-12-30T00:32:22"/>
    <n v="32.366666666666667"/>
  </r>
  <r>
    <x v="132"/>
    <x v="5"/>
    <x v="2"/>
    <n v="23"/>
    <d v="1899-12-30T00:24:04"/>
    <n v="24.066666666666666"/>
  </r>
  <r>
    <x v="132"/>
    <x v="5"/>
    <x v="3"/>
    <n v="11"/>
    <d v="1899-12-30T00:09:49"/>
    <n v="9.8166666666666664"/>
  </r>
  <r>
    <x v="132"/>
    <x v="5"/>
    <x v="4"/>
    <n v="20"/>
    <d v="1899-12-30T00:38:03"/>
    <n v="38.049999999999997"/>
  </r>
  <r>
    <x v="132"/>
    <x v="5"/>
    <x v="5"/>
    <n v="33"/>
    <d v="1899-12-30T00:34:36"/>
    <n v="34.6"/>
  </r>
  <r>
    <x v="132"/>
    <x v="6"/>
    <x v="0"/>
    <n v="22"/>
    <d v="1899-12-30T00:41:14"/>
    <n v="41.233333333333334"/>
  </r>
  <r>
    <x v="132"/>
    <x v="6"/>
    <x v="1"/>
    <n v="27"/>
    <d v="1899-12-30T00:47:33"/>
    <n v="47.55"/>
  </r>
  <r>
    <x v="132"/>
    <x v="6"/>
    <x v="2"/>
    <n v="21"/>
    <d v="1899-12-30T00:42:36"/>
    <n v="42.6"/>
  </r>
  <r>
    <x v="132"/>
    <x v="6"/>
    <x v="3"/>
    <n v="18"/>
    <d v="1899-12-30T00:20:59"/>
    <n v="20.983333333333334"/>
  </r>
  <r>
    <x v="132"/>
    <x v="6"/>
    <x v="4"/>
    <n v="16"/>
    <d v="1899-12-30T00:33:33"/>
    <n v="33.549999999999997"/>
  </r>
  <r>
    <x v="132"/>
    <x v="6"/>
    <x v="5"/>
    <n v="22"/>
    <d v="1899-12-30T00:35:31"/>
    <n v="35.516666666666666"/>
  </r>
  <r>
    <x v="132"/>
    <x v="7"/>
    <x v="0"/>
    <n v="45"/>
    <d v="1899-12-30T01:20:23"/>
    <n v="80.38333333333334"/>
  </r>
  <r>
    <x v="132"/>
    <x v="7"/>
    <x v="1"/>
    <n v="76"/>
    <d v="1899-12-30T01:50:21"/>
    <n v="110.35"/>
  </r>
  <r>
    <x v="132"/>
    <x v="7"/>
    <x v="2"/>
    <n v="26"/>
    <d v="1899-12-30T00:29:54"/>
    <n v="29.9"/>
  </r>
  <r>
    <x v="132"/>
    <x v="7"/>
    <x v="3"/>
    <n v="48"/>
    <d v="1899-12-30T00:49:32"/>
    <n v="49.533333333333331"/>
  </r>
  <r>
    <x v="132"/>
    <x v="7"/>
    <x v="4"/>
    <n v="92"/>
    <d v="1899-12-30T02:39:32"/>
    <n v="159.53333333333333"/>
  </r>
  <r>
    <x v="132"/>
    <x v="7"/>
    <x v="5"/>
    <n v="39"/>
    <d v="1899-12-30T00:45:30"/>
    <n v="45.5"/>
  </r>
  <r>
    <x v="132"/>
    <x v="8"/>
    <x v="0"/>
    <n v="20"/>
    <d v="1899-12-30T00:35:14"/>
    <n v="35.233333333333334"/>
  </r>
  <r>
    <x v="132"/>
    <x v="8"/>
    <x v="1"/>
    <n v="16"/>
    <d v="1899-12-30T00:22:12"/>
    <n v="22.2"/>
  </r>
  <r>
    <x v="132"/>
    <x v="8"/>
    <x v="2"/>
    <n v="22"/>
    <d v="1899-12-30T00:31:30"/>
    <n v="31.5"/>
  </r>
  <r>
    <x v="132"/>
    <x v="8"/>
    <x v="3"/>
    <n v="11"/>
    <d v="1899-12-30T00:12:53"/>
    <n v="12.883333333333333"/>
  </r>
  <r>
    <x v="132"/>
    <x v="8"/>
    <x v="4"/>
    <n v="12"/>
    <d v="1899-12-30T00:23:59"/>
    <n v="23.983333333333334"/>
  </r>
  <r>
    <x v="132"/>
    <x v="8"/>
    <x v="5"/>
    <n v="26"/>
    <d v="1899-12-30T00:35:24"/>
    <n v="35.4"/>
  </r>
  <r>
    <x v="132"/>
    <x v="9"/>
    <x v="0"/>
    <n v="79"/>
    <d v="1899-12-30T02:40:50"/>
    <n v="160.83333333333334"/>
  </r>
  <r>
    <x v="132"/>
    <x v="9"/>
    <x v="1"/>
    <n v="95"/>
    <d v="1899-12-30T02:56:30"/>
    <n v="176.5"/>
  </r>
  <r>
    <x v="132"/>
    <x v="9"/>
    <x v="2"/>
    <n v="68"/>
    <d v="1899-12-30T01:53:47"/>
    <n v="113.78333333333333"/>
  </r>
  <r>
    <x v="132"/>
    <x v="9"/>
    <x v="3"/>
    <n v="42"/>
    <d v="1899-12-30T00:43:08"/>
    <n v="43.133333333333333"/>
  </r>
  <r>
    <x v="132"/>
    <x v="9"/>
    <x v="4"/>
    <n v="24"/>
    <d v="1899-12-30T00:39:35"/>
    <n v="39.583333333333336"/>
  </r>
  <r>
    <x v="132"/>
    <x v="9"/>
    <x v="5"/>
    <n v="57"/>
    <d v="1899-12-30T01:19:03"/>
    <n v="79.05"/>
  </r>
  <r>
    <x v="132"/>
    <x v="10"/>
    <x v="0"/>
    <n v="23"/>
    <d v="1899-12-30T00:47:06"/>
    <n v="47.1"/>
  </r>
  <r>
    <x v="132"/>
    <x v="10"/>
    <x v="1"/>
    <n v="24"/>
    <d v="1899-12-30T00:36:50"/>
    <n v="36.833333333333336"/>
  </r>
  <r>
    <x v="132"/>
    <x v="10"/>
    <x v="2"/>
    <n v="23"/>
    <d v="1899-12-30T00:39:08"/>
    <n v="39.133333333333333"/>
  </r>
  <r>
    <x v="132"/>
    <x v="10"/>
    <x v="3"/>
    <n v="7"/>
    <d v="1899-12-30T00:05:06"/>
    <n v="5.0999999999999996"/>
  </r>
  <r>
    <x v="132"/>
    <x v="10"/>
    <x v="4"/>
    <n v="6"/>
    <d v="1899-12-30T00:14:30"/>
    <n v="14.5"/>
  </r>
  <r>
    <x v="132"/>
    <x v="10"/>
    <x v="5"/>
    <n v="18"/>
    <d v="1899-12-30T00:28:01"/>
    <n v="28.016666666666666"/>
  </r>
  <r>
    <x v="132"/>
    <x v="11"/>
    <x v="0"/>
    <n v="12"/>
    <d v="1899-12-30T00:25:28"/>
    <n v="25.466666666666665"/>
  </r>
  <r>
    <x v="132"/>
    <x v="11"/>
    <x v="1"/>
    <n v="7"/>
    <d v="1899-12-30T00:16:04"/>
    <n v="16.066666666666666"/>
  </r>
  <r>
    <x v="132"/>
    <x v="11"/>
    <x v="2"/>
    <n v="7"/>
    <d v="1899-12-30T00:10:02"/>
    <n v="10.033333333333333"/>
  </r>
  <r>
    <x v="132"/>
    <x v="11"/>
    <x v="3"/>
    <n v="5"/>
    <d v="1899-12-30T00:07:10"/>
    <n v="7.166666666666667"/>
  </r>
  <r>
    <x v="132"/>
    <x v="11"/>
    <x v="4"/>
    <n v="1"/>
    <d v="1899-12-30T00:02:00"/>
    <n v="2"/>
  </r>
  <r>
    <x v="132"/>
    <x v="11"/>
    <x v="5"/>
    <n v="10"/>
    <d v="1899-12-30T00:14:27"/>
    <n v="14.45"/>
  </r>
  <r>
    <x v="132"/>
    <x v="12"/>
    <x v="0"/>
    <n v="84"/>
    <d v="1899-12-30T02:50:57"/>
    <n v="170.95"/>
  </r>
  <r>
    <x v="132"/>
    <x v="12"/>
    <x v="1"/>
    <n v="102"/>
    <d v="1899-12-30T03:41:17"/>
    <n v="221.28333333333333"/>
  </r>
  <r>
    <x v="132"/>
    <x v="12"/>
    <x v="2"/>
    <n v="75"/>
    <d v="1899-12-30T02:02:48"/>
    <n v="122.8"/>
  </r>
  <r>
    <x v="132"/>
    <x v="12"/>
    <x v="3"/>
    <n v="22"/>
    <d v="1899-12-30T00:21:14"/>
    <n v="21.233333333333334"/>
  </r>
  <r>
    <x v="132"/>
    <x v="12"/>
    <x v="4"/>
    <n v="22"/>
    <d v="1899-12-30T00:49:51"/>
    <n v="49.85"/>
  </r>
  <r>
    <x v="132"/>
    <x v="12"/>
    <x v="5"/>
    <n v="97"/>
    <d v="1899-12-30T02:30:24"/>
    <n v="150.4"/>
  </r>
  <r>
    <x v="132"/>
    <x v="13"/>
    <x v="0"/>
    <n v="27"/>
    <d v="1899-12-30T00:39:20"/>
    <n v="39.333333333333336"/>
  </r>
  <r>
    <x v="132"/>
    <x v="13"/>
    <x v="1"/>
    <n v="20"/>
    <d v="1899-12-30T00:21:32"/>
    <n v="21.533333333333335"/>
  </r>
  <r>
    <x v="132"/>
    <x v="13"/>
    <x v="2"/>
    <n v="15"/>
    <d v="1899-12-30T00:09:33"/>
    <n v="9.5500000000000007"/>
  </r>
  <r>
    <x v="132"/>
    <x v="13"/>
    <x v="3"/>
    <n v="10"/>
    <d v="1899-12-30T00:10:19"/>
    <n v="10.316666666666666"/>
  </r>
  <r>
    <x v="132"/>
    <x v="13"/>
    <x v="4"/>
    <n v="0"/>
    <d v="1899-12-30T00:00:00"/>
    <n v="0"/>
  </r>
  <r>
    <x v="132"/>
    <x v="13"/>
    <x v="5"/>
    <n v="14"/>
    <d v="1899-12-30T00:15:00"/>
    <n v="15"/>
  </r>
  <r>
    <x v="133"/>
    <x v="0"/>
    <x v="0"/>
    <n v="41"/>
    <d v="1899-12-30T00:55:55"/>
    <n v="55.916666666666664"/>
  </r>
  <r>
    <x v="133"/>
    <x v="0"/>
    <x v="1"/>
    <n v="49"/>
    <d v="1899-12-30T00:56:18"/>
    <n v="56.3"/>
  </r>
  <r>
    <x v="133"/>
    <x v="0"/>
    <x v="2"/>
    <n v="42"/>
    <d v="1899-12-30T00:55:29"/>
    <n v="55.483333333333334"/>
  </r>
  <r>
    <x v="133"/>
    <x v="0"/>
    <x v="3"/>
    <n v="8"/>
    <d v="1899-12-30T00:10:19"/>
    <n v="10.316666666666666"/>
  </r>
  <r>
    <x v="133"/>
    <x v="0"/>
    <x v="4"/>
    <n v="5"/>
    <d v="1899-12-30T00:06:02"/>
    <n v="6.0333333333333332"/>
  </r>
  <r>
    <x v="133"/>
    <x v="0"/>
    <x v="5"/>
    <n v="47"/>
    <d v="1899-12-30T00:49:04"/>
    <n v="49.06666666666667"/>
  </r>
  <r>
    <x v="133"/>
    <x v="1"/>
    <x v="0"/>
    <n v="43"/>
    <d v="1899-12-30T01:41:48"/>
    <n v="101.8"/>
  </r>
  <r>
    <x v="133"/>
    <x v="1"/>
    <x v="1"/>
    <n v="33"/>
    <d v="1899-12-30T01:35:55"/>
    <n v="95.916666666666671"/>
  </r>
  <r>
    <x v="133"/>
    <x v="1"/>
    <x v="2"/>
    <n v="21"/>
    <d v="1899-12-30T00:41:49"/>
    <n v="41.81666666666667"/>
  </r>
  <r>
    <x v="133"/>
    <x v="1"/>
    <x v="3"/>
    <n v="8"/>
    <d v="1899-12-30T00:10:07"/>
    <n v="10.116666666666667"/>
  </r>
  <r>
    <x v="133"/>
    <x v="1"/>
    <x v="4"/>
    <n v="31"/>
    <d v="1899-12-30T01:21:27"/>
    <n v="81.45"/>
  </r>
  <r>
    <x v="133"/>
    <x v="1"/>
    <x v="5"/>
    <n v="54"/>
    <d v="1899-12-30T01:40:13"/>
    <n v="100.21666666666667"/>
  </r>
  <r>
    <x v="133"/>
    <x v="2"/>
    <x v="0"/>
    <n v="75"/>
    <d v="1899-12-30T02:35:45"/>
    <n v="155.75"/>
  </r>
  <r>
    <x v="133"/>
    <x v="2"/>
    <x v="1"/>
    <n v="86"/>
    <d v="1899-12-30T03:20:02"/>
    <n v="200.03333333333333"/>
  </r>
  <r>
    <x v="133"/>
    <x v="2"/>
    <x v="2"/>
    <n v="58"/>
    <d v="1899-12-30T01:51:06"/>
    <n v="111.1"/>
  </r>
  <r>
    <x v="133"/>
    <x v="2"/>
    <x v="3"/>
    <n v="10"/>
    <d v="1899-12-30T00:09:20"/>
    <n v="9.3333333333333339"/>
  </r>
  <r>
    <x v="133"/>
    <x v="2"/>
    <x v="4"/>
    <n v="12"/>
    <d v="1899-12-30T00:21:49"/>
    <n v="21.816666666666666"/>
  </r>
  <r>
    <x v="133"/>
    <x v="2"/>
    <x v="5"/>
    <n v="47"/>
    <d v="1899-12-30T01:18:24"/>
    <n v="78.400000000000006"/>
  </r>
  <r>
    <x v="133"/>
    <x v="3"/>
    <x v="0"/>
    <n v="10"/>
    <d v="1899-12-30T00:24:04"/>
    <n v="24.066666666666666"/>
  </r>
  <r>
    <x v="133"/>
    <x v="3"/>
    <x v="1"/>
    <n v="3"/>
    <d v="1899-12-30T00:09:36"/>
    <n v="9.6"/>
  </r>
  <r>
    <x v="133"/>
    <x v="3"/>
    <x v="2"/>
    <n v="2"/>
    <d v="1899-12-30T00:04:06"/>
    <n v="4.0999999999999996"/>
  </r>
  <r>
    <x v="133"/>
    <x v="3"/>
    <x v="3"/>
    <n v="1"/>
    <d v="1899-12-30T00:01:40"/>
    <n v="1.6666666666666665"/>
  </r>
  <r>
    <x v="133"/>
    <x v="3"/>
    <x v="4"/>
    <n v="0"/>
    <d v="1899-12-30T00:00:00"/>
    <n v="0"/>
  </r>
  <r>
    <x v="133"/>
    <x v="3"/>
    <x v="5"/>
    <n v="6"/>
    <d v="1899-12-30T00:10:54"/>
    <n v="10.9"/>
  </r>
  <r>
    <x v="133"/>
    <x v="4"/>
    <x v="0"/>
    <n v="14"/>
    <d v="1899-12-30T00:25:39"/>
    <n v="25.65"/>
  </r>
  <r>
    <x v="133"/>
    <x v="4"/>
    <x v="1"/>
    <n v="20"/>
    <d v="1899-12-30T00:44:28"/>
    <n v="44.466666666666669"/>
  </r>
  <r>
    <x v="133"/>
    <x v="4"/>
    <x v="2"/>
    <n v="9"/>
    <d v="1899-12-30T00:14:51"/>
    <n v="14.85"/>
  </r>
  <r>
    <x v="133"/>
    <x v="4"/>
    <x v="3"/>
    <n v="0"/>
    <d v="1899-12-30T00:00:00"/>
    <n v="0"/>
  </r>
  <r>
    <x v="133"/>
    <x v="4"/>
    <x v="4"/>
    <n v="3"/>
    <d v="1899-12-30T00:05:34"/>
    <n v="5.5666666666666664"/>
  </r>
  <r>
    <x v="133"/>
    <x v="4"/>
    <x v="5"/>
    <n v="9"/>
    <d v="1899-12-30T00:14:05"/>
    <n v="14.083333333333334"/>
  </r>
  <r>
    <x v="133"/>
    <x v="5"/>
    <x v="0"/>
    <n v="12"/>
    <d v="1899-12-30T00:17:37"/>
    <n v="17.616666666666667"/>
  </r>
  <r>
    <x v="133"/>
    <x v="5"/>
    <x v="1"/>
    <n v="14"/>
    <d v="1899-12-30T00:22:29"/>
    <n v="22.483333333333334"/>
  </r>
  <r>
    <x v="133"/>
    <x v="5"/>
    <x v="2"/>
    <n v="16"/>
    <d v="1899-12-30T00:23:41"/>
    <n v="23.683333333333334"/>
  </r>
  <r>
    <x v="133"/>
    <x v="5"/>
    <x v="3"/>
    <n v="3"/>
    <d v="1899-12-30T00:02:11"/>
    <n v="2.1833333333333331"/>
  </r>
  <r>
    <x v="133"/>
    <x v="5"/>
    <x v="4"/>
    <n v="6"/>
    <d v="1899-12-30T00:09:55"/>
    <n v="9.9166666666666661"/>
  </r>
  <r>
    <x v="133"/>
    <x v="5"/>
    <x v="5"/>
    <n v="27"/>
    <d v="1899-12-30T00:35:39"/>
    <n v="35.65"/>
  </r>
  <r>
    <x v="133"/>
    <x v="6"/>
    <x v="0"/>
    <n v="8"/>
    <d v="1899-12-30T00:18:56"/>
    <n v="18.933333333333334"/>
  </r>
  <r>
    <x v="133"/>
    <x v="6"/>
    <x v="1"/>
    <n v="9"/>
    <d v="1899-12-30T00:15:52"/>
    <n v="15.866666666666667"/>
  </r>
  <r>
    <x v="133"/>
    <x v="6"/>
    <x v="2"/>
    <n v="6"/>
    <d v="1899-12-30T00:11:22"/>
    <n v="11.366666666666667"/>
  </r>
  <r>
    <x v="133"/>
    <x v="6"/>
    <x v="3"/>
    <n v="5"/>
    <d v="1899-12-30T00:03:04"/>
    <n v="3.0666666666666669"/>
  </r>
  <r>
    <x v="133"/>
    <x v="6"/>
    <x v="4"/>
    <n v="7"/>
    <d v="1899-12-30T00:08:00"/>
    <n v="8"/>
  </r>
  <r>
    <x v="133"/>
    <x v="6"/>
    <x v="5"/>
    <n v="3"/>
    <d v="1899-12-30T00:04:16"/>
    <n v="4.2666666666666666"/>
  </r>
  <r>
    <x v="133"/>
    <x v="7"/>
    <x v="0"/>
    <n v="63"/>
    <d v="1899-12-30T01:46:46"/>
    <n v="106.76666666666667"/>
  </r>
  <r>
    <x v="133"/>
    <x v="7"/>
    <x v="1"/>
    <n v="113"/>
    <d v="1899-12-30T02:30:28"/>
    <n v="150.46666666666667"/>
  </r>
  <r>
    <x v="133"/>
    <x v="7"/>
    <x v="2"/>
    <n v="34"/>
    <d v="1899-12-30T00:53:03"/>
    <n v="53.05"/>
  </r>
  <r>
    <x v="133"/>
    <x v="7"/>
    <x v="3"/>
    <n v="50"/>
    <d v="1899-12-30T00:54:18"/>
    <n v="54.3"/>
  </r>
  <r>
    <x v="133"/>
    <x v="7"/>
    <x v="4"/>
    <n v="122"/>
    <d v="1899-12-30T03:33:34"/>
    <n v="213.56666666666666"/>
  </r>
  <r>
    <x v="133"/>
    <x v="7"/>
    <x v="5"/>
    <n v="50"/>
    <d v="1899-12-30T00:58:30"/>
    <n v="58.5"/>
  </r>
  <r>
    <x v="133"/>
    <x v="8"/>
    <x v="0"/>
    <n v="16"/>
    <d v="1899-12-30T00:23:56"/>
    <n v="23.933333333333334"/>
  </r>
  <r>
    <x v="133"/>
    <x v="8"/>
    <x v="1"/>
    <n v="23"/>
    <d v="1899-12-30T00:29:05"/>
    <n v="29.083333333333332"/>
  </r>
  <r>
    <x v="133"/>
    <x v="8"/>
    <x v="2"/>
    <n v="23"/>
    <d v="1899-12-30T00:35:04"/>
    <n v="35.06666666666667"/>
  </r>
  <r>
    <x v="133"/>
    <x v="8"/>
    <x v="3"/>
    <n v="15"/>
    <d v="1899-12-30T00:11:09"/>
    <n v="11.15"/>
  </r>
  <r>
    <x v="133"/>
    <x v="8"/>
    <x v="4"/>
    <n v="5"/>
    <d v="1899-12-30T00:12:36"/>
    <n v="12.6"/>
  </r>
  <r>
    <x v="133"/>
    <x v="8"/>
    <x v="5"/>
    <n v="26"/>
    <d v="1899-12-30T00:34:25"/>
    <n v="34.416666666666664"/>
  </r>
  <r>
    <x v="133"/>
    <x v="9"/>
    <x v="0"/>
    <n v="66"/>
    <d v="1899-12-30T02:21:22"/>
    <n v="141.36666666666667"/>
  </r>
  <r>
    <x v="133"/>
    <x v="9"/>
    <x v="1"/>
    <n v="68"/>
    <d v="1899-12-30T02:24:57"/>
    <n v="144.94999999999999"/>
  </r>
  <r>
    <x v="133"/>
    <x v="9"/>
    <x v="2"/>
    <n v="57"/>
    <d v="1899-12-30T01:22:09"/>
    <n v="82.15"/>
  </r>
  <r>
    <x v="133"/>
    <x v="9"/>
    <x v="3"/>
    <n v="41"/>
    <d v="1899-12-30T00:44:42"/>
    <n v="44.7"/>
  </r>
  <r>
    <x v="133"/>
    <x v="9"/>
    <x v="4"/>
    <n v="15"/>
    <d v="1899-12-30T00:26:25"/>
    <n v="26.416666666666668"/>
  </r>
  <r>
    <x v="133"/>
    <x v="9"/>
    <x v="5"/>
    <n v="46"/>
    <d v="1899-12-30T00:57:04"/>
    <n v="57.06666666666667"/>
  </r>
  <r>
    <x v="133"/>
    <x v="10"/>
    <x v="0"/>
    <n v="20"/>
    <d v="1899-12-30T00:46:33"/>
    <n v="46.55"/>
  </r>
  <r>
    <x v="133"/>
    <x v="10"/>
    <x v="1"/>
    <n v="9"/>
    <d v="1899-12-30T00:23:06"/>
    <n v="23.1"/>
  </r>
  <r>
    <x v="133"/>
    <x v="10"/>
    <x v="2"/>
    <n v="8"/>
    <d v="1899-12-30T00:12:43"/>
    <n v="12.716666666666667"/>
  </r>
  <r>
    <x v="133"/>
    <x v="10"/>
    <x v="3"/>
    <n v="7"/>
    <d v="1899-12-30T00:06:09"/>
    <n v="6.15"/>
  </r>
  <r>
    <x v="133"/>
    <x v="10"/>
    <x v="4"/>
    <n v="4"/>
    <d v="1899-12-30T00:08:53"/>
    <n v="8.8833333333333329"/>
  </r>
  <r>
    <x v="133"/>
    <x v="10"/>
    <x v="5"/>
    <n v="18"/>
    <d v="1899-12-30T00:31:09"/>
    <n v="31.15"/>
  </r>
  <r>
    <x v="133"/>
    <x v="11"/>
    <x v="0"/>
    <n v="12"/>
    <d v="1899-12-30T00:24:14"/>
    <n v="24.233333333333334"/>
  </r>
  <r>
    <x v="133"/>
    <x v="11"/>
    <x v="1"/>
    <n v="8"/>
    <d v="1899-12-30T00:22:41"/>
    <n v="22.683333333333334"/>
  </r>
  <r>
    <x v="133"/>
    <x v="11"/>
    <x v="2"/>
    <n v="4"/>
    <d v="1899-12-30T00:08:00"/>
    <n v="8"/>
  </r>
  <r>
    <x v="133"/>
    <x v="11"/>
    <x v="3"/>
    <n v="2"/>
    <d v="1899-12-30T00:01:37"/>
    <n v="1.6166666666666667"/>
  </r>
  <r>
    <x v="133"/>
    <x v="11"/>
    <x v="4"/>
    <n v="2"/>
    <d v="1899-12-30T00:05:01"/>
    <n v="5.0166666666666666"/>
  </r>
  <r>
    <x v="133"/>
    <x v="11"/>
    <x v="5"/>
    <n v="4"/>
    <d v="1899-12-30T00:09:08"/>
    <n v="9.1333333333333329"/>
  </r>
  <r>
    <x v="133"/>
    <x v="12"/>
    <x v="0"/>
    <n v="83"/>
    <d v="1899-12-30T02:49:25"/>
    <n v="169.41666666666666"/>
  </r>
  <r>
    <x v="133"/>
    <x v="12"/>
    <x v="1"/>
    <n v="84"/>
    <d v="1899-12-30T03:12:27"/>
    <n v="192.45"/>
  </r>
  <r>
    <x v="133"/>
    <x v="12"/>
    <x v="2"/>
    <n v="70"/>
    <d v="1899-12-30T02:25:33"/>
    <n v="145.55000000000001"/>
  </r>
  <r>
    <x v="133"/>
    <x v="12"/>
    <x v="3"/>
    <n v="27"/>
    <d v="1899-12-30T00:26:06"/>
    <n v="26.1"/>
  </r>
  <r>
    <x v="133"/>
    <x v="12"/>
    <x v="4"/>
    <n v="22"/>
    <d v="1899-12-30T00:55:44"/>
    <n v="55.733333333333334"/>
  </r>
  <r>
    <x v="133"/>
    <x v="12"/>
    <x v="5"/>
    <n v="82"/>
    <d v="1899-12-30T01:56:43"/>
    <n v="116.71666666666667"/>
  </r>
  <r>
    <x v="133"/>
    <x v="13"/>
    <x v="0"/>
    <n v="32"/>
    <d v="1899-12-30T00:50:37"/>
    <n v="50.616666666666667"/>
  </r>
  <r>
    <x v="133"/>
    <x v="13"/>
    <x v="1"/>
    <n v="15"/>
    <d v="1899-12-30T00:19:23"/>
    <n v="19.383333333333333"/>
  </r>
  <r>
    <x v="133"/>
    <x v="13"/>
    <x v="2"/>
    <n v="15"/>
    <d v="1899-12-30T00:14:24"/>
    <n v="14.4"/>
  </r>
  <r>
    <x v="133"/>
    <x v="13"/>
    <x v="3"/>
    <n v="21"/>
    <d v="1899-12-30T00:17:17"/>
    <n v="17.283333333333335"/>
  </r>
  <r>
    <x v="133"/>
    <x v="13"/>
    <x v="4"/>
    <n v="3"/>
    <d v="1899-12-30T00:06:16"/>
    <n v="6.2666666666666666"/>
  </r>
  <r>
    <x v="133"/>
    <x v="13"/>
    <x v="5"/>
    <n v="29"/>
    <d v="1899-12-30T00:34:13"/>
    <n v="34.216666666666669"/>
  </r>
  <r>
    <x v="134"/>
    <x v="0"/>
    <x v="0"/>
    <n v="17"/>
    <d v="1899-12-30T00:25:19"/>
    <n v="25.316666666666666"/>
  </r>
  <r>
    <x v="134"/>
    <x v="0"/>
    <x v="1"/>
    <n v="18"/>
    <d v="1899-12-30T00:20:11"/>
    <n v="20.183333333333334"/>
  </r>
  <r>
    <x v="134"/>
    <x v="0"/>
    <x v="2"/>
    <n v="32"/>
    <d v="1899-12-30T00:32:09"/>
    <n v="32.15"/>
  </r>
  <r>
    <x v="134"/>
    <x v="0"/>
    <x v="3"/>
    <n v="6"/>
    <d v="1899-12-30T00:05:30"/>
    <n v="5.5"/>
  </r>
  <r>
    <x v="134"/>
    <x v="0"/>
    <x v="4"/>
    <n v="1"/>
    <d v="1899-12-30T00:00:23"/>
    <n v="0.38333333333333336"/>
  </r>
  <r>
    <x v="134"/>
    <x v="0"/>
    <x v="5"/>
    <n v="21"/>
    <d v="1899-12-30T00:24:44"/>
    <n v="24.733333333333334"/>
  </r>
  <r>
    <x v="134"/>
    <x v="1"/>
    <x v="0"/>
    <n v="58"/>
    <d v="1899-12-30T02:15:27"/>
    <n v="135.44999999999999"/>
  </r>
  <r>
    <x v="134"/>
    <x v="1"/>
    <x v="1"/>
    <n v="49"/>
    <d v="1899-12-30T02:00:20"/>
    <n v="120.33333333333333"/>
  </r>
  <r>
    <x v="134"/>
    <x v="1"/>
    <x v="2"/>
    <n v="22"/>
    <d v="1899-12-30T00:50:36"/>
    <n v="50.6"/>
  </r>
  <r>
    <x v="134"/>
    <x v="1"/>
    <x v="3"/>
    <n v="9"/>
    <d v="1899-12-30T00:11:31"/>
    <n v="11.516666666666667"/>
  </r>
  <r>
    <x v="134"/>
    <x v="1"/>
    <x v="4"/>
    <n v="34"/>
    <d v="1899-12-30T01:29:19"/>
    <n v="89.316666666666663"/>
  </r>
  <r>
    <x v="134"/>
    <x v="1"/>
    <x v="5"/>
    <n v="49"/>
    <d v="1899-12-30T01:35:57"/>
    <n v="95.95"/>
  </r>
  <r>
    <x v="134"/>
    <x v="2"/>
    <x v="0"/>
    <n v="65"/>
    <d v="1899-12-30T02:22:57"/>
    <n v="142.94999999999999"/>
  </r>
  <r>
    <x v="134"/>
    <x v="2"/>
    <x v="1"/>
    <n v="75"/>
    <d v="1899-12-30T02:59:37"/>
    <n v="179.61666666666667"/>
  </r>
  <r>
    <x v="134"/>
    <x v="2"/>
    <x v="2"/>
    <n v="60"/>
    <d v="1899-12-30T02:01:09"/>
    <n v="121.15"/>
  </r>
  <r>
    <x v="134"/>
    <x v="2"/>
    <x v="3"/>
    <n v="12"/>
    <d v="1899-12-30T00:12:44"/>
    <n v="12.733333333333333"/>
  </r>
  <r>
    <x v="134"/>
    <x v="2"/>
    <x v="4"/>
    <n v="4"/>
    <d v="1899-12-30T00:09:06"/>
    <n v="9.1"/>
  </r>
  <r>
    <x v="134"/>
    <x v="2"/>
    <x v="5"/>
    <n v="44"/>
    <d v="1899-12-30T01:10:39"/>
    <n v="70.650000000000006"/>
  </r>
  <r>
    <x v="134"/>
    <x v="3"/>
    <x v="0"/>
    <n v="7"/>
    <d v="1899-12-30T00:19:41"/>
    <n v="19.683333333333334"/>
  </r>
  <r>
    <x v="134"/>
    <x v="3"/>
    <x v="1"/>
    <n v="4"/>
    <d v="1899-12-30T00:16:14"/>
    <n v="16.233333333333334"/>
  </r>
  <r>
    <x v="134"/>
    <x v="3"/>
    <x v="2"/>
    <n v="4"/>
    <d v="1899-12-30T00:10:55"/>
    <n v="10.916666666666666"/>
  </r>
  <r>
    <x v="134"/>
    <x v="3"/>
    <x v="3"/>
    <n v="1"/>
    <d v="1899-12-30T00:01:48"/>
    <n v="1.8"/>
  </r>
  <r>
    <x v="134"/>
    <x v="3"/>
    <x v="4"/>
    <n v="2"/>
    <d v="1899-12-30T00:05:45"/>
    <n v="5.75"/>
  </r>
  <r>
    <x v="134"/>
    <x v="3"/>
    <x v="5"/>
    <n v="9"/>
    <d v="1899-12-30T00:16:25"/>
    <n v="16.416666666666668"/>
  </r>
  <r>
    <x v="134"/>
    <x v="4"/>
    <x v="0"/>
    <n v="18"/>
    <d v="1899-12-30T00:45:45"/>
    <n v="45.75"/>
  </r>
  <r>
    <x v="134"/>
    <x v="4"/>
    <x v="1"/>
    <n v="17"/>
    <d v="1899-12-30T00:47:38"/>
    <n v="47.633333333333333"/>
  </r>
  <r>
    <x v="134"/>
    <x v="4"/>
    <x v="2"/>
    <n v="15"/>
    <d v="1899-12-30T00:20:42"/>
    <n v="20.7"/>
  </r>
  <r>
    <x v="134"/>
    <x v="4"/>
    <x v="3"/>
    <n v="5"/>
    <d v="1899-12-30T00:03:35"/>
    <n v="3.5833333333333335"/>
  </r>
  <r>
    <x v="134"/>
    <x v="4"/>
    <x v="4"/>
    <n v="10"/>
    <d v="1899-12-30T00:18:41"/>
    <n v="18.683333333333334"/>
  </r>
  <r>
    <x v="134"/>
    <x v="4"/>
    <x v="5"/>
    <n v="15"/>
    <d v="1899-12-30T00:17:31"/>
    <n v="17.516666666666666"/>
  </r>
  <r>
    <x v="134"/>
    <x v="5"/>
    <x v="0"/>
    <n v="14"/>
    <d v="1899-12-30T00:18:49"/>
    <n v="18.816666666666666"/>
  </r>
  <r>
    <x v="134"/>
    <x v="5"/>
    <x v="1"/>
    <n v="18"/>
    <d v="1899-12-30T00:26:55"/>
    <n v="26.916666666666668"/>
  </r>
  <r>
    <x v="134"/>
    <x v="5"/>
    <x v="2"/>
    <n v="17"/>
    <d v="1899-12-30T00:24:53"/>
    <n v="24.883333333333333"/>
  </r>
  <r>
    <x v="134"/>
    <x v="5"/>
    <x v="3"/>
    <n v="7"/>
    <d v="1899-12-30T00:05:33"/>
    <n v="5.55"/>
  </r>
  <r>
    <x v="134"/>
    <x v="5"/>
    <x v="4"/>
    <n v="2"/>
    <d v="1899-12-30T00:03:41"/>
    <n v="3.6833333333333336"/>
  </r>
  <r>
    <x v="134"/>
    <x v="5"/>
    <x v="5"/>
    <n v="27"/>
    <d v="1899-12-30T00:34:40"/>
    <n v="34.666666666666664"/>
  </r>
  <r>
    <x v="134"/>
    <x v="6"/>
    <x v="0"/>
    <n v="21"/>
    <d v="1899-12-30T00:34:59"/>
    <n v="34.983333333333334"/>
  </r>
  <r>
    <x v="134"/>
    <x v="6"/>
    <x v="1"/>
    <n v="18"/>
    <d v="1899-12-30T00:28:22"/>
    <n v="28.366666666666667"/>
  </r>
  <r>
    <x v="134"/>
    <x v="6"/>
    <x v="2"/>
    <n v="11"/>
    <d v="1899-12-30T00:18:33"/>
    <n v="18.55"/>
  </r>
  <r>
    <x v="134"/>
    <x v="6"/>
    <x v="3"/>
    <n v="7"/>
    <d v="1899-12-30T00:09:24"/>
    <n v="9.4"/>
  </r>
  <r>
    <x v="134"/>
    <x v="6"/>
    <x v="4"/>
    <n v="9"/>
    <d v="1899-12-30T00:19:44"/>
    <n v="19.733333333333334"/>
  </r>
  <r>
    <x v="134"/>
    <x v="6"/>
    <x v="5"/>
    <n v="12"/>
    <d v="1899-12-30T00:17:33"/>
    <n v="17.55"/>
  </r>
  <r>
    <x v="134"/>
    <x v="7"/>
    <x v="0"/>
    <n v="158"/>
    <d v="1899-12-30T04:44:11"/>
    <n v="284.18333333333334"/>
  </r>
  <r>
    <x v="134"/>
    <x v="7"/>
    <x v="1"/>
    <n v="214"/>
    <d v="1899-12-30T05:33:15"/>
    <n v="333.25"/>
  </r>
  <r>
    <x v="134"/>
    <x v="7"/>
    <x v="2"/>
    <n v="128"/>
    <d v="1899-12-30T02:55:52"/>
    <n v="175.86666666666667"/>
  </r>
  <r>
    <x v="134"/>
    <x v="7"/>
    <x v="3"/>
    <n v="103"/>
    <d v="1899-12-30T01:56:51"/>
    <n v="116.85"/>
  </r>
  <r>
    <x v="134"/>
    <x v="7"/>
    <x v="4"/>
    <n v="180"/>
    <d v="1899-12-30T05:26:35"/>
    <n v="326.58333333333331"/>
  </r>
  <r>
    <x v="134"/>
    <x v="7"/>
    <x v="5"/>
    <n v="158"/>
    <d v="1899-12-30T03:33:42"/>
    <n v="213.7"/>
  </r>
  <r>
    <x v="134"/>
    <x v="8"/>
    <x v="0"/>
    <n v="12"/>
    <d v="1899-12-30T00:16:07"/>
    <n v="16.116666666666667"/>
  </r>
  <r>
    <x v="134"/>
    <x v="8"/>
    <x v="1"/>
    <n v="12"/>
    <d v="1899-12-30T00:24:10"/>
    <n v="24.166666666666668"/>
  </r>
  <r>
    <x v="134"/>
    <x v="8"/>
    <x v="2"/>
    <n v="14"/>
    <d v="1899-12-30T00:25:38"/>
    <n v="25.633333333333333"/>
  </r>
  <r>
    <x v="134"/>
    <x v="8"/>
    <x v="3"/>
    <n v="5"/>
    <d v="1899-12-30T00:06:07"/>
    <n v="6.1166666666666663"/>
  </r>
  <r>
    <x v="134"/>
    <x v="8"/>
    <x v="4"/>
    <n v="6"/>
    <d v="1899-12-30T00:12:40"/>
    <n v="12.666666666666666"/>
  </r>
  <r>
    <x v="134"/>
    <x v="8"/>
    <x v="5"/>
    <n v="18"/>
    <d v="1899-12-30T00:20:25"/>
    <n v="20.416666666666668"/>
  </r>
  <r>
    <x v="134"/>
    <x v="9"/>
    <x v="0"/>
    <n v="53"/>
    <d v="1899-12-30T01:34:00"/>
    <n v="94"/>
  </r>
  <r>
    <x v="134"/>
    <x v="9"/>
    <x v="1"/>
    <n v="73"/>
    <d v="1899-12-30T02:02:28"/>
    <n v="122.46666666666667"/>
  </r>
  <r>
    <x v="134"/>
    <x v="9"/>
    <x v="2"/>
    <n v="50"/>
    <d v="1899-12-30T01:01:12"/>
    <n v="61.2"/>
  </r>
  <r>
    <x v="134"/>
    <x v="9"/>
    <x v="3"/>
    <n v="30"/>
    <d v="1899-12-30T00:37:00"/>
    <n v="37"/>
  </r>
  <r>
    <x v="134"/>
    <x v="9"/>
    <x v="4"/>
    <n v="8"/>
    <d v="1899-12-30T00:22:53"/>
    <n v="22.883333333333333"/>
  </r>
  <r>
    <x v="134"/>
    <x v="9"/>
    <x v="5"/>
    <n v="49"/>
    <d v="1899-12-30T01:05:27"/>
    <n v="65.45"/>
  </r>
  <r>
    <x v="134"/>
    <x v="10"/>
    <x v="0"/>
    <n v="18"/>
    <d v="1899-12-30T00:44:29"/>
    <n v="44.483333333333334"/>
  </r>
  <r>
    <x v="134"/>
    <x v="10"/>
    <x v="1"/>
    <n v="12"/>
    <d v="1899-12-30T00:33:55"/>
    <n v="33.916666666666664"/>
  </r>
  <r>
    <x v="134"/>
    <x v="10"/>
    <x v="2"/>
    <n v="12"/>
    <d v="1899-12-30T00:26:37"/>
    <n v="26.616666666666667"/>
  </r>
  <r>
    <x v="134"/>
    <x v="10"/>
    <x v="3"/>
    <n v="7"/>
    <d v="1899-12-30T00:07:15"/>
    <n v="7.25"/>
  </r>
  <r>
    <x v="134"/>
    <x v="10"/>
    <x v="4"/>
    <n v="2"/>
    <d v="1899-12-30T00:03:55"/>
    <n v="3.9166666666666665"/>
  </r>
  <r>
    <x v="134"/>
    <x v="10"/>
    <x v="5"/>
    <n v="23"/>
    <d v="1899-12-30T00:37:21"/>
    <n v="37.35"/>
  </r>
  <r>
    <x v="134"/>
    <x v="11"/>
    <x v="0"/>
    <n v="17"/>
    <d v="1899-12-30T00:37:45"/>
    <n v="37.75"/>
  </r>
  <r>
    <x v="134"/>
    <x v="11"/>
    <x v="1"/>
    <n v="19"/>
    <d v="1899-12-30T00:40:11"/>
    <n v="40.18333333333333"/>
  </r>
  <r>
    <x v="134"/>
    <x v="11"/>
    <x v="2"/>
    <n v="10"/>
    <d v="1899-12-30T00:16:45"/>
    <n v="16.75"/>
  </r>
  <r>
    <x v="134"/>
    <x v="11"/>
    <x v="3"/>
    <n v="3"/>
    <d v="1899-12-30T00:02:22"/>
    <n v="2.3666666666666667"/>
  </r>
  <r>
    <x v="134"/>
    <x v="11"/>
    <x v="4"/>
    <n v="7"/>
    <d v="1899-12-30T00:10:46"/>
    <n v="10.766666666666667"/>
  </r>
  <r>
    <x v="134"/>
    <x v="11"/>
    <x v="5"/>
    <n v="14"/>
    <d v="1899-12-30T00:25:06"/>
    <n v="25.1"/>
  </r>
  <r>
    <x v="134"/>
    <x v="12"/>
    <x v="0"/>
    <n v="122"/>
    <d v="1899-12-30T04:06:55"/>
    <n v="246.91666666666666"/>
  </r>
  <r>
    <x v="134"/>
    <x v="12"/>
    <x v="1"/>
    <n v="135"/>
    <d v="1899-12-30T05:09:05"/>
    <n v="309.08333333333331"/>
  </r>
  <r>
    <x v="134"/>
    <x v="12"/>
    <x v="2"/>
    <n v="96"/>
    <d v="1899-12-30T02:20:26"/>
    <n v="140.43333333333334"/>
  </r>
  <r>
    <x v="134"/>
    <x v="12"/>
    <x v="3"/>
    <n v="50"/>
    <d v="1899-12-30T00:45:39"/>
    <n v="45.65"/>
  </r>
  <r>
    <x v="134"/>
    <x v="12"/>
    <x v="4"/>
    <n v="20"/>
    <d v="1899-12-30T00:39:56"/>
    <n v="39.93333333333333"/>
  </r>
  <r>
    <x v="134"/>
    <x v="12"/>
    <x v="5"/>
    <n v="108"/>
    <d v="1899-12-30T02:44:37"/>
    <n v="164.61666666666667"/>
  </r>
  <r>
    <x v="134"/>
    <x v="13"/>
    <x v="0"/>
    <n v="45"/>
    <d v="1899-12-30T01:17:07"/>
    <n v="77.11666666666666"/>
  </r>
  <r>
    <x v="134"/>
    <x v="13"/>
    <x v="1"/>
    <n v="22"/>
    <d v="1899-12-30T00:27:00"/>
    <n v="27"/>
  </r>
  <r>
    <x v="134"/>
    <x v="13"/>
    <x v="2"/>
    <n v="18"/>
    <d v="1899-12-30T00:20:33"/>
    <n v="20.55"/>
  </r>
  <r>
    <x v="134"/>
    <x v="13"/>
    <x v="3"/>
    <n v="29"/>
    <d v="1899-12-30T00:31:54"/>
    <n v="31.9"/>
  </r>
  <r>
    <x v="134"/>
    <x v="13"/>
    <x v="4"/>
    <n v="0"/>
    <d v="1899-12-30T00:00:00"/>
    <n v="0"/>
  </r>
  <r>
    <x v="134"/>
    <x v="13"/>
    <x v="5"/>
    <n v="25"/>
    <d v="1899-12-30T00:30:33"/>
    <n v="30.55"/>
  </r>
  <r>
    <x v="135"/>
    <x v="0"/>
    <x v="0"/>
    <n v="16"/>
    <d v="1899-12-30T00:24:24"/>
    <n v="24.4"/>
  </r>
  <r>
    <x v="135"/>
    <x v="0"/>
    <x v="1"/>
    <n v="15"/>
    <d v="1899-12-30T00:23:50"/>
    <n v="23.833333333333332"/>
  </r>
  <r>
    <x v="135"/>
    <x v="0"/>
    <x v="2"/>
    <n v="19"/>
    <d v="1899-12-30T00:21:06"/>
    <n v="21.1"/>
  </r>
  <r>
    <x v="135"/>
    <x v="0"/>
    <x v="3"/>
    <n v="3"/>
    <d v="1899-12-30T00:03:13"/>
    <n v="3.2166666666666668"/>
  </r>
  <r>
    <x v="135"/>
    <x v="0"/>
    <x v="4"/>
    <n v="8"/>
    <d v="1899-12-30T00:15:02"/>
    <n v="15.033333333333333"/>
  </r>
  <r>
    <x v="135"/>
    <x v="0"/>
    <x v="5"/>
    <n v="18"/>
    <d v="1899-12-30T00:20:36"/>
    <n v="20.6"/>
  </r>
  <r>
    <x v="135"/>
    <x v="1"/>
    <x v="0"/>
    <n v="47"/>
    <d v="1899-12-30T01:55:53"/>
    <n v="115.88333333333334"/>
  </r>
  <r>
    <x v="135"/>
    <x v="1"/>
    <x v="1"/>
    <n v="20"/>
    <d v="1899-12-30T01:00:48"/>
    <n v="60.8"/>
  </r>
  <r>
    <x v="135"/>
    <x v="1"/>
    <x v="2"/>
    <n v="18"/>
    <d v="1899-12-30T00:39:49"/>
    <n v="39.81666666666667"/>
  </r>
  <r>
    <x v="135"/>
    <x v="1"/>
    <x v="3"/>
    <n v="6"/>
    <d v="1899-12-30T00:06:29"/>
    <n v="6.4833333333333334"/>
  </r>
  <r>
    <x v="135"/>
    <x v="1"/>
    <x v="4"/>
    <n v="29"/>
    <d v="1899-12-30T01:19:11"/>
    <n v="79.183333333333337"/>
  </r>
  <r>
    <x v="135"/>
    <x v="1"/>
    <x v="5"/>
    <n v="43"/>
    <d v="1899-12-30T01:22:58"/>
    <n v="82.966666666666669"/>
  </r>
  <r>
    <x v="135"/>
    <x v="2"/>
    <x v="0"/>
    <n v="66"/>
    <d v="1899-12-30T02:30:09"/>
    <n v="150.15"/>
  </r>
  <r>
    <x v="135"/>
    <x v="2"/>
    <x v="1"/>
    <n v="64"/>
    <d v="1899-12-30T02:38:15"/>
    <n v="158.25"/>
  </r>
  <r>
    <x v="135"/>
    <x v="2"/>
    <x v="2"/>
    <n v="41"/>
    <d v="1899-12-30T01:24:37"/>
    <n v="84.61666666666666"/>
  </r>
  <r>
    <x v="135"/>
    <x v="2"/>
    <x v="3"/>
    <n v="13"/>
    <d v="1899-12-30T00:17:10"/>
    <n v="17.166666666666668"/>
  </r>
  <r>
    <x v="135"/>
    <x v="2"/>
    <x v="4"/>
    <n v="8"/>
    <d v="1899-12-30T00:12:35"/>
    <n v="12.583333333333334"/>
  </r>
  <r>
    <x v="135"/>
    <x v="2"/>
    <x v="5"/>
    <n v="30"/>
    <d v="1899-12-30T00:57:35"/>
    <n v="57.583333333333336"/>
  </r>
  <r>
    <x v="135"/>
    <x v="3"/>
    <x v="0"/>
    <n v="14"/>
    <d v="1899-12-30T00:30:47"/>
    <n v="30.783333333333335"/>
  </r>
  <r>
    <x v="135"/>
    <x v="3"/>
    <x v="1"/>
    <n v="5"/>
    <d v="1899-12-30T00:11:54"/>
    <n v="11.9"/>
  </r>
  <r>
    <x v="135"/>
    <x v="3"/>
    <x v="2"/>
    <n v="8"/>
    <d v="1899-12-30T00:17:14"/>
    <n v="17.233333333333334"/>
  </r>
  <r>
    <x v="135"/>
    <x v="3"/>
    <x v="3"/>
    <n v="0"/>
    <d v="1899-12-30T00:00:00"/>
    <n v="0"/>
  </r>
  <r>
    <x v="135"/>
    <x v="3"/>
    <x v="4"/>
    <n v="1"/>
    <d v="1899-12-30T00:02:30"/>
    <n v="2.5"/>
  </r>
  <r>
    <x v="135"/>
    <x v="3"/>
    <x v="5"/>
    <n v="8"/>
    <d v="1899-12-30T00:12:38"/>
    <n v="12.633333333333333"/>
  </r>
  <r>
    <x v="135"/>
    <x v="4"/>
    <x v="0"/>
    <n v="21"/>
    <d v="1899-12-30T00:40:08"/>
    <n v="40.133333333333333"/>
  </r>
  <r>
    <x v="135"/>
    <x v="4"/>
    <x v="1"/>
    <n v="16"/>
    <d v="1899-12-30T00:31:43"/>
    <n v="31.716666666666665"/>
  </r>
  <r>
    <x v="135"/>
    <x v="4"/>
    <x v="2"/>
    <n v="21"/>
    <d v="1899-12-30T00:35:28"/>
    <n v="35.466666666666669"/>
  </r>
  <r>
    <x v="135"/>
    <x v="4"/>
    <x v="3"/>
    <n v="3"/>
    <d v="1899-12-30T00:03:13"/>
    <n v="3.2166666666666668"/>
  </r>
  <r>
    <x v="135"/>
    <x v="4"/>
    <x v="4"/>
    <n v="17"/>
    <d v="1899-12-30T00:36:29"/>
    <n v="36.483333333333334"/>
  </r>
  <r>
    <x v="135"/>
    <x v="4"/>
    <x v="5"/>
    <n v="15"/>
    <d v="1899-12-30T00:18:30"/>
    <n v="18.5"/>
  </r>
  <r>
    <x v="135"/>
    <x v="5"/>
    <x v="0"/>
    <n v="12"/>
    <d v="1899-12-30T00:14:24"/>
    <n v="14.4"/>
  </r>
  <r>
    <x v="135"/>
    <x v="5"/>
    <x v="1"/>
    <n v="11"/>
    <d v="1899-12-30T00:19:56"/>
    <n v="19.933333333333334"/>
  </r>
  <r>
    <x v="135"/>
    <x v="5"/>
    <x v="2"/>
    <n v="12"/>
    <d v="1899-12-30T00:14:59"/>
    <n v="14.983333333333333"/>
  </r>
  <r>
    <x v="135"/>
    <x v="5"/>
    <x v="3"/>
    <n v="9"/>
    <d v="1899-12-30T00:09:11"/>
    <n v="9.1833333333333336"/>
  </r>
  <r>
    <x v="135"/>
    <x v="5"/>
    <x v="4"/>
    <n v="1"/>
    <d v="1899-12-30T00:00:51"/>
    <n v="0.85"/>
  </r>
  <r>
    <x v="135"/>
    <x v="5"/>
    <x v="5"/>
    <n v="29"/>
    <d v="1899-12-30T00:32:34"/>
    <n v="32.56666666666667"/>
  </r>
  <r>
    <x v="135"/>
    <x v="6"/>
    <x v="0"/>
    <n v="13"/>
    <d v="1899-12-30T00:19:28"/>
    <n v="19.466666666666665"/>
  </r>
  <r>
    <x v="135"/>
    <x v="6"/>
    <x v="1"/>
    <n v="16"/>
    <d v="1899-12-30T00:23:18"/>
    <n v="23.3"/>
  </r>
  <r>
    <x v="135"/>
    <x v="6"/>
    <x v="2"/>
    <n v="14"/>
    <d v="1899-12-30T00:27:02"/>
    <n v="27.033333333333335"/>
  </r>
  <r>
    <x v="135"/>
    <x v="6"/>
    <x v="3"/>
    <n v="3"/>
    <d v="1899-12-30T00:04:19"/>
    <n v="4.3166666666666664"/>
  </r>
  <r>
    <x v="135"/>
    <x v="6"/>
    <x v="4"/>
    <n v="6"/>
    <d v="1899-12-30T00:06:37"/>
    <n v="6.6166666666666671"/>
  </r>
  <r>
    <x v="135"/>
    <x v="6"/>
    <x v="5"/>
    <n v="11"/>
    <d v="1899-12-30T00:12:49"/>
    <n v="12.816666666666666"/>
  </r>
  <r>
    <x v="135"/>
    <x v="7"/>
    <x v="0"/>
    <n v="67"/>
    <d v="1899-12-30T01:47:15"/>
    <n v="107.25"/>
  </r>
  <r>
    <x v="135"/>
    <x v="7"/>
    <x v="1"/>
    <n v="98"/>
    <d v="1899-12-30T02:35:26"/>
    <n v="155.43333333333334"/>
  </r>
  <r>
    <x v="135"/>
    <x v="7"/>
    <x v="2"/>
    <n v="39"/>
    <d v="1899-12-30T00:42:20"/>
    <n v="42.333333333333336"/>
  </r>
  <r>
    <x v="135"/>
    <x v="7"/>
    <x v="3"/>
    <n v="49"/>
    <d v="1899-12-30T00:50:49"/>
    <n v="50.81666666666667"/>
  </r>
  <r>
    <x v="135"/>
    <x v="7"/>
    <x v="4"/>
    <n v="106"/>
    <d v="1899-12-30T02:56:08"/>
    <n v="176.13333333333333"/>
  </r>
  <r>
    <x v="135"/>
    <x v="7"/>
    <x v="5"/>
    <n v="59"/>
    <d v="1899-12-30T00:58:58"/>
    <n v="58.966666666666669"/>
  </r>
  <r>
    <x v="135"/>
    <x v="8"/>
    <x v="0"/>
    <n v="21"/>
    <d v="1899-12-30T00:32:35"/>
    <n v="32.583333333333336"/>
  </r>
  <r>
    <x v="135"/>
    <x v="8"/>
    <x v="1"/>
    <n v="39"/>
    <d v="1899-12-30T00:50:45"/>
    <n v="50.75"/>
  </r>
  <r>
    <x v="135"/>
    <x v="8"/>
    <x v="2"/>
    <n v="26"/>
    <d v="1899-12-30T00:37:57"/>
    <n v="37.950000000000003"/>
  </r>
  <r>
    <x v="135"/>
    <x v="8"/>
    <x v="3"/>
    <n v="19"/>
    <d v="1899-12-30T00:27:08"/>
    <n v="27.133333333333333"/>
  </r>
  <r>
    <x v="135"/>
    <x v="8"/>
    <x v="4"/>
    <n v="19"/>
    <d v="1899-12-30T00:34:54"/>
    <n v="34.9"/>
  </r>
  <r>
    <x v="135"/>
    <x v="8"/>
    <x v="5"/>
    <n v="32"/>
    <d v="1899-12-30T00:37:39"/>
    <n v="37.65"/>
  </r>
  <r>
    <x v="135"/>
    <x v="9"/>
    <x v="0"/>
    <n v="39"/>
    <d v="1899-12-30T01:16:12"/>
    <n v="76.2"/>
  </r>
  <r>
    <x v="135"/>
    <x v="9"/>
    <x v="1"/>
    <n v="48"/>
    <d v="1899-12-30T01:22:04"/>
    <n v="82.066666666666663"/>
  </r>
  <r>
    <x v="135"/>
    <x v="9"/>
    <x v="2"/>
    <n v="37"/>
    <d v="1899-12-30T01:00:05"/>
    <n v="60.083333333333336"/>
  </r>
  <r>
    <x v="135"/>
    <x v="9"/>
    <x v="3"/>
    <n v="17"/>
    <d v="1899-12-30T00:17:56"/>
    <n v="17.933333333333334"/>
  </r>
  <r>
    <x v="135"/>
    <x v="9"/>
    <x v="4"/>
    <n v="6"/>
    <d v="1899-12-30T00:14:39"/>
    <n v="14.65"/>
  </r>
  <r>
    <x v="135"/>
    <x v="9"/>
    <x v="5"/>
    <n v="32"/>
    <d v="1899-12-30T00:40:38"/>
    <n v="40.633333333333333"/>
  </r>
  <r>
    <x v="135"/>
    <x v="10"/>
    <x v="0"/>
    <n v="20"/>
    <d v="1899-12-30T00:42:16"/>
    <n v="42.266666666666666"/>
  </r>
  <r>
    <x v="135"/>
    <x v="10"/>
    <x v="1"/>
    <n v="11"/>
    <d v="1899-12-30T00:34:53"/>
    <n v="34.883333333333333"/>
  </r>
  <r>
    <x v="135"/>
    <x v="10"/>
    <x v="2"/>
    <n v="9"/>
    <d v="1899-12-30T00:21:11"/>
    <n v="21.183333333333334"/>
  </r>
  <r>
    <x v="135"/>
    <x v="10"/>
    <x v="3"/>
    <n v="0"/>
    <d v="1899-12-30T00:00:00"/>
    <n v="0"/>
  </r>
  <r>
    <x v="135"/>
    <x v="10"/>
    <x v="4"/>
    <n v="4"/>
    <d v="1899-12-30T00:07:24"/>
    <n v="7.4"/>
  </r>
  <r>
    <x v="135"/>
    <x v="10"/>
    <x v="5"/>
    <n v="16"/>
    <d v="1899-12-30T00:27:53"/>
    <n v="27.883333333333333"/>
  </r>
  <r>
    <x v="135"/>
    <x v="11"/>
    <x v="0"/>
    <n v="18"/>
    <d v="1899-12-30T00:47:43"/>
    <n v="47.716666666666669"/>
  </r>
  <r>
    <x v="135"/>
    <x v="11"/>
    <x v="1"/>
    <n v="18"/>
    <d v="1899-12-30T00:43:06"/>
    <n v="43.1"/>
  </r>
  <r>
    <x v="135"/>
    <x v="11"/>
    <x v="2"/>
    <n v="12"/>
    <d v="1899-12-30T00:20:13"/>
    <n v="20.216666666666665"/>
  </r>
  <r>
    <x v="135"/>
    <x v="11"/>
    <x v="3"/>
    <n v="1"/>
    <d v="1899-12-30T00:02:42"/>
    <n v="2.7"/>
  </r>
  <r>
    <x v="135"/>
    <x v="11"/>
    <x v="4"/>
    <n v="3"/>
    <d v="1899-12-30T00:03:17"/>
    <n v="3.2833333333333332"/>
  </r>
  <r>
    <x v="135"/>
    <x v="11"/>
    <x v="5"/>
    <n v="16"/>
    <d v="1899-12-30T00:23:56"/>
    <n v="23.933333333333334"/>
  </r>
  <r>
    <x v="135"/>
    <x v="12"/>
    <x v="0"/>
    <n v="105"/>
    <d v="1899-12-30T03:42:11"/>
    <n v="222.18333333333334"/>
  </r>
  <r>
    <x v="135"/>
    <x v="12"/>
    <x v="1"/>
    <n v="122"/>
    <d v="1899-12-30T04:22:04"/>
    <n v="262.06666666666666"/>
  </r>
  <r>
    <x v="135"/>
    <x v="12"/>
    <x v="2"/>
    <n v="100"/>
    <d v="1899-12-30T02:38:34"/>
    <n v="158.56666666666666"/>
  </r>
  <r>
    <x v="135"/>
    <x v="12"/>
    <x v="3"/>
    <n v="50"/>
    <d v="1899-12-30T00:59:17"/>
    <n v="59.283333333333331"/>
  </r>
  <r>
    <x v="135"/>
    <x v="12"/>
    <x v="4"/>
    <n v="34"/>
    <d v="1899-12-30T01:02:12"/>
    <n v="62.2"/>
  </r>
  <r>
    <x v="135"/>
    <x v="12"/>
    <x v="5"/>
    <n v="122"/>
    <d v="1899-12-30T02:56:34"/>
    <n v="176.56666666666666"/>
  </r>
  <r>
    <x v="135"/>
    <x v="13"/>
    <x v="0"/>
    <n v="35"/>
    <d v="1899-12-30T00:55:57"/>
    <n v="55.95"/>
  </r>
  <r>
    <x v="135"/>
    <x v="13"/>
    <x v="1"/>
    <n v="26"/>
    <d v="1899-12-30T00:39:30"/>
    <n v="39.5"/>
  </r>
  <r>
    <x v="135"/>
    <x v="13"/>
    <x v="2"/>
    <n v="27"/>
    <d v="1899-12-30T00:27:03"/>
    <n v="27.05"/>
  </r>
  <r>
    <x v="135"/>
    <x v="13"/>
    <x v="3"/>
    <n v="31"/>
    <d v="1899-12-30T00:35:11"/>
    <n v="35.18333333333333"/>
  </r>
  <r>
    <x v="135"/>
    <x v="13"/>
    <x v="4"/>
    <n v="0"/>
    <d v="1899-12-30T00:00:00"/>
    <n v="0"/>
  </r>
  <r>
    <x v="135"/>
    <x v="13"/>
    <x v="5"/>
    <n v="28"/>
    <d v="1899-12-30T00:30:28"/>
    <n v="30.466666666666665"/>
  </r>
  <r>
    <x v="136"/>
    <x v="0"/>
    <x v="0"/>
    <n v="97"/>
    <d v="1899-12-30T02:29:14"/>
    <n v="149.23333333333332"/>
  </r>
  <r>
    <x v="136"/>
    <x v="0"/>
    <x v="1"/>
    <n v="125"/>
    <d v="1899-12-30T02:55:03"/>
    <n v="175.05"/>
  </r>
  <r>
    <x v="136"/>
    <x v="0"/>
    <x v="2"/>
    <n v="96"/>
    <d v="1899-12-30T01:57:04"/>
    <n v="117.06666666666666"/>
  </r>
  <r>
    <x v="136"/>
    <x v="0"/>
    <x v="3"/>
    <n v="40"/>
    <d v="1899-12-30T00:48:30"/>
    <n v="48.5"/>
  </r>
  <r>
    <x v="136"/>
    <x v="0"/>
    <x v="4"/>
    <n v="7"/>
    <d v="1899-12-30T00:08:16"/>
    <n v="8.2666666666666675"/>
  </r>
  <r>
    <x v="136"/>
    <x v="0"/>
    <x v="5"/>
    <n v="66"/>
    <d v="1899-12-30T01:34:15"/>
    <n v="94.25"/>
  </r>
  <r>
    <x v="136"/>
    <x v="1"/>
    <x v="0"/>
    <n v="59"/>
    <d v="1899-12-30T02:25:07"/>
    <n v="145.11666666666667"/>
  </r>
  <r>
    <x v="136"/>
    <x v="1"/>
    <x v="1"/>
    <n v="49"/>
    <d v="1899-12-30T01:49:40"/>
    <n v="109.66666666666667"/>
  </r>
  <r>
    <x v="136"/>
    <x v="1"/>
    <x v="2"/>
    <n v="42"/>
    <d v="1899-12-30T01:16:22"/>
    <n v="76.36666666666666"/>
  </r>
  <r>
    <x v="136"/>
    <x v="1"/>
    <x v="3"/>
    <n v="15"/>
    <d v="1899-12-30T00:22:05"/>
    <n v="22.083333333333332"/>
  </r>
  <r>
    <x v="136"/>
    <x v="1"/>
    <x v="4"/>
    <n v="36"/>
    <d v="1899-12-30T01:35:51"/>
    <n v="95.85"/>
  </r>
  <r>
    <x v="136"/>
    <x v="1"/>
    <x v="5"/>
    <n v="64"/>
    <d v="1899-12-30T01:45:57"/>
    <n v="105.95"/>
  </r>
  <r>
    <x v="136"/>
    <x v="2"/>
    <x v="0"/>
    <n v="42"/>
    <d v="1899-12-30T01:37:12"/>
    <n v="97.2"/>
  </r>
  <r>
    <x v="136"/>
    <x v="2"/>
    <x v="1"/>
    <n v="69"/>
    <d v="1899-12-30T02:52:50"/>
    <n v="172.83333333333334"/>
  </r>
  <r>
    <x v="136"/>
    <x v="2"/>
    <x v="2"/>
    <n v="27"/>
    <d v="1899-12-30T00:59:02"/>
    <n v="59.033333333333331"/>
  </r>
  <r>
    <x v="136"/>
    <x v="2"/>
    <x v="3"/>
    <n v="6"/>
    <d v="1899-12-30T00:05:31"/>
    <n v="5.5166666666666666"/>
  </r>
  <r>
    <x v="136"/>
    <x v="2"/>
    <x v="4"/>
    <n v="18"/>
    <d v="1899-12-30T00:32:44"/>
    <n v="32.733333333333334"/>
  </r>
  <r>
    <x v="136"/>
    <x v="2"/>
    <x v="5"/>
    <n v="38"/>
    <d v="1899-12-30T01:05:51"/>
    <n v="65.849999999999994"/>
  </r>
  <r>
    <x v="136"/>
    <x v="3"/>
    <x v="0"/>
    <n v="15"/>
    <d v="1899-12-30T00:32:44"/>
    <n v="32.733333333333334"/>
  </r>
  <r>
    <x v="136"/>
    <x v="3"/>
    <x v="1"/>
    <n v="12"/>
    <d v="1899-12-30T00:31:28"/>
    <n v="31.466666666666665"/>
  </r>
  <r>
    <x v="136"/>
    <x v="3"/>
    <x v="2"/>
    <n v="12"/>
    <d v="1899-12-30T00:24:15"/>
    <n v="24.25"/>
  </r>
  <r>
    <x v="136"/>
    <x v="3"/>
    <x v="3"/>
    <n v="1"/>
    <d v="1899-12-30T00:01:17"/>
    <n v="1.2833333333333332"/>
  </r>
  <r>
    <x v="136"/>
    <x v="3"/>
    <x v="4"/>
    <n v="2"/>
    <d v="1899-12-30T00:05:37"/>
    <n v="5.6166666666666671"/>
  </r>
  <r>
    <x v="136"/>
    <x v="3"/>
    <x v="5"/>
    <n v="12"/>
    <d v="1899-12-30T00:23:30"/>
    <n v="23.5"/>
  </r>
  <r>
    <x v="136"/>
    <x v="4"/>
    <x v="0"/>
    <n v="19"/>
    <d v="1899-12-30T00:31:49"/>
    <n v="31.816666666666666"/>
  </r>
  <r>
    <x v="136"/>
    <x v="4"/>
    <x v="1"/>
    <n v="22"/>
    <d v="1899-12-30T00:50:44"/>
    <n v="50.733333333333334"/>
  </r>
  <r>
    <x v="136"/>
    <x v="4"/>
    <x v="2"/>
    <n v="14"/>
    <d v="1899-12-30T00:19:03"/>
    <n v="19.05"/>
  </r>
  <r>
    <x v="136"/>
    <x v="4"/>
    <x v="3"/>
    <n v="4"/>
    <d v="1899-12-30T00:04:39"/>
    <n v="4.6500000000000004"/>
  </r>
  <r>
    <x v="136"/>
    <x v="4"/>
    <x v="4"/>
    <n v="8"/>
    <d v="1899-12-30T00:20:24"/>
    <n v="20.399999999999999"/>
  </r>
  <r>
    <x v="136"/>
    <x v="4"/>
    <x v="5"/>
    <n v="8"/>
    <d v="1899-12-30T00:11:58"/>
    <n v="11.966666666666667"/>
  </r>
  <r>
    <x v="136"/>
    <x v="5"/>
    <x v="0"/>
    <n v="18"/>
    <d v="1899-12-30T00:32:33"/>
    <n v="32.549999999999997"/>
  </r>
  <r>
    <x v="136"/>
    <x v="5"/>
    <x v="1"/>
    <n v="21"/>
    <d v="1899-12-30T00:24:26"/>
    <n v="24.433333333333334"/>
  </r>
  <r>
    <x v="136"/>
    <x v="5"/>
    <x v="2"/>
    <n v="23"/>
    <d v="1899-12-30T00:23:59"/>
    <n v="23.983333333333334"/>
  </r>
  <r>
    <x v="136"/>
    <x v="5"/>
    <x v="3"/>
    <n v="12"/>
    <d v="1899-12-30T00:11:01"/>
    <n v="11.016666666666667"/>
  </r>
  <r>
    <x v="136"/>
    <x v="5"/>
    <x v="4"/>
    <n v="4"/>
    <d v="1899-12-30T00:03:39"/>
    <n v="3.65"/>
  </r>
  <r>
    <x v="136"/>
    <x v="5"/>
    <x v="5"/>
    <n v="39"/>
    <d v="1899-12-30T00:40:44"/>
    <n v="40.733333333333334"/>
  </r>
  <r>
    <x v="136"/>
    <x v="6"/>
    <x v="0"/>
    <n v="15"/>
    <d v="1899-12-30T00:24:23"/>
    <n v="24.383333333333333"/>
  </r>
  <r>
    <x v="136"/>
    <x v="6"/>
    <x v="1"/>
    <n v="20"/>
    <d v="1899-12-30T00:32:51"/>
    <n v="32.85"/>
  </r>
  <r>
    <x v="136"/>
    <x v="6"/>
    <x v="2"/>
    <n v="12"/>
    <d v="1899-12-30T00:29:07"/>
    <n v="29.116666666666667"/>
  </r>
  <r>
    <x v="136"/>
    <x v="6"/>
    <x v="3"/>
    <n v="8"/>
    <d v="1899-12-30T00:09:03"/>
    <n v="9.0500000000000007"/>
  </r>
  <r>
    <x v="136"/>
    <x v="6"/>
    <x v="4"/>
    <n v="14"/>
    <d v="1899-12-30T00:24:38"/>
    <n v="24.633333333333333"/>
  </r>
  <r>
    <x v="136"/>
    <x v="6"/>
    <x v="5"/>
    <n v="16"/>
    <d v="1899-12-30T00:17:23"/>
    <n v="17.383333333333333"/>
  </r>
  <r>
    <x v="136"/>
    <x v="7"/>
    <x v="0"/>
    <n v="37"/>
    <d v="1899-12-30T00:54:14"/>
    <n v="54.233333333333334"/>
  </r>
  <r>
    <x v="136"/>
    <x v="7"/>
    <x v="1"/>
    <n v="82"/>
    <d v="1899-12-30T01:46:27"/>
    <n v="106.45"/>
  </r>
  <r>
    <x v="136"/>
    <x v="7"/>
    <x v="2"/>
    <n v="31"/>
    <d v="1899-12-30T00:24:17"/>
    <n v="24.283333333333335"/>
  </r>
  <r>
    <x v="136"/>
    <x v="7"/>
    <x v="3"/>
    <n v="43"/>
    <d v="1899-12-30T00:49:44"/>
    <n v="49.733333333333334"/>
  </r>
  <r>
    <x v="136"/>
    <x v="7"/>
    <x v="4"/>
    <n v="140"/>
    <d v="1899-12-30T03:56:59"/>
    <n v="236.98333333333332"/>
  </r>
  <r>
    <x v="136"/>
    <x v="7"/>
    <x v="5"/>
    <n v="46"/>
    <d v="1899-12-30T00:37:26"/>
    <n v="37.43333333333333"/>
  </r>
  <r>
    <x v="136"/>
    <x v="8"/>
    <x v="0"/>
    <n v="17"/>
    <d v="1899-12-30T00:27:54"/>
    <n v="27.9"/>
  </r>
  <r>
    <x v="136"/>
    <x v="8"/>
    <x v="1"/>
    <n v="19"/>
    <d v="1899-12-30T00:33:31"/>
    <n v="33.516666666666666"/>
  </r>
  <r>
    <x v="136"/>
    <x v="8"/>
    <x v="2"/>
    <n v="20"/>
    <d v="1899-12-30T00:31:08"/>
    <n v="31.133333333333333"/>
  </r>
  <r>
    <x v="136"/>
    <x v="8"/>
    <x v="3"/>
    <n v="18"/>
    <d v="1899-12-30T00:19:40"/>
    <n v="19.666666666666668"/>
  </r>
  <r>
    <x v="136"/>
    <x v="8"/>
    <x v="4"/>
    <n v="9"/>
    <d v="1899-12-30T00:19:06"/>
    <n v="19.100000000000001"/>
  </r>
  <r>
    <x v="136"/>
    <x v="8"/>
    <x v="5"/>
    <n v="26"/>
    <d v="1899-12-30T00:32:32"/>
    <n v="32.533333333333331"/>
  </r>
  <r>
    <x v="136"/>
    <x v="9"/>
    <x v="0"/>
    <n v="42"/>
    <d v="1899-12-30T01:30:44"/>
    <n v="90.733333333333334"/>
  </r>
  <r>
    <x v="136"/>
    <x v="9"/>
    <x v="1"/>
    <n v="56"/>
    <d v="1899-12-30T01:36:09"/>
    <n v="96.15"/>
  </r>
  <r>
    <x v="136"/>
    <x v="9"/>
    <x v="2"/>
    <n v="34"/>
    <d v="1899-12-30T00:54:52"/>
    <n v="54.866666666666667"/>
  </r>
  <r>
    <x v="136"/>
    <x v="9"/>
    <x v="3"/>
    <n v="22"/>
    <d v="1899-12-30T00:29:21"/>
    <n v="29.35"/>
  </r>
  <r>
    <x v="136"/>
    <x v="9"/>
    <x v="4"/>
    <n v="14"/>
    <d v="1899-12-30T00:29:26"/>
    <n v="29.433333333333334"/>
  </r>
  <r>
    <x v="136"/>
    <x v="9"/>
    <x v="5"/>
    <n v="35"/>
    <d v="1899-12-30T00:48:58"/>
    <n v="48.966666666666669"/>
  </r>
  <r>
    <x v="136"/>
    <x v="10"/>
    <x v="0"/>
    <n v="13"/>
    <d v="1899-12-30T00:32:28"/>
    <n v="32.466666666666669"/>
  </r>
  <r>
    <x v="136"/>
    <x v="10"/>
    <x v="1"/>
    <n v="10"/>
    <d v="1899-12-30T00:31:15"/>
    <n v="31.25"/>
  </r>
  <r>
    <x v="136"/>
    <x v="10"/>
    <x v="2"/>
    <n v="6"/>
    <d v="1899-12-30T00:12:21"/>
    <n v="12.35"/>
  </r>
  <r>
    <x v="136"/>
    <x v="10"/>
    <x v="3"/>
    <n v="1"/>
    <d v="1899-12-30T00:01:44"/>
    <n v="1.7333333333333334"/>
  </r>
  <r>
    <x v="136"/>
    <x v="10"/>
    <x v="4"/>
    <n v="1"/>
    <d v="1899-12-30T00:00:20"/>
    <n v="0.33333333333333331"/>
  </r>
  <r>
    <x v="136"/>
    <x v="10"/>
    <x v="5"/>
    <n v="21"/>
    <d v="1899-12-30T00:36:40"/>
    <n v="36.666666666666664"/>
  </r>
  <r>
    <x v="136"/>
    <x v="11"/>
    <x v="0"/>
    <n v="19"/>
    <d v="1899-12-30T00:38:28"/>
    <n v="38.466666666666669"/>
  </r>
  <r>
    <x v="136"/>
    <x v="11"/>
    <x v="1"/>
    <n v="9"/>
    <d v="1899-12-30T00:18:36"/>
    <n v="18.600000000000001"/>
  </r>
  <r>
    <x v="136"/>
    <x v="11"/>
    <x v="2"/>
    <n v="10"/>
    <d v="1899-12-30T00:30:19"/>
    <n v="30.316666666666666"/>
  </r>
  <r>
    <x v="136"/>
    <x v="11"/>
    <x v="3"/>
    <n v="2"/>
    <d v="1899-12-30T00:01:37"/>
    <n v="1.6166666666666667"/>
  </r>
  <r>
    <x v="136"/>
    <x v="11"/>
    <x v="4"/>
    <n v="6"/>
    <d v="1899-12-30T00:07:39"/>
    <n v="7.65"/>
  </r>
  <r>
    <x v="136"/>
    <x v="11"/>
    <x v="5"/>
    <n v="11"/>
    <d v="1899-12-30T00:19:13"/>
    <n v="19.216666666666665"/>
  </r>
  <r>
    <x v="136"/>
    <x v="12"/>
    <x v="0"/>
    <n v="156"/>
    <d v="1899-12-30T04:47:55"/>
    <n v="287.91666666666669"/>
  </r>
  <r>
    <x v="136"/>
    <x v="12"/>
    <x v="1"/>
    <n v="196"/>
    <d v="1899-12-30T06:09:28"/>
    <n v="369.46666666666664"/>
  </r>
  <r>
    <x v="136"/>
    <x v="12"/>
    <x v="2"/>
    <n v="126"/>
    <d v="1899-12-30T02:51:11"/>
    <n v="171.18333333333334"/>
  </r>
  <r>
    <x v="136"/>
    <x v="12"/>
    <x v="3"/>
    <n v="43"/>
    <d v="1899-12-30T00:50:41"/>
    <n v="50.68333333333333"/>
  </r>
  <r>
    <x v="136"/>
    <x v="12"/>
    <x v="4"/>
    <n v="37"/>
    <d v="1899-12-30T01:17:07"/>
    <n v="77.11666666666666"/>
  </r>
  <r>
    <x v="136"/>
    <x v="12"/>
    <x v="5"/>
    <n v="136"/>
    <d v="1899-12-30T03:09:27"/>
    <n v="189.45"/>
  </r>
  <r>
    <x v="136"/>
    <x v="13"/>
    <x v="0"/>
    <n v="62"/>
    <d v="1899-12-30T01:35:34"/>
    <n v="95.566666666666663"/>
  </r>
  <r>
    <x v="136"/>
    <x v="13"/>
    <x v="1"/>
    <n v="44"/>
    <d v="1899-12-30T00:52:01"/>
    <n v="52.016666666666666"/>
  </r>
  <r>
    <x v="136"/>
    <x v="13"/>
    <x v="2"/>
    <n v="28"/>
    <d v="1899-12-30T00:28:11"/>
    <n v="28.183333333333334"/>
  </r>
  <r>
    <x v="136"/>
    <x v="13"/>
    <x v="3"/>
    <n v="41"/>
    <d v="1899-12-30T00:44:48"/>
    <n v="44.8"/>
  </r>
  <r>
    <x v="136"/>
    <x v="13"/>
    <x v="4"/>
    <n v="4"/>
    <d v="1899-12-30T00:06:46"/>
    <n v="6.7666666666666666"/>
  </r>
  <r>
    <x v="136"/>
    <x v="13"/>
    <x v="5"/>
    <n v="62"/>
    <d v="1899-12-30T01:15:36"/>
    <n v="75.599999999999994"/>
  </r>
  <r>
    <x v="137"/>
    <x v="0"/>
    <x v="0"/>
    <n v="49"/>
    <d v="1899-12-30T01:15:17"/>
    <n v="75.283333333333331"/>
  </r>
  <r>
    <x v="137"/>
    <x v="0"/>
    <x v="1"/>
    <n v="54"/>
    <d v="1899-12-30T01:19:27"/>
    <n v="79.45"/>
  </r>
  <r>
    <x v="137"/>
    <x v="0"/>
    <x v="2"/>
    <n v="59"/>
    <d v="1899-12-30T01:21:10"/>
    <n v="81.166666666666671"/>
  </r>
  <r>
    <x v="137"/>
    <x v="0"/>
    <x v="3"/>
    <n v="8"/>
    <d v="1899-12-30T00:05:15"/>
    <n v="5.25"/>
  </r>
  <r>
    <x v="137"/>
    <x v="0"/>
    <x v="4"/>
    <n v="5"/>
    <d v="1899-12-30T00:02:46"/>
    <n v="2.7666666666666666"/>
  </r>
  <r>
    <x v="137"/>
    <x v="0"/>
    <x v="5"/>
    <n v="40"/>
    <d v="1899-12-30T00:44:18"/>
    <n v="44.3"/>
  </r>
  <r>
    <x v="137"/>
    <x v="1"/>
    <x v="0"/>
    <n v="23"/>
    <d v="1899-12-30T00:42:21"/>
    <n v="42.35"/>
  </r>
  <r>
    <x v="137"/>
    <x v="1"/>
    <x v="1"/>
    <n v="20"/>
    <d v="1899-12-30T01:03:22"/>
    <n v="63.366666666666667"/>
  </r>
  <r>
    <x v="137"/>
    <x v="1"/>
    <x v="2"/>
    <n v="15"/>
    <d v="1899-12-30T00:33:44"/>
    <n v="33.733333333333334"/>
  </r>
  <r>
    <x v="137"/>
    <x v="1"/>
    <x v="3"/>
    <n v="3"/>
    <d v="1899-12-30T00:03:48"/>
    <n v="3.8"/>
  </r>
  <r>
    <x v="137"/>
    <x v="1"/>
    <x v="4"/>
    <n v="17"/>
    <d v="1899-12-30T00:45:08"/>
    <n v="45.133333333333333"/>
  </r>
  <r>
    <x v="137"/>
    <x v="1"/>
    <x v="5"/>
    <n v="32"/>
    <d v="1899-12-30T00:48:58"/>
    <n v="48.966666666666669"/>
  </r>
  <r>
    <x v="137"/>
    <x v="2"/>
    <x v="0"/>
    <n v="21"/>
    <d v="1899-12-30T00:42:06"/>
    <n v="42.1"/>
  </r>
  <r>
    <x v="137"/>
    <x v="2"/>
    <x v="1"/>
    <n v="28"/>
    <d v="1899-12-30T01:22:09"/>
    <n v="82.15"/>
  </r>
  <r>
    <x v="137"/>
    <x v="2"/>
    <x v="2"/>
    <n v="14"/>
    <d v="1899-12-30T00:30:24"/>
    <n v="30.4"/>
  </r>
  <r>
    <x v="137"/>
    <x v="2"/>
    <x v="3"/>
    <n v="2"/>
    <d v="1899-12-30T00:02:44"/>
    <n v="2.7333333333333334"/>
  </r>
  <r>
    <x v="137"/>
    <x v="2"/>
    <x v="4"/>
    <n v="9"/>
    <d v="1899-12-30T00:23:28"/>
    <n v="23.466666666666665"/>
  </r>
  <r>
    <x v="137"/>
    <x v="2"/>
    <x v="5"/>
    <n v="15"/>
    <d v="1899-12-30T00:23:23"/>
    <n v="23.383333333333333"/>
  </r>
  <r>
    <x v="137"/>
    <x v="3"/>
    <x v="0"/>
    <n v="15"/>
    <d v="1899-12-30T00:36:43"/>
    <n v="36.716666666666669"/>
  </r>
  <r>
    <x v="137"/>
    <x v="3"/>
    <x v="1"/>
    <n v="4"/>
    <d v="1899-12-30T00:11:11"/>
    <n v="11.183333333333334"/>
  </r>
  <r>
    <x v="137"/>
    <x v="3"/>
    <x v="2"/>
    <n v="7"/>
    <d v="1899-12-30T00:15:41"/>
    <n v="15.683333333333334"/>
  </r>
  <r>
    <x v="137"/>
    <x v="3"/>
    <x v="3"/>
    <n v="1"/>
    <d v="1899-12-30T00:00:52"/>
    <n v="0.8666666666666667"/>
  </r>
  <r>
    <x v="137"/>
    <x v="3"/>
    <x v="4"/>
    <n v="1"/>
    <d v="1899-12-30T00:03:11"/>
    <n v="3.1833333333333331"/>
  </r>
  <r>
    <x v="137"/>
    <x v="3"/>
    <x v="5"/>
    <n v="11"/>
    <d v="1899-12-30T00:18:39"/>
    <n v="18.649999999999999"/>
  </r>
  <r>
    <x v="137"/>
    <x v="4"/>
    <x v="0"/>
    <n v="12"/>
    <d v="1899-12-30T00:25:54"/>
    <n v="25.9"/>
  </r>
  <r>
    <x v="137"/>
    <x v="4"/>
    <x v="1"/>
    <n v="18"/>
    <d v="1899-12-30T00:52:10"/>
    <n v="52.166666666666664"/>
  </r>
  <r>
    <x v="137"/>
    <x v="4"/>
    <x v="2"/>
    <n v="11"/>
    <d v="1899-12-30T00:12:08"/>
    <n v="12.133333333333333"/>
  </r>
  <r>
    <x v="137"/>
    <x v="4"/>
    <x v="3"/>
    <n v="2"/>
    <d v="1899-12-30T00:02:52"/>
    <n v="2.8666666666666667"/>
  </r>
  <r>
    <x v="137"/>
    <x v="4"/>
    <x v="4"/>
    <n v="5"/>
    <d v="1899-12-30T00:09:20"/>
    <n v="9.3333333333333339"/>
  </r>
  <r>
    <x v="137"/>
    <x v="4"/>
    <x v="5"/>
    <n v="10"/>
    <d v="1899-12-30T00:11:14"/>
    <n v="11.233333333333333"/>
  </r>
  <r>
    <x v="137"/>
    <x v="5"/>
    <x v="0"/>
    <n v="12"/>
    <d v="1899-12-30T00:16:22"/>
    <n v="16.366666666666667"/>
  </r>
  <r>
    <x v="137"/>
    <x v="5"/>
    <x v="1"/>
    <n v="13"/>
    <d v="1899-12-30T00:18:25"/>
    <n v="18.416666666666668"/>
  </r>
  <r>
    <x v="137"/>
    <x v="5"/>
    <x v="2"/>
    <n v="11"/>
    <d v="1899-12-30T00:08:26"/>
    <n v="8.4333333333333336"/>
  </r>
  <r>
    <x v="137"/>
    <x v="5"/>
    <x v="3"/>
    <n v="4"/>
    <d v="1899-12-30T00:03:04"/>
    <n v="3.0666666666666669"/>
  </r>
  <r>
    <x v="137"/>
    <x v="5"/>
    <x v="4"/>
    <n v="3"/>
    <d v="1899-12-30T00:03:56"/>
    <n v="3.9333333333333336"/>
  </r>
  <r>
    <x v="137"/>
    <x v="5"/>
    <x v="5"/>
    <n v="14"/>
    <d v="1899-12-30T00:14:03"/>
    <n v="14.05"/>
  </r>
  <r>
    <x v="137"/>
    <x v="6"/>
    <x v="0"/>
    <n v="11"/>
    <d v="1899-12-30T00:13:13"/>
    <n v="13.216666666666667"/>
  </r>
  <r>
    <x v="137"/>
    <x v="6"/>
    <x v="1"/>
    <n v="12"/>
    <d v="1899-12-30T00:29:04"/>
    <n v="29.066666666666666"/>
  </r>
  <r>
    <x v="137"/>
    <x v="6"/>
    <x v="2"/>
    <n v="11"/>
    <d v="1899-12-30T00:15:20"/>
    <n v="15.333333333333334"/>
  </r>
  <r>
    <x v="137"/>
    <x v="6"/>
    <x v="3"/>
    <n v="5"/>
    <d v="1899-12-30T00:04:35"/>
    <n v="4.583333333333333"/>
  </r>
  <r>
    <x v="137"/>
    <x v="6"/>
    <x v="4"/>
    <n v="11"/>
    <d v="1899-12-30T00:15:29"/>
    <n v="15.483333333333333"/>
  </r>
  <r>
    <x v="137"/>
    <x v="6"/>
    <x v="5"/>
    <n v="10"/>
    <d v="1899-12-30T00:11:24"/>
    <n v="11.4"/>
  </r>
  <r>
    <x v="137"/>
    <x v="7"/>
    <x v="0"/>
    <n v="107"/>
    <d v="1899-12-30T03:21:01"/>
    <n v="201.01666666666668"/>
  </r>
  <r>
    <x v="137"/>
    <x v="7"/>
    <x v="1"/>
    <n v="144"/>
    <d v="1899-12-30T03:44:01"/>
    <n v="224.01666666666668"/>
  </r>
  <r>
    <x v="137"/>
    <x v="7"/>
    <x v="2"/>
    <n v="88"/>
    <d v="1899-12-30T02:10:28"/>
    <n v="130.46666666666667"/>
  </r>
  <r>
    <x v="137"/>
    <x v="7"/>
    <x v="3"/>
    <n v="45"/>
    <d v="1899-12-30T00:50:31"/>
    <n v="50.516666666666666"/>
  </r>
  <r>
    <x v="137"/>
    <x v="7"/>
    <x v="4"/>
    <n v="138"/>
    <d v="1899-12-30T04:03:10"/>
    <n v="243.16666666666666"/>
  </r>
  <r>
    <x v="137"/>
    <x v="7"/>
    <x v="5"/>
    <n v="88"/>
    <d v="1899-12-30T01:47:18"/>
    <n v="107.3"/>
  </r>
  <r>
    <x v="137"/>
    <x v="8"/>
    <x v="0"/>
    <n v="5"/>
    <d v="1899-12-30T00:10:31"/>
    <n v="10.516666666666667"/>
  </r>
  <r>
    <x v="137"/>
    <x v="8"/>
    <x v="1"/>
    <n v="8"/>
    <d v="1899-12-30T00:19:12"/>
    <n v="19.2"/>
  </r>
  <r>
    <x v="137"/>
    <x v="8"/>
    <x v="2"/>
    <n v="10"/>
    <d v="1899-12-30T00:09:24"/>
    <n v="9.4"/>
  </r>
  <r>
    <x v="137"/>
    <x v="8"/>
    <x v="3"/>
    <n v="5"/>
    <d v="1899-12-30T00:04:02"/>
    <n v="4.0333333333333332"/>
  </r>
  <r>
    <x v="137"/>
    <x v="8"/>
    <x v="4"/>
    <n v="6"/>
    <d v="1899-12-30T00:07:14"/>
    <n v="7.2333333333333334"/>
  </r>
  <r>
    <x v="137"/>
    <x v="8"/>
    <x v="5"/>
    <n v="8"/>
    <d v="1899-12-30T00:08:52"/>
    <n v="8.8666666666666671"/>
  </r>
  <r>
    <x v="137"/>
    <x v="9"/>
    <x v="0"/>
    <n v="69"/>
    <d v="1899-12-30T01:49:46"/>
    <n v="109.76666666666667"/>
  </r>
  <r>
    <x v="137"/>
    <x v="9"/>
    <x v="1"/>
    <n v="81"/>
    <d v="1899-12-30T02:29:14"/>
    <n v="149.23333333333332"/>
  </r>
  <r>
    <x v="137"/>
    <x v="9"/>
    <x v="2"/>
    <n v="45"/>
    <d v="1899-12-30T01:05:18"/>
    <n v="65.3"/>
  </r>
  <r>
    <x v="137"/>
    <x v="9"/>
    <x v="3"/>
    <n v="30"/>
    <d v="1899-12-30T00:38:27"/>
    <n v="38.450000000000003"/>
  </r>
  <r>
    <x v="137"/>
    <x v="9"/>
    <x v="4"/>
    <n v="13"/>
    <d v="1899-12-30T00:27:47"/>
    <n v="27.783333333333335"/>
  </r>
  <r>
    <x v="137"/>
    <x v="9"/>
    <x v="5"/>
    <n v="47"/>
    <d v="1899-12-30T01:06:15"/>
    <n v="66.25"/>
  </r>
  <r>
    <x v="137"/>
    <x v="10"/>
    <x v="0"/>
    <n v="6"/>
    <d v="1899-12-30T00:10:45"/>
    <n v="10.75"/>
  </r>
  <r>
    <x v="137"/>
    <x v="10"/>
    <x v="1"/>
    <n v="4"/>
    <d v="1899-12-30T00:17:58"/>
    <n v="17.966666666666665"/>
  </r>
  <r>
    <x v="137"/>
    <x v="10"/>
    <x v="2"/>
    <n v="3"/>
    <d v="1899-12-30T00:08:57"/>
    <n v="8.9499999999999993"/>
  </r>
  <r>
    <x v="137"/>
    <x v="10"/>
    <x v="3"/>
    <n v="1"/>
    <d v="1899-12-30T00:01:36"/>
    <n v="1.6"/>
  </r>
  <r>
    <x v="137"/>
    <x v="10"/>
    <x v="4"/>
    <n v="0"/>
    <d v="1899-12-30T00:00:00"/>
    <n v="0"/>
  </r>
  <r>
    <x v="137"/>
    <x v="10"/>
    <x v="5"/>
    <n v="8"/>
    <d v="1899-12-30T00:14:09"/>
    <n v="14.15"/>
  </r>
  <r>
    <x v="137"/>
    <x v="11"/>
    <x v="0"/>
    <n v="10"/>
    <d v="1899-12-30T00:18:08"/>
    <n v="18.133333333333333"/>
  </r>
  <r>
    <x v="137"/>
    <x v="11"/>
    <x v="1"/>
    <n v="7"/>
    <d v="1899-12-30T00:31:07"/>
    <n v="31.116666666666667"/>
  </r>
  <r>
    <x v="137"/>
    <x v="11"/>
    <x v="2"/>
    <n v="3"/>
    <d v="1899-12-30T00:06:08"/>
    <n v="6.1333333333333337"/>
  </r>
  <r>
    <x v="137"/>
    <x v="11"/>
    <x v="3"/>
    <n v="2"/>
    <d v="1899-12-30T00:02:10"/>
    <n v="2.1666666666666665"/>
  </r>
  <r>
    <x v="137"/>
    <x v="11"/>
    <x v="4"/>
    <n v="2"/>
    <d v="1899-12-30T00:01:10"/>
    <n v="1.1666666666666667"/>
  </r>
  <r>
    <x v="137"/>
    <x v="11"/>
    <x v="5"/>
    <n v="2"/>
    <d v="1899-12-30T00:04:41"/>
    <n v="4.6833333333333336"/>
  </r>
  <r>
    <x v="137"/>
    <x v="12"/>
    <x v="0"/>
    <n v="64"/>
    <d v="1899-12-30T02:00:41"/>
    <n v="120.68333333333334"/>
  </r>
  <r>
    <x v="137"/>
    <x v="12"/>
    <x v="1"/>
    <n v="87"/>
    <d v="1899-12-30T02:43:08"/>
    <n v="163.13333333333333"/>
  </r>
  <r>
    <x v="137"/>
    <x v="12"/>
    <x v="2"/>
    <n v="58"/>
    <d v="1899-12-30T01:17:56"/>
    <n v="77.933333333333337"/>
  </r>
  <r>
    <x v="137"/>
    <x v="12"/>
    <x v="3"/>
    <n v="27"/>
    <d v="1899-12-30T00:18:34"/>
    <n v="18.566666666666666"/>
  </r>
  <r>
    <x v="137"/>
    <x v="12"/>
    <x v="4"/>
    <n v="27"/>
    <d v="1899-12-30T00:52:43"/>
    <n v="52.716666666666669"/>
  </r>
  <r>
    <x v="137"/>
    <x v="12"/>
    <x v="5"/>
    <n v="60"/>
    <d v="1899-12-30T01:19:53"/>
    <n v="79.88333333333334"/>
  </r>
  <r>
    <x v="137"/>
    <x v="13"/>
    <x v="0"/>
    <n v="129"/>
    <d v="1899-12-30T03:22:02"/>
    <n v="202.03333333333333"/>
  </r>
  <r>
    <x v="137"/>
    <x v="13"/>
    <x v="1"/>
    <n v="55"/>
    <d v="1899-12-30T01:10:05"/>
    <n v="70.083333333333329"/>
  </r>
  <r>
    <x v="137"/>
    <x v="13"/>
    <x v="2"/>
    <n v="80"/>
    <d v="1899-12-30T01:37:14"/>
    <n v="97.233333333333334"/>
  </r>
  <r>
    <x v="137"/>
    <x v="13"/>
    <x v="3"/>
    <n v="43"/>
    <d v="1899-12-30T00:40:21"/>
    <n v="40.35"/>
  </r>
  <r>
    <x v="137"/>
    <x v="13"/>
    <x v="4"/>
    <n v="9"/>
    <d v="1899-12-30T00:16:35"/>
    <n v="16.583333333333332"/>
  </r>
  <r>
    <x v="137"/>
    <x v="13"/>
    <x v="5"/>
    <n v="214"/>
    <d v="1899-12-30T04:31:06"/>
    <n v="271.10000000000002"/>
  </r>
  <r>
    <x v="138"/>
    <x v="0"/>
    <x v="0"/>
    <n v="20"/>
    <d v="1899-12-30T00:27:45"/>
    <n v="27.75"/>
  </r>
  <r>
    <x v="138"/>
    <x v="0"/>
    <x v="1"/>
    <n v="22"/>
    <d v="1899-12-30T00:23:33"/>
    <n v="23.55"/>
  </r>
  <r>
    <x v="138"/>
    <x v="0"/>
    <x v="2"/>
    <n v="16"/>
    <d v="1899-12-30T00:15:23"/>
    <n v="15.383333333333333"/>
  </r>
  <r>
    <x v="138"/>
    <x v="0"/>
    <x v="3"/>
    <n v="0"/>
    <d v="1899-12-30T00:00:00"/>
    <n v="0"/>
  </r>
  <r>
    <x v="138"/>
    <x v="0"/>
    <x v="4"/>
    <n v="2"/>
    <d v="1899-12-30T00:02:01"/>
    <n v="2.0166666666666666"/>
  </r>
  <r>
    <x v="138"/>
    <x v="0"/>
    <x v="5"/>
    <n v="23"/>
    <d v="1899-12-30T00:19:53"/>
    <n v="19.883333333333333"/>
  </r>
  <r>
    <x v="138"/>
    <x v="1"/>
    <x v="0"/>
    <n v="38"/>
    <d v="1899-12-30T01:31:35"/>
    <n v="91.583333333333329"/>
  </r>
  <r>
    <x v="138"/>
    <x v="1"/>
    <x v="1"/>
    <n v="27"/>
    <d v="1899-12-30T01:02:44"/>
    <n v="62.733333333333334"/>
  </r>
  <r>
    <x v="138"/>
    <x v="1"/>
    <x v="2"/>
    <n v="19"/>
    <d v="1899-12-30T00:41:18"/>
    <n v="41.3"/>
  </r>
  <r>
    <x v="138"/>
    <x v="1"/>
    <x v="3"/>
    <n v="0"/>
    <d v="1899-12-30T00:00:00"/>
    <n v="0"/>
  </r>
  <r>
    <x v="138"/>
    <x v="1"/>
    <x v="4"/>
    <n v="26"/>
    <d v="1899-12-30T01:02:43"/>
    <n v="62.716666666666669"/>
  </r>
  <r>
    <x v="138"/>
    <x v="1"/>
    <x v="5"/>
    <n v="26"/>
    <d v="1899-12-30T00:38:29"/>
    <n v="38.483333333333334"/>
  </r>
  <r>
    <x v="138"/>
    <x v="2"/>
    <x v="0"/>
    <n v="34"/>
    <d v="1899-12-30T01:18:26"/>
    <n v="78.433333333333337"/>
  </r>
  <r>
    <x v="138"/>
    <x v="2"/>
    <x v="1"/>
    <n v="37"/>
    <d v="1899-12-30T01:47:37"/>
    <n v="107.61666666666666"/>
  </r>
  <r>
    <x v="138"/>
    <x v="2"/>
    <x v="2"/>
    <n v="22"/>
    <d v="1899-12-30T00:51:14"/>
    <n v="51.233333333333334"/>
  </r>
  <r>
    <x v="138"/>
    <x v="2"/>
    <x v="3"/>
    <n v="0"/>
    <d v="1899-12-30T00:00:00"/>
    <n v="0"/>
  </r>
  <r>
    <x v="138"/>
    <x v="2"/>
    <x v="4"/>
    <n v="7"/>
    <d v="1899-12-30T00:19:36"/>
    <n v="19.600000000000001"/>
  </r>
  <r>
    <x v="138"/>
    <x v="2"/>
    <x v="5"/>
    <n v="12"/>
    <d v="1899-12-30T00:17:16"/>
    <n v="17.266666666666666"/>
  </r>
  <r>
    <x v="138"/>
    <x v="3"/>
    <x v="0"/>
    <n v="4"/>
    <d v="1899-12-30T00:07:49"/>
    <n v="7.8166666666666664"/>
  </r>
  <r>
    <x v="138"/>
    <x v="3"/>
    <x v="1"/>
    <n v="5"/>
    <d v="1899-12-30T00:19:13"/>
    <n v="19.216666666666665"/>
  </r>
  <r>
    <x v="138"/>
    <x v="3"/>
    <x v="2"/>
    <n v="3"/>
    <d v="1899-12-30T00:07:45"/>
    <n v="7.75"/>
  </r>
  <r>
    <x v="138"/>
    <x v="3"/>
    <x v="3"/>
    <n v="0"/>
    <d v="1899-12-30T00:00:00"/>
    <n v="0"/>
  </r>
  <r>
    <x v="138"/>
    <x v="3"/>
    <x v="4"/>
    <n v="0"/>
    <d v="1899-12-30T00:00:00"/>
    <n v="0"/>
  </r>
  <r>
    <x v="138"/>
    <x v="3"/>
    <x v="5"/>
    <n v="9"/>
    <d v="1899-12-30T00:06:39"/>
    <n v="6.65"/>
  </r>
  <r>
    <x v="138"/>
    <x v="4"/>
    <x v="0"/>
    <n v="17"/>
    <d v="1899-12-30T00:47:22"/>
    <n v="47.366666666666667"/>
  </r>
  <r>
    <x v="138"/>
    <x v="4"/>
    <x v="1"/>
    <n v="7"/>
    <d v="1899-12-30T00:14:30"/>
    <n v="14.5"/>
  </r>
  <r>
    <x v="138"/>
    <x v="4"/>
    <x v="2"/>
    <n v="2"/>
    <d v="1899-12-30T00:05:48"/>
    <n v="5.8"/>
  </r>
  <r>
    <x v="138"/>
    <x v="4"/>
    <x v="3"/>
    <n v="0"/>
    <d v="1899-12-30T00:00:00"/>
    <n v="0"/>
  </r>
  <r>
    <x v="138"/>
    <x v="4"/>
    <x v="4"/>
    <n v="3"/>
    <d v="1899-12-30T00:04:21"/>
    <n v="4.3499999999999996"/>
  </r>
  <r>
    <x v="138"/>
    <x v="4"/>
    <x v="5"/>
    <n v="3"/>
    <d v="1899-12-30T00:05:15"/>
    <n v="5.25"/>
  </r>
  <r>
    <x v="138"/>
    <x v="5"/>
    <x v="0"/>
    <n v="12"/>
    <d v="1899-12-30T00:13:27"/>
    <n v="13.45"/>
  </r>
  <r>
    <x v="138"/>
    <x v="5"/>
    <x v="1"/>
    <n v="11"/>
    <d v="1899-12-30T00:13:15"/>
    <n v="13.25"/>
  </r>
  <r>
    <x v="138"/>
    <x v="5"/>
    <x v="2"/>
    <n v="10"/>
    <d v="1899-12-30T00:09:40"/>
    <n v="9.6666666666666661"/>
  </r>
  <r>
    <x v="138"/>
    <x v="5"/>
    <x v="3"/>
    <n v="0"/>
    <d v="1899-12-30T00:00:00"/>
    <n v="0"/>
  </r>
  <r>
    <x v="138"/>
    <x v="5"/>
    <x v="4"/>
    <n v="4"/>
    <d v="1899-12-30T00:06:23"/>
    <n v="6.3833333333333337"/>
  </r>
  <r>
    <x v="138"/>
    <x v="5"/>
    <x v="5"/>
    <n v="15"/>
    <d v="1899-12-30T00:16:50"/>
    <n v="16.833333333333332"/>
  </r>
  <r>
    <x v="138"/>
    <x v="6"/>
    <x v="0"/>
    <n v="21"/>
    <d v="1899-12-30T00:46:50"/>
    <n v="46.833333333333336"/>
  </r>
  <r>
    <x v="138"/>
    <x v="6"/>
    <x v="1"/>
    <n v="19"/>
    <d v="1899-12-30T00:33:26"/>
    <n v="33.43333333333333"/>
  </r>
  <r>
    <x v="138"/>
    <x v="6"/>
    <x v="2"/>
    <n v="11"/>
    <d v="1899-12-30T00:17:46"/>
    <n v="17.766666666666666"/>
  </r>
  <r>
    <x v="138"/>
    <x v="6"/>
    <x v="3"/>
    <n v="0"/>
    <d v="1899-12-30T00:00:00"/>
    <n v="0"/>
  </r>
  <r>
    <x v="138"/>
    <x v="6"/>
    <x v="4"/>
    <n v="4"/>
    <d v="1899-12-30T00:06:30"/>
    <n v="6.5"/>
  </r>
  <r>
    <x v="138"/>
    <x v="6"/>
    <x v="5"/>
    <n v="5"/>
    <d v="1899-12-30T00:06:13"/>
    <n v="6.2166666666666668"/>
  </r>
  <r>
    <x v="138"/>
    <x v="7"/>
    <x v="0"/>
    <n v="53"/>
    <d v="1899-12-30T01:14:02"/>
    <n v="74.033333333333331"/>
  </r>
  <r>
    <x v="138"/>
    <x v="7"/>
    <x v="1"/>
    <n v="95"/>
    <d v="1899-12-30T02:04:10"/>
    <n v="124.16666666666667"/>
  </r>
  <r>
    <x v="138"/>
    <x v="7"/>
    <x v="2"/>
    <n v="39"/>
    <d v="1899-12-30T00:44:35"/>
    <n v="44.583333333333336"/>
  </r>
  <r>
    <x v="138"/>
    <x v="7"/>
    <x v="3"/>
    <n v="0"/>
    <d v="1899-12-30T00:00:00"/>
    <n v="0"/>
  </r>
  <r>
    <x v="138"/>
    <x v="7"/>
    <x v="4"/>
    <n v="111"/>
    <d v="1899-12-30T03:14:57"/>
    <n v="194.95"/>
  </r>
  <r>
    <x v="138"/>
    <x v="7"/>
    <x v="5"/>
    <n v="50"/>
    <d v="1899-12-30T00:54:23"/>
    <n v="54.383333333333333"/>
  </r>
  <r>
    <x v="138"/>
    <x v="8"/>
    <x v="0"/>
    <n v="8"/>
    <d v="1899-12-30T00:13:23"/>
    <n v="13.383333333333333"/>
  </r>
  <r>
    <x v="138"/>
    <x v="8"/>
    <x v="1"/>
    <n v="7"/>
    <d v="1899-12-30T00:10:42"/>
    <n v="10.7"/>
  </r>
  <r>
    <x v="138"/>
    <x v="8"/>
    <x v="2"/>
    <n v="5"/>
    <d v="1899-12-30T00:05:28"/>
    <n v="5.4666666666666668"/>
  </r>
  <r>
    <x v="138"/>
    <x v="8"/>
    <x v="3"/>
    <n v="0"/>
    <d v="1899-12-30T00:00:00"/>
    <n v="0"/>
  </r>
  <r>
    <x v="138"/>
    <x v="8"/>
    <x v="4"/>
    <n v="8"/>
    <d v="1899-12-30T00:09:04"/>
    <n v="9.0666666666666664"/>
  </r>
  <r>
    <x v="138"/>
    <x v="8"/>
    <x v="5"/>
    <n v="11"/>
    <d v="1899-12-30T00:08:13"/>
    <n v="8.2166666666666668"/>
  </r>
  <r>
    <x v="138"/>
    <x v="9"/>
    <x v="0"/>
    <n v="162"/>
    <d v="1899-12-30T05:02:01"/>
    <n v="302.01666666666665"/>
  </r>
  <r>
    <x v="138"/>
    <x v="9"/>
    <x v="1"/>
    <n v="171"/>
    <d v="1899-12-30T04:50:06"/>
    <n v="290.10000000000002"/>
  </r>
  <r>
    <x v="138"/>
    <x v="9"/>
    <x v="2"/>
    <n v="120"/>
    <d v="1899-12-30T03:08:20"/>
    <n v="188.33333333333334"/>
  </r>
  <r>
    <x v="138"/>
    <x v="9"/>
    <x v="3"/>
    <n v="0"/>
    <d v="1899-12-30T00:00:00"/>
    <n v="0"/>
  </r>
  <r>
    <x v="138"/>
    <x v="9"/>
    <x v="4"/>
    <n v="33"/>
    <d v="1899-12-30T00:55:04"/>
    <n v="55.06666666666667"/>
  </r>
  <r>
    <x v="138"/>
    <x v="9"/>
    <x v="5"/>
    <n v="157"/>
    <d v="1899-12-30T03:52:10"/>
    <n v="232.16666666666666"/>
  </r>
  <r>
    <x v="138"/>
    <x v="10"/>
    <x v="0"/>
    <n v="10"/>
    <d v="1899-12-30T00:17:23"/>
    <n v="17.383333333333333"/>
  </r>
  <r>
    <x v="138"/>
    <x v="10"/>
    <x v="1"/>
    <n v="3"/>
    <d v="1899-12-30T00:05:07"/>
    <n v="5.1166666666666663"/>
  </r>
  <r>
    <x v="138"/>
    <x v="10"/>
    <x v="2"/>
    <n v="5"/>
    <d v="1899-12-30T00:07:17"/>
    <n v="7.2833333333333332"/>
  </r>
  <r>
    <x v="138"/>
    <x v="10"/>
    <x v="3"/>
    <n v="0"/>
    <d v="1899-12-30T00:00:00"/>
    <n v="0"/>
  </r>
  <r>
    <x v="138"/>
    <x v="10"/>
    <x v="4"/>
    <n v="3"/>
    <d v="1899-12-30T00:12:27"/>
    <n v="12.45"/>
  </r>
  <r>
    <x v="138"/>
    <x v="10"/>
    <x v="5"/>
    <n v="2"/>
    <d v="1899-12-30T00:02:23"/>
    <n v="2.3833333333333333"/>
  </r>
  <r>
    <x v="138"/>
    <x v="11"/>
    <x v="0"/>
    <n v="17"/>
    <d v="1899-12-30T00:36:40"/>
    <n v="36.666666666666664"/>
  </r>
  <r>
    <x v="138"/>
    <x v="11"/>
    <x v="1"/>
    <n v="10"/>
    <d v="1899-12-30T00:30:57"/>
    <n v="30.95"/>
  </r>
  <r>
    <x v="138"/>
    <x v="11"/>
    <x v="2"/>
    <n v="2"/>
    <d v="1899-12-30T00:04:15"/>
    <n v="4.25"/>
  </r>
  <r>
    <x v="138"/>
    <x v="11"/>
    <x v="3"/>
    <n v="0"/>
    <d v="1899-12-30T00:00:00"/>
    <n v="0"/>
  </r>
  <r>
    <x v="138"/>
    <x v="11"/>
    <x v="4"/>
    <n v="4"/>
    <d v="1899-12-30T00:08:43"/>
    <n v="8.7166666666666668"/>
  </r>
  <r>
    <x v="138"/>
    <x v="11"/>
    <x v="5"/>
    <n v="4"/>
    <d v="1899-12-30T00:08:44"/>
    <n v="8.7333333333333325"/>
  </r>
  <r>
    <x v="138"/>
    <x v="12"/>
    <x v="0"/>
    <n v="53"/>
    <d v="1899-12-30T01:43:18"/>
    <n v="103.3"/>
  </r>
  <r>
    <x v="138"/>
    <x v="12"/>
    <x v="1"/>
    <n v="44"/>
    <d v="1899-12-30T01:35:50"/>
    <n v="95.833333333333329"/>
  </r>
  <r>
    <x v="138"/>
    <x v="12"/>
    <x v="2"/>
    <n v="41"/>
    <d v="1899-12-30T01:08:19"/>
    <n v="68.316666666666663"/>
  </r>
  <r>
    <x v="138"/>
    <x v="12"/>
    <x v="3"/>
    <n v="0"/>
    <d v="1899-12-30T00:00:00"/>
    <n v="0"/>
  </r>
  <r>
    <x v="138"/>
    <x v="12"/>
    <x v="4"/>
    <n v="22"/>
    <d v="1899-12-30T00:45:08"/>
    <n v="45.133333333333333"/>
  </r>
  <r>
    <x v="138"/>
    <x v="12"/>
    <x v="5"/>
    <n v="48"/>
    <d v="1899-12-30T00:57:50"/>
    <n v="57.833333333333336"/>
  </r>
  <r>
    <x v="138"/>
    <x v="13"/>
    <x v="0"/>
    <n v="131"/>
    <d v="1899-12-30T03:23:43"/>
    <n v="203.71666666666667"/>
  </r>
  <r>
    <x v="138"/>
    <x v="13"/>
    <x v="1"/>
    <n v="99"/>
    <d v="1899-12-30T02:30:28"/>
    <n v="150.46666666666667"/>
  </r>
  <r>
    <x v="138"/>
    <x v="13"/>
    <x v="2"/>
    <n v="85"/>
    <d v="1899-12-30T02:01:47"/>
    <n v="121.78333333333333"/>
  </r>
  <r>
    <x v="138"/>
    <x v="13"/>
    <x v="3"/>
    <n v="0"/>
    <d v="1899-12-30T00:00:00"/>
    <n v="0"/>
  </r>
  <r>
    <x v="138"/>
    <x v="13"/>
    <x v="4"/>
    <n v="9"/>
    <d v="1899-12-30T00:18:50"/>
    <n v="18.833333333333332"/>
  </r>
  <r>
    <x v="138"/>
    <x v="13"/>
    <x v="5"/>
    <n v="151"/>
    <d v="1899-12-30T02:56:00"/>
    <n v="176"/>
  </r>
  <r>
    <x v="139"/>
    <x v="0"/>
    <x v="0"/>
    <n v="56"/>
    <d v="1899-12-30T01:25:04"/>
    <n v="85.066666666666663"/>
  </r>
  <r>
    <x v="139"/>
    <x v="0"/>
    <x v="1"/>
    <n v="64"/>
    <d v="1899-12-30T01:27:09"/>
    <n v="87.15"/>
  </r>
  <r>
    <x v="139"/>
    <x v="0"/>
    <x v="2"/>
    <n v="57"/>
    <d v="1899-12-30T01:10:58"/>
    <n v="70.966666666666669"/>
  </r>
  <r>
    <x v="139"/>
    <x v="0"/>
    <x v="3"/>
    <n v="0"/>
    <d v="1899-12-30T00:00:00"/>
    <n v="0"/>
  </r>
  <r>
    <x v="139"/>
    <x v="0"/>
    <x v="4"/>
    <n v="5"/>
    <d v="1899-12-30T00:06:54"/>
    <n v="6.9"/>
  </r>
  <r>
    <x v="139"/>
    <x v="0"/>
    <x v="5"/>
    <n v="54"/>
    <d v="1899-12-30T01:00:07"/>
    <n v="60.116666666666667"/>
  </r>
  <r>
    <x v="139"/>
    <x v="1"/>
    <x v="0"/>
    <n v="60"/>
    <d v="1899-12-30T02:19:36"/>
    <n v="139.6"/>
  </r>
  <r>
    <x v="139"/>
    <x v="1"/>
    <x v="1"/>
    <n v="28"/>
    <d v="1899-12-30T01:16:45"/>
    <n v="76.75"/>
  </r>
  <r>
    <x v="139"/>
    <x v="1"/>
    <x v="2"/>
    <n v="23"/>
    <d v="1899-12-30T00:53:22"/>
    <n v="53.366666666666667"/>
  </r>
  <r>
    <x v="139"/>
    <x v="1"/>
    <x v="3"/>
    <n v="0"/>
    <d v="1899-12-30T00:00:00"/>
    <n v="0"/>
  </r>
  <r>
    <x v="139"/>
    <x v="1"/>
    <x v="4"/>
    <n v="35"/>
    <d v="1899-12-30T01:35:52"/>
    <n v="95.86666666666666"/>
  </r>
  <r>
    <x v="139"/>
    <x v="1"/>
    <x v="5"/>
    <n v="54"/>
    <d v="1899-12-30T01:46:43"/>
    <n v="106.71666666666667"/>
  </r>
  <r>
    <x v="139"/>
    <x v="2"/>
    <x v="0"/>
    <n v="89"/>
    <d v="1899-12-30T03:03:36"/>
    <n v="183.6"/>
  </r>
  <r>
    <x v="139"/>
    <x v="2"/>
    <x v="1"/>
    <n v="73"/>
    <d v="1899-12-30T03:00:03"/>
    <n v="180.05"/>
  </r>
  <r>
    <x v="139"/>
    <x v="2"/>
    <x v="2"/>
    <n v="48"/>
    <d v="1899-12-30T01:26:38"/>
    <n v="86.63333333333334"/>
  </r>
  <r>
    <x v="139"/>
    <x v="2"/>
    <x v="3"/>
    <n v="0"/>
    <d v="1899-12-30T00:00:00"/>
    <n v="0"/>
  </r>
  <r>
    <x v="139"/>
    <x v="2"/>
    <x v="4"/>
    <n v="13"/>
    <d v="1899-12-30T00:19:28"/>
    <n v="19.466666666666665"/>
  </r>
  <r>
    <x v="139"/>
    <x v="2"/>
    <x v="5"/>
    <n v="36"/>
    <d v="1899-12-30T00:53:50"/>
    <n v="53.833333333333336"/>
  </r>
  <r>
    <x v="139"/>
    <x v="3"/>
    <x v="0"/>
    <n v="26"/>
    <d v="1899-12-30T00:52:47"/>
    <n v="52.783333333333331"/>
  </r>
  <r>
    <x v="139"/>
    <x v="3"/>
    <x v="1"/>
    <n v="8"/>
    <d v="1899-12-30T00:14:47"/>
    <n v="14.783333333333333"/>
  </r>
  <r>
    <x v="139"/>
    <x v="3"/>
    <x v="2"/>
    <n v="9"/>
    <d v="1899-12-30T00:16:33"/>
    <n v="16.55"/>
  </r>
  <r>
    <x v="139"/>
    <x v="3"/>
    <x v="3"/>
    <n v="0"/>
    <d v="1899-12-30T00:00:00"/>
    <n v="0"/>
  </r>
  <r>
    <x v="139"/>
    <x v="3"/>
    <x v="4"/>
    <n v="0"/>
    <d v="1899-12-30T00:00:00"/>
    <n v="0"/>
  </r>
  <r>
    <x v="139"/>
    <x v="3"/>
    <x v="5"/>
    <n v="17"/>
    <d v="1899-12-30T00:31:24"/>
    <n v="31.4"/>
  </r>
  <r>
    <x v="139"/>
    <x v="4"/>
    <x v="0"/>
    <n v="33"/>
    <d v="1899-12-30T01:09:11"/>
    <n v="69.183333333333337"/>
  </r>
  <r>
    <x v="139"/>
    <x v="4"/>
    <x v="1"/>
    <n v="25"/>
    <d v="1899-12-30T01:04:33"/>
    <n v="64.55"/>
  </r>
  <r>
    <x v="139"/>
    <x v="4"/>
    <x v="2"/>
    <n v="16"/>
    <d v="1899-12-30T00:26:42"/>
    <n v="26.7"/>
  </r>
  <r>
    <x v="139"/>
    <x v="4"/>
    <x v="3"/>
    <n v="0"/>
    <d v="1899-12-30T00:00:00"/>
    <n v="0"/>
  </r>
  <r>
    <x v="139"/>
    <x v="4"/>
    <x v="4"/>
    <n v="4"/>
    <d v="1899-12-30T00:08:24"/>
    <n v="8.4"/>
  </r>
  <r>
    <x v="139"/>
    <x v="4"/>
    <x v="5"/>
    <n v="11"/>
    <d v="1899-12-30T00:16:43"/>
    <n v="16.716666666666665"/>
  </r>
  <r>
    <x v="139"/>
    <x v="5"/>
    <x v="0"/>
    <n v="25"/>
    <d v="1899-12-30T00:31:24"/>
    <n v="31.4"/>
  </r>
  <r>
    <x v="139"/>
    <x v="5"/>
    <x v="1"/>
    <n v="21"/>
    <d v="1899-12-30T00:26:25"/>
    <n v="26.416666666666668"/>
  </r>
  <r>
    <x v="139"/>
    <x v="5"/>
    <x v="2"/>
    <n v="23"/>
    <d v="1899-12-30T00:28:10"/>
    <n v="28.166666666666668"/>
  </r>
  <r>
    <x v="139"/>
    <x v="5"/>
    <x v="3"/>
    <n v="0"/>
    <d v="1899-12-30T00:00:00"/>
    <n v="0"/>
  </r>
  <r>
    <x v="139"/>
    <x v="5"/>
    <x v="4"/>
    <n v="3"/>
    <d v="1899-12-30T00:01:33"/>
    <n v="1.55"/>
  </r>
  <r>
    <x v="139"/>
    <x v="5"/>
    <x v="5"/>
    <n v="36"/>
    <d v="1899-12-30T00:38:05"/>
    <n v="38.083333333333336"/>
  </r>
  <r>
    <x v="139"/>
    <x v="6"/>
    <x v="0"/>
    <n v="7"/>
    <d v="1899-12-30T00:07:55"/>
    <n v="7.916666666666667"/>
  </r>
  <r>
    <x v="139"/>
    <x v="6"/>
    <x v="1"/>
    <n v="8"/>
    <d v="1899-12-30T00:17:22"/>
    <n v="17.366666666666667"/>
  </r>
  <r>
    <x v="139"/>
    <x v="6"/>
    <x v="2"/>
    <n v="5"/>
    <d v="1899-12-30T00:07:14"/>
    <n v="7.2333333333333334"/>
  </r>
  <r>
    <x v="139"/>
    <x v="6"/>
    <x v="3"/>
    <n v="0"/>
    <d v="1899-12-30T00:00:00"/>
    <n v="0"/>
  </r>
  <r>
    <x v="139"/>
    <x v="6"/>
    <x v="4"/>
    <n v="9"/>
    <d v="1899-12-30T00:16:44"/>
    <n v="16.733333333333334"/>
  </r>
  <r>
    <x v="139"/>
    <x v="6"/>
    <x v="5"/>
    <n v="3"/>
    <d v="1899-12-30T00:04:27"/>
    <n v="4.45"/>
  </r>
  <r>
    <x v="139"/>
    <x v="7"/>
    <x v="0"/>
    <n v="37"/>
    <d v="1899-12-30T00:52:09"/>
    <n v="52.15"/>
  </r>
  <r>
    <x v="139"/>
    <x v="7"/>
    <x v="1"/>
    <n v="72"/>
    <d v="1899-12-30T01:22:38"/>
    <n v="82.63333333333334"/>
  </r>
  <r>
    <x v="139"/>
    <x v="7"/>
    <x v="2"/>
    <n v="31"/>
    <d v="1899-12-30T00:33:50"/>
    <n v="33.833333333333336"/>
  </r>
  <r>
    <x v="139"/>
    <x v="7"/>
    <x v="3"/>
    <n v="0"/>
    <d v="1899-12-30T00:00:00"/>
    <n v="0"/>
  </r>
  <r>
    <x v="139"/>
    <x v="7"/>
    <x v="4"/>
    <n v="166"/>
    <d v="1899-12-30T04:47:38"/>
    <n v="287.63333333333333"/>
  </r>
  <r>
    <x v="139"/>
    <x v="7"/>
    <x v="5"/>
    <n v="52"/>
    <d v="1899-12-30T00:45:41"/>
    <n v="45.68333333333333"/>
  </r>
  <r>
    <x v="139"/>
    <x v="8"/>
    <x v="0"/>
    <n v="17"/>
    <d v="1899-12-30T00:26:29"/>
    <n v="26.483333333333334"/>
  </r>
  <r>
    <x v="139"/>
    <x v="8"/>
    <x v="1"/>
    <n v="13"/>
    <d v="1899-12-30T00:19:16"/>
    <n v="19.266666666666666"/>
  </r>
  <r>
    <x v="139"/>
    <x v="8"/>
    <x v="2"/>
    <n v="10"/>
    <d v="1899-12-30T00:14:51"/>
    <n v="14.85"/>
  </r>
  <r>
    <x v="139"/>
    <x v="8"/>
    <x v="3"/>
    <n v="0"/>
    <d v="1899-12-30T00:00:00"/>
    <n v="0"/>
  </r>
  <r>
    <x v="139"/>
    <x v="8"/>
    <x v="4"/>
    <n v="11"/>
    <d v="1899-12-30T00:21:54"/>
    <n v="21.9"/>
  </r>
  <r>
    <x v="139"/>
    <x v="8"/>
    <x v="5"/>
    <n v="18"/>
    <d v="1899-12-30T00:22:58"/>
    <n v="22.966666666666665"/>
  </r>
  <r>
    <x v="139"/>
    <x v="9"/>
    <x v="0"/>
    <n v="70"/>
    <d v="1899-12-30T02:23:14"/>
    <n v="143.23333333333332"/>
  </r>
  <r>
    <x v="139"/>
    <x v="9"/>
    <x v="1"/>
    <n v="83"/>
    <d v="1899-12-30T02:31:19"/>
    <n v="151.31666666666666"/>
  </r>
  <r>
    <x v="139"/>
    <x v="9"/>
    <x v="2"/>
    <n v="66"/>
    <d v="1899-12-30T01:43:43"/>
    <n v="103.71666666666667"/>
  </r>
  <r>
    <x v="139"/>
    <x v="9"/>
    <x v="3"/>
    <n v="0"/>
    <d v="1899-12-30T00:00:00"/>
    <n v="0"/>
  </r>
  <r>
    <x v="139"/>
    <x v="9"/>
    <x v="4"/>
    <n v="15"/>
    <d v="1899-12-30T00:26:56"/>
    <n v="26.933333333333334"/>
  </r>
  <r>
    <x v="139"/>
    <x v="9"/>
    <x v="5"/>
    <n v="55"/>
    <d v="1899-12-30T01:18:37"/>
    <n v="78.61666666666666"/>
  </r>
  <r>
    <x v="139"/>
    <x v="10"/>
    <x v="0"/>
    <n v="11"/>
    <d v="1899-12-30T00:21:12"/>
    <n v="21.2"/>
  </r>
  <r>
    <x v="139"/>
    <x v="10"/>
    <x v="1"/>
    <n v="7"/>
    <d v="1899-12-30T00:14:57"/>
    <n v="14.95"/>
  </r>
  <r>
    <x v="139"/>
    <x v="10"/>
    <x v="2"/>
    <n v="7"/>
    <d v="1899-12-30T00:15:30"/>
    <n v="15.5"/>
  </r>
  <r>
    <x v="139"/>
    <x v="10"/>
    <x v="3"/>
    <n v="0"/>
    <d v="1899-12-30T00:00:00"/>
    <n v="0"/>
  </r>
  <r>
    <x v="139"/>
    <x v="10"/>
    <x v="4"/>
    <n v="4"/>
    <d v="1899-12-30T00:06:51"/>
    <n v="6.85"/>
  </r>
  <r>
    <x v="139"/>
    <x v="10"/>
    <x v="5"/>
    <n v="10"/>
    <d v="1899-12-30T00:21:21"/>
    <n v="21.35"/>
  </r>
  <r>
    <x v="139"/>
    <x v="11"/>
    <x v="0"/>
    <n v="10"/>
    <d v="1899-12-30T00:25:11"/>
    <n v="25.183333333333334"/>
  </r>
  <r>
    <x v="139"/>
    <x v="11"/>
    <x v="1"/>
    <n v="9"/>
    <d v="1899-12-30T00:29:51"/>
    <n v="29.85"/>
  </r>
  <r>
    <x v="139"/>
    <x v="11"/>
    <x v="2"/>
    <n v="4"/>
    <d v="1899-12-30T00:06:34"/>
    <n v="6.5666666666666664"/>
  </r>
  <r>
    <x v="139"/>
    <x v="11"/>
    <x v="3"/>
    <n v="0"/>
    <d v="1899-12-30T00:00:00"/>
    <n v="0"/>
  </r>
  <r>
    <x v="139"/>
    <x v="11"/>
    <x v="4"/>
    <n v="6"/>
    <d v="1899-12-30T00:13:23"/>
    <n v="13.383333333333333"/>
  </r>
  <r>
    <x v="139"/>
    <x v="11"/>
    <x v="5"/>
    <n v="13"/>
    <d v="1899-12-30T00:17:33"/>
    <n v="17.55"/>
  </r>
  <r>
    <x v="139"/>
    <x v="12"/>
    <x v="0"/>
    <n v="96"/>
    <d v="1899-12-30T03:24:54"/>
    <n v="204.9"/>
  </r>
  <r>
    <x v="139"/>
    <x v="12"/>
    <x v="1"/>
    <n v="78"/>
    <d v="1899-12-30T02:48:21"/>
    <n v="168.35"/>
  </r>
  <r>
    <x v="139"/>
    <x v="12"/>
    <x v="2"/>
    <n v="49"/>
    <d v="1899-12-30T01:21:59"/>
    <n v="81.983333333333334"/>
  </r>
  <r>
    <x v="139"/>
    <x v="12"/>
    <x v="3"/>
    <n v="0"/>
    <d v="1899-12-30T00:00:00"/>
    <n v="0"/>
  </r>
  <r>
    <x v="139"/>
    <x v="12"/>
    <x v="4"/>
    <n v="26"/>
    <d v="1899-12-30T00:59:06"/>
    <n v="59.1"/>
  </r>
  <r>
    <x v="139"/>
    <x v="12"/>
    <x v="5"/>
    <n v="71"/>
    <d v="1899-12-30T01:41:41"/>
    <n v="101.68333333333334"/>
  </r>
  <r>
    <x v="139"/>
    <x v="13"/>
    <x v="0"/>
    <n v="118"/>
    <d v="1899-12-30T03:30:28"/>
    <n v="210.46666666666667"/>
  </r>
  <r>
    <x v="139"/>
    <x v="13"/>
    <x v="1"/>
    <n v="166"/>
    <d v="1899-12-30T04:45:04"/>
    <n v="285.06666666666666"/>
  </r>
  <r>
    <x v="139"/>
    <x v="13"/>
    <x v="2"/>
    <n v="90"/>
    <d v="1899-12-30T02:15:13"/>
    <n v="135.21666666666667"/>
  </r>
  <r>
    <x v="139"/>
    <x v="13"/>
    <x v="3"/>
    <n v="0"/>
    <d v="1899-12-30T00:00:00"/>
    <n v="0"/>
  </r>
  <r>
    <x v="139"/>
    <x v="13"/>
    <x v="4"/>
    <n v="9"/>
    <d v="1899-12-30T00:16:41"/>
    <n v="16.683333333333334"/>
  </r>
  <r>
    <x v="139"/>
    <x v="13"/>
    <x v="5"/>
    <n v="60"/>
    <d v="1899-12-30T01:24:14"/>
    <n v="84.233333333333334"/>
  </r>
  <r>
    <x v="140"/>
    <x v="0"/>
    <x v="0"/>
    <n v="18"/>
    <d v="1899-12-30T00:22:04"/>
    <n v="22.066666666666666"/>
  </r>
  <r>
    <x v="140"/>
    <x v="0"/>
    <x v="1"/>
    <n v="17"/>
    <d v="1899-12-30T00:13:12"/>
    <n v="13.2"/>
  </r>
  <r>
    <x v="140"/>
    <x v="0"/>
    <x v="2"/>
    <n v="21"/>
    <d v="1899-12-30T00:20:26"/>
    <n v="20.433333333333334"/>
  </r>
  <r>
    <x v="140"/>
    <x v="0"/>
    <x v="3"/>
    <n v="0"/>
    <d v="1899-12-30T00:00:00"/>
    <n v="0"/>
  </r>
  <r>
    <x v="140"/>
    <x v="0"/>
    <x v="4"/>
    <n v="3"/>
    <d v="1899-12-30T00:05:27"/>
    <n v="5.45"/>
  </r>
  <r>
    <x v="140"/>
    <x v="0"/>
    <x v="5"/>
    <n v="15"/>
    <d v="1899-12-30T00:15:46"/>
    <n v="15.766666666666667"/>
  </r>
  <r>
    <x v="140"/>
    <x v="1"/>
    <x v="0"/>
    <n v="40"/>
    <d v="1899-12-30T01:33:34"/>
    <n v="93.566666666666663"/>
  </r>
  <r>
    <x v="140"/>
    <x v="1"/>
    <x v="1"/>
    <n v="34"/>
    <d v="1899-12-30T01:33:46"/>
    <n v="93.766666666666666"/>
  </r>
  <r>
    <x v="140"/>
    <x v="1"/>
    <x v="2"/>
    <n v="20"/>
    <d v="1899-12-30T00:53:28"/>
    <n v="53.466666666666669"/>
  </r>
  <r>
    <x v="140"/>
    <x v="1"/>
    <x v="3"/>
    <n v="0"/>
    <d v="1899-12-30T00:00:00"/>
    <n v="0"/>
  </r>
  <r>
    <x v="140"/>
    <x v="1"/>
    <x v="4"/>
    <n v="28"/>
    <d v="1899-12-30T01:06:03"/>
    <n v="66.05"/>
  </r>
  <r>
    <x v="140"/>
    <x v="1"/>
    <x v="5"/>
    <n v="45"/>
    <d v="1899-12-30T01:29:25"/>
    <n v="89.416666666666671"/>
  </r>
  <r>
    <x v="140"/>
    <x v="2"/>
    <x v="0"/>
    <n v="75"/>
    <d v="1899-12-30T02:27:57"/>
    <n v="147.94999999999999"/>
  </r>
  <r>
    <x v="140"/>
    <x v="2"/>
    <x v="1"/>
    <n v="61"/>
    <d v="1899-12-30T02:09:58"/>
    <n v="129.96666666666667"/>
  </r>
  <r>
    <x v="140"/>
    <x v="2"/>
    <x v="2"/>
    <n v="48"/>
    <d v="1899-12-30T01:15:04"/>
    <n v="75.066666666666663"/>
  </r>
  <r>
    <x v="140"/>
    <x v="2"/>
    <x v="3"/>
    <n v="0"/>
    <d v="1899-12-30T00:00:00"/>
    <n v="0"/>
  </r>
  <r>
    <x v="140"/>
    <x v="2"/>
    <x v="4"/>
    <n v="17"/>
    <d v="1899-12-30T00:27:51"/>
    <n v="27.85"/>
  </r>
  <r>
    <x v="140"/>
    <x v="2"/>
    <x v="5"/>
    <n v="36"/>
    <d v="1899-12-30T00:58:50"/>
    <n v="58.833333333333336"/>
  </r>
  <r>
    <x v="140"/>
    <x v="3"/>
    <x v="0"/>
    <n v="12"/>
    <d v="1899-12-30T00:24:08"/>
    <n v="24.133333333333333"/>
  </r>
  <r>
    <x v="140"/>
    <x v="3"/>
    <x v="1"/>
    <n v="7"/>
    <d v="1899-12-30T00:15:27"/>
    <n v="15.45"/>
  </r>
  <r>
    <x v="140"/>
    <x v="3"/>
    <x v="2"/>
    <n v="4"/>
    <d v="1899-12-30T00:06:42"/>
    <n v="6.7"/>
  </r>
  <r>
    <x v="140"/>
    <x v="3"/>
    <x v="3"/>
    <n v="0"/>
    <d v="1899-12-30T00:00:00"/>
    <n v="0"/>
  </r>
  <r>
    <x v="140"/>
    <x v="3"/>
    <x v="4"/>
    <n v="0"/>
    <d v="1899-12-30T00:00:00"/>
    <n v="0"/>
  </r>
  <r>
    <x v="140"/>
    <x v="3"/>
    <x v="5"/>
    <n v="13"/>
    <d v="1899-12-30T00:26:11"/>
    <n v="26.183333333333334"/>
  </r>
  <r>
    <x v="140"/>
    <x v="4"/>
    <x v="0"/>
    <n v="18"/>
    <d v="1899-12-30T00:41:31"/>
    <n v="41.516666666666666"/>
  </r>
  <r>
    <x v="140"/>
    <x v="4"/>
    <x v="1"/>
    <n v="25"/>
    <d v="1899-12-30T00:54:56"/>
    <n v="54.93333333333333"/>
  </r>
  <r>
    <x v="140"/>
    <x v="4"/>
    <x v="2"/>
    <n v="20"/>
    <d v="1899-12-30T00:41:30"/>
    <n v="41.5"/>
  </r>
  <r>
    <x v="140"/>
    <x v="4"/>
    <x v="3"/>
    <n v="0"/>
    <d v="1899-12-30T00:00:00"/>
    <n v="0"/>
  </r>
  <r>
    <x v="140"/>
    <x v="4"/>
    <x v="4"/>
    <n v="3"/>
    <d v="1899-12-30T00:04:12"/>
    <n v="4.2"/>
  </r>
  <r>
    <x v="140"/>
    <x v="4"/>
    <x v="5"/>
    <n v="10"/>
    <d v="1899-12-30T00:14:02"/>
    <n v="14.033333333333333"/>
  </r>
  <r>
    <x v="140"/>
    <x v="5"/>
    <x v="0"/>
    <n v="12"/>
    <d v="1899-12-30T00:15:37"/>
    <n v="15.616666666666667"/>
  </r>
  <r>
    <x v="140"/>
    <x v="5"/>
    <x v="1"/>
    <n v="16"/>
    <d v="1899-12-30T00:23:53"/>
    <n v="23.883333333333333"/>
  </r>
  <r>
    <x v="140"/>
    <x v="5"/>
    <x v="2"/>
    <n v="14"/>
    <d v="1899-12-30T00:19:33"/>
    <n v="19.55"/>
  </r>
  <r>
    <x v="140"/>
    <x v="5"/>
    <x v="3"/>
    <n v="0"/>
    <d v="1899-12-30T00:00:00"/>
    <n v="0"/>
  </r>
  <r>
    <x v="140"/>
    <x v="5"/>
    <x v="4"/>
    <n v="2"/>
    <d v="1899-12-30T00:02:04"/>
    <n v="2.0666666666666669"/>
  </r>
  <r>
    <x v="140"/>
    <x v="5"/>
    <x v="5"/>
    <n v="21"/>
    <d v="1899-12-30T00:27:43"/>
    <n v="27.716666666666665"/>
  </r>
  <r>
    <x v="140"/>
    <x v="6"/>
    <x v="0"/>
    <n v="12"/>
    <d v="1899-12-30T00:27:34"/>
    <n v="27.566666666666666"/>
  </r>
  <r>
    <x v="140"/>
    <x v="6"/>
    <x v="1"/>
    <n v="12"/>
    <d v="1899-12-30T00:22:16"/>
    <n v="22.266666666666666"/>
  </r>
  <r>
    <x v="140"/>
    <x v="6"/>
    <x v="2"/>
    <n v="13"/>
    <d v="1899-12-30T00:21:15"/>
    <n v="21.25"/>
  </r>
  <r>
    <x v="140"/>
    <x v="6"/>
    <x v="3"/>
    <n v="0"/>
    <d v="1899-12-30T00:00:00"/>
    <n v="0"/>
  </r>
  <r>
    <x v="140"/>
    <x v="6"/>
    <x v="4"/>
    <n v="13"/>
    <d v="1899-12-30T00:23:39"/>
    <n v="23.65"/>
  </r>
  <r>
    <x v="140"/>
    <x v="6"/>
    <x v="5"/>
    <n v="11"/>
    <d v="1899-12-30T00:12:59"/>
    <n v="12.983333333333333"/>
  </r>
  <r>
    <x v="140"/>
    <x v="7"/>
    <x v="0"/>
    <n v="56"/>
    <d v="1899-12-30T01:38:55"/>
    <n v="98.916666666666671"/>
  </r>
  <r>
    <x v="140"/>
    <x v="7"/>
    <x v="1"/>
    <n v="84"/>
    <d v="1899-12-30T02:23:45"/>
    <n v="143.75"/>
  </r>
  <r>
    <x v="140"/>
    <x v="7"/>
    <x v="2"/>
    <n v="37"/>
    <d v="1899-12-30T00:44:14"/>
    <n v="44.233333333333334"/>
  </r>
  <r>
    <x v="140"/>
    <x v="7"/>
    <x v="3"/>
    <n v="0"/>
    <d v="1899-12-30T00:00:00"/>
    <n v="0"/>
  </r>
  <r>
    <x v="140"/>
    <x v="7"/>
    <x v="4"/>
    <n v="122"/>
    <d v="1899-12-30T03:35:23"/>
    <n v="215.38333333333333"/>
  </r>
  <r>
    <x v="140"/>
    <x v="7"/>
    <x v="5"/>
    <n v="55"/>
    <d v="1899-12-30T00:52:34"/>
    <n v="52.56666666666667"/>
  </r>
  <r>
    <x v="140"/>
    <x v="8"/>
    <x v="0"/>
    <n v="27"/>
    <d v="1899-12-30T00:39:57"/>
    <n v="39.950000000000003"/>
  </r>
  <r>
    <x v="140"/>
    <x v="8"/>
    <x v="1"/>
    <n v="28"/>
    <d v="1899-12-30T00:47:35"/>
    <n v="47.583333333333336"/>
  </r>
  <r>
    <x v="140"/>
    <x v="8"/>
    <x v="2"/>
    <n v="20"/>
    <d v="1899-12-30T00:28:46"/>
    <n v="28.766666666666666"/>
  </r>
  <r>
    <x v="140"/>
    <x v="8"/>
    <x v="3"/>
    <n v="0"/>
    <d v="1899-12-30T00:00:00"/>
    <n v="0"/>
  </r>
  <r>
    <x v="140"/>
    <x v="8"/>
    <x v="4"/>
    <n v="11"/>
    <d v="1899-12-30T00:24:20"/>
    <n v="24.333333333333332"/>
  </r>
  <r>
    <x v="140"/>
    <x v="8"/>
    <x v="5"/>
    <n v="25"/>
    <d v="1899-12-30T00:33:44"/>
    <n v="33.733333333333334"/>
  </r>
  <r>
    <x v="140"/>
    <x v="9"/>
    <x v="0"/>
    <n v="76"/>
    <d v="1899-12-30T02:20:22"/>
    <n v="140.36666666666667"/>
  </r>
  <r>
    <x v="140"/>
    <x v="9"/>
    <x v="1"/>
    <n v="107"/>
    <d v="1899-12-30T03:21:40"/>
    <n v="201.66666666666666"/>
  </r>
  <r>
    <x v="140"/>
    <x v="9"/>
    <x v="2"/>
    <n v="74"/>
    <d v="1899-12-30T01:44:02"/>
    <n v="104.03333333333333"/>
  </r>
  <r>
    <x v="140"/>
    <x v="9"/>
    <x v="3"/>
    <n v="0"/>
    <d v="1899-12-30T00:00:00"/>
    <n v="0"/>
  </r>
  <r>
    <x v="140"/>
    <x v="9"/>
    <x v="4"/>
    <n v="14"/>
    <d v="1899-12-30T00:22:57"/>
    <n v="22.95"/>
  </r>
  <r>
    <x v="140"/>
    <x v="9"/>
    <x v="5"/>
    <n v="65"/>
    <d v="1899-12-30T01:46:20"/>
    <n v="106.33333333333333"/>
  </r>
  <r>
    <x v="140"/>
    <x v="10"/>
    <x v="0"/>
    <n v="21"/>
    <d v="1899-12-30T00:52:48"/>
    <n v="52.8"/>
  </r>
  <r>
    <x v="140"/>
    <x v="10"/>
    <x v="1"/>
    <n v="10"/>
    <d v="1899-12-30T00:20:31"/>
    <n v="20.516666666666666"/>
  </r>
  <r>
    <x v="140"/>
    <x v="10"/>
    <x v="2"/>
    <n v="17"/>
    <d v="1899-12-30T00:36:36"/>
    <n v="36.6"/>
  </r>
  <r>
    <x v="140"/>
    <x v="10"/>
    <x v="3"/>
    <n v="0"/>
    <d v="1899-12-30T00:00:00"/>
    <n v="0"/>
  </r>
  <r>
    <x v="140"/>
    <x v="10"/>
    <x v="4"/>
    <n v="3"/>
    <d v="1899-12-30T00:09:49"/>
    <n v="9.8166666666666664"/>
  </r>
  <r>
    <x v="140"/>
    <x v="10"/>
    <x v="5"/>
    <n v="17"/>
    <d v="1899-12-30T00:23:55"/>
    <n v="23.916666666666668"/>
  </r>
  <r>
    <x v="140"/>
    <x v="11"/>
    <x v="0"/>
    <n v="19"/>
    <d v="1899-12-30T00:51:32"/>
    <n v="51.533333333333331"/>
  </r>
  <r>
    <x v="140"/>
    <x v="11"/>
    <x v="1"/>
    <n v="14"/>
    <d v="1899-12-30T00:33:02"/>
    <n v="33.033333333333331"/>
  </r>
  <r>
    <x v="140"/>
    <x v="11"/>
    <x v="2"/>
    <n v="6"/>
    <d v="1899-12-30T00:11:38"/>
    <n v="11.633333333333333"/>
  </r>
  <r>
    <x v="140"/>
    <x v="11"/>
    <x v="3"/>
    <n v="0"/>
    <d v="1899-12-30T00:00:00"/>
    <n v="0"/>
  </r>
  <r>
    <x v="140"/>
    <x v="11"/>
    <x v="4"/>
    <n v="6"/>
    <d v="1899-12-30T00:07:48"/>
    <n v="7.8"/>
  </r>
  <r>
    <x v="140"/>
    <x v="11"/>
    <x v="5"/>
    <n v="7"/>
    <d v="1899-12-30T00:16:54"/>
    <n v="16.899999999999999"/>
  </r>
  <r>
    <x v="140"/>
    <x v="12"/>
    <x v="0"/>
    <n v="71"/>
    <d v="1899-12-30T02:24:55"/>
    <n v="144.91666666666666"/>
  </r>
  <r>
    <x v="140"/>
    <x v="12"/>
    <x v="1"/>
    <n v="57"/>
    <d v="1899-12-30T02:26:10"/>
    <n v="146.16666666666666"/>
  </r>
  <r>
    <x v="140"/>
    <x v="12"/>
    <x v="2"/>
    <n v="61"/>
    <d v="1899-12-30T01:56:31"/>
    <n v="116.51666666666667"/>
  </r>
  <r>
    <x v="140"/>
    <x v="12"/>
    <x v="3"/>
    <n v="0"/>
    <d v="1899-12-30T00:00:00"/>
    <n v="0"/>
  </r>
  <r>
    <x v="140"/>
    <x v="12"/>
    <x v="4"/>
    <n v="25"/>
    <d v="1899-12-30T00:49:44"/>
    <n v="49.733333333333334"/>
  </r>
  <r>
    <x v="140"/>
    <x v="12"/>
    <x v="5"/>
    <n v="75"/>
    <d v="1899-12-30T02:05:35"/>
    <n v="125.58333333333333"/>
  </r>
  <r>
    <x v="140"/>
    <x v="13"/>
    <x v="0"/>
    <n v="34"/>
    <d v="1899-12-30T00:48:49"/>
    <n v="48.81666666666667"/>
  </r>
  <r>
    <x v="140"/>
    <x v="13"/>
    <x v="1"/>
    <n v="28"/>
    <d v="1899-12-30T00:44:55"/>
    <n v="44.916666666666664"/>
  </r>
  <r>
    <x v="140"/>
    <x v="13"/>
    <x v="2"/>
    <n v="21"/>
    <d v="1899-12-30T00:21:59"/>
    <n v="21.983333333333334"/>
  </r>
  <r>
    <x v="140"/>
    <x v="13"/>
    <x v="3"/>
    <n v="0"/>
    <d v="1899-12-30T00:00:00"/>
    <n v="0"/>
  </r>
  <r>
    <x v="140"/>
    <x v="13"/>
    <x v="4"/>
    <n v="2"/>
    <d v="1899-12-30T00:02:44"/>
    <n v="2.7333333333333334"/>
  </r>
  <r>
    <x v="140"/>
    <x v="13"/>
    <x v="5"/>
    <n v="24"/>
    <d v="1899-12-30T00:31:06"/>
    <n v="31.1"/>
  </r>
  <r>
    <x v="141"/>
    <x v="0"/>
    <x v="0"/>
    <n v="31"/>
    <d v="1899-12-30T00:42:55"/>
    <n v="42.916666666666664"/>
  </r>
  <r>
    <x v="141"/>
    <x v="0"/>
    <x v="1"/>
    <n v="31"/>
    <d v="1899-12-30T00:39:14"/>
    <n v="39.233333333333334"/>
  </r>
  <r>
    <x v="141"/>
    <x v="0"/>
    <x v="2"/>
    <n v="25"/>
    <d v="1899-12-30T00:28:16"/>
    <n v="28.266666666666666"/>
  </r>
  <r>
    <x v="141"/>
    <x v="0"/>
    <x v="3"/>
    <n v="0"/>
    <d v="1899-12-30T00:00:00"/>
    <n v="0"/>
  </r>
  <r>
    <x v="141"/>
    <x v="0"/>
    <x v="4"/>
    <n v="8"/>
    <d v="1899-12-30T00:08:01"/>
    <n v="8.0166666666666675"/>
  </r>
  <r>
    <x v="141"/>
    <x v="0"/>
    <x v="5"/>
    <n v="36"/>
    <d v="1899-12-30T00:40:26"/>
    <n v="40.43333333333333"/>
  </r>
  <r>
    <x v="141"/>
    <x v="1"/>
    <x v="0"/>
    <n v="40"/>
    <d v="1899-12-30T01:44:43"/>
    <n v="104.71666666666667"/>
  </r>
  <r>
    <x v="141"/>
    <x v="1"/>
    <x v="1"/>
    <n v="22"/>
    <d v="1899-12-30T01:12:53"/>
    <n v="72.88333333333334"/>
  </r>
  <r>
    <x v="141"/>
    <x v="1"/>
    <x v="2"/>
    <n v="23"/>
    <d v="1899-12-30T00:55:59"/>
    <n v="55.983333333333334"/>
  </r>
  <r>
    <x v="141"/>
    <x v="1"/>
    <x v="3"/>
    <n v="0"/>
    <d v="1899-12-30T00:00:00"/>
    <n v="0"/>
  </r>
  <r>
    <x v="141"/>
    <x v="1"/>
    <x v="4"/>
    <n v="23"/>
    <d v="1899-12-30T00:58:00"/>
    <n v="58"/>
  </r>
  <r>
    <x v="141"/>
    <x v="1"/>
    <x v="5"/>
    <n v="42"/>
    <d v="1899-12-30T01:39:00"/>
    <n v="99"/>
  </r>
  <r>
    <x v="141"/>
    <x v="2"/>
    <x v="0"/>
    <n v="39"/>
    <d v="1899-12-30T01:22:14"/>
    <n v="82.233333333333334"/>
  </r>
  <r>
    <x v="141"/>
    <x v="2"/>
    <x v="1"/>
    <n v="62"/>
    <d v="1899-12-30T02:37:00"/>
    <n v="157"/>
  </r>
  <r>
    <x v="141"/>
    <x v="2"/>
    <x v="2"/>
    <n v="47"/>
    <d v="1899-12-30T01:27:35"/>
    <n v="87.583333333333329"/>
  </r>
  <r>
    <x v="141"/>
    <x v="2"/>
    <x v="3"/>
    <n v="0"/>
    <d v="1899-12-30T00:00:00"/>
    <n v="0"/>
  </r>
  <r>
    <x v="141"/>
    <x v="2"/>
    <x v="4"/>
    <n v="9"/>
    <d v="1899-12-30T00:21:01"/>
    <n v="21.016666666666666"/>
  </r>
  <r>
    <x v="141"/>
    <x v="2"/>
    <x v="5"/>
    <n v="32"/>
    <d v="1899-12-30T00:58:07"/>
    <n v="58.116666666666667"/>
  </r>
  <r>
    <x v="141"/>
    <x v="3"/>
    <x v="0"/>
    <n v="7"/>
    <d v="1899-12-30T00:15:22"/>
    <n v="15.366666666666667"/>
  </r>
  <r>
    <x v="141"/>
    <x v="3"/>
    <x v="1"/>
    <n v="6"/>
    <d v="1899-12-30T00:17:12"/>
    <n v="17.2"/>
  </r>
  <r>
    <x v="141"/>
    <x v="3"/>
    <x v="2"/>
    <n v="3"/>
    <d v="1899-12-30T00:08:41"/>
    <n v="8.6833333333333336"/>
  </r>
  <r>
    <x v="141"/>
    <x v="3"/>
    <x v="3"/>
    <n v="0"/>
    <d v="1899-12-30T00:00:00"/>
    <n v="0"/>
  </r>
  <r>
    <x v="141"/>
    <x v="3"/>
    <x v="4"/>
    <n v="2"/>
    <d v="1899-12-30T00:05:59"/>
    <n v="5.9833333333333334"/>
  </r>
  <r>
    <x v="141"/>
    <x v="3"/>
    <x v="5"/>
    <n v="16"/>
    <d v="1899-12-30T00:31:21"/>
    <n v="31.35"/>
  </r>
  <r>
    <x v="141"/>
    <x v="4"/>
    <x v="0"/>
    <n v="12"/>
    <d v="1899-12-30T00:27:01"/>
    <n v="27.016666666666666"/>
  </r>
  <r>
    <x v="141"/>
    <x v="4"/>
    <x v="1"/>
    <n v="17"/>
    <d v="1899-12-30T00:29:25"/>
    <n v="29.416666666666668"/>
  </r>
  <r>
    <x v="141"/>
    <x v="4"/>
    <x v="2"/>
    <n v="11"/>
    <d v="1899-12-30T00:17:25"/>
    <n v="17.416666666666668"/>
  </r>
  <r>
    <x v="141"/>
    <x v="4"/>
    <x v="3"/>
    <n v="0"/>
    <d v="1899-12-30T00:00:00"/>
    <n v="0"/>
  </r>
  <r>
    <x v="141"/>
    <x v="4"/>
    <x v="4"/>
    <n v="4"/>
    <d v="1899-12-30T00:07:32"/>
    <n v="7.5333333333333332"/>
  </r>
  <r>
    <x v="141"/>
    <x v="4"/>
    <x v="5"/>
    <n v="11"/>
    <d v="1899-12-30T00:14:52"/>
    <n v="14.866666666666667"/>
  </r>
  <r>
    <x v="141"/>
    <x v="5"/>
    <x v="0"/>
    <n v="21"/>
    <d v="1899-12-30T00:37:15"/>
    <n v="37.25"/>
  </r>
  <r>
    <x v="141"/>
    <x v="5"/>
    <x v="1"/>
    <n v="32"/>
    <d v="1899-12-30T00:48:59"/>
    <n v="48.983333333333334"/>
  </r>
  <r>
    <x v="141"/>
    <x v="5"/>
    <x v="2"/>
    <n v="28"/>
    <d v="1899-12-30T00:38:26"/>
    <n v="38.43333333333333"/>
  </r>
  <r>
    <x v="141"/>
    <x v="5"/>
    <x v="3"/>
    <n v="0"/>
    <d v="1899-12-30T00:00:00"/>
    <n v="0"/>
  </r>
  <r>
    <x v="141"/>
    <x v="5"/>
    <x v="4"/>
    <n v="7"/>
    <d v="1899-12-30T00:11:23"/>
    <n v="11.383333333333333"/>
  </r>
  <r>
    <x v="141"/>
    <x v="5"/>
    <x v="5"/>
    <n v="35"/>
    <d v="1899-12-30T00:50:58"/>
    <n v="50.966666666666669"/>
  </r>
  <r>
    <x v="141"/>
    <x v="6"/>
    <x v="0"/>
    <n v="8"/>
    <d v="1899-12-30T00:11:38"/>
    <n v="11.633333333333333"/>
  </r>
  <r>
    <x v="141"/>
    <x v="6"/>
    <x v="1"/>
    <n v="8"/>
    <d v="1899-12-30T00:23:41"/>
    <n v="23.683333333333334"/>
  </r>
  <r>
    <x v="141"/>
    <x v="6"/>
    <x v="2"/>
    <n v="10"/>
    <d v="1899-12-30T00:20:01"/>
    <n v="20.016666666666666"/>
  </r>
  <r>
    <x v="141"/>
    <x v="6"/>
    <x v="3"/>
    <n v="0"/>
    <d v="1899-12-30T00:00:00"/>
    <n v="0"/>
  </r>
  <r>
    <x v="141"/>
    <x v="6"/>
    <x v="4"/>
    <n v="3"/>
    <d v="1899-12-30T00:08:30"/>
    <n v="8.5"/>
  </r>
  <r>
    <x v="141"/>
    <x v="6"/>
    <x v="5"/>
    <n v="4"/>
    <d v="1899-12-30T00:04:08"/>
    <n v="4.1333333333333337"/>
  </r>
  <r>
    <x v="141"/>
    <x v="7"/>
    <x v="0"/>
    <n v="77"/>
    <d v="1899-12-30T02:32:30"/>
    <n v="152.5"/>
  </r>
  <r>
    <x v="141"/>
    <x v="7"/>
    <x v="1"/>
    <n v="112"/>
    <d v="1899-12-30T03:02:52"/>
    <n v="182.86666666666667"/>
  </r>
  <r>
    <x v="141"/>
    <x v="7"/>
    <x v="2"/>
    <n v="50"/>
    <d v="1899-12-30T01:07:37"/>
    <n v="67.61666666666666"/>
  </r>
  <r>
    <x v="141"/>
    <x v="7"/>
    <x v="3"/>
    <n v="0"/>
    <d v="1899-12-30T00:00:00"/>
    <n v="0"/>
  </r>
  <r>
    <x v="141"/>
    <x v="7"/>
    <x v="4"/>
    <n v="123"/>
    <d v="1899-12-30T03:31:38"/>
    <n v="211.63333333333333"/>
  </r>
  <r>
    <x v="141"/>
    <x v="7"/>
    <x v="5"/>
    <n v="50"/>
    <d v="1899-12-30T00:52:11"/>
    <n v="52.18333333333333"/>
  </r>
  <r>
    <x v="141"/>
    <x v="8"/>
    <x v="0"/>
    <n v="9"/>
    <d v="1899-12-30T00:14:42"/>
    <n v="14.7"/>
  </r>
  <r>
    <x v="141"/>
    <x v="8"/>
    <x v="1"/>
    <n v="9"/>
    <d v="1899-12-30T00:17:50"/>
    <n v="17.833333333333332"/>
  </r>
  <r>
    <x v="141"/>
    <x v="8"/>
    <x v="2"/>
    <n v="10"/>
    <d v="1899-12-30T00:18:52"/>
    <n v="18.866666666666667"/>
  </r>
  <r>
    <x v="141"/>
    <x v="8"/>
    <x v="3"/>
    <n v="0"/>
    <d v="1899-12-30T00:00:00"/>
    <n v="0"/>
  </r>
  <r>
    <x v="141"/>
    <x v="8"/>
    <x v="4"/>
    <n v="2"/>
    <d v="1899-12-30T00:01:03"/>
    <n v="1.05"/>
  </r>
  <r>
    <x v="141"/>
    <x v="8"/>
    <x v="5"/>
    <n v="12"/>
    <d v="1899-12-30T00:14:36"/>
    <n v="14.6"/>
  </r>
  <r>
    <x v="141"/>
    <x v="9"/>
    <x v="0"/>
    <n v="92"/>
    <d v="1899-12-30T02:59:45"/>
    <n v="179.75"/>
  </r>
  <r>
    <x v="141"/>
    <x v="9"/>
    <x v="1"/>
    <n v="92"/>
    <d v="1899-12-30T02:50:24"/>
    <n v="170.4"/>
  </r>
  <r>
    <x v="141"/>
    <x v="9"/>
    <x v="2"/>
    <n v="85"/>
    <d v="1899-12-30T02:04:53"/>
    <n v="124.88333333333334"/>
  </r>
  <r>
    <x v="141"/>
    <x v="9"/>
    <x v="3"/>
    <n v="0"/>
    <d v="1899-12-30T00:00:00"/>
    <n v="0"/>
  </r>
  <r>
    <x v="141"/>
    <x v="9"/>
    <x v="4"/>
    <n v="26"/>
    <d v="1899-12-30T00:54:29"/>
    <n v="54.483333333333334"/>
  </r>
  <r>
    <x v="141"/>
    <x v="9"/>
    <x v="5"/>
    <n v="62"/>
    <d v="1899-12-30T01:31:49"/>
    <n v="91.816666666666663"/>
  </r>
  <r>
    <x v="141"/>
    <x v="10"/>
    <x v="0"/>
    <n v="13"/>
    <d v="1899-12-30T00:25:34"/>
    <n v="25.566666666666666"/>
  </r>
  <r>
    <x v="141"/>
    <x v="10"/>
    <x v="1"/>
    <n v="7"/>
    <d v="1899-12-30T00:16:45"/>
    <n v="16.75"/>
  </r>
  <r>
    <x v="141"/>
    <x v="10"/>
    <x v="2"/>
    <n v="11"/>
    <d v="1899-12-30T00:24:23"/>
    <n v="24.383333333333333"/>
  </r>
  <r>
    <x v="141"/>
    <x v="10"/>
    <x v="3"/>
    <n v="0"/>
    <d v="1899-12-30T00:00:00"/>
    <n v="0"/>
  </r>
  <r>
    <x v="141"/>
    <x v="10"/>
    <x v="4"/>
    <n v="2"/>
    <d v="1899-12-30T00:06:32"/>
    <n v="6.5333333333333332"/>
  </r>
  <r>
    <x v="141"/>
    <x v="10"/>
    <x v="5"/>
    <n v="15"/>
    <d v="1899-12-30T00:29:27"/>
    <n v="29.45"/>
  </r>
  <r>
    <x v="141"/>
    <x v="11"/>
    <x v="0"/>
    <n v="16"/>
    <d v="1899-12-30T00:31:16"/>
    <n v="31.266666666666666"/>
  </r>
  <r>
    <x v="141"/>
    <x v="11"/>
    <x v="1"/>
    <n v="8"/>
    <d v="1899-12-30T00:12:12"/>
    <n v="12.2"/>
  </r>
  <r>
    <x v="141"/>
    <x v="11"/>
    <x v="2"/>
    <n v="5"/>
    <d v="1899-12-30T00:05:41"/>
    <n v="5.6833333333333336"/>
  </r>
  <r>
    <x v="141"/>
    <x v="11"/>
    <x v="3"/>
    <n v="0"/>
    <d v="1899-12-30T00:00:00"/>
    <n v="0"/>
  </r>
  <r>
    <x v="141"/>
    <x v="11"/>
    <x v="4"/>
    <n v="8"/>
    <d v="1899-12-30T00:10:53"/>
    <n v="10.883333333333333"/>
  </r>
  <r>
    <x v="141"/>
    <x v="11"/>
    <x v="5"/>
    <n v="9"/>
    <d v="1899-12-30T00:12:25"/>
    <n v="12.416666666666666"/>
  </r>
  <r>
    <x v="141"/>
    <x v="12"/>
    <x v="0"/>
    <n v="58"/>
    <d v="1899-12-30T02:06:02"/>
    <n v="126.03333333333333"/>
  </r>
  <r>
    <x v="141"/>
    <x v="12"/>
    <x v="1"/>
    <n v="63"/>
    <d v="1899-12-30T02:43:50"/>
    <n v="163.83333333333334"/>
  </r>
  <r>
    <x v="141"/>
    <x v="12"/>
    <x v="2"/>
    <n v="46"/>
    <d v="1899-12-30T01:32:08"/>
    <n v="92.13333333333334"/>
  </r>
  <r>
    <x v="141"/>
    <x v="12"/>
    <x v="3"/>
    <n v="0"/>
    <d v="1899-12-30T00:00:00"/>
    <n v="0"/>
  </r>
  <r>
    <x v="141"/>
    <x v="12"/>
    <x v="4"/>
    <n v="27"/>
    <d v="1899-12-30T00:56:41"/>
    <n v="56.68333333333333"/>
  </r>
  <r>
    <x v="141"/>
    <x v="12"/>
    <x v="5"/>
    <n v="65"/>
    <d v="1899-12-30T01:50:25"/>
    <n v="110.41666666666667"/>
  </r>
  <r>
    <x v="141"/>
    <x v="13"/>
    <x v="0"/>
    <n v="21"/>
    <d v="1899-12-30T00:38:22"/>
    <n v="38.366666666666667"/>
  </r>
  <r>
    <x v="141"/>
    <x v="13"/>
    <x v="1"/>
    <n v="11"/>
    <d v="1899-12-30T00:15:32"/>
    <n v="15.533333333333333"/>
  </r>
  <r>
    <x v="141"/>
    <x v="13"/>
    <x v="2"/>
    <n v="12"/>
    <d v="1899-12-30T00:08:59"/>
    <n v="8.9833333333333325"/>
  </r>
  <r>
    <x v="141"/>
    <x v="13"/>
    <x v="3"/>
    <n v="0"/>
    <d v="1899-12-30T00:00:00"/>
    <n v="0"/>
  </r>
  <r>
    <x v="141"/>
    <x v="13"/>
    <x v="4"/>
    <n v="0"/>
    <d v="1899-12-30T00:00:00"/>
    <n v="0"/>
  </r>
  <r>
    <x v="141"/>
    <x v="13"/>
    <x v="5"/>
    <n v="15"/>
    <d v="1899-12-30T00:17:25"/>
    <n v="17.416666666666668"/>
  </r>
  <r>
    <x v="142"/>
    <x v="0"/>
    <x v="0"/>
    <n v="24"/>
    <d v="1899-12-30T00:32:25"/>
    <n v="32.416666666666664"/>
  </r>
  <r>
    <x v="142"/>
    <x v="0"/>
    <x v="1"/>
    <n v="28"/>
    <d v="1899-12-30T00:37:02"/>
    <n v="37.033333333333331"/>
  </r>
  <r>
    <x v="142"/>
    <x v="0"/>
    <x v="2"/>
    <n v="26"/>
    <d v="1899-12-30T00:33:35"/>
    <n v="33.583333333333336"/>
  </r>
  <r>
    <x v="142"/>
    <x v="0"/>
    <x v="3"/>
    <n v="0"/>
    <d v="1899-12-30T00:00:00"/>
    <n v="0"/>
  </r>
  <r>
    <x v="142"/>
    <x v="0"/>
    <x v="4"/>
    <n v="7"/>
    <d v="1899-12-30T00:11:50"/>
    <n v="11.833333333333334"/>
  </r>
  <r>
    <x v="142"/>
    <x v="0"/>
    <x v="5"/>
    <n v="33"/>
    <d v="1899-12-30T00:40:06"/>
    <n v="40.1"/>
  </r>
  <r>
    <x v="142"/>
    <x v="1"/>
    <x v="0"/>
    <n v="40"/>
    <d v="1899-12-30T01:26:32"/>
    <n v="86.533333333333331"/>
  </r>
  <r>
    <x v="142"/>
    <x v="1"/>
    <x v="1"/>
    <n v="17"/>
    <d v="1899-12-30T01:16:44"/>
    <n v="76.733333333333334"/>
  </r>
  <r>
    <x v="142"/>
    <x v="1"/>
    <x v="2"/>
    <n v="14"/>
    <d v="1899-12-30T00:33:34"/>
    <n v="33.56666666666667"/>
  </r>
  <r>
    <x v="142"/>
    <x v="1"/>
    <x v="3"/>
    <n v="0"/>
    <d v="1899-12-30T00:00:00"/>
    <n v="0"/>
  </r>
  <r>
    <x v="142"/>
    <x v="1"/>
    <x v="4"/>
    <n v="21"/>
    <d v="1899-12-30T00:56:46"/>
    <n v="56.766666666666666"/>
  </r>
  <r>
    <x v="142"/>
    <x v="1"/>
    <x v="5"/>
    <n v="54"/>
    <d v="1899-12-30T01:37:13"/>
    <n v="97.216666666666669"/>
  </r>
  <r>
    <x v="142"/>
    <x v="2"/>
    <x v="0"/>
    <n v="34"/>
    <d v="1899-12-30T01:10:48"/>
    <n v="70.8"/>
  </r>
  <r>
    <x v="142"/>
    <x v="2"/>
    <x v="1"/>
    <n v="53"/>
    <d v="1899-12-30T02:04:52"/>
    <n v="124.86666666666666"/>
  </r>
  <r>
    <x v="142"/>
    <x v="2"/>
    <x v="2"/>
    <n v="43"/>
    <d v="1899-12-30T01:24:57"/>
    <n v="84.95"/>
  </r>
  <r>
    <x v="142"/>
    <x v="2"/>
    <x v="3"/>
    <n v="0"/>
    <d v="1899-12-30T00:00:00"/>
    <n v="0"/>
  </r>
  <r>
    <x v="142"/>
    <x v="2"/>
    <x v="4"/>
    <n v="9"/>
    <d v="1899-12-30T00:14:55"/>
    <n v="14.916666666666666"/>
  </r>
  <r>
    <x v="142"/>
    <x v="2"/>
    <x v="5"/>
    <n v="32"/>
    <d v="1899-12-30T00:55:39"/>
    <n v="55.65"/>
  </r>
  <r>
    <x v="142"/>
    <x v="3"/>
    <x v="0"/>
    <n v="9"/>
    <d v="1899-12-30T00:22:57"/>
    <n v="22.95"/>
  </r>
  <r>
    <x v="142"/>
    <x v="3"/>
    <x v="1"/>
    <n v="12"/>
    <d v="1899-12-30T00:38:35"/>
    <n v="38.583333333333336"/>
  </r>
  <r>
    <x v="142"/>
    <x v="3"/>
    <x v="2"/>
    <n v="3"/>
    <d v="1899-12-30T00:05:24"/>
    <n v="5.4"/>
  </r>
  <r>
    <x v="142"/>
    <x v="3"/>
    <x v="3"/>
    <n v="0"/>
    <d v="1899-12-30T00:00:00"/>
    <n v="0"/>
  </r>
  <r>
    <x v="142"/>
    <x v="3"/>
    <x v="4"/>
    <n v="1"/>
    <d v="1899-12-30T00:02:36"/>
    <n v="2.6"/>
  </r>
  <r>
    <x v="142"/>
    <x v="3"/>
    <x v="5"/>
    <n v="10"/>
    <d v="1899-12-30T00:18:55"/>
    <n v="18.916666666666668"/>
  </r>
  <r>
    <x v="142"/>
    <x v="4"/>
    <x v="0"/>
    <n v="17"/>
    <d v="1899-12-30T00:35:45"/>
    <n v="35.75"/>
  </r>
  <r>
    <x v="142"/>
    <x v="4"/>
    <x v="1"/>
    <n v="12"/>
    <d v="1899-12-30T00:17:32"/>
    <n v="17.533333333333335"/>
  </r>
  <r>
    <x v="142"/>
    <x v="4"/>
    <x v="2"/>
    <n v="22"/>
    <d v="1899-12-30T00:33:30"/>
    <n v="33.5"/>
  </r>
  <r>
    <x v="142"/>
    <x v="4"/>
    <x v="3"/>
    <n v="0"/>
    <d v="1899-12-30T00:00:00"/>
    <n v="0"/>
  </r>
  <r>
    <x v="142"/>
    <x v="4"/>
    <x v="4"/>
    <n v="12"/>
    <d v="1899-12-30T00:22:15"/>
    <n v="22.25"/>
  </r>
  <r>
    <x v="142"/>
    <x v="4"/>
    <x v="5"/>
    <n v="10"/>
    <d v="1899-12-30T00:15:36"/>
    <n v="15.6"/>
  </r>
  <r>
    <x v="142"/>
    <x v="5"/>
    <x v="0"/>
    <n v="12"/>
    <d v="1899-12-30T00:13:44"/>
    <n v="13.733333333333333"/>
  </r>
  <r>
    <x v="142"/>
    <x v="5"/>
    <x v="1"/>
    <n v="12"/>
    <d v="1899-12-30T00:11:01"/>
    <n v="11.016666666666667"/>
  </r>
  <r>
    <x v="142"/>
    <x v="5"/>
    <x v="2"/>
    <n v="21"/>
    <d v="1899-12-30T00:28:49"/>
    <n v="28.816666666666666"/>
  </r>
  <r>
    <x v="142"/>
    <x v="5"/>
    <x v="3"/>
    <n v="0"/>
    <d v="1899-12-30T00:00:00"/>
    <n v="0"/>
  </r>
  <r>
    <x v="142"/>
    <x v="5"/>
    <x v="4"/>
    <n v="1"/>
    <d v="1899-12-30T00:02:05"/>
    <n v="2.0833333333333335"/>
  </r>
  <r>
    <x v="142"/>
    <x v="5"/>
    <x v="5"/>
    <n v="29"/>
    <d v="1899-12-30T00:39:08"/>
    <n v="39.133333333333333"/>
  </r>
  <r>
    <x v="142"/>
    <x v="6"/>
    <x v="0"/>
    <n v="19"/>
    <d v="1899-12-30T00:31:47"/>
    <n v="31.783333333333335"/>
  </r>
  <r>
    <x v="142"/>
    <x v="6"/>
    <x v="1"/>
    <n v="18"/>
    <d v="1899-12-30T00:30:03"/>
    <n v="30.05"/>
  </r>
  <r>
    <x v="142"/>
    <x v="6"/>
    <x v="2"/>
    <n v="17"/>
    <d v="1899-12-30T00:27:57"/>
    <n v="27.95"/>
  </r>
  <r>
    <x v="142"/>
    <x v="6"/>
    <x v="3"/>
    <n v="0"/>
    <d v="1899-12-30T00:00:00"/>
    <n v="0"/>
  </r>
  <r>
    <x v="142"/>
    <x v="6"/>
    <x v="4"/>
    <n v="11"/>
    <d v="1899-12-30T00:23:35"/>
    <n v="23.583333333333332"/>
  </r>
  <r>
    <x v="142"/>
    <x v="6"/>
    <x v="5"/>
    <n v="18"/>
    <d v="1899-12-30T00:28:32"/>
    <n v="28.533333333333335"/>
  </r>
  <r>
    <x v="142"/>
    <x v="7"/>
    <x v="0"/>
    <n v="110"/>
    <d v="1899-12-30T03:08:20"/>
    <n v="188.33333333333334"/>
  </r>
  <r>
    <x v="142"/>
    <x v="7"/>
    <x v="1"/>
    <n v="150"/>
    <d v="1899-12-30T03:42:40"/>
    <n v="222.66666666666666"/>
  </r>
  <r>
    <x v="142"/>
    <x v="7"/>
    <x v="2"/>
    <n v="62"/>
    <d v="1899-12-30T01:29:19"/>
    <n v="89.316666666666663"/>
  </r>
  <r>
    <x v="142"/>
    <x v="7"/>
    <x v="3"/>
    <n v="0"/>
    <d v="1899-12-30T00:00:00"/>
    <n v="0"/>
  </r>
  <r>
    <x v="142"/>
    <x v="7"/>
    <x v="4"/>
    <n v="162"/>
    <d v="1899-12-30T05:08:30"/>
    <n v="308.5"/>
  </r>
  <r>
    <x v="142"/>
    <x v="7"/>
    <x v="5"/>
    <n v="92"/>
    <d v="1899-12-30T01:50:09"/>
    <n v="110.15"/>
  </r>
  <r>
    <x v="142"/>
    <x v="8"/>
    <x v="0"/>
    <n v="10"/>
    <d v="1899-12-30T00:15:57"/>
    <n v="15.95"/>
  </r>
  <r>
    <x v="142"/>
    <x v="8"/>
    <x v="1"/>
    <n v="11"/>
    <d v="1899-12-30T00:13:40"/>
    <n v="13.666666666666666"/>
  </r>
  <r>
    <x v="142"/>
    <x v="8"/>
    <x v="2"/>
    <n v="14"/>
    <d v="1899-12-30T00:15:56"/>
    <n v="15.933333333333334"/>
  </r>
  <r>
    <x v="142"/>
    <x v="8"/>
    <x v="3"/>
    <n v="0"/>
    <d v="1899-12-30T00:00:00"/>
    <n v="0"/>
  </r>
  <r>
    <x v="142"/>
    <x v="8"/>
    <x v="4"/>
    <n v="4"/>
    <d v="1899-12-30T00:02:23"/>
    <n v="2.3833333333333333"/>
  </r>
  <r>
    <x v="142"/>
    <x v="8"/>
    <x v="5"/>
    <n v="24"/>
    <d v="1899-12-30T00:30:35"/>
    <n v="30.583333333333332"/>
  </r>
  <r>
    <x v="142"/>
    <x v="9"/>
    <x v="0"/>
    <n v="179"/>
    <d v="1899-12-30T06:21:36"/>
    <n v="381.6"/>
  </r>
  <r>
    <x v="142"/>
    <x v="9"/>
    <x v="1"/>
    <n v="207"/>
    <d v="1899-12-30T06:05:45"/>
    <n v="365.75"/>
  </r>
  <r>
    <x v="142"/>
    <x v="9"/>
    <x v="2"/>
    <n v="153"/>
    <d v="1899-12-30T03:48:55"/>
    <n v="228.91666666666666"/>
  </r>
  <r>
    <x v="142"/>
    <x v="9"/>
    <x v="3"/>
    <n v="0"/>
    <d v="1899-12-30T00:00:00"/>
    <n v="0"/>
  </r>
  <r>
    <x v="142"/>
    <x v="9"/>
    <x v="4"/>
    <n v="23"/>
    <d v="1899-12-30T00:43:20"/>
    <n v="43.333333333333336"/>
  </r>
  <r>
    <x v="142"/>
    <x v="9"/>
    <x v="5"/>
    <n v="134"/>
    <d v="1899-12-30T03:09:35"/>
    <n v="189.58333333333334"/>
  </r>
  <r>
    <x v="142"/>
    <x v="10"/>
    <x v="0"/>
    <n v="21"/>
    <d v="1899-12-30T00:40:23"/>
    <n v="40.383333333333333"/>
  </r>
  <r>
    <x v="142"/>
    <x v="10"/>
    <x v="1"/>
    <n v="8"/>
    <d v="1899-12-30T00:14:46"/>
    <n v="14.766666666666667"/>
  </r>
  <r>
    <x v="142"/>
    <x v="10"/>
    <x v="2"/>
    <n v="15"/>
    <d v="1899-12-30T00:30:52"/>
    <n v="30.866666666666667"/>
  </r>
  <r>
    <x v="142"/>
    <x v="10"/>
    <x v="3"/>
    <n v="0"/>
    <d v="1899-12-30T00:00:00"/>
    <n v="0"/>
  </r>
  <r>
    <x v="142"/>
    <x v="10"/>
    <x v="4"/>
    <n v="4"/>
    <d v="1899-12-30T00:07:44"/>
    <n v="7.7333333333333334"/>
  </r>
  <r>
    <x v="142"/>
    <x v="10"/>
    <x v="5"/>
    <n v="18"/>
    <d v="1899-12-30T00:31:24"/>
    <n v="31.4"/>
  </r>
  <r>
    <x v="142"/>
    <x v="11"/>
    <x v="0"/>
    <n v="37"/>
    <d v="1899-12-30T01:30:24"/>
    <n v="90.4"/>
  </r>
  <r>
    <x v="142"/>
    <x v="11"/>
    <x v="1"/>
    <n v="16"/>
    <d v="1899-12-30T00:30:36"/>
    <n v="30.6"/>
  </r>
  <r>
    <x v="142"/>
    <x v="11"/>
    <x v="2"/>
    <n v="13"/>
    <d v="1899-12-30T00:20:43"/>
    <n v="20.716666666666665"/>
  </r>
  <r>
    <x v="142"/>
    <x v="11"/>
    <x v="3"/>
    <n v="0"/>
    <d v="1899-12-30T00:00:00"/>
    <n v="0"/>
  </r>
  <r>
    <x v="142"/>
    <x v="11"/>
    <x v="4"/>
    <n v="4"/>
    <d v="1899-12-30T00:10:35"/>
    <n v="10.583333333333334"/>
  </r>
  <r>
    <x v="142"/>
    <x v="11"/>
    <x v="5"/>
    <n v="17"/>
    <d v="1899-12-30T00:30:41"/>
    <n v="30.683333333333334"/>
  </r>
  <r>
    <x v="142"/>
    <x v="12"/>
    <x v="0"/>
    <n v="53"/>
    <d v="1899-12-30T01:45:57"/>
    <n v="105.95"/>
  </r>
  <r>
    <x v="142"/>
    <x v="12"/>
    <x v="1"/>
    <n v="62"/>
    <d v="1899-12-30T02:40:36"/>
    <n v="160.6"/>
  </r>
  <r>
    <x v="142"/>
    <x v="12"/>
    <x v="2"/>
    <n v="59"/>
    <d v="1899-12-30T01:47:10"/>
    <n v="107.16666666666667"/>
  </r>
  <r>
    <x v="142"/>
    <x v="12"/>
    <x v="3"/>
    <n v="0"/>
    <d v="1899-12-30T00:00:00"/>
    <n v="0"/>
  </r>
  <r>
    <x v="142"/>
    <x v="12"/>
    <x v="4"/>
    <n v="29"/>
    <d v="1899-12-30T00:57:53"/>
    <n v="57.883333333333333"/>
  </r>
  <r>
    <x v="142"/>
    <x v="12"/>
    <x v="5"/>
    <n v="76"/>
    <d v="1899-12-30T02:00:47"/>
    <n v="120.78333333333333"/>
  </r>
  <r>
    <x v="142"/>
    <x v="13"/>
    <x v="0"/>
    <n v="33"/>
    <d v="1899-12-30T00:47:29"/>
    <n v="47.483333333333334"/>
  </r>
  <r>
    <x v="142"/>
    <x v="13"/>
    <x v="1"/>
    <n v="15"/>
    <d v="1899-12-30T00:33:00"/>
    <n v="33"/>
  </r>
  <r>
    <x v="142"/>
    <x v="13"/>
    <x v="2"/>
    <n v="18"/>
    <d v="1899-12-30T00:21:58"/>
    <n v="21.966666666666665"/>
  </r>
  <r>
    <x v="142"/>
    <x v="13"/>
    <x v="3"/>
    <n v="0"/>
    <d v="1899-12-30T00:00:00"/>
    <n v="0"/>
  </r>
  <r>
    <x v="142"/>
    <x v="13"/>
    <x v="4"/>
    <n v="1"/>
    <d v="1899-12-30T00:00:38"/>
    <n v="0.6333333333333333"/>
  </r>
  <r>
    <x v="142"/>
    <x v="13"/>
    <x v="5"/>
    <n v="26"/>
    <d v="1899-12-30T00:33:00"/>
    <n v="33"/>
  </r>
  <r>
    <x v="143"/>
    <x v="0"/>
    <x v="0"/>
    <n v="14"/>
    <d v="1899-12-30T00:17:42"/>
    <n v="17.7"/>
  </r>
  <r>
    <x v="143"/>
    <x v="0"/>
    <x v="1"/>
    <n v="12"/>
    <d v="1899-12-30T00:13:50"/>
    <n v="13.833333333333334"/>
  </r>
  <r>
    <x v="143"/>
    <x v="0"/>
    <x v="2"/>
    <n v="7"/>
    <d v="1899-12-30T00:10:32"/>
    <n v="10.533333333333333"/>
  </r>
  <r>
    <x v="143"/>
    <x v="0"/>
    <x v="3"/>
    <n v="0"/>
    <d v="1899-12-30T00:00:00"/>
    <n v="0"/>
  </r>
  <r>
    <x v="143"/>
    <x v="0"/>
    <x v="4"/>
    <n v="8"/>
    <d v="1899-12-30T00:09:11"/>
    <n v="9.1833333333333336"/>
  </r>
  <r>
    <x v="143"/>
    <x v="0"/>
    <x v="5"/>
    <n v="16"/>
    <d v="1899-12-30T00:12:08"/>
    <n v="12.133333333333333"/>
  </r>
  <r>
    <x v="143"/>
    <x v="1"/>
    <x v="0"/>
    <n v="54"/>
    <d v="1899-12-30T01:59:59"/>
    <n v="119.98333333333333"/>
  </r>
  <r>
    <x v="143"/>
    <x v="1"/>
    <x v="1"/>
    <n v="25"/>
    <d v="1899-12-30T01:22:35"/>
    <n v="82.583333333333329"/>
  </r>
  <r>
    <x v="143"/>
    <x v="1"/>
    <x v="2"/>
    <n v="25"/>
    <d v="1899-12-30T00:53:14"/>
    <n v="53.233333333333334"/>
  </r>
  <r>
    <x v="143"/>
    <x v="1"/>
    <x v="3"/>
    <n v="0"/>
    <d v="1899-12-30T00:00:00"/>
    <n v="0"/>
  </r>
  <r>
    <x v="143"/>
    <x v="1"/>
    <x v="4"/>
    <n v="27"/>
    <d v="1899-12-30T01:11:02"/>
    <n v="71.033333333333331"/>
  </r>
  <r>
    <x v="143"/>
    <x v="1"/>
    <x v="5"/>
    <n v="50"/>
    <d v="1899-12-30T01:32:55"/>
    <n v="92.916666666666671"/>
  </r>
  <r>
    <x v="143"/>
    <x v="2"/>
    <x v="0"/>
    <n v="41"/>
    <d v="1899-12-30T01:29:24"/>
    <n v="89.4"/>
  </r>
  <r>
    <x v="143"/>
    <x v="2"/>
    <x v="1"/>
    <n v="51"/>
    <d v="1899-12-30T02:36:22"/>
    <n v="156.36666666666667"/>
  </r>
  <r>
    <x v="143"/>
    <x v="2"/>
    <x v="2"/>
    <n v="31"/>
    <d v="1899-12-30T01:20:24"/>
    <n v="80.400000000000006"/>
  </r>
  <r>
    <x v="143"/>
    <x v="2"/>
    <x v="3"/>
    <n v="0"/>
    <d v="1899-12-30T00:00:00"/>
    <n v="0"/>
  </r>
  <r>
    <x v="143"/>
    <x v="2"/>
    <x v="4"/>
    <n v="11"/>
    <d v="1899-12-30T00:25:44"/>
    <n v="25.733333333333334"/>
  </r>
  <r>
    <x v="143"/>
    <x v="2"/>
    <x v="5"/>
    <n v="28"/>
    <d v="1899-12-30T00:47:48"/>
    <n v="47.8"/>
  </r>
  <r>
    <x v="143"/>
    <x v="3"/>
    <x v="0"/>
    <n v="12"/>
    <d v="1899-12-30T00:29:31"/>
    <n v="29.516666666666666"/>
  </r>
  <r>
    <x v="143"/>
    <x v="3"/>
    <x v="1"/>
    <n v="3"/>
    <d v="1899-12-30T00:07:27"/>
    <n v="7.45"/>
  </r>
  <r>
    <x v="143"/>
    <x v="3"/>
    <x v="2"/>
    <n v="3"/>
    <d v="1899-12-30T00:07:11"/>
    <n v="7.1833333333333336"/>
  </r>
  <r>
    <x v="143"/>
    <x v="3"/>
    <x v="3"/>
    <n v="0"/>
    <d v="1899-12-30T00:00:00"/>
    <n v="0"/>
  </r>
  <r>
    <x v="143"/>
    <x v="3"/>
    <x v="4"/>
    <n v="1"/>
    <d v="1899-12-30T00:03:19"/>
    <n v="3.3166666666666664"/>
  </r>
  <r>
    <x v="143"/>
    <x v="3"/>
    <x v="5"/>
    <n v="2"/>
    <d v="1899-12-30T00:02:49"/>
    <n v="2.8166666666666664"/>
  </r>
  <r>
    <x v="143"/>
    <x v="4"/>
    <x v="0"/>
    <n v="33"/>
    <d v="1899-12-30T01:06:30"/>
    <n v="66.5"/>
  </r>
  <r>
    <x v="143"/>
    <x v="4"/>
    <x v="1"/>
    <n v="30"/>
    <d v="1899-12-30T00:53:57"/>
    <n v="53.95"/>
  </r>
  <r>
    <x v="143"/>
    <x v="4"/>
    <x v="2"/>
    <n v="29"/>
    <d v="1899-12-30T00:39:34"/>
    <n v="39.56666666666667"/>
  </r>
  <r>
    <x v="143"/>
    <x v="4"/>
    <x v="3"/>
    <n v="0"/>
    <d v="1899-12-30T00:00:00"/>
    <n v="0"/>
  </r>
  <r>
    <x v="143"/>
    <x v="4"/>
    <x v="4"/>
    <n v="5"/>
    <d v="1899-12-30T00:06:31"/>
    <n v="6.5166666666666666"/>
  </r>
  <r>
    <x v="143"/>
    <x v="4"/>
    <x v="5"/>
    <n v="23"/>
    <d v="1899-12-30T00:31:43"/>
    <n v="31.716666666666665"/>
  </r>
  <r>
    <x v="143"/>
    <x v="5"/>
    <x v="0"/>
    <n v="7"/>
    <d v="1899-12-30T00:08:44"/>
    <n v="8.7333333333333325"/>
  </r>
  <r>
    <x v="143"/>
    <x v="5"/>
    <x v="1"/>
    <n v="5"/>
    <d v="1899-12-30T00:07:16"/>
    <n v="7.2666666666666666"/>
  </r>
  <r>
    <x v="143"/>
    <x v="5"/>
    <x v="2"/>
    <n v="12"/>
    <d v="1899-12-30T00:10:20"/>
    <n v="10.333333333333334"/>
  </r>
  <r>
    <x v="143"/>
    <x v="5"/>
    <x v="3"/>
    <n v="0"/>
    <d v="1899-12-30T00:00:00"/>
    <n v="0"/>
  </r>
  <r>
    <x v="143"/>
    <x v="5"/>
    <x v="4"/>
    <n v="3"/>
    <d v="1899-12-30T00:05:51"/>
    <n v="5.85"/>
  </r>
  <r>
    <x v="143"/>
    <x v="5"/>
    <x v="5"/>
    <n v="21"/>
    <d v="1899-12-30T00:22:13"/>
    <n v="22.216666666666665"/>
  </r>
  <r>
    <x v="143"/>
    <x v="6"/>
    <x v="0"/>
    <n v="17"/>
    <d v="1899-12-30T00:28:29"/>
    <n v="28.483333333333334"/>
  </r>
  <r>
    <x v="143"/>
    <x v="6"/>
    <x v="1"/>
    <n v="21"/>
    <d v="1899-12-30T00:29:01"/>
    <n v="29.016666666666666"/>
  </r>
  <r>
    <x v="143"/>
    <x v="6"/>
    <x v="2"/>
    <n v="22"/>
    <d v="1899-12-30T00:34:37"/>
    <n v="34.616666666666667"/>
  </r>
  <r>
    <x v="143"/>
    <x v="6"/>
    <x v="3"/>
    <n v="0"/>
    <d v="1899-12-30T00:00:00"/>
    <n v="0"/>
  </r>
  <r>
    <x v="143"/>
    <x v="6"/>
    <x v="4"/>
    <n v="13"/>
    <d v="1899-12-30T00:14:41"/>
    <n v="14.683333333333334"/>
  </r>
  <r>
    <x v="143"/>
    <x v="6"/>
    <x v="5"/>
    <n v="17"/>
    <d v="1899-12-30T00:22:44"/>
    <n v="22.733333333333334"/>
  </r>
  <r>
    <x v="143"/>
    <x v="7"/>
    <x v="0"/>
    <n v="86"/>
    <d v="1899-12-30T02:18:24"/>
    <n v="138.4"/>
  </r>
  <r>
    <x v="143"/>
    <x v="7"/>
    <x v="1"/>
    <n v="131"/>
    <d v="1899-12-30T03:01:29"/>
    <n v="181.48333333333332"/>
  </r>
  <r>
    <x v="143"/>
    <x v="7"/>
    <x v="2"/>
    <n v="66"/>
    <d v="1899-12-30T01:19:39"/>
    <n v="79.650000000000006"/>
  </r>
  <r>
    <x v="143"/>
    <x v="7"/>
    <x v="3"/>
    <n v="0"/>
    <d v="1899-12-30T00:00:00"/>
    <n v="0"/>
  </r>
  <r>
    <x v="143"/>
    <x v="7"/>
    <x v="4"/>
    <n v="135"/>
    <d v="1899-12-30T03:41:42"/>
    <n v="221.7"/>
  </r>
  <r>
    <x v="143"/>
    <x v="7"/>
    <x v="5"/>
    <n v="74"/>
    <d v="1899-12-30T01:18:28"/>
    <n v="78.466666666666669"/>
  </r>
  <r>
    <x v="143"/>
    <x v="8"/>
    <x v="0"/>
    <n v="22"/>
    <d v="1899-12-30T00:36:15"/>
    <n v="36.25"/>
  </r>
  <r>
    <x v="143"/>
    <x v="8"/>
    <x v="1"/>
    <n v="24"/>
    <d v="1899-12-30T00:34:31"/>
    <n v="34.516666666666666"/>
  </r>
  <r>
    <x v="143"/>
    <x v="8"/>
    <x v="2"/>
    <n v="35"/>
    <d v="1899-12-30T00:50:02"/>
    <n v="50.033333333333331"/>
  </r>
  <r>
    <x v="143"/>
    <x v="8"/>
    <x v="3"/>
    <n v="0"/>
    <d v="1899-12-30T00:00:00"/>
    <n v="0"/>
  </r>
  <r>
    <x v="143"/>
    <x v="8"/>
    <x v="4"/>
    <n v="13"/>
    <d v="1899-12-30T00:19:40"/>
    <n v="19.666666666666668"/>
  </r>
  <r>
    <x v="143"/>
    <x v="8"/>
    <x v="5"/>
    <n v="27"/>
    <d v="1899-12-30T00:37:01"/>
    <n v="37.016666666666666"/>
  </r>
  <r>
    <x v="143"/>
    <x v="9"/>
    <x v="0"/>
    <n v="67"/>
    <d v="1899-12-30T02:19:49"/>
    <n v="139.81666666666666"/>
  </r>
  <r>
    <x v="143"/>
    <x v="9"/>
    <x v="1"/>
    <n v="58"/>
    <d v="1899-12-30T01:49:42"/>
    <n v="109.7"/>
  </r>
  <r>
    <x v="143"/>
    <x v="9"/>
    <x v="2"/>
    <n v="51"/>
    <d v="1899-12-30T01:21:31"/>
    <n v="81.516666666666666"/>
  </r>
  <r>
    <x v="143"/>
    <x v="9"/>
    <x v="3"/>
    <n v="0"/>
    <d v="1899-12-30T00:00:00"/>
    <n v="0"/>
  </r>
  <r>
    <x v="143"/>
    <x v="9"/>
    <x v="4"/>
    <n v="8"/>
    <d v="1899-12-30T00:14:23"/>
    <n v="14.383333333333333"/>
  </r>
  <r>
    <x v="143"/>
    <x v="9"/>
    <x v="5"/>
    <n v="51"/>
    <d v="1899-12-30T01:05:04"/>
    <n v="65.066666666666663"/>
  </r>
  <r>
    <x v="143"/>
    <x v="10"/>
    <x v="0"/>
    <n v="16"/>
    <d v="1899-12-30T00:29:38"/>
    <n v="29.633333333333333"/>
  </r>
  <r>
    <x v="143"/>
    <x v="10"/>
    <x v="1"/>
    <n v="11"/>
    <d v="1899-12-30T00:21:38"/>
    <n v="21.633333333333333"/>
  </r>
  <r>
    <x v="143"/>
    <x v="10"/>
    <x v="2"/>
    <n v="10"/>
    <d v="1899-12-30T00:25:30"/>
    <n v="25.5"/>
  </r>
  <r>
    <x v="143"/>
    <x v="10"/>
    <x v="3"/>
    <n v="0"/>
    <d v="1899-12-30T00:00:00"/>
    <n v="0"/>
  </r>
  <r>
    <x v="143"/>
    <x v="10"/>
    <x v="4"/>
    <n v="2"/>
    <d v="1899-12-30T00:05:12"/>
    <n v="5.2"/>
  </r>
  <r>
    <x v="143"/>
    <x v="10"/>
    <x v="5"/>
    <n v="20"/>
    <d v="1899-12-30T00:28:00"/>
    <n v="28"/>
  </r>
  <r>
    <x v="143"/>
    <x v="11"/>
    <x v="0"/>
    <n v="9"/>
    <d v="1899-12-30T00:17:44"/>
    <n v="17.733333333333334"/>
  </r>
  <r>
    <x v="143"/>
    <x v="11"/>
    <x v="1"/>
    <n v="10"/>
    <d v="1899-12-30T00:32:47"/>
    <n v="32.783333333333331"/>
  </r>
  <r>
    <x v="143"/>
    <x v="11"/>
    <x v="2"/>
    <n v="9"/>
    <d v="1899-12-30T00:18:28"/>
    <n v="18.466666666666665"/>
  </r>
  <r>
    <x v="143"/>
    <x v="11"/>
    <x v="3"/>
    <n v="0"/>
    <d v="1899-12-30T00:00:00"/>
    <n v="0"/>
  </r>
  <r>
    <x v="143"/>
    <x v="11"/>
    <x v="4"/>
    <n v="1"/>
    <d v="1899-12-30T00:00:51"/>
    <n v="0.85"/>
  </r>
  <r>
    <x v="143"/>
    <x v="11"/>
    <x v="5"/>
    <n v="5"/>
    <d v="1899-12-30T00:04:33"/>
    <n v="4.55"/>
  </r>
  <r>
    <x v="143"/>
    <x v="12"/>
    <x v="0"/>
    <n v="90"/>
    <d v="1899-12-30T03:01:03"/>
    <n v="181.05"/>
  </r>
  <r>
    <x v="143"/>
    <x v="12"/>
    <x v="1"/>
    <n v="71"/>
    <d v="1899-12-30T02:53:43"/>
    <n v="173.71666666666667"/>
  </r>
  <r>
    <x v="143"/>
    <x v="12"/>
    <x v="2"/>
    <n v="58"/>
    <d v="1899-12-30T01:40:29"/>
    <n v="100.48333333333333"/>
  </r>
  <r>
    <x v="143"/>
    <x v="12"/>
    <x v="3"/>
    <n v="0"/>
    <d v="1899-12-30T00:00:00"/>
    <n v="0"/>
  </r>
  <r>
    <x v="143"/>
    <x v="12"/>
    <x v="4"/>
    <n v="26"/>
    <d v="1899-12-30T01:08:46"/>
    <n v="68.766666666666666"/>
  </r>
  <r>
    <x v="143"/>
    <x v="12"/>
    <x v="5"/>
    <n v="77"/>
    <d v="1899-12-30T02:02:00"/>
    <n v="122"/>
  </r>
  <r>
    <x v="143"/>
    <x v="13"/>
    <x v="0"/>
    <n v="24"/>
    <d v="1899-12-30T00:37:13"/>
    <n v="37.216666666666669"/>
  </r>
  <r>
    <x v="143"/>
    <x v="13"/>
    <x v="1"/>
    <n v="20"/>
    <d v="1899-12-30T00:34:42"/>
    <n v="34.700000000000003"/>
  </r>
  <r>
    <x v="143"/>
    <x v="13"/>
    <x v="2"/>
    <n v="18"/>
    <d v="1899-12-30T00:20:53"/>
    <n v="20.883333333333333"/>
  </r>
  <r>
    <x v="143"/>
    <x v="13"/>
    <x v="3"/>
    <n v="0"/>
    <d v="1899-12-30T00:00:00"/>
    <n v="0"/>
  </r>
  <r>
    <x v="143"/>
    <x v="13"/>
    <x v="4"/>
    <n v="2"/>
    <d v="1899-12-30T00:03:31"/>
    <n v="3.5166666666666666"/>
  </r>
  <r>
    <x v="143"/>
    <x v="13"/>
    <x v="5"/>
    <n v="18"/>
    <d v="1899-12-30T00:20:34"/>
    <n v="20.566666666666666"/>
  </r>
  <r>
    <x v="144"/>
    <x v="0"/>
    <x v="0"/>
    <n v="50"/>
    <d v="1899-12-30T01:06:04"/>
    <n v="66.066666666666663"/>
  </r>
  <r>
    <x v="144"/>
    <x v="0"/>
    <x v="1"/>
    <n v="59"/>
    <d v="1899-12-30T01:22:26"/>
    <n v="82.433333333333337"/>
  </r>
  <r>
    <x v="144"/>
    <x v="0"/>
    <x v="2"/>
    <n v="49"/>
    <d v="1899-12-30T00:57:58"/>
    <n v="57.966666666666669"/>
  </r>
  <r>
    <x v="144"/>
    <x v="0"/>
    <x v="3"/>
    <n v="0"/>
    <d v="1899-12-30T00:00:00"/>
    <n v="0"/>
  </r>
  <r>
    <x v="144"/>
    <x v="0"/>
    <x v="4"/>
    <n v="3"/>
    <d v="1899-12-30T00:02:44"/>
    <n v="2.7333333333333334"/>
  </r>
  <r>
    <x v="144"/>
    <x v="0"/>
    <x v="5"/>
    <n v="46"/>
    <d v="1899-12-30T00:46:39"/>
    <n v="46.65"/>
  </r>
  <r>
    <x v="144"/>
    <x v="1"/>
    <x v="0"/>
    <n v="48"/>
    <d v="1899-12-30T01:46:00"/>
    <n v="106"/>
  </r>
  <r>
    <x v="144"/>
    <x v="1"/>
    <x v="1"/>
    <n v="33"/>
    <d v="1899-12-30T01:22:12"/>
    <n v="82.2"/>
  </r>
  <r>
    <x v="144"/>
    <x v="1"/>
    <x v="2"/>
    <n v="27"/>
    <d v="1899-12-30T00:53:13"/>
    <n v="53.216666666666669"/>
  </r>
  <r>
    <x v="144"/>
    <x v="1"/>
    <x v="3"/>
    <n v="0"/>
    <d v="1899-12-30T00:00:00"/>
    <n v="0"/>
  </r>
  <r>
    <x v="144"/>
    <x v="1"/>
    <x v="4"/>
    <n v="34"/>
    <d v="1899-12-30T01:19:40"/>
    <n v="79.666666666666671"/>
  </r>
  <r>
    <x v="144"/>
    <x v="1"/>
    <x v="5"/>
    <n v="55"/>
    <d v="1899-12-30T01:49:45"/>
    <n v="109.75"/>
  </r>
  <r>
    <x v="144"/>
    <x v="2"/>
    <x v="0"/>
    <n v="44"/>
    <d v="1899-12-30T01:35:30"/>
    <n v="95.5"/>
  </r>
  <r>
    <x v="144"/>
    <x v="2"/>
    <x v="1"/>
    <n v="70"/>
    <d v="1899-12-30T02:53:44"/>
    <n v="173.73333333333332"/>
  </r>
  <r>
    <x v="144"/>
    <x v="2"/>
    <x v="2"/>
    <n v="40"/>
    <d v="1899-12-30T01:12:55"/>
    <n v="72.916666666666671"/>
  </r>
  <r>
    <x v="144"/>
    <x v="2"/>
    <x v="3"/>
    <n v="0"/>
    <d v="1899-12-30T00:00:00"/>
    <n v="0"/>
  </r>
  <r>
    <x v="144"/>
    <x v="2"/>
    <x v="4"/>
    <n v="9"/>
    <d v="1899-12-30T00:20:50"/>
    <n v="20.833333333333332"/>
  </r>
  <r>
    <x v="144"/>
    <x v="2"/>
    <x v="5"/>
    <n v="49"/>
    <d v="1899-12-30T01:26:41"/>
    <n v="86.683333333333337"/>
  </r>
  <r>
    <x v="144"/>
    <x v="3"/>
    <x v="0"/>
    <n v="14"/>
    <d v="1899-12-30T00:37:13"/>
    <n v="37.216666666666669"/>
  </r>
  <r>
    <x v="144"/>
    <x v="3"/>
    <x v="1"/>
    <n v="7"/>
    <d v="1899-12-30T00:33:40"/>
    <n v="33.666666666666664"/>
  </r>
  <r>
    <x v="144"/>
    <x v="3"/>
    <x v="2"/>
    <n v="5"/>
    <d v="1899-12-30T00:18:00"/>
    <n v="18"/>
  </r>
  <r>
    <x v="144"/>
    <x v="3"/>
    <x v="3"/>
    <n v="0"/>
    <d v="1899-12-30T00:00:00"/>
    <n v="0"/>
  </r>
  <r>
    <x v="144"/>
    <x v="3"/>
    <x v="4"/>
    <n v="2"/>
    <d v="1899-12-30T00:08:51"/>
    <n v="8.85"/>
  </r>
  <r>
    <x v="144"/>
    <x v="3"/>
    <x v="5"/>
    <n v="3"/>
    <d v="1899-12-30T00:05:08"/>
    <n v="5.1333333333333337"/>
  </r>
  <r>
    <x v="144"/>
    <x v="4"/>
    <x v="0"/>
    <n v="42"/>
    <d v="1899-12-30T01:06:52"/>
    <n v="66.86666666666666"/>
  </r>
  <r>
    <x v="144"/>
    <x v="4"/>
    <x v="1"/>
    <n v="35"/>
    <d v="1899-12-30T00:47:56"/>
    <n v="47.93333333333333"/>
  </r>
  <r>
    <x v="144"/>
    <x v="4"/>
    <x v="2"/>
    <n v="27"/>
    <d v="1899-12-30T00:47:27"/>
    <n v="47.45"/>
  </r>
  <r>
    <x v="144"/>
    <x v="4"/>
    <x v="3"/>
    <n v="0"/>
    <d v="1899-12-30T00:00:00"/>
    <n v="0"/>
  </r>
  <r>
    <x v="144"/>
    <x v="4"/>
    <x v="4"/>
    <n v="6"/>
    <d v="1899-12-30T00:11:21"/>
    <n v="11.35"/>
  </r>
  <r>
    <x v="144"/>
    <x v="4"/>
    <x v="5"/>
    <n v="26"/>
    <d v="1899-12-30T00:32:43"/>
    <n v="32.716666666666669"/>
  </r>
  <r>
    <x v="144"/>
    <x v="5"/>
    <x v="0"/>
    <n v="10"/>
    <d v="1899-12-30T00:12:40"/>
    <n v="12.666666666666666"/>
  </r>
  <r>
    <x v="144"/>
    <x v="5"/>
    <x v="1"/>
    <n v="13"/>
    <d v="1899-12-30T00:16:06"/>
    <n v="16.100000000000001"/>
  </r>
  <r>
    <x v="144"/>
    <x v="5"/>
    <x v="2"/>
    <n v="20"/>
    <d v="1899-12-30T00:24:31"/>
    <n v="24.516666666666666"/>
  </r>
  <r>
    <x v="144"/>
    <x v="5"/>
    <x v="3"/>
    <n v="0"/>
    <d v="1899-12-30T00:00:00"/>
    <n v="0"/>
  </r>
  <r>
    <x v="144"/>
    <x v="5"/>
    <x v="4"/>
    <n v="4"/>
    <d v="1899-12-30T00:06:42"/>
    <n v="6.7"/>
  </r>
  <r>
    <x v="144"/>
    <x v="5"/>
    <x v="5"/>
    <n v="27"/>
    <d v="1899-12-30T00:32:52"/>
    <n v="32.866666666666667"/>
  </r>
  <r>
    <x v="144"/>
    <x v="6"/>
    <x v="0"/>
    <n v="9"/>
    <d v="1899-12-30T00:11:14"/>
    <n v="11.233333333333333"/>
  </r>
  <r>
    <x v="144"/>
    <x v="6"/>
    <x v="1"/>
    <n v="12"/>
    <d v="1899-12-30T00:18:20"/>
    <n v="18.333333333333332"/>
  </r>
  <r>
    <x v="144"/>
    <x v="6"/>
    <x v="2"/>
    <n v="8"/>
    <d v="1899-12-30T00:12:36"/>
    <n v="12.6"/>
  </r>
  <r>
    <x v="144"/>
    <x v="6"/>
    <x v="3"/>
    <n v="0"/>
    <d v="1899-12-30T00:00:00"/>
    <n v="0"/>
  </r>
  <r>
    <x v="144"/>
    <x v="6"/>
    <x v="4"/>
    <n v="11"/>
    <d v="1899-12-30T00:12:08"/>
    <n v="12.133333333333333"/>
  </r>
  <r>
    <x v="144"/>
    <x v="6"/>
    <x v="5"/>
    <n v="10"/>
    <d v="1899-12-30T00:06:00"/>
    <n v="6"/>
  </r>
  <r>
    <x v="144"/>
    <x v="7"/>
    <x v="0"/>
    <n v="57"/>
    <d v="1899-12-30T01:29:26"/>
    <n v="89.433333333333337"/>
  </r>
  <r>
    <x v="144"/>
    <x v="7"/>
    <x v="1"/>
    <n v="110"/>
    <d v="1899-12-30T02:34:37"/>
    <n v="154.61666666666667"/>
  </r>
  <r>
    <x v="144"/>
    <x v="7"/>
    <x v="2"/>
    <n v="51"/>
    <d v="1899-12-30T00:55:42"/>
    <n v="55.7"/>
  </r>
  <r>
    <x v="144"/>
    <x v="7"/>
    <x v="3"/>
    <n v="0"/>
    <d v="1899-12-30T00:00:00"/>
    <n v="0"/>
  </r>
  <r>
    <x v="144"/>
    <x v="7"/>
    <x v="4"/>
    <n v="163"/>
    <d v="1899-12-30T04:49:52"/>
    <n v="289.86666666666667"/>
  </r>
  <r>
    <x v="144"/>
    <x v="7"/>
    <x v="5"/>
    <n v="70"/>
    <d v="1899-12-30T01:16:16"/>
    <n v="76.266666666666666"/>
  </r>
  <r>
    <x v="144"/>
    <x v="8"/>
    <x v="0"/>
    <n v="13"/>
    <d v="1899-12-30T00:17:54"/>
    <n v="17.899999999999999"/>
  </r>
  <r>
    <x v="144"/>
    <x v="8"/>
    <x v="1"/>
    <n v="14"/>
    <d v="1899-12-30T00:23:37"/>
    <n v="23.616666666666667"/>
  </r>
  <r>
    <x v="144"/>
    <x v="8"/>
    <x v="2"/>
    <n v="20"/>
    <d v="1899-12-30T00:23:28"/>
    <n v="23.466666666666665"/>
  </r>
  <r>
    <x v="144"/>
    <x v="8"/>
    <x v="3"/>
    <n v="0"/>
    <d v="1899-12-30T00:00:00"/>
    <n v="0"/>
  </r>
  <r>
    <x v="144"/>
    <x v="8"/>
    <x v="4"/>
    <n v="11"/>
    <d v="1899-12-30T00:18:39"/>
    <n v="18.649999999999999"/>
  </r>
  <r>
    <x v="144"/>
    <x v="8"/>
    <x v="5"/>
    <n v="26"/>
    <d v="1899-12-30T00:33:25"/>
    <n v="33.416666666666664"/>
  </r>
  <r>
    <x v="144"/>
    <x v="9"/>
    <x v="0"/>
    <n v="174"/>
    <d v="1899-12-30T06:10:23"/>
    <n v="370.38333333333333"/>
  </r>
  <r>
    <x v="144"/>
    <x v="9"/>
    <x v="1"/>
    <n v="141"/>
    <d v="1899-12-30T03:59:56"/>
    <n v="239.93333333333334"/>
  </r>
  <r>
    <x v="144"/>
    <x v="9"/>
    <x v="2"/>
    <n v="114"/>
    <d v="1899-12-30T02:38:17"/>
    <n v="158.28333333333333"/>
  </r>
  <r>
    <x v="144"/>
    <x v="9"/>
    <x v="3"/>
    <n v="0"/>
    <d v="1899-12-30T00:00:00"/>
    <n v="0"/>
  </r>
  <r>
    <x v="144"/>
    <x v="9"/>
    <x v="4"/>
    <n v="26"/>
    <d v="1899-12-30T00:46:04"/>
    <n v="46.06666666666667"/>
  </r>
  <r>
    <x v="144"/>
    <x v="9"/>
    <x v="5"/>
    <n v="130"/>
    <d v="1899-12-30T02:41:20"/>
    <n v="161.33333333333334"/>
  </r>
  <r>
    <x v="144"/>
    <x v="10"/>
    <x v="0"/>
    <n v="19"/>
    <d v="1899-12-30T00:32:03"/>
    <n v="32.049999999999997"/>
  </r>
  <r>
    <x v="144"/>
    <x v="10"/>
    <x v="1"/>
    <n v="18"/>
    <d v="1899-12-30T00:43:00"/>
    <n v="43"/>
  </r>
  <r>
    <x v="144"/>
    <x v="10"/>
    <x v="2"/>
    <n v="28"/>
    <d v="1899-12-30T00:49:54"/>
    <n v="49.9"/>
  </r>
  <r>
    <x v="144"/>
    <x v="10"/>
    <x v="3"/>
    <n v="0"/>
    <d v="1899-12-30T00:00:00"/>
    <n v="0"/>
  </r>
  <r>
    <x v="144"/>
    <x v="10"/>
    <x v="4"/>
    <n v="3"/>
    <d v="1899-12-30T00:08:29"/>
    <n v="8.4833333333333325"/>
  </r>
  <r>
    <x v="144"/>
    <x v="10"/>
    <x v="5"/>
    <n v="21"/>
    <d v="1899-12-30T00:36:47"/>
    <n v="36.783333333333331"/>
  </r>
  <r>
    <x v="144"/>
    <x v="11"/>
    <x v="0"/>
    <n v="26"/>
    <d v="1899-12-30T01:04:34"/>
    <n v="64.566666666666663"/>
  </r>
  <r>
    <x v="144"/>
    <x v="11"/>
    <x v="1"/>
    <n v="12"/>
    <d v="1899-12-30T00:26:32"/>
    <n v="26.533333333333335"/>
  </r>
  <r>
    <x v="144"/>
    <x v="11"/>
    <x v="2"/>
    <n v="7"/>
    <d v="1899-12-30T00:13:58"/>
    <n v="13.966666666666667"/>
  </r>
  <r>
    <x v="144"/>
    <x v="11"/>
    <x v="3"/>
    <n v="0"/>
    <d v="1899-12-30T00:00:00"/>
    <n v="0"/>
  </r>
  <r>
    <x v="144"/>
    <x v="11"/>
    <x v="4"/>
    <n v="5"/>
    <d v="1899-12-30T00:09:59"/>
    <n v="9.9833333333333325"/>
  </r>
  <r>
    <x v="144"/>
    <x v="11"/>
    <x v="5"/>
    <n v="9"/>
    <d v="1899-12-30T00:15:17"/>
    <n v="15.283333333333333"/>
  </r>
  <r>
    <x v="144"/>
    <x v="12"/>
    <x v="0"/>
    <n v="78"/>
    <d v="1899-12-30T02:51:00"/>
    <n v="171"/>
  </r>
  <r>
    <x v="144"/>
    <x v="12"/>
    <x v="1"/>
    <n v="80"/>
    <d v="1899-12-30T03:21:02"/>
    <n v="201.03333333333333"/>
  </r>
  <r>
    <x v="144"/>
    <x v="12"/>
    <x v="2"/>
    <n v="71"/>
    <d v="1899-12-30T02:08:26"/>
    <n v="128.43333333333334"/>
  </r>
  <r>
    <x v="144"/>
    <x v="12"/>
    <x v="3"/>
    <n v="0"/>
    <d v="1899-12-30T00:00:00"/>
    <n v="0"/>
  </r>
  <r>
    <x v="144"/>
    <x v="12"/>
    <x v="4"/>
    <n v="20"/>
    <d v="1899-12-30T00:55:01"/>
    <n v="55.016666666666666"/>
  </r>
  <r>
    <x v="144"/>
    <x v="12"/>
    <x v="5"/>
    <n v="83"/>
    <d v="1899-12-30T02:13:29"/>
    <n v="133.48333333333332"/>
  </r>
  <r>
    <x v="144"/>
    <x v="13"/>
    <x v="0"/>
    <n v="50"/>
    <d v="1899-12-30T01:28:36"/>
    <n v="88.6"/>
  </r>
  <r>
    <x v="144"/>
    <x v="13"/>
    <x v="1"/>
    <n v="26"/>
    <d v="1899-12-30T00:36:37"/>
    <n v="36.616666666666667"/>
  </r>
  <r>
    <x v="144"/>
    <x v="13"/>
    <x v="2"/>
    <n v="31"/>
    <d v="1899-12-30T00:35:52"/>
    <n v="35.866666666666667"/>
  </r>
  <r>
    <x v="144"/>
    <x v="13"/>
    <x v="3"/>
    <n v="0"/>
    <d v="1899-12-30T00:00:00"/>
    <n v="0"/>
  </r>
  <r>
    <x v="144"/>
    <x v="13"/>
    <x v="4"/>
    <n v="1"/>
    <d v="1899-12-30T00:00:26"/>
    <n v="0.43333333333333335"/>
  </r>
  <r>
    <x v="144"/>
    <x v="13"/>
    <x v="5"/>
    <n v="29"/>
    <d v="1899-12-30T00:32:34"/>
    <n v="32.56666666666667"/>
  </r>
  <r>
    <x v="145"/>
    <x v="0"/>
    <x v="0"/>
    <n v="19"/>
    <d v="1899-12-30T00:28:38"/>
    <n v="28.633333333333333"/>
  </r>
  <r>
    <x v="145"/>
    <x v="0"/>
    <x v="1"/>
    <n v="21"/>
    <d v="1899-12-30T00:24:30"/>
    <n v="24.5"/>
  </r>
  <r>
    <x v="145"/>
    <x v="0"/>
    <x v="2"/>
    <n v="27"/>
    <d v="1899-12-30T00:37:11"/>
    <n v="37.18333333333333"/>
  </r>
  <r>
    <x v="145"/>
    <x v="0"/>
    <x v="3"/>
    <n v="0"/>
    <d v="1899-12-30T00:00:00"/>
    <n v="0"/>
  </r>
  <r>
    <x v="145"/>
    <x v="0"/>
    <x v="4"/>
    <n v="1"/>
    <d v="1899-12-30T00:02:01"/>
    <n v="2.0166666666666666"/>
  </r>
  <r>
    <x v="145"/>
    <x v="0"/>
    <x v="5"/>
    <n v="18"/>
    <d v="1899-12-30T00:23:38"/>
    <n v="23.633333333333333"/>
  </r>
  <r>
    <x v="145"/>
    <x v="1"/>
    <x v="0"/>
    <n v="51"/>
    <d v="1899-12-30T01:49:13"/>
    <n v="109.21666666666667"/>
  </r>
  <r>
    <x v="145"/>
    <x v="1"/>
    <x v="1"/>
    <n v="30"/>
    <d v="1899-12-30T01:47:33"/>
    <n v="107.55"/>
  </r>
  <r>
    <x v="145"/>
    <x v="1"/>
    <x v="2"/>
    <n v="25"/>
    <d v="1899-12-30T00:45:29"/>
    <n v="45.483333333333334"/>
  </r>
  <r>
    <x v="145"/>
    <x v="1"/>
    <x v="3"/>
    <n v="0"/>
    <d v="1899-12-30T00:00:00"/>
    <n v="0"/>
  </r>
  <r>
    <x v="145"/>
    <x v="1"/>
    <x v="4"/>
    <n v="27"/>
    <d v="1899-12-30T01:11:59"/>
    <n v="71.983333333333334"/>
  </r>
  <r>
    <x v="145"/>
    <x v="1"/>
    <x v="5"/>
    <n v="59"/>
    <d v="1899-12-30T02:04:42"/>
    <n v="124.7"/>
  </r>
  <r>
    <x v="145"/>
    <x v="2"/>
    <x v="0"/>
    <n v="67"/>
    <d v="1899-12-30T02:41:35"/>
    <n v="161.58333333333334"/>
  </r>
  <r>
    <x v="145"/>
    <x v="2"/>
    <x v="1"/>
    <n v="56"/>
    <d v="1899-12-30T02:34:49"/>
    <n v="154.81666666666666"/>
  </r>
  <r>
    <x v="145"/>
    <x v="2"/>
    <x v="2"/>
    <n v="57"/>
    <d v="1899-12-30T02:03:19"/>
    <n v="123.31666666666666"/>
  </r>
  <r>
    <x v="145"/>
    <x v="2"/>
    <x v="3"/>
    <n v="0"/>
    <d v="1899-12-30T00:00:00"/>
    <n v="0"/>
  </r>
  <r>
    <x v="145"/>
    <x v="2"/>
    <x v="4"/>
    <n v="10"/>
    <d v="1899-12-30T00:21:27"/>
    <n v="21.45"/>
  </r>
  <r>
    <x v="145"/>
    <x v="2"/>
    <x v="5"/>
    <n v="32"/>
    <d v="1899-12-30T01:01:08"/>
    <n v="61.133333333333333"/>
  </r>
  <r>
    <x v="145"/>
    <x v="3"/>
    <x v="0"/>
    <n v="7"/>
    <d v="1899-12-30T00:20:12"/>
    <n v="20.2"/>
  </r>
  <r>
    <x v="145"/>
    <x v="3"/>
    <x v="1"/>
    <n v="7"/>
    <d v="1899-12-30T00:27:26"/>
    <n v="27.433333333333334"/>
  </r>
  <r>
    <x v="145"/>
    <x v="3"/>
    <x v="2"/>
    <n v="3"/>
    <d v="1899-12-30T00:09:06"/>
    <n v="9.1"/>
  </r>
  <r>
    <x v="145"/>
    <x v="3"/>
    <x v="3"/>
    <n v="0"/>
    <d v="1899-12-30T00:00:00"/>
    <n v="0"/>
  </r>
  <r>
    <x v="145"/>
    <x v="3"/>
    <x v="4"/>
    <n v="1"/>
    <d v="1899-12-30T00:03:08"/>
    <n v="3.1333333333333333"/>
  </r>
  <r>
    <x v="145"/>
    <x v="3"/>
    <x v="5"/>
    <n v="8"/>
    <d v="1899-12-30T00:15:52"/>
    <n v="15.866666666666667"/>
  </r>
  <r>
    <x v="145"/>
    <x v="4"/>
    <x v="0"/>
    <n v="11"/>
    <d v="1899-12-30T00:25:08"/>
    <n v="25.133333333333333"/>
  </r>
  <r>
    <x v="145"/>
    <x v="4"/>
    <x v="1"/>
    <n v="10"/>
    <d v="1899-12-30T00:17:03"/>
    <n v="17.05"/>
  </r>
  <r>
    <x v="145"/>
    <x v="4"/>
    <x v="2"/>
    <n v="8"/>
    <d v="1899-12-30T00:17:03"/>
    <n v="17.05"/>
  </r>
  <r>
    <x v="145"/>
    <x v="4"/>
    <x v="3"/>
    <n v="0"/>
    <d v="1899-12-30T00:00:00"/>
    <n v="0"/>
  </r>
  <r>
    <x v="145"/>
    <x v="4"/>
    <x v="4"/>
    <n v="1"/>
    <d v="1899-12-30T00:01:37"/>
    <n v="1.6166666666666667"/>
  </r>
  <r>
    <x v="145"/>
    <x v="4"/>
    <x v="5"/>
    <n v="2"/>
    <d v="1899-12-30T00:02:31"/>
    <n v="2.5166666666666666"/>
  </r>
  <r>
    <x v="145"/>
    <x v="5"/>
    <x v="0"/>
    <n v="28"/>
    <d v="1899-12-30T01:06:12"/>
    <n v="66.2"/>
  </r>
  <r>
    <x v="145"/>
    <x v="5"/>
    <x v="1"/>
    <n v="39"/>
    <d v="1899-12-30T00:53:38"/>
    <n v="53.633333333333333"/>
  </r>
  <r>
    <x v="145"/>
    <x v="5"/>
    <x v="2"/>
    <n v="37"/>
    <d v="1899-12-30T00:56:10"/>
    <n v="56.166666666666664"/>
  </r>
  <r>
    <x v="145"/>
    <x v="5"/>
    <x v="3"/>
    <n v="0"/>
    <d v="1899-12-30T00:00:00"/>
    <n v="0"/>
  </r>
  <r>
    <x v="145"/>
    <x v="5"/>
    <x v="4"/>
    <n v="7"/>
    <d v="1899-12-30T00:11:19"/>
    <n v="11.316666666666666"/>
  </r>
  <r>
    <x v="145"/>
    <x v="5"/>
    <x v="5"/>
    <n v="38"/>
    <d v="1899-12-30T00:48:39"/>
    <n v="48.65"/>
  </r>
  <r>
    <x v="145"/>
    <x v="6"/>
    <x v="0"/>
    <n v="1"/>
    <d v="1899-12-30T00:02:47"/>
    <n v="2.7833333333333332"/>
  </r>
  <r>
    <x v="145"/>
    <x v="6"/>
    <x v="1"/>
    <n v="3"/>
    <d v="1899-12-30T00:02:44"/>
    <n v="2.7333333333333334"/>
  </r>
  <r>
    <x v="145"/>
    <x v="6"/>
    <x v="2"/>
    <n v="4"/>
    <d v="1899-12-30T00:03:10"/>
    <n v="3.1666666666666665"/>
  </r>
  <r>
    <x v="145"/>
    <x v="6"/>
    <x v="3"/>
    <n v="0"/>
    <d v="1899-12-30T00:00:00"/>
    <n v="0"/>
  </r>
  <r>
    <x v="145"/>
    <x v="6"/>
    <x v="4"/>
    <n v="3"/>
    <d v="1899-12-30T00:05:47"/>
    <n v="5.7833333333333332"/>
  </r>
  <r>
    <x v="145"/>
    <x v="6"/>
    <x v="5"/>
    <n v="3"/>
    <d v="1899-12-30T00:03:02"/>
    <n v="3.0333333333333332"/>
  </r>
  <r>
    <x v="145"/>
    <x v="7"/>
    <x v="0"/>
    <n v="34"/>
    <d v="1899-12-30T00:58:00"/>
    <n v="58"/>
  </r>
  <r>
    <x v="145"/>
    <x v="7"/>
    <x v="1"/>
    <n v="73"/>
    <d v="1899-12-30T01:41:02"/>
    <n v="101.03333333333333"/>
  </r>
  <r>
    <x v="145"/>
    <x v="7"/>
    <x v="2"/>
    <n v="21"/>
    <d v="1899-12-30T00:27:36"/>
    <n v="27.6"/>
  </r>
  <r>
    <x v="145"/>
    <x v="7"/>
    <x v="3"/>
    <n v="0"/>
    <d v="1899-12-30T00:00:00"/>
    <n v="0"/>
  </r>
  <r>
    <x v="145"/>
    <x v="7"/>
    <x v="4"/>
    <n v="129"/>
    <d v="1899-12-30T03:53:18"/>
    <n v="233.3"/>
  </r>
  <r>
    <x v="145"/>
    <x v="7"/>
    <x v="5"/>
    <n v="42"/>
    <d v="1899-12-30T00:43:14"/>
    <n v="43.233333333333334"/>
  </r>
  <r>
    <x v="145"/>
    <x v="8"/>
    <x v="0"/>
    <n v="23"/>
    <d v="1899-12-30T00:40:43"/>
    <n v="40.716666666666669"/>
  </r>
  <r>
    <x v="145"/>
    <x v="8"/>
    <x v="1"/>
    <n v="24"/>
    <d v="1899-12-30T00:36:20"/>
    <n v="36.333333333333336"/>
  </r>
  <r>
    <x v="145"/>
    <x v="8"/>
    <x v="2"/>
    <n v="17"/>
    <d v="1899-12-30T00:27:39"/>
    <n v="27.65"/>
  </r>
  <r>
    <x v="145"/>
    <x v="8"/>
    <x v="3"/>
    <n v="0"/>
    <d v="1899-12-30T00:00:00"/>
    <n v="0"/>
  </r>
  <r>
    <x v="145"/>
    <x v="8"/>
    <x v="4"/>
    <n v="9"/>
    <d v="1899-12-30T00:17:38"/>
    <n v="17.633333333333333"/>
  </r>
  <r>
    <x v="145"/>
    <x v="8"/>
    <x v="5"/>
    <n v="23"/>
    <d v="1899-12-30T00:21:19"/>
    <n v="21.316666666666666"/>
  </r>
  <r>
    <x v="145"/>
    <x v="9"/>
    <x v="0"/>
    <n v="125"/>
    <d v="1899-12-30T03:57:07"/>
    <n v="237.11666666666667"/>
  </r>
  <r>
    <x v="145"/>
    <x v="9"/>
    <x v="1"/>
    <n v="144"/>
    <d v="1899-12-30T04:05:30"/>
    <n v="245.5"/>
  </r>
  <r>
    <x v="145"/>
    <x v="9"/>
    <x v="2"/>
    <n v="101"/>
    <d v="1899-12-30T02:23:51"/>
    <n v="143.85"/>
  </r>
  <r>
    <x v="145"/>
    <x v="9"/>
    <x v="3"/>
    <n v="0"/>
    <d v="1899-12-30T00:00:00"/>
    <n v="0"/>
  </r>
  <r>
    <x v="145"/>
    <x v="9"/>
    <x v="4"/>
    <n v="20"/>
    <d v="1899-12-30T00:34:46"/>
    <n v="34.766666666666666"/>
  </r>
  <r>
    <x v="145"/>
    <x v="9"/>
    <x v="5"/>
    <n v="81"/>
    <d v="1899-12-30T01:44:54"/>
    <n v="104.9"/>
  </r>
  <r>
    <x v="145"/>
    <x v="10"/>
    <x v="0"/>
    <n v="9"/>
    <d v="1899-12-30T00:21:08"/>
    <n v="21.133333333333333"/>
  </r>
  <r>
    <x v="145"/>
    <x v="10"/>
    <x v="1"/>
    <n v="8"/>
    <d v="1899-12-30T00:29:20"/>
    <n v="29.333333333333332"/>
  </r>
  <r>
    <x v="145"/>
    <x v="10"/>
    <x v="2"/>
    <n v="9"/>
    <d v="1899-12-30T00:17:13"/>
    <n v="17.216666666666665"/>
  </r>
  <r>
    <x v="145"/>
    <x v="10"/>
    <x v="3"/>
    <n v="0"/>
    <d v="1899-12-30T00:00:00"/>
    <n v="0"/>
  </r>
  <r>
    <x v="145"/>
    <x v="10"/>
    <x v="4"/>
    <n v="1"/>
    <d v="1899-12-30T00:02:31"/>
    <n v="2.5166666666666666"/>
  </r>
  <r>
    <x v="145"/>
    <x v="10"/>
    <x v="5"/>
    <n v="13"/>
    <d v="1899-12-30T00:19:00"/>
    <n v="19"/>
  </r>
  <r>
    <x v="145"/>
    <x v="11"/>
    <x v="0"/>
    <n v="12"/>
    <d v="1899-12-30T00:26:34"/>
    <n v="26.566666666666666"/>
  </r>
  <r>
    <x v="145"/>
    <x v="11"/>
    <x v="1"/>
    <n v="9"/>
    <d v="1899-12-30T00:25:09"/>
    <n v="25.15"/>
  </r>
  <r>
    <x v="145"/>
    <x v="11"/>
    <x v="2"/>
    <n v="4"/>
    <d v="1899-12-30T00:07:50"/>
    <n v="7.833333333333333"/>
  </r>
  <r>
    <x v="145"/>
    <x v="11"/>
    <x v="3"/>
    <n v="0"/>
    <d v="1899-12-30T00:00:00"/>
    <n v="0"/>
  </r>
  <r>
    <x v="145"/>
    <x v="11"/>
    <x v="4"/>
    <n v="3"/>
    <d v="1899-12-30T00:05:01"/>
    <n v="5.0166666666666666"/>
  </r>
  <r>
    <x v="145"/>
    <x v="11"/>
    <x v="5"/>
    <n v="12"/>
    <d v="1899-12-30T00:19:33"/>
    <n v="19.55"/>
  </r>
  <r>
    <x v="145"/>
    <x v="12"/>
    <x v="0"/>
    <n v="71"/>
    <d v="1899-12-30T02:41:36"/>
    <n v="161.6"/>
  </r>
  <r>
    <x v="145"/>
    <x v="12"/>
    <x v="1"/>
    <n v="47"/>
    <d v="1899-12-30T02:06:43"/>
    <n v="126.71666666666667"/>
  </r>
  <r>
    <x v="145"/>
    <x v="12"/>
    <x v="2"/>
    <n v="39"/>
    <d v="1899-12-30T01:15:31"/>
    <n v="75.516666666666666"/>
  </r>
  <r>
    <x v="145"/>
    <x v="12"/>
    <x v="3"/>
    <n v="0"/>
    <d v="1899-12-30T00:00:00"/>
    <n v="0"/>
  </r>
  <r>
    <x v="145"/>
    <x v="12"/>
    <x v="4"/>
    <n v="18"/>
    <d v="1899-12-30T00:39:52"/>
    <n v="39.866666666666667"/>
  </r>
  <r>
    <x v="145"/>
    <x v="12"/>
    <x v="5"/>
    <n v="58"/>
    <d v="1899-12-30T01:36:12"/>
    <n v="96.2"/>
  </r>
  <r>
    <x v="145"/>
    <x v="13"/>
    <x v="0"/>
    <n v="21"/>
    <d v="1899-12-30T00:38:54"/>
    <n v="38.9"/>
  </r>
  <r>
    <x v="145"/>
    <x v="13"/>
    <x v="1"/>
    <n v="21"/>
    <d v="1899-12-30T00:31:48"/>
    <n v="31.8"/>
  </r>
  <r>
    <x v="145"/>
    <x v="13"/>
    <x v="2"/>
    <n v="14"/>
    <d v="1899-12-30T00:18:41"/>
    <n v="18.683333333333334"/>
  </r>
  <r>
    <x v="145"/>
    <x v="13"/>
    <x v="3"/>
    <n v="0"/>
    <d v="1899-12-30T00:00:00"/>
    <n v="0"/>
  </r>
  <r>
    <x v="145"/>
    <x v="13"/>
    <x v="4"/>
    <n v="3"/>
    <d v="1899-12-30T00:06:22"/>
    <n v="6.3666666666666663"/>
  </r>
  <r>
    <x v="145"/>
    <x v="13"/>
    <x v="5"/>
    <n v="17"/>
    <d v="1899-12-30T00:21:39"/>
    <n v="21.65"/>
  </r>
  <r>
    <x v="146"/>
    <x v="0"/>
    <x v="0"/>
    <n v="7"/>
    <d v="1899-12-30T00:10:23"/>
    <n v="10.383333333333333"/>
  </r>
  <r>
    <x v="146"/>
    <x v="0"/>
    <x v="1"/>
    <n v="12"/>
    <d v="1899-12-30T00:17:45"/>
    <n v="17.75"/>
  </r>
  <r>
    <x v="146"/>
    <x v="0"/>
    <x v="2"/>
    <n v="15"/>
    <d v="1899-12-30T00:15:22"/>
    <n v="15.366666666666667"/>
  </r>
  <r>
    <x v="146"/>
    <x v="0"/>
    <x v="3"/>
    <n v="0"/>
    <d v="1899-12-30T00:00:00"/>
    <n v="0"/>
  </r>
  <r>
    <x v="146"/>
    <x v="0"/>
    <x v="4"/>
    <n v="2"/>
    <d v="1899-12-30T00:03:52"/>
    <n v="3.8666666666666667"/>
  </r>
  <r>
    <x v="146"/>
    <x v="0"/>
    <x v="5"/>
    <n v="10"/>
    <d v="1899-12-30T00:09:19"/>
    <n v="9.3166666666666664"/>
  </r>
  <r>
    <x v="146"/>
    <x v="1"/>
    <x v="0"/>
    <n v="21"/>
    <d v="1899-12-30T00:50:04"/>
    <n v="50.06666666666667"/>
  </r>
  <r>
    <x v="146"/>
    <x v="1"/>
    <x v="1"/>
    <n v="19"/>
    <d v="1899-12-30T00:54:43"/>
    <n v="54.716666666666669"/>
  </r>
  <r>
    <x v="146"/>
    <x v="1"/>
    <x v="2"/>
    <n v="20"/>
    <d v="1899-12-30T00:40:54"/>
    <n v="40.9"/>
  </r>
  <r>
    <x v="146"/>
    <x v="1"/>
    <x v="3"/>
    <n v="0"/>
    <d v="1899-12-30T00:00:00"/>
    <n v="0"/>
  </r>
  <r>
    <x v="146"/>
    <x v="1"/>
    <x v="4"/>
    <n v="25"/>
    <d v="1899-12-30T00:59:21"/>
    <n v="59.35"/>
  </r>
  <r>
    <x v="146"/>
    <x v="1"/>
    <x v="5"/>
    <n v="41"/>
    <d v="1899-12-30T01:15:56"/>
    <n v="75.933333333333337"/>
  </r>
  <r>
    <x v="146"/>
    <x v="2"/>
    <x v="0"/>
    <n v="43"/>
    <d v="1899-12-30T01:42:11"/>
    <n v="102.18333333333334"/>
  </r>
  <r>
    <x v="146"/>
    <x v="2"/>
    <x v="1"/>
    <n v="41"/>
    <d v="1899-12-30T01:50:19"/>
    <n v="110.31666666666666"/>
  </r>
  <r>
    <x v="146"/>
    <x v="2"/>
    <x v="2"/>
    <n v="23"/>
    <d v="1899-12-30T00:48:06"/>
    <n v="48.1"/>
  </r>
  <r>
    <x v="146"/>
    <x v="2"/>
    <x v="3"/>
    <n v="0"/>
    <d v="1899-12-30T00:00:00"/>
    <n v="0"/>
  </r>
  <r>
    <x v="146"/>
    <x v="2"/>
    <x v="4"/>
    <n v="12"/>
    <d v="1899-12-30T00:25:23"/>
    <n v="25.383333333333333"/>
  </r>
  <r>
    <x v="146"/>
    <x v="2"/>
    <x v="5"/>
    <n v="25"/>
    <d v="1899-12-30T00:45:50"/>
    <n v="45.833333333333336"/>
  </r>
  <r>
    <x v="146"/>
    <x v="3"/>
    <x v="0"/>
    <n v="10"/>
    <d v="1899-12-30T00:23:57"/>
    <n v="23.95"/>
  </r>
  <r>
    <x v="146"/>
    <x v="3"/>
    <x v="1"/>
    <n v="6"/>
    <d v="1899-12-30T00:17:10"/>
    <n v="17.166666666666668"/>
  </r>
  <r>
    <x v="146"/>
    <x v="3"/>
    <x v="2"/>
    <n v="6"/>
    <d v="1899-12-30T00:12:33"/>
    <n v="12.55"/>
  </r>
  <r>
    <x v="146"/>
    <x v="3"/>
    <x v="3"/>
    <n v="0"/>
    <d v="1899-12-30T00:00:00"/>
    <n v="0"/>
  </r>
  <r>
    <x v="146"/>
    <x v="3"/>
    <x v="4"/>
    <n v="1"/>
    <d v="1899-12-30T00:02:59"/>
    <n v="2.9833333333333334"/>
  </r>
  <r>
    <x v="146"/>
    <x v="3"/>
    <x v="5"/>
    <n v="4"/>
    <d v="1899-12-30T00:09:00"/>
    <n v="9"/>
  </r>
  <r>
    <x v="146"/>
    <x v="4"/>
    <x v="0"/>
    <n v="12"/>
    <d v="1899-12-30T00:25:40"/>
    <n v="25.666666666666668"/>
  </r>
  <r>
    <x v="146"/>
    <x v="4"/>
    <x v="1"/>
    <n v="18"/>
    <d v="1899-12-30T00:36:25"/>
    <n v="36.416666666666664"/>
  </r>
  <r>
    <x v="146"/>
    <x v="4"/>
    <x v="2"/>
    <n v="16"/>
    <d v="1899-12-30T00:24:45"/>
    <n v="24.75"/>
  </r>
  <r>
    <x v="146"/>
    <x v="4"/>
    <x v="3"/>
    <n v="0"/>
    <d v="1899-12-30T00:00:00"/>
    <n v="0"/>
  </r>
  <r>
    <x v="146"/>
    <x v="4"/>
    <x v="4"/>
    <n v="7"/>
    <d v="1899-12-30T00:15:25"/>
    <n v="15.416666666666666"/>
  </r>
  <r>
    <x v="146"/>
    <x v="4"/>
    <x v="5"/>
    <n v="8"/>
    <d v="1899-12-30T00:10:40"/>
    <n v="10.666666666666666"/>
  </r>
  <r>
    <x v="146"/>
    <x v="5"/>
    <x v="0"/>
    <n v="26"/>
    <d v="1899-12-30T00:38:57"/>
    <n v="38.950000000000003"/>
  </r>
  <r>
    <x v="146"/>
    <x v="5"/>
    <x v="1"/>
    <n v="23"/>
    <d v="1899-12-30T00:38:50"/>
    <n v="38.833333333333336"/>
  </r>
  <r>
    <x v="146"/>
    <x v="5"/>
    <x v="2"/>
    <n v="26"/>
    <d v="1899-12-30T00:31:38"/>
    <n v="31.633333333333333"/>
  </r>
  <r>
    <x v="146"/>
    <x v="5"/>
    <x v="3"/>
    <n v="0"/>
    <d v="1899-12-30T00:00:00"/>
    <n v="0"/>
  </r>
  <r>
    <x v="146"/>
    <x v="5"/>
    <x v="4"/>
    <n v="2"/>
    <d v="1899-12-30T00:04:34"/>
    <n v="4.5666666666666664"/>
  </r>
  <r>
    <x v="146"/>
    <x v="5"/>
    <x v="5"/>
    <n v="28"/>
    <d v="1899-12-30T00:33:45"/>
    <n v="33.75"/>
  </r>
  <r>
    <x v="146"/>
    <x v="6"/>
    <x v="0"/>
    <n v="8"/>
    <d v="1899-12-30T00:12:18"/>
    <n v="12.3"/>
  </r>
  <r>
    <x v="146"/>
    <x v="6"/>
    <x v="1"/>
    <n v="9"/>
    <d v="1899-12-30T00:11:35"/>
    <n v="11.583333333333334"/>
  </r>
  <r>
    <x v="146"/>
    <x v="6"/>
    <x v="2"/>
    <n v="7"/>
    <d v="1899-12-30T00:12:35"/>
    <n v="12.583333333333334"/>
  </r>
  <r>
    <x v="146"/>
    <x v="6"/>
    <x v="3"/>
    <n v="0"/>
    <d v="1899-12-30T00:00:00"/>
    <n v="0"/>
  </r>
  <r>
    <x v="146"/>
    <x v="6"/>
    <x v="4"/>
    <n v="5"/>
    <d v="1899-12-30T00:07:21"/>
    <n v="7.35"/>
  </r>
  <r>
    <x v="146"/>
    <x v="6"/>
    <x v="5"/>
    <n v="10"/>
    <d v="1899-12-30T00:10:00"/>
    <n v="10"/>
  </r>
  <r>
    <x v="146"/>
    <x v="7"/>
    <x v="0"/>
    <n v="51"/>
    <d v="1899-12-30T01:17:08"/>
    <n v="77.13333333333334"/>
  </r>
  <r>
    <x v="146"/>
    <x v="7"/>
    <x v="1"/>
    <n v="80"/>
    <d v="1899-12-30T01:47:26"/>
    <n v="107.43333333333334"/>
  </r>
  <r>
    <x v="146"/>
    <x v="7"/>
    <x v="2"/>
    <n v="50"/>
    <d v="1899-12-30T01:01:51"/>
    <n v="61.85"/>
  </r>
  <r>
    <x v="146"/>
    <x v="7"/>
    <x v="3"/>
    <n v="0"/>
    <d v="1899-12-30T00:00:00"/>
    <n v="0"/>
  </r>
  <r>
    <x v="146"/>
    <x v="7"/>
    <x v="4"/>
    <n v="123"/>
    <d v="1899-12-30T03:46:59"/>
    <n v="226.98333333333332"/>
  </r>
  <r>
    <x v="146"/>
    <x v="7"/>
    <x v="5"/>
    <n v="53"/>
    <d v="1899-12-30T00:59:22"/>
    <n v="59.366666666666667"/>
  </r>
  <r>
    <x v="146"/>
    <x v="8"/>
    <x v="0"/>
    <n v="12"/>
    <d v="1899-12-30T00:18:20"/>
    <n v="18.333333333333332"/>
  </r>
  <r>
    <x v="146"/>
    <x v="8"/>
    <x v="1"/>
    <n v="13"/>
    <d v="1899-12-30T00:22:59"/>
    <n v="22.983333333333334"/>
  </r>
  <r>
    <x v="146"/>
    <x v="8"/>
    <x v="2"/>
    <n v="20"/>
    <d v="1899-12-30T00:26:22"/>
    <n v="26.366666666666667"/>
  </r>
  <r>
    <x v="146"/>
    <x v="8"/>
    <x v="3"/>
    <n v="0"/>
    <d v="1899-12-30T00:00:00"/>
    <n v="0"/>
  </r>
  <r>
    <x v="146"/>
    <x v="8"/>
    <x v="4"/>
    <n v="14"/>
    <d v="1899-12-30T00:23:57"/>
    <n v="23.95"/>
  </r>
  <r>
    <x v="146"/>
    <x v="8"/>
    <x v="5"/>
    <n v="22"/>
    <d v="1899-12-30T00:27:19"/>
    <n v="27.316666666666666"/>
  </r>
  <r>
    <x v="146"/>
    <x v="9"/>
    <x v="0"/>
    <n v="138"/>
    <d v="1899-12-30T04:56:03"/>
    <n v="296.05"/>
  </r>
  <r>
    <x v="146"/>
    <x v="9"/>
    <x v="1"/>
    <n v="157"/>
    <d v="1899-12-30T04:51:16"/>
    <n v="291.26666666666665"/>
  </r>
  <r>
    <x v="146"/>
    <x v="9"/>
    <x v="2"/>
    <n v="86"/>
    <d v="1899-12-30T02:31:14"/>
    <n v="151.23333333333332"/>
  </r>
  <r>
    <x v="146"/>
    <x v="9"/>
    <x v="3"/>
    <n v="0"/>
    <d v="1899-12-30T00:00:00"/>
    <n v="0"/>
  </r>
  <r>
    <x v="146"/>
    <x v="9"/>
    <x v="4"/>
    <n v="17"/>
    <d v="1899-12-30T00:34:07"/>
    <n v="34.116666666666667"/>
  </r>
  <r>
    <x v="146"/>
    <x v="9"/>
    <x v="5"/>
    <n v="111"/>
    <d v="1899-12-30T02:24:39"/>
    <n v="144.65"/>
  </r>
  <r>
    <x v="146"/>
    <x v="10"/>
    <x v="0"/>
    <n v="15"/>
    <d v="1899-12-30T00:35:34"/>
    <n v="35.56666666666667"/>
  </r>
  <r>
    <x v="146"/>
    <x v="10"/>
    <x v="1"/>
    <n v="5"/>
    <d v="1899-12-30T00:16:09"/>
    <n v="16.149999999999999"/>
  </r>
  <r>
    <x v="146"/>
    <x v="10"/>
    <x v="2"/>
    <n v="7"/>
    <d v="1899-12-30T00:15:29"/>
    <n v="15.483333333333333"/>
  </r>
  <r>
    <x v="146"/>
    <x v="10"/>
    <x v="3"/>
    <n v="0"/>
    <d v="1899-12-30T00:00:00"/>
    <n v="0"/>
  </r>
  <r>
    <x v="146"/>
    <x v="10"/>
    <x v="4"/>
    <n v="2"/>
    <d v="1899-12-30T00:03:45"/>
    <n v="3.75"/>
  </r>
  <r>
    <x v="146"/>
    <x v="10"/>
    <x v="5"/>
    <n v="17"/>
    <d v="1899-12-30T00:31:30"/>
    <n v="31.5"/>
  </r>
  <r>
    <x v="146"/>
    <x v="11"/>
    <x v="0"/>
    <n v="15"/>
    <d v="1899-12-30T00:41:12"/>
    <n v="41.2"/>
  </r>
  <r>
    <x v="146"/>
    <x v="11"/>
    <x v="1"/>
    <n v="8"/>
    <d v="1899-12-30T00:10:50"/>
    <n v="10.833333333333334"/>
  </r>
  <r>
    <x v="146"/>
    <x v="11"/>
    <x v="2"/>
    <n v="7"/>
    <d v="1899-12-30T00:09:12"/>
    <n v="9.1999999999999993"/>
  </r>
  <r>
    <x v="146"/>
    <x v="11"/>
    <x v="3"/>
    <n v="0"/>
    <d v="1899-12-30T00:00:00"/>
    <n v="0"/>
  </r>
  <r>
    <x v="146"/>
    <x v="11"/>
    <x v="4"/>
    <n v="8"/>
    <d v="1899-12-30T00:14:00"/>
    <n v="14"/>
  </r>
  <r>
    <x v="146"/>
    <x v="11"/>
    <x v="5"/>
    <n v="9"/>
    <d v="1899-12-30T00:11:20"/>
    <n v="11.333333333333334"/>
  </r>
  <r>
    <x v="146"/>
    <x v="12"/>
    <x v="0"/>
    <n v="74"/>
    <d v="1899-12-30T02:36:53"/>
    <n v="156.88333333333333"/>
  </r>
  <r>
    <x v="146"/>
    <x v="12"/>
    <x v="1"/>
    <n v="80"/>
    <d v="1899-12-30T02:56:38"/>
    <n v="176.63333333333333"/>
  </r>
  <r>
    <x v="146"/>
    <x v="12"/>
    <x v="2"/>
    <n v="63"/>
    <d v="1899-12-30T02:11:11"/>
    <n v="131.18333333333334"/>
  </r>
  <r>
    <x v="146"/>
    <x v="12"/>
    <x v="3"/>
    <n v="0"/>
    <d v="1899-12-30T00:00:00"/>
    <n v="0"/>
  </r>
  <r>
    <x v="146"/>
    <x v="12"/>
    <x v="4"/>
    <n v="27"/>
    <d v="1899-12-30T01:00:35"/>
    <n v="60.583333333333336"/>
  </r>
  <r>
    <x v="146"/>
    <x v="12"/>
    <x v="5"/>
    <n v="67"/>
    <d v="1899-12-30T01:43:39"/>
    <n v="103.65"/>
  </r>
  <r>
    <x v="146"/>
    <x v="13"/>
    <x v="0"/>
    <n v="25"/>
    <d v="1899-12-30T00:47:11"/>
    <n v="47.18333333333333"/>
  </r>
  <r>
    <x v="146"/>
    <x v="13"/>
    <x v="1"/>
    <n v="14"/>
    <d v="1899-12-30T00:16:36"/>
    <n v="16.600000000000001"/>
  </r>
  <r>
    <x v="146"/>
    <x v="13"/>
    <x v="2"/>
    <n v="11"/>
    <d v="1899-12-30T00:14:20"/>
    <n v="14.333333333333334"/>
  </r>
  <r>
    <x v="146"/>
    <x v="13"/>
    <x v="3"/>
    <n v="0"/>
    <d v="1899-12-30T00:00:00"/>
    <n v="0"/>
  </r>
  <r>
    <x v="146"/>
    <x v="13"/>
    <x v="4"/>
    <n v="0"/>
    <d v="1899-12-30T00:00:00"/>
    <n v="0"/>
  </r>
  <r>
    <x v="146"/>
    <x v="13"/>
    <x v="5"/>
    <n v="11"/>
    <d v="1899-12-30T00:14:03"/>
    <n v="14.05"/>
  </r>
  <r>
    <x v="147"/>
    <x v="0"/>
    <x v="0"/>
    <n v="7"/>
    <d v="1899-12-30T00:11:54"/>
    <n v="11.9"/>
  </r>
  <r>
    <x v="147"/>
    <x v="0"/>
    <x v="1"/>
    <n v="4"/>
    <d v="1899-12-30T00:07:30"/>
    <n v="7.5"/>
  </r>
  <r>
    <x v="147"/>
    <x v="0"/>
    <x v="2"/>
    <n v="6"/>
    <d v="1899-12-30T00:08:50"/>
    <n v="8.8333333333333339"/>
  </r>
  <r>
    <x v="147"/>
    <x v="0"/>
    <x v="3"/>
    <n v="0"/>
    <d v="1899-12-30T00:00:00"/>
    <n v="0"/>
  </r>
  <r>
    <x v="147"/>
    <x v="0"/>
    <x v="4"/>
    <n v="2"/>
    <d v="1899-12-30T00:02:14"/>
    <n v="2.2333333333333334"/>
  </r>
  <r>
    <x v="147"/>
    <x v="0"/>
    <x v="5"/>
    <n v="14"/>
    <d v="1899-12-30T00:14:41"/>
    <n v="14.683333333333334"/>
  </r>
  <r>
    <x v="147"/>
    <x v="1"/>
    <x v="0"/>
    <n v="21"/>
    <d v="1899-12-30T00:41:23"/>
    <n v="41.383333333333333"/>
  </r>
  <r>
    <x v="147"/>
    <x v="1"/>
    <x v="1"/>
    <n v="14"/>
    <d v="1899-12-30T00:54:47"/>
    <n v="54.783333333333331"/>
  </r>
  <r>
    <x v="147"/>
    <x v="1"/>
    <x v="2"/>
    <n v="15"/>
    <d v="1899-12-30T00:37:12"/>
    <n v="37.200000000000003"/>
  </r>
  <r>
    <x v="147"/>
    <x v="1"/>
    <x v="3"/>
    <n v="0"/>
    <d v="1899-12-30T00:00:00"/>
    <n v="0"/>
  </r>
  <r>
    <x v="147"/>
    <x v="1"/>
    <x v="4"/>
    <n v="20"/>
    <d v="1899-12-30T00:46:16"/>
    <n v="46.266666666666666"/>
  </r>
  <r>
    <x v="147"/>
    <x v="1"/>
    <x v="5"/>
    <n v="36"/>
    <d v="1899-12-30T01:02:01"/>
    <n v="62.016666666666666"/>
  </r>
  <r>
    <x v="147"/>
    <x v="2"/>
    <x v="0"/>
    <n v="37"/>
    <d v="1899-12-30T01:35:46"/>
    <n v="95.766666666666666"/>
  </r>
  <r>
    <x v="147"/>
    <x v="2"/>
    <x v="1"/>
    <n v="31"/>
    <d v="1899-12-30T01:09:33"/>
    <n v="69.55"/>
  </r>
  <r>
    <x v="147"/>
    <x v="2"/>
    <x v="2"/>
    <n v="19"/>
    <d v="1899-12-30T00:50:59"/>
    <n v="50.983333333333334"/>
  </r>
  <r>
    <x v="147"/>
    <x v="2"/>
    <x v="3"/>
    <n v="0"/>
    <d v="1899-12-30T00:00:00"/>
    <n v="0"/>
  </r>
  <r>
    <x v="147"/>
    <x v="2"/>
    <x v="4"/>
    <n v="10"/>
    <d v="1899-12-30T00:27:48"/>
    <n v="27.8"/>
  </r>
  <r>
    <x v="147"/>
    <x v="2"/>
    <x v="5"/>
    <n v="21"/>
    <d v="1899-12-30T00:36:52"/>
    <n v="36.866666666666667"/>
  </r>
  <r>
    <x v="147"/>
    <x v="3"/>
    <x v="0"/>
    <n v="4"/>
    <d v="1899-12-30T00:10:04"/>
    <n v="10.066666666666666"/>
  </r>
  <r>
    <x v="147"/>
    <x v="3"/>
    <x v="1"/>
    <n v="5"/>
    <d v="1899-12-30T00:21:43"/>
    <n v="21.716666666666665"/>
  </r>
  <r>
    <x v="147"/>
    <x v="3"/>
    <x v="2"/>
    <n v="0"/>
    <d v="1899-12-30T00:00:00"/>
    <n v="0"/>
  </r>
  <r>
    <x v="147"/>
    <x v="3"/>
    <x v="3"/>
    <n v="0"/>
    <d v="1899-12-30T00:00:00"/>
    <n v="0"/>
  </r>
  <r>
    <x v="147"/>
    <x v="3"/>
    <x v="4"/>
    <n v="1"/>
    <d v="1899-12-30T00:01:30"/>
    <n v="1.5"/>
  </r>
  <r>
    <x v="147"/>
    <x v="3"/>
    <x v="5"/>
    <n v="1"/>
    <d v="1899-12-30T00:02:12"/>
    <n v="2.2000000000000002"/>
  </r>
  <r>
    <x v="147"/>
    <x v="4"/>
    <x v="0"/>
    <n v="10"/>
    <d v="1899-12-30T00:26:50"/>
    <n v="26.833333333333332"/>
  </r>
  <r>
    <x v="147"/>
    <x v="4"/>
    <x v="1"/>
    <n v="16"/>
    <d v="1899-12-30T00:48:10"/>
    <n v="48.166666666666664"/>
  </r>
  <r>
    <x v="147"/>
    <x v="4"/>
    <x v="2"/>
    <n v="14"/>
    <d v="1899-12-30T00:21:18"/>
    <n v="21.3"/>
  </r>
  <r>
    <x v="147"/>
    <x v="4"/>
    <x v="3"/>
    <n v="0"/>
    <d v="1899-12-30T00:00:00"/>
    <n v="0"/>
  </r>
  <r>
    <x v="147"/>
    <x v="4"/>
    <x v="4"/>
    <n v="3"/>
    <d v="1899-12-30T00:05:09"/>
    <n v="5.15"/>
  </r>
  <r>
    <x v="147"/>
    <x v="4"/>
    <x v="5"/>
    <n v="3"/>
    <d v="1899-12-30T00:05:05"/>
    <n v="5.083333333333333"/>
  </r>
  <r>
    <x v="147"/>
    <x v="5"/>
    <x v="0"/>
    <n v="5"/>
    <d v="1899-12-30T00:07:39"/>
    <n v="7.65"/>
  </r>
  <r>
    <x v="147"/>
    <x v="5"/>
    <x v="1"/>
    <n v="6"/>
    <d v="1899-12-30T00:07:46"/>
    <n v="7.7666666666666666"/>
  </r>
  <r>
    <x v="147"/>
    <x v="5"/>
    <x v="2"/>
    <n v="10"/>
    <d v="1899-12-30T00:10:21"/>
    <n v="10.35"/>
  </r>
  <r>
    <x v="147"/>
    <x v="5"/>
    <x v="3"/>
    <n v="0"/>
    <d v="1899-12-30T00:00:00"/>
    <n v="0"/>
  </r>
  <r>
    <x v="147"/>
    <x v="5"/>
    <x v="4"/>
    <n v="0"/>
    <d v="1899-12-30T00:00:00"/>
    <n v="0"/>
  </r>
  <r>
    <x v="147"/>
    <x v="5"/>
    <x v="5"/>
    <n v="12"/>
    <d v="1899-12-30T00:10:29"/>
    <n v="10.483333333333333"/>
  </r>
  <r>
    <x v="147"/>
    <x v="6"/>
    <x v="0"/>
    <n v="4"/>
    <d v="1899-12-30T00:08:21"/>
    <n v="8.35"/>
  </r>
  <r>
    <x v="147"/>
    <x v="6"/>
    <x v="1"/>
    <n v="5"/>
    <d v="1899-12-30T00:06:41"/>
    <n v="6.6833333333333336"/>
  </r>
  <r>
    <x v="147"/>
    <x v="6"/>
    <x v="2"/>
    <n v="4"/>
    <d v="1899-12-30T00:04:54"/>
    <n v="4.9000000000000004"/>
  </r>
  <r>
    <x v="147"/>
    <x v="6"/>
    <x v="3"/>
    <n v="0"/>
    <d v="1899-12-30T00:00:00"/>
    <n v="0"/>
  </r>
  <r>
    <x v="147"/>
    <x v="6"/>
    <x v="4"/>
    <n v="5"/>
    <d v="1899-12-30T00:06:46"/>
    <n v="6.7666666666666666"/>
  </r>
  <r>
    <x v="147"/>
    <x v="6"/>
    <x v="5"/>
    <n v="2"/>
    <d v="1899-12-30T00:02:45"/>
    <n v="2.75"/>
  </r>
  <r>
    <x v="147"/>
    <x v="7"/>
    <x v="0"/>
    <n v="63"/>
    <d v="1899-12-30T01:34:01"/>
    <n v="94.016666666666666"/>
  </r>
  <r>
    <x v="147"/>
    <x v="7"/>
    <x v="1"/>
    <n v="101"/>
    <d v="1899-12-30T01:58:33"/>
    <n v="118.55"/>
  </r>
  <r>
    <x v="147"/>
    <x v="7"/>
    <x v="2"/>
    <n v="50"/>
    <d v="1899-12-30T01:08:37"/>
    <n v="68.61666666666666"/>
  </r>
  <r>
    <x v="147"/>
    <x v="7"/>
    <x v="3"/>
    <n v="0"/>
    <d v="1899-12-30T00:00:00"/>
    <n v="0"/>
  </r>
  <r>
    <x v="147"/>
    <x v="7"/>
    <x v="4"/>
    <n v="118"/>
    <d v="1899-12-30T03:44:35"/>
    <n v="224.58333333333334"/>
  </r>
  <r>
    <x v="147"/>
    <x v="7"/>
    <x v="5"/>
    <n v="54"/>
    <d v="1899-12-30T00:57:26"/>
    <n v="57.43333333333333"/>
  </r>
  <r>
    <x v="147"/>
    <x v="8"/>
    <x v="0"/>
    <n v="5"/>
    <d v="1899-12-30T00:08:55"/>
    <n v="8.9166666666666661"/>
  </r>
  <r>
    <x v="147"/>
    <x v="8"/>
    <x v="1"/>
    <n v="5"/>
    <d v="1899-12-30T00:06:02"/>
    <n v="6.0333333333333332"/>
  </r>
  <r>
    <x v="147"/>
    <x v="8"/>
    <x v="2"/>
    <n v="12"/>
    <d v="1899-12-30T00:16:22"/>
    <n v="16.366666666666667"/>
  </r>
  <r>
    <x v="147"/>
    <x v="8"/>
    <x v="3"/>
    <n v="0"/>
    <d v="1899-12-30T00:00:00"/>
    <n v="0"/>
  </r>
  <r>
    <x v="147"/>
    <x v="8"/>
    <x v="4"/>
    <n v="9"/>
    <d v="1899-12-30T00:15:40"/>
    <n v="15.666666666666666"/>
  </r>
  <r>
    <x v="147"/>
    <x v="8"/>
    <x v="5"/>
    <n v="14"/>
    <d v="1899-12-30T00:16:25"/>
    <n v="16.416666666666668"/>
  </r>
  <r>
    <x v="147"/>
    <x v="9"/>
    <x v="0"/>
    <n v="145"/>
    <d v="1899-12-30T04:35:53"/>
    <n v="275.88333333333333"/>
  </r>
  <r>
    <x v="147"/>
    <x v="9"/>
    <x v="1"/>
    <n v="210"/>
    <d v="1899-12-30T07:37:38"/>
    <n v="457.63333333333333"/>
  </r>
  <r>
    <x v="147"/>
    <x v="9"/>
    <x v="2"/>
    <n v="130"/>
    <d v="1899-12-30T03:39:22"/>
    <n v="219.36666666666667"/>
  </r>
  <r>
    <x v="147"/>
    <x v="9"/>
    <x v="3"/>
    <n v="0"/>
    <d v="1899-12-30T00:00:00"/>
    <n v="0"/>
  </r>
  <r>
    <x v="147"/>
    <x v="9"/>
    <x v="4"/>
    <n v="58"/>
    <d v="1899-12-30T01:52:56"/>
    <n v="112.93333333333334"/>
  </r>
  <r>
    <x v="147"/>
    <x v="9"/>
    <x v="5"/>
    <n v="156"/>
    <d v="1899-12-30T04:51:10"/>
    <n v="291.16666666666669"/>
  </r>
  <r>
    <x v="147"/>
    <x v="10"/>
    <x v="0"/>
    <n v="8"/>
    <d v="1899-12-30T00:18:09"/>
    <n v="18.149999999999999"/>
  </r>
  <r>
    <x v="147"/>
    <x v="10"/>
    <x v="1"/>
    <n v="3"/>
    <d v="1899-12-30T00:15:33"/>
    <n v="15.55"/>
  </r>
  <r>
    <x v="147"/>
    <x v="10"/>
    <x v="2"/>
    <n v="7"/>
    <d v="1899-12-30T00:13:49"/>
    <n v="13.816666666666666"/>
  </r>
  <r>
    <x v="147"/>
    <x v="10"/>
    <x v="3"/>
    <n v="0"/>
    <d v="1899-12-30T00:00:00"/>
    <n v="0"/>
  </r>
  <r>
    <x v="147"/>
    <x v="10"/>
    <x v="4"/>
    <n v="1"/>
    <d v="1899-12-30T00:02:32"/>
    <n v="2.5333333333333332"/>
  </r>
  <r>
    <x v="147"/>
    <x v="10"/>
    <x v="5"/>
    <n v="9"/>
    <d v="1899-12-30T00:17:23"/>
    <n v="17.383333333333333"/>
  </r>
  <r>
    <x v="147"/>
    <x v="11"/>
    <x v="0"/>
    <n v="15"/>
    <d v="1899-12-30T00:36:39"/>
    <n v="36.65"/>
  </r>
  <r>
    <x v="147"/>
    <x v="11"/>
    <x v="1"/>
    <n v="9"/>
    <d v="1899-12-30T00:19:03"/>
    <n v="19.05"/>
  </r>
  <r>
    <x v="147"/>
    <x v="11"/>
    <x v="2"/>
    <n v="7"/>
    <d v="1899-12-30T00:11:27"/>
    <n v="11.45"/>
  </r>
  <r>
    <x v="147"/>
    <x v="11"/>
    <x v="3"/>
    <n v="0"/>
    <d v="1899-12-30T00:00:00"/>
    <n v="0"/>
  </r>
  <r>
    <x v="147"/>
    <x v="11"/>
    <x v="4"/>
    <n v="13"/>
    <d v="1899-12-30T00:23:16"/>
    <n v="23.266666666666666"/>
  </r>
  <r>
    <x v="147"/>
    <x v="11"/>
    <x v="5"/>
    <n v="9"/>
    <d v="1899-12-30T00:16:56"/>
    <n v="16.933333333333334"/>
  </r>
  <r>
    <x v="147"/>
    <x v="12"/>
    <x v="0"/>
    <n v="49"/>
    <d v="1899-12-30T01:37:35"/>
    <n v="97.583333333333329"/>
  </r>
  <r>
    <x v="147"/>
    <x v="12"/>
    <x v="1"/>
    <n v="43"/>
    <d v="1899-12-30T01:23:01"/>
    <n v="83.016666666666666"/>
  </r>
  <r>
    <x v="147"/>
    <x v="12"/>
    <x v="2"/>
    <n v="47"/>
    <d v="1899-12-30T01:25:29"/>
    <n v="85.483333333333334"/>
  </r>
  <r>
    <x v="147"/>
    <x v="12"/>
    <x v="3"/>
    <n v="0"/>
    <d v="1899-12-30T00:00:00"/>
    <n v="0"/>
  </r>
  <r>
    <x v="147"/>
    <x v="12"/>
    <x v="4"/>
    <n v="20"/>
    <d v="1899-12-30T00:44:47"/>
    <n v="44.783333333333331"/>
  </r>
  <r>
    <x v="147"/>
    <x v="12"/>
    <x v="5"/>
    <n v="71"/>
    <d v="1899-12-30T01:57:30"/>
    <n v="117.5"/>
  </r>
  <r>
    <x v="147"/>
    <x v="13"/>
    <x v="0"/>
    <n v="19"/>
    <d v="1899-12-30T00:37:00"/>
    <n v="37"/>
  </r>
  <r>
    <x v="147"/>
    <x v="13"/>
    <x v="1"/>
    <n v="13"/>
    <d v="1899-12-30T00:13:33"/>
    <n v="13.55"/>
  </r>
  <r>
    <x v="147"/>
    <x v="13"/>
    <x v="2"/>
    <n v="10"/>
    <d v="1899-12-30T00:17:47"/>
    <n v="17.783333333333335"/>
  </r>
  <r>
    <x v="147"/>
    <x v="13"/>
    <x v="3"/>
    <n v="0"/>
    <d v="1899-12-30T00:00:00"/>
    <n v="0"/>
  </r>
  <r>
    <x v="147"/>
    <x v="13"/>
    <x v="4"/>
    <n v="0"/>
    <d v="1899-12-30T00:00:00"/>
    <n v="0"/>
  </r>
  <r>
    <x v="147"/>
    <x v="13"/>
    <x v="5"/>
    <n v="13"/>
    <d v="1899-12-30T00:10:20"/>
    <n v="10.333333333333334"/>
  </r>
  <r>
    <x v="148"/>
    <x v="0"/>
    <x v="0"/>
    <n v="7"/>
    <d v="1899-12-30T00:08:36"/>
    <n v="8.6"/>
  </r>
  <r>
    <x v="148"/>
    <x v="0"/>
    <x v="1"/>
    <n v="11"/>
    <d v="1899-12-30T00:11:06"/>
    <n v="11.1"/>
  </r>
  <r>
    <x v="148"/>
    <x v="0"/>
    <x v="2"/>
    <n v="12"/>
    <d v="1899-12-30T00:12:44"/>
    <n v="12.733333333333333"/>
  </r>
  <r>
    <x v="148"/>
    <x v="0"/>
    <x v="3"/>
    <n v="0"/>
    <d v="1899-12-30T00:00:00"/>
    <n v="0"/>
  </r>
  <r>
    <x v="148"/>
    <x v="0"/>
    <x v="4"/>
    <n v="3"/>
    <d v="1899-12-30T00:04:22"/>
    <n v="4.3666666666666663"/>
  </r>
  <r>
    <x v="148"/>
    <x v="0"/>
    <x v="5"/>
    <n v="7"/>
    <d v="1899-12-30T00:05:22"/>
    <n v="5.3666666666666663"/>
  </r>
  <r>
    <x v="148"/>
    <x v="1"/>
    <x v="0"/>
    <n v="24"/>
    <d v="1899-12-30T00:51:22"/>
    <n v="51.366666666666667"/>
  </r>
  <r>
    <x v="148"/>
    <x v="1"/>
    <x v="1"/>
    <n v="27"/>
    <d v="1899-12-30T01:08:58"/>
    <n v="68.966666666666669"/>
  </r>
  <r>
    <x v="148"/>
    <x v="1"/>
    <x v="2"/>
    <n v="30"/>
    <d v="1899-12-30T01:01:23"/>
    <n v="61.383333333333333"/>
  </r>
  <r>
    <x v="148"/>
    <x v="1"/>
    <x v="3"/>
    <n v="0"/>
    <d v="1899-12-30T00:00:00"/>
    <n v="0"/>
  </r>
  <r>
    <x v="148"/>
    <x v="1"/>
    <x v="4"/>
    <n v="29"/>
    <d v="1899-12-30T01:08:34"/>
    <n v="68.566666666666663"/>
  </r>
  <r>
    <x v="148"/>
    <x v="1"/>
    <x v="5"/>
    <n v="55"/>
    <d v="1899-12-30T01:25:39"/>
    <n v="85.65"/>
  </r>
  <r>
    <x v="148"/>
    <x v="2"/>
    <x v="0"/>
    <n v="55"/>
    <d v="1899-12-30T01:59:51"/>
    <n v="119.85"/>
  </r>
  <r>
    <x v="148"/>
    <x v="2"/>
    <x v="1"/>
    <n v="32"/>
    <d v="1899-12-30T01:10:09"/>
    <n v="70.150000000000006"/>
  </r>
  <r>
    <x v="148"/>
    <x v="2"/>
    <x v="2"/>
    <n v="40"/>
    <d v="1899-12-30T01:09:58"/>
    <n v="69.966666666666669"/>
  </r>
  <r>
    <x v="148"/>
    <x v="2"/>
    <x v="3"/>
    <n v="0"/>
    <d v="1899-12-30T00:00:00"/>
    <n v="0"/>
  </r>
  <r>
    <x v="148"/>
    <x v="2"/>
    <x v="4"/>
    <n v="7"/>
    <d v="1899-12-30T00:17:37"/>
    <n v="17.616666666666667"/>
  </r>
  <r>
    <x v="148"/>
    <x v="2"/>
    <x v="5"/>
    <n v="34"/>
    <d v="1899-12-30T00:55:59"/>
    <n v="55.983333333333334"/>
  </r>
  <r>
    <x v="148"/>
    <x v="3"/>
    <x v="0"/>
    <n v="12"/>
    <d v="1899-12-30T00:30:33"/>
    <n v="30.55"/>
  </r>
  <r>
    <x v="148"/>
    <x v="3"/>
    <x v="1"/>
    <n v="8"/>
    <d v="1899-12-30T00:26:02"/>
    <n v="26.033333333333335"/>
  </r>
  <r>
    <x v="148"/>
    <x v="3"/>
    <x v="2"/>
    <n v="6"/>
    <d v="1899-12-30T00:12:58"/>
    <n v="12.966666666666667"/>
  </r>
  <r>
    <x v="148"/>
    <x v="3"/>
    <x v="3"/>
    <n v="0"/>
    <d v="1899-12-30T00:00:00"/>
    <n v="0"/>
  </r>
  <r>
    <x v="148"/>
    <x v="3"/>
    <x v="4"/>
    <n v="0"/>
    <d v="1899-12-30T00:00:00"/>
    <n v="0"/>
  </r>
  <r>
    <x v="148"/>
    <x v="3"/>
    <x v="5"/>
    <n v="6"/>
    <d v="1899-12-30T00:10:10"/>
    <n v="10.166666666666666"/>
  </r>
  <r>
    <x v="148"/>
    <x v="4"/>
    <x v="0"/>
    <n v="19"/>
    <d v="1899-12-30T00:49:59"/>
    <n v="49.983333333333334"/>
  </r>
  <r>
    <x v="148"/>
    <x v="4"/>
    <x v="1"/>
    <n v="13"/>
    <d v="1899-12-30T00:20:45"/>
    <n v="20.75"/>
  </r>
  <r>
    <x v="148"/>
    <x v="4"/>
    <x v="2"/>
    <n v="18"/>
    <d v="1899-12-30T00:33:00"/>
    <n v="33"/>
  </r>
  <r>
    <x v="148"/>
    <x v="4"/>
    <x v="3"/>
    <n v="0"/>
    <d v="1899-12-30T00:00:00"/>
    <n v="0"/>
  </r>
  <r>
    <x v="148"/>
    <x v="4"/>
    <x v="4"/>
    <n v="13"/>
    <d v="1899-12-30T00:26:37"/>
    <n v="26.616666666666667"/>
  </r>
  <r>
    <x v="148"/>
    <x v="4"/>
    <x v="5"/>
    <n v="18"/>
    <d v="1899-12-30T00:23:17"/>
    <n v="23.283333333333335"/>
  </r>
  <r>
    <x v="148"/>
    <x v="5"/>
    <x v="0"/>
    <n v="8"/>
    <d v="1899-12-30T00:13:42"/>
    <n v="13.7"/>
  </r>
  <r>
    <x v="148"/>
    <x v="5"/>
    <x v="1"/>
    <n v="7"/>
    <d v="1899-12-30T00:10:48"/>
    <n v="10.8"/>
  </r>
  <r>
    <x v="148"/>
    <x v="5"/>
    <x v="2"/>
    <n v="14"/>
    <d v="1899-12-30T00:15:30"/>
    <n v="15.5"/>
  </r>
  <r>
    <x v="148"/>
    <x v="5"/>
    <x v="3"/>
    <n v="0"/>
    <d v="1899-12-30T00:00:00"/>
    <n v="0"/>
  </r>
  <r>
    <x v="148"/>
    <x v="5"/>
    <x v="4"/>
    <n v="5"/>
    <d v="1899-12-30T00:03:14"/>
    <n v="3.2333333333333334"/>
  </r>
  <r>
    <x v="148"/>
    <x v="5"/>
    <x v="5"/>
    <n v="19"/>
    <d v="1899-12-30T00:24:21"/>
    <n v="24.35"/>
  </r>
  <r>
    <x v="148"/>
    <x v="6"/>
    <x v="0"/>
    <n v="6"/>
    <d v="1899-12-30T00:12:57"/>
    <n v="12.95"/>
  </r>
  <r>
    <x v="148"/>
    <x v="6"/>
    <x v="1"/>
    <n v="8"/>
    <d v="1899-12-30T00:11:45"/>
    <n v="11.75"/>
  </r>
  <r>
    <x v="148"/>
    <x v="6"/>
    <x v="2"/>
    <n v="7"/>
    <d v="1899-12-30T00:10:04"/>
    <n v="10.066666666666666"/>
  </r>
  <r>
    <x v="148"/>
    <x v="6"/>
    <x v="3"/>
    <n v="0"/>
    <d v="1899-12-30T00:00:00"/>
    <n v="0"/>
  </r>
  <r>
    <x v="148"/>
    <x v="6"/>
    <x v="4"/>
    <n v="9"/>
    <d v="1899-12-30T00:20:11"/>
    <n v="20.183333333333334"/>
  </r>
  <r>
    <x v="148"/>
    <x v="6"/>
    <x v="5"/>
    <n v="10"/>
    <d v="1899-12-30T00:11:28"/>
    <n v="11.466666666666667"/>
  </r>
  <r>
    <x v="148"/>
    <x v="7"/>
    <x v="0"/>
    <n v="74"/>
    <d v="1899-12-30T02:04:40"/>
    <n v="124.66666666666667"/>
  </r>
  <r>
    <x v="148"/>
    <x v="7"/>
    <x v="1"/>
    <n v="92"/>
    <d v="1899-12-30T02:22:51"/>
    <n v="142.85"/>
  </r>
  <r>
    <x v="148"/>
    <x v="7"/>
    <x v="2"/>
    <n v="65"/>
    <d v="1899-12-30T01:13:01"/>
    <n v="73.016666666666666"/>
  </r>
  <r>
    <x v="148"/>
    <x v="7"/>
    <x v="3"/>
    <n v="0"/>
    <d v="1899-12-30T00:00:00"/>
    <n v="0"/>
  </r>
  <r>
    <x v="148"/>
    <x v="7"/>
    <x v="4"/>
    <n v="134"/>
    <d v="1899-12-30T04:13:31"/>
    <n v="253.51666666666668"/>
  </r>
  <r>
    <x v="148"/>
    <x v="7"/>
    <x v="5"/>
    <n v="77"/>
    <d v="1899-12-30T01:19:49"/>
    <n v="79.816666666666663"/>
  </r>
  <r>
    <x v="148"/>
    <x v="8"/>
    <x v="0"/>
    <n v="16"/>
    <d v="1899-12-30T00:24:12"/>
    <n v="24.2"/>
  </r>
  <r>
    <x v="148"/>
    <x v="8"/>
    <x v="1"/>
    <n v="21"/>
    <d v="1899-12-30T00:33:07"/>
    <n v="33.116666666666667"/>
  </r>
  <r>
    <x v="148"/>
    <x v="8"/>
    <x v="2"/>
    <n v="15"/>
    <d v="1899-12-30T00:25:41"/>
    <n v="25.683333333333334"/>
  </r>
  <r>
    <x v="148"/>
    <x v="8"/>
    <x v="3"/>
    <n v="0"/>
    <d v="1899-12-30T00:00:00"/>
    <n v="0"/>
  </r>
  <r>
    <x v="148"/>
    <x v="8"/>
    <x v="4"/>
    <n v="19"/>
    <d v="1899-12-30T00:39:41"/>
    <n v="39.68333333333333"/>
  </r>
  <r>
    <x v="148"/>
    <x v="8"/>
    <x v="5"/>
    <n v="24"/>
    <d v="1899-12-30T00:29:22"/>
    <n v="29.366666666666667"/>
  </r>
  <r>
    <x v="148"/>
    <x v="9"/>
    <x v="0"/>
    <n v="234"/>
    <d v="1899-12-30T08:27:27"/>
    <n v="507.45"/>
  </r>
  <r>
    <x v="148"/>
    <x v="9"/>
    <x v="1"/>
    <n v="306"/>
    <d v="1899-12-30T09:56:30"/>
    <n v="596.5"/>
  </r>
  <r>
    <x v="148"/>
    <x v="9"/>
    <x v="2"/>
    <n v="177"/>
    <d v="1899-12-30T04:49:03"/>
    <n v="289.05"/>
  </r>
  <r>
    <x v="148"/>
    <x v="9"/>
    <x v="3"/>
    <n v="0"/>
    <d v="1899-12-30T00:00:00"/>
    <n v="0"/>
  </r>
  <r>
    <x v="148"/>
    <x v="9"/>
    <x v="4"/>
    <n v="55"/>
    <d v="1899-12-30T01:40:09"/>
    <n v="100.15"/>
  </r>
  <r>
    <x v="148"/>
    <x v="9"/>
    <x v="5"/>
    <n v="188"/>
    <d v="1899-12-30T04:27:41"/>
    <n v="267.68333333333334"/>
  </r>
  <r>
    <x v="148"/>
    <x v="10"/>
    <x v="0"/>
    <n v="10"/>
    <d v="1899-12-30T00:20:27"/>
    <n v="20.45"/>
  </r>
  <r>
    <x v="148"/>
    <x v="10"/>
    <x v="1"/>
    <n v="6"/>
    <d v="1899-12-30T00:12:28"/>
    <n v="12.466666666666667"/>
  </r>
  <r>
    <x v="148"/>
    <x v="10"/>
    <x v="2"/>
    <n v="7"/>
    <d v="1899-12-30T00:17:49"/>
    <n v="17.816666666666666"/>
  </r>
  <r>
    <x v="148"/>
    <x v="10"/>
    <x v="3"/>
    <n v="0"/>
    <d v="1899-12-30T00:00:00"/>
    <n v="0"/>
  </r>
  <r>
    <x v="148"/>
    <x v="10"/>
    <x v="4"/>
    <n v="3"/>
    <d v="1899-12-30T00:08:52"/>
    <n v="8.8666666666666671"/>
  </r>
  <r>
    <x v="148"/>
    <x v="10"/>
    <x v="5"/>
    <n v="21"/>
    <d v="1899-12-30T00:46:02"/>
    <n v="46.033333333333331"/>
  </r>
  <r>
    <x v="148"/>
    <x v="11"/>
    <x v="0"/>
    <n v="26"/>
    <d v="1899-12-30T01:03:51"/>
    <n v="63.85"/>
  </r>
  <r>
    <x v="148"/>
    <x v="11"/>
    <x v="1"/>
    <n v="12"/>
    <d v="1899-12-30T00:17:52"/>
    <n v="17.866666666666667"/>
  </r>
  <r>
    <x v="148"/>
    <x v="11"/>
    <x v="2"/>
    <n v="14"/>
    <d v="1899-12-30T00:29:17"/>
    <n v="29.283333333333335"/>
  </r>
  <r>
    <x v="148"/>
    <x v="11"/>
    <x v="3"/>
    <n v="0"/>
    <d v="1899-12-30T00:00:00"/>
    <n v="0"/>
  </r>
  <r>
    <x v="148"/>
    <x v="11"/>
    <x v="4"/>
    <n v="10"/>
    <d v="1899-12-30T00:15:02"/>
    <n v="15.033333333333333"/>
  </r>
  <r>
    <x v="148"/>
    <x v="11"/>
    <x v="5"/>
    <n v="9"/>
    <d v="1899-12-30T00:16:42"/>
    <n v="16.7"/>
  </r>
  <r>
    <x v="148"/>
    <x v="12"/>
    <x v="0"/>
    <n v="57"/>
    <d v="1899-12-30T02:03:39"/>
    <n v="123.65"/>
  </r>
  <r>
    <x v="148"/>
    <x v="12"/>
    <x v="1"/>
    <n v="54"/>
    <d v="1899-12-30T01:44:05"/>
    <n v="104.08333333333333"/>
  </r>
  <r>
    <x v="148"/>
    <x v="12"/>
    <x v="2"/>
    <n v="37"/>
    <d v="1899-12-30T01:04:05"/>
    <n v="64.083333333333329"/>
  </r>
  <r>
    <x v="148"/>
    <x v="12"/>
    <x v="3"/>
    <n v="0"/>
    <d v="1899-12-30T00:00:00"/>
    <n v="0"/>
  </r>
  <r>
    <x v="148"/>
    <x v="12"/>
    <x v="4"/>
    <n v="23"/>
    <d v="1899-12-30T00:55:05"/>
    <n v="55.083333333333336"/>
  </r>
  <r>
    <x v="148"/>
    <x v="12"/>
    <x v="5"/>
    <n v="73"/>
    <d v="1899-12-30T01:51:15"/>
    <n v="111.25"/>
  </r>
  <r>
    <x v="148"/>
    <x v="13"/>
    <x v="0"/>
    <n v="36"/>
    <d v="1899-12-30T01:08:07"/>
    <n v="68.11666666666666"/>
  </r>
  <r>
    <x v="148"/>
    <x v="13"/>
    <x v="1"/>
    <n v="26"/>
    <d v="1899-12-30T00:28:25"/>
    <n v="28.416666666666668"/>
  </r>
  <r>
    <x v="148"/>
    <x v="13"/>
    <x v="2"/>
    <n v="22"/>
    <d v="1899-12-30T00:19:13"/>
    <n v="19.216666666666665"/>
  </r>
  <r>
    <x v="148"/>
    <x v="13"/>
    <x v="3"/>
    <n v="0"/>
    <d v="1899-12-30T00:00:00"/>
    <n v="0"/>
  </r>
  <r>
    <x v="148"/>
    <x v="13"/>
    <x v="4"/>
    <n v="0"/>
    <d v="1899-12-30T00:00:00"/>
    <n v="0"/>
  </r>
  <r>
    <x v="148"/>
    <x v="13"/>
    <x v="5"/>
    <n v="29"/>
    <d v="1899-12-30T00:33:44"/>
    <n v="33.733333333333334"/>
  </r>
  <r>
    <x v="149"/>
    <x v="0"/>
    <x v="0"/>
    <n v="24"/>
    <d v="1899-12-30T00:38:58"/>
    <n v="38.966666666666669"/>
  </r>
  <r>
    <x v="149"/>
    <x v="0"/>
    <x v="1"/>
    <n v="26"/>
    <d v="1899-12-30T00:34:39"/>
    <n v="34.65"/>
  </r>
  <r>
    <x v="149"/>
    <x v="0"/>
    <x v="2"/>
    <n v="19"/>
    <d v="1899-12-30T00:19:25"/>
    <n v="19.416666666666668"/>
  </r>
  <r>
    <x v="149"/>
    <x v="0"/>
    <x v="3"/>
    <n v="0"/>
    <d v="1899-12-30T00:00:00"/>
    <n v="0"/>
  </r>
  <r>
    <x v="149"/>
    <x v="0"/>
    <x v="4"/>
    <n v="11"/>
    <d v="1899-12-30T00:15:41"/>
    <n v="15.683333333333334"/>
  </r>
  <r>
    <x v="149"/>
    <x v="0"/>
    <x v="5"/>
    <n v="29"/>
    <d v="1899-12-30T00:37:01"/>
    <n v="37.016666666666666"/>
  </r>
  <r>
    <x v="149"/>
    <x v="1"/>
    <x v="0"/>
    <n v="30"/>
    <d v="1899-12-30T01:03:11"/>
    <n v="63.18333333333333"/>
  </r>
  <r>
    <x v="149"/>
    <x v="1"/>
    <x v="1"/>
    <n v="21"/>
    <d v="1899-12-30T00:32:20"/>
    <n v="32.333333333333336"/>
  </r>
  <r>
    <x v="149"/>
    <x v="1"/>
    <x v="2"/>
    <n v="17"/>
    <d v="1899-12-30T00:35:29"/>
    <n v="35.483333333333334"/>
  </r>
  <r>
    <x v="149"/>
    <x v="1"/>
    <x v="3"/>
    <n v="0"/>
    <d v="1899-12-30T00:00:00"/>
    <n v="0"/>
  </r>
  <r>
    <x v="149"/>
    <x v="1"/>
    <x v="4"/>
    <n v="17"/>
    <d v="1899-12-30T00:39:52"/>
    <n v="39.866666666666667"/>
  </r>
  <r>
    <x v="149"/>
    <x v="1"/>
    <x v="5"/>
    <n v="40"/>
    <d v="1899-12-30T01:07:50"/>
    <n v="67.833333333333329"/>
  </r>
  <r>
    <x v="149"/>
    <x v="2"/>
    <x v="0"/>
    <n v="31"/>
    <d v="1899-12-30T01:10:01"/>
    <n v="70.016666666666666"/>
  </r>
  <r>
    <x v="149"/>
    <x v="2"/>
    <x v="1"/>
    <n v="37"/>
    <d v="1899-12-30T01:26:02"/>
    <n v="86.033333333333331"/>
  </r>
  <r>
    <x v="149"/>
    <x v="2"/>
    <x v="2"/>
    <n v="37"/>
    <d v="1899-12-30T00:51:31"/>
    <n v="51.516666666666666"/>
  </r>
  <r>
    <x v="149"/>
    <x v="2"/>
    <x v="3"/>
    <n v="0"/>
    <d v="1899-12-30T00:00:00"/>
    <n v="0"/>
  </r>
  <r>
    <x v="149"/>
    <x v="2"/>
    <x v="4"/>
    <n v="13"/>
    <d v="1899-12-30T00:30:37"/>
    <n v="30.616666666666667"/>
  </r>
  <r>
    <x v="149"/>
    <x v="2"/>
    <x v="5"/>
    <n v="31"/>
    <d v="1899-12-30T00:50:08"/>
    <n v="50.133333333333333"/>
  </r>
  <r>
    <x v="149"/>
    <x v="3"/>
    <x v="0"/>
    <n v="19"/>
    <d v="1899-12-30T00:44:33"/>
    <n v="44.55"/>
  </r>
  <r>
    <x v="149"/>
    <x v="3"/>
    <x v="1"/>
    <n v="14"/>
    <d v="1899-12-30T00:32:23"/>
    <n v="32.383333333333333"/>
  </r>
  <r>
    <x v="149"/>
    <x v="3"/>
    <x v="2"/>
    <n v="9"/>
    <d v="1899-12-30T00:20:10"/>
    <n v="20.166666666666668"/>
  </r>
  <r>
    <x v="149"/>
    <x v="3"/>
    <x v="3"/>
    <n v="0"/>
    <d v="1899-12-30T00:00:00"/>
    <n v="0"/>
  </r>
  <r>
    <x v="149"/>
    <x v="3"/>
    <x v="4"/>
    <n v="0"/>
    <d v="1899-12-30T00:00:00"/>
    <n v="0"/>
  </r>
  <r>
    <x v="149"/>
    <x v="3"/>
    <x v="5"/>
    <n v="16"/>
    <d v="1899-12-30T00:23:34"/>
    <n v="23.566666666666666"/>
  </r>
  <r>
    <x v="149"/>
    <x v="4"/>
    <x v="0"/>
    <n v="28"/>
    <d v="1899-12-30T00:48:59"/>
    <n v="48.983333333333334"/>
  </r>
  <r>
    <x v="149"/>
    <x v="4"/>
    <x v="1"/>
    <n v="16"/>
    <d v="1899-12-30T00:24:48"/>
    <n v="24.8"/>
  </r>
  <r>
    <x v="149"/>
    <x v="4"/>
    <x v="2"/>
    <n v="23"/>
    <d v="1899-12-30T00:37:13"/>
    <n v="37.216666666666669"/>
  </r>
  <r>
    <x v="149"/>
    <x v="4"/>
    <x v="3"/>
    <n v="0"/>
    <d v="1899-12-30T00:00:00"/>
    <n v="0"/>
  </r>
  <r>
    <x v="149"/>
    <x v="4"/>
    <x v="4"/>
    <n v="8"/>
    <d v="1899-12-30T00:15:47"/>
    <n v="15.783333333333333"/>
  </r>
  <r>
    <x v="149"/>
    <x v="4"/>
    <x v="5"/>
    <n v="22"/>
    <d v="1899-12-30T00:22:16"/>
    <n v="22.266666666666666"/>
  </r>
  <r>
    <x v="149"/>
    <x v="5"/>
    <x v="0"/>
    <n v="7"/>
    <d v="1899-12-30T00:14:00"/>
    <n v="14"/>
  </r>
  <r>
    <x v="149"/>
    <x v="5"/>
    <x v="1"/>
    <n v="5"/>
    <d v="1899-12-30T00:08:39"/>
    <n v="8.65"/>
  </r>
  <r>
    <x v="149"/>
    <x v="5"/>
    <x v="2"/>
    <n v="7"/>
    <d v="1899-12-30T00:08:17"/>
    <n v="8.2833333333333332"/>
  </r>
  <r>
    <x v="149"/>
    <x v="5"/>
    <x v="3"/>
    <n v="0"/>
    <d v="1899-12-30T00:00:00"/>
    <n v="0"/>
  </r>
  <r>
    <x v="149"/>
    <x v="5"/>
    <x v="4"/>
    <n v="0"/>
    <d v="1899-12-30T00:00:00"/>
    <n v="0"/>
  </r>
  <r>
    <x v="149"/>
    <x v="5"/>
    <x v="5"/>
    <n v="1"/>
    <d v="1899-12-30T00:01:22"/>
    <n v="1.3666666666666667"/>
  </r>
  <r>
    <x v="149"/>
    <x v="6"/>
    <x v="0"/>
    <n v="16"/>
    <d v="1899-12-30T00:39:53"/>
    <n v="39.883333333333333"/>
  </r>
  <r>
    <x v="149"/>
    <x v="6"/>
    <x v="1"/>
    <n v="22"/>
    <d v="1899-12-30T00:45:00"/>
    <n v="45"/>
  </r>
  <r>
    <x v="149"/>
    <x v="6"/>
    <x v="2"/>
    <n v="17"/>
    <d v="1899-12-30T00:32:14"/>
    <n v="32.233333333333334"/>
  </r>
  <r>
    <x v="149"/>
    <x v="6"/>
    <x v="3"/>
    <n v="0"/>
    <d v="1899-12-30T00:00:00"/>
    <n v="0"/>
  </r>
  <r>
    <x v="149"/>
    <x v="6"/>
    <x v="4"/>
    <n v="12"/>
    <d v="1899-12-30T00:17:55"/>
    <n v="17.916666666666668"/>
  </r>
  <r>
    <x v="149"/>
    <x v="6"/>
    <x v="5"/>
    <n v="10"/>
    <d v="1899-12-30T00:18:34"/>
    <n v="18.566666666666666"/>
  </r>
  <r>
    <x v="149"/>
    <x v="7"/>
    <x v="0"/>
    <n v="53"/>
    <d v="1899-12-30T01:18:27"/>
    <n v="78.45"/>
  </r>
  <r>
    <x v="149"/>
    <x v="7"/>
    <x v="1"/>
    <n v="84"/>
    <d v="1899-12-30T02:01:30"/>
    <n v="121.5"/>
  </r>
  <r>
    <x v="149"/>
    <x v="7"/>
    <x v="2"/>
    <n v="49"/>
    <d v="1899-12-30T01:04:17"/>
    <n v="64.283333333333331"/>
  </r>
  <r>
    <x v="149"/>
    <x v="7"/>
    <x v="3"/>
    <n v="0"/>
    <d v="1899-12-30T00:00:00"/>
    <n v="0"/>
  </r>
  <r>
    <x v="149"/>
    <x v="7"/>
    <x v="4"/>
    <n v="107"/>
    <d v="1899-12-30T03:18:45"/>
    <n v="198.75"/>
  </r>
  <r>
    <x v="149"/>
    <x v="7"/>
    <x v="5"/>
    <n v="56"/>
    <d v="1899-12-30T01:04:45"/>
    <n v="64.75"/>
  </r>
  <r>
    <x v="149"/>
    <x v="8"/>
    <x v="0"/>
    <n v="28"/>
    <d v="1899-12-30T00:44:51"/>
    <n v="44.85"/>
  </r>
  <r>
    <x v="149"/>
    <x v="8"/>
    <x v="1"/>
    <n v="29"/>
    <d v="1899-12-30T00:53:39"/>
    <n v="53.65"/>
  </r>
  <r>
    <x v="149"/>
    <x v="8"/>
    <x v="2"/>
    <n v="21"/>
    <d v="1899-12-30T00:30:42"/>
    <n v="30.7"/>
  </r>
  <r>
    <x v="149"/>
    <x v="8"/>
    <x v="3"/>
    <n v="0"/>
    <d v="1899-12-30T00:00:00"/>
    <n v="0"/>
  </r>
  <r>
    <x v="149"/>
    <x v="8"/>
    <x v="4"/>
    <n v="14"/>
    <d v="1899-12-30T00:30:42"/>
    <n v="30.7"/>
  </r>
  <r>
    <x v="149"/>
    <x v="8"/>
    <x v="5"/>
    <n v="25"/>
    <d v="1899-12-30T00:29:39"/>
    <n v="29.65"/>
  </r>
  <r>
    <x v="149"/>
    <x v="9"/>
    <x v="0"/>
    <n v="145"/>
    <d v="1899-12-30T04:39:06"/>
    <n v="279.10000000000002"/>
  </r>
  <r>
    <x v="149"/>
    <x v="9"/>
    <x v="1"/>
    <n v="158"/>
    <d v="1899-12-30T04:24:48"/>
    <n v="264.8"/>
  </r>
  <r>
    <x v="149"/>
    <x v="9"/>
    <x v="2"/>
    <n v="102"/>
    <d v="1899-12-30T02:44:48"/>
    <n v="164.8"/>
  </r>
  <r>
    <x v="149"/>
    <x v="9"/>
    <x v="3"/>
    <n v="0"/>
    <d v="1899-12-30T00:00:00"/>
    <n v="0"/>
  </r>
  <r>
    <x v="149"/>
    <x v="9"/>
    <x v="4"/>
    <n v="35"/>
    <d v="1899-12-30T01:21:30"/>
    <n v="81.5"/>
  </r>
  <r>
    <x v="149"/>
    <x v="9"/>
    <x v="5"/>
    <n v="104"/>
    <d v="1899-12-30T03:08:59"/>
    <n v="188.98333333333332"/>
  </r>
  <r>
    <x v="149"/>
    <x v="10"/>
    <x v="0"/>
    <n v="11"/>
    <d v="1899-12-30T00:20:00"/>
    <n v="20"/>
  </r>
  <r>
    <x v="149"/>
    <x v="10"/>
    <x v="1"/>
    <n v="5"/>
    <d v="1899-12-30T00:17:08"/>
    <n v="17.133333333333333"/>
  </r>
  <r>
    <x v="149"/>
    <x v="10"/>
    <x v="2"/>
    <n v="8"/>
    <d v="1899-12-30T00:17:31"/>
    <n v="17.516666666666666"/>
  </r>
  <r>
    <x v="149"/>
    <x v="10"/>
    <x v="3"/>
    <n v="0"/>
    <d v="1899-12-30T00:00:00"/>
    <n v="0"/>
  </r>
  <r>
    <x v="149"/>
    <x v="10"/>
    <x v="4"/>
    <n v="4"/>
    <d v="1899-12-30T00:11:58"/>
    <n v="11.966666666666667"/>
  </r>
  <r>
    <x v="149"/>
    <x v="10"/>
    <x v="5"/>
    <n v="17"/>
    <d v="1899-12-30T00:28:18"/>
    <n v="28.3"/>
  </r>
  <r>
    <x v="149"/>
    <x v="11"/>
    <x v="0"/>
    <n v="17"/>
    <d v="1899-12-30T00:42:38"/>
    <n v="42.633333333333333"/>
  </r>
  <r>
    <x v="149"/>
    <x v="11"/>
    <x v="1"/>
    <n v="13"/>
    <d v="1899-12-30T00:24:16"/>
    <n v="24.266666666666666"/>
  </r>
  <r>
    <x v="149"/>
    <x v="11"/>
    <x v="2"/>
    <n v="5"/>
    <d v="1899-12-30T00:11:10"/>
    <n v="11.166666666666666"/>
  </r>
  <r>
    <x v="149"/>
    <x v="11"/>
    <x v="3"/>
    <n v="0"/>
    <d v="1899-12-30T00:00:00"/>
    <n v="0"/>
  </r>
  <r>
    <x v="149"/>
    <x v="11"/>
    <x v="4"/>
    <n v="11"/>
    <d v="1899-12-30T00:16:48"/>
    <n v="16.8"/>
  </r>
  <r>
    <x v="149"/>
    <x v="11"/>
    <x v="5"/>
    <n v="8"/>
    <d v="1899-12-30T00:13:44"/>
    <n v="13.733333333333333"/>
  </r>
  <r>
    <x v="149"/>
    <x v="12"/>
    <x v="0"/>
    <n v="36"/>
    <d v="1899-12-30T01:15:11"/>
    <n v="75.183333333333337"/>
  </r>
  <r>
    <x v="149"/>
    <x v="12"/>
    <x v="1"/>
    <n v="42"/>
    <d v="1899-12-30T01:47:51"/>
    <n v="107.85"/>
  </r>
  <r>
    <x v="149"/>
    <x v="12"/>
    <x v="2"/>
    <n v="24"/>
    <d v="1899-12-30T00:51:29"/>
    <n v="51.483333333333334"/>
  </r>
  <r>
    <x v="149"/>
    <x v="12"/>
    <x v="3"/>
    <n v="0"/>
    <d v="1899-12-30T00:00:00"/>
    <n v="0"/>
  </r>
  <r>
    <x v="149"/>
    <x v="12"/>
    <x v="4"/>
    <n v="21"/>
    <d v="1899-12-30T00:43:48"/>
    <n v="43.8"/>
  </r>
  <r>
    <x v="149"/>
    <x v="12"/>
    <x v="5"/>
    <n v="48"/>
    <d v="1899-12-30T01:16:13"/>
    <n v="76.216666666666669"/>
  </r>
  <r>
    <x v="149"/>
    <x v="13"/>
    <x v="0"/>
    <n v="26"/>
    <d v="1899-12-30T00:40:51"/>
    <n v="40.85"/>
  </r>
  <r>
    <x v="149"/>
    <x v="13"/>
    <x v="1"/>
    <n v="29"/>
    <d v="1899-12-30T00:33:33"/>
    <n v="33.549999999999997"/>
  </r>
  <r>
    <x v="149"/>
    <x v="13"/>
    <x v="2"/>
    <n v="13"/>
    <d v="1899-12-30T00:14:17"/>
    <n v="14.283333333333333"/>
  </r>
  <r>
    <x v="149"/>
    <x v="13"/>
    <x v="3"/>
    <n v="0"/>
    <d v="1899-12-30T00:00:00"/>
    <n v="0"/>
  </r>
  <r>
    <x v="149"/>
    <x v="13"/>
    <x v="4"/>
    <n v="1"/>
    <d v="1899-12-30T00:01:35"/>
    <n v="1.5833333333333335"/>
  </r>
  <r>
    <x v="149"/>
    <x v="13"/>
    <x v="5"/>
    <n v="17"/>
    <d v="1899-12-30T00:19:44"/>
    <n v="19.733333333333334"/>
  </r>
  <r>
    <x v="150"/>
    <x v="0"/>
    <x v="0"/>
    <n v="63"/>
    <d v="1899-12-30T01:50:18"/>
    <n v="110.3"/>
  </r>
  <r>
    <x v="150"/>
    <x v="0"/>
    <x v="1"/>
    <n v="59"/>
    <d v="1899-12-30T01:23:37"/>
    <n v="83.61666666666666"/>
  </r>
  <r>
    <x v="150"/>
    <x v="0"/>
    <x v="2"/>
    <n v="47"/>
    <d v="1899-12-30T01:03:43"/>
    <n v="63.716666666666669"/>
  </r>
  <r>
    <x v="150"/>
    <x v="0"/>
    <x v="3"/>
    <n v="0"/>
    <d v="1899-12-30T00:00:00"/>
    <n v="0"/>
  </r>
  <r>
    <x v="150"/>
    <x v="0"/>
    <x v="4"/>
    <n v="3"/>
    <d v="1899-12-30T00:04:11"/>
    <n v="4.1833333333333336"/>
  </r>
  <r>
    <x v="150"/>
    <x v="0"/>
    <x v="5"/>
    <n v="47"/>
    <d v="1899-12-30T00:46:07"/>
    <n v="46.116666666666667"/>
  </r>
  <r>
    <x v="150"/>
    <x v="1"/>
    <x v="0"/>
    <n v="44"/>
    <d v="1899-12-30T01:41:43"/>
    <n v="101.71666666666667"/>
  </r>
  <r>
    <x v="150"/>
    <x v="1"/>
    <x v="1"/>
    <n v="13"/>
    <d v="1899-12-30T00:42:34"/>
    <n v="42.56666666666667"/>
  </r>
  <r>
    <x v="150"/>
    <x v="1"/>
    <x v="2"/>
    <n v="22"/>
    <d v="1899-12-30T00:45:09"/>
    <n v="45.15"/>
  </r>
  <r>
    <x v="150"/>
    <x v="1"/>
    <x v="3"/>
    <n v="0"/>
    <d v="1899-12-30T00:00:00"/>
    <n v="0"/>
  </r>
  <r>
    <x v="150"/>
    <x v="1"/>
    <x v="4"/>
    <n v="24"/>
    <d v="1899-12-30T00:56:52"/>
    <n v="56.866666666666667"/>
  </r>
  <r>
    <x v="150"/>
    <x v="1"/>
    <x v="5"/>
    <n v="46"/>
    <d v="1899-12-30T01:18:25"/>
    <n v="78.416666666666671"/>
  </r>
  <r>
    <x v="150"/>
    <x v="2"/>
    <x v="0"/>
    <n v="68"/>
    <d v="1899-12-30T02:25:57"/>
    <n v="145.94999999999999"/>
  </r>
  <r>
    <x v="150"/>
    <x v="2"/>
    <x v="1"/>
    <n v="84"/>
    <d v="1899-12-30T03:35:11"/>
    <n v="215.18333333333334"/>
  </r>
  <r>
    <x v="150"/>
    <x v="2"/>
    <x v="2"/>
    <n v="39"/>
    <d v="1899-12-30T01:12:20"/>
    <n v="72.333333333333329"/>
  </r>
  <r>
    <x v="150"/>
    <x v="2"/>
    <x v="3"/>
    <n v="0"/>
    <d v="1899-12-30T00:00:00"/>
    <n v="0"/>
  </r>
  <r>
    <x v="150"/>
    <x v="2"/>
    <x v="4"/>
    <n v="13"/>
    <d v="1899-12-30T00:28:40"/>
    <n v="28.666666666666668"/>
  </r>
  <r>
    <x v="150"/>
    <x v="2"/>
    <x v="5"/>
    <n v="34"/>
    <d v="1899-12-30T00:42:22"/>
    <n v="42.366666666666667"/>
  </r>
  <r>
    <x v="150"/>
    <x v="3"/>
    <x v="0"/>
    <n v="13"/>
    <d v="1899-12-30T00:27:36"/>
    <n v="27.6"/>
  </r>
  <r>
    <x v="150"/>
    <x v="3"/>
    <x v="1"/>
    <n v="9"/>
    <d v="1899-12-30T00:13:58"/>
    <n v="13.966666666666667"/>
  </r>
  <r>
    <x v="150"/>
    <x v="3"/>
    <x v="2"/>
    <n v="6"/>
    <d v="1899-12-30T00:12:49"/>
    <n v="12.816666666666666"/>
  </r>
  <r>
    <x v="150"/>
    <x v="3"/>
    <x v="3"/>
    <n v="0"/>
    <d v="1899-12-30T00:00:00"/>
    <n v="0"/>
  </r>
  <r>
    <x v="150"/>
    <x v="3"/>
    <x v="4"/>
    <n v="1"/>
    <d v="1899-12-30T00:00:26"/>
    <n v="0.43333333333333335"/>
  </r>
  <r>
    <x v="150"/>
    <x v="3"/>
    <x v="5"/>
    <n v="15"/>
    <d v="1899-12-30T00:19:10"/>
    <n v="19.166666666666668"/>
  </r>
  <r>
    <x v="150"/>
    <x v="4"/>
    <x v="0"/>
    <n v="29"/>
    <d v="1899-12-30T01:06:49"/>
    <n v="66.816666666666663"/>
  </r>
  <r>
    <x v="150"/>
    <x v="4"/>
    <x v="1"/>
    <n v="20"/>
    <d v="1899-12-30T00:57:36"/>
    <n v="57.6"/>
  </r>
  <r>
    <x v="150"/>
    <x v="4"/>
    <x v="2"/>
    <n v="19"/>
    <d v="1899-12-30T00:34:08"/>
    <n v="34.133333333333333"/>
  </r>
  <r>
    <x v="150"/>
    <x v="4"/>
    <x v="3"/>
    <n v="0"/>
    <d v="1899-12-30T00:00:00"/>
    <n v="0"/>
  </r>
  <r>
    <x v="150"/>
    <x v="4"/>
    <x v="4"/>
    <n v="15"/>
    <d v="1899-12-30T00:27:09"/>
    <n v="27.15"/>
  </r>
  <r>
    <x v="150"/>
    <x v="4"/>
    <x v="5"/>
    <n v="19"/>
    <d v="1899-12-30T00:23:19"/>
    <n v="23.316666666666666"/>
  </r>
  <r>
    <x v="150"/>
    <x v="5"/>
    <x v="0"/>
    <n v="2"/>
    <d v="1899-12-30T00:03:59"/>
    <n v="3.9833333333333334"/>
  </r>
  <r>
    <x v="150"/>
    <x v="5"/>
    <x v="1"/>
    <n v="3"/>
    <d v="1899-12-30T00:02:31"/>
    <n v="2.5166666666666666"/>
  </r>
  <r>
    <x v="150"/>
    <x v="5"/>
    <x v="2"/>
    <n v="1"/>
    <d v="1899-12-30T00:01:55"/>
    <n v="1.9166666666666665"/>
  </r>
  <r>
    <x v="150"/>
    <x v="5"/>
    <x v="3"/>
    <n v="0"/>
    <d v="1899-12-30T00:00:00"/>
    <n v="0"/>
  </r>
  <r>
    <x v="150"/>
    <x v="5"/>
    <x v="4"/>
    <n v="1"/>
    <d v="1899-12-30T00:02:00"/>
    <n v="2"/>
  </r>
  <r>
    <x v="150"/>
    <x v="5"/>
    <x v="5"/>
    <n v="7"/>
    <d v="1899-12-30T00:08:12"/>
    <n v="8.1999999999999993"/>
  </r>
  <r>
    <x v="150"/>
    <x v="6"/>
    <x v="0"/>
    <n v="16"/>
    <d v="1899-12-30T00:27:58"/>
    <n v="27.966666666666665"/>
  </r>
  <r>
    <x v="150"/>
    <x v="6"/>
    <x v="1"/>
    <n v="18"/>
    <d v="1899-12-30T00:32:53"/>
    <n v="32.883333333333333"/>
  </r>
  <r>
    <x v="150"/>
    <x v="6"/>
    <x v="2"/>
    <n v="12"/>
    <d v="1899-12-30T00:18:27"/>
    <n v="18.45"/>
  </r>
  <r>
    <x v="150"/>
    <x v="6"/>
    <x v="3"/>
    <n v="0"/>
    <d v="1899-12-30T00:00:00"/>
    <n v="0"/>
  </r>
  <r>
    <x v="150"/>
    <x v="6"/>
    <x v="4"/>
    <n v="11"/>
    <d v="1899-12-30T00:24:53"/>
    <n v="24.883333333333333"/>
  </r>
  <r>
    <x v="150"/>
    <x v="6"/>
    <x v="5"/>
    <n v="15"/>
    <d v="1899-12-30T00:20:23"/>
    <n v="20.383333333333333"/>
  </r>
  <r>
    <x v="150"/>
    <x v="7"/>
    <x v="0"/>
    <n v="34"/>
    <d v="1899-12-30T01:07:28"/>
    <n v="67.466666666666669"/>
  </r>
  <r>
    <x v="150"/>
    <x v="7"/>
    <x v="1"/>
    <n v="51"/>
    <d v="1899-12-30T01:30:24"/>
    <n v="90.4"/>
  </r>
  <r>
    <x v="150"/>
    <x v="7"/>
    <x v="2"/>
    <n v="33"/>
    <d v="1899-12-30T00:42:11"/>
    <n v="42.18333333333333"/>
  </r>
  <r>
    <x v="150"/>
    <x v="7"/>
    <x v="3"/>
    <n v="0"/>
    <d v="1899-12-30T00:00:00"/>
    <n v="0"/>
  </r>
  <r>
    <x v="150"/>
    <x v="7"/>
    <x v="4"/>
    <n v="121"/>
    <d v="1899-12-30T03:36:10"/>
    <n v="216.16666666666666"/>
  </r>
  <r>
    <x v="150"/>
    <x v="7"/>
    <x v="5"/>
    <n v="49"/>
    <d v="1899-12-30T00:44:47"/>
    <n v="44.783333333333331"/>
  </r>
  <r>
    <x v="150"/>
    <x v="8"/>
    <x v="0"/>
    <n v="13"/>
    <d v="1899-12-30T00:22:03"/>
    <n v="22.05"/>
  </r>
  <r>
    <x v="150"/>
    <x v="8"/>
    <x v="1"/>
    <n v="17"/>
    <d v="1899-12-30T00:25:12"/>
    <n v="25.2"/>
  </r>
  <r>
    <x v="150"/>
    <x v="8"/>
    <x v="2"/>
    <n v="14"/>
    <d v="1899-12-30T00:19:35"/>
    <n v="19.583333333333332"/>
  </r>
  <r>
    <x v="150"/>
    <x v="8"/>
    <x v="3"/>
    <n v="0"/>
    <d v="1899-12-30T00:00:00"/>
    <n v="0"/>
  </r>
  <r>
    <x v="150"/>
    <x v="8"/>
    <x v="4"/>
    <n v="8"/>
    <d v="1899-12-30T00:13:05"/>
    <n v="13.083333333333334"/>
  </r>
  <r>
    <x v="150"/>
    <x v="8"/>
    <x v="5"/>
    <n v="19"/>
    <d v="1899-12-30T00:23:57"/>
    <n v="23.95"/>
  </r>
  <r>
    <x v="150"/>
    <x v="9"/>
    <x v="0"/>
    <n v="87"/>
    <d v="1899-12-30T02:43:34"/>
    <n v="163.56666666666666"/>
  </r>
  <r>
    <x v="150"/>
    <x v="9"/>
    <x v="1"/>
    <n v="87"/>
    <d v="1899-12-30T02:39:56"/>
    <n v="159.93333333333334"/>
  </r>
  <r>
    <x v="150"/>
    <x v="9"/>
    <x v="2"/>
    <n v="61"/>
    <d v="1899-12-30T01:36:41"/>
    <n v="96.683333333333337"/>
  </r>
  <r>
    <x v="150"/>
    <x v="9"/>
    <x v="3"/>
    <n v="0"/>
    <d v="1899-12-30T00:00:00"/>
    <n v="0"/>
  </r>
  <r>
    <x v="150"/>
    <x v="9"/>
    <x v="4"/>
    <n v="13"/>
    <d v="1899-12-30T00:28:41"/>
    <n v="28.683333333333334"/>
  </r>
  <r>
    <x v="150"/>
    <x v="9"/>
    <x v="5"/>
    <n v="63"/>
    <d v="1899-12-30T01:23:50"/>
    <n v="83.833333333333329"/>
  </r>
  <r>
    <x v="150"/>
    <x v="10"/>
    <x v="0"/>
    <n v="10"/>
    <d v="1899-12-30T00:26:02"/>
    <n v="26.033333333333335"/>
  </r>
  <r>
    <x v="150"/>
    <x v="10"/>
    <x v="1"/>
    <n v="1"/>
    <d v="1899-12-30T00:03:29"/>
    <n v="3.4833333333333334"/>
  </r>
  <r>
    <x v="150"/>
    <x v="10"/>
    <x v="2"/>
    <n v="11"/>
    <d v="1899-12-30T00:29:43"/>
    <n v="29.716666666666665"/>
  </r>
  <r>
    <x v="150"/>
    <x v="10"/>
    <x v="3"/>
    <n v="0"/>
    <d v="1899-12-30T00:00:00"/>
    <n v="0"/>
  </r>
  <r>
    <x v="150"/>
    <x v="10"/>
    <x v="4"/>
    <n v="8"/>
    <d v="1899-12-30T00:18:55"/>
    <n v="18.916666666666668"/>
  </r>
  <r>
    <x v="150"/>
    <x v="10"/>
    <x v="5"/>
    <n v="10"/>
    <d v="1899-12-30T00:13:44"/>
    <n v="13.733333333333333"/>
  </r>
  <r>
    <x v="150"/>
    <x v="11"/>
    <x v="0"/>
    <n v="14"/>
    <d v="1899-12-30T00:38:10"/>
    <n v="38.166666666666664"/>
  </r>
  <r>
    <x v="150"/>
    <x v="11"/>
    <x v="1"/>
    <n v="4"/>
    <d v="1899-12-30T00:07:54"/>
    <n v="7.9"/>
  </r>
  <r>
    <x v="150"/>
    <x v="11"/>
    <x v="2"/>
    <n v="5"/>
    <d v="1899-12-30T00:11:03"/>
    <n v="11.05"/>
  </r>
  <r>
    <x v="150"/>
    <x v="11"/>
    <x v="3"/>
    <n v="0"/>
    <d v="1899-12-30T00:00:00"/>
    <n v="0"/>
  </r>
  <r>
    <x v="150"/>
    <x v="11"/>
    <x v="4"/>
    <n v="8"/>
    <d v="1899-12-30T00:17:43"/>
    <n v="17.716666666666665"/>
  </r>
  <r>
    <x v="150"/>
    <x v="11"/>
    <x v="5"/>
    <n v="4"/>
    <d v="1899-12-30T00:06:17"/>
    <n v="6.2833333333333332"/>
  </r>
  <r>
    <x v="150"/>
    <x v="12"/>
    <x v="0"/>
    <n v="64"/>
    <d v="1899-12-30T02:03:17"/>
    <n v="123.28333333333333"/>
  </r>
  <r>
    <x v="150"/>
    <x v="12"/>
    <x v="1"/>
    <n v="71"/>
    <d v="1899-12-30T02:50:22"/>
    <n v="170.36666666666667"/>
  </r>
  <r>
    <x v="150"/>
    <x v="12"/>
    <x v="2"/>
    <n v="48"/>
    <d v="1899-12-30T01:25:05"/>
    <n v="85.083333333333329"/>
  </r>
  <r>
    <x v="150"/>
    <x v="12"/>
    <x v="3"/>
    <n v="0"/>
    <d v="1899-12-30T00:00:00"/>
    <n v="0"/>
  </r>
  <r>
    <x v="150"/>
    <x v="12"/>
    <x v="4"/>
    <n v="17"/>
    <d v="1899-12-30T00:39:59"/>
    <n v="39.983333333333334"/>
  </r>
  <r>
    <x v="150"/>
    <x v="12"/>
    <x v="5"/>
    <n v="84"/>
    <d v="1899-12-30T01:51:24"/>
    <n v="111.4"/>
  </r>
  <r>
    <x v="150"/>
    <x v="13"/>
    <x v="0"/>
    <n v="33"/>
    <d v="1899-12-30T01:03:39"/>
    <n v="63.65"/>
  </r>
  <r>
    <x v="150"/>
    <x v="13"/>
    <x v="1"/>
    <n v="44"/>
    <d v="1899-12-30T01:03:12"/>
    <n v="63.2"/>
  </r>
  <r>
    <x v="150"/>
    <x v="13"/>
    <x v="2"/>
    <n v="40"/>
    <d v="1899-12-30T00:47:57"/>
    <n v="47.95"/>
  </r>
  <r>
    <x v="150"/>
    <x v="13"/>
    <x v="3"/>
    <n v="0"/>
    <d v="1899-12-30T00:00:00"/>
    <n v="0"/>
  </r>
  <r>
    <x v="150"/>
    <x v="13"/>
    <x v="4"/>
    <n v="2"/>
    <d v="1899-12-30T00:03:13"/>
    <n v="3.2166666666666668"/>
  </r>
  <r>
    <x v="150"/>
    <x v="13"/>
    <x v="5"/>
    <n v="39"/>
    <d v="1899-12-30T00:39:22"/>
    <n v="39.366666666666667"/>
  </r>
  <r>
    <x v="151"/>
    <x v="0"/>
    <x v="0"/>
    <n v="50"/>
    <d v="1899-12-30T01:16:52"/>
    <n v="76.86666666666666"/>
  </r>
  <r>
    <x v="151"/>
    <x v="0"/>
    <x v="1"/>
    <n v="48"/>
    <d v="1899-12-30T01:10:51"/>
    <n v="70.849999999999994"/>
  </r>
  <r>
    <x v="151"/>
    <x v="0"/>
    <x v="2"/>
    <n v="68"/>
    <d v="1899-12-30T01:25:58"/>
    <n v="85.966666666666669"/>
  </r>
  <r>
    <x v="151"/>
    <x v="0"/>
    <x v="3"/>
    <n v="0"/>
    <d v="1899-12-30T00:00:00"/>
    <n v="0"/>
  </r>
  <r>
    <x v="151"/>
    <x v="0"/>
    <x v="4"/>
    <n v="17"/>
    <d v="1899-12-30T00:27:41"/>
    <n v="27.683333333333334"/>
  </r>
  <r>
    <x v="151"/>
    <x v="0"/>
    <x v="5"/>
    <n v="58"/>
    <d v="1899-12-30T00:57:15"/>
    <n v="57.25"/>
  </r>
  <r>
    <x v="151"/>
    <x v="1"/>
    <x v="0"/>
    <n v="56"/>
    <d v="1899-12-30T02:15:00"/>
    <n v="135"/>
  </r>
  <r>
    <x v="151"/>
    <x v="1"/>
    <x v="1"/>
    <n v="41"/>
    <d v="1899-12-30T02:49:02"/>
    <n v="169.03333333333333"/>
  </r>
  <r>
    <x v="151"/>
    <x v="1"/>
    <x v="2"/>
    <n v="24"/>
    <d v="1899-12-30T00:53:14"/>
    <n v="53.233333333333334"/>
  </r>
  <r>
    <x v="151"/>
    <x v="1"/>
    <x v="3"/>
    <n v="0"/>
    <d v="1899-12-30T00:00:00"/>
    <n v="0"/>
  </r>
  <r>
    <x v="151"/>
    <x v="1"/>
    <x v="4"/>
    <n v="34"/>
    <d v="1899-12-30T01:24:41"/>
    <n v="84.683333333333337"/>
  </r>
  <r>
    <x v="151"/>
    <x v="1"/>
    <x v="5"/>
    <n v="46"/>
    <d v="1899-12-30T01:26:55"/>
    <n v="86.916666666666671"/>
  </r>
  <r>
    <x v="151"/>
    <x v="2"/>
    <x v="0"/>
    <n v="78"/>
    <d v="1899-12-30T03:08:15"/>
    <n v="188.25"/>
  </r>
  <r>
    <x v="151"/>
    <x v="2"/>
    <x v="1"/>
    <n v="89"/>
    <d v="1899-12-30T03:53:04"/>
    <n v="233.06666666666666"/>
  </r>
  <r>
    <x v="151"/>
    <x v="2"/>
    <x v="2"/>
    <n v="42"/>
    <d v="1899-12-30T01:27:26"/>
    <n v="87.433333333333337"/>
  </r>
  <r>
    <x v="151"/>
    <x v="2"/>
    <x v="3"/>
    <n v="0"/>
    <d v="1899-12-30T00:00:00"/>
    <n v="0"/>
  </r>
  <r>
    <x v="151"/>
    <x v="2"/>
    <x v="4"/>
    <n v="16"/>
    <d v="1899-12-30T00:34:28"/>
    <n v="34.466666666666669"/>
  </r>
  <r>
    <x v="151"/>
    <x v="2"/>
    <x v="5"/>
    <n v="37"/>
    <d v="1899-12-30T01:02:53"/>
    <n v="62.883333333333333"/>
  </r>
  <r>
    <x v="151"/>
    <x v="3"/>
    <x v="0"/>
    <n v="28"/>
    <d v="1899-12-30T01:04:28"/>
    <n v="64.466666666666669"/>
  </r>
  <r>
    <x v="151"/>
    <x v="3"/>
    <x v="1"/>
    <n v="12"/>
    <d v="1899-12-30T00:26:02"/>
    <n v="26.033333333333335"/>
  </r>
  <r>
    <x v="151"/>
    <x v="3"/>
    <x v="2"/>
    <n v="11"/>
    <d v="1899-12-30T00:19:51"/>
    <n v="19.850000000000001"/>
  </r>
  <r>
    <x v="151"/>
    <x v="3"/>
    <x v="3"/>
    <n v="0"/>
    <d v="1899-12-30T00:00:00"/>
    <n v="0"/>
  </r>
  <r>
    <x v="151"/>
    <x v="3"/>
    <x v="4"/>
    <n v="0"/>
    <d v="1899-12-30T00:00:00"/>
    <n v="0"/>
  </r>
  <r>
    <x v="151"/>
    <x v="3"/>
    <x v="5"/>
    <n v="9"/>
    <d v="1899-12-30T00:17:45"/>
    <n v="17.75"/>
  </r>
  <r>
    <x v="151"/>
    <x v="4"/>
    <x v="0"/>
    <n v="46"/>
    <d v="1899-12-30T01:47:29"/>
    <n v="107.48333333333333"/>
  </r>
  <r>
    <x v="151"/>
    <x v="4"/>
    <x v="1"/>
    <n v="24"/>
    <d v="1899-12-30T01:02:33"/>
    <n v="62.55"/>
  </r>
  <r>
    <x v="151"/>
    <x v="4"/>
    <x v="2"/>
    <n v="15"/>
    <d v="1899-12-30T00:40:02"/>
    <n v="40.033333333333331"/>
  </r>
  <r>
    <x v="151"/>
    <x v="4"/>
    <x v="3"/>
    <n v="0"/>
    <d v="1899-12-30T00:00:00"/>
    <n v="0"/>
  </r>
  <r>
    <x v="151"/>
    <x v="4"/>
    <x v="4"/>
    <n v="14"/>
    <d v="1899-12-30T00:30:58"/>
    <n v="30.966666666666665"/>
  </r>
  <r>
    <x v="151"/>
    <x v="4"/>
    <x v="5"/>
    <n v="9"/>
    <d v="1899-12-30T00:12:18"/>
    <n v="12.3"/>
  </r>
  <r>
    <x v="151"/>
    <x v="5"/>
    <x v="0"/>
    <n v="14"/>
    <d v="1899-12-30T00:23:00"/>
    <n v="23"/>
  </r>
  <r>
    <x v="151"/>
    <x v="5"/>
    <x v="1"/>
    <n v="21"/>
    <d v="1899-12-30T00:30:10"/>
    <n v="30.166666666666668"/>
  </r>
  <r>
    <x v="151"/>
    <x v="5"/>
    <x v="2"/>
    <n v="23"/>
    <d v="1899-12-30T00:29:35"/>
    <n v="29.583333333333332"/>
  </r>
  <r>
    <x v="151"/>
    <x v="5"/>
    <x v="3"/>
    <n v="0"/>
    <d v="1899-12-30T00:00:00"/>
    <n v="0"/>
  </r>
  <r>
    <x v="151"/>
    <x v="5"/>
    <x v="4"/>
    <n v="3"/>
    <d v="1899-12-30T00:04:47"/>
    <n v="4.7833333333333332"/>
  </r>
  <r>
    <x v="151"/>
    <x v="5"/>
    <x v="5"/>
    <n v="29"/>
    <d v="1899-12-30T00:35:38"/>
    <n v="35.633333333333333"/>
  </r>
  <r>
    <x v="151"/>
    <x v="6"/>
    <x v="0"/>
    <n v="15"/>
    <d v="1899-12-30T00:28:41"/>
    <n v="28.683333333333334"/>
  </r>
  <r>
    <x v="151"/>
    <x v="6"/>
    <x v="1"/>
    <n v="13"/>
    <d v="1899-12-30T00:20:35"/>
    <n v="20.583333333333332"/>
  </r>
  <r>
    <x v="151"/>
    <x v="6"/>
    <x v="2"/>
    <n v="21"/>
    <d v="1899-12-30T00:35:14"/>
    <n v="35.233333333333334"/>
  </r>
  <r>
    <x v="151"/>
    <x v="6"/>
    <x v="3"/>
    <n v="0"/>
    <d v="1899-12-30T00:00:00"/>
    <n v="0"/>
  </r>
  <r>
    <x v="151"/>
    <x v="6"/>
    <x v="4"/>
    <n v="13"/>
    <d v="1899-12-30T00:13:02"/>
    <n v="13.033333333333333"/>
  </r>
  <r>
    <x v="151"/>
    <x v="6"/>
    <x v="5"/>
    <n v="9"/>
    <d v="1899-12-30T00:13:26"/>
    <n v="13.433333333333334"/>
  </r>
  <r>
    <x v="151"/>
    <x v="7"/>
    <x v="0"/>
    <n v="74"/>
    <d v="1899-12-30T02:02:00"/>
    <n v="122"/>
  </r>
  <r>
    <x v="151"/>
    <x v="7"/>
    <x v="1"/>
    <n v="116"/>
    <d v="1899-12-30T02:53:25"/>
    <n v="173.41666666666666"/>
  </r>
  <r>
    <x v="151"/>
    <x v="7"/>
    <x v="2"/>
    <n v="76"/>
    <d v="1899-12-30T01:39:05"/>
    <n v="99.083333333333329"/>
  </r>
  <r>
    <x v="151"/>
    <x v="7"/>
    <x v="3"/>
    <n v="0"/>
    <d v="1899-12-30T00:00:00"/>
    <n v="0"/>
  </r>
  <r>
    <x v="151"/>
    <x v="7"/>
    <x v="4"/>
    <n v="173"/>
    <d v="1899-12-30T04:49:47"/>
    <n v="289.78333333333336"/>
  </r>
  <r>
    <x v="151"/>
    <x v="7"/>
    <x v="5"/>
    <n v="65"/>
    <d v="1899-12-30T01:20:08"/>
    <n v="80.13333333333334"/>
  </r>
  <r>
    <x v="151"/>
    <x v="8"/>
    <x v="0"/>
    <n v="6"/>
    <d v="1899-12-30T00:11:26"/>
    <n v="11.433333333333334"/>
  </r>
  <r>
    <x v="151"/>
    <x v="8"/>
    <x v="1"/>
    <n v="8"/>
    <d v="1899-12-30T00:22:00"/>
    <n v="22"/>
  </r>
  <r>
    <x v="151"/>
    <x v="8"/>
    <x v="2"/>
    <n v="8"/>
    <d v="1899-12-30T00:09:48"/>
    <n v="9.8000000000000007"/>
  </r>
  <r>
    <x v="151"/>
    <x v="8"/>
    <x v="3"/>
    <n v="0"/>
    <d v="1899-12-30T00:00:00"/>
    <n v="0"/>
  </r>
  <r>
    <x v="151"/>
    <x v="8"/>
    <x v="4"/>
    <n v="13"/>
    <d v="1899-12-30T00:24:01"/>
    <n v="24.016666666666666"/>
  </r>
  <r>
    <x v="151"/>
    <x v="8"/>
    <x v="5"/>
    <n v="18"/>
    <d v="1899-12-30T00:21:25"/>
    <n v="21.416666666666668"/>
  </r>
  <r>
    <x v="151"/>
    <x v="9"/>
    <x v="0"/>
    <n v="69"/>
    <d v="1899-12-30T01:53:51"/>
    <n v="113.85"/>
  </r>
  <r>
    <x v="151"/>
    <x v="9"/>
    <x v="1"/>
    <n v="71"/>
    <d v="1899-12-30T01:53:18"/>
    <n v="113.3"/>
  </r>
  <r>
    <x v="151"/>
    <x v="9"/>
    <x v="2"/>
    <n v="58"/>
    <d v="1899-12-30T01:28:10"/>
    <n v="88.166666666666671"/>
  </r>
  <r>
    <x v="151"/>
    <x v="9"/>
    <x v="3"/>
    <n v="0"/>
    <d v="1899-12-30T00:00:00"/>
    <n v="0"/>
  </r>
  <r>
    <x v="151"/>
    <x v="9"/>
    <x v="4"/>
    <n v="7"/>
    <d v="1899-12-30T00:12:26"/>
    <n v="12.433333333333334"/>
  </r>
  <r>
    <x v="151"/>
    <x v="9"/>
    <x v="5"/>
    <n v="49"/>
    <d v="1899-12-30T00:53:47"/>
    <n v="53.783333333333331"/>
  </r>
  <r>
    <x v="151"/>
    <x v="10"/>
    <x v="0"/>
    <n v="31"/>
    <d v="1899-12-30T01:02:01"/>
    <n v="62.016666666666666"/>
  </r>
  <r>
    <x v="151"/>
    <x v="10"/>
    <x v="1"/>
    <n v="26"/>
    <d v="1899-12-30T00:50:04"/>
    <n v="50.06666666666667"/>
  </r>
  <r>
    <x v="151"/>
    <x v="10"/>
    <x v="2"/>
    <n v="20"/>
    <d v="1899-12-30T00:34:45"/>
    <n v="34.75"/>
  </r>
  <r>
    <x v="151"/>
    <x v="10"/>
    <x v="3"/>
    <n v="0"/>
    <d v="1899-12-30T00:00:00"/>
    <n v="0"/>
  </r>
  <r>
    <x v="151"/>
    <x v="10"/>
    <x v="4"/>
    <n v="9"/>
    <d v="1899-12-30T00:10:34"/>
    <n v="10.566666666666666"/>
  </r>
  <r>
    <x v="151"/>
    <x v="10"/>
    <x v="5"/>
    <n v="25"/>
    <d v="1899-12-30T00:34:33"/>
    <n v="34.549999999999997"/>
  </r>
  <r>
    <x v="151"/>
    <x v="11"/>
    <x v="0"/>
    <n v="12"/>
    <d v="1899-12-30T00:31:23"/>
    <n v="31.383333333333333"/>
  </r>
  <r>
    <x v="151"/>
    <x v="11"/>
    <x v="1"/>
    <n v="9"/>
    <d v="1899-12-30T00:22:11"/>
    <n v="22.183333333333334"/>
  </r>
  <r>
    <x v="151"/>
    <x v="11"/>
    <x v="2"/>
    <n v="8"/>
    <d v="1899-12-30T00:16:00"/>
    <n v="16"/>
  </r>
  <r>
    <x v="151"/>
    <x v="11"/>
    <x v="3"/>
    <n v="0"/>
    <d v="1899-12-30T00:00:00"/>
    <n v="0"/>
  </r>
  <r>
    <x v="151"/>
    <x v="11"/>
    <x v="4"/>
    <n v="9"/>
    <d v="1899-12-30T00:18:58"/>
    <n v="18.966666666666665"/>
  </r>
  <r>
    <x v="151"/>
    <x v="11"/>
    <x v="5"/>
    <n v="19"/>
    <d v="1899-12-30T00:31:17"/>
    <n v="31.283333333333335"/>
  </r>
  <r>
    <x v="151"/>
    <x v="12"/>
    <x v="0"/>
    <n v="101"/>
    <d v="1899-12-30T03:33:12"/>
    <n v="213.2"/>
  </r>
  <r>
    <x v="151"/>
    <x v="12"/>
    <x v="1"/>
    <n v="94"/>
    <d v="1899-12-30T03:20:33"/>
    <n v="200.55"/>
  </r>
  <r>
    <x v="151"/>
    <x v="12"/>
    <x v="2"/>
    <n v="65"/>
    <d v="1899-12-30T01:53:45"/>
    <n v="113.75"/>
  </r>
  <r>
    <x v="151"/>
    <x v="12"/>
    <x v="3"/>
    <n v="0"/>
    <d v="1899-12-30T00:00:00"/>
    <n v="0"/>
  </r>
  <r>
    <x v="151"/>
    <x v="12"/>
    <x v="4"/>
    <n v="28"/>
    <d v="1899-12-30T01:12:54"/>
    <n v="72.900000000000006"/>
  </r>
  <r>
    <x v="151"/>
    <x v="12"/>
    <x v="5"/>
    <n v="89"/>
    <d v="1899-12-30T02:12:50"/>
    <n v="132.83333333333334"/>
  </r>
  <r>
    <x v="151"/>
    <x v="13"/>
    <x v="0"/>
    <n v="45"/>
    <d v="1899-12-30T01:28:55"/>
    <n v="88.916666666666671"/>
  </r>
  <r>
    <x v="151"/>
    <x v="13"/>
    <x v="1"/>
    <n v="42"/>
    <d v="1899-12-30T00:55:30"/>
    <n v="55.5"/>
  </r>
  <r>
    <x v="151"/>
    <x v="13"/>
    <x v="2"/>
    <n v="43"/>
    <d v="1899-12-30T00:44:36"/>
    <n v="44.6"/>
  </r>
  <r>
    <x v="151"/>
    <x v="13"/>
    <x v="3"/>
    <n v="0"/>
    <d v="1899-12-30T00:00:00"/>
    <n v="0"/>
  </r>
  <r>
    <x v="151"/>
    <x v="13"/>
    <x v="4"/>
    <n v="4"/>
    <d v="1899-12-30T00:13:26"/>
    <n v="13.433333333333334"/>
  </r>
  <r>
    <x v="151"/>
    <x v="13"/>
    <x v="5"/>
    <n v="38"/>
    <d v="1899-12-30T00:43:00"/>
    <n v="43"/>
  </r>
  <r>
    <x v="152"/>
    <x v="0"/>
    <x v="0"/>
    <n v="103"/>
    <d v="1899-12-30T02:46:16"/>
    <n v="166.26666666666668"/>
  </r>
  <r>
    <x v="152"/>
    <x v="0"/>
    <x v="1"/>
    <n v="92"/>
    <d v="1899-12-30T02:15:16"/>
    <n v="135.26666666666668"/>
  </r>
  <r>
    <x v="152"/>
    <x v="0"/>
    <x v="2"/>
    <n v="95"/>
    <d v="1899-12-30T02:05:26"/>
    <n v="125.43333333333334"/>
  </r>
  <r>
    <x v="152"/>
    <x v="0"/>
    <x v="3"/>
    <n v="16"/>
    <d v="1899-12-30T00:21:54"/>
    <n v="21.9"/>
  </r>
  <r>
    <x v="152"/>
    <x v="0"/>
    <x v="4"/>
    <n v="20"/>
    <d v="1899-12-30T00:27:38"/>
    <n v="27.633333333333333"/>
  </r>
  <r>
    <x v="152"/>
    <x v="0"/>
    <x v="5"/>
    <n v="104"/>
    <d v="1899-12-30T02:19:24"/>
    <n v="139.4"/>
  </r>
  <r>
    <x v="152"/>
    <x v="1"/>
    <x v="0"/>
    <n v="29"/>
    <d v="1899-12-30T01:08:12"/>
    <n v="68.2"/>
  </r>
  <r>
    <x v="152"/>
    <x v="1"/>
    <x v="1"/>
    <n v="19"/>
    <d v="1899-12-30T01:28:10"/>
    <n v="88.166666666666671"/>
  </r>
  <r>
    <x v="152"/>
    <x v="1"/>
    <x v="2"/>
    <n v="22"/>
    <d v="1899-12-30T00:49:09"/>
    <n v="49.15"/>
  </r>
  <r>
    <x v="152"/>
    <x v="1"/>
    <x v="3"/>
    <n v="2"/>
    <d v="1899-12-30T00:01:54"/>
    <n v="1.9"/>
  </r>
  <r>
    <x v="152"/>
    <x v="1"/>
    <x v="4"/>
    <n v="21"/>
    <d v="1899-12-30T00:54:29"/>
    <n v="54.483333333333334"/>
  </r>
  <r>
    <x v="152"/>
    <x v="1"/>
    <x v="5"/>
    <n v="47"/>
    <d v="1899-12-30T01:19:33"/>
    <n v="79.55"/>
  </r>
  <r>
    <x v="152"/>
    <x v="2"/>
    <x v="0"/>
    <n v="58"/>
    <d v="1899-12-30T02:12:04"/>
    <n v="132.06666666666666"/>
  </r>
  <r>
    <x v="152"/>
    <x v="2"/>
    <x v="1"/>
    <n v="68"/>
    <d v="1899-12-30T03:03:09"/>
    <n v="183.15"/>
  </r>
  <r>
    <x v="152"/>
    <x v="2"/>
    <x v="2"/>
    <n v="55"/>
    <d v="1899-12-30T01:32:38"/>
    <n v="92.63333333333334"/>
  </r>
  <r>
    <x v="152"/>
    <x v="2"/>
    <x v="3"/>
    <n v="13"/>
    <d v="1899-12-30T00:19:08"/>
    <n v="19.133333333333333"/>
  </r>
  <r>
    <x v="152"/>
    <x v="2"/>
    <x v="4"/>
    <n v="7"/>
    <d v="1899-12-30T00:14:54"/>
    <n v="14.9"/>
  </r>
  <r>
    <x v="152"/>
    <x v="2"/>
    <x v="5"/>
    <n v="32"/>
    <d v="1899-12-30T00:45:25"/>
    <n v="45.416666666666664"/>
  </r>
  <r>
    <x v="152"/>
    <x v="3"/>
    <x v="0"/>
    <n v="23"/>
    <d v="1899-12-30T00:47:29"/>
    <n v="47.483333333333334"/>
  </r>
  <r>
    <x v="152"/>
    <x v="3"/>
    <x v="1"/>
    <n v="10"/>
    <d v="1899-12-30T00:32:24"/>
    <n v="32.4"/>
  </r>
  <r>
    <x v="152"/>
    <x v="3"/>
    <x v="2"/>
    <n v="8"/>
    <d v="1899-12-30T00:18:25"/>
    <n v="18.416666666666668"/>
  </r>
  <r>
    <x v="152"/>
    <x v="3"/>
    <x v="3"/>
    <n v="2"/>
    <d v="1899-12-30T00:02:09"/>
    <n v="2.15"/>
  </r>
  <r>
    <x v="152"/>
    <x v="3"/>
    <x v="4"/>
    <n v="3"/>
    <d v="1899-12-30T00:05:45"/>
    <n v="5.75"/>
  </r>
  <r>
    <x v="152"/>
    <x v="3"/>
    <x v="5"/>
    <n v="14"/>
    <d v="1899-12-30T00:22:07"/>
    <n v="22.116666666666667"/>
  </r>
  <r>
    <x v="152"/>
    <x v="4"/>
    <x v="0"/>
    <n v="19"/>
    <d v="1899-12-30T00:37:40"/>
    <n v="37.666666666666664"/>
  </r>
  <r>
    <x v="152"/>
    <x v="4"/>
    <x v="1"/>
    <n v="17"/>
    <d v="1899-12-30T00:32:47"/>
    <n v="32.783333333333331"/>
  </r>
  <r>
    <x v="152"/>
    <x v="4"/>
    <x v="2"/>
    <n v="21"/>
    <d v="1899-12-30T00:29:05"/>
    <n v="29.083333333333332"/>
  </r>
  <r>
    <x v="152"/>
    <x v="4"/>
    <x v="3"/>
    <n v="3"/>
    <d v="1899-12-30T00:03:14"/>
    <n v="3.2333333333333334"/>
  </r>
  <r>
    <x v="152"/>
    <x v="4"/>
    <x v="4"/>
    <n v="9"/>
    <d v="1899-12-30T00:18:49"/>
    <n v="18.816666666666666"/>
  </r>
  <r>
    <x v="152"/>
    <x v="4"/>
    <x v="5"/>
    <n v="10"/>
    <d v="1899-12-30T00:13:37"/>
    <n v="13.616666666666667"/>
  </r>
  <r>
    <x v="152"/>
    <x v="5"/>
    <x v="0"/>
    <n v="13"/>
    <d v="1899-12-30T00:21:11"/>
    <n v="21.183333333333334"/>
  </r>
  <r>
    <x v="152"/>
    <x v="5"/>
    <x v="1"/>
    <n v="9"/>
    <d v="1899-12-30T00:10:36"/>
    <n v="10.6"/>
  </r>
  <r>
    <x v="152"/>
    <x v="5"/>
    <x v="2"/>
    <n v="18"/>
    <d v="1899-12-30T00:16:37"/>
    <n v="16.616666666666667"/>
  </r>
  <r>
    <x v="152"/>
    <x v="5"/>
    <x v="3"/>
    <n v="5"/>
    <d v="1899-12-30T00:05:47"/>
    <n v="5.7833333333333332"/>
  </r>
  <r>
    <x v="152"/>
    <x v="5"/>
    <x v="4"/>
    <n v="0"/>
    <d v="1899-12-30T00:00:00"/>
    <n v="0"/>
  </r>
  <r>
    <x v="152"/>
    <x v="5"/>
    <x v="5"/>
    <n v="20"/>
    <d v="1899-12-30T00:31:38"/>
    <n v="31.633333333333333"/>
  </r>
  <r>
    <x v="152"/>
    <x v="6"/>
    <x v="0"/>
    <n v="6"/>
    <d v="1899-12-30T00:10:25"/>
    <n v="10.416666666666666"/>
  </r>
  <r>
    <x v="152"/>
    <x v="6"/>
    <x v="1"/>
    <n v="7"/>
    <d v="1899-12-30T00:10:30"/>
    <n v="10.5"/>
  </r>
  <r>
    <x v="152"/>
    <x v="6"/>
    <x v="2"/>
    <n v="6"/>
    <d v="1899-12-30T00:05:38"/>
    <n v="5.6333333333333329"/>
  </r>
  <r>
    <x v="152"/>
    <x v="6"/>
    <x v="3"/>
    <n v="2"/>
    <d v="1899-12-30T00:02:11"/>
    <n v="2.1833333333333331"/>
  </r>
  <r>
    <x v="152"/>
    <x v="6"/>
    <x v="4"/>
    <n v="6"/>
    <d v="1899-12-30T00:09:35"/>
    <n v="9.5833333333333339"/>
  </r>
  <r>
    <x v="152"/>
    <x v="6"/>
    <x v="5"/>
    <n v="3"/>
    <d v="1899-12-30T00:05:53"/>
    <n v="5.8833333333333329"/>
  </r>
  <r>
    <x v="152"/>
    <x v="7"/>
    <x v="0"/>
    <n v="45"/>
    <d v="1899-12-30T01:19:58"/>
    <n v="79.966666666666669"/>
  </r>
  <r>
    <x v="152"/>
    <x v="7"/>
    <x v="1"/>
    <n v="73"/>
    <d v="1899-12-30T01:56:31"/>
    <n v="116.51666666666667"/>
  </r>
  <r>
    <x v="152"/>
    <x v="7"/>
    <x v="2"/>
    <n v="36"/>
    <d v="1899-12-30T00:43:27"/>
    <n v="43.45"/>
  </r>
  <r>
    <x v="152"/>
    <x v="7"/>
    <x v="3"/>
    <n v="25"/>
    <d v="1899-12-30T00:27:02"/>
    <n v="27.033333333333335"/>
  </r>
  <r>
    <x v="152"/>
    <x v="7"/>
    <x v="4"/>
    <n v="146"/>
    <d v="1899-12-30T04:43:26"/>
    <n v="283.43333333333334"/>
  </r>
  <r>
    <x v="152"/>
    <x v="7"/>
    <x v="5"/>
    <n v="47"/>
    <d v="1899-12-30T00:59:20"/>
    <n v="59.333333333333336"/>
  </r>
  <r>
    <x v="152"/>
    <x v="8"/>
    <x v="0"/>
    <n v="10"/>
    <d v="1899-12-30T00:23:16"/>
    <n v="23.266666666666666"/>
  </r>
  <r>
    <x v="152"/>
    <x v="8"/>
    <x v="1"/>
    <n v="9"/>
    <d v="1899-12-30T00:14:58"/>
    <n v="14.966666666666667"/>
  </r>
  <r>
    <x v="152"/>
    <x v="8"/>
    <x v="2"/>
    <n v="7"/>
    <d v="1899-12-30T00:12:51"/>
    <n v="12.85"/>
  </r>
  <r>
    <x v="152"/>
    <x v="8"/>
    <x v="3"/>
    <n v="3"/>
    <d v="1899-12-30T00:03:23"/>
    <n v="3.3833333333333333"/>
  </r>
  <r>
    <x v="152"/>
    <x v="8"/>
    <x v="4"/>
    <n v="7"/>
    <d v="1899-12-30T00:11:32"/>
    <n v="11.533333333333333"/>
  </r>
  <r>
    <x v="152"/>
    <x v="8"/>
    <x v="5"/>
    <n v="8"/>
    <d v="1899-12-30T00:08:59"/>
    <n v="8.9833333333333325"/>
  </r>
  <r>
    <x v="152"/>
    <x v="9"/>
    <x v="0"/>
    <n v="33"/>
    <d v="1899-12-30T01:10:42"/>
    <n v="70.7"/>
  </r>
  <r>
    <x v="152"/>
    <x v="9"/>
    <x v="1"/>
    <n v="43"/>
    <d v="1899-12-30T01:23:16"/>
    <n v="83.266666666666666"/>
  </r>
  <r>
    <x v="152"/>
    <x v="9"/>
    <x v="2"/>
    <n v="28"/>
    <d v="1899-12-30T00:40:38"/>
    <n v="40.633333333333333"/>
  </r>
  <r>
    <x v="152"/>
    <x v="9"/>
    <x v="3"/>
    <n v="16"/>
    <d v="1899-12-30T00:20:28"/>
    <n v="20.466666666666665"/>
  </r>
  <r>
    <x v="152"/>
    <x v="9"/>
    <x v="4"/>
    <n v="7"/>
    <d v="1899-12-30T00:14:01"/>
    <n v="14.016666666666667"/>
  </r>
  <r>
    <x v="152"/>
    <x v="9"/>
    <x v="5"/>
    <n v="29"/>
    <d v="1899-12-30T00:33:42"/>
    <n v="33.700000000000003"/>
  </r>
  <r>
    <x v="152"/>
    <x v="10"/>
    <x v="0"/>
    <n v="20"/>
    <d v="1899-12-30T00:38:40"/>
    <n v="38.666666666666664"/>
  </r>
  <r>
    <x v="152"/>
    <x v="10"/>
    <x v="1"/>
    <n v="7"/>
    <d v="1899-12-30T00:23:47"/>
    <n v="23.783333333333335"/>
  </r>
  <r>
    <x v="152"/>
    <x v="10"/>
    <x v="2"/>
    <n v="12"/>
    <d v="1899-12-30T00:17:39"/>
    <n v="17.649999999999999"/>
  </r>
  <r>
    <x v="152"/>
    <x v="10"/>
    <x v="3"/>
    <n v="1"/>
    <d v="1899-12-30T00:01:15"/>
    <n v="1.25"/>
  </r>
  <r>
    <x v="152"/>
    <x v="10"/>
    <x v="4"/>
    <n v="4"/>
    <d v="1899-12-30T00:09:05"/>
    <n v="9.0833333333333339"/>
  </r>
  <r>
    <x v="152"/>
    <x v="10"/>
    <x v="5"/>
    <n v="10"/>
    <d v="1899-12-30T00:15:38"/>
    <n v="15.633333333333333"/>
  </r>
  <r>
    <x v="152"/>
    <x v="11"/>
    <x v="0"/>
    <n v="11"/>
    <d v="1899-12-30T00:23:54"/>
    <n v="23.9"/>
  </r>
  <r>
    <x v="152"/>
    <x v="11"/>
    <x v="1"/>
    <n v="7"/>
    <d v="1899-12-30T00:18:11"/>
    <n v="18.183333333333334"/>
  </r>
  <r>
    <x v="152"/>
    <x v="11"/>
    <x v="2"/>
    <n v="4"/>
    <d v="1899-12-30T00:08:08"/>
    <n v="8.1333333333333329"/>
  </r>
  <r>
    <x v="152"/>
    <x v="11"/>
    <x v="3"/>
    <n v="2"/>
    <d v="1899-12-30T00:02:16"/>
    <n v="2.2666666666666666"/>
  </r>
  <r>
    <x v="152"/>
    <x v="11"/>
    <x v="4"/>
    <n v="4"/>
    <d v="1899-12-30T00:03:49"/>
    <n v="3.8166666666666664"/>
  </r>
  <r>
    <x v="152"/>
    <x v="11"/>
    <x v="5"/>
    <n v="9"/>
    <d v="1899-12-30T00:16:13"/>
    <n v="16.216666666666665"/>
  </r>
  <r>
    <x v="152"/>
    <x v="12"/>
    <x v="0"/>
    <n v="80"/>
    <d v="1899-12-30T02:33:11"/>
    <n v="153.18333333333334"/>
  </r>
  <r>
    <x v="152"/>
    <x v="12"/>
    <x v="1"/>
    <n v="93"/>
    <d v="1899-12-30T03:39:37"/>
    <n v="219.61666666666667"/>
  </r>
  <r>
    <x v="152"/>
    <x v="12"/>
    <x v="2"/>
    <n v="61"/>
    <d v="1899-12-30T01:46:21"/>
    <n v="106.35"/>
  </r>
  <r>
    <x v="152"/>
    <x v="12"/>
    <x v="3"/>
    <n v="21"/>
    <d v="1899-12-30T00:27:31"/>
    <n v="27.516666666666666"/>
  </r>
  <r>
    <x v="152"/>
    <x v="12"/>
    <x v="4"/>
    <n v="26"/>
    <d v="1899-12-30T00:57:09"/>
    <n v="57.15"/>
  </r>
  <r>
    <x v="152"/>
    <x v="12"/>
    <x v="5"/>
    <n v="80"/>
    <d v="1899-12-30T01:51:48"/>
    <n v="111.8"/>
  </r>
  <r>
    <x v="152"/>
    <x v="13"/>
    <x v="0"/>
    <n v="40"/>
    <d v="1899-12-30T01:06:22"/>
    <n v="66.36666666666666"/>
  </r>
  <r>
    <x v="152"/>
    <x v="13"/>
    <x v="1"/>
    <n v="28"/>
    <d v="1899-12-30T00:58:32"/>
    <n v="58.533333333333331"/>
  </r>
  <r>
    <x v="152"/>
    <x v="13"/>
    <x v="2"/>
    <n v="15"/>
    <d v="1899-12-30T00:21:06"/>
    <n v="21.1"/>
  </r>
  <r>
    <x v="152"/>
    <x v="13"/>
    <x v="3"/>
    <n v="9"/>
    <d v="1899-12-30T01:06:56"/>
    <n v="66.933333333333337"/>
  </r>
  <r>
    <x v="152"/>
    <x v="13"/>
    <x v="4"/>
    <n v="0"/>
    <d v="1899-12-30T00:00:00"/>
    <n v="0"/>
  </r>
  <r>
    <x v="152"/>
    <x v="13"/>
    <x v="5"/>
    <n v="27"/>
    <d v="1899-12-30T00:39:30"/>
    <n v="39.5"/>
  </r>
  <r>
    <x v="153"/>
    <x v="0"/>
    <x v="0"/>
    <n v="25"/>
    <d v="1899-12-30T00:38:44"/>
    <n v="38.733333333333334"/>
  </r>
  <r>
    <x v="153"/>
    <x v="0"/>
    <x v="1"/>
    <n v="33"/>
    <d v="1899-12-30T00:41:32"/>
    <n v="41.533333333333331"/>
  </r>
  <r>
    <x v="153"/>
    <x v="0"/>
    <x v="2"/>
    <n v="28"/>
    <d v="1899-12-30T00:39:09"/>
    <n v="39.15"/>
  </r>
  <r>
    <x v="153"/>
    <x v="0"/>
    <x v="3"/>
    <n v="5"/>
    <d v="1899-12-30T00:04:48"/>
    <n v="4.8"/>
  </r>
  <r>
    <x v="153"/>
    <x v="0"/>
    <x v="4"/>
    <n v="8"/>
    <d v="1899-12-30T00:09:04"/>
    <n v="9.0666666666666664"/>
  </r>
  <r>
    <x v="153"/>
    <x v="0"/>
    <x v="5"/>
    <n v="35"/>
    <d v="1899-12-30T00:32:56"/>
    <n v="32.93333333333333"/>
  </r>
  <r>
    <x v="153"/>
    <x v="1"/>
    <x v="0"/>
    <n v="43"/>
    <d v="1899-12-30T01:39:38"/>
    <n v="99.63333333333334"/>
  </r>
  <r>
    <x v="153"/>
    <x v="1"/>
    <x v="1"/>
    <n v="25"/>
    <d v="1899-12-30T01:10:08"/>
    <n v="70.13333333333334"/>
  </r>
  <r>
    <x v="153"/>
    <x v="1"/>
    <x v="2"/>
    <n v="24"/>
    <d v="1899-12-30T01:02:10"/>
    <n v="62.166666666666664"/>
  </r>
  <r>
    <x v="153"/>
    <x v="1"/>
    <x v="3"/>
    <n v="6"/>
    <d v="1899-12-30T00:06:18"/>
    <n v="6.3"/>
  </r>
  <r>
    <x v="153"/>
    <x v="1"/>
    <x v="4"/>
    <n v="28"/>
    <d v="1899-12-30T01:07:53"/>
    <n v="67.88333333333334"/>
  </r>
  <r>
    <x v="153"/>
    <x v="1"/>
    <x v="5"/>
    <n v="68"/>
    <d v="1899-12-30T02:00:58"/>
    <n v="120.96666666666667"/>
  </r>
  <r>
    <x v="153"/>
    <x v="2"/>
    <x v="0"/>
    <n v="72"/>
    <d v="1899-12-30T02:35:07"/>
    <n v="155.11666666666667"/>
  </r>
  <r>
    <x v="153"/>
    <x v="2"/>
    <x v="1"/>
    <n v="82"/>
    <d v="1899-12-30T03:20:04"/>
    <n v="200.06666666666666"/>
  </r>
  <r>
    <x v="153"/>
    <x v="2"/>
    <x v="2"/>
    <n v="55"/>
    <d v="1899-12-30T01:41:07"/>
    <n v="101.11666666666666"/>
  </r>
  <r>
    <x v="153"/>
    <x v="2"/>
    <x v="3"/>
    <n v="17"/>
    <d v="1899-12-30T00:19:51"/>
    <n v="19.850000000000001"/>
  </r>
  <r>
    <x v="153"/>
    <x v="2"/>
    <x v="4"/>
    <n v="7"/>
    <d v="1899-12-30T00:18:35"/>
    <n v="18.583333333333332"/>
  </r>
  <r>
    <x v="153"/>
    <x v="2"/>
    <x v="5"/>
    <n v="42"/>
    <d v="1899-12-30T01:15:01"/>
    <n v="75.016666666666666"/>
  </r>
  <r>
    <x v="153"/>
    <x v="3"/>
    <x v="0"/>
    <n v="20"/>
    <d v="1899-12-30T00:44:14"/>
    <n v="44.233333333333334"/>
  </r>
  <r>
    <x v="153"/>
    <x v="3"/>
    <x v="1"/>
    <n v="14"/>
    <d v="1899-12-30T00:40:13"/>
    <n v="40.216666666666669"/>
  </r>
  <r>
    <x v="153"/>
    <x v="3"/>
    <x v="2"/>
    <n v="6"/>
    <d v="1899-12-30T00:16:28"/>
    <n v="16.466666666666665"/>
  </r>
  <r>
    <x v="153"/>
    <x v="3"/>
    <x v="3"/>
    <n v="2"/>
    <d v="1899-12-30T00:03:14"/>
    <n v="3.2333333333333334"/>
  </r>
  <r>
    <x v="153"/>
    <x v="3"/>
    <x v="4"/>
    <n v="1"/>
    <d v="1899-12-30T00:03:04"/>
    <n v="3.0666666666666669"/>
  </r>
  <r>
    <x v="153"/>
    <x v="3"/>
    <x v="5"/>
    <n v="10"/>
    <d v="1899-12-30T00:20:22"/>
    <n v="20.366666666666667"/>
  </r>
  <r>
    <x v="153"/>
    <x v="4"/>
    <x v="0"/>
    <n v="16"/>
    <d v="1899-12-30T00:38:53"/>
    <n v="38.883333333333333"/>
  </r>
  <r>
    <x v="153"/>
    <x v="4"/>
    <x v="1"/>
    <n v="25"/>
    <d v="1899-12-30T01:02:00"/>
    <n v="62"/>
  </r>
  <r>
    <x v="153"/>
    <x v="4"/>
    <x v="2"/>
    <n v="16"/>
    <d v="1899-12-30T00:32:56"/>
    <n v="32.93333333333333"/>
  </r>
  <r>
    <x v="153"/>
    <x v="4"/>
    <x v="3"/>
    <n v="6"/>
    <d v="1899-12-30T00:06:10"/>
    <n v="6.166666666666667"/>
  </r>
  <r>
    <x v="153"/>
    <x v="4"/>
    <x v="4"/>
    <n v="5"/>
    <d v="1899-12-30T00:12:39"/>
    <n v="12.65"/>
  </r>
  <r>
    <x v="153"/>
    <x v="4"/>
    <x v="5"/>
    <n v="17"/>
    <d v="1899-12-30T00:25:54"/>
    <n v="25.9"/>
  </r>
  <r>
    <x v="153"/>
    <x v="5"/>
    <x v="0"/>
    <n v="32"/>
    <d v="1899-12-30T00:51:14"/>
    <n v="51.233333333333334"/>
  </r>
  <r>
    <x v="153"/>
    <x v="5"/>
    <x v="1"/>
    <n v="33"/>
    <d v="1899-12-30T00:43:28"/>
    <n v="43.466666666666669"/>
  </r>
  <r>
    <x v="153"/>
    <x v="5"/>
    <x v="2"/>
    <n v="41"/>
    <d v="1899-12-30T00:55:43"/>
    <n v="55.716666666666669"/>
  </r>
  <r>
    <x v="153"/>
    <x v="5"/>
    <x v="3"/>
    <n v="13"/>
    <d v="1899-12-30T00:15:39"/>
    <n v="15.65"/>
  </r>
  <r>
    <x v="153"/>
    <x v="5"/>
    <x v="4"/>
    <n v="10"/>
    <d v="1899-12-30T00:17:16"/>
    <n v="17.266666666666666"/>
  </r>
  <r>
    <x v="153"/>
    <x v="5"/>
    <x v="5"/>
    <n v="45"/>
    <d v="1899-12-30T01:01:18"/>
    <n v="61.3"/>
  </r>
  <r>
    <x v="153"/>
    <x v="6"/>
    <x v="0"/>
    <n v="9"/>
    <d v="1899-12-30T00:23:42"/>
    <n v="23.7"/>
  </r>
  <r>
    <x v="153"/>
    <x v="6"/>
    <x v="1"/>
    <n v="10"/>
    <d v="1899-12-30T00:15:13"/>
    <n v="15.216666666666667"/>
  </r>
  <r>
    <x v="153"/>
    <x v="6"/>
    <x v="2"/>
    <n v="8"/>
    <d v="1899-12-30T00:16:36"/>
    <n v="16.600000000000001"/>
  </r>
  <r>
    <x v="153"/>
    <x v="6"/>
    <x v="3"/>
    <n v="6"/>
    <d v="1899-12-30T00:07:08"/>
    <n v="7.1333333333333337"/>
  </r>
  <r>
    <x v="153"/>
    <x v="6"/>
    <x v="4"/>
    <n v="5"/>
    <d v="1899-12-30T00:05:46"/>
    <n v="5.7666666666666666"/>
  </r>
  <r>
    <x v="153"/>
    <x v="6"/>
    <x v="5"/>
    <n v="8"/>
    <d v="1899-12-30T00:10:58"/>
    <n v="10.966666666666667"/>
  </r>
  <r>
    <x v="153"/>
    <x v="7"/>
    <x v="0"/>
    <n v="85"/>
    <d v="1899-12-30T02:19:38"/>
    <n v="139.63333333333333"/>
  </r>
  <r>
    <x v="153"/>
    <x v="7"/>
    <x v="1"/>
    <n v="126"/>
    <d v="1899-12-30T03:10:08"/>
    <n v="190.13333333333333"/>
  </r>
  <r>
    <x v="153"/>
    <x v="7"/>
    <x v="2"/>
    <n v="69"/>
    <d v="1899-12-30T01:33:33"/>
    <n v="93.55"/>
  </r>
  <r>
    <x v="153"/>
    <x v="7"/>
    <x v="3"/>
    <n v="27"/>
    <d v="1899-12-30T00:33:41"/>
    <n v="33.68333333333333"/>
  </r>
  <r>
    <x v="153"/>
    <x v="7"/>
    <x v="4"/>
    <n v="168"/>
    <d v="1899-12-30T05:24:10"/>
    <n v="324.16666666666669"/>
  </r>
  <r>
    <x v="153"/>
    <x v="7"/>
    <x v="5"/>
    <n v="74"/>
    <d v="1899-12-30T01:24:35"/>
    <n v="84.583333333333329"/>
  </r>
  <r>
    <x v="153"/>
    <x v="8"/>
    <x v="0"/>
    <n v="21"/>
    <d v="1899-12-30T00:38:12"/>
    <n v="38.200000000000003"/>
  </r>
  <r>
    <x v="153"/>
    <x v="8"/>
    <x v="1"/>
    <n v="24"/>
    <d v="1899-12-30T00:45:32"/>
    <n v="45.533333333333331"/>
  </r>
  <r>
    <x v="153"/>
    <x v="8"/>
    <x v="2"/>
    <n v="34"/>
    <d v="1899-12-30T00:50:40"/>
    <n v="50.666666666666664"/>
  </r>
  <r>
    <x v="153"/>
    <x v="8"/>
    <x v="3"/>
    <n v="14"/>
    <d v="1899-12-30T00:15:29"/>
    <n v="15.483333333333333"/>
  </r>
  <r>
    <x v="153"/>
    <x v="8"/>
    <x v="4"/>
    <n v="10"/>
    <d v="1899-12-30T00:25:43"/>
    <n v="25.716666666666665"/>
  </r>
  <r>
    <x v="153"/>
    <x v="8"/>
    <x v="5"/>
    <n v="29"/>
    <d v="1899-12-30T00:37:53"/>
    <n v="37.883333333333333"/>
  </r>
  <r>
    <x v="153"/>
    <x v="9"/>
    <x v="0"/>
    <n v="55"/>
    <d v="1899-12-30T01:47:14"/>
    <n v="107.23333333333333"/>
  </r>
  <r>
    <x v="153"/>
    <x v="9"/>
    <x v="1"/>
    <n v="79"/>
    <d v="1899-12-30T02:03:47"/>
    <n v="123.78333333333333"/>
  </r>
  <r>
    <x v="153"/>
    <x v="9"/>
    <x v="2"/>
    <n v="68"/>
    <d v="1899-12-30T01:43:35"/>
    <n v="103.58333333333333"/>
  </r>
  <r>
    <x v="153"/>
    <x v="9"/>
    <x v="3"/>
    <n v="15"/>
    <d v="1899-12-30T00:18:26"/>
    <n v="18.433333333333334"/>
  </r>
  <r>
    <x v="153"/>
    <x v="9"/>
    <x v="4"/>
    <n v="12"/>
    <d v="1899-12-30T00:22:17"/>
    <n v="22.283333333333335"/>
  </r>
  <r>
    <x v="153"/>
    <x v="9"/>
    <x v="5"/>
    <n v="54"/>
    <d v="1899-12-30T00:59:09"/>
    <n v="59.15"/>
  </r>
  <r>
    <x v="153"/>
    <x v="10"/>
    <x v="0"/>
    <n v="19"/>
    <d v="1899-12-30T00:35:25"/>
    <n v="35.416666666666664"/>
  </r>
  <r>
    <x v="153"/>
    <x v="10"/>
    <x v="1"/>
    <n v="25"/>
    <d v="1899-12-30T00:48:54"/>
    <n v="48.9"/>
  </r>
  <r>
    <x v="153"/>
    <x v="10"/>
    <x v="2"/>
    <n v="20"/>
    <d v="1899-12-30T00:44:48"/>
    <n v="44.8"/>
  </r>
  <r>
    <x v="153"/>
    <x v="10"/>
    <x v="3"/>
    <n v="3"/>
    <d v="1899-12-30T00:03:32"/>
    <n v="3.5333333333333332"/>
  </r>
  <r>
    <x v="153"/>
    <x v="10"/>
    <x v="4"/>
    <n v="8"/>
    <d v="1899-12-30T00:13:33"/>
    <n v="13.55"/>
  </r>
  <r>
    <x v="153"/>
    <x v="10"/>
    <x v="5"/>
    <n v="24"/>
    <d v="1899-12-30T00:32:31"/>
    <n v="32.516666666666666"/>
  </r>
  <r>
    <x v="153"/>
    <x v="11"/>
    <x v="0"/>
    <n v="18"/>
    <d v="1899-12-30T00:44:35"/>
    <n v="44.583333333333336"/>
  </r>
  <r>
    <x v="153"/>
    <x v="11"/>
    <x v="1"/>
    <n v="9"/>
    <d v="1899-12-30T00:18:10"/>
    <n v="18.166666666666668"/>
  </r>
  <r>
    <x v="153"/>
    <x v="11"/>
    <x v="2"/>
    <n v="5"/>
    <d v="1899-12-30T00:10:44"/>
    <n v="10.733333333333333"/>
  </r>
  <r>
    <x v="153"/>
    <x v="11"/>
    <x v="3"/>
    <n v="5"/>
    <d v="1899-12-30T00:05:17"/>
    <n v="5.2833333333333332"/>
  </r>
  <r>
    <x v="153"/>
    <x v="11"/>
    <x v="4"/>
    <n v="17"/>
    <d v="1899-12-30T00:33:15"/>
    <n v="33.25"/>
  </r>
  <r>
    <x v="153"/>
    <x v="11"/>
    <x v="5"/>
    <n v="13"/>
    <d v="1899-12-30T00:19:56"/>
    <n v="19.933333333333334"/>
  </r>
  <r>
    <x v="153"/>
    <x v="12"/>
    <x v="0"/>
    <n v="98"/>
    <d v="1899-12-30T03:33:49"/>
    <n v="213.81666666666666"/>
  </r>
  <r>
    <x v="153"/>
    <x v="12"/>
    <x v="1"/>
    <n v="111"/>
    <d v="1899-12-30T04:11:16"/>
    <n v="251.26666666666668"/>
  </r>
  <r>
    <x v="153"/>
    <x v="12"/>
    <x v="2"/>
    <n v="71"/>
    <d v="1899-12-30T02:08:18"/>
    <n v="128.30000000000001"/>
  </r>
  <r>
    <x v="153"/>
    <x v="12"/>
    <x v="3"/>
    <n v="23"/>
    <d v="1899-12-30T00:24:10"/>
    <n v="24.166666666666668"/>
  </r>
  <r>
    <x v="153"/>
    <x v="12"/>
    <x v="4"/>
    <n v="40"/>
    <d v="1899-12-30T01:18:51"/>
    <n v="78.849999999999994"/>
  </r>
  <r>
    <x v="153"/>
    <x v="12"/>
    <x v="5"/>
    <n v="98"/>
    <d v="1899-12-30T02:27:08"/>
    <n v="147.13333333333333"/>
  </r>
  <r>
    <x v="153"/>
    <x v="13"/>
    <x v="0"/>
    <n v="31"/>
    <d v="1899-12-30T01:01:29"/>
    <n v="61.483333333333334"/>
  </r>
  <r>
    <x v="153"/>
    <x v="13"/>
    <x v="1"/>
    <n v="15"/>
    <d v="1899-12-30T00:26:34"/>
    <n v="26.566666666666666"/>
  </r>
  <r>
    <x v="153"/>
    <x v="13"/>
    <x v="2"/>
    <n v="9"/>
    <d v="1899-12-30T00:07:13"/>
    <n v="7.2166666666666668"/>
  </r>
  <r>
    <x v="153"/>
    <x v="13"/>
    <x v="3"/>
    <n v="5"/>
    <d v="1899-12-30T00:06:45"/>
    <n v="6.75"/>
  </r>
  <r>
    <x v="153"/>
    <x v="13"/>
    <x v="4"/>
    <n v="0"/>
    <d v="1899-12-30T00:00:00"/>
    <n v="0"/>
  </r>
  <r>
    <x v="153"/>
    <x v="13"/>
    <x v="5"/>
    <n v="21"/>
    <d v="1899-12-30T00:22:40"/>
    <n v="22.666666666666668"/>
  </r>
  <r>
    <x v="154"/>
    <x v="0"/>
    <x v="0"/>
    <n v="13"/>
    <d v="1899-12-30T00:23:32"/>
    <n v="23.533333333333335"/>
  </r>
  <r>
    <x v="154"/>
    <x v="0"/>
    <x v="1"/>
    <n v="16"/>
    <d v="1899-12-30T00:22:44"/>
    <n v="22.733333333333334"/>
  </r>
  <r>
    <x v="154"/>
    <x v="0"/>
    <x v="2"/>
    <n v="21"/>
    <d v="1899-12-30T00:28:26"/>
    <n v="28.433333333333334"/>
  </r>
  <r>
    <x v="154"/>
    <x v="0"/>
    <x v="3"/>
    <n v="9"/>
    <d v="1899-12-30T00:11:19"/>
    <n v="11.316666666666666"/>
  </r>
  <r>
    <x v="154"/>
    <x v="0"/>
    <x v="4"/>
    <n v="4"/>
    <d v="1899-12-30T00:08:26"/>
    <n v="8.4333333333333336"/>
  </r>
  <r>
    <x v="154"/>
    <x v="0"/>
    <x v="5"/>
    <n v="16"/>
    <d v="1899-12-30T00:17:09"/>
    <n v="17.149999999999999"/>
  </r>
  <r>
    <x v="154"/>
    <x v="1"/>
    <x v="0"/>
    <n v="36"/>
    <d v="1899-12-30T01:24:50"/>
    <n v="84.833333333333329"/>
  </r>
  <r>
    <x v="154"/>
    <x v="1"/>
    <x v="1"/>
    <n v="16"/>
    <d v="1899-12-30T00:48:14"/>
    <n v="48.233333333333334"/>
  </r>
  <r>
    <x v="154"/>
    <x v="1"/>
    <x v="2"/>
    <n v="12"/>
    <d v="1899-12-30T00:24:12"/>
    <n v="24.2"/>
  </r>
  <r>
    <x v="154"/>
    <x v="1"/>
    <x v="3"/>
    <n v="8"/>
    <d v="1899-12-30T00:10:41"/>
    <n v="10.683333333333334"/>
  </r>
  <r>
    <x v="154"/>
    <x v="1"/>
    <x v="4"/>
    <n v="22"/>
    <d v="1899-12-30T00:49:14"/>
    <n v="49.233333333333334"/>
  </r>
  <r>
    <x v="154"/>
    <x v="1"/>
    <x v="5"/>
    <n v="46"/>
    <d v="1899-12-30T01:26:11"/>
    <n v="86.183333333333337"/>
  </r>
  <r>
    <x v="154"/>
    <x v="2"/>
    <x v="0"/>
    <n v="57"/>
    <d v="1899-12-30T02:14:35"/>
    <n v="134.58333333333334"/>
  </r>
  <r>
    <x v="154"/>
    <x v="2"/>
    <x v="1"/>
    <n v="80"/>
    <d v="1899-12-30T03:11:01"/>
    <n v="191.01666666666668"/>
  </r>
  <r>
    <x v="154"/>
    <x v="2"/>
    <x v="2"/>
    <n v="47"/>
    <d v="1899-12-30T01:22:58"/>
    <n v="82.966666666666669"/>
  </r>
  <r>
    <x v="154"/>
    <x v="2"/>
    <x v="3"/>
    <n v="10"/>
    <d v="1899-12-30T00:11:19"/>
    <n v="11.316666666666666"/>
  </r>
  <r>
    <x v="154"/>
    <x v="2"/>
    <x v="4"/>
    <n v="8"/>
    <d v="1899-12-30T00:20:27"/>
    <n v="20.45"/>
  </r>
  <r>
    <x v="154"/>
    <x v="2"/>
    <x v="5"/>
    <n v="32"/>
    <d v="1899-12-30T00:46:39"/>
    <n v="46.65"/>
  </r>
  <r>
    <x v="154"/>
    <x v="3"/>
    <x v="0"/>
    <n v="16"/>
    <d v="1899-12-30T00:40:20"/>
    <n v="40.333333333333336"/>
  </r>
  <r>
    <x v="154"/>
    <x v="3"/>
    <x v="1"/>
    <n v="5"/>
    <d v="1899-12-30T00:12:48"/>
    <n v="12.8"/>
  </r>
  <r>
    <x v="154"/>
    <x v="3"/>
    <x v="2"/>
    <n v="10"/>
    <d v="1899-12-30T00:18:59"/>
    <n v="18.983333333333334"/>
  </r>
  <r>
    <x v="154"/>
    <x v="3"/>
    <x v="3"/>
    <n v="4"/>
    <d v="1899-12-30T00:05:14"/>
    <n v="5.2333333333333334"/>
  </r>
  <r>
    <x v="154"/>
    <x v="3"/>
    <x v="4"/>
    <n v="4"/>
    <d v="1899-12-30T00:14:05"/>
    <n v="14.083333333333334"/>
  </r>
  <r>
    <x v="154"/>
    <x v="3"/>
    <x v="5"/>
    <n v="11"/>
    <d v="1899-12-30T00:17:53"/>
    <n v="17.883333333333333"/>
  </r>
  <r>
    <x v="154"/>
    <x v="4"/>
    <x v="0"/>
    <n v="27"/>
    <d v="1899-12-30T00:51:06"/>
    <n v="51.1"/>
  </r>
  <r>
    <x v="154"/>
    <x v="4"/>
    <x v="1"/>
    <n v="19"/>
    <d v="1899-12-30T00:38:11"/>
    <n v="38.18333333333333"/>
  </r>
  <r>
    <x v="154"/>
    <x v="4"/>
    <x v="2"/>
    <n v="14"/>
    <d v="1899-12-30T00:19:09"/>
    <n v="19.149999999999999"/>
  </r>
  <r>
    <x v="154"/>
    <x v="4"/>
    <x v="3"/>
    <n v="6"/>
    <d v="1899-12-30T00:07:19"/>
    <n v="7.3166666666666664"/>
  </r>
  <r>
    <x v="154"/>
    <x v="4"/>
    <x v="4"/>
    <n v="23"/>
    <d v="1899-12-30T00:45:38"/>
    <n v="45.633333333333333"/>
  </r>
  <r>
    <x v="154"/>
    <x v="4"/>
    <x v="5"/>
    <n v="15"/>
    <d v="1899-12-30T00:22:17"/>
    <n v="22.283333333333335"/>
  </r>
  <r>
    <x v="154"/>
    <x v="5"/>
    <x v="0"/>
    <n v="21"/>
    <d v="1899-12-30T00:37:41"/>
    <n v="37.68333333333333"/>
  </r>
  <r>
    <x v="154"/>
    <x v="5"/>
    <x v="1"/>
    <n v="20"/>
    <d v="1899-12-30T00:33:12"/>
    <n v="33.200000000000003"/>
  </r>
  <r>
    <x v="154"/>
    <x v="5"/>
    <x v="2"/>
    <n v="26"/>
    <d v="1899-12-30T00:42:28"/>
    <n v="42.466666666666669"/>
  </r>
  <r>
    <x v="154"/>
    <x v="5"/>
    <x v="3"/>
    <n v="4"/>
    <d v="1899-12-30T00:05:16"/>
    <n v="5.2666666666666666"/>
  </r>
  <r>
    <x v="154"/>
    <x v="5"/>
    <x v="4"/>
    <n v="4"/>
    <d v="1899-12-30T00:11:39"/>
    <n v="11.65"/>
  </r>
  <r>
    <x v="154"/>
    <x v="5"/>
    <x v="5"/>
    <n v="38"/>
    <d v="1899-12-30T00:47:26"/>
    <n v="47.43333333333333"/>
  </r>
  <r>
    <x v="154"/>
    <x v="6"/>
    <x v="0"/>
    <n v="9"/>
    <d v="1899-12-30T00:16:20"/>
    <n v="16.333333333333332"/>
  </r>
  <r>
    <x v="154"/>
    <x v="6"/>
    <x v="1"/>
    <n v="10"/>
    <d v="1899-12-30T00:22:23"/>
    <n v="22.383333333333333"/>
  </r>
  <r>
    <x v="154"/>
    <x v="6"/>
    <x v="2"/>
    <n v="7"/>
    <d v="1899-12-30T00:17:26"/>
    <n v="17.433333333333334"/>
  </r>
  <r>
    <x v="154"/>
    <x v="6"/>
    <x v="3"/>
    <n v="3"/>
    <d v="1899-12-30T00:13:35"/>
    <n v="13.583333333333334"/>
  </r>
  <r>
    <x v="154"/>
    <x v="6"/>
    <x v="4"/>
    <n v="7"/>
    <d v="1899-12-30T00:13:28"/>
    <n v="13.466666666666667"/>
  </r>
  <r>
    <x v="154"/>
    <x v="6"/>
    <x v="5"/>
    <n v="2"/>
    <d v="1899-12-30T00:03:17"/>
    <n v="3.2833333333333332"/>
  </r>
  <r>
    <x v="154"/>
    <x v="7"/>
    <x v="0"/>
    <n v="52"/>
    <d v="1899-12-30T01:23:40"/>
    <n v="83.666666666666671"/>
  </r>
  <r>
    <x v="154"/>
    <x v="7"/>
    <x v="1"/>
    <n v="64"/>
    <d v="1899-12-30T01:37:31"/>
    <n v="97.516666666666666"/>
  </r>
  <r>
    <x v="154"/>
    <x v="7"/>
    <x v="2"/>
    <n v="29"/>
    <d v="1899-12-30T00:43:50"/>
    <n v="43.833333333333336"/>
  </r>
  <r>
    <x v="154"/>
    <x v="7"/>
    <x v="3"/>
    <n v="32"/>
    <d v="1899-12-30T00:40:40"/>
    <n v="40.666666666666664"/>
  </r>
  <r>
    <x v="154"/>
    <x v="7"/>
    <x v="4"/>
    <n v="94"/>
    <d v="1899-12-30T03:11:21"/>
    <n v="191.35"/>
  </r>
  <r>
    <x v="154"/>
    <x v="7"/>
    <x v="5"/>
    <n v="44"/>
    <d v="1899-12-30T00:46:31"/>
    <n v="46.516666666666666"/>
  </r>
  <r>
    <x v="154"/>
    <x v="8"/>
    <x v="0"/>
    <n v="19"/>
    <d v="1899-12-30T00:38:27"/>
    <n v="38.450000000000003"/>
  </r>
  <r>
    <x v="154"/>
    <x v="8"/>
    <x v="1"/>
    <n v="29"/>
    <d v="1899-12-30T00:56:44"/>
    <n v="56.733333333333334"/>
  </r>
  <r>
    <x v="154"/>
    <x v="8"/>
    <x v="2"/>
    <n v="21"/>
    <d v="1899-12-30T00:37:07"/>
    <n v="37.116666666666667"/>
  </r>
  <r>
    <x v="154"/>
    <x v="8"/>
    <x v="3"/>
    <n v="8"/>
    <d v="1899-12-30T00:10:12"/>
    <n v="10.199999999999999"/>
  </r>
  <r>
    <x v="154"/>
    <x v="8"/>
    <x v="4"/>
    <n v="15"/>
    <d v="1899-12-30T00:34:12"/>
    <n v="34.200000000000003"/>
  </r>
  <r>
    <x v="154"/>
    <x v="8"/>
    <x v="5"/>
    <n v="25"/>
    <d v="1899-12-30T00:38:01"/>
    <n v="38.016666666666666"/>
  </r>
  <r>
    <x v="154"/>
    <x v="9"/>
    <x v="0"/>
    <n v="40"/>
    <d v="1899-12-30T01:22:38"/>
    <n v="82.63333333333334"/>
  </r>
  <r>
    <x v="154"/>
    <x v="9"/>
    <x v="1"/>
    <n v="62"/>
    <d v="1899-12-30T02:04:05"/>
    <n v="124.08333333333333"/>
  </r>
  <r>
    <x v="154"/>
    <x v="9"/>
    <x v="2"/>
    <n v="41"/>
    <d v="1899-12-30T01:10:17"/>
    <n v="70.283333333333331"/>
  </r>
  <r>
    <x v="154"/>
    <x v="9"/>
    <x v="3"/>
    <n v="14"/>
    <d v="1899-12-30T00:18:43"/>
    <n v="18.716666666666665"/>
  </r>
  <r>
    <x v="154"/>
    <x v="9"/>
    <x v="4"/>
    <n v="5"/>
    <d v="1899-12-30T00:10:53"/>
    <n v="10.883333333333333"/>
  </r>
  <r>
    <x v="154"/>
    <x v="9"/>
    <x v="5"/>
    <n v="30"/>
    <d v="1899-12-30T00:35:18"/>
    <n v="35.299999999999997"/>
  </r>
  <r>
    <x v="154"/>
    <x v="10"/>
    <x v="0"/>
    <n v="22"/>
    <d v="1899-12-30T00:40:41"/>
    <n v="40.68333333333333"/>
  </r>
  <r>
    <x v="154"/>
    <x v="10"/>
    <x v="1"/>
    <n v="20"/>
    <d v="1899-12-30T00:43:04"/>
    <n v="43.06666666666667"/>
  </r>
  <r>
    <x v="154"/>
    <x v="10"/>
    <x v="2"/>
    <n v="20"/>
    <d v="1899-12-30T00:34:32"/>
    <n v="34.533333333333331"/>
  </r>
  <r>
    <x v="154"/>
    <x v="10"/>
    <x v="3"/>
    <n v="7"/>
    <d v="1899-12-30T00:07:56"/>
    <n v="7.9333333333333336"/>
  </r>
  <r>
    <x v="154"/>
    <x v="10"/>
    <x v="4"/>
    <n v="8"/>
    <d v="1899-12-30T00:21:58"/>
    <n v="21.966666666666665"/>
  </r>
  <r>
    <x v="154"/>
    <x v="10"/>
    <x v="5"/>
    <n v="25"/>
    <d v="1899-12-30T00:35:36"/>
    <n v="35.6"/>
  </r>
  <r>
    <x v="154"/>
    <x v="11"/>
    <x v="0"/>
    <n v="14"/>
    <d v="1899-12-30T00:34:52"/>
    <n v="34.866666666666667"/>
  </r>
  <r>
    <x v="154"/>
    <x v="11"/>
    <x v="1"/>
    <n v="5"/>
    <d v="1899-12-30T00:11:40"/>
    <n v="11.666666666666666"/>
  </r>
  <r>
    <x v="154"/>
    <x v="11"/>
    <x v="2"/>
    <n v="9"/>
    <d v="1899-12-30T00:21:51"/>
    <n v="21.85"/>
  </r>
  <r>
    <x v="154"/>
    <x v="11"/>
    <x v="3"/>
    <n v="1"/>
    <d v="1899-12-30T00:00:56"/>
    <n v="0.93333333333333335"/>
  </r>
  <r>
    <x v="154"/>
    <x v="11"/>
    <x v="4"/>
    <n v="7"/>
    <d v="1899-12-30T00:05:49"/>
    <n v="5.8166666666666664"/>
  </r>
  <r>
    <x v="154"/>
    <x v="11"/>
    <x v="5"/>
    <n v="8"/>
    <d v="1899-12-30T00:13:41"/>
    <n v="13.683333333333334"/>
  </r>
  <r>
    <x v="154"/>
    <x v="12"/>
    <x v="0"/>
    <n v="85"/>
    <d v="1899-12-30T02:53:55"/>
    <n v="173.91666666666666"/>
  </r>
  <r>
    <x v="154"/>
    <x v="12"/>
    <x v="1"/>
    <n v="90"/>
    <d v="1899-12-30T03:18:47"/>
    <n v="198.78333333333333"/>
  </r>
  <r>
    <x v="154"/>
    <x v="12"/>
    <x v="2"/>
    <n v="67"/>
    <d v="1899-12-30T02:04:49"/>
    <n v="124.81666666666666"/>
  </r>
  <r>
    <x v="154"/>
    <x v="12"/>
    <x v="3"/>
    <n v="19"/>
    <d v="1899-12-30T00:19:51"/>
    <n v="19.850000000000001"/>
  </r>
  <r>
    <x v="154"/>
    <x v="12"/>
    <x v="4"/>
    <n v="30"/>
    <d v="1899-12-30T01:10:08"/>
    <n v="70.13333333333334"/>
  </r>
  <r>
    <x v="154"/>
    <x v="12"/>
    <x v="5"/>
    <n v="96"/>
    <d v="1899-12-30T02:28:24"/>
    <n v="148.4"/>
  </r>
  <r>
    <x v="154"/>
    <x v="13"/>
    <x v="0"/>
    <n v="31"/>
    <d v="1899-12-30T00:52:25"/>
    <n v="52.416666666666664"/>
  </r>
  <r>
    <x v="154"/>
    <x v="13"/>
    <x v="1"/>
    <n v="22"/>
    <d v="1899-12-30T00:40:28"/>
    <n v="40.466666666666669"/>
  </r>
  <r>
    <x v="154"/>
    <x v="13"/>
    <x v="2"/>
    <n v="26"/>
    <d v="1899-12-30T00:37:54"/>
    <n v="37.9"/>
  </r>
  <r>
    <x v="154"/>
    <x v="13"/>
    <x v="3"/>
    <n v="5"/>
    <d v="1899-12-30T00:05:47"/>
    <n v="5.7833333333333332"/>
  </r>
  <r>
    <x v="154"/>
    <x v="13"/>
    <x v="4"/>
    <n v="1"/>
    <d v="1899-12-30T00:01:56"/>
    <n v="1.9333333333333333"/>
  </r>
  <r>
    <x v="154"/>
    <x v="13"/>
    <x v="5"/>
    <n v="26"/>
    <d v="1899-12-30T00:28:18"/>
    <n v="28.3"/>
  </r>
  <r>
    <x v="155"/>
    <x v="0"/>
    <x v="0"/>
    <n v="60"/>
    <d v="1899-12-30T01:21:25"/>
    <n v="81.416666666666671"/>
  </r>
  <r>
    <x v="155"/>
    <x v="0"/>
    <x v="1"/>
    <n v="53"/>
    <d v="1899-12-30T01:12:17"/>
    <n v="72.283333333333331"/>
  </r>
  <r>
    <x v="155"/>
    <x v="0"/>
    <x v="2"/>
    <n v="60"/>
    <d v="1899-12-30T01:17:07"/>
    <n v="77.11666666666666"/>
  </r>
  <r>
    <x v="155"/>
    <x v="0"/>
    <x v="3"/>
    <n v="8"/>
    <d v="1899-12-30T00:09:34"/>
    <n v="9.5666666666666664"/>
  </r>
  <r>
    <x v="155"/>
    <x v="0"/>
    <x v="4"/>
    <n v="4"/>
    <d v="1899-12-30T00:04:00"/>
    <n v="4"/>
  </r>
  <r>
    <x v="155"/>
    <x v="0"/>
    <x v="5"/>
    <n v="34"/>
    <d v="1899-12-30T00:46:08"/>
    <n v="46.133333333333333"/>
  </r>
  <r>
    <x v="155"/>
    <x v="1"/>
    <x v="0"/>
    <n v="32"/>
    <d v="1899-12-30T01:27:08"/>
    <n v="87.13333333333334"/>
  </r>
  <r>
    <x v="155"/>
    <x v="1"/>
    <x v="1"/>
    <n v="16"/>
    <d v="1899-12-30T00:52:00"/>
    <n v="52"/>
  </r>
  <r>
    <x v="155"/>
    <x v="1"/>
    <x v="2"/>
    <n v="20"/>
    <d v="1899-12-30T00:43:52"/>
    <n v="43.866666666666667"/>
  </r>
  <r>
    <x v="155"/>
    <x v="1"/>
    <x v="3"/>
    <n v="2"/>
    <d v="1899-12-30T00:02:16"/>
    <n v="2.2666666666666666"/>
  </r>
  <r>
    <x v="155"/>
    <x v="1"/>
    <x v="4"/>
    <n v="18"/>
    <d v="1899-12-30T00:41:37"/>
    <n v="41.616666666666667"/>
  </r>
  <r>
    <x v="155"/>
    <x v="1"/>
    <x v="5"/>
    <n v="43"/>
    <d v="1899-12-30T01:36:25"/>
    <n v="96.416666666666671"/>
  </r>
  <r>
    <x v="155"/>
    <x v="2"/>
    <x v="0"/>
    <n v="63"/>
    <d v="1899-12-30T02:24:23"/>
    <n v="144.38333333333333"/>
  </r>
  <r>
    <x v="155"/>
    <x v="2"/>
    <x v="1"/>
    <n v="69"/>
    <d v="1899-12-30T02:38:15"/>
    <n v="158.25"/>
  </r>
  <r>
    <x v="155"/>
    <x v="2"/>
    <x v="2"/>
    <n v="30"/>
    <d v="1899-12-30T01:05:57"/>
    <n v="65.95"/>
  </r>
  <r>
    <x v="155"/>
    <x v="2"/>
    <x v="3"/>
    <n v="6"/>
    <d v="1899-12-30T00:07:15"/>
    <n v="7.25"/>
  </r>
  <r>
    <x v="155"/>
    <x v="2"/>
    <x v="4"/>
    <n v="14"/>
    <d v="1899-12-30T00:31:36"/>
    <n v="31.6"/>
  </r>
  <r>
    <x v="155"/>
    <x v="2"/>
    <x v="5"/>
    <n v="23"/>
    <d v="1899-12-30T00:33:43"/>
    <n v="33.716666666666669"/>
  </r>
  <r>
    <x v="155"/>
    <x v="3"/>
    <x v="0"/>
    <n v="12"/>
    <d v="1899-12-30T00:30:01"/>
    <n v="30.016666666666666"/>
  </r>
  <r>
    <x v="155"/>
    <x v="3"/>
    <x v="1"/>
    <n v="5"/>
    <d v="1899-12-30T00:14:57"/>
    <n v="14.95"/>
  </r>
  <r>
    <x v="155"/>
    <x v="3"/>
    <x v="2"/>
    <n v="4"/>
    <d v="1899-12-30T00:09:05"/>
    <n v="9.0833333333333339"/>
  </r>
  <r>
    <x v="155"/>
    <x v="3"/>
    <x v="3"/>
    <n v="2"/>
    <d v="1899-12-30T00:02:10"/>
    <n v="2.1666666666666665"/>
  </r>
  <r>
    <x v="155"/>
    <x v="3"/>
    <x v="4"/>
    <n v="0"/>
    <d v="1899-12-30T00:00:00"/>
    <n v="0"/>
  </r>
  <r>
    <x v="155"/>
    <x v="3"/>
    <x v="5"/>
    <n v="6"/>
    <d v="1899-12-30T00:09:35"/>
    <n v="9.5833333333333339"/>
  </r>
  <r>
    <x v="155"/>
    <x v="4"/>
    <x v="0"/>
    <n v="17"/>
    <d v="1899-12-30T00:33:09"/>
    <n v="33.15"/>
  </r>
  <r>
    <x v="155"/>
    <x v="4"/>
    <x v="1"/>
    <n v="28"/>
    <d v="1899-12-30T00:48:53"/>
    <n v="48.883333333333333"/>
  </r>
  <r>
    <x v="155"/>
    <x v="4"/>
    <x v="2"/>
    <n v="8"/>
    <d v="1899-12-30T00:12:22"/>
    <n v="12.366666666666667"/>
  </r>
  <r>
    <x v="155"/>
    <x v="4"/>
    <x v="3"/>
    <n v="6"/>
    <d v="1899-12-30T00:06:57"/>
    <n v="6.95"/>
  </r>
  <r>
    <x v="155"/>
    <x v="4"/>
    <x v="4"/>
    <n v="9"/>
    <d v="1899-12-30T00:24:19"/>
    <n v="24.316666666666666"/>
  </r>
  <r>
    <x v="155"/>
    <x v="4"/>
    <x v="5"/>
    <n v="5"/>
    <d v="1899-12-30T00:08:23"/>
    <n v="8.3833333333333329"/>
  </r>
  <r>
    <x v="155"/>
    <x v="5"/>
    <x v="0"/>
    <n v="16"/>
    <d v="1899-12-30T00:28:36"/>
    <n v="28.6"/>
  </r>
  <r>
    <x v="155"/>
    <x v="5"/>
    <x v="1"/>
    <n v="12"/>
    <d v="1899-12-30T00:25:05"/>
    <n v="25.083333333333332"/>
  </r>
  <r>
    <x v="155"/>
    <x v="5"/>
    <x v="2"/>
    <n v="28"/>
    <d v="1899-12-30T00:39:00"/>
    <n v="39"/>
  </r>
  <r>
    <x v="155"/>
    <x v="5"/>
    <x v="3"/>
    <n v="5"/>
    <d v="1899-12-30T00:07:12"/>
    <n v="7.2"/>
  </r>
  <r>
    <x v="155"/>
    <x v="5"/>
    <x v="4"/>
    <n v="2"/>
    <d v="1899-12-30T00:02:37"/>
    <n v="2.6166666666666667"/>
  </r>
  <r>
    <x v="155"/>
    <x v="5"/>
    <x v="5"/>
    <n v="20"/>
    <d v="1899-12-30T00:26:21"/>
    <n v="26.35"/>
  </r>
  <r>
    <x v="155"/>
    <x v="6"/>
    <x v="0"/>
    <n v="66"/>
    <d v="1899-12-30T02:37:45"/>
    <n v="157.75"/>
  </r>
  <r>
    <x v="155"/>
    <x v="6"/>
    <x v="1"/>
    <n v="55"/>
    <d v="1899-12-30T01:56:00"/>
    <n v="116"/>
  </r>
  <r>
    <x v="155"/>
    <x v="6"/>
    <x v="2"/>
    <n v="47"/>
    <d v="1899-12-30T01:08:55"/>
    <n v="68.916666666666671"/>
  </r>
  <r>
    <x v="155"/>
    <x v="6"/>
    <x v="3"/>
    <n v="5"/>
    <d v="1899-12-30T00:07:18"/>
    <n v="7.3"/>
  </r>
  <r>
    <x v="155"/>
    <x v="6"/>
    <x v="4"/>
    <n v="5"/>
    <d v="1899-12-30T00:11:04"/>
    <n v="11.066666666666666"/>
  </r>
  <r>
    <x v="155"/>
    <x v="6"/>
    <x v="5"/>
    <n v="46"/>
    <d v="1899-12-30T01:41:08"/>
    <n v="101.13333333333334"/>
  </r>
  <r>
    <x v="155"/>
    <x v="7"/>
    <x v="0"/>
    <n v="34"/>
    <d v="1899-12-30T00:41:31"/>
    <n v="41.516666666666666"/>
  </r>
  <r>
    <x v="155"/>
    <x v="7"/>
    <x v="1"/>
    <n v="90"/>
    <d v="1899-12-30T02:04:21"/>
    <n v="124.35"/>
  </r>
  <r>
    <x v="155"/>
    <x v="7"/>
    <x v="2"/>
    <n v="31"/>
    <d v="1899-12-30T00:43:33"/>
    <n v="43.55"/>
  </r>
  <r>
    <x v="155"/>
    <x v="7"/>
    <x v="3"/>
    <n v="25"/>
    <d v="1899-12-30T00:34:09"/>
    <n v="34.15"/>
  </r>
  <r>
    <x v="155"/>
    <x v="7"/>
    <x v="4"/>
    <n v="138"/>
    <d v="1899-12-30T04:13:57"/>
    <n v="253.95"/>
  </r>
  <r>
    <x v="155"/>
    <x v="7"/>
    <x v="5"/>
    <n v="41"/>
    <d v="1899-12-30T00:38:16"/>
    <n v="38.266666666666666"/>
  </r>
  <r>
    <x v="155"/>
    <x v="8"/>
    <x v="0"/>
    <n v="5"/>
    <d v="1899-12-30T00:08:02"/>
    <n v="8.0333333333333332"/>
  </r>
  <r>
    <x v="155"/>
    <x v="8"/>
    <x v="1"/>
    <n v="7"/>
    <d v="1899-12-30T00:11:10"/>
    <n v="11.166666666666666"/>
  </r>
  <r>
    <x v="155"/>
    <x v="8"/>
    <x v="2"/>
    <n v="14"/>
    <d v="1899-12-30T00:24:11"/>
    <n v="24.183333333333334"/>
  </r>
  <r>
    <x v="155"/>
    <x v="8"/>
    <x v="3"/>
    <n v="2"/>
    <d v="1899-12-30T00:02:16"/>
    <n v="2.2666666666666666"/>
  </r>
  <r>
    <x v="155"/>
    <x v="8"/>
    <x v="4"/>
    <n v="6"/>
    <d v="1899-12-30T00:10:42"/>
    <n v="10.7"/>
  </r>
  <r>
    <x v="155"/>
    <x v="8"/>
    <x v="5"/>
    <n v="10"/>
    <d v="1899-12-30T00:14:17"/>
    <n v="14.283333333333333"/>
  </r>
  <r>
    <x v="155"/>
    <x v="9"/>
    <x v="0"/>
    <n v="34"/>
    <d v="1899-12-30T01:09:56"/>
    <n v="69.933333333333337"/>
  </r>
  <r>
    <x v="155"/>
    <x v="9"/>
    <x v="1"/>
    <n v="55"/>
    <d v="1899-12-30T01:29:00"/>
    <n v="89"/>
  </r>
  <r>
    <x v="155"/>
    <x v="9"/>
    <x v="2"/>
    <n v="37"/>
    <d v="1899-12-30T00:54:41"/>
    <n v="54.68333333333333"/>
  </r>
  <r>
    <x v="155"/>
    <x v="9"/>
    <x v="3"/>
    <n v="12"/>
    <d v="1899-12-30T00:15:02"/>
    <n v="15.033333333333333"/>
  </r>
  <r>
    <x v="155"/>
    <x v="9"/>
    <x v="4"/>
    <n v="11"/>
    <d v="1899-12-30T00:28:02"/>
    <n v="28.033333333333335"/>
  </r>
  <r>
    <x v="155"/>
    <x v="9"/>
    <x v="5"/>
    <n v="44"/>
    <d v="1899-12-30T00:51:02"/>
    <n v="51.033333333333331"/>
  </r>
  <r>
    <x v="155"/>
    <x v="10"/>
    <x v="0"/>
    <n v="17"/>
    <d v="1899-12-30T00:34:48"/>
    <n v="34.799999999999997"/>
  </r>
  <r>
    <x v="155"/>
    <x v="10"/>
    <x v="1"/>
    <n v="17"/>
    <d v="1899-12-30T00:37:53"/>
    <n v="37.883333333333333"/>
  </r>
  <r>
    <x v="155"/>
    <x v="10"/>
    <x v="2"/>
    <n v="20"/>
    <d v="1899-12-30T00:32:43"/>
    <n v="32.716666666666669"/>
  </r>
  <r>
    <x v="155"/>
    <x v="10"/>
    <x v="3"/>
    <n v="0"/>
    <d v="1899-12-30T00:00:00"/>
    <n v="0"/>
  </r>
  <r>
    <x v="155"/>
    <x v="10"/>
    <x v="4"/>
    <n v="3"/>
    <d v="1899-12-30T00:01:48"/>
    <n v="1.8"/>
  </r>
  <r>
    <x v="155"/>
    <x v="10"/>
    <x v="5"/>
    <n v="16"/>
    <d v="1899-12-30T00:23:25"/>
    <n v="23.416666666666668"/>
  </r>
  <r>
    <x v="155"/>
    <x v="11"/>
    <x v="0"/>
    <n v="7"/>
    <d v="1899-12-30T00:17:41"/>
    <n v="17.683333333333334"/>
  </r>
  <r>
    <x v="155"/>
    <x v="11"/>
    <x v="1"/>
    <n v="6"/>
    <d v="1899-12-30T00:12:04"/>
    <n v="12.066666666666666"/>
  </r>
  <r>
    <x v="155"/>
    <x v="11"/>
    <x v="2"/>
    <n v="3"/>
    <d v="1899-12-30T00:07:10"/>
    <n v="7.166666666666667"/>
  </r>
  <r>
    <x v="155"/>
    <x v="11"/>
    <x v="3"/>
    <n v="5"/>
    <d v="1899-12-30T00:05:40"/>
    <n v="5.666666666666667"/>
  </r>
  <r>
    <x v="155"/>
    <x v="11"/>
    <x v="4"/>
    <n v="12"/>
    <d v="1899-12-30T00:12:54"/>
    <n v="12.9"/>
  </r>
  <r>
    <x v="155"/>
    <x v="11"/>
    <x v="5"/>
    <n v="10"/>
    <d v="1899-12-30T00:14:13"/>
    <n v="14.216666666666667"/>
  </r>
  <r>
    <x v="155"/>
    <x v="12"/>
    <x v="0"/>
    <n v="87"/>
    <d v="1899-12-30T03:00:04"/>
    <n v="180.06666666666666"/>
  </r>
  <r>
    <x v="155"/>
    <x v="12"/>
    <x v="1"/>
    <n v="82"/>
    <d v="1899-12-30T02:32:25"/>
    <n v="152.41666666666666"/>
  </r>
  <r>
    <x v="155"/>
    <x v="12"/>
    <x v="2"/>
    <n v="67"/>
    <d v="1899-12-30T02:12:45"/>
    <n v="132.75"/>
  </r>
  <r>
    <x v="155"/>
    <x v="12"/>
    <x v="3"/>
    <n v="11"/>
    <d v="1899-12-30T00:11:59"/>
    <n v="11.983333333333333"/>
  </r>
  <r>
    <x v="155"/>
    <x v="12"/>
    <x v="4"/>
    <n v="28"/>
    <d v="1899-12-30T01:06:40"/>
    <n v="66.666666666666671"/>
  </r>
  <r>
    <x v="155"/>
    <x v="12"/>
    <x v="5"/>
    <n v="77"/>
    <d v="1899-12-30T02:07:06"/>
    <n v="127.1"/>
  </r>
  <r>
    <x v="155"/>
    <x v="13"/>
    <x v="0"/>
    <n v="24"/>
    <d v="1899-12-30T00:39:29"/>
    <n v="39.483333333333334"/>
  </r>
  <r>
    <x v="155"/>
    <x v="13"/>
    <x v="1"/>
    <n v="15"/>
    <d v="1899-12-30T00:19:29"/>
    <n v="19.483333333333334"/>
  </r>
  <r>
    <x v="155"/>
    <x v="13"/>
    <x v="2"/>
    <n v="12"/>
    <d v="1899-12-30T00:13:39"/>
    <n v="13.65"/>
  </r>
  <r>
    <x v="155"/>
    <x v="13"/>
    <x v="3"/>
    <n v="5"/>
    <d v="1899-12-30T00:05:09"/>
    <n v="5.15"/>
  </r>
  <r>
    <x v="155"/>
    <x v="13"/>
    <x v="4"/>
    <n v="1"/>
    <d v="1899-12-30T00:01:35"/>
    <n v="1.5833333333333335"/>
  </r>
  <r>
    <x v="155"/>
    <x v="13"/>
    <x v="5"/>
    <n v="27"/>
    <d v="1899-12-30T00:29:13"/>
    <n v="29.216666666666665"/>
  </r>
  <r>
    <x v="156"/>
    <x v="0"/>
    <x v="0"/>
    <n v="103"/>
    <d v="1899-12-30T02:42:26"/>
    <n v="162.43333333333334"/>
  </r>
  <r>
    <x v="156"/>
    <x v="0"/>
    <x v="1"/>
    <n v="107"/>
    <d v="1899-12-30T02:23:45"/>
    <n v="143.75"/>
  </r>
  <r>
    <x v="156"/>
    <x v="0"/>
    <x v="2"/>
    <n v="115"/>
    <d v="1899-12-30T02:36:48"/>
    <n v="156.80000000000001"/>
  </r>
  <r>
    <x v="156"/>
    <x v="0"/>
    <x v="3"/>
    <n v="8"/>
    <d v="1899-12-30T00:09:57"/>
    <n v="9.9499999999999993"/>
  </r>
  <r>
    <x v="156"/>
    <x v="0"/>
    <x v="4"/>
    <n v="2"/>
    <d v="1899-12-30T00:03:19"/>
    <n v="3.3166666666666664"/>
  </r>
  <r>
    <x v="156"/>
    <x v="0"/>
    <x v="5"/>
    <n v="59"/>
    <d v="1899-12-30T01:09:19"/>
    <n v="69.316666666666663"/>
  </r>
  <r>
    <x v="156"/>
    <x v="1"/>
    <x v="0"/>
    <n v="45"/>
    <d v="1899-12-30T01:45:04"/>
    <n v="105.06666666666666"/>
  </r>
  <r>
    <x v="156"/>
    <x v="1"/>
    <x v="1"/>
    <n v="31"/>
    <d v="1899-12-30T01:27:43"/>
    <n v="87.716666666666669"/>
  </r>
  <r>
    <x v="156"/>
    <x v="1"/>
    <x v="2"/>
    <n v="26"/>
    <d v="1899-12-30T00:56:55"/>
    <n v="56.916666666666664"/>
  </r>
  <r>
    <x v="156"/>
    <x v="1"/>
    <x v="3"/>
    <n v="7"/>
    <d v="1899-12-30T00:07:04"/>
    <n v="7.0666666666666664"/>
  </r>
  <r>
    <x v="156"/>
    <x v="1"/>
    <x v="4"/>
    <n v="25"/>
    <d v="1899-12-30T01:04:08"/>
    <n v="64.13333333333334"/>
  </r>
  <r>
    <x v="156"/>
    <x v="1"/>
    <x v="5"/>
    <n v="60"/>
    <d v="1899-12-30T01:47:37"/>
    <n v="107.61666666666666"/>
  </r>
  <r>
    <x v="156"/>
    <x v="2"/>
    <x v="0"/>
    <n v="59"/>
    <d v="1899-12-30T02:02:49"/>
    <n v="122.81666666666666"/>
  </r>
  <r>
    <x v="156"/>
    <x v="2"/>
    <x v="1"/>
    <n v="75"/>
    <d v="1899-12-30T02:45:03"/>
    <n v="165.05"/>
  </r>
  <r>
    <x v="156"/>
    <x v="2"/>
    <x v="2"/>
    <n v="38"/>
    <d v="1899-12-30T01:26:01"/>
    <n v="86.016666666666666"/>
  </r>
  <r>
    <x v="156"/>
    <x v="2"/>
    <x v="3"/>
    <n v="14"/>
    <d v="1899-12-30T00:17:31"/>
    <n v="17.516666666666666"/>
  </r>
  <r>
    <x v="156"/>
    <x v="2"/>
    <x v="4"/>
    <n v="11"/>
    <d v="1899-12-30T00:25:36"/>
    <n v="25.6"/>
  </r>
  <r>
    <x v="156"/>
    <x v="2"/>
    <x v="5"/>
    <n v="28"/>
    <d v="1899-12-30T00:48:38"/>
    <n v="48.633333333333333"/>
  </r>
  <r>
    <x v="156"/>
    <x v="3"/>
    <x v="0"/>
    <n v="16"/>
    <d v="1899-12-30T00:38:02"/>
    <n v="38.033333333333331"/>
  </r>
  <r>
    <x v="156"/>
    <x v="3"/>
    <x v="1"/>
    <n v="11"/>
    <d v="1899-12-30T00:32:29"/>
    <n v="32.483333333333334"/>
  </r>
  <r>
    <x v="156"/>
    <x v="3"/>
    <x v="2"/>
    <n v="4"/>
    <d v="1899-12-30T00:05:22"/>
    <n v="5.3666666666666663"/>
  </r>
  <r>
    <x v="156"/>
    <x v="3"/>
    <x v="3"/>
    <n v="2"/>
    <d v="1899-12-30T00:02:34"/>
    <n v="2.5666666666666664"/>
  </r>
  <r>
    <x v="156"/>
    <x v="3"/>
    <x v="4"/>
    <n v="4"/>
    <d v="1899-12-30T00:15:07"/>
    <n v="15.116666666666667"/>
  </r>
  <r>
    <x v="156"/>
    <x v="3"/>
    <x v="5"/>
    <n v="11"/>
    <d v="1899-12-30T00:16:36"/>
    <n v="16.600000000000001"/>
  </r>
  <r>
    <x v="156"/>
    <x v="4"/>
    <x v="0"/>
    <n v="42"/>
    <d v="1899-12-30T01:11:38"/>
    <n v="71.63333333333334"/>
  </r>
  <r>
    <x v="156"/>
    <x v="4"/>
    <x v="1"/>
    <n v="47"/>
    <d v="1899-12-30T01:44:17"/>
    <n v="104.28333333333333"/>
  </r>
  <r>
    <x v="156"/>
    <x v="4"/>
    <x v="2"/>
    <n v="18"/>
    <d v="1899-12-30T00:24:17"/>
    <n v="24.283333333333335"/>
  </r>
  <r>
    <x v="156"/>
    <x v="4"/>
    <x v="3"/>
    <n v="9"/>
    <d v="1899-12-30T00:09:48"/>
    <n v="9.8000000000000007"/>
  </r>
  <r>
    <x v="156"/>
    <x v="4"/>
    <x v="4"/>
    <n v="12"/>
    <d v="1899-12-30T00:29:40"/>
    <n v="29.666666666666668"/>
  </r>
  <r>
    <x v="156"/>
    <x v="4"/>
    <x v="5"/>
    <n v="22"/>
    <d v="1899-12-30T00:29:04"/>
    <n v="29.066666666666666"/>
  </r>
  <r>
    <x v="156"/>
    <x v="5"/>
    <x v="0"/>
    <n v="18"/>
    <d v="1899-12-30T00:31:13"/>
    <n v="31.216666666666665"/>
  </r>
  <r>
    <x v="156"/>
    <x v="5"/>
    <x v="1"/>
    <n v="23"/>
    <d v="1899-12-30T00:34:55"/>
    <n v="34.916666666666664"/>
  </r>
  <r>
    <x v="156"/>
    <x v="5"/>
    <x v="2"/>
    <n v="22"/>
    <d v="1899-12-30T00:29:10"/>
    <n v="29.166666666666668"/>
  </r>
  <r>
    <x v="156"/>
    <x v="5"/>
    <x v="3"/>
    <n v="4"/>
    <d v="1899-12-30T00:05:11"/>
    <n v="5.1833333333333336"/>
  </r>
  <r>
    <x v="156"/>
    <x v="5"/>
    <x v="4"/>
    <n v="4"/>
    <d v="1899-12-30T00:07:51"/>
    <n v="7.85"/>
  </r>
  <r>
    <x v="156"/>
    <x v="5"/>
    <x v="5"/>
    <n v="30"/>
    <d v="1899-12-30T00:34:57"/>
    <n v="34.950000000000003"/>
  </r>
  <r>
    <x v="156"/>
    <x v="6"/>
    <x v="0"/>
    <n v="17"/>
    <d v="1899-12-30T00:39:15"/>
    <n v="39.25"/>
  </r>
  <r>
    <x v="156"/>
    <x v="6"/>
    <x v="1"/>
    <n v="22"/>
    <d v="1899-12-30T00:41:40"/>
    <n v="41.666666666666664"/>
  </r>
  <r>
    <x v="156"/>
    <x v="6"/>
    <x v="2"/>
    <n v="12"/>
    <d v="1899-12-30T00:18:28"/>
    <n v="18.466666666666665"/>
  </r>
  <r>
    <x v="156"/>
    <x v="6"/>
    <x v="3"/>
    <n v="2"/>
    <d v="1899-12-30T00:02:31"/>
    <n v="2.5166666666666666"/>
  </r>
  <r>
    <x v="156"/>
    <x v="6"/>
    <x v="4"/>
    <n v="11"/>
    <d v="1899-12-30T00:17:39"/>
    <n v="17.649999999999999"/>
  </r>
  <r>
    <x v="156"/>
    <x v="6"/>
    <x v="5"/>
    <n v="17"/>
    <d v="1899-12-30T00:31:00"/>
    <n v="31"/>
  </r>
  <r>
    <x v="156"/>
    <x v="7"/>
    <x v="0"/>
    <n v="38"/>
    <d v="1899-12-30T00:58:43"/>
    <n v="58.716666666666669"/>
  </r>
  <r>
    <x v="156"/>
    <x v="7"/>
    <x v="1"/>
    <n v="66"/>
    <d v="1899-12-30T01:44:17"/>
    <n v="104.28333333333333"/>
  </r>
  <r>
    <x v="156"/>
    <x v="7"/>
    <x v="2"/>
    <n v="33"/>
    <d v="1899-12-30T00:40:54"/>
    <n v="40.9"/>
  </r>
  <r>
    <x v="156"/>
    <x v="7"/>
    <x v="3"/>
    <n v="20"/>
    <d v="1899-12-30T00:25:06"/>
    <n v="25.1"/>
  </r>
  <r>
    <x v="156"/>
    <x v="7"/>
    <x v="4"/>
    <n v="140"/>
    <d v="1899-12-30T04:39:47"/>
    <n v="279.78333333333336"/>
  </r>
  <r>
    <x v="156"/>
    <x v="7"/>
    <x v="5"/>
    <n v="53"/>
    <d v="1899-12-30T00:54:27"/>
    <n v="54.45"/>
  </r>
  <r>
    <x v="156"/>
    <x v="8"/>
    <x v="0"/>
    <n v="20"/>
    <d v="1899-12-30T00:36:17"/>
    <n v="36.283333333333331"/>
  </r>
  <r>
    <x v="156"/>
    <x v="8"/>
    <x v="1"/>
    <n v="30"/>
    <d v="1899-12-30T00:51:52"/>
    <n v="51.866666666666667"/>
  </r>
  <r>
    <x v="156"/>
    <x v="8"/>
    <x v="2"/>
    <n v="22"/>
    <d v="1899-12-30T00:34:49"/>
    <n v="34.81666666666667"/>
  </r>
  <r>
    <x v="156"/>
    <x v="8"/>
    <x v="3"/>
    <n v="5"/>
    <d v="1899-12-30T00:06:45"/>
    <n v="6.75"/>
  </r>
  <r>
    <x v="156"/>
    <x v="8"/>
    <x v="4"/>
    <n v="8"/>
    <d v="1899-12-30T00:18:41"/>
    <n v="18.683333333333334"/>
  </r>
  <r>
    <x v="156"/>
    <x v="8"/>
    <x v="5"/>
    <n v="26"/>
    <d v="1899-12-30T00:30:52"/>
    <n v="30.866666666666667"/>
  </r>
  <r>
    <x v="156"/>
    <x v="9"/>
    <x v="0"/>
    <n v="74"/>
    <d v="1899-12-30T02:19:49"/>
    <n v="139.81666666666666"/>
  </r>
  <r>
    <x v="156"/>
    <x v="9"/>
    <x v="1"/>
    <n v="82"/>
    <d v="1899-12-30T02:16:59"/>
    <n v="136.98333333333332"/>
  </r>
  <r>
    <x v="156"/>
    <x v="9"/>
    <x v="2"/>
    <n v="68"/>
    <d v="1899-12-30T01:43:02"/>
    <n v="103.03333333333333"/>
  </r>
  <r>
    <x v="156"/>
    <x v="9"/>
    <x v="3"/>
    <n v="13"/>
    <d v="1899-12-30T00:17:39"/>
    <n v="17.649999999999999"/>
  </r>
  <r>
    <x v="156"/>
    <x v="9"/>
    <x v="4"/>
    <n v="17"/>
    <d v="1899-12-30T00:37:08"/>
    <n v="37.133333333333333"/>
  </r>
  <r>
    <x v="156"/>
    <x v="9"/>
    <x v="5"/>
    <n v="43"/>
    <d v="1899-12-30T01:01:27"/>
    <n v="61.45"/>
  </r>
  <r>
    <x v="156"/>
    <x v="10"/>
    <x v="0"/>
    <n v="31"/>
    <d v="1899-12-30T01:07:17"/>
    <n v="67.283333333333331"/>
  </r>
  <r>
    <x v="156"/>
    <x v="10"/>
    <x v="1"/>
    <n v="22"/>
    <d v="1899-12-30T00:45:46"/>
    <n v="45.766666666666666"/>
  </r>
  <r>
    <x v="156"/>
    <x v="10"/>
    <x v="2"/>
    <n v="23"/>
    <d v="1899-12-30T00:39:42"/>
    <n v="39.700000000000003"/>
  </r>
  <r>
    <x v="156"/>
    <x v="10"/>
    <x v="3"/>
    <n v="6"/>
    <d v="1899-12-30T00:06:57"/>
    <n v="6.95"/>
  </r>
  <r>
    <x v="156"/>
    <x v="10"/>
    <x v="4"/>
    <n v="13"/>
    <d v="1899-12-30T00:29:06"/>
    <n v="29.1"/>
  </r>
  <r>
    <x v="156"/>
    <x v="10"/>
    <x v="5"/>
    <n v="36"/>
    <d v="1899-12-30T00:56:20"/>
    <n v="56.333333333333336"/>
  </r>
  <r>
    <x v="156"/>
    <x v="11"/>
    <x v="0"/>
    <n v="19"/>
    <d v="1899-12-30T00:41:43"/>
    <n v="41.716666666666669"/>
  </r>
  <r>
    <x v="156"/>
    <x v="11"/>
    <x v="1"/>
    <n v="7"/>
    <d v="1899-12-30T00:16:47"/>
    <n v="16.783333333333335"/>
  </r>
  <r>
    <x v="156"/>
    <x v="11"/>
    <x v="2"/>
    <n v="5"/>
    <d v="1899-12-30T00:09:29"/>
    <n v="9.4833333333333325"/>
  </r>
  <r>
    <x v="156"/>
    <x v="11"/>
    <x v="3"/>
    <n v="3"/>
    <d v="1899-12-30T00:04:39"/>
    <n v="4.6500000000000004"/>
  </r>
  <r>
    <x v="156"/>
    <x v="11"/>
    <x v="4"/>
    <n v="13"/>
    <d v="1899-12-30T00:19:05"/>
    <n v="19.083333333333332"/>
  </r>
  <r>
    <x v="156"/>
    <x v="11"/>
    <x v="5"/>
    <n v="12"/>
    <d v="1899-12-30T00:19:22"/>
    <n v="19.366666666666667"/>
  </r>
  <r>
    <x v="156"/>
    <x v="12"/>
    <x v="0"/>
    <n v="98"/>
    <d v="1899-12-30T03:41:18"/>
    <n v="221.3"/>
  </r>
  <r>
    <x v="156"/>
    <x v="12"/>
    <x v="1"/>
    <n v="83"/>
    <d v="1899-12-30T02:51:23"/>
    <n v="171.38333333333333"/>
  </r>
  <r>
    <x v="156"/>
    <x v="12"/>
    <x v="2"/>
    <n v="65"/>
    <d v="1899-12-30T02:15:38"/>
    <n v="135.63333333333333"/>
  </r>
  <r>
    <x v="156"/>
    <x v="12"/>
    <x v="3"/>
    <n v="23"/>
    <d v="1899-12-30T00:26:06"/>
    <n v="26.1"/>
  </r>
  <r>
    <x v="156"/>
    <x v="12"/>
    <x v="4"/>
    <n v="34"/>
    <d v="1899-12-30T01:14:23"/>
    <n v="74.38333333333334"/>
  </r>
  <r>
    <x v="156"/>
    <x v="12"/>
    <x v="5"/>
    <n v="86"/>
    <d v="1899-12-30T02:08:35"/>
    <n v="128.58333333333334"/>
  </r>
  <r>
    <x v="156"/>
    <x v="13"/>
    <x v="0"/>
    <n v="31"/>
    <d v="1899-12-30T00:59:22"/>
    <n v="59.366666666666667"/>
  </r>
  <r>
    <x v="156"/>
    <x v="13"/>
    <x v="1"/>
    <n v="14"/>
    <d v="1899-12-30T00:30:40"/>
    <n v="30.666666666666668"/>
  </r>
  <r>
    <x v="156"/>
    <x v="13"/>
    <x v="2"/>
    <n v="15"/>
    <d v="1899-12-30T00:12:48"/>
    <n v="12.8"/>
  </r>
  <r>
    <x v="156"/>
    <x v="13"/>
    <x v="3"/>
    <n v="4"/>
    <d v="1899-12-30T00:04:40"/>
    <n v="4.666666666666667"/>
  </r>
  <r>
    <x v="156"/>
    <x v="13"/>
    <x v="4"/>
    <n v="1"/>
    <d v="1899-12-30T00:01:59"/>
    <n v="1.9833333333333334"/>
  </r>
  <r>
    <x v="156"/>
    <x v="13"/>
    <x v="5"/>
    <n v="31"/>
    <d v="1899-12-30T00:41:10"/>
    <n v="41.166666666666664"/>
  </r>
  <r>
    <x v="157"/>
    <x v="0"/>
    <x v="0"/>
    <n v="99"/>
    <d v="1899-12-30T02:35:18"/>
    <n v="155.30000000000001"/>
  </r>
  <r>
    <x v="157"/>
    <x v="0"/>
    <x v="1"/>
    <n v="55"/>
    <d v="1899-12-30T01:24:29"/>
    <n v="84.483333333333334"/>
  </r>
  <r>
    <x v="157"/>
    <x v="0"/>
    <x v="2"/>
    <n v="55"/>
    <d v="1899-12-30T01:10:46"/>
    <n v="70.766666666666666"/>
  </r>
  <r>
    <x v="157"/>
    <x v="0"/>
    <x v="3"/>
    <n v="10"/>
    <d v="1899-12-30T00:12:21"/>
    <n v="12.35"/>
  </r>
  <r>
    <x v="157"/>
    <x v="0"/>
    <x v="4"/>
    <n v="2"/>
    <d v="1899-12-30T00:02:05"/>
    <n v="2.0833333333333335"/>
  </r>
  <r>
    <x v="157"/>
    <x v="0"/>
    <x v="5"/>
    <n v="53"/>
    <d v="1899-12-30T00:52:58"/>
    <n v="52.966666666666669"/>
  </r>
  <r>
    <x v="157"/>
    <x v="1"/>
    <x v="0"/>
    <n v="20"/>
    <d v="1899-12-30T00:52:40"/>
    <n v="52.666666666666664"/>
  </r>
  <r>
    <x v="157"/>
    <x v="1"/>
    <x v="1"/>
    <n v="21"/>
    <d v="1899-12-30T01:05:17"/>
    <n v="65.283333333333331"/>
  </r>
  <r>
    <x v="157"/>
    <x v="1"/>
    <x v="2"/>
    <n v="23"/>
    <d v="1899-12-30T00:55:29"/>
    <n v="55.483333333333334"/>
  </r>
  <r>
    <x v="157"/>
    <x v="1"/>
    <x v="3"/>
    <n v="9"/>
    <d v="1899-12-30T00:07:34"/>
    <n v="7.5666666666666664"/>
  </r>
  <r>
    <x v="157"/>
    <x v="1"/>
    <x v="4"/>
    <n v="21"/>
    <d v="1899-12-30T00:50:42"/>
    <n v="50.7"/>
  </r>
  <r>
    <x v="157"/>
    <x v="1"/>
    <x v="5"/>
    <n v="47"/>
    <d v="1899-12-30T01:35:50"/>
    <n v="95.833333333333329"/>
  </r>
  <r>
    <x v="157"/>
    <x v="2"/>
    <x v="0"/>
    <n v="65"/>
    <d v="1899-12-30T02:23:57"/>
    <n v="143.94999999999999"/>
  </r>
  <r>
    <x v="157"/>
    <x v="2"/>
    <x v="1"/>
    <n v="60"/>
    <d v="1899-12-30T02:05:55"/>
    <n v="125.91666666666667"/>
  </r>
  <r>
    <x v="157"/>
    <x v="2"/>
    <x v="2"/>
    <n v="38"/>
    <d v="1899-12-30T01:18:34"/>
    <n v="78.566666666666663"/>
  </r>
  <r>
    <x v="157"/>
    <x v="2"/>
    <x v="3"/>
    <n v="7"/>
    <d v="1899-12-30T00:06:18"/>
    <n v="6.3"/>
  </r>
  <r>
    <x v="157"/>
    <x v="2"/>
    <x v="4"/>
    <n v="11"/>
    <d v="1899-12-30T00:31:28"/>
    <n v="31.466666666666665"/>
  </r>
  <r>
    <x v="157"/>
    <x v="2"/>
    <x v="5"/>
    <n v="40"/>
    <d v="1899-12-30T00:56:08"/>
    <n v="56.133333333333333"/>
  </r>
  <r>
    <x v="157"/>
    <x v="3"/>
    <x v="0"/>
    <n v="14"/>
    <d v="1899-12-30T00:30:22"/>
    <n v="30.366666666666667"/>
  </r>
  <r>
    <x v="157"/>
    <x v="3"/>
    <x v="1"/>
    <n v="8"/>
    <d v="1899-12-30T00:24:39"/>
    <n v="24.65"/>
  </r>
  <r>
    <x v="157"/>
    <x v="3"/>
    <x v="2"/>
    <n v="2"/>
    <d v="1899-12-30T00:06:42"/>
    <n v="6.7"/>
  </r>
  <r>
    <x v="157"/>
    <x v="3"/>
    <x v="3"/>
    <n v="1"/>
    <d v="1899-12-30T00:00:58"/>
    <n v="0.96666666666666667"/>
  </r>
  <r>
    <x v="157"/>
    <x v="3"/>
    <x v="4"/>
    <n v="1"/>
    <d v="1899-12-30T00:02:43"/>
    <n v="2.7166666666666668"/>
  </r>
  <r>
    <x v="157"/>
    <x v="3"/>
    <x v="5"/>
    <n v="10"/>
    <d v="1899-12-30T00:12:44"/>
    <n v="12.733333333333333"/>
  </r>
  <r>
    <x v="157"/>
    <x v="4"/>
    <x v="0"/>
    <n v="34"/>
    <d v="1899-12-30T01:03:57"/>
    <n v="63.95"/>
  </r>
  <r>
    <x v="157"/>
    <x v="4"/>
    <x v="1"/>
    <n v="30"/>
    <d v="1899-12-30T00:59:47"/>
    <n v="59.783333333333331"/>
  </r>
  <r>
    <x v="157"/>
    <x v="4"/>
    <x v="2"/>
    <n v="31"/>
    <d v="1899-12-30T00:46:16"/>
    <n v="46.266666666666666"/>
  </r>
  <r>
    <x v="157"/>
    <x v="4"/>
    <x v="3"/>
    <n v="6"/>
    <d v="1899-12-30T00:06:40"/>
    <n v="6.666666666666667"/>
  </r>
  <r>
    <x v="157"/>
    <x v="4"/>
    <x v="4"/>
    <n v="7"/>
    <d v="1899-12-30T00:15:45"/>
    <n v="15.75"/>
  </r>
  <r>
    <x v="157"/>
    <x v="4"/>
    <x v="5"/>
    <n v="29"/>
    <d v="1899-12-30T00:35:29"/>
    <n v="35.483333333333334"/>
  </r>
  <r>
    <x v="157"/>
    <x v="5"/>
    <x v="0"/>
    <n v="30"/>
    <d v="1899-12-30T00:51:57"/>
    <n v="51.95"/>
  </r>
  <r>
    <x v="157"/>
    <x v="5"/>
    <x v="1"/>
    <n v="25"/>
    <d v="1899-12-30T00:38:07"/>
    <n v="38.116666666666667"/>
  </r>
  <r>
    <x v="157"/>
    <x v="5"/>
    <x v="2"/>
    <n v="31"/>
    <d v="1899-12-30T00:41:56"/>
    <n v="41.93333333333333"/>
  </r>
  <r>
    <x v="157"/>
    <x v="5"/>
    <x v="3"/>
    <n v="5"/>
    <d v="1899-12-30T00:05:10"/>
    <n v="5.166666666666667"/>
  </r>
  <r>
    <x v="157"/>
    <x v="5"/>
    <x v="4"/>
    <n v="8"/>
    <d v="1899-12-30T00:13:32"/>
    <n v="13.533333333333333"/>
  </r>
  <r>
    <x v="157"/>
    <x v="5"/>
    <x v="5"/>
    <n v="32"/>
    <d v="1899-12-30T00:44:45"/>
    <n v="44.75"/>
  </r>
  <r>
    <x v="157"/>
    <x v="6"/>
    <x v="0"/>
    <n v="3"/>
    <d v="1899-12-30T00:05:29"/>
    <n v="5.4833333333333334"/>
  </r>
  <r>
    <x v="157"/>
    <x v="6"/>
    <x v="1"/>
    <n v="4"/>
    <d v="1899-12-30T00:07:48"/>
    <n v="7.8"/>
  </r>
  <r>
    <x v="157"/>
    <x v="6"/>
    <x v="2"/>
    <n v="2"/>
    <d v="1899-12-30T00:03:15"/>
    <n v="3.25"/>
  </r>
  <r>
    <x v="157"/>
    <x v="6"/>
    <x v="3"/>
    <n v="0"/>
    <d v="1899-12-30T00:00:00"/>
    <n v="0"/>
  </r>
  <r>
    <x v="157"/>
    <x v="6"/>
    <x v="4"/>
    <n v="9"/>
    <d v="1899-12-30T00:21:45"/>
    <n v="21.75"/>
  </r>
  <r>
    <x v="157"/>
    <x v="6"/>
    <x v="5"/>
    <n v="2"/>
    <d v="1899-12-30T00:03:39"/>
    <n v="3.65"/>
  </r>
  <r>
    <x v="157"/>
    <x v="7"/>
    <x v="0"/>
    <n v="32"/>
    <d v="1899-12-30T00:47:53"/>
    <n v="47.883333333333333"/>
  </r>
  <r>
    <x v="157"/>
    <x v="7"/>
    <x v="1"/>
    <n v="70"/>
    <d v="1899-12-30T01:49:54"/>
    <n v="109.9"/>
  </r>
  <r>
    <x v="157"/>
    <x v="7"/>
    <x v="2"/>
    <n v="25"/>
    <d v="1899-12-30T00:38:01"/>
    <n v="38.016666666666666"/>
  </r>
  <r>
    <x v="157"/>
    <x v="7"/>
    <x v="3"/>
    <n v="18"/>
    <d v="1899-12-30T00:15:00"/>
    <n v="15"/>
  </r>
  <r>
    <x v="157"/>
    <x v="7"/>
    <x v="4"/>
    <n v="120"/>
    <d v="1899-12-30T04:22:54"/>
    <n v="262.89999999999998"/>
  </r>
  <r>
    <x v="157"/>
    <x v="7"/>
    <x v="5"/>
    <n v="34"/>
    <d v="1899-12-30T00:31:22"/>
    <n v="31.366666666666667"/>
  </r>
  <r>
    <x v="157"/>
    <x v="8"/>
    <x v="0"/>
    <n v="31"/>
    <d v="1899-12-30T00:54:43"/>
    <n v="54.716666666666669"/>
  </r>
  <r>
    <x v="157"/>
    <x v="8"/>
    <x v="1"/>
    <n v="33"/>
    <d v="1899-12-30T00:52:13"/>
    <n v="52.216666666666669"/>
  </r>
  <r>
    <x v="157"/>
    <x v="8"/>
    <x v="2"/>
    <n v="30"/>
    <d v="1899-12-30T00:47:06"/>
    <n v="47.1"/>
  </r>
  <r>
    <x v="157"/>
    <x v="8"/>
    <x v="3"/>
    <n v="14"/>
    <d v="1899-12-30T00:12:10"/>
    <n v="12.166666666666666"/>
  </r>
  <r>
    <x v="157"/>
    <x v="8"/>
    <x v="4"/>
    <n v="10"/>
    <d v="1899-12-30T00:18:11"/>
    <n v="18.183333333333334"/>
  </r>
  <r>
    <x v="157"/>
    <x v="8"/>
    <x v="5"/>
    <n v="36"/>
    <d v="1899-12-30T00:46:01"/>
    <n v="46.016666666666666"/>
  </r>
  <r>
    <x v="157"/>
    <x v="9"/>
    <x v="0"/>
    <n v="40"/>
    <d v="1899-12-30T01:11:23"/>
    <n v="71.38333333333334"/>
  </r>
  <r>
    <x v="157"/>
    <x v="9"/>
    <x v="1"/>
    <n v="66"/>
    <d v="1899-12-30T02:07:42"/>
    <n v="127.7"/>
  </r>
  <r>
    <x v="157"/>
    <x v="9"/>
    <x v="2"/>
    <n v="45"/>
    <d v="1899-12-30T01:15:10"/>
    <n v="75.166666666666671"/>
  </r>
  <r>
    <x v="157"/>
    <x v="9"/>
    <x v="3"/>
    <n v="18"/>
    <d v="1899-12-30T00:15:04"/>
    <n v="15.066666666666666"/>
  </r>
  <r>
    <x v="157"/>
    <x v="9"/>
    <x v="4"/>
    <n v="12"/>
    <d v="1899-12-30T00:19:10"/>
    <n v="19.166666666666668"/>
  </r>
  <r>
    <x v="157"/>
    <x v="9"/>
    <x v="5"/>
    <n v="49"/>
    <d v="1899-12-30T00:56:45"/>
    <n v="56.75"/>
  </r>
  <r>
    <x v="157"/>
    <x v="10"/>
    <x v="0"/>
    <n v="17"/>
    <d v="1899-12-30T00:38:57"/>
    <n v="38.950000000000003"/>
  </r>
  <r>
    <x v="157"/>
    <x v="10"/>
    <x v="1"/>
    <n v="9"/>
    <d v="1899-12-30T00:23:32"/>
    <n v="23.533333333333335"/>
  </r>
  <r>
    <x v="157"/>
    <x v="10"/>
    <x v="2"/>
    <n v="10"/>
    <d v="1899-12-30T00:19:02"/>
    <n v="19.033333333333335"/>
  </r>
  <r>
    <x v="157"/>
    <x v="10"/>
    <x v="3"/>
    <n v="0"/>
    <d v="1899-12-30T00:00:00"/>
    <n v="0"/>
  </r>
  <r>
    <x v="157"/>
    <x v="10"/>
    <x v="4"/>
    <n v="3"/>
    <d v="1899-12-30T00:05:44"/>
    <n v="5.7333333333333334"/>
  </r>
  <r>
    <x v="157"/>
    <x v="10"/>
    <x v="5"/>
    <n v="14"/>
    <d v="1899-12-30T00:30:10"/>
    <n v="30.166666666666668"/>
  </r>
  <r>
    <x v="157"/>
    <x v="11"/>
    <x v="0"/>
    <n v="14"/>
    <d v="1899-12-30T00:33:39"/>
    <n v="33.65"/>
  </r>
  <r>
    <x v="157"/>
    <x v="11"/>
    <x v="1"/>
    <n v="3"/>
    <d v="1899-12-30T00:09:04"/>
    <n v="9.0666666666666664"/>
  </r>
  <r>
    <x v="157"/>
    <x v="11"/>
    <x v="2"/>
    <n v="2"/>
    <d v="1899-12-30T00:05:41"/>
    <n v="5.6833333333333336"/>
  </r>
  <r>
    <x v="157"/>
    <x v="11"/>
    <x v="3"/>
    <n v="6"/>
    <d v="1899-12-30T00:04:54"/>
    <n v="4.9000000000000004"/>
  </r>
  <r>
    <x v="157"/>
    <x v="11"/>
    <x v="4"/>
    <n v="10"/>
    <d v="1899-12-30T00:23:52"/>
    <n v="23.866666666666667"/>
  </r>
  <r>
    <x v="157"/>
    <x v="11"/>
    <x v="5"/>
    <n v="11"/>
    <d v="1899-12-30T00:16:17"/>
    <n v="16.283333333333335"/>
  </r>
  <r>
    <x v="157"/>
    <x v="12"/>
    <x v="0"/>
    <n v="73"/>
    <d v="1899-12-30T02:36:41"/>
    <n v="156.68333333333334"/>
  </r>
  <r>
    <x v="157"/>
    <x v="12"/>
    <x v="1"/>
    <n v="67"/>
    <d v="1899-12-30T02:43:53"/>
    <n v="163.88333333333333"/>
  </r>
  <r>
    <x v="157"/>
    <x v="12"/>
    <x v="2"/>
    <n v="44"/>
    <d v="1899-12-30T01:36:15"/>
    <n v="96.25"/>
  </r>
  <r>
    <x v="157"/>
    <x v="12"/>
    <x v="3"/>
    <n v="18"/>
    <d v="1899-12-30T00:15:29"/>
    <n v="15.483333333333333"/>
  </r>
  <r>
    <x v="157"/>
    <x v="12"/>
    <x v="4"/>
    <n v="19"/>
    <d v="1899-12-30T00:38:28"/>
    <n v="38.466666666666669"/>
  </r>
  <r>
    <x v="157"/>
    <x v="12"/>
    <x v="5"/>
    <n v="58"/>
    <d v="1899-12-30T01:12:23"/>
    <n v="72.38333333333334"/>
  </r>
  <r>
    <x v="157"/>
    <x v="13"/>
    <x v="0"/>
    <n v="39"/>
    <d v="1899-12-30T01:14:37"/>
    <n v="74.61666666666666"/>
  </r>
  <r>
    <x v="157"/>
    <x v="13"/>
    <x v="1"/>
    <n v="48"/>
    <d v="1899-12-30T01:02:34"/>
    <n v="62.56666666666667"/>
  </r>
  <r>
    <x v="157"/>
    <x v="13"/>
    <x v="2"/>
    <n v="26"/>
    <d v="1899-12-30T00:35:41"/>
    <n v="35.68333333333333"/>
  </r>
  <r>
    <x v="157"/>
    <x v="13"/>
    <x v="3"/>
    <n v="16"/>
    <d v="1899-12-30T00:16:08"/>
    <n v="16.133333333333333"/>
  </r>
  <r>
    <x v="157"/>
    <x v="13"/>
    <x v="4"/>
    <n v="2"/>
    <d v="1899-12-30T00:02:49"/>
    <n v="2.8166666666666664"/>
  </r>
  <r>
    <x v="157"/>
    <x v="13"/>
    <x v="5"/>
    <n v="40"/>
    <d v="1899-12-30T00:43:30"/>
    <n v="43.5"/>
  </r>
  <r>
    <x v="158"/>
    <x v="0"/>
    <x v="0"/>
    <n v="20"/>
    <d v="1899-12-30T00:25:17"/>
    <n v="25.283333333333335"/>
  </r>
  <r>
    <x v="158"/>
    <x v="0"/>
    <x v="1"/>
    <n v="12"/>
    <d v="1899-12-30T00:14:45"/>
    <n v="14.75"/>
  </r>
  <r>
    <x v="158"/>
    <x v="0"/>
    <x v="2"/>
    <n v="19"/>
    <d v="1899-12-30T00:25:23"/>
    <n v="25.383333333333333"/>
  </r>
  <r>
    <x v="158"/>
    <x v="0"/>
    <x v="3"/>
    <n v="3"/>
    <d v="1899-12-30T00:03:48"/>
    <n v="3.8"/>
  </r>
  <r>
    <x v="158"/>
    <x v="0"/>
    <x v="4"/>
    <n v="1"/>
    <d v="1899-12-30T00:02:16"/>
    <n v="2.2666666666666666"/>
  </r>
  <r>
    <x v="158"/>
    <x v="0"/>
    <x v="5"/>
    <n v="16"/>
    <d v="1899-12-30T00:17:20"/>
    <n v="17.333333333333332"/>
  </r>
  <r>
    <x v="158"/>
    <x v="1"/>
    <x v="0"/>
    <n v="25"/>
    <d v="1899-12-30T00:55:40"/>
    <n v="55.666666666666664"/>
  </r>
  <r>
    <x v="158"/>
    <x v="1"/>
    <x v="1"/>
    <n v="25"/>
    <d v="1899-12-30T01:11:07"/>
    <n v="71.11666666666666"/>
  </r>
  <r>
    <x v="158"/>
    <x v="1"/>
    <x v="2"/>
    <n v="20"/>
    <d v="1899-12-30T00:38:04"/>
    <n v="38.06666666666667"/>
  </r>
  <r>
    <x v="158"/>
    <x v="1"/>
    <x v="3"/>
    <n v="5"/>
    <d v="1899-12-30T00:04:22"/>
    <n v="4.3666666666666663"/>
  </r>
  <r>
    <x v="158"/>
    <x v="1"/>
    <x v="4"/>
    <n v="26"/>
    <d v="1899-12-30T01:01:04"/>
    <n v="61.06666666666667"/>
  </r>
  <r>
    <x v="158"/>
    <x v="1"/>
    <x v="5"/>
    <n v="54"/>
    <d v="1899-12-30T01:35:40"/>
    <n v="95.666666666666671"/>
  </r>
  <r>
    <x v="158"/>
    <x v="2"/>
    <x v="0"/>
    <n v="39"/>
    <d v="1899-12-30T01:33:22"/>
    <n v="93.36666666666666"/>
  </r>
  <r>
    <x v="158"/>
    <x v="2"/>
    <x v="1"/>
    <n v="45"/>
    <d v="1899-12-30T01:39:10"/>
    <n v="99.166666666666671"/>
  </r>
  <r>
    <x v="158"/>
    <x v="2"/>
    <x v="2"/>
    <n v="30"/>
    <d v="1899-12-30T00:57:58"/>
    <n v="57.966666666666669"/>
  </r>
  <r>
    <x v="158"/>
    <x v="2"/>
    <x v="3"/>
    <n v="6"/>
    <d v="1899-12-30T00:05:04"/>
    <n v="5.0666666666666664"/>
  </r>
  <r>
    <x v="158"/>
    <x v="2"/>
    <x v="4"/>
    <n v="9"/>
    <d v="1899-12-30T00:21:14"/>
    <n v="21.233333333333334"/>
  </r>
  <r>
    <x v="158"/>
    <x v="2"/>
    <x v="5"/>
    <n v="22"/>
    <d v="1899-12-30T00:34:17"/>
    <n v="34.283333333333331"/>
  </r>
  <r>
    <x v="158"/>
    <x v="3"/>
    <x v="0"/>
    <n v="12"/>
    <d v="1899-12-30T00:28:11"/>
    <n v="28.183333333333334"/>
  </r>
  <r>
    <x v="158"/>
    <x v="3"/>
    <x v="1"/>
    <n v="9"/>
    <d v="1899-12-30T00:21:46"/>
    <n v="21.766666666666666"/>
  </r>
  <r>
    <x v="158"/>
    <x v="3"/>
    <x v="2"/>
    <n v="9"/>
    <d v="1899-12-30T00:20:11"/>
    <n v="20.183333333333334"/>
  </r>
  <r>
    <x v="158"/>
    <x v="3"/>
    <x v="3"/>
    <n v="5"/>
    <d v="1899-12-30T00:06:15"/>
    <n v="6.25"/>
  </r>
  <r>
    <x v="158"/>
    <x v="3"/>
    <x v="4"/>
    <n v="0"/>
    <d v="1899-12-30T00:00:00"/>
    <n v="0"/>
  </r>
  <r>
    <x v="158"/>
    <x v="3"/>
    <x v="5"/>
    <n v="12"/>
    <d v="1899-12-30T00:17:30"/>
    <n v="17.5"/>
  </r>
  <r>
    <x v="158"/>
    <x v="4"/>
    <x v="0"/>
    <n v="25"/>
    <d v="1899-12-30T00:53:39"/>
    <n v="53.65"/>
  </r>
  <r>
    <x v="158"/>
    <x v="4"/>
    <x v="1"/>
    <n v="20"/>
    <d v="1899-12-30T00:50:40"/>
    <n v="50.666666666666664"/>
  </r>
  <r>
    <x v="158"/>
    <x v="4"/>
    <x v="2"/>
    <n v="21"/>
    <d v="1899-12-30T00:41:33"/>
    <n v="41.55"/>
  </r>
  <r>
    <x v="158"/>
    <x v="4"/>
    <x v="3"/>
    <n v="4"/>
    <d v="1899-12-30T00:03:08"/>
    <n v="3.1333333333333333"/>
  </r>
  <r>
    <x v="158"/>
    <x v="4"/>
    <x v="4"/>
    <n v="9"/>
    <d v="1899-12-30T00:16:02"/>
    <n v="16.033333333333335"/>
  </r>
  <r>
    <x v="158"/>
    <x v="4"/>
    <x v="5"/>
    <n v="5"/>
    <d v="1899-12-30T00:07:40"/>
    <n v="7.666666666666667"/>
  </r>
  <r>
    <x v="158"/>
    <x v="5"/>
    <x v="0"/>
    <n v="21"/>
    <d v="1899-12-30T00:36:41"/>
    <n v="36.68333333333333"/>
  </r>
  <r>
    <x v="158"/>
    <x v="5"/>
    <x v="1"/>
    <n v="18"/>
    <d v="1899-12-30T00:23:56"/>
    <n v="23.933333333333334"/>
  </r>
  <r>
    <x v="158"/>
    <x v="5"/>
    <x v="2"/>
    <n v="17"/>
    <d v="1899-12-30T00:20:26"/>
    <n v="20.433333333333334"/>
  </r>
  <r>
    <x v="158"/>
    <x v="5"/>
    <x v="3"/>
    <n v="8"/>
    <d v="1899-12-30T00:09:05"/>
    <n v="9.0833333333333339"/>
  </r>
  <r>
    <x v="158"/>
    <x v="5"/>
    <x v="4"/>
    <n v="7"/>
    <d v="1899-12-30T00:11:29"/>
    <n v="11.483333333333333"/>
  </r>
  <r>
    <x v="158"/>
    <x v="5"/>
    <x v="5"/>
    <n v="28"/>
    <d v="1899-12-30T00:32:27"/>
    <n v="32.450000000000003"/>
  </r>
  <r>
    <x v="158"/>
    <x v="6"/>
    <x v="0"/>
    <n v="9"/>
    <d v="1899-12-30T00:18:50"/>
    <n v="18.833333333333332"/>
  </r>
  <r>
    <x v="158"/>
    <x v="6"/>
    <x v="1"/>
    <n v="5"/>
    <d v="1899-12-30T00:10:00"/>
    <n v="10"/>
  </r>
  <r>
    <x v="158"/>
    <x v="6"/>
    <x v="2"/>
    <n v="4"/>
    <d v="1899-12-30T00:09:42"/>
    <n v="9.6999999999999993"/>
  </r>
  <r>
    <x v="158"/>
    <x v="6"/>
    <x v="3"/>
    <n v="3"/>
    <d v="1899-12-30T00:02:52"/>
    <n v="2.8666666666666667"/>
  </r>
  <r>
    <x v="158"/>
    <x v="6"/>
    <x v="4"/>
    <n v="4"/>
    <d v="1899-12-30T00:04:27"/>
    <n v="4.45"/>
  </r>
  <r>
    <x v="158"/>
    <x v="6"/>
    <x v="5"/>
    <n v="10"/>
    <d v="1899-12-30T00:16:56"/>
    <n v="16.933333333333334"/>
  </r>
  <r>
    <x v="158"/>
    <x v="7"/>
    <x v="0"/>
    <n v="62"/>
    <d v="1899-12-30T01:44:23"/>
    <n v="104.38333333333334"/>
  </r>
  <r>
    <x v="158"/>
    <x v="7"/>
    <x v="1"/>
    <n v="98"/>
    <d v="1899-12-30T02:24:26"/>
    <n v="144.43333333333334"/>
  </r>
  <r>
    <x v="158"/>
    <x v="7"/>
    <x v="2"/>
    <n v="51"/>
    <d v="1899-12-30T01:06:52"/>
    <n v="66.86666666666666"/>
  </r>
  <r>
    <x v="158"/>
    <x v="7"/>
    <x v="3"/>
    <n v="23"/>
    <d v="1899-12-30T00:21:59"/>
    <n v="21.983333333333334"/>
  </r>
  <r>
    <x v="158"/>
    <x v="7"/>
    <x v="4"/>
    <n v="134"/>
    <d v="1899-12-30T04:14:10"/>
    <n v="254.16666666666666"/>
  </r>
  <r>
    <x v="158"/>
    <x v="7"/>
    <x v="5"/>
    <n v="61"/>
    <d v="1899-12-30T00:59:23"/>
    <n v="59.383333333333333"/>
  </r>
  <r>
    <x v="158"/>
    <x v="8"/>
    <x v="0"/>
    <n v="37"/>
    <d v="1899-12-30T01:32:14"/>
    <n v="92.233333333333334"/>
  </r>
  <r>
    <x v="158"/>
    <x v="8"/>
    <x v="1"/>
    <n v="27"/>
    <d v="1899-12-30T00:46:15"/>
    <n v="46.25"/>
  </r>
  <r>
    <x v="158"/>
    <x v="8"/>
    <x v="2"/>
    <n v="34"/>
    <d v="1899-12-30T00:53:24"/>
    <n v="53.4"/>
  </r>
  <r>
    <x v="158"/>
    <x v="8"/>
    <x v="3"/>
    <n v="6"/>
    <d v="1899-12-30T00:06:06"/>
    <n v="6.1"/>
  </r>
  <r>
    <x v="158"/>
    <x v="8"/>
    <x v="4"/>
    <n v="6"/>
    <d v="1899-12-30T00:14:27"/>
    <n v="14.45"/>
  </r>
  <r>
    <x v="158"/>
    <x v="8"/>
    <x v="5"/>
    <n v="38"/>
    <d v="1899-12-30T00:43:46"/>
    <n v="43.766666666666666"/>
  </r>
  <r>
    <x v="158"/>
    <x v="9"/>
    <x v="0"/>
    <n v="73"/>
    <d v="1899-12-30T02:06:07"/>
    <n v="126.11666666666666"/>
  </r>
  <r>
    <x v="158"/>
    <x v="9"/>
    <x v="1"/>
    <n v="75"/>
    <d v="1899-12-30T02:14:03"/>
    <n v="134.05000000000001"/>
  </r>
  <r>
    <x v="158"/>
    <x v="9"/>
    <x v="2"/>
    <n v="58"/>
    <d v="1899-12-30T01:31:32"/>
    <n v="91.533333333333331"/>
  </r>
  <r>
    <x v="158"/>
    <x v="9"/>
    <x v="3"/>
    <n v="13"/>
    <d v="1899-12-30T00:13:42"/>
    <n v="13.7"/>
  </r>
  <r>
    <x v="158"/>
    <x v="9"/>
    <x v="4"/>
    <n v="13"/>
    <d v="1899-12-30T00:22:46"/>
    <n v="22.766666666666666"/>
  </r>
  <r>
    <x v="158"/>
    <x v="9"/>
    <x v="5"/>
    <n v="58"/>
    <d v="1899-12-30T01:19:03"/>
    <n v="79.05"/>
  </r>
  <r>
    <x v="158"/>
    <x v="10"/>
    <x v="0"/>
    <n v="13"/>
    <d v="1899-12-30T00:31:09"/>
    <n v="31.15"/>
  </r>
  <r>
    <x v="158"/>
    <x v="10"/>
    <x v="1"/>
    <n v="18"/>
    <d v="1899-12-30T00:48:57"/>
    <n v="48.95"/>
  </r>
  <r>
    <x v="158"/>
    <x v="10"/>
    <x v="2"/>
    <n v="8"/>
    <d v="1899-12-30T00:15:17"/>
    <n v="15.283333333333333"/>
  </r>
  <r>
    <x v="158"/>
    <x v="10"/>
    <x v="3"/>
    <n v="2"/>
    <d v="1899-12-30T00:01:45"/>
    <n v="1.75"/>
  </r>
  <r>
    <x v="158"/>
    <x v="10"/>
    <x v="4"/>
    <n v="2"/>
    <d v="1899-12-30T00:05:36"/>
    <n v="5.6"/>
  </r>
  <r>
    <x v="158"/>
    <x v="10"/>
    <x v="5"/>
    <n v="17"/>
    <d v="1899-12-30T00:28:41"/>
    <n v="28.683333333333334"/>
  </r>
  <r>
    <x v="158"/>
    <x v="11"/>
    <x v="0"/>
    <n v="20"/>
    <d v="1899-12-30T00:50:17"/>
    <n v="50.283333333333331"/>
  </r>
  <r>
    <x v="158"/>
    <x v="11"/>
    <x v="1"/>
    <n v="10"/>
    <d v="1899-12-30T00:23:14"/>
    <n v="23.233333333333334"/>
  </r>
  <r>
    <x v="158"/>
    <x v="11"/>
    <x v="2"/>
    <n v="3"/>
    <d v="1899-12-30T00:06:10"/>
    <n v="6.166666666666667"/>
  </r>
  <r>
    <x v="158"/>
    <x v="11"/>
    <x v="3"/>
    <n v="4"/>
    <d v="1899-12-30T00:03:10"/>
    <n v="3.1666666666666665"/>
  </r>
  <r>
    <x v="158"/>
    <x v="11"/>
    <x v="4"/>
    <n v="11"/>
    <d v="1899-12-30T00:09:06"/>
    <n v="9.1"/>
  </r>
  <r>
    <x v="158"/>
    <x v="11"/>
    <x v="5"/>
    <n v="12"/>
    <d v="1899-12-30T00:18:19"/>
    <n v="18.316666666666666"/>
  </r>
  <r>
    <x v="158"/>
    <x v="12"/>
    <x v="0"/>
    <n v="93"/>
    <d v="1899-12-30T03:04:07"/>
    <n v="184.11666666666667"/>
  </r>
  <r>
    <x v="158"/>
    <x v="12"/>
    <x v="1"/>
    <n v="113"/>
    <d v="1899-12-30T03:55:15"/>
    <n v="235.25"/>
  </r>
  <r>
    <x v="158"/>
    <x v="12"/>
    <x v="2"/>
    <n v="85"/>
    <d v="1899-12-30T02:23:32"/>
    <n v="143.53333333333333"/>
  </r>
  <r>
    <x v="158"/>
    <x v="12"/>
    <x v="3"/>
    <n v="25"/>
    <d v="1899-12-30T00:27:30"/>
    <n v="27.5"/>
  </r>
  <r>
    <x v="158"/>
    <x v="12"/>
    <x v="4"/>
    <n v="26"/>
    <d v="1899-12-30T01:06:30"/>
    <n v="66.5"/>
  </r>
  <r>
    <x v="158"/>
    <x v="12"/>
    <x v="5"/>
    <n v="96"/>
    <d v="1899-12-30T02:11:51"/>
    <n v="131.85"/>
  </r>
  <r>
    <x v="158"/>
    <x v="13"/>
    <x v="0"/>
    <n v="23"/>
    <d v="1899-12-30T00:45:21"/>
    <n v="45.35"/>
  </r>
  <r>
    <x v="158"/>
    <x v="13"/>
    <x v="1"/>
    <n v="17"/>
    <d v="1899-12-30T00:20:17"/>
    <n v="20.283333333333335"/>
  </r>
  <r>
    <x v="158"/>
    <x v="13"/>
    <x v="2"/>
    <n v="13"/>
    <d v="1899-12-30T00:16:31"/>
    <n v="16.516666666666666"/>
  </r>
  <r>
    <x v="158"/>
    <x v="13"/>
    <x v="3"/>
    <n v="7"/>
    <d v="1899-12-30T00:06:35"/>
    <n v="6.583333333333333"/>
  </r>
  <r>
    <x v="158"/>
    <x v="13"/>
    <x v="4"/>
    <n v="0"/>
    <d v="1899-12-30T00:00:00"/>
    <n v="0"/>
  </r>
  <r>
    <x v="158"/>
    <x v="13"/>
    <x v="5"/>
    <n v="28"/>
    <d v="1899-12-30T00:27:02"/>
    <n v="27.033333333333335"/>
  </r>
  <r>
    <x v="159"/>
    <x v="0"/>
    <x v="0"/>
    <n v="14"/>
    <d v="1899-12-30T00:20:11"/>
    <n v="20.183333333333334"/>
  </r>
  <r>
    <x v="159"/>
    <x v="0"/>
    <x v="1"/>
    <n v="14"/>
    <d v="1899-12-30T00:18:48"/>
    <n v="18.8"/>
  </r>
  <r>
    <x v="159"/>
    <x v="0"/>
    <x v="2"/>
    <n v="14"/>
    <d v="1899-12-30T00:15:51"/>
    <n v="15.85"/>
  </r>
  <r>
    <x v="159"/>
    <x v="0"/>
    <x v="3"/>
    <n v="2"/>
    <d v="1899-12-30T00:01:47"/>
    <n v="1.7833333333333332"/>
  </r>
  <r>
    <x v="159"/>
    <x v="0"/>
    <x v="4"/>
    <n v="1"/>
    <d v="1899-12-30T00:00:20"/>
    <n v="0.33333333333333331"/>
  </r>
  <r>
    <x v="159"/>
    <x v="0"/>
    <x v="5"/>
    <n v="12"/>
    <d v="1899-12-30T00:12:54"/>
    <n v="12.9"/>
  </r>
  <r>
    <x v="159"/>
    <x v="1"/>
    <x v="0"/>
    <n v="17"/>
    <d v="1899-12-30T00:51:09"/>
    <n v="51.15"/>
  </r>
  <r>
    <x v="159"/>
    <x v="1"/>
    <x v="1"/>
    <n v="18"/>
    <d v="1899-12-30T00:44:48"/>
    <n v="44.8"/>
  </r>
  <r>
    <x v="159"/>
    <x v="1"/>
    <x v="2"/>
    <n v="18"/>
    <d v="1899-12-30T00:43:32"/>
    <n v="43.533333333333331"/>
  </r>
  <r>
    <x v="159"/>
    <x v="1"/>
    <x v="3"/>
    <n v="4"/>
    <d v="1899-12-30T00:03:38"/>
    <n v="3.6333333333333333"/>
  </r>
  <r>
    <x v="159"/>
    <x v="1"/>
    <x v="4"/>
    <n v="25"/>
    <d v="1899-12-30T00:58:05"/>
    <n v="58.083333333333336"/>
  </r>
  <r>
    <x v="159"/>
    <x v="1"/>
    <x v="5"/>
    <n v="38"/>
    <d v="1899-12-30T01:04:41"/>
    <n v="64.683333333333337"/>
  </r>
  <r>
    <x v="159"/>
    <x v="2"/>
    <x v="0"/>
    <n v="47"/>
    <d v="1899-12-30T01:49:03"/>
    <n v="109.05"/>
  </r>
  <r>
    <x v="159"/>
    <x v="2"/>
    <x v="1"/>
    <n v="33"/>
    <d v="1899-12-30T01:26:51"/>
    <n v="86.85"/>
  </r>
  <r>
    <x v="159"/>
    <x v="2"/>
    <x v="2"/>
    <n v="27"/>
    <d v="1899-12-30T00:59:50"/>
    <n v="59.833333333333336"/>
  </r>
  <r>
    <x v="159"/>
    <x v="2"/>
    <x v="3"/>
    <n v="5"/>
    <d v="1899-12-30T00:04:01"/>
    <n v="4.0166666666666666"/>
  </r>
  <r>
    <x v="159"/>
    <x v="2"/>
    <x v="4"/>
    <n v="7"/>
    <d v="1899-12-30T00:22:21"/>
    <n v="22.35"/>
  </r>
  <r>
    <x v="159"/>
    <x v="2"/>
    <x v="5"/>
    <n v="29"/>
    <d v="1899-12-30T00:46:23"/>
    <n v="46.383333333333333"/>
  </r>
  <r>
    <x v="159"/>
    <x v="3"/>
    <x v="0"/>
    <n v="23"/>
    <d v="1899-12-30T00:42:14"/>
    <n v="42.233333333333334"/>
  </r>
  <r>
    <x v="159"/>
    <x v="3"/>
    <x v="1"/>
    <n v="17"/>
    <d v="1899-12-30T00:31:35"/>
    <n v="31.583333333333332"/>
  </r>
  <r>
    <x v="159"/>
    <x v="3"/>
    <x v="2"/>
    <n v="11"/>
    <d v="1899-12-30T00:14:09"/>
    <n v="14.15"/>
  </r>
  <r>
    <x v="159"/>
    <x v="3"/>
    <x v="3"/>
    <n v="4"/>
    <d v="1899-12-30T00:03:41"/>
    <n v="3.6833333333333336"/>
  </r>
  <r>
    <x v="159"/>
    <x v="3"/>
    <x v="4"/>
    <n v="6"/>
    <d v="1899-12-30T00:17:59"/>
    <n v="17.983333333333334"/>
  </r>
  <r>
    <x v="159"/>
    <x v="3"/>
    <x v="5"/>
    <n v="18"/>
    <d v="1899-12-30T00:26:18"/>
    <n v="26.3"/>
  </r>
  <r>
    <x v="159"/>
    <x v="4"/>
    <x v="0"/>
    <n v="22"/>
    <d v="1899-12-30T00:51:10"/>
    <n v="51.166666666666664"/>
  </r>
  <r>
    <x v="159"/>
    <x v="4"/>
    <x v="1"/>
    <n v="19"/>
    <d v="1899-12-30T00:44:14"/>
    <n v="44.233333333333334"/>
  </r>
  <r>
    <x v="159"/>
    <x v="4"/>
    <x v="2"/>
    <n v="11"/>
    <d v="1899-12-30T00:22:05"/>
    <n v="22.083333333333332"/>
  </r>
  <r>
    <x v="159"/>
    <x v="4"/>
    <x v="3"/>
    <n v="1"/>
    <d v="1899-12-30T00:00:49"/>
    <n v="0.81666666666666665"/>
  </r>
  <r>
    <x v="159"/>
    <x v="4"/>
    <x v="4"/>
    <n v="7"/>
    <d v="1899-12-30T00:04:40"/>
    <n v="4.666666666666667"/>
  </r>
  <r>
    <x v="159"/>
    <x v="4"/>
    <x v="5"/>
    <n v="10"/>
    <d v="1899-12-30T00:15:38"/>
    <n v="15.633333333333333"/>
  </r>
  <r>
    <x v="159"/>
    <x v="5"/>
    <x v="0"/>
    <n v="21"/>
    <d v="1899-12-30T00:34:28"/>
    <n v="34.466666666666669"/>
  </r>
  <r>
    <x v="159"/>
    <x v="5"/>
    <x v="1"/>
    <n v="12"/>
    <d v="1899-12-30T00:18:59"/>
    <n v="18.983333333333334"/>
  </r>
  <r>
    <x v="159"/>
    <x v="5"/>
    <x v="2"/>
    <n v="20"/>
    <d v="1899-12-30T00:27:45"/>
    <n v="27.75"/>
  </r>
  <r>
    <x v="159"/>
    <x v="5"/>
    <x v="3"/>
    <n v="5"/>
    <d v="1899-12-30T00:03:44"/>
    <n v="3.7333333333333334"/>
  </r>
  <r>
    <x v="159"/>
    <x v="5"/>
    <x v="4"/>
    <n v="6"/>
    <d v="1899-12-30T00:10:51"/>
    <n v="10.85"/>
  </r>
  <r>
    <x v="159"/>
    <x v="5"/>
    <x v="5"/>
    <n v="26"/>
    <d v="1899-12-30T00:34:37"/>
    <n v="34.616666666666667"/>
  </r>
  <r>
    <x v="159"/>
    <x v="6"/>
    <x v="0"/>
    <n v="10"/>
    <d v="1899-12-30T00:16:47"/>
    <n v="16.783333333333335"/>
  </r>
  <r>
    <x v="159"/>
    <x v="6"/>
    <x v="1"/>
    <n v="9"/>
    <d v="1899-12-30T00:14:46"/>
    <n v="14.766666666666667"/>
  </r>
  <r>
    <x v="159"/>
    <x v="6"/>
    <x v="2"/>
    <n v="12"/>
    <d v="1899-12-30T00:19:59"/>
    <n v="19.983333333333334"/>
  </r>
  <r>
    <x v="159"/>
    <x v="6"/>
    <x v="3"/>
    <n v="5"/>
    <d v="1899-12-30T00:04:51"/>
    <n v="4.8499999999999996"/>
  </r>
  <r>
    <x v="159"/>
    <x v="6"/>
    <x v="4"/>
    <n v="7"/>
    <d v="1899-12-30T00:12:38"/>
    <n v="12.633333333333333"/>
  </r>
  <r>
    <x v="159"/>
    <x v="6"/>
    <x v="5"/>
    <n v="11"/>
    <d v="1899-12-30T00:12:05"/>
    <n v="12.083333333333334"/>
  </r>
  <r>
    <x v="159"/>
    <x v="7"/>
    <x v="0"/>
    <n v="51"/>
    <d v="1899-12-30T01:30:20"/>
    <n v="90.333333333333329"/>
  </r>
  <r>
    <x v="159"/>
    <x v="7"/>
    <x v="1"/>
    <n v="77"/>
    <d v="1899-12-30T02:14:54"/>
    <n v="134.9"/>
  </r>
  <r>
    <x v="159"/>
    <x v="7"/>
    <x v="2"/>
    <n v="34"/>
    <d v="1899-12-30T00:48:42"/>
    <n v="48.7"/>
  </r>
  <r>
    <x v="159"/>
    <x v="7"/>
    <x v="3"/>
    <n v="18"/>
    <d v="1899-12-30T00:20:23"/>
    <n v="20.383333333333333"/>
  </r>
  <r>
    <x v="159"/>
    <x v="7"/>
    <x v="4"/>
    <n v="105"/>
    <d v="1899-12-30T03:14:10"/>
    <n v="194.16666666666666"/>
  </r>
  <r>
    <x v="159"/>
    <x v="7"/>
    <x v="5"/>
    <n v="62"/>
    <d v="1899-12-30T01:11:48"/>
    <n v="71.8"/>
  </r>
  <r>
    <x v="159"/>
    <x v="8"/>
    <x v="0"/>
    <n v="16"/>
    <d v="1899-12-30T00:29:23"/>
    <n v="29.383333333333333"/>
  </r>
  <r>
    <x v="159"/>
    <x v="8"/>
    <x v="1"/>
    <n v="20"/>
    <d v="1899-12-30T00:37:02"/>
    <n v="37.033333333333331"/>
  </r>
  <r>
    <x v="159"/>
    <x v="8"/>
    <x v="2"/>
    <n v="11"/>
    <d v="1899-12-30T00:19:11"/>
    <n v="19.183333333333334"/>
  </r>
  <r>
    <x v="159"/>
    <x v="8"/>
    <x v="3"/>
    <n v="7"/>
    <d v="1899-12-30T00:05:47"/>
    <n v="5.7833333333333332"/>
  </r>
  <r>
    <x v="159"/>
    <x v="8"/>
    <x v="4"/>
    <n v="11"/>
    <d v="1899-12-30T00:25:13"/>
    <n v="25.216666666666665"/>
  </r>
  <r>
    <x v="159"/>
    <x v="8"/>
    <x v="5"/>
    <n v="17"/>
    <d v="1899-12-30T00:15:56"/>
    <n v="15.933333333333334"/>
  </r>
  <r>
    <x v="159"/>
    <x v="9"/>
    <x v="0"/>
    <n v="47"/>
    <d v="1899-12-30T01:23:41"/>
    <n v="83.683333333333337"/>
  </r>
  <r>
    <x v="159"/>
    <x v="9"/>
    <x v="1"/>
    <n v="55"/>
    <d v="1899-12-30T01:44:36"/>
    <n v="104.6"/>
  </r>
  <r>
    <x v="159"/>
    <x v="9"/>
    <x v="2"/>
    <n v="56"/>
    <d v="1899-12-30T01:16:33"/>
    <n v="76.55"/>
  </r>
  <r>
    <x v="159"/>
    <x v="9"/>
    <x v="3"/>
    <n v="14"/>
    <d v="1899-12-30T00:15:48"/>
    <n v="15.8"/>
  </r>
  <r>
    <x v="159"/>
    <x v="9"/>
    <x v="4"/>
    <n v="15"/>
    <d v="1899-12-30T00:24:36"/>
    <n v="24.6"/>
  </r>
  <r>
    <x v="159"/>
    <x v="9"/>
    <x v="5"/>
    <n v="38"/>
    <d v="1899-12-30T00:51:48"/>
    <n v="51.8"/>
  </r>
  <r>
    <x v="159"/>
    <x v="10"/>
    <x v="0"/>
    <n v="15"/>
    <d v="1899-12-30T00:33:44"/>
    <n v="33.733333333333334"/>
  </r>
  <r>
    <x v="159"/>
    <x v="10"/>
    <x v="1"/>
    <n v="15"/>
    <d v="1899-12-30T00:46:26"/>
    <n v="46.43333333333333"/>
  </r>
  <r>
    <x v="159"/>
    <x v="10"/>
    <x v="2"/>
    <n v="10"/>
    <d v="1899-12-30T00:18:37"/>
    <n v="18.616666666666667"/>
  </r>
  <r>
    <x v="159"/>
    <x v="10"/>
    <x v="3"/>
    <n v="1"/>
    <d v="1899-12-30T00:00:51"/>
    <n v="0.85"/>
  </r>
  <r>
    <x v="159"/>
    <x v="10"/>
    <x v="4"/>
    <n v="4"/>
    <d v="1899-12-30T00:07:10"/>
    <n v="7.166666666666667"/>
  </r>
  <r>
    <x v="159"/>
    <x v="10"/>
    <x v="5"/>
    <n v="14"/>
    <d v="1899-12-30T00:28:42"/>
    <n v="28.7"/>
  </r>
  <r>
    <x v="159"/>
    <x v="11"/>
    <x v="0"/>
    <n v="15"/>
    <d v="1899-12-30T00:39:14"/>
    <n v="39.233333333333334"/>
  </r>
  <r>
    <x v="159"/>
    <x v="11"/>
    <x v="1"/>
    <n v="2"/>
    <d v="1899-12-30T00:05:56"/>
    <n v="5.9333333333333336"/>
  </r>
  <r>
    <x v="159"/>
    <x v="11"/>
    <x v="2"/>
    <n v="3"/>
    <d v="1899-12-30T00:07:09"/>
    <n v="7.15"/>
  </r>
  <r>
    <x v="159"/>
    <x v="11"/>
    <x v="3"/>
    <n v="8"/>
    <d v="1899-12-30T00:07:03"/>
    <n v="7.05"/>
  </r>
  <r>
    <x v="159"/>
    <x v="11"/>
    <x v="4"/>
    <n v="12"/>
    <d v="1899-12-30T00:19:06"/>
    <n v="19.100000000000001"/>
  </r>
  <r>
    <x v="159"/>
    <x v="11"/>
    <x v="5"/>
    <n v="13"/>
    <d v="1899-12-30T00:25:09"/>
    <n v="25.15"/>
  </r>
  <r>
    <x v="159"/>
    <x v="12"/>
    <x v="0"/>
    <n v="154"/>
    <d v="1899-12-30T04:58:48"/>
    <n v="298.8"/>
  </r>
  <r>
    <x v="159"/>
    <x v="12"/>
    <x v="1"/>
    <n v="177"/>
    <d v="1899-12-30T05:34:02"/>
    <n v="334.03333333333336"/>
  </r>
  <r>
    <x v="159"/>
    <x v="12"/>
    <x v="2"/>
    <n v="140"/>
    <d v="1899-12-30T03:39:44"/>
    <n v="219.73333333333332"/>
  </r>
  <r>
    <x v="159"/>
    <x v="12"/>
    <x v="3"/>
    <n v="28"/>
    <d v="1899-12-30T00:30:27"/>
    <n v="30.45"/>
  </r>
  <r>
    <x v="159"/>
    <x v="12"/>
    <x v="4"/>
    <n v="40"/>
    <d v="1899-12-30T01:26:36"/>
    <n v="86.6"/>
  </r>
  <r>
    <x v="159"/>
    <x v="12"/>
    <x v="5"/>
    <n v="127"/>
    <d v="1899-12-30T02:42:08"/>
    <n v="162.13333333333333"/>
  </r>
  <r>
    <x v="159"/>
    <x v="13"/>
    <x v="0"/>
    <n v="14"/>
    <d v="1899-12-30T00:26:12"/>
    <n v="26.2"/>
  </r>
  <r>
    <x v="159"/>
    <x v="13"/>
    <x v="1"/>
    <n v="21"/>
    <d v="1899-12-30T00:25:37"/>
    <n v="25.616666666666667"/>
  </r>
  <r>
    <x v="159"/>
    <x v="13"/>
    <x v="2"/>
    <n v="7"/>
    <d v="1899-12-30T00:02:17"/>
    <n v="2.2833333333333332"/>
  </r>
  <r>
    <x v="159"/>
    <x v="13"/>
    <x v="3"/>
    <n v="5"/>
    <d v="1899-12-30T00:04:31"/>
    <n v="4.5166666666666666"/>
  </r>
  <r>
    <x v="159"/>
    <x v="13"/>
    <x v="4"/>
    <n v="0"/>
    <d v="1899-12-30T00:00:00"/>
    <n v="0"/>
  </r>
  <r>
    <x v="159"/>
    <x v="13"/>
    <x v="5"/>
    <n v="19"/>
    <d v="1899-12-30T00:19:55"/>
    <n v="19.916666666666668"/>
  </r>
  <r>
    <x v="160"/>
    <x v="0"/>
    <x v="0"/>
    <n v="33"/>
    <d v="1899-12-30T00:49:30"/>
    <n v="49.5"/>
  </r>
  <r>
    <x v="160"/>
    <x v="0"/>
    <x v="1"/>
    <n v="32"/>
    <d v="1899-12-30T00:50:31"/>
    <n v="50.516666666666666"/>
  </r>
  <r>
    <x v="160"/>
    <x v="0"/>
    <x v="2"/>
    <n v="25"/>
    <d v="1899-12-30T00:30:08"/>
    <n v="30.133333333333333"/>
  </r>
  <r>
    <x v="160"/>
    <x v="0"/>
    <x v="3"/>
    <n v="4"/>
    <d v="1899-12-30T00:03:29"/>
    <n v="3.4833333333333334"/>
  </r>
  <r>
    <x v="160"/>
    <x v="0"/>
    <x v="4"/>
    <n v="4"/>
    <d v="1899-12-30T00:08:12"/>
    <n v="8.1999999999999993"/>
  </r>
  <r>
    <x v="160"/>
    <x v="0"/>
    <x v="5"/>
    <n v="27"/>
    <d v="1899-12-30T00:25:05"/>
    <n v="25.083333333333332"/>
  </r>
  <r>
    <x v="160"/>
    <x v="1"/>
    <x v="0"/>
    <n v="25"/>
    <d v="1899-12-30T01:00:29"/>
    <n v="60.483333333333334"/>
  </r>
  <r>
    <x v="160"/>
    <x v="1"/>
    <x v="1"/>
    <n v="34"/>
    <d v="1899-12-30T01:27:15"/>
    <n v="87.25"/>
  </r>
  <r>
    <x v="160"/>
    <x v="1"/>
    <x v="2"/>
    <n v="31"/>
    <d v="1899-12-30T01:06:02"/>
    <n v="66.033333333333331"/>
  </r>
  <r>
    <x v="160"/>
    <x v="1"/>
    <x v="3"/>
    <n v="13"/>
    <d v="1899-12-30T00:11:47"/>
    <n v="11.783333333333333"/>
  </r>
  <r>
    <x v="160"/>
    <x v="1"/>
    <x v="4"/>
    <n v="35"/>
    <d v="1899-12-30T01:13:41"/>
    <n v="73.683333333333337"/>
  </r>
  <r>
    <x v="160"/>
    <x v="1"/>
    <x v="5"/>
    <n v="57"/>
    <d v="1899-12-30T01:38:30"/>
    <n v="98.5"/>
  </r>
  <r>
    <x v="160"/>
    <x v="2"/>
    <x v="0"/>
    <n v="62"/>
    <d v="1899-12-30T02:18:19"/>
    <n v="138.31666666666666"/>
  </r>
  <r>
    <x v="160"/>
    <x v="2"/>
    <x v="1"/>
    <n v="69"/>
    <d v="1899-12-30T02:52:01"/>
    <n v="172.01666666666668"/>
  </r>
  <r>
    <x v="160"/>
    <x v="2"/>
    <x v="2"/>
    <n v="38"/>
    <d v="1899-12-30T01:16:19"/>
    <n v="76.316666666666663"/>
  </r>
  <r>
    <x v="160"/>
    <x v="2"/>
    <x v="3"/>
    <n v="4"/>
    <d v="1899-12-30T00:03:23"/>
    <n v="3.3833333333333333"/>
  </r>
  <r>
    <x v="160"/>
    <x v="2"/>
    <x v="4"/>
    <n v="10"/>
    <d v="1899-12-30T00:28:21"/>
    <n v="28.35"/>
  </r>
  <r>
    <x v="160"/>
    <x v="2"/>
    <x v="5"/>
    <n v="32"/>
    <d v="1899-12-30T00:54:09"/>
    <n v="54.15"/>
  </r>
  <r>
    <x v="160"/>
    <x v="3"/>
    <x v="0"/>
    <n v="23"/>
    <d v="1899-12-30T00:45:46"/>
    <n v="45.766666666666666"/>
  </r>
  <r>
    <x v="160"/>
    <x v="3"/>
    <x v="1"/>
    <n v="18"/>
    <d v="1899-12-30T00:39:34"/>
    <n v="39.56666666666667"/>
  </r>
  <r>
    <x v="160"/>
    <x v="3"/>
    <x v="2"/>
    <n v="8"/>
    <d v="1899-12-30T00:18:26"/>
    <n v="18.433333333333334"/>
  </r>
  <r>
    <x v="160"/>
    <x v="3"/>
    <x v="3"/>
    <n v="6"/>
    <d v="1899-12-30T00:07:37"/>
    <n v="7.6166666666666671"/>
  </r>
  <r>
    <x v="160"/>
    <x v="3"/>
    <x v="4"/>
    <n v="4"/>
    <d v="1899-12-30T00:11:52"/>
    <n v="11.866666666666667"/>
  </r>
  <r>
    <x v="160"/>
    <x v="3"/>
    <x v="5"/>
    <n v="10"/>
    <d v="1899-12-30T00:18:43"/>
    <n v="18.716666666666665"/>
  </r>
  <r>
    <x v="160"/>
    <x v="4"/>
    <x v="0"/>
    <n v="28"/>
    <d v="1899-12-30T01:06:31"/>
    <n v="66.516666666666666"/>
  </r>
  <r>
    <x v="160"/>
    <x v="4"/>
    <x v="1"/>
    <n v="17"/>
    <d v="1899-12-30T00:43:50"/>
    <n v="43.833333333333336"/>
  </r>
  <r>
    <x v="160"/>
    <x v="4"/>
    <x v="2"/>
    <n v="20"/>
    <d v="1899-12-30T00:43:17"/>
    <n v="43.283333333333331"/>
  </r>
  <r>
    <x v="160"/>
    <x v="4"/>
    <x v="3"/>
    <n v="2"/>
    <d v="1899-12-30T00:01:39"/>
    <n v="1.65"/>
  </r>
  <r>
    <x v="160"/>
    <x v="4"/>
    <x v="4"/>
    <n v="13"/>
    <d v="1899-12-30T00:24:23"/>
    <n v="24.383333333333333"/>
  </r>
  <r>
    <x v="160"/>
    <x v="4"/>
    <x v="5"/>
    <n v="15"/>
    <d v="1899-12-30T00:14:03"/>
    <n v="14.05"/>
  </r>
  <r>
    <x v="160"/>
    <x v="5"/>
    <x v="0"/>
    <n v="29"/>
    <d v="1899-12-30T00:49:48"/>
    <n v="49.8"/>
  </r>
  <r>
    <x v="160"/>
    <x v="5"/>
    <x v="1"/>
    <n v="30"/>
    <d v="1899-12-30T00:36:05"/>
    <n v="36.083333333333336"/>
  </r>
  <r>
    <x v="160"/>
    <x v="5"/>
    <x v="2"/>
    <n v="38"/>
    <d v="1899-12-30T00:55:23"/>
    <n v="55.383333333333333"/>
  </r>
  <r>
    <x v="160"/>
    <x v="5"/>
    <x v="3"/>
    <n v="7"/>
    <d v="1899-12-30T00:07:39"/>
    <n v="7.65"/>
  </r>
  <r>
    <x v="160"/>
    <x v="5"/>
    <x v="4"/>
    <n v="4"/>
    <d v="1899-12-30T00:04:33"/>
    <n v="4.55"/>
  </r>
  <r>
    <x v="160"/>
    <x v="5"/>
    <x v="5"/>
    <n v="34"/>
    <d v="1899-12-30T00:45:42"/>
    <n v="45.7"/>
  </r>
  <r>
    <x v="160"/>
    <x v="6"/>
    <x v="0"/>
    <n v="10"/>
    <d v="1899-12-30T00:22:16"/>
    <n v="22.266666666666666"/>
  </r>
  <r>
    <x v="160"/>
    <x v="6"/>
    <x v="1"/>
    <n v="20"/>
    <d v="1899-12-30T00:34:10"/>
    <n v="34.166666666666664"/>
  </r>
  <r>
    <x v="160"/>
    <x v="6"/>
    <x v="2"/>
    <n v="14"/>
    <d v="1899-12-30T00:28:59"/>
    <n v="28.983333333333334"/>
  </r>
  <r>
    <x v="160"/>
    <x v="6"/>
    <x v="3"/>
    <n v="3"/>
    <d v="1899-12-30T00:02:36"/>
    <n v="2.6"/>
  </r>
  <r>
    <x v="160"/>
    <x v="6"/>
    <x v="4"/>
    <n v="7"/>
    <d v="1899-12-30T00:12:59"/>
    <n v="12.983333333333333"/>
  </r>
  <r>
    <x v="160"/>
    <x v="6"/>
    <x v="5"/>
    <n v="13"/>
    <d v="1899-12-30T00:21:29"/>
    <n v="21.483333333333334"/>
  </r>
  <r>
    <x v="160"/>
    <x v="7"/>
    <x v="0"/>
    <n v="70"/>
    <d v="1899-12-30T01:48:03"/>
    <n v="108.05"/>
  </r>
  <r>
    <x v="160"/>
    <x v="7"/>
    <x v="1"/>
    <n v="95"/>
    <d v="1899-12-30T02:23:14"/>
    <n v="143.23333333333332"/>
  </r>
  <r>
    <x v="160"/>
    <x v="7"/>
    <x v="2"/>
    <n v="41"/>
    <d v="1899-12-30T00:52:20"/>
    <n v="52.333333333333336"/>
  </r>
  <r>
    <x v="160"/>
    <x v="7"/>
    <x v="3"/>
    <n v="36"/>
    <d v="1899-12-30T00:36:16"/>
    <n v="36.266666666666666"/>
  </r>
  <r>
    <x v="160"/>
    <x v="7"/>
    <x v="4"/>
    <n v="156"/>
    <d v="1899-12-30T05:08:01"/>
    <n v="308.01666666666665"/>
  </r>
  <r>
    <x v="160"/>
    <x v="7"/>
    <x v="5"/>
    <n v="54"/>
    <d v="1899-12-30T00:54:33"/>
    <n v="54.55"/>
  </r>
  <r>
    <x v="160"/>
    <x v="8"/>
    <x v="0"/>
    <n v="9"/>
    <d v="1899-12-30T00:14:49"/>
    <n v="14.816666666666666"/>
  </r>
  <r>
    <x v="160"/>
    <x v="8"/>
    <x v="1"/>
    <n v="23"/>
    <d v="1899-12-30T00:47:08"/>
    <n v="47.133333333333333"/>
  </r>
  <r>
    <x v="160"/>
    <x v="8"/>
    <x v="2"/>
    <n v="14"/>
    <d v="1899-12-30T00:16:20"/>
    <n v="16.333333333333332"/>
  </r>
  <r>
    <x v="160"/>
    <x v="8"/>
    <x v="3"/>
    <n v="6"/>
    <d v="1899-12-30T00:06:04"/>
    <n v="6.0666666666666664"/>
  </r>
  <r>
    <x v="160"/>
    <x v="8"/>
    <x v="4"/>
    <n v="6"/>
    <d v="1899-12-30T00:09:10"/>
    <n v="9.1666666666666661"/>
  </r>
  <r>
    <x v="160"/>
    <x v="8"/>
    <x v="5"/>
    <n v="22"/>
    <d v="1899-12-30T00:26:20"/>
    <n v="26.333333333333332"/>
  </r>
  <r>
    <x v="160"/>
    <x v="9"/>
    <x v="0"/>
    <n v="49"/>
    <d v="1899-12-30T01:33:55"/>
    <n v="93.916666666666671"/>
  </r>
  <r>
    <x v="160"/>
    <x v="9"/>
    <x v="1"/>
    <n v="54"/>
    <d v="1899-12-30T01:37:13"/>
    <n v="97.216666666666669"/>
  </r>
  <r>
    <x v="160"/>
    <x v="9"/>
    <x v="2"/>
    <n v="55"/>
    <d v="1899-12-30T01:40:55"/>
    <n v="100.91666666666667"/>
  </r>
  <r>
    <x v="160"/>
    <x v="9"/>
    <x v="3"/>
    <n v="10"/>
    <d v="1899-12-30T00:12:19"/>
    <n v="12.316666666666666"/>
  </r>
  <r>
    <x v="160"/>
    <x v="9"/>
    <x v="4"/>
    <n v="15"/>
    <d v="1899-12-30T00:31:49"/>
    <n v="31.816666666666666"/>
  </r>
  <r>
    <x v="160"/>
    <x v="9"/>
    <x v="5"/>
    <n v="32"/>
    <d v="1899-12-30T00:41:36"/>
    <n v="41.6"/>
  </r>
  <r>
    <x v="160"/>
    <x v="10"/>
    <x v="0"/>
    <n v="16"/>
    <d v="1899-12-30T00:30:31"/>
    <n v="30.516666666666666"/>
  </r>
  <r>
    <x v="160"/>
    <x v="10"/>
    <x v="1"/>
    <n v="17"/>
    <d v="1899-12-30T00:43:42"/>
    <n v="43.7"/>
  </r>
  <r>
    <x v="160"/>
    <x v="10"/>
    <x v="2"/>
    <n v="10"/>
    <d v="1899-12-30T00:20:28"/>
    <n v="20.466666666666665"/>
  </r>
  <r>
    <x v="160"/>
    <x v="10"/>
    <x v="3"/>
    <n v="7"/>
    <d v="1899-12-30T00:06:10"/>
    <n v="6.166666666666667"/>
  </r>
  <r>
    <x v="160"/>
    <x v="10"/>
    <x v="4"/>
    <n v="12"/>
    <d v="1899-12-30T00:20:19"/>
    <n v="20.316666666666666"/>
  </r>
  <r>
    <x v="160"/>
    <x v="10"/>
    <x v="5"/>
    <n v="23"/>
    <d v="1899-12-30T00:39:33"/>
    <n v="39.549999999999997"/>
  </r>
  <r>
    <x v="160"/>
    <x v="11"/>
    <x v="0"/>
    <n v="17"/>
    <d v="1899-12-30T00:45:37"/>
    <n v="45.616666666666667"/>
  </r>
  <r>
    <x v="160"/>
    <x v="11"/>
    <x v="1"/>
    <n v="4"/>
    <d v="1899-12-30T00:06:29"/>
    <n v="6.4833333333333334"/>
  </r>
  <r>
    <x v="160"/>
    <x v="11"/>
    <x v="2"/>
    <n v="2"/>
    <d v="1899-12-30T00:04:07"/>
    <n v="4.1166666666666663"/>
  </r>
  <r>
    <x v="160"/>
    <x v="11"/>
    <x v="3"/>
    <n v="3"/>
    <d v="1899-12-30T00:03:55"/>
    <n v="3.9166666666666665"/>
  </r>
  <r>
    <x v="160"/>
    <x v="11"/>
    <x v="4"/>
    <n v="8"/>
    <d v="1899-12-30T00:11:38"/>
    <n v="11.633333333333333"/>
  </r>
  <r>
    <x v="160"/>
    <x v="11"/>
    <x v="5"/>
    <n v="13"/>
    <d v="1899-12-30T00:27:26"/>
    <n v="27.433333333333334"/>
  </r>
  <r>
    <x v="160"/>
    <x v="12"/>
    <x v="0"/>
    <n v="170"/>
    <d v="1899-12-30T05:22:42"/>
    <n v="322.7"/>
  </r>
  <r>
    <x v="160"/>
    <x v="12"/>
    <x v="1"/>
    <n v="169"/>
    <d v="1899-12-30T06:06:05"/>
    <n v="366.08333333333331"/>
  </r>
  <r>
    <x v="160"/>
    <x v="12"/>
    <x v="2"/>
    <n v="112"/>
    <d v="1899-12-30T03:28:30"/>
    <n v="208.5"/>
  </r>
  <r>
    <x v="160"/>
    <x v="12"/>
    <x v="3"/>
    <n v="28"/>
    <d v="1899-12-30T00:28:31"/>
    <n v="28.516666666666666"/>
  </r>
  <r>
    <x v="160"/>
    <x v="12"/>
    <x v="4"/>
    <n v="39"/>
    <d v="1899-12-30T01:27:31"/>
    <n v="87.516666666666666"/>
  </r>
  <r>
    <x v="160"/>
    <x v="12"/>
    <x v="5"/>
    <n v="142"/>
    <d v="1899-12-30T03:03:03"/>
    <n v="183.05"/>
  </r>
  <r>
    <x v="160"/>
    <x v="13"/>
    <x v="0"/>
    <n v="37"/>
    <d v="1899-12-30T01:09:33"/>
    <n v="69.55"/>
  </r>
  <r>
    <x v="160"/>
    <x v="13"/>
    <x v="1"/>
    <n v="30"/>
    <d v="1899-12-30T00:39:04"/>
    <n v="39.06666666666667"/>
  </r>
  <r>
    <x v="160"/>
    <x v="13"/>
    <x v="2"/>
    <n v="15"/>
    <d v="1899-12-30T00:19:44"/>
    <n v="19.733333333333334"/>
  </r>
  <r>
    <x v="160"/>
    <x v="13"/>
    <x v="3"/>
    <n v="6"/>
    <d v="1899-12-30T00:07:27"/>
    <n v="7.45"/>
  </r>
  <r>
    <x v="160"/>
    <x v="13"/>
    <x v="4"/>
    <n v="0"/>
    <d v="1899-12-30T00:00:00"/>
    <n v="0"/>
  </r>
  <r>
    <x v="160"/>
    <x v="13"/>
    <x v="5"/>
    <n v="70"/>
    <d v="1899-12-30T01:14:23"/>
    <n v="74.38333333333334"/>
  </r>
  <r>
    <x v="161"/>
    <x v="0"/>
    <x v="0"/>
    <n v="35"/>
    <d v="1899-12-30T00:53:18"/>
    <n v="53.3"/>
  </r>
  <r>
    <x v="161"/>
    <x v="0"/>
    <x v="1"/>
    <n v="39"/>
    <d v="1899-12-30T00:58:49"/>
    <n v="58.81666666666667"/>
  </r>
  <r>
    <x v="161"/>
    <x v="0"/>
    <x v="2"/>
    <n v="53"/>
    <d v="1899-12-30T01:16:50"/>
    <n v="76.833333333333329"/>
  </r>
  <r>
    <x v="161"/>
    <x v="0"/>
    <x v="3"/>
    <n v="5"/>
    <d v="1899-12-30T00:05:11"/>
    <n v="5.1833333333333336"/>
  </r>
  <r>
    <x v="161"/>
    <x v="0"/>
    <x v="4"/>
    <n v="5"/>
    <d v="1899-12-30T00:10:15"/>
    <n v="10.25"/>
  </r>
  <r>
    <x v="161"/>
    <x v="0"/>
    <x v="5"/>
    <n v="24"/>
    <d v="1899-12-30T00:28:38"/>
    <n v="28.633333333333333"/>
  </r>
  <r>
    <x v="161"/>
    <x v="1"/>
    <x v="0"/>
    <n v="17"/>
    <d v="1899-12-30T00:32:40"/>
    <n v="32.666666666666664"/>
  </r>
  <r>
    <x v="161"/>
    <x v="1"/>
    <x v="1"/>
    <n v="20"/>
    <d v="1899-12-30T01:00:10"/>
    <n v="60.166666666666664"/>
  </r>
  <r>
    <x v="161"/>
    <x v="1"/>
    <x v="2"/>
    <n v="15"/>
    <d v="1899-12-30T00:35:13"/>
    <n v="35.216666666666669"/>
  </r>
  <r>
    <x v="161"/>
    <x v="1"/>
    <x v="3"/>
    <n v="4"/>
    <d v="1899-12-30T00:03:37"/>
    <n v="3.6166666666666667"/>
  </r>
  <r>
    <x v="161"/>
    <x v="1"/>
    <x v="4"/>
    <n v="20"/>
    <d v="1899-12-30T00:46:05"/>
    <n v="46.083333333333336"/>
  </r>
  <r>
    <x v="161"/>
    <x v="1"/>
    <x v="5"/>
    <n v="49"/>
    <d v="1899-12-30T01:22:04"/>
    <n v="82.066666666666663"/>
  </r>
  <r>
    <x v="161"/>
    <x v="2"/>
    <x v="0"/>
    <n v="41"/>
    <d v="1899-12-30T01:29:04"/>
    <n v="89.066666666666663"/>
  </r>
  <r>
    <x v="161"/>
    <x v="2"/>
    <x v="1"/>
    <n v="61"/>
    <d v="1899-12-30T01:51:14"/>
    <n v="111.23333333333333"/>
  </r>
  <r>
    <x v="161"/>
    <x v="2"/>
    <x v="2"/>
    <n v="32"/>
    <d v="1899-12-30T01:00:16"/>
    <n v="60.266666666666666"/>
  </r>
  <r>
    <x v="161"/>
    <x v="2"/>
    <x v="3"/>
    <n v="11"/>
    <d v="1899-12-30T00:13:01"/>
    <n v="13.016666666666667"/>
  </r>
  <r>
    <x v="161"/>
    <x v="2"/>
    <x v="4"/>
    <n v="8"/>
    <d v="1899-12-30T00:15:52"/>
    <n v="15.866666666666667"/>
  </r>
  <r>
    <x v="161"/>
    <x v="2"/>
    <x v="5"/>
    <n v="29"/>
    <d v="1899-12-30T00:45:08"/>
    <n v="45.133333333333333"/>
  </r>
  <r>
    <x v="161"/>
    <x v="3"/>
    <x v="0"/>
    <n v="12"/>
    <d v="1899-12-30T00:22:26"/>
    <n v="22.433333333333334"/>
  </r>
  <r>
    <x v="161"/>
    <x v="3"/>
    <x v="1"/>
    <n v="9"/>
    <d v="1899-12-30T00:25:09"/>
    <n v="25.15"/>
  </r>
  <r>
    <x v="161"/>
    <x v="3"/>
    <x v="2"/>
    <n v="8"/>
    <d v="1899-12-30T00:20:05"/>
    <n v="20.083333333333332"/>
  </r>
  <r>
    <x v="161"/>
    <x v="3"/>
    <x v="3"/>
    <n v="3"/>
    <d v="1899-12-30T00:02:52"/>
    <n v="2.8666666666666667"/>
  </r>
  <r>
    <x v="161"/>
    <x v="3"/>
    <x v="4"/>
    <n v="3"/>
    <d v="1899-12-30T00:05:43"/>
    <n v="5.7166666666666668"/>
  </r>
  <r>
    <x v="161"/>
    <x v="3"/>
    <x v="5"/>
    <n v="16"/>
    <d v="1899-12-30T00:26:31"/>
    <n v="26.516666666666666"/>
  </r>
  <r>
    <x v="161"/>
    <x v="4"/>
    <x v="0"/>
    <n v="17"/>
    <d v="1899-12-30T00:26:46"/>
    <n v="26.766666666666666"/>
  </r>
  <r>
    <x v="161"/>
    <x v="4"/>
    <x v="1"/>
    <n v="38"/>
    <d v="1899-12-30T01:28:10"/>
    <n v="88.166666666666671"/>
  </r>
  <r>
    <x v="161"/>
    <x v="4"/>
    <x v="2"/>
    <n v="18"/>
    <d v="1899-12-30T00:36:18"/>
    <n v="36.299999999999997"/>
  </r>
  <r>
    <x v="161"/>
    <x v="4"/>
    <x v="3"/>
    <n v="4"/>
    <d v="1899-12-30T00:03:06"/>
    <n v="3.1"/>
  </r>
  <r>
    <x v="161"/>
    <x v="4"/>
    <x v="4"/>
    <n v="7"/>
    <d v="1899-12-30T00:24:09"/>
    <n v="24.15"/>
  </r>
  <r>
    <x v="161"/>
    <x v="4"/>
    <x v="5"/>
    <n v="12"/>
    <d v="1899-12-30T00:15:27"/>
    <n v="15.45"/>
  </r>
  <r>
    <x v="161"/>
    <x v="5"/>
    <x v="0"/>
    <n v="15"/>
    <d v="1899-12-30T00:23:49"/>
    <n v="23.816666666666666"/>
  </r>
  <r>
    <x v="161"/>
    <x v="5"/>
    <x v="1"/>
    <n v="15"/>
    <d v="1899-12-30T00:23:20"/>
    <n v="23.333333333333332"/>
  </r>
  <r>
    <x v="161"/>
    <x v="5"/>
    <x v="2"/>
    <n v="24"/>
    <d v="1899-12-30T00:32:59"/>
    <n v="32.983333333333334"/>
  </r>
  <r>
    <x v="161"/>
    <x v="5"/>
    <x v="3"/>
    <n v="7"/>
    <d v="1899-12-30T00:07:11"/>
    <n v="7.1833333333333336"/>
  </r>
  <r>
    <x v="161"/>
    <x v="5"/>
    <x v="4"/>
    <n v="4"/>
    <d v="1899-12-30T00:06:50"/>
    <n v="6.833333333333333"/>
  </r>
  <r>
    <x v="161"/>
    <x v="5"/>
    <x v="5"/>
    <n v="36"/>
    <d v="1899-12-30T00:44:17"/>
    <n v="44.283333333333331"/>
  </r>
  <r>
    <x v="161"/>
    <x v="6"/>
    <x v="0"/>
    <n v="6"/>
    <d v="1899-12-30T00:11:04"/>
    <n v="11.066666666666666"/>
  </r>
  <r>
    <x v="161"/>
    <x v="6"/>
    <x v="1"/>
    <n v="10"/>
    <d v="1899-12-30T00:16:31"/>
    <n v="16.516666666666666"/>
  </r>
  <r>
    <x v="161"/>
    <x v="6"/>
    <x v="2"/>
    <n v="6"/>
    <d v="1899-12-30T00:16:42"/>
    <n v="16.7"/>
  </r>
  <r>
    <x v="161"/>
    <x v="6"/>
    <x v="3"/>
    <n v="3"/>
    <d v="1899-12-30T00:04:30"/>
    <n v="4.5"/>
  </r>
  <r>
    <x v="161"/>
    <x v="6"/>
    <x v="4"/>
    <n v="4"/>
    <d v="1899-12-30T00:08:40"/>
    <n v="8.6666666666666661"/>
  </r>
  <r>
    <x v="161"/>
    <x v="6"/>
    <x v="5"/>
    <n v="1"/>
    <d v="1899-12-30T00:02:10"/>
    <n v="2.1666666666666665"/>
  </r>
  <r>
    <x v="161"/>
    <x v="7"/>
    <x v="0"/>
    <n v="65"/>
    <d v="1899-12-30T01:45:58"/>
    <n v="105.96666666666667"/>
  </r>
  <r>
    <x v="161"/>
    <x v="7"/>
    <x v="1"/>
    <n v="97"/>
    <d v="1899-12-30T02:46:06"/>
    <n v="166.1"/>
  </r>
  <r>
    <x v="161"/>
    <x v="7"/>
    <x v="2"/>
    <n v="53"/>
    <d v="1899-12-30T01:04:04"/>
    <n v="64.066666666666663"/>
  </r>
  <r>
    <x v="161"/>
    <x v="7"/>
    <x v="3"/>
    <n v="17"/>
    <d v="1899-12-30T00:21:11"/>
    <n v="21.183333333333334"/>
  </r>
  <r>
    <x v="161"/>
    <x v="7"/>
    <x v="4"/>
    <n v="137"/>
    <d v="1899-12-30T04:35:13"/>
    <n v="275.21666666666664"/>
  </r>
  <r>
    <x v="161"/>
    <x v="7"/>
    <x v="5"/>
    <n v="49"/>
    <d v="1899-12-30T01:00:17"/>
    <n v="60.283333333333331"/>
  </r>
  <r>
    <x v="161"/>
    <x v="8"/>
    <x v="0"/>
    <n v="14"/>
    <d v="1899-12-30T00:23:40"/>
    <n v="23.666666666666668"/>
  </r>
  <r>
    <x v="161"/>
    <x v="8"/>
    <x v="1"/>
    <n v="17"/>
    <d v="1899-12-30T00:26:41"/>
    <n v="26.683333333333334"/>
  </r>
  <r>
    <x v="161"/>
    <x v="8"/>
    <x v="2"/>
    <n v="16"/>
    <d v="1899-12-30T00:26:15"/>
    <n v="26.25"/>
  </r>
  <r>
    <x v="161"/>
    <x v="8"/>
    <x v="3"/>
    <n v="3"/>
    <d v="1899-12-30T00:03:58"/>
    <n v="3.9666666666666668"/>
  </r>
  <r>
    <x v="161"/>
    <x v="8"/>
    <x v="4"/>
    <n v="8"/>
    <d v="1899-12-30T00:15:55"/>
    <n v="15.916666666666666"/>
  </r>
  <r>
    <x v="161"/>
    <x v="8"/>
    <x v="5"/>
    <n v="16"/>
    <d v="1899-12-30T00:19:19"/>
    <n v="19.316666666666666"/>
  </r>
  <r>
    <x v="161"/>
    <x v="9"/>
    <x v="0"/>
    <n v="24"/>
    <d v="1899-12-30T00:49:03"/>
    <n v="49.05"/>
  </r>
  <r>
    <x v="161"/>
    <x v="9"/>
    <x v="1"/>
    <n v="41"/>
    <d v="1899-12-30T01:19:33"/>
    <n v="79.55"/>
  </r>
  <r>
    <x v="161"/>
    <x v="9"/>
    <x v="2"/>
    <n v="29"/>
    <d v="1899-12-30T00:49:10"/>
    <n v="49.166666666666664"/>
  </r>
  <r>
    <x v="161"/>
    <x v="9"/>
    <x v="3"/>
    <n v="6"/>
    <d v="1899-12-30T00:05:52"/>
    <n v="5.8666666666666671"/>
  </r>
  <r>
    <x v="161"/>
    <x v="9"/>
    <x v="4"/>
    <n v="8"/>
    <d v="1899-12-30T00:14:27"/>
    <n v="14.45"/>
  </r>
  <r>
    <x v="161"/>
    <x v="9"/>
    <x v="5"/>
    <n v="20"/>
    <d v="1899-12-30T00:24:02"/>
    <n v="24.033333333333335"/>
  </r>
  <r>
    <x v="161"/>
    <x v="10"/>
    <x v="0"/>
    <n v="12"/>
    <d v="1899-12-30T00:22:22"/>
    <n v="22.366666666666667"/>
  </r>
  <r>
    <x v="161"/>
    <x v="10"/>
    <x v="1"/>
    <n v="9"/>
    <d v="1899-12-30T00:30:00"/>
    <n v="30"/>
  </r>
  <r>
    <x v="161"/>
    <x v="10"/>
    <x v="2"/>
    <n v="9"/>
    <d v="1899-12-30T00:15:21"/>
    <n v="15.35"/>
  </r>
  <r>
    <x v="161"/>
    <x v="10"/>
    <x v="3"/>
    <n v="1"/>
    <d v="1899-12-30T00:00:55"/>
    <n v="0.91666666666666663"/>
  </r>
  <r>
    <x v="161"/>
    <x v="10"/>
    <x v="4"/>
    <n v="6"/>
    <d v="1899-12-30T00:16:11"/>
    <n v="16.183333333333334"/>
  </r>
  <r>
    <x v="161"/>
    <x v="10"/>
    <x v="5"/>
    <n v="15"/>
    <d v="1899-12-30T00:30:25"/>
    <n v="30.416666666666668"/>
  </r>
  <r>
    <x v="161"/>
    <x v="11"/>
    <x v="0"/>
    <n v="10"/>
    <d v="1899-12-30T00:19:58"/>
    <n v="19.966666666666665"/>
  </r>
  <r>
    <x v="161"/>
    <x v="11"/>
    <x v="1"/>
    <n v="7"/>
    <d v="1899-12-30T00:19:06"/>
    <n v="19.100000000000001"/>
  </r>
  <r>
    <x v="161"/>
    <x v="11"/>
    <x v="2"/>
    <n v="5"/>
    <d v="1899-12-30T00:15:20"/>
    <n v="15.333333333333334"/>
  </r>
  <r>
    <x v="161"/>
    <x v="11"/>
    <x v="3"/>
    <n v="4"/>
    <d v="1899-12-30T00:04:18"/>
    <n v="4.3"/>
  </r>
  <r>
    <x v="161"/>
    <x v="11"/>
    <x v="4"/>
    <n v="6"/>
    <d v="1899-12-30T00:09:10"/>
    <n v="9.1666666666666661"/>
  </r>
  <r>
    <x v="161"/>
    <x v="11"/>
    <x v="5"/>
    <n v="7"/>
    <d v="1899-12-30T00:17:22"/>
    <n v="17.366666666666667"/>
  </r>
  <r>
    <x v="161"/>
    <x v="12"/>
    <x v="0"/>
    <n v="72"/>
    <d v="1899-12-30T02:06:29"/>
    <n v="126.48333333333333"/>
  </r>
  <r>
    <x v="161"/>
    <x v="12"/>
    <x v="1"/>
    <n v="87"/>
    <d v="1899-12-30T02:47:53"/>
    <n v="167.88333333333333"/>
  </r>
  <r>
    <x v="161"/>
    <x v="12"/>
    <x v="2"/>
    <n v="64"/>
    <d v="1899-12-30T01:35:23"/>
    <n v="95.38333333333334"/>
  </r>
  <r>
    <x v="161"/>
    <x v="12"/>
    <x v="3"/>
    <n v="12"/>
    <d v="1899-12-30T00:11:14"/>
    <n v="11.233333333333333"/>
  </r>
  <r>
    <x v="161"/>
    <x v="12"/>
    <x v="4"/>
    <n v="26"/>
    <d v="1899-12-30T00:49:26"/>
    <n v="49.43333333333333"/>
  </r>
  <r>
    <x v="161"/>
    <x v="12"/>
    <x v="5"/>
    <n v="75"/>
    <d v="1899-12-30T01:55:56"/>
    <n v="115.93333333333334"/>
  </r>
  <r>
    <x v="161"/>
    <x v="13"/>
    <x v="0"/>
    <n v="117"/>
    <d v="1899-12-30T02:59:07"/>
    <n v="179.11666666666667"/>
  </r>
  <r>
    <x v="161"/>
    <x v="13"/>
    <x v="1"/>
    <n v="53"/>
    <d v="1899-12-30T01:08:55"/>
    <n v="68.916666666666671"/>
  </r>
  <r>
    <x v="161"/>
    <x v="13"/>
    <x v="2"/>
    <n v="45"/>
    <d v="1899-12-30T00:49:17"/>
    <n v="49.283333333333331"/>
  </r>
  <r>
    <x v="161"/>
    <x v="13"/>
    <x v="3"/>
    <n v="14"/>
    <d v="1899-12-30T00:13:57"/>
    <n v="13.95"/>
  </r>
  <r>
    <x v="161"/>
    <x v="13"/>
    <x v="4"/>
    <n v="4"/>
    <d v="1899-12-30T00:08:32"/>
    <n v="8.5333333333333332"/>
  </r>
  <r>
    <x v="161"/>
    <x v="13"/>
    <x v="5"/>
    <n v="61"/>
    <d v="1899-12-30T01:06:50"/>
    <n v="66.833333333333329"/>
  </r>
  <r>
    <x v="162"/>
    <x v="0"/>
    <x v="0"/>
    <n v="53"/>
    <d v="1899-12-30T01:04:12"/>
    <n v="64.2"/>
  </r>
  <r>
    <x v="162"/>
    <x v="0"/>
    <x v="1"/>
    <n v="40"/>
    <d v="1899-12-30T00:50:35"/>
    <n v="50.583333333333336"/>
  </r>
  <r>
    <x v="162"/>
    <x v="0"/>
    <x v="2"/>
    <n v="46"/>
    <d v="1899-12-30T00:46:14"/>
    <n v="46.233333333333334"/>
  </r>
  <r>
    <x v="162"/>
    <x v="0"/>
    <x v="3"/>
    <n v="0"/>
    <d v="1899-12-30T00:00:00"/>
    <n v="0"/>
  </r>
  <r>
    <x v="162"/>
    <x v="0"/>
    <x v="4"/>
    <n v="10"/>
    <d v="1899-12-30T00:13:33"/>
    <n v="13.55"/>
  </r>
  <r>
    <x v="162"/>
    <x v="0"/>
    <x v="5"/>
    <n v="60"/>
    <d v="1899-12-30T01:09:08"/>
    <n v="69.13333333333334"/>
  </r>
  <r>
    <x v="162"/>
    <x v="1"/>
    <x v="0"/>
    <n v="28"/>
    <d v="1899-12-30T01:06:33"/>
    <n v="66.55"/>
  </r>
  <r>
    <x v="162"/>
    <x v="1"/>
    <x v="1"/>
    <n v="20"/>
    <d v="1899-12-30T01:08:45"/>
    <n v="68.75"/>
  </r>
  <r>
    <x v="162"/>
    <x v="1"/>
    <x v="2"/>
    <n v="23"/>
    <d v="1899-12-30T01:02:00"/>
    <n v="62"/>
  </r>
  <r>
    <x v="162"/>
    <x v="1"/>
    <x v="3"/>
    <n v="0"/>
    <d v="1899-12-30T00:00:00"/>
    <n v="0"/>
  </r>
  <r>
    <x v="162"/>
    <x v="1"/>
    <x v="4"/>
    <n v="32"/>
    <d v="1899-12-30T01:18:48"/>
    <n v="78.8"/>
  </r>
  <r>
    <x v="162"/>
    <x v="1"/>
    <x v="5"/>
    <n v="52"/>
    <d v="1899-12-30T01:32:42"/>
    <n v="92.7"/>
  </r>
  <r>
    <x v="162"/>
    <x v="2"/>
    <x v="0"/>
    <n v="66"/>
    <d v="1899-12-30T02:37:57"/>
    <n v="157.94999999999999"/>
  </r>
  <r>
    <x v="162"/>
    <x v="2"/>
    <x v="1"/>
    <n v="76"/>
    <d v="1899-12-30T03:20:17"/>
    <n v="200.28333333333333"/>
  </r>
  <r>
    <x v="162"/>
    <x v="2"/>
    <x v="2"/>
    <n v="35"/>
    <d v="1899-12-30T01:11:44"/>
    <n v="71.733333333333334"/>
  </r>
  <r>
    <x v="162"/>
    <x v="2"/>
    <x v="3"/>
    <n v="0"/>
    <d v="1899-12-30T00:00:00"/>
    <n v="0"/>
  </r>
  <r>
    <x v="162"/>
    <x v="2"/>
    <x v="4"/>
    <n v="7"/>
    <d v="1899-12-30T00:16:26"/>
    <n v="16.433333333333334"/>
  </r>
  <r>
    <x v="162"/>
    <x v="2"/>
    <x v="5"/>
    <n v="23"/>
    <d v="1899-12-30T00:34:47"/>
    <n v="34.783333333333331"/>
  </r>
  <r>
    <x v="162"/>
    <x v="3"/>
    <x v="0"/>
    <n v="10"/>
    <d v="1899-12-30T00:22:16"/>
    <n v="22.266666666666666"/>
  </r>
  <r>
    <x v="162"/>
    <x v="3"/>
    <x v="1"/>
    <n v="4"/>
    <d v="1899-12-30T00:07:35"/>
    <n v="7.583333333333333"/>
  </r>
  <r>
    <x v="162"/>
    <x v="3"/>
    <x v="2"/>
    <n v="3"/>
    <d v="1899-12-30T00:04:37"/>
    <n v="4.6166666666666671"/>
  </r>
  <r>
    <x v="162"/>
    <x v="3"/>
    <x v="3"/>
    <n v="0"/>
    <d v="1899-12-30T00:00:00"/>
    <n v="0"/>
  </r>
  <r>
    <x v="162"/>
    <x v="3"/>
    <x v="4"/>
    <n v="0"/>
    <d v="1899-12-30T00:00:00"/>
    <n v="0"/>
  </r>
  <r>
    <x v="162"/>
    <x v="3"/>
    <x v="5"/>
    <n v="6"/>
    <d v="1899-12-30T00:08:43"/>
    <n v="8.7166666666666668"/>
  </r>
  <r>
    <x v="162"/>
    <x v="4"/>
    <x v="0"/>
    <n v="43"/>
    <d v="1899-12-30T01:16:54"/>
    <n v="76.900000000000006"/>
  </r>
  <r>
    <x v="162"/>
    <x v="4"/>
    <x v="1"/>
    <n v="40"/>
    <d v="1899-12-30T01:39:02"/>
    <n v="99.033333333333331"/>
  </r>
  <r>
    <x v="162"/>
    <x v="4"/>
    <x v="2"/>
    <n v="33"/>
    <d v="1899-12-30T01:00:15"/>
    <n v="60.25"/>
  </r>
  <r>
    <x v="162"/>
    <x v="4"/>
    <x v="3"/>
    <n v="0"/>
    <d v="1899-12-30T00:00:00"/>
    <n v="0"/>
  </r>
  <r>
    <x v="162"/>
    <x v="4"/>
    <x v="4"/>
    <n v="19"/>
    <d v="1899-12-30T00:48:14"/>
    <n v="48.233333333333334"/>
  </r>
  <r>
    <x v="162"/>
    <x v="4"/>
    <x v="5"/>
    <n v="26"/>
    <d v="1899-12-30T00:33:43"/>
    <n v="33.716666666666669"/>
  </r>
  <r>
    <x v="162"/>
    <x v="5"/>
    <x v="0"/>
    <n v="36"/>
    <d v="1899-12-30T00:53:44"/>
    <n v="53.733333333333334"/>
  </r>
  <r>
    <x v="162"/>
    <x v="5"/>
    <x v="1"/>
    <n v="38"/>
    <d v="1899-12-30T00:53:22"/>
    <n v="53.366666666666667"/>
  </r>
  <r>
    <x v="162"/>
    <x v="5"/>
    <x v="2"/>
    <n v="38"/>
    <d v="1899-12-30T00:48:26"/>
    <n v="48.43333333333333"/>
  </r>
  <r>
    <x v="162"/>
    <x v="5"/>
    <x v="3"/>
    <n v="0"/>
    <d v="1899-12-30T00:00:00"/>
    <n v="0"/>
  </r>
  <r>
    <x v="162"/>
    <x v="5"/>
    <x v="4"/>
    <n v="5"/>
    <d v="1899-12-30T00:06:39"/>
    <n v="6.65"/>
  </r>
  <r>
    <x v="162"/>
    <x v="5"/>
    <x v="5"/>
    <n v="27"/>
    <d v="1899-12-30T00:36:18"/>
    <n v="36.299999999999997"/>
  </r>
  <r>
    <x v="162"/>
    <x v="6"/>
    <x v="0"/>
    <n v="4"/>
    <d v="1899-12-30T00:03:26"/>
    <n v="3.4333333333333336"/>
  </r>
  <r>
    <x v="162"/>
    <x v="6"/>
    <x v="1"/>
    <n v="10"/>
    <d v="1899-12-30T00:11:46"/>
    <n v="11.766666666666667"/>
  </r>
  <r>
    <x v="162"/>
    <x v="6"/>
    <x v="2"/>
    <n v="4"/>
    <d v="1899-12-30T00:04:08"/>
    <n v="4.1333333333333337"/>
  </r>
  <r>
    <x v="162"/>
    <x v="6"/>
    <x v="3"/>
    <n v="0"/>
    <d v="1899-12-30T00:00:00"/>
    <n v="0"/>
  </r>
  <r>
    <x v="162"/>
    <x v="6"/>
    <x v="4"/>
    <n v="4"/>
    <d v="1899-12-30T00:08:28"/>
    <n v="8.4666666666666668"/>
  </r>
  <r>
    <x v="162"/>
    <x v="6"/>
    <x v="5"/>
    <n v="4"/>
    <d v="1899-12-30T00:03:57"/>
    <n v="3.95"/>
  </r>
  <r>
    <x v="162"/>
    <x v="7"/>
    <x v="0"/>
    <n v="17"/>
    <d v="1899-12-30T00:27:06"/>
    <n v="27.1"/>
  </r>
  <r>
    <x v="162"/>
    <x v="7"/>
    <x v="1"/>
    <n v="57"/>
    <d v="1899-12-30T01:30:10"/>
    <n v="90.166666666666671"/>
  </r>
  <r>
    <x v="162"/>
    <x v="7"/>
    <x v="2"/>
    <n v="13"/>
    <d v="1899-12-30T00:14:44"/>
    <n v="14.733333333333333"/>
  </r>
  <r>
    <x v="162"/>
    <x v="7"/>
    <x v="3"/>
    <n v="0"/>
    <d v="1899-12-30T00:00:00"/>
    <n v="0"/>
  </r>
  <r>
    <x v="162"/>
    <x v="7"/>
    <x v="4"/>
    <n v="137"/>
    <d v="1899-12-30T04:32:09"/>
    <n v="272.14999999999998"/>
  </r>
  <r>
    <x v="162"/>
    <x v="7"/>
    <x v="5"/>
    <n v="33"/>
    <d v="1899-12-30T00:29:58"/>
    <n v="29.966666666666665"/>
  </r>
  <r>
    <x v="162"/>
    <x v="8"/>
    <x v="0"/>
    <n v="46"/>
    <d v="1899-12-30T01:18:46"/>
    <n v="78.766666666666666"/>
  </r>
  <r>
    <x v="162"/>
    <x v="8"/>
    <x v="1"/>
    <n v="69"/>
    <d v="1899-12-30T01:44:56"/>
    <n v="104.93333333333334"/>
  </r>
  <r>
    <x v="162"/>
    <x v="8"/>
    <x v="2"/>
    <n v="57"/>
    <d v="1899-12-30T01:20:10"/>
    <n v="80.166666666666671"/>
  </r>
  <r>
    <x v="162"/>
    <x v="8"/>
    <x v="3"/>
    <n v="0"/>
    <d v="1899-12-30T00:00:00"/>
    <n v="0"/>
  </r>
  <r>
    <x v="162"/>
    <x v="8"/>
    <x v="4"/>
    <n v="24"/>
    <d v="1899-12-30T00:46:42"/>
    <n v="46.7"/>
  </r>
  <r>
    <x v="162"/>
    <x v="8"/>
    <x v="5"/>
    <n v="48"/>
    <d v="1899-12-30T01:00:30"/>
    <n v="60.5"/>
  </r>
  <r>
    <x v="162"/>
    <x v="9"/>
    <x v="0"/>
    <n v="17"/>
    <d v="1899-12-30T00:31:12"/>
    <n v="31.2"/>
  </r>
  <r>
    <x v="162"/>
    <x v="9"/>
    <x v="1"/>
    <n v="37"/>
    <d v="1899-12-30T00:58:00"/>
    <n v="58"/>
  </r>
  <r>
    <x v="162"/>
    <x v="9"/>
    <x v="2"/>
    <n v="28"/>
    <d v="1899-12-30T00:47:21"/>
    <n v="47.35"/>
  </r>
  <r>
    <x v="162"/>
    <x v="9"/>
    <x v="3"/>
    <n v="0"/>
    <d v="1899-12-30T00:00:00"/>
    <n v="0"/>
  </r>
  <r>
    <x v="162"/>
    <x v="9"/>
    <x v="4"/>
    <n v="8"/>
    <d v="1899-12-30T00:10:42"/>
    <n v="10.7"/>
  </r>
  <r>
    <x v="162"/>
    <x v="9"/>
    <x v="5"/>
    <n v="17"/>
    <d v="1899-12-30T00:23:03"/>
    <n v="23.05"/>
  </r>
  <r>
    <x v="162"/>
    <x v="10"/>
    <x v="0"/>
    <n v="15"/>
    <d v="1899-12-30T00:28:45"/>
    <n v="28.75"/>
  </r>
  <r>
    <x v="162"/>
    <x v="10"/>
    <x v="1"/>
    <n v="13"/>
    <d v="1899-12-30T00:27:38"/>
    <n v="27.633333333333333"/>
  </r>
  <r>
    <x v="162"/>
    <x v="10"/>
    <x v="2"/>
    <n v="10"/>
    <d v="1899-12-30T00:17:57"/>
    <n v="17.95"/>
  </r>
  <r>
    <x v="162"/>
    <x v="10"/>
    <x v="3"/>
    <n v="0"/>
    <d v="1899-12-30T00:00:00"/>
    <n v="0"/>
  </r>
  <r>
    <x v="162"/>
    <x v="10"/>
    <x v="4"/>
    <n v="7"/>
    <d v="1899-12-30T00:18:25"/>
    <n v="18.416666666666668"/>
  </r>
  <r>
    <x v="162"/>
    <x v="10"/>
    <x v="5"/>
    <n v="9"/>
    <d v="1899-12-30T00:15:47"/>
    <n v="15.783333333333333"/>
  </r>
  <r>
    <x v="162"/>
    <x v="11"/>
    <x v="0"/>
    <n v="9"/>
    <d v="1899-12-30T00:21:27"/>
    <n v="21.45"/>
  </r>
  <r>
    <x v="162"/>
    <x v="11"/>
    <x v="1"/>
    <n v="10"/>
    <d v="1899-12-30T00:17:53"/>
    <n v="17.883333333333333"/>
  </r>
  <r>
    <x v="162"/>
    <x v="11"/>
    <x v="2"/>
    <n v="4"/>
    <d v="1899-12-30T00:07:57"/>
    <n v="7.95"/>
  </r>
  <r>
    <x v="162"/>
    <x v="11"/>
    <x v="3"/>
    <n v="0"/>
    <d v="1899-12-30T00:00:00"/>
    <n v="0"/>
  </r>
  <r>
    <x v="162"/>
    <x v="11"/>
    <x v="4"/>
    <n v="15"/>
    <d v="1899-12-30T00:26:00"/>
    <n v="26"/>
  </r>
  <r>
    <x v="162"/>
    <x v="11"/>
    <x v="5"/>
    <n v="7"/>
    <d v="1899-12-30T00:07:57"/>
    <n v="7.95"/>
  </r>
  <r>
    <x v="162"/>
    <x v="12"/>
    <x v="0"/>
    <n v="97"/>
    <d v="1899-12-30T02:56:24"/>
    <n v="176.4"/>
  </r>
  <r>
    <x v="162"/>
    <x v="12"/>
    <x v="1"/>
    <n v="80"/>
    <d v="1899-12-30T02:30:06"/>
    <n v="150.1"/>
  </r>
  <r>
    <x v="162"/>
    <x v="12"/>
    <x v="2"/>
    <n v="60"/>
    <d v="1899-12-30T01:47:46"/>
    <n v="107.76666666666667"/>
  </r>
  <r>
    <x v="162"/>
    <x v="12"/>
    <x v="3"/>
    <n v="0"/>
    <d v="1899-12-30T00:00:00"/>
    <n v="0"/>
  </r>
  <r>
    <x v="162"/>
    <x v="12"/>
    <x v="4"/>
    <n v="33"/>
    <d v="1899-12-30T01:04:51"/>
    <n v="64.849999999999994"/>
  </r>
  <r>
    <x v="162"/>
    <x v="12"/>
    <x v="5"/>
    <n v="83"/>
    <d v="1899-12-30T01:51:06"/>
    <n v="111.1"/>
  </r>
  <r>
    <x v="162"/>
    <x v="13"/>
    <x v="0"/>
    <n v="168"/>
    <d v="1899-12-30T04:37:01"/>
    <n v="277.01666666666665"/>
  </r>
  <r>
    <x v="162"/>
    <x v="13"/>
    <x v="1"/>
    <n v="134"/>
    <d v="1899-12-30T04:02:36"/>
    <n v="242.6"/>
  </r>
  <r>
    <x v="162"/>
    <x v="13"/>
    <x v="2"/>
    <n v="121"/>
    <d v="1899-12-30T02:40:19"/>
    <n v="160.31666666666666"/>
  </r>
  <r>
    <x v="162"/>
    <x v="13"/>
    <x v="3"/>
    <n v="0"/>
    <d v="1899-12-30T00:00:00"/>
    <n v="0"/>
  </r>
  <r>
    <x v="162"/>
    <x v="13"/>
    <x v="4"/>
    <n v="6"/>
    <d v="1899-12-30T00:11:43"/>
    <n v="11.716666666666667"/>
  </r>
  <r>
    <x v="162"/>
    <x v="13"/>
    <x v="5"/>
    <n v="109"/>
    <d v="1899-12-30T02:27:37"/>
    <n v="147.61666666666667"/>
  </r>
  <r>
    <x v="163"/>
    <x v="0"/>
    <x v="0"/>
    <n v="75"/>
    <d v="1899-12-30T01:47:31"/>
    <n v="107.51666666666667"/>
  </r>
  <r>
    <x v="163"/>
    <x v="0"/>
    <x v="1"/>
    <n v="75"/>
    <d v="1899-12-30T01:46:03"/>
    <n v="106.05"/>
  </r>
  <r>
    <x v="163"/>
    <x v="0"/>
    <x v="2"/>
    <n v="60"/>
    <d v="1899-12-30T01:16:45"/>
    <n v="76.75"/>
  </r>
  <r>
    <x v="163"/>
    <x v="0"/>
    <x v="3"/>
    <n v="0"/>
    <d v="1899-12-30T00:00:00"/>
    <n v="0"/>
  </r>
  <r>
    <x v="163"/>
    <x v="0"/>
    <x v="4"/>
    <n v="19"/>
    <d v="1899-12-30T00:28:39"/>
    <n v="28.65"/>
  </r>
  <r>
    <x v="163"/>
    <x v="0"/>
    <x v="5"/>
    <n v="58"/>
    <d v="1899-12-30T01:03:23"/>
    <n v="63.383333333333333"/>
  </r>
  <r>
    <x v="163"/>
    <x v="1"/>
    <x v="0"/>
    <n v="35"/>
    <d v="1899-12-30T01:33:06"/>
    <n v="93.1"/>
  </r>
  <r>
    <x v="163"/>
    <x v="1"/>
    <x v="1"/>
    <n v="29"/>
    <d v="1899-12-30T01:31:21"/>
    <n v="91.35"/>
  </r>
  <r>
    <x v="163"/>
    <x v="1"/>
    <x v="2"/>
    <n v="26"/>
    <d v="1899-12-30T01:07:45"/>
    <n v="67.75"/>
  </r>
  <r>
    <x v="163"/>
    <x v="1"/>
    <x v="3"/>
    <n v="0"/>
    <d v="1899-12-30T00:00:00"/>
    <n v="0"/>
  </r>
  <r>
    <x v="163"/>
    <x v="1"/>
    <x v="4"/>
    <n v="24"/>
    <d v="1899-12-30T00:59:21"/>
    <n v="59.35"/>
  </r>
  <r>
    <x v="163"/>
    <x v="1"/>
    <x v="5"/>
    <n v="48"/>
    <d v="1899-12-30T01:25:28"/>
    <n v="85.466666666666669"/>
  </r>
  <r>
    <x v="163"/>
    <x v="2"/>
    <x v="0"/>
    <n v="80"/>
    <d v="1899-12-30T03:09:05"/>
    <n v="189.08333333333334"/>
  </r>
  <r>
    <x v="163"/>
    <x v="2"/>
    <x v="1"/>
    <n v="81"/>
    <d v="1899-12-30T03:12:20"/>
    <n v="192.33333333333334"/>
  </r>
  <r>
    <x v="163"/>
    <x v="2"/>
    <x v="2"/>
    <n v="42"/>
    <d v="1899-12-30T01:24:16"/>
    <n v="84.266666666666666"/>
  </r>
  <r>
    <x v="163"/>
    <x v="2"/>
    <x v="3"/>
    <n v="0"/>
    <d v="1899-12-30T00:00:00"/>
    <n v="0"/>
  </r>
  <r>
    <x v="163"/>
    <x v="2"/>
    <x v="4"/>
    <n v="18"/>
    <d v="1899-12-30T00:42:43"/>
    <n v="42.716666666666669"/>
  </r>
  <r>
    <x v="163"/>
    <x v="2"/>
    <x v="5"/>
    <n v="33"/>
    <d v="1899-12-30T00:54:57"/>
    <n v="54.95"/>
  </r>
  <r>
    <x v="163"/>
    <x v="3"/>
    <x v="0"/>
    <n v="18"/>
    <d v="1899-12-30T00:36:59"/>
    <n v="36.983333333333334"/>
  </r>
  <r>
    <x v="163"/>
    <x v="3"/>
    <x v="1"/>
    <n v="3"/>
    <d v="1899-12-30T00:06:16"/>
    <n v="6.2666666666666666"/>
  </r>
  <r>
    <x v="163"/>
    <x v="3"/>
    <x v="2"/>
    <n v="3"/>
    <d v="1899-12-30T00:06:23"/>
    <n v="6.3833333333333337"/>
  </r>
  <r>
    <x v="163"/>
    <x v="3"/>
    <x v="3"/>
    <n v="0"/>
    <d v="1899-12-30T00:00:00"/>
    <n v="0"/>
  </r>
  <r>
    <x v="163"/>
    <x v="3"/>
    <x v="4"/>
    <n v="0"/>
    <d v="1899-12-30T00:00:00"/>
    <n v="0"/>
  </r>
  <r>
    <x v="163"/>
    <x v="3"/>
    <x v="5"/>
    <n v="8"/>
    <d v="1899-12-30T00:12:40"/>
    <n v="12.666666666666666"/>
  </r>
  <r>
    <x v="163"/>
    <x v="4"/>
    <x v="0"/>
    <n v="50"/>
    <d v="1899-12-30T01:54:27"/>
    <n v="114.45"/>
  </r>
  <r>
    <x v="163"/>
    <x v="4"/>
    <x v="1"/>
    <n v="28"/>
    <d v="1899-12-30T01:14:23"/>
    <n v="74.38333333333334"/>
  </r>
  <r>
    <x v="163"/>
    <x v="4"/>
    <x v="2"/>
    <n v="30"/>
    <d v="1899-12-30T01:03:39"/>
    <n v="63.65"/>
  </r>
  <r>
    <x v="163"/>
    <x v="4"/>
    <x v="3"/>
    <n v="0"/>
    <d v="1899-12-30T00:00:00"/>
    <n v="0"/>
  </r>
  <r>
    <x v="163"/>
    <x v="4"/>
    <x v="4"/>
    <n v="5"/>
    <d v="1899-12-30T00:10:53"/>
    <n v="10.883333333333333"/>
  </r>
  <r>
    <x v="163"/>
    <x v="4"/>
    <x v="5"/>
    <n v="24"/>
    <d v="1899-12-30T00:33:27"/>
    <n v="33.450000000000003"/>
  </r>
  <r>
    <x v="163"/>
    <x v="5"/>
    <x v="0"/>
    <n v="22"/>
    <d v="1899-12-30T00:28:59"/>
    <n v="28.983333333333334"/>
  </r>
  <r>
    <x v="163"/>
    <x v="5"/>
    <x v="1"/>
    <n v="23"/>
    <d v="1899-12-30T00:38:23"/>
    <n v="38.383333333333333"/>
  </r>
  <r>
    <x v="163"/>
    <x v="5"/>
    <x v="2"/>
    <n v="34"/>
    <d v="1899-12-30T00:37:12"/>
    <n v="37.200000000000003"/>
  </r>
  <r>
    <x v="163"/>
    <x v="5"/>
    <x v="3"/>
    <n v="0"/>
    <d v="1899-12-30T00:00:00"/>
    <n v="0"/>
  </r>
  <r>
    <x v="163"/>
    <x v="5"/>
    <x v="4"/>
    <n v="4"/>
    <d v="1899-12-30T00:11:54"/>
    <n v="11.9"/>
  </r>
  <r>
    <x v="163"/>
    <x v="5"/>
    <x v="5"/>
    <n v="32"/>
    <d v="1899-12-30T00:39:15"/>
    <n v="39.25"/>
  </r>
  <r>
    <x v="163"/>
    <x v="6"/>
    <x v="0"/>
    <n v="13"/>
    <d v="1899-12-30T00:26:48"/>
    <n v="26.8"/>
  </r>
  <r>
    <x v="163"/>
    <x v="6"/>
    <x v="1"/>
    <n v="18"/>
    <d v="1899-12-30T00:30:49"/>
    <n v="30.816666666666666"/>
  </r>
  <r>
    <x v="163"/>
    <x v="6"/>
    <x v="2"/>
    <n v="18"/>
    <d v="1899-12-30T00:33:07"/>
    <n v="33.116666666666667"/>
  </r>
  <r>
    <x v="163"/>
    <x v="6"/>
    <x v="3"/>
    <n v="0"/>
    <d v="1899-12-30T00:00:00"/>
    <n v="0"/>
  </r>
  <r>
    <x v="163"/>
    <x v="6"/>
    <x v="4"/>
    <n v="10"/>
    <d v="1899-12-30T00:19:36"/>
    <n v="19.600000000000001"/>
  </r>
  <r>
    <x v="163"/>
    <x v="6"/>
    <x v="5"/>
    <n v="17"/>
    <d v="1899-12-30T00:20:31"/>
    <n v="20.516666666666666"/>
  </r>
  <r>
    <x v="163"/>
    <x v="7"/>
    <x v="0"/>
    <n v="22"/>
    <d v="1899-12-30T00:36:24"/>
    <n v="36.4"/>
  </r>
  <r>
    <x v="163"/>
    <x v="7"/>
    <x v="1"/>
    <n v="48"/>
    <d v="1899-12-30T01:26:12"/>
    <n v="86.2"/>
  </r>
  <r>
    <x v="163"/>
    <x v="7"/>
    <x v="2"/>
    <n v="29"/>
    <d v="1899-12-30T00:39:17"/>
    <n v="39.283333333333331"/>
  </r>
  <r>
    <x v="163"/>
    <x v="7"/>
    <x v="3"/>
    <n v="0"/>
    <d v="1899-12-30T00:00:00"/>
    <n v="0"/>
  </r>
  <r>
    <x v="163"/>
    <x v="7"/>
    <x v="4"/>
    <n v="99"/>
    <d v="1899-12-30T03:04:00"/>
    <n v="184"/>
  </r>
  <r>
    <x v="163"/>
    <x v="7"/>
    <x v="5"/>
    <n v="28"/>
    <d v="1899-12-30T00:28:36"/>
    <n v="28.6"/>
  </r>
  <r>
    <x v="163"/>
    <x v="8"/>
    <x v="0"/>
    <n v="10"/>
    <d v="1899-12-30T00:19:35"/>
    <n v="19.583333333333332"/>
  </r>
  <r>
    <x v="163"/>
    <x v="8"/>
    <x v="1"/>
    <n v="12"/>
    <d v="1899-12-30T00:24:09"/>
    <n v="24.15"/>
  </r>
  <r>
    <x v="163"/>
    <x v="8"/>
    <x v="2"/>
    <n v="9"/>
    <d v="1899-12-30T00:17:03"/>
    <n v="17.05"/>
  </r>
  <r>
    <x v="163"/>
    <x v="8"/>
    <x v="3"/>
    <n v="0"/>
    <d v="1899-12-30T00:00:00"/>
    <n v="0"/>
  </r>
  <r>
    <x v="163"/>
    <x v="8"/>
    <x v="4"/>
    <n v="7"/>
    <d v="1899-12-30T00:17:29"/>
    <n v="17.483333333333334"/>
  </r>
  <r>
    <x v="163"/>
    <x v="8"/>
    <x v="5"/>
    <n v="13"/>
    <d v="1899-12-30T00:14:35"/>
    <n v="14.583333333333334"/>
  </r>
  <r>
    <x v="163"/>
    <x v="9"/>
    <x v="0"/>
    <n v="22"/>
    <d v="1899-12-30T00:37:06"/>
    <n v="37.1"/>
  </r>
  <r>
    <x v="163"/>
    <x v="9"/>
    <x v="1"/>
    <n v="37"/>
    <d v="1899-12-30T01:09:44"/>
    <n v="69.733333333333334"/>
  </r>
  <r>
    <x v="163"/>
    <x v="9"/>
    <x v="2"/>
    <n v="33"/>
    <d v="1899-12-30T00:45:10"/>
    <n v="45.166666666666664"/>
  </r>
  <r>
    <x v="163"/>
    <x v="9"/>
    <x v="3"/>
    <n v="0"/>
    <d v="1899-12-30T00:00:00"/>
    <n v="0"/>
  </r>
  <r>
    <x v="163"/>
    <x v="9"/>
    <x v="4"/>
    <n v="2"/>
    <d v="1899-12-30T00:04:10"/>
    <n v="4.166666666666667"/>
  </r>
  <r>
    <x v="163"/>
    <x v="9"/>
    <x v="5"/>
    <n v="34"/>
    <d v="1899-12-30T00:35:11"/>
    <n v="35.18333333333333"/>
  </r>
  <r>
    <x v="163"/>
    <x v="10"/>
    <x v="0"/>
    <n v="23"/>
    <d v="1899-12-30T00:47:12"/>
    <n v="47.2"/>
  </r>
  <r>
    <x v="163"/>
    <x v="10"/>
    <x v="1"/>
    <n v="13"/>
    <d v="1899-12-30T00:32:02"/>
    <n v="32.033333333333331"/>
  </r>
  <r>
    <x v="163"/>
    <x v="10"/>
    <x v="2"/>
    <n v="10"/>
    <d v="1899-12-30T00:19:05"/>
    <n v="19.083333333333332"/>
  </r>
  <r>
    <x v="163"/>
    <x v="10"/>
    <x v="3"/>
    <n v="0"/>
    <d v="1899-12-30T00:00:00"/>
    <n v="0"/>
  </r>
  <r>
    <x v="163"/>
    <x v="10"/>
    <x v="4"/>
    <n v="3"/>
    <d v="1899-12-30T00:05:03"/>
    <n v="5.05"/>
  </r>
  <r>
    <x v="163"/>
    <x v="10"/>
    <x v="5"/>
    <n v="11"/>
    <d v="1899-12-30T00:17:30"/>
    <n v="17.5"/>
  </r>
  <r>
    <x v="163"/>
    <x v="11"/>
    <x v="0"/>
    <n v="13"/>
    <d v="1899-12-30T00:25:16"/>
    <n v="25.266666666666666"/>
  </r>
  <r>
    <x v="163"/>
    <x v="11"/>
    <x v="1"/>
    <n v="7"/>
    <d v="1899-12-30T00:18:48"/>
    <n v="18.8"/>
  </r>
  <r>
    <x v="163"/>
    <x v="11"/>
    <x v="2"/>
    <n v="9"/>
    <d v="1899-12-30T00:21:07"/>
    <n v="21.116666666666667"/>
  </r>
  <r>
    <x v="163"/>
    <x v="11"/>
    <x v="3"/>
    <n v="0"/>
    <d v="1899-12-30T00:00:00"/>
    <n v="0"/>
  </r>
  <r>
    <x v="163"/>
    <x v="11"/>
    <x v="4"/>
    <n v="12"/>
    <d v="1899-12-30T00:24:28"/>
    <n v="24.466666666666665"/>
  </r>
  <r>
    <x v="163"/>
    <x v="11"/>
    <x v="5"/>
    <n v="14"/>
    <d v="1899-12-30T00:24:17"/>
    <n v="24.283333333333335"/>
  </r>
  <r>
    <x v="163"/>
    <x v="12"/>
    <x v="0"/>
    <n v="94"/>
    <d v="1899-12-30T03:20:11"/>
    <n v="200.18333333333334"/>
  </r>
  <r>
    <x v="163"/>
    <x v="12"/>
    <x v="1"/>
    <n v="81"/>
    <d v="1899-12-30T03:01:38"/>
    <n v="181.63333333333333"/>
  </r>
  <r>
    <x v="163"/>
    <x v="12"/>
    <x v="2"/>
    <n v="47"/>
    <d v="1899-12-30T01:15:09"/>
    <n v="75.150000000000006"/>
  </r>
  <r>
    <x v="163"/>
    <x v="12"/>
    <x v="3"/>
    <n v="0"/>
    <d v="1899-12-30T00:00:00"/>
    <n v="0"/>
  </r>
  <r>
    <x v="163"/>
    <x v="12"/>
    <x v="4"/>
    <n v="40"/>
    <d v="1899-12-30T01:32:07"/>
    <n v="92.11666666666666"/>
  </r>
  <r>
    <x v="163"/>
    <x v="12"/>
    <x v="5"/>
    <n v="72"/>
    <d v="1899-12-30T01:36:19"/>
    <n v="96.316666666666663"/>
  </r>
  <r>
    <x v="163"/>
    <x v="13"/>
    <x v="0"/>
    <n v="10"/>
    <d v="1899-12-30T00:18:39"/>
    <n v="18.649999999999999"/>
  </r>
  <r>
    <x v="163"/>
    <x v="13"/>
    <x v="1"/>
    <n v="18"/>
    <d v="1899-12-30T00:25:22"/>
    <n v="25.366666666666667"/>
  </r>
  <r>
    <x v="163"/>
    <x v="13"/>
    <x v="2"/>
    <n v="21"/>
    <d v="1899-12-30T00:21:02"/>
    <n v="21.033333333333335"/>
  </r>
  <r>
    <x v="163"/>
    <x v="13"/>
    <x v="3"/>
    <n v="0"/>
    <d v="1899-12-30T00:00:00"/>
    <n v="0"/>
  </r>
  <r>
    <x v="163"/>
    <x v="13"/>
    <x v="4"/>
    <n v="1"/>
    <d v="1899-12-30T00:03:22"/>
    <n v="3.3666666666666667"/>
  </r>
  <r>
    <x v="163"/>
    <x v="13"/>
    <x v="5"/>
    <n v="25"/>
    <d v="1899-12-30T00:24:25"/>
    <n v="24.416666666666668"/>
  </r>
  <r>
    <x v="164"/>
    <x v="0"/>
    <x v="0"/>
    <n v="28"/>
    <d v="1899-12-30T00:46:54"/>
    <n v="46.9"/>
  </r>
  <r>
    <x v="164"/>
    <x v="0"/>
    <x v="1"/>
    <n v="32"/>
    <d v="1899-12-30T00:46:31"/>
    <n v="46.516666666666666"/>
  </r>
  <r>
    <x v="164"/>
    <x v="0"/>
    <x v="2"/>
    <n v="39"/>
    <d v="1899-12-30T01:00:24"/>
    <n v="60.4"/>
  </r>
  <r>
    <x v="164"/>
    <x v="0"/>
    <x v="3"/>
    <n v="0"/>
    <d v="1899-12-30T00:00:00"/>
    <n v="0"/>
  </r>
  <r>
    <x v="164"/>
    <x v="0"/>
    <x v="4"/>
    <n v="7"/>
    <d v="1899-12-30T00:10:02"/>
    <n v="10.033333333333333"/>
  </r>
  <r>
    <x v="164"/>
    <x v="0"/>
    <x v="5"/>
    <n v="30"/>
    <d v="1899-12-30T00:27:59"/>
    <n v="27.983333333333334"/>
  </r>
  <r>
    <x v="164"/>
    <x v="1"/>
    <x v="0"/>
    <n v="28"/>
    <d v="1899-12-30T00:59:37"/>
    <n v="59.616666666666667"/>
  </r>
  <r>
    <x v="164"/>
    <x v="1"/>
    <x v="1"/>
    <n v="22"/>
    <d v="1899-12-30T00:52:49"/>
    <n v="52.81666666666667"/>
  </r>
  <r>
    <x v="164"/>
    <x v="1"/>
    <x v="2"/>
    <n v="25"/>
    <d v="1899-12-30T00:56:22"/>
    <n v="56.366666666666667"/>
  </r>
  <r>
    <x v="164"/>
    <x v="1"/>
    <x v="3"/>
    <n v="0"/>
    <d v="1899-12-30T00:00:00"/>
    <n v="0"/>
  </r>
  <r>
    <x v="164"/>
    <x v="1"/>
    <x v="4"/>
    <n v="20"/>
    <d v="1899-12-30T00:47:50"/>
    <n v="47.833333333333336"/>
  </r>
  <r>
    <x v="164"/>
    <x v="1"/>
    <x v="5"/>
    <n v="55"/>
    <d v="1899-12-30T01:47:39"/>
    <n v="107.65"/>
  </r>
  <r>
    <x v="164"/>
    <x v="2"/>
    <x v="0"/>
    <n v="78"/>
    <d v="1899-12-30T02:59:36"/>
    <n v="179.6"/>
  </r>
  <r>
    <x v="164"/>
    <x v="2"/>
    <x v="1"/>
    <n v="72"/>
    <d v="1899-12-30T02:27:21"/>
    <n v="147.35"/>
  </r>
  <r>
    <x v="164"/>
    <x v="2"/>
    <x v="2"/>
    <n v="45"/>
    <d v="1899-12-30T01:29:45"/>
    <n v="89.75"/>
  </r>
  <r>
    <x v="164"/>
    <x v="2"/>
    <x v="3"/>
    <n v="0"/>
    <d v="1899-12-30T00:00:00"/>
    <n v="0"/>
  </r>
  <r>
    <x v="164"/>
    <x v="2"/>
    <x v="4"/>
    <n v="15"/>
    <d v="1899-12-30T00:34:46"/>
    <n v="34.766666666666666"/>
  </r>
  <r>
    <x v="164"/>
    <x v="2"/>
    <x v="5"/>
    <n v="36"/>
    <d v="1899-12-30T01:00:07"/>
    <n v="60.116666666666667"/>
  </r>
  <r>
    <x v="164"/>
    <x v="3"/>
    <x v="0"/>
    <n v="21"/>
    <d v="1899-12-30T00:43:01"/>
    <n v="43.016666666666666"/>
  </r>
  <r>
    <x v="164"/>
    <x v="3"/>
    <x v="1"/>
    <n v="19"/>
    <d v="1899-12-30T00:48:12"/>
    <n v="48.2"/>
  </r>
  <r>
    <x v="164"/>
    <x v="3"/>
    <x v="2"/>
    <n v="6"/>
    <d v="1899-12-30T00:09:33"/>
    <n v="9.5500000000000007"/>
  </r>
  <r>
    <x v="164"/>
    <x v="3"/>
    <x v="3"/>
    <n v="0"/>
    <d v="1899-12-30T00:00:00"/>
    <n v="0"/>
  </r>
  <r>
    <x v="164"/>
    <x v="3"/>
    <x v="4"/>
    <n v="2"/>
    <d v="1899-12-30T00:06:01"/>
    <n v="6.0166666666666666"/>
  </r>
  <r>
    <x v="164"/>
    <x v="3"/>
    <x v="5"/>
    <n v="18"/>
    <d v="1899-12-30T00:33:36"/>
    <n v="33.6"/>
  </r>
  <r>
    <x v="164"/>
    <x v="4"/>
    <x v="0"/>
    <n v="29"/>
    <d v="1899-12-30T01:04:42"/>
    <n v="64.7"/>
  </r>
  <r>
    <x v="164"/>
    <x v="4"/>
    <x v="1"/>
    <n v="28"/>
    <d v="1899-12-30T01:04:49"/>
    <n v="64.816666666666663"/>
  </r>
  <r>
    <x v="164"/>
    <x v="4"/>
    <x v="2"/>
    <n v="23"/>
    <d v="1899-12-30T00:41:07"/>
    <n v="41.116666666666667"/>
  </r>
  <r>
    <x v="164"/>
    <x v="4"/>
    <x v="3"/>
    <n v="0"/>
    <d v="1899-12-30T00:00:00"/>
    <n v="0"/>
  </r>
  <r>
    <x v="164"/>
    <x v="4"/>
    <x v="4"/>
    <n v="14"/>
    <d v="1899-12-30T00:22:33"/>
    <n v="22.55"/>
  </r>
  <r>
    <x v="164"/>
    <x v="4"/>
    <x v="5"/>
    <n v="15"/>
    <d v="1899-12-30T00:22:20"/>
    <n v="22.333333333333332"/>
  </r>
  <r>
    <x v="164"/>
    <x v="5"/>
    <x v="0"/>
    <n v="12"/>
    <d v="1899-12-30T00:24:06"/>
    <n v="24.1"/>
  </r>
  <r>
    <x v="164"/>
    <x v="5"/>
    <x v="1"/>
    <n v="16"/>
    <d v="1899-12-30T00:29:50"/>
    <n v="29.833333333333332"/>
  </r>
  <r>
    <x v="164"/>
    <x v="5"/>
    <x v="2"/>
    <n v="32"/>
    <d v="1899-12-30T00:46:00"/>
    <n v="46"/>
  </r>
  <r>
    <x v="164"/>
    <x v="5"/>
    <x v="3"/>
    <n v="0"/>
    <d v="1899-12-30T00:00:00"/>
    <n v="0"/>
  </r>
  <r>
    <x v="164"/>
    <x v="5"/>
    <x v="4"/>
    <n v="2"/>
    <d v="1899-12-30T00:04:41"/>
    <n v="4.6833333333333336"/>
  </r>
  <r>
    <x v="164"/>
    <x v="5"/>
    <x v="5"/>
    <n v="27"/>
    <d v="1899-12-30T00:34:24"/>
    <n v="34.4"/>
  </r>
  <r>
    <x v="164"/>
    <x v="6"/>
    <x v="0"/>
    <n v="6"/>
    <d v="1899-12-30T00:14:37"/>
    <n v="14.616666666666667"/>
  </r>
  <r>
    <x v="164"/>
    <x v="6"/>
    <x v="1"/>
    <n v="15"/>
    <d v="1899-12-30T00:20:12"/>
    <n v="20.2"/>
  </r>
  <r>
    <x v="164"/>
    <x v="6"/>
    <x v="2"/>
    <n v="13"/>
    <d v="1899-12-30T00:19:54"/>
    <n v="19.899999999999999"/>
  </r>
  <r>
    <x v="164"/>
    <x v="6"/>
    <x v="3"/>
    <n v="0"/>
    <d v="1899-12-30T00:00:00"/>
    <n v="0"/>
  </r>
  <r>
    <x v="164"/>
    <x v="6"/>
    <x v="4"/>
    <n v="5"/>
    <d v="1899-12-30T00:07:28"/>
    <n v="7.4666666666666668"/>
  </r>
  <r>
    <x v="164"/>
    <x v="6"/>
    <x v="5"/>
    <n v="9"/>
    <d v="1899-12-30T00:10:27"/>
    <n v="10.45"/>
  </r>
  <r>
    <x v="164"/>
    <x v="7"/>
    <x v="0"/>
    <n v="33"/>
    <d v="1899-12-30T01:00:38"/>
    <n v="60.633333333333333"/>
  </r>
  <r>
    <x v="164"/>
    <x v="7"/>
    <x v="1"/>
    <n v="71"/>
    <d v="1899-12-30T01:45:17"/>
    <n v="105.28333333333333"/>
  </r>
  <r>
    <x v="164"/>
    <x v="7"/>
    <x v="2"/>
    <n v="33"/>
    <d v="1899-12-30T00:38:11"/>
    <n v="38.18333333333333"/>
  </r>
  <r>
    <x v="164"/>
    <x v="7"/>
    <x v="3"/>
    <n v="0"/>
    <d v="1899-12-30T00:00:00"/>
    <n v="0"/>
  </r>
  <r>
    <x v="164"/>
    <x v="7"/>
    <x v="4"/>
    <n v="112"/>
    <d v="1899-12-30T03:48:51"/>
    <n v="228.85"/>
  </r>
  <r>
    <x v="164"/>
    <x v="7"/>
    <x v="5"/>
    <n v="34"/>
    <d v="1899-12-30T00:29:27"/>
    <n v="29.45"/>
  </r>
  <r>
    <x v="164"/>
    <x v="8"/>
    <x v="0"/>
    <n v="20"/>
    <d v="1899-12-30T00:36:42"/>
    <n v="36.700000000000003"/>
  </r>
  <r>
    <x v="164"/>
    <x v="8"/>
    <x v="1"/>
    <n v="20"/>
    <d v="1899-12-30T00:38:46"/>
    <n v="38.766666666666666"/>
  </r>
  <r>
    <x v="164"/>
    <x v="8"/>
    <x v="2"/>
    <n v="19"/>
    <d v="1899-12-30T00:29:16"/>
    <n v="29.266666666666666"/>
  </r>
  <r>
    <x v="164"/>
    <x v="8"/>
    <x v="3"/>
    <n v="0"/>
    <d v="1899-12-30T00:00:00"/>
    <n v="0"/>
  </r>
  <r>
    <x v="164"/>
    <x v="8"/>
    <x v="4"/>
    <n v="8"/>
    <d v="1899-12-30T00:16:15"/>
    <n v="16.25"/>
  </r>
  <r>
    <x v="164"/>
    <x v="8"/>
    <x v="5"/>
    <n v="35"/>
    <d v="1899-12-30T00:39:51"/>
    <n v="39.85"/>
  </r>
  <r>
    <x v="164"/>
    <x v="9"/>
    <x v="0"/>
    <n v="32"/>
    <d v="1899-12-30T01:10:27"/>
    <n v="70.45"/>
  </r>
  <r>
    <x v="164"/>
    <x v="9"/>
    <x v="1"/>
    <n v="38"/>
    <d v="1899-12-30T01:00:25"/>
    <n v="60.416666666666664"/>
  </r>
  <r>
    <x v="164"/>
    <x v="9"/>
    <x v="2"/>
    <n v="41"/>
    <d v="1899-12-30T00:50:55"/>
    <n v="50.916666666666664"/>
  </r>
  <r>
    <x v="164"/>
    <x v="9"/>
    <x v="3"/>
    <n v="0"/>
    <d v="1899-12-30T00:00:00"/>
    <n v="0"/>
  </r>
  <r>
    <x v="164"/>
    <x v="9"/>
    <x v="4"/>
    <n v="9"/>
    <d v="1899-12-30T00:18:01"/>
    <n v="18.016666666666666"/>
  </r>
  <r>
    <x v="164"/>
    <x v="9"/>
    <x v="5"/>
    <n v="27"/>
    <d v="1899-12-30T00:32:08"/>
    <n v="32.133333333333333"/>
  </r>
  <r>
    <x v="164"/>
    <x v="10"/>
    <x v="0"/>
    <n v="17"/>
    <d v="1899-12-30T00:39:20"/>
    <n v="39.333333333333336"/>
  </r>
  <r>
    <x v="164"/>
    <x v="10"/>
    <x v="1"/>
    <n v="15"/>
    <d v="1899-12-30T00:35:32"/>
    <n v="35.533333333333331"/>
  </r>
  <r>
    <x v="164"/>
    <x v="10"/>
    <x v="2"/>
    <n v="20"/>
    <d v="1899-12-30T00:32:40"/>
    <n v="32.666666666666664"/>
  </r>
  <r>
    <x v="164"/>
    <x v="10"/>
    <x v="3"/>
    <n v="0"/>
    <d v="1899-12-30T00:00:00"/>
    <n v="0"/>
  </r>
  <r>
    <x v="164"/>
    <x v="10"/>
    <x v="4"/>
    <n v="7"/>
    <d v="1899-12-30T00:16:51"/>
    <n v="16.850000000000001"/>
  </r>
  <r>
    <x v="164"/>
    <x v="10"/>
    <x v="5"/>
    <n v="14"/>
    <d v="1899-12-30T00:22:25"/>
    <n v="22.416666666666668"/>
  </r>
  <r>
    <x v="164"/>
    <x v="11"/>
    <x v="0"/>
    <n v="14"/>
    <d v="1899-12-30T00:37:15"/>
    <n v="37.25"/>
  </r>
  <r>
    <x v="164"/>
    <x v="11"/>
    <x v="1"/>
    <n v="5"/>
    <d v="1899-12-30T00:14:12"/>
    <n v="14.2"/>
  </r>
  <r>
    <x v="164"/>
    <x v="11"/>
    <x v="2"/>
    <n v="2"/>
    <d v="1899-12-30T00:05:01"/>
    <n v="5.0166666666666666"/>
  </r>
  <r>
    <x v="164"/>
    <x v="11"/>
    <x v="3"/>
    <n v="0"/>
    <d v="1899-12-30T00:00:00"/>
    <n v="0"/>
  </r>
  <r>
    <x v="164"/>
    <x v="11"/>
    <x v="4"/>
    <n v="3"/>
    <d v="1899-12-30T00:03:11"/>
    <n v="3.1833333333333331"/>
  </r>
  <r>
    <x v="164"/>
    <x v="11"/>
    <x v="5"/>
    <n v="8"/>
    <d v="1899-12-30T00:13:41"/>
    <n v="13.683333333333334"/>
  </r>
  <r>
    <x v="164"/>
    <x v="12"/>
    <x v="0"/>
    <n v="88"/>
    <d v="1899-12-30T03:24:29"/>
    <n v="204.48333333333332"/>
  </r>
  <r>
    <x v="164"/>
    <x v="12"/>
    <x v="1"/>
    <n v="95"/>
    <d v="1899-12-30T03:50:21"/>
    <n v="230.35"/>
  </r>
  <r>
    <x v="164"/>
    <x v="12"/>
    <x v="2"/>
    <n v="60"/>
    <d v="1899-12-30T01:55:12"/>
    <n v="115.2"/>
  </r>
  <r>
    <x v="164"/>
    <x v="12"/>
    <x v="3"/>
    <n v="0"/>
    <d v="1899-12-30T00:00:00"/>
    <n v="0"/>
  </r>
  <r>
    <x v="164"/>
    <x v="12"/>
    <x v="4"/>
    <n v="38"/>
    <d v="1899-12-30T01:13:44"/>
    <n v="73.733333333333334"/>
  </r>
  <r>
    <x v="164"/>
    <x v="12"/>
    <x v="5"/>
    <n v="72"/>
    <d v="1899-12-30T01:49:06"/>
    <n v="109.1"/>
  </r>
  <r>
    <x v="164"/>
    <x v="13"/>
    <x v="0"/>
    <n v="13"/>
    <d v="1899-12-30T00:24:24"/>
    <n v="24.4"/>
  </r>
  <r>
    <x v="164"/>
    <x v="13"/>
    <x v="1"/>
    <n v="15"/>
    <d v="1899-12-30T00:19:59"/>
    <n v="19.983333333333334"/>
  </r>
  <r>
    <x v="164"/>
    <x v="13"/>
    <x v="2"/>
    <n v="12"/>
    <d v="1899-12-30T00:13:51"/>
    <n v="13.85"/>
  </r>
  <r>
    <x v="164"/>
    <x v="13"/>
    <x v="3"/>
    <n v="0"/>
    <d v="1899-12-30T00:00:00"/>
    <n v="0"/>
  </r>
  <r>
    <x v="164"/>
    <x v="13"/>
    <x v="4"/>
    <n v="3"/>
    <d v="1899-12-30T00:06:23"/>
    <n v="6.3833333333333337"/>
  </r>
  <r>
    <x v="164"/>
    <x v="13"/>
    <x v="5"/>
    <n v="30"/>
    <d v="1899-12-30T00:45:13"/>
    <n v="45.216666666666669"/>
  </r>
  <r>
    <x v="165"/>
    <x v="0"/>
    <x v="0"/>
    <n v="98"/>
    <d v="1899-12-30T02:38:54"/>
    <n v="158.9"/>
  </r>
  <r>
    <x v="165"/>
    <x v="0"/>
    <x v="1"/>
    <n v="98"/>
    <d v="1899-12-30T02:28:59"/>
    <n v="148.98333333333332"/>
  </r>
  <r>
    <x v="165"/>
    <x v="0"/>
    <x v="2"/>
    <n v="92"/>
    <d v="1899-12-30T02:04:53"/>
    <n v="124.88333333333334"/>
  </r>
  <r>
    <x v="165"/>
    <x v="0"/>
    <x v="3"/>
    <n v="0"/>
    <d v="1899-12-30T00:00:00"/>
    <n v="0"/>
  </r>
  <r>
    <x v="165"/>
    <x v="0"/>
    <x v="4"/>
    <n v="7"/>
    <d v="1899-12-30T00:13:43"/>
    <n v="13.716666666666667"/>
  </r>
  <r>
    <x v="165"/>
    <x v="0"/>
    <x v="5"/>
    <n v="67"/>
    <d v="1899-12-30T01:13:48"/>
    <n v="73.8"/>
  </r>
  <r>
    <x v="165"/>
    <x v="1"/>
    <x v="0"/>
    <n v="39"/>
    <d v="1899-12-30T01:31:13"/>
    <n v="91.216666666666669"/>
  </r>
  <r>
    <x v="165"/>
    <x v="1"/>
    <x v="1"/>
    <n v="27"/>
    <d v="1899-12-30T01:06:20"/>
    <n v="66.333333333333329"/>
  </r>
  <r>
    <x v="165"/>
    <x v="1"/>
    <x v="2"/>
    <n v="17"/>
    <d v="1899-12-30T00:38:50"/>
    <n v="38.833333333333336"/>
  </r>
  <r>
    <x v="165"/>
    <x v="1"/>
    <x v="3"/>
    <n v="0"/>
    <d v="1899-12-30T00:00:00"/>
    <n v="0"/>
  </r>
  <r>
    <x v="165"/>
    <x v="1"/>
    <x v="4"/>
    <n v="26"/>
    <d v="1899-12-30T01:05:46"/>
    <n v="65.766666666666666"/>
  </r>
  <r>
    <x v="165"/>
    <x v="1"/>
    <x v="5"/>
    <n v="59"/>
    <d v="1899-12-30T01:58:37"/>
    <n v="118.61666666666666"/>
  </r>
  <r>
    <x v="165"/>
    <x v="2"/>
    <x v="0"/>
    <n v="85"/>
    <d v="1899-12-30T03:21:38"/>
    <n v="201.63333333333333"/>
  </r>
  <r>
    <x v="165"/>
    <x v="2"/>
    <x v="1"/>
    <n v="67"/>
    <d v="1899-12-30T02:34:53"/>
    <n v="154.88333333333333"/>
  </r>
  <r>
    <x v="165"/>
    <x v="2"/>
    <x v="2"/>
    <n v="41"/>
    <d v="1899-12-30T01:25:02"/>
    <n v="85.033333333333331"/>
  </r>
  <r>
    <x v="165"/>
    <x v="2"/>
    <x v="3"/>
    <n v="0"/>
    <d v="1899-12-30T00:00:00"/>
    <n v="0"/>
  </r>
  <r>
    <x v="165"/>
    <x v="2"/>
    <x v="4"/>
    <n v="8"/>
    <d v="1899-12-30T00:13:18"/>
    <n v="13.3"/>
  </r>
  <r>
    <x v="165"/>
    <x v="2"/>
    <x v="5"/>
    <n v="38"/>
    <d v="1899-12-30T01:01:52"/>
    <n v="61.866666666666667"/>
  </r>
  <r>
    <x v="165"/>
    <x v="3"/>
    <x v="0"/>
    <n v="8"/>
    <d v="1899-12-30T00:18:50"/>
    <n v="18.833333333333332"/>
  </r>
  <r>
    <x v="165"/>
    <x v="3"/>
    <x v="1"/>
    <n v="10"/>
    <d v="1899-12-30T00:24:41"/>
    <n v="24.683333333333334"/>
  </r>
  <r>
    <x v="165"/>
    <x v="3"/>
    <x v="2"/>
    <n v="7"/>
    <d v="1899-12-30T00:10:57"/>
    <n v="10.95"/>
  </r>
  <r>
    <x v="165"/>
    <x v="3"/>
    <x v="3"/>
    <n v="0"/>
    <d v="1899-12-30T00:00:00"/>
    <n v="0"/>
  </r>
  <r>
    <x v="165"/>
    <x v="3"/>
    <x v="4"/>
    <n v="4"/>
    <d v="1899-12-30T00:08:30"/>
    <n v="8.5"/>
  </r>
  <r>
    <x v="165"/>
    <x v="3"/>
    <x v="5"/>
    <n v="11"/>
    <d v="1899-12-30T00:19:00"/>
    <n v="19"/>
  </r>
  <r>
    <x v="165"/>
    <x v="4"/>
    <x v="0"/>
    <n v="36"/>
    <d v="1899-12-30T00:58:34"/>
    <n v="58.56666666666667"/>
  </r>
  <r>
    <x v="165"/>
    <x v="4"/>
    <x v="1"/>
    <n v="40"/>
    <d v="1899-12-30T01:27:14"/>
    <n v="87.233333333333334"/>
  </r>
  <r>
    <x v="165"/>
    <x v="4"/>
    <x v="2"/>
    <n v="32"/>
    <d v="1899-12-30T00:53:17"/>
    <n v="53.283333333333331"/>
  </r>
  <r>
    <x v="165"/>
    <x v="4"/>
    <x v="3"/>
    <n v="0"/>
    <d v="1899-12-30T00:00:00"/>
    <n v="0"/>
  </r>
  <r>
    <x v="165"/>
    <x v="4"/>
    <x v="4"/>
    <n v="17"/>
    <d v="1899-12-30T00:29:38"/>
    <n v="29.633333333333333"/>
  </r>
  <r>
    <x v="165"/>
    <x v="4"/>
    <x v="5"/>
    <n v="16"/>
    <d v="1899-12-30T00:31:07"/>
    <n v="31.116666666666667"/>
  </r>
  <r>
    <x v="165"/>
    <x v="5"/>
    <x v="0"/>
    <n v="22"/>
    <d v="1899-12-30T00:35:56"/>
    <n v="35.93333333333333"/>
  </r>
  <r>
    <x v="165"/>
    <x v="5"/>
    <x v="1"/>
    <n v="28"/>
    <d v="1899-12-30T00:44:20"/>
    <n v="44.333333333333336"/>
  </r>
  <r>
    <x v="165"/>
    <x v="5"/>
    <x v="2"/>
    <n v="25"/>
    <d v="1899-12-30T00:32:36"/>
    <n v="32.6"/>
  </r>
  <r>
    <x v="165"/>
    <x v="5"/>
    <x v="3"/>
    <n v="0"/>
    <d v="1899-12-30T00:00:00"/>
    <n v="0"/>
  </r>
  <r>
    <x v="165"/>
    <x v="5"/>
    <x v="4"/>
    <n v="6"/>
    <d v="1899-12-30T00:09:00"/>
    <n v="9"/>
  </r>
  <r>
    <x v="165"/>
    <x v="5"/>
    <x v="5"/>
    <n v="36"/>
    <d v="1899-12-30T00:47:01"/>
    <n v="47.016666666666666"/>
  </r>
  <r>
    <x v="165"/>
    <x v="6"/>
    <x v="0"/>
    <n v="32"/>
    <d v="1899-12-30T01:01:18"/>
    <n v="61.3"/>
  </r>
  <r>
    <x v="165"/>
    <x v="6"/>
    <x v="1"/>
    <n v="27"/>
    <d v="1899-12-30T01:09:27"/>
    <n v="69.45"/>
  </r>
  <r>
    <x v="165"/>
    <x v="6"/>
    <x v="2"/>
    <n v="25"/>
    <d v="1899-12-30T00:42:50"/>
    <n v="42.833333333333336"/>
  </r>
  <r>
    <x v="165"/>
    <x v="6"/>
    <x v="3"/>
    <n v="0"/>
    <d v="1899-12-30T00:00:00"/>
    <n v="0"/>
  </r>
  <r>
    <x v="165"/>
    <x v="6"/>
    <x v="4"/>
    <n v="10"/>
    <d v="1899-12-30T00:16:12"/>
    <n v="16.2"/>
  </r>
  <r>
    <x v="165"/>
    <x v="6"/>
    <x v="5"/>
    <n v="21"/>
    <d v="1899-12-30T00:41:15"/>
    <n v="41.25"/>
  </r>
  <r>
    <x v="165"/>
    <x v="7"/>
    <x v="0"/>
    <n v="46"/>
    <d v="1899-12-30T01:08:05"/>
    <n v="68.083333333333329"/>
  </r>
  <r>
    <x v="165"/>
    <x v="7"/>
    <x v="1"/>
    <n v="84"/>
    <d v="1899-12-30T02:30:52"/>
    <n v="150.86666666666667"/>
  </r>
  <r>
    <x v="165"/>
    <x v="7"/>
    <x v="2"/>
    <n v="38"/>
    <d v="1899-12-30T00:47:27"/>
    <n v="47.45"/>
  </r>
  <r>
    <x v="165"/>
    <x v="7"/>
    <x v="3"/>
    <n v="0"/>
    <d v="1899-12-30T00:00:00"/>
    <n v="0"/>
  </r>
  <r>
    <x v="165"/>
    <x v="7"/>
    <x v="4"/>
    <n v="150"/>
    <d v="1899-12-30T05:18:08"/>
    <n v="318.13333333333333"/>
  </r>
  <r>
    <x v="165"/>
    <x v="7"/>
    <x v="5"/>
    <n v="52"/>
    <d v="1899-12-30T00:49:59"/>
    <n v="49.983333333333334"/>
  </r>
  <r>
    <x v="165"/>
    <x v="8"/>
    <x v="0"/>
    <n v="21"/>
    <d v="1899-12-30T00:52:47"/>
    <n v="52.783333333333331"/>
  </r>
  <r>
    <x v="165"/>
    <x v="8"/>
    <x v="1"/>
    <n v="21"/>
    <d v="1899-12-30T00:42:06"/>
    <n v="42.1"/>
  </r>
  <r>
    <x v="165"/>
    <x v="8"/>
    <x v="2"/>
    <n v="28"/>
    <d v="1899-12-30T00:39:41"/>
    <n v="39.68333333333333"/>
  </r>
  <r>
    <x v="165"/>
    <x v="8"/>
    <x v="3"/>
    <n v="0"/>
    <d v="1899-12-30T00:00:00"/>
    <n v="0"/>
  </r>
  <r>
    <x v="165"/>
    <x v="8"/>
    <x v="4"/>
    <n v="6"/>
    <d v="1899-12-30T00:12:05"/>
    <n v="12.083333333333334"/>
  </r>
  <r>
    <x v="165"/>
    <x v="8"/>
    <x v="5"/>
    <n v="26"/>
    <d v="1899-12-30T00:32:43"/>
    <n v="32.716666666666669"/>
  </r>
  <r>
    <x v="165"/>
    <x v="9"/>
    <x v="0"/>
    <n v="32"/>
    <d v="1899-12-30T01:16:54"/>
    <n v="76.900000000000006"/>
  </r>
  <r>
    <x v="165"/>
    <x v="9"/>
    <x v="1"/>
    <n v="38"/>
    <d v="1899-12-30T01:05:24"/>
    <n v="65.400000000000006"/>
  </r>
  <r>
    <x v="165"/>
    <x v="9"/>
    <x v="2"/>
    <n v="44"/>
    <d v="1899-12-30T01:05:44"/>
    <n v="65.733333333333334"/>
  </r>
  <r>
    <x v="165"/>
    <x v="9"/>
    <x v="3"/>
    <n v="0"/>
    <d v="1899-12-30T00:00:00"/>
    <n v="0"/>
  </r>
  <r>
    <x v="165"/>
    <x v="9"/>
    <x v="4"/>
    <n v="7"/>
    <d v="1899-12-30T00:13:21"/>
    <n v="13.35"/>
  </r>
  <r>
    <x v="165"/>
    <x v="9"/>
    <x v="5"/>
    <n v="30"/>
    <d v="1899-12-30T00:43:04"/>
    <n v="43.06666666666667"/>
  </r>
  <r>
    <x v="165"/>
    <x v="10"/>
    <x v="0"/>
    <n v="19"/>
    <d v="1899-12-30T00:34:15"/>
    <n v="34.25"/>
  </r>
  <r>
    <x v="165"/>
    <x v="10"/>
    <x v="1"/>
    <n v="20"/>
    <d v="1899-12-30T00:43:23"/>
    <n v="43.383333333333333"/>
  </r>
  <r>
    <x v="165"/>
    <x v="10"/>
    <x v="2"/>
    <n v="21"/>
    <d v="1899-12-30T00:43:57"/>
    <n v="43.95"/>
  </r>
  <r>
    <x v="165"/>
    <x v="10"/>
    <x v="3"/>
    <n v="0"/>
    <d v="1899-12-30T00:00:00"/>
    <n v="0"/>
  </r>
  <r>
    <x v="165"/>
    <x v="10"/>
    <x v="4"/>
    <n v="11"/>
    <d v="1899-12-30T00:23:36"/>
    <n v="23.6"/>
  </r>
  <r>
    <x v="165"/>
    <x v="10"/>
    <x v="5"/>
    <n v="30"/>
    <d v="1899-12-30T00:46:38"/>
    <n v="46.633333333333333"/>
  </r>
  <r>
    <x v="165"/>
    <x v="11"/>
    <x v="0"/>
    <n v="14"/>
    <d v="1899-12-30T00:31:06"/>
    <n v="31.1"/>
  </r>
  <r>
    <x v="165"/>
    <x v="11"/>
    <x v="1"/>
    <n v="5"/>
    <d v="1899-12-30T00:08:38"/>
    <n v="8.6333333333333329"/>
  </r>
  <r>
    <x v="165"/>
    <x v="11"/>
    <x v="2"/>
    <n v="5"/>
    <d v="1899-12-30T00:11:41"/>
    <n v="11.683333333333334"/>
  </r>
  <r>
    <x v="165"/>
    <x v="11"/>
    <x v="3"/>
    <n v="0"/>
    <d v="1899-12-30T00:00:00"/>
    <n v="0"/>
  </r>
  <r>
    <x v="165"/>
    <x v="11"/>
    <x v="4"/>
    <n v="9"/>
    <d v="1899-12-30T00:12:12"/>
    <n v="12.2"/>
  </r>
  <r>
    <x v="165"/>
    <x v="11"/>
    <x v="5"/>
    <n v="8"/>
    <d v="1899-12-30T00:16:20"/>
    <n v="16.333333333333332"/>
  </r>
  <r>
    <x v="165"/>
    <x v="12"/>
    <x v="0"/>
    <n v="98"/>
    <d v="1899-12-30T03:33:17"/>
    <n v="213.28333333333333"/>
  </r>
  <r>
    <x v="165"/>
    <x v="12"/>
    <x v="1"/>
    <n v="96"/>
    <d v="1899-12-30T04:11:32"/>
    <n v="251.53333333333333"/>
  </r>
  <r>
    <x v="165"/>
    <x v="12"/>
    <x v="2"/>
    <n v="69"/>
    <d v="1899-12-30T02:20:27"/>
    <n v="140.44999999999999"/>
  </r>
  <r>
    <x v="165"/>
    <x v="12"/>
    <x v="3"/>
    <n v="0"/>
    <d v="1899-12-30T00:00:00"/>
    <n v="0"/>
  </r>
  <r>
    <x v="165"/>
    <x v="12"/>
    <x v="4"/>
    <n v="38"/>
    <d v="1899-12-30T01:34:01"/>
    <n v="94.016666666666666"/>
  </r>
  <r>
    <x v="165"/>
    <x v="12"/>
    <x v="5"/>
    <n v="80"/>
    <d v="1899-12-30T02:02:30"/>
    <n v="122.5"/>
  </r>
  <r>
    <x v="165"/>
    <x v="13"/>
    <x v="0"/>
    <n v="9"/>
    <d v="1899-12-30T00:18:14"/>
    <n v="18.233333333333334"/>
  </r>
  <r>
    <x v="165"/>
    <x v="13"/>
    <x v="1"/>
    <n v="11"/>
    <d v="1899-12-30T00:15:27"/>
    <n v="15.45"/>
  </r>
  <r>
    <x v="165"/>
    <x v="13"/>
    <x v="2"/>
    <n v="8"/>
    <d v="1899-12-30T00:09:06"/>
    <n v="9.1"/>
  </r>
  <r>
    <x v="165"/>
    <x v="13"/>
    <x v="3"/>
    <n v="0"/>
    <d v="1899-12-30T00:00:00"/>
    <n v="0"/>
  </r>
  <r>
    <x v="165"/>
    <x v="13"/>
    <x v="4"/>
    <n v="0"/>
    <d v="1899-12-30T00:00:00"/>
    <n v="0"/>
  </r>
  <r>
    <x v="165"/>
    <x v="13"/>
    <x v="5"/>
    <n v="25"/>
    <d v="1899-12-30T00:35:37"/>
    <n v="35.616666666666667"/>
  </r>
  <r>
    <x v="166"/>
    <x v="0"/>
    <x v="0"/>
    <n v="22"/>
    <d v="1899-12-30T00:32:47"/>
    <n v="32.783333333333331"/>
  </r>
  <r>
    <x v="166"/>
    <x v="0"/>
    <x v="1"/>
    <n v="20"/>
    <d v="1899-12-30T00:26:30"/>
    <n v="26.5"/>
  </r>
  <r>
    <x v="166"/>
    <x v="0"/>
    <x v="2"/>
    <n v="19"/>
    <d v="1899-12-30T00:26:46"/>
    <n v="26.766666666666666"/>
  </r>
  <r>
    <x v="166"/>
    <x v="0"/>
    <x v="3"/>
    <n v="0"/>
    <d v="1899-12-30T00:00:00"/>
    <n v="0"/>
  </r>
  <r>
    <x v="166"/>
    <x v="0"/>
    <x v="4"/>
    <n v="8"/>
    <d v="1899-12-30T00:10:09"/>
    <n v="10.15"/>
  </r>
  <r>
    <x v="166"/>
    <x v="0"/>
    <x v="5"/>
    <n v="24"/>
    <d v="1899-12-30T00:25:22"/>
    <n v="25.366666666666667"/>
  </r>
  <r>
    <x v="166"/>
    <x v="1"/>
    <x v="0"/>
    <n v="23"/>
    <d v="1899-12-30T00:46:39"/>
    <n v="46.65"/>
  </r>
  <r>
    <x v="166"/>
    <x v="1"/>
    <x v="1"/>
    <n v="23"/>
    <d v="1899-12-30T01:11:35"/>
    <n v="71.583333333333329"/>
  </r>
  <r>
    <x v="166"/>
    <x v="1"/>
    <x v="2"/>
    <n v="16"/>
    <d v="1899-12-30T00:34:47"/>
    <n v="34.783333333333331"/>
  </r>
  <r>
    <x v="166"/>
    <x v="1"/>
    <x v="3"/>
    <n v="0"/>
    <d v="1899-12-30T00:00:00"/>
    <n v="0"/>
  </r>
  <r>
    <x v="166"/>
    <x v="1"/>
    <x v="4"/>
    <n v="21"/>
    <d v="1899-12-30T00:46:30"/>
    <n v="46.5"/>
  </r>
  <r>
    <x v="166"/>
    <x v="1"/>
    <x v="5"/>
    <n v="42"/>
    <d v="1899-12-30T01:25:26"/>
    <n v="85.433333333333337"/>
  </r>
  <r>
    <x v="166"/>
    <x v="2"/>
    <x v="0"/>
    <n v="80"/>
    <d v="1899-12-30T02:50:11"/>
    <n v="170.18333333333334"/>
  </r>
  <r>
    <x v="166"/>
    <x v="2"/>
    <x v="1"/>
    <n v="93"/>
    <d v="1899-12-30T02:57:01"/>
    <n v="177.01666666666668"/>
  </r>
  <r>
    <x v="166"/>
    <x v="2"/>
    <x v="2"/>
    <n v="47"/>
    <d v="1899-12-30T01:15:43"/>
    <n v="75.716666666666669"/>
  </r>
  <r>
    <x v="166"/>
    <x v="2"/>
    <x v="3"/>
    <n v="0"/>
    <d v="1899-12-30T00:00:00"/>
    <n v="0"/>
  </r>
  <r>
    <x v="166"/>
    <x v="2"/>
    <x v="4"/>
    <n v="12"/>
    <d v="1899-12-30T00:29:25"/>
    <n v="29.416666666666668"/>
  </r>
  <r>
    <x v="166"/>
    <x v="2"/>
    <x v="5"/>
    <n v="55"/>
    <d v="1899-12-30T01:25:55"/>
    <n v="85.916666666666671"/>
  </r>
  <r>
    <x v="166"/>
    <x v="3"/>
    <x v="0"/>
    <n v="7"/>
    <d v="1899-12-30T00:16:27"/>
    <n v="16.45"/>
  </r>
  <r>
    <x v="166"/>
    <x v="3"/>
    <x v="1"/>
    <n v="5"/>
    <d v="1899-12-30T00:09:39"/>
    <n v="9.65"/>
  </r>
  <r>
    <x v="166"/>
    <x v="3"/>
    <x v="2"/>
    <n v="5"/>
    <d v="1899-12-30T00:07:54"/>
    <n v="7.9"/>
  </r>
  <r>
    <x v="166"/>
    <x v="3"/>
    <x v="3"/>
    <n v="0"/>
    <d v="1899-12-30T00:00:00"/>
    <n v="0"/>
  </r>
  <r>
    <x v="166"/>
    <x v="3"/>
    <x v="4"/>
    <n v="1"/>
    <d v="1899-12-30T00:02:31"/>
    <n v="2.5166666666666666"/>
  </r>
  <r>
    <x v="166"/>
    <x v="3"/>
    <x v="5"/>
    <n v="8"/>
    <d v="1899-12-30T00:12:59"/>
    <n v="12.983333333333333"/>
  </r>
  <r>
    <x v="166"/>
    <x v="4"/>
    <x v="0"/>
    <n v="15"/>
    <d v="1899-12-30T00:37:43"/>
    <n v="37.716666666666669"/>
  </r>
  <r>
    <x v="166"/>
    <x v="4"/>
    <x v="1"/>
    <n v="14"/>
    <d v="1899-12-30T00:41:43"/>
    <n v="41.716666666666669"/>
  </r>
  <r>
    <x v="166"/>
    <x v="4"/>
    <x v="2"/>
    <n v="10"/>
    <d v="1899-12-30T00:22:29"/>
    <n v="22.483333333333334"/>
  </r>
  <r>
    <x v="166"/>
    <x v="4"/>
    <x v="3"/>
    <n v="0"/>
    <d v="1899-12-30T00:00:00"/>
    <n v="0"/>
  </r>
  <r>
    <x v="166"/>
    <x v="4"/>
    <x v="4"/>
    <n v="8"/>
    <d v="1899-12-30T00:25:47"/>
    <n v="25.783333333333335"/>
  </r>
  <r>
    <x v="166"/>
    <x v="4"/>
    <x v="5"/>
    <n v="11"/>
    <d v="1899-12-30T00:16:35"/>
    <n v="16.583333333333332"/>
  </r>
  <r>
    <x v="166"/>
    <x v="5"/>
    <x v="0"/>
    <n v="20"/>
    <d v="1899-12-30T01:34:44"/>
    <n v="94.733333333333334"/>
  </r>
  <r>
    <x v="166"/>
    <x v="5"/>
    <x v="1"/>
    <n v="15"/>
    <d v="1899-12-30T00:26:10"/>
    <n v="26.166666666666668"/>
  </r>
  <r>
    <x v="166"/>
    <x v="5"/>
    <x v="2"/>
    <n v="24"/>
    <d v="1899-12-30T00:34:33"/>
    <n v="34.549999999999997"/>
  </r>
  <r>
    <x v="166"/>
    <x v="5"/>
    <x v="3"/>
    <n v="0"/>
    <d v="1899-12-30T00:00:00"/>
    <n v="0"/>
  </r>
  <r>
    <x v="166"/>
    <x v="5"/>
    <x v="4"/>
    <n v="2"/>
    <d v="1899-12-30T00:03:48"/>
    <n v="3.8"/>
  </r>
  <r>
    <x v="166"/>
    <x v="5"/>
    <x v="5"/>
    <n v="27"/>
    <d v="1899-12-30T00:32:36"/>
    <n v="32.6"/>
  </r>
  <r>
    <x v="166"/>
    <x v="6"/>
    <x v="0"/>
    <n v="24"/>
    <d v="1899-12-30T00:44:34"/>
    <n v="44.56666666666667"/>
  </r>
  <r>
    <x v="166"/>
    <x v="6"/>
    <x v="1"/>
    <n v="29"/>
    <d v="1899-12-30T00:53:25"/>
    <n v="53.416666666666664"/>
  </r>
  <r>
    <x v="166"/>
    <x v="6"/>
    <x v="2"/>
    <n v="35"/>
    <d v="1899-12-30T01:02:35"/>
    <n v="62.583333333333336"/>
  </r>
  <r>
    <x v="166"/>
    <x v="6"/>
    <x v="3"/>
    <n v="0"/>
    <d v="1899-12-30T00:00:00"/>
    <n v="0"/>
  </r>
  <r>
    <x v="166"/>
    <x v="6"/>
    <x v="4"/>
    <n v="17"/>
    <d v="1899-12-30T00:32:12"/>
    <n v="32.200000000000003"/>
  </r>
  <r>
    <x v="166"/>
    <x v="6"/>
    <x v="5"/>
    <n v="26"/>
    <d v="1899-12-30T00:33:16"/>
    <n v="33.266666666666666"/>
  </r>
  <r>
    <x v="166"/>
    <x v="7"/>
    <x v="0"/>
    <n v="26"/>
    <d v="1899-12-30T01:11:55"/>
    <n v="71.916666666666671"/>
  </r>
  <r>
    <x v="166"/>
    <x v="7"/>
    <x v="1"/>
    <n v="43"/>
    <d v="1899-12-30T01:21:52"/>
    <n v="81.86666666666666"/>
  </r>
  <r>
    <x v="166"/>
    <x v="7"/>
    <x v="2"/>
    <n v="13"/>
    <d v="1899-12-30T00:13:12"/>
    <n v="13.2"/>
  </r>
  <r>
    <x v="166"/>
    <x v="7"/>
    <x v="3"/>
    <n v="0"/>
    <d v="1899-12-30T00:00:00"/>
    <n v="0"/>
  </r>
  <r>
    <x v="166"/>
    <x v="7"/>
    <x v="4"/>
    <n v="111"/>
    <d v="1899-12-30T03:39:19"/>
    <n v="219.31666666666666"/>
  </r>
  <r>
    <x v="166"/>
    <x v="7"/>
    <x v="5"/>
    <n v="21"/>
    <d v="1899-12-30T00:18:58"/>
    <n v="18.966666666666665"/>
  </r>
  <r>
    <x v="166"/>
    <x v="8"/>
    <x v="0"/>
    <n v="13"/>
    <d v="1899-12-30T00:26:20"/>
    <n v="26.333333333333332"/>
  </r>
  <r>
    <x v="166"/>
    <x v="8"/>
    <x v="1"/>
    <n v="19"/>
    <d v="1899-12-30T00:29:24"/>
    <n v="29.4"/>
  </r>
  <r>
    <x v="166"/>
    <x v="8"/>
    <x v="2"/>
    <n v="19"/>
    <d v="1899-12-30T00:30:47"/>
    <n v="30.783333333333335"/>
  </r>
  <r>
    <x v="166"/>
    <x v="8"/>
    <x v="3"/>
    <n v="0"/>
    <d v="1899-12-30T00:00:00"/>
    <n v="0"/>
  </r>
  <r>
    <x v="166"/>
    <x v="8"/>
    <x v="4"/>
    <n v="15"/>
    <d v="1899-12-30T00:30:26"/>
    <n v="30.433333333333334"/>
  </r>
  <r>
    <x v="166"/>
    <x v="8"/>
    <x v="5"/>
    <n v="23"/>
    <d v="1899-12-30T00:31:09"/>
    <n v="31.15"/>
  </r>
  <r>
    <x v="166"/>
    <x v="9"/>
    <x v="0"/>
    <n v="30"/>
    <d v="1899-12-30T00:41:51"/>
    <n v="41.85"/>
  </r>
  <r>
    <x v="166"/>
    <x v="9"/>
    <x v="1"/>
    <n v="40"/>
    <d v="1899-12-30T01:06:06"/>
    <n v="66.099999999999994"/>
  </r>
  <r>
    <x v="166"/>
    <x v="9"/>
    <x v="2"/>
    <n v="35"/>
    <d v="1899-12-30T00:58:09"/>
    <n v="58.15"/>
  </r>
  <r>
    <x v="166"/>
    <x v="9"/>
    <x v="3"/>
    <n v="0"/>
    <d v="1899-12-30T00:00:00"/>
    <n v="0"/>
  </r>
  <r>
    <x v="166"/>
    <x v="9"/>
    <x v="4"/>
    <n v="6"/>
    <d v="1899-12-30T00:10:36"/>
    <n v="10.6"/>
  </r>
  <r>
    <x v="166"/>
    <x v="9"/>
    <x v="5"/>
    <n v="32"/>
    <d v="1899-12-30T00:43:47"/>
    <n v="43.783333333333331"/>
  </r>
  <r>
    <x v="166"/>
    <x v="10"/>
    <x v="0"/>
    <n v="8"/>
    <d v="1899-12-30T00:16:27"/>
    <n v="16.45"/>
  </r>
  <r>
    <x v="166"/>
    <x v="10"/>
    <x v="1"/>
    <n v="9"/>
    <d v="1899-12-30T00:31:09"/>
    <n v="31.15"/>
  </r>
  <r>
    <x v="166"/>
    <x v="10"/>
    <x v="2"/>
    <n v="9"/>
    <d v="1899-12-30T00:20:58"/>
    <n v="20.966666666666665"/>
  </r>
  <r>
    <x v="166"/>
    <x v="10"/>
    <x v="3"/>
    <n v="0"/>
    <d v="1899-12-30T00:00:00"/>
    <n v="0"/>
  </r>
  <r>
    <x v="166"/>
    <x v="10"/>
    <x v="4"/>
    <n v="4"/>
    <d v="1899-12-30T00:09:57"/>
    <n v="9.9499999999999993"/>
  </r>
  <r>
    <x v="166"/>
    <x v="10"/>
    <x v="5"/>
    <n v="10"/>
    <d v="1899-12-30T00:23:14"/>
    <n v="23.233333333333334"/>
  </r>
  <r>
    <x v="166"/>
    <x v="11"/>
    <x v="0"/>
    <n v="5"/>
    <d v="1899-12-30T00:13:52"/>
    <n v="13.866666666666667"/>
  </r>
  <r>
    <x v="166"/>
    <x v="11"/>
    <x v="1"/>
    <n v="4"/>
    <d v="1899-12-30T00:09:56"/>
    <n v="9.9333333333333336"/>
  </r>
  <r>
    <x v="166"/>
    <x v="11"/>
    <x v="2"/>
    <n v="0"/>
    <d v="1899-12-30T00:00:00"/>
    <n v="0"/>
  </r>
  <r>
    <x v="166"/>
    <x v="11"/>
    <x v="3"/>
    <n v="0"/>
    <d v="1899-12-30T00:00:00"/>
    <n v="0"/>
  </r>
  <r>
    <x v="166"/>
    <x v="11"/>
    <x v="4"/>
    <n v="16"/>
    <d v="1899-12-30T00:27:09"/>
    <n v="27.15"/>
  </r>
  <r>
    <x v="166"/>
    <x v="11"/>
    <x v="5"/>
    <n v="9"/>
    <d v="1899-12-30T00:14:58"/>
    <n v="14.966666666666667"/>
  </r>
  <r>
    <x v="166"/>
    <x v="12"/>
    <x v="0"/>
    <n v="143"/>
    <d v="1899-12-30T05:09:25"/>
    <n v="309.41666666666669"/>
  </r>
  <r>
    <x v="166"/>
    <x v="12"/>
    <x v="1"/>
    <n v="128"/>
    <d v="1899-12-30T04:38:32"/>
    <n v="278.53333333333336"/>
  </r>
  <r>
    <x v="166"/>
    <x v="12"/>
    <x v="2"/>
    <n v="135"/>
    <d v="1899-12-30T03:38:58"/>
    <n v="218.96666666666667"/>
  </r>
  <r>
    <x v="166"/>
    <x v="12"/>
    <x v="3"/>
    <n v="0"/>
    <d v="1899-12-30T00:00:00"/>
    <n v="0"/>
  </r>
  <r>
    <x v="166"/>
    <x v="12"/>
    <x v="4"/>
    <n v="23"/>
    <d v="1899-12-30T00:49:40"/>
    <n v="49.666666666666664"/>
  </r>
  <r>
    <x v="166"/>
    <x v="12"/>
    <x v="5"/>
    <n v="92"/>
    <d v="1899-12-30T02:24:48"/>
    <n v="144.80000000000001"/>
  </r>
  <r>
    <x v="166"/>
    <x v="13"/>
    <x v="0"/>
    <n v="9"/>
    <d v="1899-12-30T00:19:43"/>
    <n v="19.716666666666665"/>
  </r>
  <r>
    <x v="166"/>
    <x v="13"/>
    <x v="1"/>
    <n v="14"/>
    <d v="1899-12-30T00:13:16"/>
    <n v="13.266666666666667"/>
  </r>
  <r>
    <x v="166"/>
    <x v="13"/>
    <x v="2"/>
    <n v="10"/>
    <d v="1899-12-30T00:13:56"/>
    <n v="13.933333333333334"/>
  </r>
  <r>
    <x v="166"/>
    <x v="13"/>
    <x v="3"/>
    <n v="0"/>
    <d v="1899-12-30T00:00:00"/>
    <n v="0"/>
  </r>
  <r>
    <x v="166"/>
    <x v="13"/>
    <x v="4"/>
    <n v="1"/>
    <d v="1899-12-30T00:00:44"/>
    <n v="0.73333333333333328"/>
  </r>
  <r>
    <x v="166"/>
    <x v="13"/>
    <x v="5"/>
    <n v="33"/>
    <d v="1899-12-30T00:37:57"/>
    <n v="37.950000000000003"/>
  </r>
  <r>
    <x v="167"/>
    <x v="0"/>
    <x v="0"/>
    <n v="16"/>
    <d v="1899-12-30T00:24:19"/>
    <n v="24.316666666666666"/>
  </r>
  <r>
    <x v="167"/>
    <x v="0"/>
    <x v="1"/>
    <n v="13"/>
    <d v="1899-12-30T00:12:07"/>
    <n v="12.116666666666667"/>
  </r>
  <r>
    <x v="167"/>
    <x v="0"/>
    <x v="2"/>
    <n v="15"/>
    <d v="1899-12-30T00:15:26"/>
    <n v="15.433333333333334"/>
  </r>
  <r>
    <x v="167"/>
    <x v="0"/>
    <x v="3"/>
    <n v="0"/>
    <d v="1899-12-30T00:00:00"/>
    <n v="0"/>
  </r>
  <r>
    <x v="167"/>
    <x v="0"/>
    <x v="4"/>
    <n v="5"/>
    <d v="1899-12-30T00:09:49"/>
    <n v="9.8166666666666664"/>
  </r>
  <r>
    <x v="167"/>
    <x v="0"/>
    <x v="5"/>
    <n v="15"/>
    <d v="1899-12-30T00:16:08"/>
    <n v="16.133333333333333"/>
  </r>
  <r>
    <x v="167"/>
    <x v="1"/>
    <x v="0"/>
    <n v="19"/>
    <d v="1899-12-30T00:48:32"/>
    <n v="48.533333333333331"/>
  </r>
  <r>
    <x v="167"/>
    <x v="1"/>
    <x v="1"/>
    <n v="17"/>
    <d v="1899-12-30T00:54:58"/>
    <n v="54.966666666666669"/>
  </r>
  <r>
    <x v="167"/>
    <x v="1"/>
    <x v="2"/>
    <n v="13"/>
    <d v="1899-12-30T00:26:11"/>
    <n v="26.183333333333334"/>
  </r>
  <r>
    <x v="167"/>
    <x v="1"/>
    <x v="3"/>
    <n v="0"/>
    <d v="1899-12-30T00:00:00"/>
    <n v="0"/>
  </r>
  <r>
    <x v="167"/>
    <x v="1"/>
    <x v="4"/>
    <n v="18"/>
    <d v="1899-12-30T00:42:52"/>
    <n v="42.866666666666667"/>
  </r>
  <r>
    <x v="167"/>
    <x v="1"/>
    <x v="5"/>
    <n v="35"/>
    <d v="1899-12-30T01:13:26"/>
    <n v="73.433333333333337"/>
  </r>
  <r>
    <x v="167"/>
    <x v="2"/>
    <x v="0"/>
    <n v="129"/>
    <d v="1899-12-30T04:33:21"/>
    <n v="273.35000000000002"/>
  </r>
  <r>
    <x v="167"/>
    <x v="2"/>
    <x v="1"/>
    <n v="114"/>
    <d v="1899-12-30T04:11:22"/>
    <n v="251.36666666666667"/>
  </r>
  <r>
    <x v="167"/>
    <x v="2"/>
    <x v="2"/>
    <n v="79"/>
    <d v="1899-12-30T02:36:44"/>
    <n v="156.73333333333332"/>
  </r>
  <r>
    <x v="167"/>
    <x v="2"/>
    <x v="3"/>
    <n v="0"/>
    <d v="1899-12-30T00:00:00"/>
    <n v="0"/>
  </r>
  <r>
    <x v="167"/>
    <x v="2"/>
    <x v="4"/>
    <n v="16"/>
    <d v="1899-12-30T00:30:35"/>
    <n v="30.583333333333332"/>
  </r>
  <r>
    <x v="167"/>
    <x v="2"/>
    <x v="5"/>
    <n v="67"/>
    <d v="1899-12-30T01:56:31"/>
    <n v="116.51666666666667"/>
  </r>
  <r>
    <x v="167"/>
    <x v="3"/>
    <x v="0"/>
    <n v="10"/>
    <d v="1899-12-30T00:17:38"/>
    <n v="17.633333333333333"/>
  </r>
  <r>
    <x v="167"/>
    <x v="3"/>
    <x v="1"/>
    <n v="8"/>
    <d v="1899-12-30T00:14:37"/>
    <n v="14.616666666666667"/>
  </r>
  <r>
    <x v="167"/>
    <x v="3"/>
    <x v="2"/>
    <n v="10"/>
    <d v="1899-12-30T00:16:32"/>
    <n v="16.533333333333335"/>
  </r>
  <r>
    <x v="167"/>
    <x v="3"/>
    <x v="3"/>
    <n v="0"/>
    <d v="1899-12-30T00:00:00"/>
    <n v="0"/>
  </r>
  <r>
    <x v="167"/>
    <x v="3"/>
    <x v="4"/>
    <n v="6"/>
    <d v="1899-12-30T00:14:02"/>
    <n v="14.033333333333333"/>
  </r>
  <r>
    <x v="167"/>
    <x v="3"/>
    <x v="5"/>
    <n v="14"/>
    <d v="1899-12-30T00:21:23"/>
    <n v="21.383333333333333"/>
  </r>
  <r>
    <x v="167"/>
    <x v="4"/>
    <x v="0"/>
    <n v="13"/>
    <d v="1899-12-30T00:33:34"/>
    <n v="33.56666666666667"/>
  </r>
  <r>
    <x v="167"/>
    <x v="4"/>
    <x v="1"/>
    <n v="21"/>
    <d v="1899-12-30T00:47:53"/>
    <n v="47.883333333333333"/>
  </r>
  <r>
    <x v="167"/>
    <x v="4"/>
    <x v="2"/>
    <n v="11"/>
    <d v="1899-12-30T00:21:08"/>
    <n v="21.133333333333333"/>
  </r>
  <r>
    <x v="167"/>
    <x v="4"/>
    <x v="3"/>
    <n v="0"/>
    <d v="1899-12-30T00:00:00"/>
    <n v="0"/>
  </r>
  <r>
    <x v="167"/>
    <x v="4"/>
    <x v="4"/>
    <n v="24"/>
    <d v="1899-12-30T00:53:57"/>
    <n v="53.95"/>
  </r>
  <r>
    <x v="167"/>
    <x v="4"/>
    <x v="5"/>
    <n v="10"/>
    <d v="1899-12-30T00:14:26"/>
    <n v="14.433333333333334"/>
  </r>
  <r>
    <x v="167"/>
    <x v="5"/>
    <x v="0"/>
    <n v="5"/>
    <d v="1899-12-30T00:10:28"/>
    <n v="10.466666666666667"/>
  </r>
  <r>
    <x v="167"/>
    <x v="5"/>
    <x v="1"/>
    <n v="7"/>
    <d v="1899-12-30T00:14:27"/>
    <n v="14.45"/>
  </r>
  <r>
    <x v="167"/>
    <x v="5"/>
    <x v="2"/>
    <n v="3"/>
    <d v="1899-12-30T00:05:34"/>
    <n v="5.5666666666666664"/>
  </r>
  <r>
    <x v="167"/>
    <x v="5"/>
    <x v="3"/>
    <n v="0"/>
    <d v="1899-12-30T00:00:00"/>
    <n v="0"/>
  </r>
  <r>
    <x v="167"/>
    <x v="5"/>
    <x v="4"/>
    <n v="1"/>
    <d v="1899-12-30T00:03:37"/>
    <n v="3.6166666666666667"/>
  </r>
  <r>
    <x v="167"/>
    <x v="5"/>
    <x v="5"/>
    <n v="15"/>
    <d v="1899-12-30T00:17:12"/>
    <n v="17.2"/>
  </r>
  <r>
    <x v="167"/>
    <x v="6"/>
    <x v="0"/>
    <n v="3"/>
    <d v="1899-12-30T00:08:18"/>
    <n v="8.3000000000000007"/>
  </r>
  <r>
    <x v="167"/>
    <x v="6"/>
    <x v="1"/>
    <n v="6"/>
    <d v="1899-12-30T00:09:43"/>
    <n v="9.7166666666666668"/>
  </r>
  <r>
    <x v="167"/>
    <x v="6"/>
    <x v="2"/>
    <n v="8"/>
    <d v="1899-12-30T00:09:37"/>
    <n v="9.6166666666666671"/>
  </r>
  <r>
    <x v="167"/>
    <x v="6"/>
    <x v="3"/>
    <n v="0"/>
    <d v="1899-12-30T00:00:00"/>
    <n v="0"/>
  </r>
  <r>
    <x v="167"/>
    <x v="6"/>
    <x v="4"/>
    <n v="2"/>
    <d v="1899-12-30T00:02:55"/>
    <n v="2.9166666666666665"/>
  </r>
  <r>
    <x v="167"/>
    <x v="6"/>
    <x v="5"/>
    <n v="8"/>
    <d v="1899-12-30T00:06:50"/>
    <n v="6.833333333333333"/>
  </r>
  <r>
    <x v="167"/>
    <x v="7"/>
    <x v="0"/>
    <n v="20"/>
    <d v="1899-12-30T00:26:41"/>
    <n v="26.683333333333334"/>
  </r>
  <r>
    <x v="167"/>
    <x v="7"/>
    <x v="1"/>
    <n v="44"/>
    <d v="1899-12-30T00:59:48"/>
    <n v="59.8"/>
  </r>
  <r>
    <x v="167"/>
    <x v="7"/>
    <x v="2"/>
    <n v="14"/>
    <d v="1899-12-30T00:12:52"/>
    <n v="12.866666666666667"/>
  </r>
  <r>
    <x v="167"/>
    <x v="7"/>
    <x v="3"/>
    <n v="0"/>
    <d v="1899-12-30T00:00:00"/>
    <n v="0"/>
  </r>
  <r>
    <x v="167"/>
    <x v="7"/>
    <x v="4"/>
    <n v="99"/>
    <d v="1899-12-30T03:09:10"/>
    <n v="189.16666666666666"/>
  </r>
  <r>
    <x v="167"/>
    <x v="7"/>
    <x v="5"/>
    <n v="23"/>
    <d v="1899-12-30T00:22:05"/>
    <n v="22.083333333333332"/>
  </r>
  <r>
    <x v="167"/>
    <x v="8"/>
    <x v="0"/>
    <n v="5"/>
    <d v="1899-12-30T00:07:00"/>
    <n v="7"/>
  </r>
  <r>
    <x v="167"/>
    <x v="8"/>
    <x v="1"/>
    <n v="14"/>
    <d v="1899-12-30T00:27:10"/>
    <n v="27.166666666666668"/>
  </r>
  <r>
    <x v="167"/>
    <x v="8"/>
    <x v="2"/>
    <n v="13"/>
    <d v="1899-12-30T00:27:02"/>
    <n v="27.033333333333335"/>
  </r>
  <r>
    <x v="167"/>
    <x v="8"/>
    <x v="3"/>
    <n v="0"/>
    <d v="1899-12-30T00:00:00"/>
    <n v="0"/>
  </r>
  <r>
    <x v="167"/>
    <x v="8"/>
    <x v="4"/>
    <n v="6"/>
    <d v="1899-12-30T00:14:55"/>
    <n v="14.916666666666666"/>
  </r>
  <r>
    <x v="167"/>
    <x v="8"/>
    <x v="5"/>
    <n v="21"/>
    <d v="1899-12-30T00:16:28"/>
    <n v="16.466666666666665"/>
  </r>
  <r>
    <x v="167"/>
    <x v="9"/>
    <x v="0"/>
    <n v="93"/>
    <d v="1899-12-30T03:07:31"/>
    <n v="187.51666666666668"/>
  </r>
  <r>
    <x v="167"/>
    <x v="9"/>
    <x v="1"/>
    <n v="125"/>
    <d v="1899-12-30T03:33:55"/>
    <n v="213.91666666666666"/>
  </r>
  <r>
    <x v="167"/>
    <x v="9"/>
    <x v="2"/>
    <n v="85"/>
    <d v="1899-12-30T02:03:24"/>
    <n v="123.4"/>
  </r>
  <r>
    <x v="167"/>
    <x v="9"/>
    <x v="3"/>
    <n v="0"/>
    <d v="1899-12-30T00:00:00"/>
    <n v="0"/>
  </r>
  <r>
    <x v="167"/>
    <x v="9"/>
    <x v="4"/>
    <n v="16"/>
    <d v="1899-12-30T00:27:57"/>
    <n v="27.95"/>
  </r>
  <r>
    <x v="167"/>
    <x v="9"/>
    <x v="5"/>
    <n v="75"/>
    <d v="1899-12-30T02:03:29"/>
    <n v="123.48333333333333"/>
  </r>
  <r>
    <x v="167"/>
    <x v="10"/>
    <x v="0"/>
    <n v="4"/>
    <d v="1899-12-30T00:08:08"/>
    <n v="8.1333333333333329"/>
  </r>
  <r>
    <x v="167"/>
    <x v="10"/>
    <x v="1"/>
    <n v="6"/>
    <d v="1899-12-30T00:10:17"/>
    <n v="10.283333333333333"/>
  </r>
  <r>
    <x v="167"/>
    <x v="10"/>
    <x v="2"/>
    <n v="7"/>
    <d v="1899-12-30T00:14:22"/>
    <n v="14.366666666666667"/>
  </r>
  <r>
    <x v="167"/>
    <x v="10"/>
    <x v="3"/>
    <n v="0"/>
    <d v="1899-12-30T00:00:00"/>
    <n v="0"/>
  </r>
  <r>
    <x v="167"/>
    <x v="10"/>
    <x v="4"/>
    <n v="2"/>
    <d v="1899-12-30T00:06:03"/>
    <n v="6.05"/>
  </r>
  <r>
    <x v="167"/>
    <x v="10"/>
    <x v="5"/>
    <n v="9"/>
    <d v="1899-12-30T00:16:39"/>
    <n v="16.649999999999999"/>
  </r>
  <r>
    <x v="167"/>
    <x v="11"/>
    <x v="0"/>
    <n v="3"/>
    <d v="1899-12-30T00:07:58"/>
    <n v="7.9666666666666668"/>
  </r>
  <r>
    <x v="167"/>
    <x v="11"/>
    <x v="1"/>
    <n v="5"/>
    <d v="1899-12-30T00:13:31"/>
    <n v="13.516666666666667"/>
  </r>
  <r>
    <x v="167"/>
    <x v="11"/>
    <x v="2"/>
    <n v="3"/>
    <d v="1899-12-30T00:08:59"/>
    <n v="8.9833333333333325"/>
  </r>
  <r>
    <x v="167"/>
    <x v="11"/>
    <x v="3"/>
    <n v="0"/>
    <d v="1899-12-30T00:00:00"/>
    <n v="0"/>
  </r>
  <r>
    <x v="167"/>
    <x v="11"/>
    <x v="4"/>
    <n v="5"/>
    <d v="1899-12-30T00:10:12"/>
    <n v="10.199999999999999"/>
  </r>
  <r>
    <x v="167"/>
    <x v="11"/>
    <x v="5"/>
    <n v="3"/>
    <d v="1899-12-30T00:04:30"/>
    <n v="4.5"/>
  </r>
  <r>
    <x v="167"/>
    <x v="12"/>
    <x v="0"/>
    <n v="136"/>
    <d v="1899-12-30T04:39:41"/>
    <n v="279.68333333333334"/>
  </r>
  <r>
    <x v="167"/>
    <x v="12"/>
    <x v="1"/>
    <n v="108"/>
    <d v="1899-12-30T03:30:34"/>
    <n v="210.56666666666666"/>
  </r>
  <r>
    <x v="167"/>
    <x v="12"/>
    <x v="2"/>
    <n v="109"/>
    <d v="1899-12-30T03:02:58"/>
    <n v="182.96666666666667"/>
  </r>
  <r>
    <x v="167"/>
    <x v="12"/>
    <x v="3"/>
    <n v="0"/>
    <d v="1899-12-30T00:00:00"/>
    <n v="0"/>
  </r>
  <r>
    <x v="167"/>
    <x v="12"/>
    <x v="4"/>
    <n v="36"/>
    <d v="1899-12-30T01:28:39"/>
    <n v="88.65"/>
  </r>
  <r>
    <x v="167"/>
    <x v="12"/>
    <x v="5"/>
    <n v="127"/>
    <d v="1899-12-30T03:09:23"/>
    <n v="189.38333333333333"/>
  </r>
  <r>
    <x v="167"/>
    <x v="13"/>
    <x v="0"/>
    <n v="6"/>
    <d v="1899-12-30T00:12:02"/>
    <n v="12.033333333333333"/>
  </r>
  <r>
    <x v="167"/>
    <x v="13"/>
    <x v="1"/>
    <n v="4"/>
    <d v="1899-12-30T00:09:21"/>
    <n v="9.35"/>
  </r>
  <r>
    <x v="167"/>
    <x v="13"/>
    <x v="2"/>
    <n v="3"/>
    <d v="1899-12-30T00:02:31"/>
    <n v="2.5166666666666666"/>
  </r>
  <r>
    <x v="167"/>
    <x v="13"/>
    <x v="3"/>
    <n v="0"/>
    <d v="1899-12-30T00:00:00"/>
    <n v="0"/>
  </r>
  <r>
    <x v="167"/>
    <x v="13"/>
    <x v="4"/>
    <n v="1"/>
    <d v="1899-12-30T00:01:26"/>
    <n v="1.4333333333333333"/>
  </r>
  <r>
    <x v="167"/>
    <x v="13"/>
    <x v="5"/>
    <n v="10"/>
    <d v="1899-12-30T00:11:52"/>
    <n v="11.866666666666667"/>
  </r>
  <r>
    <x v="168"/>
    <x v="0"/>
    <x v="0"/>
    <n v="36"/>
    <d v="1899-12-30T00:55:42"/>
    <n v="55.7"/>
  </r>
  <r>
    <x v="168"/>
    <x v="0"/>
    <x v="1"/>
    <n v="43"/>
    <d v="1899-12-30T00:50:17"/>
    <n v="50.283333333333331"/>
  </r>
  <r>
    <x v="168"/>
    <x v="0"/>
    <x v="2"/>
    <n v="39"/>
    <d v="1899-12-30T00:42:28"/>
    <n v="42.466666666666669"/>
  </r>
  <r>
    <x v="168"/>
    <x v="0"/>
    <x v="3"/>
    <n v="0"/>
    <d v="1899-12-30T00:00:00"/>
    <n v="0"/>
  </r>
  <r>
    <x v="168"/>
    <x v="0"/>
    <x v="4"/>
    <n v="5"/>
    <d v="1899-12-30T00:07:05"/>
    <n v="7.083333333333333"/>
  </r>
  <r>
    <x v="168"/>
    <x v="0"/>
    <x v="5"/>
    <n v="30"/>
    <d v="1899-12-30T00:31:15"/>
    <n v="31.25"/>
  </r>
  <r>
    <x v="168"/>
    <x v="1"/>
    <x v="0"/>
    <n v="25"/>
    <d v="1899-12-30T01:06:01"/>
    <n v="66.016666666666666"/>
  </r>
  <r>
    <x v="168"/>
    <x v="1"/>
    <x v="1"/>
    <n v="30"/>
    <d v="1899-12-30T01:18:38"/>
    <n v="78.63333333333334"/>
  </r>
  <r>
    <x v="168"/>
    <x v="1"/>
    <x v="2"/>
    <n v="29"/>
    <d v="1899-12-30T01:05:28"/>
    <n v="65.466666666666669"/>
  </r>
  <r>
    <x v="168"/>
    <x v="1"/>
    <x v="3"/>
    <n v="0"/>
    <d v="1899-12-30T00:00:00"/>
    <n v="0"/>
  </r>
  <r>
    <x v="168"/>
    <x v="1"/>
    <x v="4"/>
    <n v="26"/>
    <d v="1899-12-30T00:57:42"/>
    <n v="57.7"/>
  </r>
  <r>
    <x v="168"/>
    <x v="1"/>
    <x v="5"/>
    <n v="58"/>
    <d v="1899-12-30T01:44:59"/>
    <n v="104.98333333333333"/>
  </r>
  <r>
    <x v="168"/>
    <x v="2"/>
    <x v="0"/>
    <n v="100"/>
    <d v="1899-12-30T04:07:30"/>
    <n v="247.5"/>
  </r>
  <r>
    <x v="168"/>
    <x v="2"/>
    <x v="1"/>
    <n v="90"/>
    <d v="1899-12-30T03:03:54"/>
    <n v="183.9"/>
  </r>
  <r>
    <x v="168"/>
    <x v="2"/>
    <x v="2"/>
    <n v="54"/>
    <d v="1899-12-30T01:31:27"/>
    <n v="91.45"/>
  </r>
  <r>
    <x v="168"/>
    <x v="2"/>
    <x v="3"/>
    <n v="0"/>
    <d v="1899-12-30T00:00:00"/>
    <n v="0"/>
  </r>
  <r>
    <x v="168"/>
    <x v="2"/>
    <x v="4"/>
    <n v="9"/>
    <d v="1899-12-30T00:19:06"/>
    <n v="19.100000000000001"/>
  </r>
  <r>
    <x v="168"/>
    <x v="2"/>
    <x v="5"/>
    <n v="39"/>
    <d v="1899-12-30T01:14:57"/>
    <n v="74.95"/>
  </r>
  <r>
    <x v="168"/>
    <x v="3"/>
    <x v="0"/>
    <n v="7"/>
    <d v="1899-12-30T00:16:04"/>
    <n v="16.066666666666666"/>
  </r>
  <r>
    <x v="168"/>
    <x v="3"/>
    <x v="1"/>
    <n v="8"/>
    <d v="1899-12-30T00:16:18"/>
    <n v="16.3"/>
  </r>
  <r>
    <x v="168"/>
    <x v="3"/>
    <x v="2"/>
    <n v="3"/>
    <d v="1899-12-30T00:04:36"/>
    <n v="4.5999999999999996"/>
  </r>
  <r>
    <x v="168"/>
    <x v="3"/>
    <x v="3"/>
    <n v="0"/>
    <d v="1899-12-30T00:00:00"/>
    <n v="0"/>
  </r>
  <r>
    <x v="168"/>
    <x v="3"/>
    <x v="4"/>
    <n v="2"/>
    <d v="1899-12-30T00:06:20"/>
    <n v="6.333333333333333"/>
  </r>
  <r>
    <x v="168"/>
    <x v="3"/>
    <x v="5"/>
    <n v="8"/>
    <d v="1899-12-30T00:18:23"/>
    <n v="18.383333333333333"/>
  </r>
  <r>
    <x v="168"/>
    <x v="4"/>
    <x v="0"/>
    <n v="19"/>
    <d v="1899-12-30T00:46:58"/>
    <n v="46.966666666666669"/>
  </r>
  <r>
    <x v="168"/>
    <x v="4"/>
    <x v="1"/>
    <n v="18"/>
    <d v="1899-12-30T00:42:15"/>
    <n v="42.25"/>
  </r>
  <r>
    <x v="168"/>
    <x v="4"/>
    <x v="2"/>
    <n v="18"/>
    <d v="1899-12-30T00:27:43"/>
    <n v="27.716666666666665"/>
  </r>
  <r>
    <x v="168"/>
    <x v="4"/>
    <x v="3"/>
    <n v="0"/>
    <d v="1899-12-30T00:00:00"/>
    <n v="0"/>
  </r>
  <r>
    <x v="168"/>
    <x v="4"/>
    <x v="4"/>
    <n v="11"/>
    <d v="1899-12-30T00:29:36"/>
    <n v="29.6"/>
  </r>
  <r>
    <x v="168"/>
    <x v="4"/>
    <x v="5"/>
    <n v="25"/>
    <d v="1899-12-30T00:27:23"/>
    <n v="27.383333333333333"/>
  </r>
  <r>
    <x v="168"/>
    <x v="5"/>
    <x v="0"/>
    <n v="28"/>
    <d v="1899-12-30T00:49:53"/>
    <n v="49.883333333333333"/>
  </r>
  <r>
    <x v="168"/>
    <x v="5"/>
    <x v="1"/>
    <n v="33"/>
    <d v="1899-12-30T00:55:17"/>
    <n v="55.283333333333331"/>
  </r>
  <r>
    <x v="168"/>
    <x v="5"/>
    <x v="2"/>
    <n v="37"/>
    <d v="1899-12-30T01:04:02"/>
    <n v="64.033333333333331"/>
  </r>
  <r>
    <x v="168"/>
    <x v="5"/>
    <x v="3"/>
    <n v="0"/>
    <d v="1899-12-30T00:00:00"/>
    <n v="0"/>
  </r>
  <r>
    <x v="168"/>
    <x v="5"/>
    <x v="4"/>
    <n v="6"/>
    <d v="1899-12-30T00:10:35"/>
    <n v="10.583333333333334"/>
  </r>
  <r>
    <x v="168"/>
    <x v="5"/>
    <x v="5"/>
    <n v="35"/>
    <d v="1899-12-30T00:44:08"/>
    <n v="44.133333333333333"/>
  </r>
  <r>
    <x v="168"/>
    <x v="6"/>
    <x v="0"/>
    <n v="9"/>
    <d v="1899-12-30T00:22:45"/>
    <n v="22.75"/>
  </r>
  <r>
    <x v="168"/>
    <x v="6"/>
    <x v="1"/>
    <n v="14"/>
    <d v="1899-12-30T00:33:35"/>
    <n v="33.583333333333336"/>
  </r>
  <r>
    <x v="168"/>
    <x v="6"/>
    <x v="2"/>
    <n v="18"/>
    <d v="1899-12-30T00:25:16"/>
    <n v="25.266666666666666"/>
  </r>
  <r>
    <x v="168"/>
    <x v="6"/>
    <x v="3"/>
    <n v="0"/>
    <d v="1899-12-30T00:00:00"/>
    <n v="0"/>
  </r>
  <r>
    <x v="168"/>
    <x v="6"/>
    <x v="4"/>
    <n v="15"/>
    <d v="1899-12-30T00:25:08"/>
    <n v="25.133333333333333"/>
  </r>
  <r>
    <x v="168"/>
    <x v="6"/>
    <x v="5"/>
    <n v="7"/>
    <d v="1899-12-30T00:07:23"/>
    <n v="7.3833333333333337"/>
  </r>
  <r>
    <x v="168"/>
    <x v="7"/>
    <x v="0"/>
    <n v="30"/>
    <d v="1899-12-30T00:57:26"/>
    <n v="57.43333333333333"/>
  </r>
  <r>
    <x v="168"/>
    <x v="7"/>
    <x v="1"/>
    <n v="58"/>
    <d v="1899-12-30T01:26:03"/>
    <n v="86.05"/>
  </r>
  <r>
    <x v="168"/>
    <x v="7"/>
    <x v="2"/>
    <n v="20"/>
    <d v="1899-12-30T00:21:42"/>
    <n v="21.7"/>
  </r>
  <r>
    <x v="168"/>
    <x v="7"/>
    <x v="3"/>
    <n v="0"/>
    <d v="1899-12-30T00:00:00"/>
    <n v="0"/>
  </r>
  <r>
    <x v="168"/>
    <x v="7"/>
    <x v="4"/>
    <n v="142"/>
    <d v="1899-12-30T04:53:39"/>
    <n v="293.64999999999998"/>
  </r>
  <r>
    <x v="168"/>
    <x v="7"/>
    <x v="5"/>
    <n v="46"/>
    <d v="1899-12-30T00:43:13"/>
    <n v="43.216666666666669"/>
  </r>
  <r>
    <x v="168"/>
    <x v="8"/>
    <x v="0"/>
    <n v="14"/>
    <d v="1899-12-30T00:20:21"/>
    <n v="20.350000000000001"/>
  </r>
  <r>
    <x v="168"/>
    <x v="8"/>
    <x v="1"/>
    <n v="31"/>
    <d v="1899-12-30T01:07:39"/>
    <n v="67.650000000000006"/>
  </r>
  <r>
    <x v="168"/>
    <x v="8"/>
    <x v="2"/>
    <n v="34"/>
    <d v="1899-12-30T00:49:32"/>
    <n v="49.533333333333331"/>
  </r>
  <r>
    <x v="168"/>
    <x v="8"/>
    <x v="3"/>
    <n v="0"/>
    <d v="1899-12-30T00:00:00"/>
    <n v="0"/>
  </r>
  <r>
    <x v="168"/>
    <x v="8"/>
    <x v="4"/>
    <n v="10"/>
    <d v="1899-12-30T00:19:52"/>
    <n v="19.866666666666667"/>
  </r>
  <r>
    <x v="168"/>
    <x v="8"/>
    <x v="5"/>
    <n v="34"/>
    <d v="1899-12-30T00:41:46"/>
    <n v="41.766666666666666"/>
  </r>
  <r>
    <x v="168"/>
    <x v="9"/>
    <x v="0"/>
    <n v="88"/>
    <d v="1899-12-30T03:00:44"/>
    <n v="180.73333333333332"/>
  </r>
  <r>
    <x v="168"/>
    <x v="9"/>
    <x v="1"/>
    <n v="102"/>
    <d v="1899-12-30T03:33:17"/>
    <n v="213.28333333333333"/>
  </r>
  <r>
    <x v="168"/>
    <x v="9"/>
    <x v="2"/>
    <n v="105"/>
    <d v="1899-12-30T03:06:37"/>
    <n v="186.61666666666667"/>
  </r>
  <r>
    <x v="168"/>
    <x v="9"/>
    <x v="3"/>
    <n v="0"/>
    <d v="1899-12-30T00:00:00"/>
    <n v="0"/>
  </r>
  <r>
    <x v="168"/>
    <x v="9"/>
    <x v="4"/>
    <n v="16"/>
    <d v="1899-12-30T00:33:41"/>
    <n v="33.68333333333333"/>
  </r>
  <r>
    <x v="168"/>
    <x v="9"/>
    <x v="5"/>
    <n v="64"/>
    <d v="1899-12-30T01:27:15"/>
    <n v="87.25"/>
  </r>
  <r>
    <x v="168"/>
    <x v="10"/>
    <x v="0"/>
    <n v="21"/>
    <d v="1899-12-30T00:49:04"/>
    <n v="49.06666666666667"/>
  </r>
  <r>
    <x v="168"/>
    <x v="10"/>
    <x v="1"/>
    <n v="16"/>
    <d v="1899-12-30T00:35:58"/>
    <n v="35.966666666666669"/>
  </r>
  <r>
    <x v="168"/>
    <x v="10"/>
    <x v="2"/>
    <n v="13"/>
    <d v="1899-12-30T00:24:02"/>
    <n v="24.033333333333335"/>
  </r>
  <r>
    <x v="168"/>
    <x v="10"/>
    <x v="3"/>
    <n v="0"/>
    <d v="1899-12-30T00:00:00"/>
    <n v="0"/>
  </r>
  <r>
    <x v="168"/>
    <x v="10"/>
    <x v="4"/>
    <n v="3"/>
    <d v="1899-12-30T00:09:26"/>
    <n v="9.4333333333333336"/>
  </r>
  <r>
    <x v="168"/>
    <x v="10"/>
    <x v="5"/>
    <n v="21"/>
    <d v="1899-12-30T00:43:02"/>
    <n v="43.033333333333331"/>
  </r>
  <r>
    <x v="168"/>
    <x v="11"/>
    <x v="0"/>
    <n v="17"/>
    <d v="1899-12-30T00:38:43"/>
    <n v="38.716666666666669"/>
  </r>
  <r>
    <x v="168"/>
    <x v="11"/>
    <x v="1"/>
    <n v="5"/>
    <d v="1899-12-30T00:12:27"/>
    <n v="12.45"/>
  </r>
  <r>
    <x v="168"/>
    <x v="11"/>
    <x v="2"/>
    <n v="6"/>
    <d v="1899-12-30T00:13:28"/>
    <n v="13.466666666666667"/>
  </r>
  <r>
    <x v="168"/>
    <x v="11"/>
    <x v="3"/>
    <n v="0"/>
    <d v="1899-12-30T00:00:00"/>
    <n v="0"/>
  </r>
  <r>
    <x v="168"/>
    <x v="11"/>
    <x v="4"/>
    <n v="15"/>
    <d v="1899-12-30T00:34:26"/>
    <n v="34.43333333333333"/>
  </r>
  <r>
    <x v="168"/>
    <x v="11"/>
    <x v="5"/>
    <n v="17"/>
    <d v="1899-12-30T00:27:11"/>
    <n v="27.183333333333334"/>
  </r>
  <r>
    <x v="168"/>
    <x v="12"/>
    <x v="0"/>
    <n v="116"/>
    <d v="1899-12-30T04:21:41"/>
    <n v="261.68333333333334"/>
  </r>
  <r>
    <x v="168"/>
    <x v="12"/>
    <x v="1"/>
    <n v="128"/>
    <d v="1899-12-30T05:13:51"/>
    <n v="313.85000000000002"/>
  </r>
  <r>
    <x v="168"/>
    <x v="12"/>
    <x v="2"/>
    <n v="77"/>
    <d v="1899-12-30T02:37:22"/>
    <n v="157.36666666666667"/>
  </r>
  <r>
    <x v="168"/>
    <x v="12"/>
    <x v="3"/>
    <n v="0"/>
    <d v="1899-12-30T00:00:00"/>
    <n v="0"/>
  </r>
  <r>
    <x v="168"/>
    <x v="12"/>
    <x v="4"/>
    <n v="33"/>
    <d v="1899-12-30T01:21:05"/>
    <n v="81.083333333333329"/>
  </r>
  <r>
    <x v="168"/>
    <x v="12"/>
    <x v="5"/>
    <n v="91"/>
    <d v="1899-12-30T02:17:30"/>
    <n v="137.5"/>
  </r>
  <r>
    <x v="168"/>
    <x v="13"/>
    <x v="0"/>
    <n v="8"/>
    <d v="1899-12-30T00:19:47"/>
    <n v="19.783333333333335"/>
  </r>
  <r>
    <x v="168"/>
    <x v="13"/>
    <x v="1"/>
    <n v="12"/>
    <d v="1899-12-30T00:16:32"/>
    <n v="16.533333333333335"/>
  </r>
  <r>
    <x v="168"/>
    <x v="13"/>
    <x v="2"/>
    <n v="13"/>
    <d v="1899-12-30T00:12:01"/>
    <n v="12.016666666666667"/>
  </r>
  <r>
    <x v="168"/>
    <x v="13"/>
    <x v="3"/>
    <n v="0"/>
    <d v="1899-12-30T00:00:00"/>
    <n v="0"/>
  </r>
  <r>
    <x v="168"/>
    <x v="13"/>
    <x v="4"/>
    <n v="0"/>
    <d v="1899-12-30T00:00:00"/>
    <n v="0"/>
  </r>
  <r>
    <x v="168"/>
    <x v="13"/>
    <x v="5"/>
    <n v="17"/>
    <d v="1899-12-30T00:15:09"/>
    <n v="15.15"/>
  </r>
  <r>
    <x v="169"/>
    <x v="0"/>
    <x v="0"/>
    <n v="28"/>
    <d v="1899-12-30T00:43:36"/>
    <n v="43.6"/>
  </r>
  <r>
    <x v="169"/>
    <x v="0"/>
    <x v="1"/>
    <n v="17"/>
    <d v="1899-12-30T00:24:04"/>
    <n v="24.066666666666666"/>
  </r>
  <r>
    <x v="169"/>
    <x v="0"/>
    <x v="2"/>
    <n v="25"/>
    <d v="1899-12-30T00:33:52"/>
    <n v="33.866666666666667"/>
  </r>
  <r>
    <x v="169"/>
    <x v="0"/>
    <x v="3"/>
    <n v="0"/>
    <d v="1899-12-30T00:00:00"/>
    <n v="0"/>
  </r>
  <r>
    <x v="169"/>
    <x v="0"/>
    <x v="4"/>
    <n v="0"/>
    <d v="1899-12-30T00:00:00"/>
    <n v="0"/>
  </r>
  <r>
    <x v="169"/>
    <x v="0"/>
    <x v="5"/>
    <n v="22"/>
    <d v="1899-12-30T00:22:55"/>
    <n v="22.916666666666668"/>
  </r>
  <r>
    <x v="169"/>
    <x v="1"/>
    <x v="0"/>
    <n v="18"/>
    <d v="1899-12-30T00:41:52"/>
    <n v="41.866666666666667"/>
  </r>
  <r>
    <x v="169"/>
    <x v="1"/>
    <x v="1"/>
    <n v="28"/>
    <d v="1899-12-30T01:01:40"/>
    <n v="61.666666666666664"/>
  </r>
  <r>
    <x v="169"/>
    <x v="1"/>
    <x v="2"/>
    <n v="20"/>
    <d v="1899-12-30T00:43:27"/>
    <n v="43.45"/>
  </r>
  <r>
    <x v="169"/>
    <x v="1"/>
    <x v="3"/>
    <n v="0"/>
    <d v="1899-12-30T00:00:00"/>
    <n v="0"/>
  </r>
  <r>
    <x v="169"/>
    <x v="1"/>
    <x v="4"/>
    <n v="29"/>
    <d v="1899-12-30T01:05:45"/>
    <n v="65.75"/>
  </r>
  <r>
    <x v="169"/>
    <x v="1"/>
    <x v="5"/>
    <n v="47"/>
    <d v="1899-12-30T01:36:43"/>
    <n v="96.716666666666669"/>
  </r>
  <r>
    <x v="169"/>
    <x v="2"/>
    <x v="0"/>
    <n v="85"/>
    <d v="1899-12-30T03:39:20"/>
    <n v="219.33333333333334"/>
  </r>
  <r>
    <x v="169"/>
    <x v="2"/>
    <x v="1"/>
    <n v="69"/>
    <d v="1899-12-30T02:33:16"/>
    <n v="153.26666666666668"/>
  </r>
  <r>
    <x v="169"/>
    <x v="2"/>
    <x v="2"/>
    <n v="54"/>
    <d v="1899-12-30T01:45:35"/>
    <n v="105.58333333333333"/>
  </r>
  <r>
    <x v="169"/>
    <x v="2"/>
    <x v="3"/>
    <n v="0"/>
    <d v="1899-12-30T00:00:00"/>
    <n v="0"/>
  </r>
  <r>
    <x v="169"/>
    <x v="2"/>
    <x v="4"/>
    <n v="14"/>
    <d v="1899-12-30T00:38:44"/>
    <n v="38.733333333333334"/>
  </r>
  <r>
    <x v="169"/>
    <x v="2"/>
    <x v="5"/>
    <n v="51"/>
    <d v="1899-12-30T01:23:27"/>
    <n v="83.45"/>
  </r>
  <r>
    <x v="169"/>
    <x v="3"/>
    <x v="0"/>
    <n v="9"/>
    <d v="1899-12-30T00:27:17"/>
    <n v="27.283333333333335"/>
  </r>
  <r>
    <x v="169"/>
    <x v="3"/>
    <x v="1"/>
    <n v="5"/>
    <d v="1899-12-30T00:11:55"/>
    <n v="11.916666666666666"/>
  </r>
  <r>
    <x v="169"/>
    <x v="3"/>
    <x v="2"/>
    <n v="1"/>
    <d v="1899-12-30T00:02:28"/>
    <n v="2.4666666666666668"/>
  </r>
  <r>
    <x v="169"/>
    <x v="3"/>
    <x v="3"/>
    <n v="0"/>
    <d v="1899-12-30T00:00:00"/>
    <n v="0"/>
  </r>
  <r>
    <x v="169"/>
    <x v="3"/>
    <x v="4"/>
    <n v="1"/>
    <d v="1899-12-30T00:02:58"/>
    <n v="2.9666666666666668"/>
  </r>
  <r>
    <x v="169"/>
    <x v="3"/>
    <x v="5"/>
    <n v="7"/>
    <d v="1899-12-30T00:11:00"/>
    <n v="11"/>
  </r>
  <r>
    <x v="169"/>
    <x v="4"/>
    <x v="0"/>
    <n v="27"/>
    <d v="1899-12-30T01:00:55"/>
    <n v="60.916666666666664"/>
  </r>
  <r>
    <x v="169"/>
    <x v="4"/>
    <x v="1"/>
    <n v="20"/>
    <d v="1899-12-30T00:33:55"/>
    <n v="33.916666666666664"/>
  </r>
  <r>
    <x v="169"/>
    <x v="4"/>
    <x v="2"/>
    <n v="25"/>
    <d v="1899-12-30T00:47:11"/>
    <n v="47.18333333333333"/>
  </r>
  <r>
    <x v="169"/>
    <x v="4"/>
    <x v="3"/>
    <n v="0"/>
    <d v="1899-12-30T00:00:00"/>
    <n v="0"/>
  </r>
  <r>
    <x v="169"/>
    <x v="4"/>
    <x v="4"/>
    <n v="9"/>
    <d v="1899-12-30T00:17:20"/>
    <n v="17.333333333333332"/>
  </r>
  <r>
    <x v="169"/>
    <x v="4"/>
    <x v="5"/>
    <n v="19"/>
    <d v="1899-12-30T00:28:51"/>
    <n v="28.85"/>
  </r>
  <r>
    <x v="169"/>
    <x v="5"/>
    <x v="0"/>
    <n v="27"/>
    <d v="1899-12-30T00:51:37"/>
    <n v="51.616666666666667"/>
  </r>
  <r>
    <x v="169"/>
    <x v="5"/>
    <x v="1"/>
    <n v="19"/>
    <d v="1899-12-30T00:33:39"/>
    <n v="33.65"/>
  </r>
  <r>
    <x v="169"/>
    <x v="5"/>
    <x v="2"/>
    <n v="25"/>
    <d v="1899-12-30T00:32:42"/>
    <n v="32.700000000000003"/>
  </r>
  <r>
    <x v="169"/>
    <x v="5"/>
    <x v="3"/>
    <n v="0"/>
    <d v="1899-12-30T00:00:00"/>
    <n v="0"/>
  </r>
  <r>
    <x v="169"/>
    <x v="5"/>
    <x v="4"/>
    <n v="2"/>
    <d v="1899-12-30T00:04:03"/>
    <n v="4.05"/>
  </r>
  <r>
    <x v="169"/>
    <x v="5"/>
    <x v="5"/>
    <n v="38"/>
    <d v="1899-12-30T00:45:30"/>
    <n v="45.5"/>
  </r>
  <r>
    <x v="169"/>
    <x v="6"/>
    <x v="0"/>
    <n v="6"/>
    <d v="1899-12-30T00:18:09"/>
    <n v="18.149999999999999"/>
  </r>
  <r>
    <x v="169"/>
    <x v="6"/>
    <x v="1"/>
    <n v="11"/>
    <d v="1899-12-30T00:20:22"/>
    <n v="20.366666666666667"/>
  </r>
  <r>
    <x v="169"/>
    <x v="6"/>
    <x v="2"/>
    <n v="4"/>
    <d v="1899-12-30T00:06:09"/>
    <n v="6.15"/>
  </r>
  <r>
    <x v="169"/>
    <x v="6"/>
    <x v="3"/>
    <n v="0"/>
    <d v="1899-12-30T00:00:00"/>
    <n v="0"/>
  </r>
  <r>
    <x v="169"/>
    <x v="6"/>
    <x v="4"/>
    <n v="7"/>
    <d v="1899-12-30T00:16:10"/>
    <n v="16.166666666666668"/>
  </r>
  <r>
    <x v="169"/>
    <x v="6"/>
    <x v="5"/>
    <n v="4"/>
    <d v="1899-12-30T00:05:50"/>
    <n v="5.833333333333333"/>
  </r>
  <r>
    <x v="169"/>
    <x v="7"/>
    <x v="0"/>
    <n v="30"/>
    <d v="1899-12-30T00:50:15"/>
    <n v="50.25"/>
  </r>
  <r>
    <x v="169"/>
    <x v="7"/>
    <x v="1"/>
    <n v="64"/>
    <d v="1899-12-30T01:52:02"/>
    <n v="112.03333333333333"/>
  </r>
  <r>
    <x v="169"/>
    <x v="7"/>
    <x v="2"/>
    <n v="22"/>
    <d v="1899-12-30T00:26:43"/>
    <n v="26.716666666666665"/>
  </r>
  <r>
    <x v="169"/>
    <x v="7"/>
    <x v="3"/>
    <n v="0"/>
    <d v="1899-12-30T00:00:00"/>
    <n v="0"/>
  </r>
  <r>
    <x v="169"/>
    <x v="7"/>
    <x v="4"/>
    <n v="115"/>
    <d v="1899-12-30T03:54:45"/>
    <n v="234.75"/>
  </r>
  <r>
    <x v="169"/>
    <x v="7"/>
    <x v="5"/>
    <n v="51"/>
    <d v="1899-12-30T00:52:43"/>
    <n v="52.716666666666669"/>
  </r>
  <r>
    <x v="169"/>
    <x v="8"/>
    <x v="0"/>
    <n v="12"/>
    <d v="1899-12-30T00:14:58"/>
    <n v="14.966666666666667"/>
  </r>
  <r>
    <x v="169"/>
    <x v="8"/>
    <x v="1"/>
    <n v="20"/>
    <d v="1899-12-30T00:36:46"/>
    <n v="36.766666666666666"/>
  </r>
  <r>
    <x v="169"/>
    <x v="8"/>
    <x v="2"/>
    <n v="27"/>
    <d v="1899-12-30T00:45:35"/>
    <n v="45.583333333333336"/>
  </r>
  <r>
    <x v="169"/>
    <x v="8"/>
    <x v="3"/>
    <n v="0"/>
    <d v="1899-12-30T00:00:00"/>
    <n v="0"/>
  </r>
  <r>
    <x v="169"/>
    <x v="8"/>
    <x v="4"/>
    <n v="8"/>
    <d v="1899-12-30T00:16:47"/>
    <n v="16.783333333333335"/>
  </r>
  <r>
    <x v="169"/>
    <x v="8"/>
    <x v="5"/>
    <n v="29"/>
    <d v="1899-12-30T00:32:47"/>
    <n v="32.783333333333331"/>
  </r>
  <r>
    <x v="169"/>
    <x v="9"/>
    <x v="0"/>
    <n v="40"/>
    <d v="1899-12-30T01:13:50"/>
    <n v="73.833333333333329"/>
  </r>
  <r>
    <x v="169"/>
    <x v="9"/>
    <x v="1"/>
    <n v="42"/>
    <d v="1899-12-30T01:19:10"/>
    <n v="79.166666666666671"/>
  </r>
  <r>
    <x v="169"/>
    <x v="9"/>
    <x v="2"/>
    <n v="50"/>
    <d v="1899-12-30T01:36:36"/>
    <n v="96.6"/>
  </r>
  <r>
    <x v="169"/>
    <x v="9"/>
    <x v="3"/>
    <n v="0"/>
    <d v="1899-12-30T00:00:00"/>
    <n v="0"/>
  </r>
  <r>
    <x v="169"/>
    <x v="9"/>
    <x v="4"/>
    <n v="7"/>
    <d v="1899-12-30T00:11:42"/>
    <n v="11.7"/>
  </r>
  <r>
    <x v="169"/>
    <x v="9"/>
    <x v="5"/>
    <n v="31"/>
    <d v="1899-12-30T00:39:38"/>
    <n v="39.633333333333333"/>
  </r>
  <r>
    <x v="169"/>
    <x v="10"/>
    <x v="0"/>
    <n v="21"/>
    <d v="1899-12-30T00:44:06"/>
    <n v="44.1"/>
  </r>
  <r>
    <x v="169"/>
    <x v="10"/>
    <x v="1"/>
    <n v="16"/>
    <d v="1899-12-30T00:36:52"/>
    <n v="36.866666666666667"/>
  </r>
  <r>
    <x v="169"/>
    <x v="10"/>
    <x v="2"/>
    <n v="10"/>
    <d v="1899-12-30T00:17:17"/>
    <n v="17.283333333333335"/>
  </r>
  <r>
    <x v="169"/>
    <x v="10"/>
    <x v="3"/>
    <n v="0"/>
    <d v="1899-12-30T00:00:00"/>
    <n v="0"/>
  </r>
  <r>
    <x v="169"/>
    <x v="10"/>
    <x v="4"/>
    <n v="3"/>
    <d v="1899-12-30T00:04:40"/>
    <n v="4.666666666666667"/>
  </r>
  <r>
    <x v="169"/>
    <x v="10"/>
    <x v="5"/>
    <n v="17"/>
    <d v="1899-12-30T00:26:50"/>
    <n v="26.833333333333332"/>
  </r>
  <r>
    <x v="169"/>
    <x v="11"/>
    <x v="0"/>
    <n v="12"/>
    <d v="1899-12-30T00:26:17"/>
    <n v="26.283333333333335"/>
  </r>
  <r>
    <x v="169"/>
    <x v="11"/>
    <x v="1"/>
    <n v="5"/>
    <d v="1899-12-30T00:08:15"/>
    <n v="8.25"/>
  </r>
  <r>
    <x v="169"/>
    <x v="11"/>
    <x v="2"/>
    <n v="4"/>
    <d v="1899-12-30T00:09:50"/>
    <n v="9.8333333333333339"/>
  </r>
  <r>
    <x v="169"/>
    <x v="11"/>
    <x v="3"/>
    <n v="0"/>
    <d v="1899-12-30T00:00:00"/>
    <n v="0"/>
  </r>
  <r>
    <x v="169"/>
    <x v="11"/>
    <x v="4"/>
    <n v="12"/>
    <d v="1899-12-30T00:14:08"/>
    <n v="14.133333333333333"/>
  </r>
  <r>
    <x v="169"/>
    <x v="11"/>
    <x v="5"/>
    <n v="6"/>
    <d v="1899-12-30T00:12:33"/>
    <n v="12.55"/>
  </r>
  <r>
    <x v="169"/>
    <x v="12"/>
    <x v="0"/>
    <n v="93"/>
    <d v="1899-12-30T03:29:11"/>
    <n v="209.18333333333334"/>
  </r>
  <r>
    <x v="169"/>
    <x v="12"/>
    <x v="1"/>
    <n v="132"/>
    <d v="1899-12-30T04:47:30"/>
    <n v="287.5"/>
  </r>
  <r>
    <x v="169"/>
    <x v="12"/>
    <x v="2"/>
    <n v="80"/>
    <d v="1899-12-30T02:13:31"/>
    <n v="133.51666666666668"/>
  </r>
  <r>
    <x v="169"/>
    <x v="12"/>
    <x v="3"/>
    <n v="0"/>
    <d v="1899-12-30T00:00:00"/>
    <n v="0"/>
  </r>
  <r>
    <x v="169"/>
    <x v="12"/>
    <x v="4"/>
    <n v="30"/>
    <d v="1899-12-30T01:07:47"/>
    <n v="67.783333333333331"/>
  </r>
  <r>
    <x v="169"/>
    <x v="12"/>
    <x v="5"/>
    <n v="90"/>
    <d v="1899-12-30T02:18:59"/>
    <n v="138.98333333333332"/>
  </r>
  <r>
    <x v="169"/>
    <x v="13"/>
    <x v="0"/>
    <n v="7"/>
    <d v="1899-12-30T00:18:17"/>
    <n v="18.283333333333335"/>
  </r>
  <r>
    <x v="169"/>
    <x v="13"/>
    <x v="1"/>
    <n v="11"/>
    <d v="1899-12-30T00:14:39"/>
    <n v="14.65"/>
  </r>
  <r>
    <x v="169"/>
    <x v="13"/>
    <x v="2"/>
    <n v="8"/>
    <d v="1899-12-30T00:12:07"/>
    <n v="12.116666666666667"/>
  </r>
  <r>
    <x v="169"/>
    <x v="13"/>
    <x v="3"/>
    <n v="0"/>
    <d v="1899-12-30T00:00:00"/>
    <n v="0"/>
  </r>
  <r>
    <x v="169"/>
    <x v="13"/>
    <x v="4"/>
    <n v="0"/>
    <d v="1899-12-30T00:00:00"/>
    <n v="0"/>
  </r>
  <r>
    <x v="169"/>
    <x v="13"/>
    <x v="5"/>
    <n v="20"/>
    <d v="1899-12-30T00:23:06"/>
    <n v="23.1"/>
  </r>
  <r>
    <x v="170"/>
    <x v="0"/>
    <x v="0"/>
    <n v="18"/>
    <d v="1899-12-30T00:38:13"/>
    <n v="38.216666666666669"/>
  </r>
  <r>
    <x v="170"/>
    <x v="0"/>
    <x v="1"/>
    <n v="30"/>
    <d v="1899-12-30T00:42:18"/>
    <n v="42.3"/>
  </r>
  <r>
    <x v="170"/>
    <x v="0"/>
    <x v="2"/>
    <n v="26"/>
    <d v="1899-12-30T00:37:49"/>
    <n v="37.81666666666667"/>
  </r>
  <r>
    <x v="170"/>
    <x v="0"/>
    <x v="3"/>
    <n v="0"/>
    <d v="1899-12-30T00:00:00"/>
    <n v="0"/>
  </r>
  <r>
    <x v="170"/>
    <x v="0"/>
    <x v="4"/>
    <n v="5"/>
    <d v="1899-12-30T00:11:29"/>
    <n v="11.483333333333333"/>
  </r>
  <r>
    <x v="170"/>
    <x v="0"/>
    <x v="5"/>
    <n v="19"/>
    <d v="1899-12-30T00:16:36"/>
    <n v="16.600000000000001"/>
  </r>
  <r>
    <x v="170"/>
    <x v="1"/>
    <x v="0"/>
    <n v="24"/>
    <d v="1899-12-30T01:04:05"/>
    <n v="64.083333333333329"/>
  </r>
  <r>
    <x v="170"/>
    <x v="1"/>
    <x v="1"/>
    <n v="19"/>
    <d v="1899-12-30T00:43:01"/>
    <n v="43.016666666666666"/>
  </r>
  <r>
    <x v="170"/>
    <x v="1"/>
    <x v="2"/>
    <n v="24"/>
    <d v="1899-12-30T00:55:20"/>
    <n v="55.333333333333336"/>
  </r>
  <r>
    <x v="170"/>
    <x v="1"/>
    <x v="3"/>
    <n v="0"/>
    <d v="1899-12-30T00:00:00"/>
    <n v="0"/>
  </r>
  <r>
    <x v="170"/>
    <x v="1"/>
    <x v="4"/>
    <n v="22"/>
    <d v="1899-12-30T00:48:43"/>
    <n v="48.716666666666669"/>
  </r>
  <r>
    <x v="170"/>
    <x v="1"/>
    <x v="5"/>
    <n v="48"/>
    <d v="1899-12-30T01:32:32"/>
    <n v="92.533333333333331"/>
  </r>
  <r>
    <x v="170"/>
    <x v="2"/>
    <x v="0"/>
    <n v="53"/>
    <d v="1899-12-30T02:13:11"/>
    <n v="133.18333333333334"/>
  </r>
  <r>
    <x v="170"/>
    <x v="2"/>
    <x v="1"/>
    <n v="55"/>
    <d v="1899-12-30T02:18:20"/>
    <n v="138.33333333333334"/>
  </r>
  <r>
    <x v="170"/>
    <x v="2"/>
    <x v="2"/>
    <n v="36"/>
    <d v="1899-12-30T01:13:05"/>
    <n v="73.083333333333329"/>
  </r>
  <r>
    <x v="170"/>
    <x v="2"/>
    <x v="3"/>
    <n v="0"/>
    <d v="1899-12-30T00:00:00"/>
    <n v="0"/>
  </r>
  <r>
    <x v="170"/>
    <x v="2"/>
    <x v="4"/>
    <n v="10"/>
    <d v="1899-12-30T00:24:44"/>
    <n v="24.733333333333334"/>
  </r>
  <r>
    <x v="170"/>
    <x v="2"/>
    <x v="5"/>
    <n v="20"/>
    <d v="1899-12-30T00:36:25"/>
    <n v="36.416666666666664"/>
  </r>
  <r>
    <x v="170"/>
    <x v="3"/>
    <x v="0"/>
    <n v="11"/>
    <d v="1899-12-30T00:28:52"/>
    <n v="28.866666666666667"/>
  </r>
  <r>
    <x v="170"/>
    <x v="3"/>
    <x v="1"/>
    <n v="2"/>
    <d v="1899-12-30T00:04:44"/>
    <n v="4.7333333333333334"/>
  </r>
  <r>
    <x v="170"/>
    <x v="3"/>
    <x v="2"/>
    <n v="3"/>
    <d v="1899-12-30T00:13:23"/>
    <n v="13.383333333333333"/>
  </r>
  <r>
    <x v="170"/>
    <x v="3"/>
    <x v="3"/>
    <n v="0"/>
    <d v="1899-12-30T00:00:00"/>
    <n v="0"/>
  </r>
  <r>
    <x v="170"/>
    <x v="3"/>
    <x v="4"/>
    <n v="2"/>
    <d v="1899-12-30T00:08:42"/>
    <n v="8.6999999999999993"/>
  </r>
  <r>
    <x v="170"/>
    <x v="3"/>
    <x v="5"/>
    <n v="6"/>
    <d v="1899-12-30T00:10:04"/>
    <n v="10.066666666666666"/>
  </r>
  <r>
    <x v="170"/>
    <x v="4"/>
    <x v="0"/>
    <n v="27"/>
    <d v="1899-12-30T01:01:47"/>
    <n v="61.783333333333331"/>
  </r>
  <r>
    <x v="170"/>
    <x v="4"/>
    <x v="1"/>
    <n v="28"/>
    <d v="1899-12-30T00:55:12"/>
    <n v="55.2"/>
  </r>
  <r>
    <x v="170"/>
    <x v="4"/>
    <x v="2"/>
    <n v="28"/>
    <d v="1899-12-30T00:55:20"/>
    <n v="55.333333333333336"/>
  </r>
  <r>
    <x v="170"/>
    <x v="4"/>
    <x v="3"/>
    <n v="0"/>
    <d v="1899-12-30T00:00:00"/>
    <n v="0"/>
  </r>
  <r>
    <x v="170"/>
    <x v="4"/>
    <x v="4"/>
    <n v="13"/>
    <d v="1899-12-30T00:29:09"/>
    <n v="29.15"/>
  </r>
  <r>
    <x v="170"/>
    <x v="4"/>
    <x v="5"/>
    <n v="24"/>
    <d v="1899-12-30T00:36:13"/>
    <n v="36.216666666666669"/>
  </r>
  <r>
    <x v="170"/>
    <x v="5"/>
    <x v="0"/>
    <n v="15"/>
    <d v="1899-12-30T00:28:23"/>
    <n v="28.383333333333333"/>
  </r>
  <r>
    <x v="170"/>
    <x v="5"/>
    <x v="1"/>
    <n v="12"/>
    <d v="1899-12-30T00:18:26"/>
    <n v="18.433333333333334"/>
  </r>
  <r>
    <x v="170"/>
    <x v="5"/>
    <x v="2"/>
    <n v="22"/>
    <d v="1899-12-30T00:27:28"/>
    <n v="27.466666666666665"/>
  </r>
  <r>
    <x v="170"/>
    <x v="5"/>
    <x v="3"/>
    <n v="0"/>
    <d v="1899-12-30T00:00:00"/>
    <n v="0"/>
  </r>
  <r>
    <x v="170"/>
    <x v="5"/>
    <x v="4"/>
    <n v="1"/>
    <d v="1899-12-30T00:00:50"/>
    <n v="0.83333333333333337"/>
  </r>
  <r>
    <x v="170"/>
    <x v="5"/>
    <x v="5"/>
    <n v="29"/>
    <d v="1899-12-30T00:32:23"/>
    <n v="32.383333333333333"/>
  </r>
  <r>
    <x v="170"/>
    <x v="6"/>
    <x v="0"/>
    <n v="3"/>
    <d v="1899-12-30T00:09:41"/>
    <n v="9.6833333333333336"/>
  </r>
  <r>
    <x v="170"/>
    <x v="6"/>
    <x v="1"/>
    <n v="7"/>
    <d v="1899-12-30T00:15:58"/>
    <n v="15.966666666666667"/>
  </r>
  <r>
    <x v="170"/>
    <x v="6"/>
    <x v="2"/>
    <n v="2"/>
    <d v="1899-12-30T00:03:59"/>
    <n v="3.9833333333333334"/>
  </r>
  <r>
    <x v="170"/>
    <x v="6"/>
    <x v="3"/>
    <n v="0"/>
    <d v="1899-12-30T00:00:00"/>
    <n v="0"/>
  </r>
  <r>
    <x v="170"/>
    <x v="6"/>
    <x v="4"/>
    <n v="5"/>
    <d v="1899-12-30T00:10:37"/>
    <n v="10.616666666666667"/>
  </r>
  <r>
    <x v="170"/>
    <x v="6"/>
    <x v="5"/>
    <n v="3"/>
    <d v="1899-12-30T00:05:29"/>
    <n v="5.4833333333333334"/>
  </r>
  <r>
    <x v="170"/>
    <x v="7"/>
    <x v="0"/>
    <n v="42"/>
    <d v="1899-12-30T01:16:15"/>
    <n v="76.25"/>
  </r>
  <r>
    <x v="170"/>
    <x v="7"/>
    <x v="1"/>
    <n v="93"/>
    <d v="1899-12-30T02:22:42"/>
    <n v="142.69999999999999"/>
  </r>
  <r>
    <x v="170"/>
    <x v="7"/>
    <x v="2"/>
    <n v="48"/>
    <d v="1899-12-30T00:55:15"/>
    <n v="55.25"/>
  </r>
  <r>
    <x v="170"/>
    <x v="7"/>
    <x v="3"/>
    <n v="0"/>
    <d v="1899-12-30T00:00:00"/>
    <n v="0"/>
  </r>
  <r>
    <x v="170"/>
    <x v="7"/>
    <x v="4"/>
    <n v="116"/>
    <d v="1899-12-30T04:07:57"/>
    <n v="247.95"/>
  </r>
  <r>
    <x v="170"/>
    <x v="7"/>
    <x v="5"/>
    <n v="55"/>
    <d v="1899-12-30T01:04:16"/>
    <n v="64.266666666666666"/>
  </r>
  <r>
    <x v="170"/>
    <x v="8"/>
    <x v="0"/>
    <n v="16"/>
    <d v="1899-12-30T00:30:37"/>
    <n v="30.616666666666667"/>
  </r>
  <r>
    <x v="170"/>
    <x v="8"/>
    <x v="1"/>
    <n v="24"/>
    <d v="1899-12-30T00:41:53"/>
    <n v="41.883333333333333"/>
  </r>
  <r>
    <x v="170"/>
    <x v="8"/>
    <x v="2"/>
    <n v="18"/>
    <d v="1899-12-30T00:27:37"/>
    <n v="27.616666666666667"/>
  </r>
  <r>
    <x v="170"/>
    <x v="8"/>
    <x v="3"/>
    <n v="0"/>
    <d v="1899-12-30T00:00:00"/>
    <n v="0"/>
  </r>
  <r>
    <x v="170"/>
    <x v="8"/>
    <x v="4"/>
    <n v="15"/>
    <d v="1899-12-30T00:26:08"/>
    <n v="26.133333333333333"/>
  </r>
  <r>
    <x v="170"/>
    <x v="8"/>
    <x v="5"/>
    <n v="28"/>
    <d v="1899-12-30T00:30:51"/>
    <n v="30.85"/>
  </r>
  <r>
    <x v="170"/>
    <x v="9"/>
    <x v="0"/>
    <n v="60"/>
    <d v="1899-12-30T01:43:21"/>
    <n v="103.35"/>
  </r>
  <r>
    <x v="170"/>
    <x v="9"/>
    <x v="1"/>
    <n v="51"/>
    <d v="1899-12-30T01:44:32"/>
    <n v="104.53333333333333"/>
  </r>
  <r>
    <x v="170"/>
    <x v="9"/>
    <x v="2"/>
    <n v="71"/>
    <d v="1899-12-30T01:49:27"/>
    <n v="109.45"/>
  </r>
  <r>
    <x v="170"/>
    <x v="9"/>
    <x v="3"/>
    <n v="0"/>
    <d v="1899-12-30T00:00:00"/>
    <n v="0"/>
  </r>
  <r>
    <x v="170"/>
    <x v="9"/>
    <x v="4"/>
    <n v="10"/>
    <d v="1899-12-30T00:17:04"/>
    <n v="17.066666666666666"/>
  </r>
  <r>
    <x v="170"/>
    <x v="9"/>
    <x v="5"/>
    <n v="45"/>
    <d v="1899-12-30T00:59:10"/>
    <n v="59.166666666666664"/>
  </r>
  <r>
    <x v="170"/>
    <x v="10"/>
    <x v="0"/>
    <n v="24"/>
    <d v="1899-12-30T00:53:44"/>
    <n v="53.733333333333334"/>
  </r>
  <r>
    <x v="170"/>
    <x v="10"/>
    <x v="1"/>
    <n v="16"/>
    <d v="1899-12-30T00:36:53"/>
    <n v="36.883333333333333"/>
  </r>
  <r>
    <x v="170"/>
    <x v="10"/>
    <x v="2"/>
    <n v="17"/>
    <d v="1899-12-30T00:38:31"/>
    <n v="38.516666666666666"/>
  </r>
  <r>
    <x v="170"/>
    <x v="10"/>
    <x v="3"/>
    <n v="0"/>
    <d v="1899-12-30T00:00:00"/>
    <n v="0"/>
  </r>
  <r>
    <x v="170"/>
    <x v="10"/>
    <x v="4"/>
    <n v="6"/>
    <d v="1899-12-30T00:17:54"/>
    <n v="17.899999999999999"/>
  </r>
  <r>
    <x v="170"/>
    <x v="10"/>
    <x v="5"/>
    <n v="20"/>
    <d v="1899-12-30T00:36:08"/>
    <n v="36.133333333333333"/>
  </r>
  <r>
    <x v="170"/>
    <x v="11"/>
    <x v="0"/>
    <n v="14"/>
    <d v="1899-12-30T00:36:14"/>
    <n v="36.233333333333334"/>
  </r>
  <r>
    <x v="170"/>
    <x v="11"/>
    <x v="1"/>
    <n v="6"/>
    <d v="1899-12-30T00:19:20"/>
    <n v="19.333333333333332"/>
  </r>
  <r>
    <x v="170"/>
    <x v="11"/>
    <x v="2"/>
    <n v="3"/>
    <d v="1899-12-30T00:09:35"/>
    <n v="9.5833333333333339"/>
  </r>
  <r>
    <x v="170"/>
    <x v="11"/>
    <x v="3"/>
    <n v="0"/>
    <d v="1899-12-30T00:00:00"/>
    <n v="0"/>
  </r>
  <r>
    <x v="170"/>
    <x v="11"/>
    <x v="4"/>
    <n v="7"/>
    <d v="1899-12-30T00:14:29"/>
    <n v="14.483333333333333"/>
  </r>
  <r>
    <x v="170"/>
    <x v="11"/>
    <x v="5"/>
    <n v="8"/>
    <d v="1899-12-30T00:16:57"/>
    <n v="16.95"/>
  </r>
  <r>
    <x v="170"/>
    <x v="12"/>
    <x v="0"/>
    <n v="94"/>
    <d v="1899-12-30T03:22:11"/>
    <n v="202.18333333333334"/>
  </r>
  <r>
    <x v="170"/>
    <x v="12"/>
    <x v="1"/>
    <n v="106"/>
    <d v="1899-12-30T03:57:17"/>
    <n v="237.28333333333333"/>
  </r>
  <r>
    <x v="170"/>
    <x v="12"/>
    <x v="2"/>
    <n v="62"/>
    <d v="1899-12-30T01:45:18"/>
    <n v="105.3"/>
  </r>
  <r>
    <x v="170"/>
    <x v="12"/>
    <x v="3"/>
    <n v="0"/>
    <d v="1899-12-30T00:00:00"/>
    <n v="0"/>
  </r>
  <r>
    <x v="170"/>
    <x v="12"/>
    <x v="4"/>
    <n v="21"/>
    <d v="1899-12-30T00:44:42"/>
    <n v="44.7"/>
  </r>
  <r>
    <x v="170"/>
    <x v="12"/>
    <x v="5"/>
    <n v="76"/>
    <d v="1899-12-30T01:57:20"/>
    <n v="117.33333333333333"/>
  </r>
  <r>
    <x v="170"/>
    <x v="13"/>
    <x v="0"/>
    <n v="7"/>
    <d v="1899-12-30T00:11:50"/>
    <n v="11.833333333333334"/>
  </r>
  <r>
    <x v="170"/>
    <x v="13"/>
    <x v="1"/>
    <n v="14"/>
    <d v="1899-12-30T00:11:09"/>
    <n v="11.15"/>
  </r>
  <r>
    <x v="170"/>
    <x v="13"/>
    <x v="2"/>
    <n v="5"/>
    <d v="1899-12-30T00:03:21"/>
    <n v="3.35"/>
  </r>
  <r>
    <x v="170"/>
    <x v="13"/>
    <x v="3"/>
    <n v="0"/>
    <d v="1899-12-30T00:00:00"/>
    <n v="0"/>
  </r>
  <r>
    <x v="170"/>
    <x v="13"/>
    <x v="4"/>
    <n v="0"/>
    <d v="1899-12-30T00:00:00"/>
    <n v="0"/>
  </r>
  <r>
    <x v="170"/>
    <x v="13"/>
    <x v="5"/>
    <n v="30"/>
    <d v="1899-12-30T00:40:22"/>
    <n v="40.366666666666667"/>
  </r>
  <r>
    <x v="171"/>
    <x v="0"/>
    <x v="0"/>
    <n v="9"/>
    <d v="1899-12-30T00:14:25"/>
    <n v="14.416666666666666"/>
  </r>
  <r>
    <x v="171"/>
    <x v="0"/>
    <x v="1"/>
    <n v="7"/>
    <d v="1899-12-30T00:08:59"/>
    <n v="8.9833333333333325"/>
  </r>
  <r>
    <x v="171"/>
    <x v="0"/>
    <x v="2"/>
    <n v="13"/>
    <d v="1899-12-30T00:12:50"/>
    <n v="12.833333333333334"/>
  </r>
  <r>
    <x v="171"/>
    <x v="0"/>
    <x v="3"/>
    <n v="0"/>
    <d v="1899-12-30T00:00:00"/>
    <n v="0"/>
  </r>
  <r>
    <x v="171"/>
    <x v="0"/>
    <x v="4"/>
    <n v="2"/>
    <d v="1899-12-30T00:03:58"/>
    <n v="3.9666666666666668"/>
  </r>
  <r>
    <x v="171"/>
    <x v="0"/>
    <x v="5"/>
    <n v="14"/>
    <d v="1899-12-30T00:14:20"/>
    <n v="14.333333333333334"/>
  </r>
  <r>
    <x v="171"/>
    <x v="1"/>
    <x v="0"/>
    <n v="51"/>
    <d v="1899-12-30T01:54:27"/>
    <n v="114.45"/>
  </r>
  <r>
    <x v="171"/>
    <x v="1"/>
    <x v="1"/>
    <n v="47"/>
    <d v="1899-12-30T01:48:20"/>
    <n v="108.33333333333333"/>
  </r>
  <r>
    <x v="171"/>
    <x v="1"/>
    <x v="2"/>
    <n v="29"/>
    <d v="1899-12-30T00:59:00"/>
    <n v="59"/>
  </r>
  <r>
    <x v="171"/>
    <x v="1"/>
    <x v="3"/>
    <n v="0"/>
    <d v="1899-12-30T00:00:00"/>
    <n v="0"/>
  </r>
  <r>
    <x v="171"/>
    <x v="1"/>
    <x v="4"/>
    <n v="26"/>
    <d v="1899-12-30T00:59:20"/>
    <n v="59.333333333333336"/>
  </r>
  <r>
    <x v="171"/>
    <x v="1"/>
    <x v="5"/>
    <n v="69"/>
    <d v="1899-12-30T02:07:50"/>
    <n v="127.83333333333333"/>
  </r>
  <r>
    <x v="171"/>
    <x v="2"/>
    <x v="0"/>
    <n v="84"/>
    <d v="1899-12-30T03:14:18"/>
    <n v="194.3"/>
  </r>
  <r>
    <x v="171"/>
    <x v="2"/>
    <x v="1"/>
    <n v="76"/>
    <d v="1899-12-30T03:08:42"/>
    <n v="188.7"/>
  </r>
  <r>
    <x v="171"/>
    <x v="2"/>
    <x v="2"/>
    <n v="62"/>
    <d v="1899-12-30T02:15:08"/>
    <n v="135.13333333333333"/>
  </r>
  <r>
    <x v="171"/>
    <x v="2"/>
    <x v="3"/>
    <n v="0"/>
    <d v="1899-12-30T00:00:00"/>
    <n v="0"/>
  </r>
  <r>
    <x v="171"/>
    <x v="2"/>
    <x v="4"/>
    <n v="5"/>
    <d v="1899-12-30T00:12:33"/>
    <n v="12.55"/>
  </r>
  <r>
    <x v="171"/>
    <x v="2"/>
    <x v="5"/>
    <n v="36"/>
    <d v="1899-12-30T01:02:37"/>
    <n v="62.616666666666667"/>
  </r>
  <r>
    <x v="171"/>
    <x v="3"/>
    <x v="0"/>
    <n v="15"/>
    <d v="1899-12-30T00:30:33"/>
    <n v="30.55"/>
  </r>
  <r>
    <x v="171"/>
    <x v="3"/>
    <x v="1"/>
    <n v="16"/>
    <d v="1899-12-30T00:34:12"/>
    <n v="34.200000000000003"/>
  </r>
  <r>
    <x v="171"/>
    <x v="3"/>
    <x v="2"/>
    <n v="5"/>
    <d v="1899-12-30T00:11:23"/>
    <n v="11.383333333333333"/>
  </r>
  <r>
    <x v="171"/>
    <x v="3"/>
    <x v="3"/>
    <n v="0"/>
    <d v="1899-12-30T00:00:00"/>
    <n v="0"/>
  </r>
  <r>
    <x v="171"/>
    <x v="3"/>
    <x v="4"/>
    <n v="1"/>
    <d v="1899-12-30T00:02:33"/>
    <n v="2.5499999999999998"/>
  </r>
  <r>
    <x v="171"/>
    <x v="3"/>
    <x v="5"/>
    <n v="13"/>
    <d v="1899-12-30T00:20:10"/>
    <n v="20.166666666666668"/>
  </r>
  <r>
    <x v="171"/>
    <x v="4"/>
    <x v="0"/>
    <n v="20"/>
    <d v="1899-12-30T00:48:57"/>
    <n v="48.95"/>
  </r>
  <r>
    <x v="171"/>
    <x v="4"/>
    <x v="1"/>
    <n v="30"/>
    <d v="1899-12-30T01:18:40"/>
    <n v="78.666666666666671"/>
  </r>
  <r>
    <x v="171"/>
    <x v="4"/>
    <x v="2"/>
    <n v="19"/>
    <d v="1899-12-30T00:39:00"/>
    <n v="39"/>
  </r>
  <r>
    <x v="171"/>
    <x v="4"/>
    <x v="3"/>
    <n v="0"/>
    <d v="1899-12-30T00:00:00"/>
    <n v="0"/>
  </r>
  <r>
    <x v="171"/>
    <x v="4"/>
    <x v="4"/>
    <n v="11"/>
    <d v="1899-12-30T00:18:08"/>
    <n v="18.133333333333333"/>
  </r>
  <r>
    <x v="171"/>
    <x v="4"/>
    <x v="5"/>
    <n v="17"/>
    <d v="1899-12-30T00:23:18"/>
    <n v="23.3"/>
  </r>
  <r>
    <x v="171"/>
    <x v="5"/>
    <x v="0"/>
    <n v="90"/>
    <d v="1899-12-30T03:06:35"/>
    <n v="186.58333333333334"/>
  </r>
  <r>
    <x v="171"/>
    <x v="5"/>
    <x v="1"/>
    <n v="111"/>
    <d v="1899-12-30T02:56:29"/>
    <n v="176.48333333333332"/>
  </r>
  <r>
    <x v="171"/>
    <x v="5"/>
    <x v="2"/>
    <n v="46"/>
    <d v="1899-12-30T01:03:48"/>
    <n v="63.8"/>
  </r>
  <r>
    <x v="171"/>
    <x v="5"/>
    <x v="3"/>
    <n v="0"/>
    <d v="1899-12-30T00:00:00"/>
    <n v="0"/>
  </r>
  <r>
    <x v="171"/>
    <x v="5"/>
    <x v="4"/>
    <n v="8"/>
    <d v="1899-12-30T00:13:38"/>
    <n v="13.633333333333333"/>
  </r>
  <r>
    <x v="171"/>
    <x v="5"/>
    <x v="5"/>
    <n v="88"/>
    <d v="1899-12-30T01:57:55"/>
    <n v="117.91666666666667"/>
  </r>
  <r>
    <x v="171"/>
    <x v="6"/>
    <x v="0"/>
    <n v="12"/>
    <d v="1899-12-30T00:21:21"/>
    <n v="21.35"/>
  </r>
  <r>
    <x v="171"/>
    <x v="6"/>
    <x v="1"/>
    <n v="11"/>
    <d v="1899-12-30T00:17:42"/>
    <n v="17.7"/>
  </r>
  <r>
    <x v="171"/>
    <x v="6"/>
    <x v="2"/>
    <n v="14"/>
    <d v="1899-12-30T00:28:09"/>
    <n v="28.15"/>
  </r>
  <r>
    <x v="171"/>
    <x v="6"/>
    <x v="3"/>
    <n v="0"/>
    <d v="1899-12-30T00:00:00"/>
    <n v="0"/>
  </r>
  <r>
    <x v="171"/>
    <x v="6"/>
    <x v="4"/>
    <n v="12"/>
    <d v="1899-12-30T00:21:40"/>
    <n v="21.666666666666668"/>
  </r>
  <r>
    <x v="171"/>
    <x v="6"/>
    <x v="5"/>
    <n v="15"/>
    <d v="1899-12-30T00:23:13"/>
    <n v="23.216666666666665"/>
  </r>
  <r>
    <x v="171"/>
    <x v="7"/>
    <x v="0"/>
    <n v="38"/>
    <d v="1899-12-30T01:01:46"/>
    <n v="61.766666666666666"/>
  </r>
  <r>
    <x v="171"/>
    <x v="7"/>
    <x v="1"/>
    <n v="77"/>
    <d v="1899-12-30T02:09:56"/>
    <n v="129.93333333333334"/>
  </r>
  <r>
    <x v="171"/>
    <x v="7"/>
    <x v="2"/>
    <n v="51"/>
    <d v="1899-12-30T01:09:31"/>
    <n v="69.516666666666666"/>
  </r>
  <r>
    <x v="171"/>
    <x v="7"/>
    <x v="3"/>
    <n v="0"/>
    <d v="1899-12-30T00:00:00"/>
    <n v="0"/>
  </r>
  <r>
    <x v="171"/>
    <x v="7"/>
    <x v="4"/>
    <n v="169"/>
    <d v="1899-12-30T06:05:03"/>
    <n v="365.05"/>
  </r>
  <r>
    <x v="171"/>
    <x v="7"/>
    <x v="5"/>
    <n v="73"/>
    <d v="1899-12-30T01:12:08"/>
    <n v="72.13333333333334"/>
  </r>
  <r>
    <x v="171"/>
    <x v="8"/>
    <x v="0"/>
    <n v="13"/>
    <d v="1899-12-30T00:26:42"/>
    <n v="26.7"/>
  </r>
  <r>
    <x v="171"/>
    <x v="8"/>
    <x v="1"/>
    <n v="21"/>
    <d v="1899-12-30T00:35:39"/>
    <n v="35.65"/>
  </r>
  <r>
    <x v="171"/>
    <x v="8"/>
    <x v="2"/>
    <n v="29"/>
    <d v="1899-12-30T00:38:24"/>
    <n v="38.4"/>
  </r>
  <r>
    <x v="171"/>
    <x v="8"/>
    <x v="3"/>
    <n v="0"/>
    <d v="1899-12-30T00:00:00"/>
    <n v="0"/>
  </r>
  <r>
    <x v="171"/>
    <x v="8"/>
    <x v="4"/>
    <n v="9"/>
    <d v="1899-12-30T00:17:27"/>
    <n v="17.45"/>
  </r>
  <r>
    <x v="171"/>
    <x v="8"/>
    <x v="5"/>
    <n v="33"/>
    <d v="1899-12-30T00:40:44"/>
    <n v="40.733333333333334"/>
  </r>
  <r>
    <x v="171"/>
    <x v="9"/>
    <x v="0"/>
    <n v="58"/>
    <d v="1899-12-30T01:40:06"/>
    <n v="100.1"/>
  </r>
  <r>
    <x v="171"/>
    <x v="9"/>
    <x v="1"/>
    <n v="68"/>
    <d v="1899-12-30T02:00:58"/>
    <n v="120.96666666666667"/>
  </r>
  <r>
    <x v="171"/>
    <x v="9"/>
    <x v="2"/>
    <n v="46"/>
    <d v="1899-12-30T01:05:38"/>
    <n v="65.63333333333334"/>
  </r>
  <r>
    <x v="171"/>
    <x v="9"/>
    <x v="3"/>
    <n v="0"/>
    <d v="1899-12-30T00:00:00"/>
    <n v="0"/>
  </r>
  <r>
    <x v="171"/>
    <x v="9"/>
    <x v="4"/>
    <n v="10"/>
    <d v="1899-12-30T00:19:24"/>
    <n v="19.399999999999999"/>
  </r>
  <r>
    <x v="171"/>
    <x v="9"/>
    <x v="5"/>
    <n v="45"/>
    <d v="1899-12-30T01:04:17"/>
    <n v="64.283333333333331"/>
  </r>
  <r>
    <x v="171"/>
    <x v="10"/>
    <x v="0"/>
    <n v="17"/>
    <d v="1899-12-30T00:37:58"/>
    <n v="37.966666666666669"/>
  </r>
  <r>
    <x v="171"/>
    <x v="10"/>
    <x v="1"/>
    <n v="15"/>
    <d v="1899-12-30T00:35:33"/>
    <n v="35.549999999999997"/>
  </r>
  <r>
    <x v="171"/>
    <x v="10"/>
    <x v="2"/>
    <n v="18"/>
    <d v="1899-12-30T00:36:53"/>
    <n v="36.883333333333333"/>
  </r>
  <r>
    <x v="171"/>
    <x v="10"/>
    <x v="3"/>
    <n v="0"/>
    <d v="1899-12-30T00:00:00"/>
    <n v="0"/>
  </r>
  <r>
    <x v="171"/>
    <x v="10"/>
    <x v="4"/>
    <n v="10"/>
    <d v="1899-12-30T00:22:29"/>
    <n v="22.483333333333334"/>
  </r>
  <r>
    <x v="171"/>
    <x v="10"/>
    <x v="5"/>
    <n v="20"/>
    <d v="1899-12-30T00:34:44"/>
    <n v="34.733333333333334"/>
  </r>
  <r>
    <x v="171"/>
    <x v="11"/>
    <x v="0"/>
    <n v="17"/>
    <d v="1899-12-30T00:42:29"/>
    <n v="42.483333333333334"/>
  </r>
  <r>
    <x v="171"/>
    <x v="11"/>
    <x v="1"/>
    <n v="12"/>
    <d v="1899-12-30T00:31:38"/>
    <n v="31.633333333333333"/>
  </r>
  <r>
    <x v="171"/>
    <x v="11"/>
    <x v="2"/>
    <n v="4"/>
    <d v="1899-12-30T00:08:00"/>
    <n v="8"/>
  </r>
  <r>
    <x v="171"/>
    <x v="11"/>
    <x v="3"/>
    <n v="0"/>
    <d v="1899-12-30T00:00:00"/>
    <n v="0"/>
  </r>
  <r>
    <x v="171"/>
    <x v="11"/>
    <x v="4"/>
    <n v="13"/>
    <d v="1899-12-30T00:19:26"/>
    <n v="19.433333333333334"/>
  </r>
  <r>
    <x v="171"/>
    <x v="11"/>
    <x v="5"/>
    <n v="10"/>
    <d v="1899-12-30T00:15:12"/>
    <n v="15.2"/>
  </r>
  <r>
    <x v="171"/>
    <x v="12"/>
    <x v="0"/>
    <n v="135"/>
    <d v="1899-12-30T05:13:15"/>
    <n v="313.25"/>
  </r>
  <r>
    <x v="171"/>
    <x v="12"/>
    <x v="1"/>
    <n v="108"/>
    <d v="1899-12-30T03:42:39"/>
    <n v="222.65"/>
  </r>
  <r>
    <x v="171"/>
    <x v="12"/>
    <x v="2"/>
    <n v="95"/>
    <d v="1899-12-30T02:47:18"/>
    <n v="167.3"/>
  </r>
  <r>
    <x v="171"/>
    <x v="12"/>
    <x v="3"/>
    <n v="0"/>
    <d v="1899-12-30T00:00:00"/>
    <n v="0"/>
  </r>
  <r>
    <x v="171"/>
    <x v="12"/>
    <x v="4"/>
    <n v="33"/>
    <d v="1899-12-30T00:55:41"/>
    <n v="55.68333333333333"/>
  </r>
  <r>
    <x v="171"/>
    <x v="12"/>
    <x v="5"/>
    <n v="106"/>
    <d v="1899-12-30T02:42:19"/>
    <n v="162.31666666666666"/>
  </r>
  <r>
    <x v="171"/>
    <x v="13"/>
    <x v="0"/>
    <n v="10"/>
    <d v="1899-12-30T00:23:12"/>
    <n v="23.2"/>
  </r>
  <r>
    <x v="171"/>
    <x v="13"/>
    <x v="1"/>
    <n v="16"/>
    <d v="1899-12-30T00:30:16"/>
    <n v="30.266666666666666"/>
  </r>
  <r>
    <x v="171"/>
    <x v="13"/>
    <x v="2"/>
    <n v="12"/>
    <d v="1899-12-30T00:23:05"/>
    <n v="23.083333333333332"/>
  </r>
  <r>
    <x v="171"/>
    <x v="13"/>
    <x v="3"/>
    <n v="0"/>
    <d v="1899-12-30T00:00:00"/>
    <n v="0"/>
  </r>
  <r>
    <x v="171"/>
    <x v="13"/>
    <x v="4"/>
    <n v="1"/>
    <d v="1899-12-30T00:02:35"/>
    <n v="2.5833333333333335"/>
  </r>
  <r>
    <x v="171"/>
    <x v="13"/>
    <x v="5"/>
    <n v="21"/>
    <d v="1899-12-30T00:25:31"/>
    <n v="25.516666666666666"/>
  </r>
  <r>
    <x v="172"/>
    <x v="0"/>
    <x v="0"/>
    <n v="12"/>
    <d v="1899-12-30T00:19:11"/>
    <n v="19.183333333333334"/>
  </r>
  <r>
    <x v="172"/>
    <x v="0"/>
    <x v="1"/>
    <n v="9"/>
    <d v="1899-12-30T00:10:12"/>
    <n v="10.199999999999999"/>
  </r>
  <r>
    <x v="172"/>
    <x v="0"/>
    <x v="2"/>
    <n v="10"/>
    <d v="1899-12-30T00:13:39"/>
    <n v="13.65"/>
  </r>
  <r>
    <x v="172"/>
    <x v="0"/>
    <x v="3"/>
    <n v="0"/>
    <d v="1899-12-30T00:00:00"/>
    <n v="0"/>
  </r>
  <r>
    <x v="172"/>
    <x v="0"/>
    <x v="4"/>
    <n v="1"/>
    <d v="1899-12-30T00:01:33"/>
    <n v="1.55"/>
  </r>
  <r>
    <x v="172"/>
    <x v="0"/>
    <x v="5"/>
    <n v="9"/>
    <d v="1899-12-30T00:08:22"/>
    <n v="8.3666666666666671"/>
  </r>
  <r>
    <x v="172"/>
    <x v="1"/>
    <x v="0"/>
    <n v="22"/>
    <d v="1899-12-30T00:53:04"/>
    <n v="53.06666666666667"/>
  </r>
  <r>
    <x v="172"/>
    <x v="1"/>
    <x v="1"/>
    <n v="21"/>
    <d v="1899-12-30T00:47:28"/>
    <n v="47.466666666666669"/>
  </r>
  <r>
    <x v="172"/>
    <x v="1"/>
    <x v="2"/>
    <n v="33"/>
    <d v="1899-12-30T01:03:19"/>
    <n v="63.31666666666667"/>
  </r>
  <r>
    <x v="172"/>
    <x v="1"/>
    <x v="3"/>
    <n v="0"/>
    <d v="1899-12-30T00:00:00"/>
    <n v="0"/>
  </r>
  <r>
    <x v="172"/>
    <x v="1"/>
    <x v="4"/>
    <n v="25"/>
    <d v="1899-12-30T00:54:32"/>
    <n v="54.533333333333331"/>
  </r>
  <r>
    <x v="172"/>
    <x v="1"/>
    <x v="5"/>
    <n v="54"/>
    <d v="1899-12-30T01:24:39"/>
    <n v="84.65"/>
  </r>
  <r>
    <x v="172"/>
    <x v="2"/>
    <x v="0"/>
    <n v="88"/>
    <d v="1899-12-30T03:41:56"/>
    <n v="221.93333333333334"/>
  </r>
  <r>
    <x v="172"/>
    <x v="2"/>
    <x v="1"/>
    <n v="73"/>
    <d v="1899-12-30T02:49:30"/>
    <n v="169.5"/>
  </r>
  <r>
    <x v="172"/>
    <x v="2"/>
    <x v="2"/>
    <n v="48"/>
    <d v="1899-12-30T01:28:19"/>
    <n v="88.316666666666663"/>
  </r>
  <r>
    <x v="172"/>
    <x v="2"/>
    <x v="3"/>
    <n v="0"/>
    <d v="1899-12-30T00:00:00"/>
    <n v="0"/>
  </r>
  <r>
    <x v="172"/>
    <x v="2"/>
    <x v="4"/>
    <n v="13"/>
    <d v="1899-12-30T00:24:23"/>
    <n v="24.383333333333333"/>
  </r>
  <r>
    <x v="172"/>
    <x v="2"/>
    <x v="5"/>
    <n v="28"/>
    <d v="1899-12-30T00:43:28"/>
    <n v="43.466666666666669"/>
  </r>
  <r>
    <x v="172"/>
    <x v="3"/>
    <x v="0"/>
    <n v="9"/>
    <d v="1899-12-30T00:19:38"/>
    <n v="19.633333333333333"/>
  </r>
  <r>
    <x v="172"/>
    <x v="3"/>
    <x v="1"/>
    <n v="5"/>
    <d v="1899-12-30T00:10:19"/>
    <n v="10.316666666666666"/>
  </r>
  <r>
    <x v="172"/>
    <x v="3"/>
    <x v="2"/>
    <n v="4"/>
    <d v="1899-12-30T00:07:39"/>
    <n v="7.65"/>
  </r>
  <r>
    <x v="172"/>
    <x v="3"/>
    <x v="3"/>
    <n v="0"/>
    <d v="1899-12-30T00:00:00"/>
    <n v="0"/>
  </r>
  <r>
    <x v="172"/>
    <x v="3"/>
    <x v="4"/>
    <n v="3"/>
    <d v="1899-12-30T00:06:37"/>
    <n v="6.6166666666666671"/>
  </r>
  <r>
    <x v="172"/>
    <x v="3"/>
    <x v="5"/>
    <n v="5"/>
    <d v="1899-12-30T00:09:28"/>
    <n v="9.4666666666666668"/>
  </r>
  <r>
    <x v="172"/>
    <x v="4"/>
    <x v="0"/>
    <n v="21"/>
    <d v="1899-12-30T00:54:45"/>
    <n v="54.75"/>
  </r>
  <r>
    <x v="172"/>
    <x v="4"/>
    <x v="1"/>
    <n v="19"/>
    <d v="1899-12-30T00:45:58"/>
    <n v="45.966666666666669"/>
  </r>
  <r>
    <x v="172"/>
    <x v="4"/>
    <x v="2"/>
    <n v="23"/>
    <d v="1899-12-30T00:45:13"/>
    <n v="45.216666666666669"/>
  </r>
  <r>
    <x v="172"/>
    <x v="4"/>
    <x v="3"/>
    <n v="0"/>
    <d v="1899-12-30T00:00:00"/>
    <n v="0"/>
  </r>
  <r>
    <x v="172"/>
    <x v="4"/>
    <x v="4"/>
    <n v="13"/>
    <d v="1899-12-30T00:25:19"/>
    <n v="25.316666666666666"/>
  </r>
  <r>
    <x v="172"/>
    <x v="4"/>
    <x v="5"/>
    <n v="15"/>
    <d v="1899-12-30T00:22:48"/>
    <n v="22.8"/>
  </r>
  <r>
    <x v="172"/>
    <x v="5"/>
    <x v="0"/>
    <n v="16"/>
    <d v="1899-12-30T00:32:27"/>
    <n v="32.450000000000003"/>
  </r>
  <r>
    <x v="172"/>
    <x v="5"/>
    <x v="1"/>
    <n v="20"/>
    <d v="1899-12-30T00:27:07"/>
    <n v="27.116666666666667"/>
  </r>
  <r>
    <x v="172"/>
    <x v="5"/>
    <x v="2"/>
    <n v="25"/>
    <d v="1899-12-30T00:33:43"/>
    <n v="33.716666666666669"/>
  </r>
  <r>
    <x v="172"/>
    <x v="5"/>
    <x v="3"/>
    <n v="0"/>
    <d v="1899-12-30T00:00:00"/>
    <n v="0"/>
  </r>
  <r>
    <x v="172"/>
    <x v="5"/>
    <x v="4"/>
    <n v="1"/>
    <d v="1899-12-30T00:00:21"/>
    <n v="0.35"/>
  </r>
  <r>
    <x v="172"/>
    <x v="5"/>
    <x v="5"/>
    <n v="25"/>
    <d v="1899-12-30T00:28:27"/>
    <n v="28.45"/>
  </r>
  <r>
    <x v="172"/>
    <x v="6"/>
    <x v="0"/>
    <n v="6"/>
    <d v="1899-12-30T00:26:10"/>
    <n v="26.166666666666668"/>
  </r>
  <r>
    <x v="172"/>
    <x v="6"/>
    <x v="1"/>
    <n v="7"/>
    <d v="1899-12-30T00:17:30"/>
    <n v="17.5"/>
  </r>
  <r>
    <x v="172"/>
    <x v="6"/>
    <x v="2"/>
    <n v="10"/>
    <d v="1899-12-30T00:15:50"/>
    <n v="15.833333333333334"/>
  </r>
  <r>
    <x v="172"/>
    <x v="6"/>
    <x v="3"/>
    <n v="0"/>
    <d v="1899-12-30T00:00:00"/>
    <n v="0"/>
  </r>
  <r>
    <x v="172"/>
    <x v="6"/>
    <x v="4"/>
    <n v="11"/>
    <d v="1899-12-30T00:18:10"/>
    <n v="18.166666666666668"/>
  </r>
  <r>
    <x v="172"/>
    <x v="6"/>
    <x v="5"/>
    <n v="3"/>
    <d v="1899-12-30T00:04:06"/>
    <n v="4.0999999999999996"/>
  </r>
  <r>
    <x v="172"/>
    <x v="7"/>
    <x v="0"/>
    <n v="78"/>
    <d v="1899-12-30T02:21:22"/>
    <n v="141.36666666666667"/>
  </r>
  <r>
    <x v="172"/>
    <x v="7"/>
    <x v="1"/>
    <n v="82"/>
    <d v="1899-12-30T02:32:35"/>
    <n v="152.58333333333334"/>
  </r>
  <r>
    <x v="172"/>
    <x v="7"/>
    <x v="2"/>
    <n v="71"/>
    <d v="1899-12-30T01:54:00"/>
    <n v="114"/>
  </r>
  <r>
    <x v="172"/>
    <x v="7"/>
    <x v="3"/>
    <n v="0"/>
    <d v="1899-12-30T00:00:00"/>
    <n v="0"/>
  </r>
  <r>
    <x v="172"/>
    <x v="7"/>
    <x v="4"/>
    <n v="156"/>
    <d v="1899-12-30T05:15:37"/>
    <n v="315.61666666666667"/>
  </r>
  <r>
    <x v="172"/>
    <x v="7"/>
    <x v="5"/>
    <n v="104"/>
    <d v="1899-12-30T02:33:48"/>
    <n v="153.80000000000001"/>
  </r>
  <r>
    <x v="172"/>
    <x v="8"/>
    <x v="0"/>
    <n v="21"/>
    <d v="1899-12-30T00:44:02"/>
    <n v="44.033333333333331"/>
  </r>
  <r>
    <x v="172"/>
    <x v="8"/>
    <x v="1"/>
    <n v="22"/>
    <d v="1899-12-30T00:36:19"/>
    <n v="36.31666666666667"/>
  </r>
  <r>
    <x v="172"/>
    <x v="8"/>
    <x v="2"/>
    <n v="28"/>
    <d v="1899-12-30T00:43:39"/>
    <n v="43.65"/>
  </r>
  <r>
    <x v="172"/>
    <x v="8"/>
    <x v="3"/>
    <n v="0"/>
    <d v="1899-12-30T00:00:00"/>
    <n v="0"/>
  </r>
  <r>
    <x v="172"/>
    <x v="8"/>
    <x v="4"/>
    <n v="9"/>
    <d v="1899-12-30T00:17:43"/>
    <n v="17.716666666666665"/>
  </r>
  <r>
    <x v="172"/>
    <x v="8"/>
    <x v="5"/>
    <n v="31"/>
    <d v="1899-12-30T00:40:24"/>
    <n v="40.4"/>
  </r>
  <r>
    <x v="172"/>
    <x v="9"/>
    <x v="0"/>
    <n v="33"/>
    <d v="1899-12-30T01:01:02"/>
    <n v="61.033333333333331"/>
  </r>
  <r>
    <x v="172"/>
    <x v="9"/>
    <x v="1"/>
    <n v="40"/>
    <d v="1899-12-30T01:02:19"/>
    <n v="62.31666666666667"/>
  </r>
  <r>
    <x v="172"/>
    <x v="9"/>
    <x v="2"/>
    <n v="39"/>
    <d v="1899-12-30T01:00:47"/>
    <n v="60.783333333333331"/>
  </r>
  <r>
    <x v="172"/>
    <x v="9"/>
    <x v="3"/>
    <n v="0"/>
    <d v="1899-12-30T00:00:00"/>
    <n v="0"/>
  </r>
  <r>
    <x v="172"/>
    <x v="9"/>
    <x v="4"/>
    <n v="6"/>
    <d v="1899-12-30T00:11:29"/>
    <n v="11.483333333333333"/>
  </r>
  <r>
    <x v="172"/>
    <x v="9"/>
    <x v="5"/>
    <n v="36"/>
    <d v="1899-12-30T00:44:58"/>
    <n v="44.966666666666669"/>
  </r>
  <r>
    <x v="172"/>
    <x v="10"/>
    <x v="0"/>
    <n v="11"/>
    <d v="1899-12-30T00:27:06"/>
    <n v="27.1"/>
  </r>
  <r>
    <x v="172"/>
    <x v="10"/>
    <x v="1"/>
    <n v="15"/>
    <d v="1899-12-30T00:46:35"/>
    <n v="46.583333333333336"/>
  </r>
  <r>
    <x v="172"/>
    <x v="10"/>
    <x v="2"/>
    <n v="10"/>
    <d v="1899-12-30T00:17:34"/>
    <n v="17.566666666666666"/>
  </r>
  <r>
    <x v="172"/>
    <x v="10"/>
    <x v="3"/>
    <n v="0"/>
    <d v="1899-12-30T00:00:00"/>
    <n v="0"/>
  </r>
  <r>
    <x v="172"/>
    <x v="10"/>
    <x v="4"/>
    <n v="2"/>
    <d v="1899-12-30T00:03:26"/>
    <n v="3.4333333333333336"/>
  </r>
  <r>
    <x v="172"/>
    <x v="10"/>
    <x v="5"/>
    <n v="13"/>
    <d v="1899-12-30T00:25:35"/>
    <n v="25.583333333333332"/>
  </r>
  <r>
    <x v="172"/>
    <x v="11"/>
    <x v="0"/>
    <n v="19"/>
    <d v="1899-12-30T00:55:39"/>
    <n v="55.65"/>
  </r>
  <r>
    <x v="172"/>
    <x v="11"/>
    <x v="1"/>
    <n v="7"/>
    <d v="1899-12-30T00:16:32"/>
    <n v="16.533333333333335"/>
  </r>
  <r>
    <x v="172"/>
    <x v="11"/>
    <x v="2"/>
    <n v="9"/>
    <d v="1899-12-30T00:25:25"/>
    <n v="25.416666666666668"/>
  </r>
  <r>
    <x v="172"/>
    <x v="11"/>
    <x v="3"/>
    <n v="0"/>
    <d v="1899-12-30T00:00:00"/>
    <n v="0"/>
  </r>
  <r>
    <x v="172"/>
    <x v="11"/>
    <x v="4"/>
    <n v="3"/>
    <d v="1899-12-30T00:05:18"/>
    <n v="5.3"/>
  </r>
  <r>
    <x v="172"/>
    <x v="11"/>
    <x v="5"/>
    <n v="10"/>
    <d v="1899-12-30T00:19:19"/>
    <n v="19.316666666666666"/>
  </r>
  <r>
    <x v="172"/>
    <x v="12"/>
    <x v="0"/>
    <n v="70"/>
    <d v="1899-12-30T02:17:33"/>
    <n v="137.55000000000001"/>
  </r>
  <r>
    <x v="172"/>
    <x v="12"/>
    <x v="1"/>
    <n v="80"/>
    <d v="1899-12-30T03:20:24"/>
    <n v="200.4"/>
  </r>
  <r>
    <x v="172"/>
    <x v="12"/>
    <x v="2"/>
    <n v="54"/>
    <d v="1899-12-30T01:31:34"/>
    <n v="91.566666666666663"/>
  </r>
  <r>
    <x v="172"/>
    <x v="12"/>
    <x v="3"/>
    <n v="0"/>
    <d v="1899-12-30T00:00:00"/>
    <n v="0"/>
  </r>
  <r>
    <x v="172"/>
    <x v="12"/>
    <x v="4"/>
    <n v="21"/>
    <d v="1899-12-30T00:42:12"/>
    <n v="42.2"/>
  </r>
  <r>
    <x v="172"/>
    <x v="12"/>
    <x v="5"/>
    <n v="72"/>
    <d v="1899-12-30T01:46:23"/>
    <n v="106.38333333333334"/>
  </r>
  <r>
    <x v="172"/>
    <x v="13"/>
    <x v="0"/>
    <n v="9"/>
    <d v="1899-12-30T00:14:37"/>
    <n v="14.616666666666667"/>
  </r>
  <r>
    <x v="172"/>
    <x v="13"/>
    <x v="1"/>
    <n v="11"/>
    <d v="1899-12-30T00:17:31"/>
    <n v="17.516666666666666"/>
  </r>
  <r>
    <x v="172"/>
    <x v="13"/>
    <x v="2"/>
    <n v="6"/>
    <d v="1899-12-30T00:01:58"/>
    <n v="1.9666666666666668"/>
  </r>
  <r>
    <x v="172"/>
    <x v="13"/>
    <x v="3"/>
    <n v="0"/>
    <d v="1899-12-30T00:00:00"/>
    <n v="0"/>
  </r>
  <r>
    <x v="172"/>
    <x v="13"/>
    <x v="4"/>
    <n v="0"/>
    <d v="1899-12-30T00:00:00"/>
    <n v="0"/>
  </r>
  <r>
    <x v="172"/>
    <x v="13"/>
    <x v="5"/>
    <n v="30"/>
    <d v="1899-12-30T00:35:05"/>
    <n v="35.083333333333336"/>
  </r>
  <r>
    <x v="173"/>
    <x v="0"/>
    <x v="0"/>
    <n v="50"/>
    <d v="1899-12-30T01:12:58"/>
    <n v="72.966666666666669"/>
  </r>
  <r>
    <x v="173"/>
    <x v="0"/>
    <x v="1"/>
    <n v="57"/>
    <d v="1899-12-30T01:23:19"/>
    <n v="83.316666666666663"/>
  </r>
  <r>
    <x v="173"/>
    <x v="0"/>
    <x v="2"/>
    <n v="27"/>
    <d v="1899-12-30T00:40:36"/>
    <n v="40.6"/>
  </r>
  <r>
    <x v="173"/>
    <x v="0"/>
    <x v="3"/>
    <n v="0"/>
    <d v="1899-12-30T00:00:00"/>
    <n v="0"/>
  </r>
  <r>
    <x v="173"/>
    <x v="0"/>
    <x v="4"/>
    <n v="1"/>
    <d v="1899-12-30T00:02:38"/>
    <n v="2.6333333333333333"/>
  </r>
  <r>
    <x v="173"/>
    <x v="0"/>
    <x v="5"/>
    <n v="41"/>
    <d v="1899-12-30T00:49:57"/>
    <n v="49.95"/>
  </r>
  <r>
    <x v="173"/>
    <x v="1"/>
    <x v="0"/>
    <n v="19"/>
    <d v="1899-12-30T00:47:36"/>
    <n v="47.6"/>
  </r>
  <r>
    <x v="173"/>
    <x v="1"/>
    <x v="1"/>
    <n v="22"/>
    <d v="1899-12-30T01:02:33"/>
    <n v="62.55"/>
  </r>
  <r>
    <x v="173"/>
    <x v="1"/>
    <x v="2"/>
    <n v="21"/>
    <d v="1899-12-30T00:43:50"/>
    <n v="43.833333333333336"/>
  </r>
  <r>
    <x v="173"/>
    <x v="1"/>
    <x v="3"/>
    <n v="0"/>
    <d v="1899-12-30T00:00:00"/>
    <n v="0"/>
  </r>
  <r>
    <x v="173"/>
    <x v="1"/>
    <x v="4"/>
    <n v="23"/>
    <d v="1899-12-30T00:45:36"/>
    <n v="45.6"/>
  </r>
  <r>
    <x v="173"/>
    <x v="1"/>
    <x v="5"/>
    <n v="39"/>
    <d v="1899-12-30T01:09:44"/>
    <n v="69.733333333333334"/>
  </r>
  <r>
    <x v="173"/>
    <x v="2"/>
    <x v="0"/>
    <n v="50"/>
    <d v="1899-12-30T01:57:28"/>
    <n v="117.46666666666667"/>
  </r>
  <r>
    <x v="173"/>
    <x v="2"/>
    <x v="1"/>
    <n v="55"/>
    <d v="1899-12-30T02:05:41"/>
    <n v="125.68333333333334"/>
  </r>
  <r>
    <x v="173"/>
    <x v="2"/>
    <x v="2"/>
    <n v="40"/>
    <d v="1899-12-30T01:21:59"/>
    <n v="81.983333333333334"/>
  </r>
  <r>
    <x v="173"/>
    <x v="2"/>
    <x v="3"/>
    <n v="0"/>
    <d v="1899-12-30T00:00:00"/>
    <n v="0"/>
  </r>
  <r>
    <x v="173"/>
    <x v="2"/>
    <x v="4"/>
    <n v="18"/>
    <d v="1899-12-30T00:32:55"/>
    <n v="32.916666666666664"/>
  </r>
  <r>
    <x v="173"/>
    <x v="2"/>
    <x v="5"/>
    <n v="34"/>
    <d v="1899-12-30T00:58:36"/>
    <n v="58.6"/>
  </r>
  <r>
    <x v="173"/>
    <x v="3"/>
    <x v="0"/>
    <n v="15"/>
    <d v="1899-12-30T00:29:09"/>
    <n v="29.15"/>
  </r>
  <r>
    <x v="173"/>
    <x v="3"/>
    <x v="1"/>
    <n v="16"/>
    <d v="1899-12-30T00:42:12"/>
    <n v="42.2"/>
  </r>
  <r>
    <x v="173"/>
    <x v="3"/>
    <x v="2"/>
    <n v="4"/>
    <d v="1899-12-30T00:05:46"/>
    <n v="5.7666666666666666"/>
  </r>
  <r>
    <x v="173"/>
    <x v="3"/>
    <x v="3"/>
    <n v="0"/>
    <d v="1899-12-30T00:00:00"/>
    <n v="0"/>
  </r>
  <r>
    <x v="173"/>
    <x v="3"/>
    <x v="4"/>
    <n v="3"/>
    <d v="1899-12-30T00:10:05"/>
    <n v="10.083333333333334"/>
  </r>
  <r>
    <x v="173"/>
    <x v="3"/>
    <x v="5"/>
    <n v="12"/>
    <d v="1899-12-30T00:19:20"/>
    <n v="19.333333333333332"/>
  </r>
  <r>
    <x v="173"/>
    <x v="4"/>
    <x v="0"/>
    <n v="56"/>
    <d v="1899-12-30T01:46:32"/>
    <n v="106.53333333333333"/>
  </r>
  <r>
    <x v="173"/>
    <x v="4"/>
    <x v="1"/>
    <n v="52"/>
    <d v="1899-12-30T01:47:37"/>
    <n v="107.61666666666666"/>
  </r>
  <r>
    <x v="173"/>
    <x v="4"/>
    <x v="2"/>
    <n v="32"/>
    <d v="1899-12-30T01:01:53"/>
    <n v="61.883333333333333"/>
  </r>
  <r>
    <x v="173"/>
    <x v="4"/>
    <x v="3"/>
    <n v="0"/>
    <d v="1899-12-30T00:00:00"/>
    <n v="0"/>
  </r>
  <r>
    <x v="173"/>
    <x v="4"/>
    <x v="4"/>
    <n v="19"/>
    <d v="1899-12-30T00:38:16"/>
    <n v="38.266666666666666"/>
  </r>
  <r>
    <x v="173"/>
    <x v="4"/>
    <x v="5"/>
    <n v="27"/>
    <d v="1899-12-30T00:38:23"/>
    <n v="38.383333333333333"/>
  </r>
  <r>
    <x v="173"/>
    <x v="5"/>
    <x v="0"/>
    <n v="23"/>
    <d v="1899-12-30T00:34:49"/>
    <n v="34.81666666666667"/>
  </r>
  <r>
    <x v="173"/>
    <x v="5"/>
    <x v="1"/>
    <n v="21"/>
    <d v="1899-12-30T00:26:35"/>
    <n v="26.583333333333332"/>
  </r>
  <r>
    <x v="173"/>
    <x v="5"/>
    <x v="2"/>
    <n v="28"/>
    <d v="1899-12-30T00:35:26"/>
    <n v="35.43333333333333"/>
  </r>
  <r>
    <x v="173"/>
    <x v="5"/>
    <x v="3"/>
    <n v="0"/>
    <d v="1899-12-30T00:00:00"/>
    <n v="0"/>
  </r>
  <r>
    <x v="173"/>
    <x v="5"/>
    <x v="4"/>
    <n v="8"/>
    <d v="1899-12-30T00:14:12"/>
    <n v="14.2"/>
  </r>
  <r>
    <x v="173"/>
    <x v="5"/>
    <x v="5"/>
    <n v="33"/>
    <d v="1899-12-30T00:40:49"/>
    <n v="40.81666666666667"/>
  </r>
  <r>
    <x v="173"/>
    <x v="6"/>
    <x v="0"/>
    <n v="26"/>
    <d v="1899-12-30T00:48:50"/>
    <n v="48.833333333333336"/>
  </r>
  <r>
    <x v="173"/>
    <x v="6"/>
    <x v="1"/>
    <n v="18"/>
    <d v="1899-12-30T00:41:17"/>
    <n v="41.283333333333331"/>
  </r>
  <r>
    <x v="173"/>
    <x v="6"/>
    <x v="2"/>
    <n v="24"/>
    <d v="1899-12-30T00:40:40"/>
    <n v="40.666666666666664"/>
  </r>
  <r>
    <x v="173"/>
    <x v="6"/>
    <x v="3"/>
    <n v="0"/>
    <d v="1899-12-30T00:00:00"/>
    <n v="0"/>
  </r>
  <r>
    <x v="173"/>
    <x v="6"/>
    <x v="4"/>
    <n v="10"/>
    <d v="1899-12-30T00:22:32"/>
    <n v="22.533333333333335"/>
  </r>
  <r>
    <x v="173"/>
    <x v="6"/>
    <x v="5"/>
    <n v="24"/>
    <d v="1899-12-30T00:41:41"/>
    <n v="41.68333333333333"/>
  </r>
  <r>
    <x v="173"/>
    <x v="7"/>
    <x v="0"/>
    <n v="18"/>
    <d v="1899-12-30T00:34:24"/>
    <n v="34.4"/>
  </r>
  <r>
    <x v="173"/>
    <x v="7"/>
    <x v="1"/>
    <n v="40"/>
    <d v="1899-12-30T00:57:57"/>
    <n v="57.95"/>
  </r>
  <r>
    <x v="173"/>
    <x v="7"/>
    <x v="2"/>
    <n v="17"/>
    <d v="1899-12-30T00:21:29"/>
    <n v="21.483333333333334"/>
  </r>
  <r>
    <x v="173"/>
    <x v="7"/>
    <x v="3"/>
    <n v="0"/>
    <d v="1899-12-30T00:00:00"/>
    <n v="0"/>
  </r>
  <r>
    <x v="173"/>
    <x v="7"/>
    <x v="4"/>
    <n v="114"/>
    <d v="1899-12-30T03:29:11"/>
    <n v="209.18333333333334"/>
  </r>
  <r>
    <x v="173"/>
    <x v="7"/>
    <x v="5"/>
    <n v="38"/>
    <d v="1899-12-30T00:39:54"/>
    <n v="39.9"/>
  </r>
  <r>
    <x v="173"/>
    <x v="8"/>
    <x v="0"/>
    <n v="14"/>
    <d v="1899-12-30T00:26:40"/>
    <n v="26.666666666666668"/>
  </r>
  <r>
    <x v="173"/>
    <x v="8"/>
    <x v="1"/>
    <n v="21"/>
    <d v="1899-12-30T00:43:03"/>
    <n v="43.05"/>
  </r>
  <r>
    <x v="173"/>
    <x v="8"/>
    <x v="2"/>
    <n v="19"/>
    <d v="1899-12-30T00:38:07"/>
    <n v="38.116666666666667"/>
  </r>
  <r>
    <x v="173"/>
    <x v="8"/>
    <x v="3"/>
    <n v="0"/>
    <d v="1899-12-30T00:00:00"/>
    <n v="0"/>
  </r>
  <r>
    <x v="173"/>
    <x v="8"/>
    <x v="4"/>
    <n v="10"/>
    <d v="1899-12-30T00:21:59"/>
    <n v="21.983333333333334"/>
  </r>
  <r>
    <x v="173"/>
    <x v="8"/>
    <x v="5"/>
    <n v="20"/>
    <d v="1899-12-30T00:26:32"/>
    <n v="26.533333333333335"/>
  </r>
  <r>
    <x v="173"/>
    <x v="9"/>
    <x v="0"/>
    <n v="33"/>
    <d v="1899-12-30T01:02:14"/>
    <n v="62.233333333333334"/>
  </r>
  <r>
    <x v="173"/>
    <x v="9"/>
    <x v="1"/>
    <n v="28"/>
    <d v="1899-12-30T01:01:28"/>
    <n v="61.466666666666669"/>
  </r>
  <r>
    <x v="173"/>
    <x v="9"/>
    <x v="2"/>
    <n v="30"/>
    <d v="1899-12-30T00:56:02"/>
    <n v="56.033333333333331"/>
  </r>
  <r>
    <x v="173"/>
    <x v="9"/>
    <x v="3"/>
    <n v="0"/>
    <d v="1899-12-30T00:00:00"/>
    <n v="0"/>
  </r>
  <r>
    <x v="173"/>
    <x v="9"/>
    <x v="4"/>
    <n v="5"/>
    <d v="1899-12-30T00:07:33"/>
    <n v="7.55"/>
  </r>
  <r>
    <x v="173"/>
    <x v="9"/>
    <x v="5"/>
    <n v="21"/>
    <d v="1899-12-30T00:25:16"/>
    <n v="25.266666666666666"/>
  </r>
  <r>
    <x v="173"/>
    <x v="10"/>
    <x v="0"/>
    <n v="25"/>
    <d v="1899-12-30T00:51:17"/>
    <n v="51.283333333333331"/>
  </r>
  <r>
    <x v="173"/>
    <x v="10"/>
    <x v="1"/>
    <n v="19"/>
    <d v="1899-12-30T00:35:25"/>
    <n v="35.416666666666664"/>
  </r>
  <r>
    <x v="173"/>
    <x v="10"/>
    <x v="2"/>
    <n v="21"/>
    <d v="1899-12-30T00:36:27"/>
    <n v="36.450000000000003"/>
  </r>
  <r>
    <x v="173"/>
    <x v="10"/>
    <x v="3"/>
    <n v="0"/>
    <d v="1899-12-30T00:00:00"/>
    <n v="0"/>
  </r>
  <r>
    <x v="173"/>
    <x v="10"/>
    <x v="4"/>
    <n v="13"/>
    <d v="1899-12-30T00:25:11"/>
    <n v="25.183333333333334"/>
  </r>
  <r>
    <x v="173"/>
    <x v="10"/>
    <x v="5"/>
    <n v="31"/>
    <d v="1899-12-30T00:51:41"/>
    <n v="51.68333333333333"/>
  </r>
  <r>
    <x v="173"/>
    <x v="11"/>
    <x v="0"/>
    <n v="10"/>
    <d v="1899-12-30T00:29:31"/>
    <n v="29.516666666666666"/>
  </r>
  <r>
    <x v="173"/>
    <x v="11"/>
    <x v="1"/>
    <n v="11"/>
    <d v="1899-12-30T00:25:06"/>
    <n v="25.1"/>
  </r>
  <r>
    <x v="173"/>
    <x v="11"/>
    <x v="2"/>
    <n v="3"/>
    <d v="1899-12-30T00:03:11"/>
    <n v="3.1833333333333331"/>
  </r>
  <r>
    <x v="173"/>
    <x v="11"/>
    <x v="3"/>
    <n v="0"/>
    <d v="1899-12-30T00:00:00"/>
    <n v="0"/>
  </r>
  <r>
    <x v="173"/>
    <x v="11"/>
    <x v="4"/>
    <n v="10"/>
    <d v="1899-12-30T00:12:26"/>
    <n v="12.433333333333334"/>
  </r>
  <r>
    <x v="173"/>
    <x v="11"/>
    <x v="5"/>
    <n v="6"/>
    <d v="1899-12-30T00:07:14"/>
    <n v="7.2333333333333334"/>
  </r>
  <r>
    <x v="173"/>
    <x v="12"/>
    <x v="0"/>
    <n v="77"/>
    <d v="1899-12-30T02:33:47"/>
    <n v="153.78333333333333"/>
  </r>
  <r>
    <x v="173"/>
    <x v="12"/>
    <x v="1"/>
    <n v="84"/>
    <d v="1899-12-30T02:58:36"/>
    <n v="178.6"/>
  </r>
  <r>
    <x v="173"/>
    <x v="12"/>
    <x v="2"/>
    <n v="64"/>
    <d v="1899-12-30T01:55:18"/>
    <n v="115.3"/>
  </r>
  <r>
    <x v="173"/>
    <x v="12"/>
    <x v="3"/>
    <n v="0"/>
    <d v="1899-12-30T00:00:00"/>
    <n v="0"/>
  </r>
  <r>
    <x v="173"/>
    <x v="12"/>
    <x v="4"/>
    <n v="19"/>
    <d v="1899-12-30T00:36:02"/>
    <n v="36.033333333333331"/>
  </r>
  <r>
    <x v="173"/>
    <x v="12"/>
    <x v="5"/>
    <n v="59"/>
    <d v="1899-12-30T01:25:54"/>
    <n v="85.9"/>
  </r>
  <r>
    <x v="173"/>
    <x v="13"/>
    <x v="0"/>
    <n v="52"/>
    <d v="1899-12-30T01:07:06"/>
    <n v="67.099999999999994"/>
  </r>
  <r>
    <x v="173"/>
    <x v="13"/>
    <x v="1"/>
    <n v="23"/>
    <d v="1899-12-30T00:34:03"/>
    <n v="34.049999999999997"/>
  </r>
  <r>
    <x v="173"/>
    <x v="13"/>
    <x v="2"/>
    <n v="22"/>
    <d v="1899-12-30T00:24:29"/>
    <n v="24.483333333333334"/>
  </r>
  <r>
    <x v="173"/>
    <x v="13"/>
    <x v="3"/>
    <n v="0"/>
    <d v="1899-12-30T00:00:00"/>
    <n v="0"/>
  </r>
  <r>
    <x v="173"/>
    <x v="13"/>
    <x v="4"/>
    <n v="3"/>
    <d v="1899-12-30T00:06:40"/>
    <n v="6.666666666666667"/>
  </r>
  <r>
    <x v="173"/>
    <x v="13"/>
    <x v="5"/>
    <n v="31"/>
    <d v="1899-12-30T00:43:04"/>
    <n v="43.06666666666667"/>
  </r>
  <r>
    <x v="174"/>
    <x v="0"/>
    <x v="0"/>
    <n v="61"/>
    <d v="1899-12-30T01:32:15"/>
    <n v="92.25"/>
  </r>
  <r>
    <x v="174"/>
    <x v="0"/>
    <x v="1"/>
    <n v="54"/>
    <d v="1899-12-30T01:29:44"/>
    <n v="89.733333333333334"/>
  </r>
  <r>
    <x v="174"/>
    <x v="0"/>
    <x v="2"/>
    <n v="52"/>
    <d v="1899-12-30T01:07:08"/>
    <n v="67.13333333333334"/>
  </r>
  <r>
    <x v="174"/>
    <x v="0"/>
    <x v="3"/>
    <n v="0"/>
    <d v="1899-12-30T00:00:00"/>
    <n v="0"/>
  </r>
  <r>
    <x v="174"/>
    <x v="0"/>
    <x v="4"/>
    <n v="3"/>
    <d v="1899-12-30T00:03:42"/>
    <n v="3.7"/>
  </r>
  <r>
    <x v="174"/>
    <x v="0"/>
    <x v="5"/>
    <n v="58"/>
    <d v="1899-12-30T01:06:43"/>
    <n v="66.716666666666669"/>
  </r>
  <r>
    <x v="174"/>
    <x v="1"/>
    <x v="0"/>
    <n v="25"/>
    <d v="1899-12-30T01:03:14"/>
    <n v="63.233333333333334"/>
  </r>
  <r>
    <x v="174"/>
    <x v="1"/>
    <x v="1"/>
    <n v="26"/>
    <d v="1899-12-30T01:22:43"/>
    <n v="82.716666666666669"/>
  </r>
  <r>
    <x v="174"/>
    <x v="1"/>
    <x v="2"/>
    <n v="27"/>
    <d v="1899-12-30T01:07:08"/>
    <n v="67.13333333333334"/>
  </r>
  <r>
    <x v="174"/>
    <x v="1"/>
    <x v="3"/>
    <n v="0"/>
    <d v="1899-12-30T00:00:00"/>
    <n v="0"/>
  </r>
  <r>
    <x v="174"/>
    <x v="1"/>
    <x v="4"/>
    <n v="34"/>
    <d v="1899-12-30T01:18:18"/>
    <n v="78.3"/>
  </r>
  <r>
    <x v="174"/>
    <x v="1"/>
    <x v="5"/>
    <n v="50"/>
    <d v="1899-12-30T01:29:25"/>
    <n v="89.416666666666671"/>
  </r>
  <r>
    <x v="174"/>
    <x v="2"/>
    <x v="0"/>
    <n v="97"/>
    <d v="1899-12-30T03:56:48"/>
    <n v="236.8"/>
  </r>
  <r>
    <x v="174"/>
    <x v="2"/>
    <x v="1"/>
    <n v="81"/>
    <d v="1899-12-30T03:14:52"/>
    <n v="194.86666666666667"/>
  </r>
  <r>
    <x v="174"/>
    <x v="2"/>
    <x v="2"/>
    <n v="49"/>
    <d v="1899-12-30T01:39:44"/>
    <n v="99.733333333333334"/>
  </r>
  <r>
    <x v="174"/>
    <x v="2"/>
    <x v="3"/>
    <n v="0"/>
    <d v="1899-12-30T00:00:00"/>
    <n v="0"/>
  </r>
  <r>
    <x v="174"/>
    <x v="2"/>
    <x v="4"/>
    <n v="12"/>
    <d v="1899-12-30T00:19:03"/>
    <n v="19.05"/>
  </r>
  <r>
    <x v="174"/>
    <x v="2"/>
    <x v="5"/>
    <n v="30"/>
    <d v="1899-12-30T00:49:22"/>
    <n v="49.366666666666667"/>
  </r>
  <r>
    <x v="174"/>
    <x v="3"/>
    <x v="0"/>
    <n v="19"/>
    <d v="1899-12-30T00:39:07"/>
    <n v="39.116666666666667"/>
  </r>
  <r>
    <x v="174"/>
    <x v="3"/>
    <x v="1"/>
    <n v="11"/>
    <d v="1899-12-30T00:18:41"/>
    <n v="18.683333333333334"/>
  </r>
  <r>
    <x v="174"/>
    <x v="3"/>
    <x v="2"/>
    <n v="14"/>
    <d v="1899-12-30T00:13:47"/>
    <n v="13.783333333333333"/>
  </r>
  <r>
    <x v="174"/>
    <x v="3"/>
    <x v="3"/>
    <n v="0"/>
    <d v="1899-12-30T00:00:00"/>
    <n v="0"/>
  </r>
  <r>
    <x v="174"/>
    <x v="3"/>
    <x v="4"/>
    <n v="1"/>
    <d v="1899-12-30T00:00:29"/>
    <n v="0.48333333333333334"/>
  </r>
  <r>
    <x v="174"/>
    <x v="3"/>
    <x v="5"/>
    <n v="18"/>
    <d v="1899-12-30T00:28:22"/>
    <n v="28.366666666666667"/>
  </r>
  <r>
    <x v="174"/>
    <x v="4"/>
    <x v="0"/>
    <n v="85"/>
    <d v="1899-12-30T02:40:15"/>
    <n v="160.25"/>
  </r>
  <r>
    <x v="174"/>
    <x v="4"/>
    <x v="1"/>
    <n v="66"/>
    <d v="1899-12-30T02:42:58"/>
    <n v="162.96666666666667"/>
  </r>
  <r>
    <x v="174"/>
    <x v="4"/>
    <x v="2"/>
    <n v="51"/>
    <d v="1899-12-30T01:25:07"/>
    <n v="85.11666666666666"/>
  </r>
  <r>
    <x v="174"/>
    <x v="4"/>
    <x v="3"/>
    <n v="0"/>
    <d v="1899-12-30T00:00:00"/>
    <n v="0"/>
  </r>
  <r>
    <x v="174"/>
    <x v="4"/>
    <x v="4"/>
    <n v="22"/>
    <d v="1899-12-30T00:53:57"/>
    <n v="53.95"/>
  </r>
  <r>
    <x v="174"/>
    <x v="4"/>
    <x v="5"/>
    <n v="48"/>
    <d v="1899-12-30T01:02:14"/>
    <n v="62.233333333333334"/>
  </r>
  <r>
    <x v="174"/>
    <x v="5"/>
    <x v="0"/>
    <n v="21"/>
    <d v="1899-12-30T00:36:05"/>
    <n v="36.083333333333336"/>
  </r>
  <r>
    <x v="174"/>
    <x v="5"/>
    <x v="1"/>
    <n v="18"/>
    <d v="1899-12-30T00:26:15"/>
    <n v="26.25"/>
  </r>
  <r>
    <x v="174"/>
    <x v="5"/>
    <x v="2"/>
    <n v="27"/>
    <d v="1899-12-30T00:33:28"/>
    <n v="33.466666666666669"/>
  </r>
  <r>
    <x v="174"/>
    <x v="5"/>
    <x v="3"/>
    <n v="0"/>
    <d v="1899-12-30T00:00:00"/>
    <n v="0"/>
  </r>
  <r>
    <x v="174"/>
    <x v="5"/>
    <x v="4"/>
    <n v="0"/>
    <d v="1899-12-30T00:00:00"/>
    <n v="0"/>
  </r>
  <r>
    <x v="174"/>
    <x v="5"/>
    <x v="5"/>
    <n v="32"/>
    <d v="1899-12-30T00:36:23"/>
    <n v="36.383333333333333"/>
  </r>
  <r>
    <x v="174"/>
    <x v="6"/>
    <x v="0"/>
    <n v="5"/>
    <d v="1899-12-30T00:07:39"/>
    <n v="7.65"/>
  </r>
  <r>
    <x v="174"/>
    <x v="6"/>
    <x v="1"/>
    <n v="4"/>
    <d v="1899-12-30T00:08:14"/>
    <n v="8.2333333333333325"/>
  </r>
  <r>
    <x v="174"/>
    <x v="6"/>
    <x v="2"/>
    <n v="3"/>
    <d v="1899-12-30T00:11:42"/>
    <n v="11.7"/>
  </r>
  <r>
    <x v="174"/>
    <x v="6"/>
    <x v="3"/>
    <n v="0"/>
    <d v="1899-12-30T00:00:00"/>
    <n v="0"/>
  </r>
  <r>
    <x v="174"/>
    <x v="6"/>
    <x v="4"/>
    <n v="7"/>
    <d v="1899-12-30T00:12:36"/>
    <n v="12.6"/>
  </r>
  <r>
    <x v="174"/>
    <x v="6"/>
    <x v="5"/>
    <n v="5"/>
    <d v="1899-12-30T00:03:30"/>
    <n v="3.5"/>
  </r>
  <r>
    <x v="174"/>
    <x v="7"/>
    <x v="0"/>
    <n v="22"/>
    <d v="1899-12-30T00:35:13"/>
    <n v="35.216666666666669"/>
  </r>
  <r>
    <x v="174"/>
    <x v="7"/>
    <x v="1"/>
    <n v="59"/>
    <d v="1899-12-30T01:26:20"/>
    <n v="86.333333333333329"/>
  </r>
  <r>
    <x v="174"/>
    <x v="7"/>
    <x v="2"/>
    <n v="29"/>
    <d v="1899-12-30T00:34:54"/>
    <n v="34.9"/>
  </r>
  <r>
    <x v="174"/>
    <x v="7"/>
    <x v="3"/>
    <n v="0"/>
    <d v="1899-12-30T00:00:00"/>
    <n v="0"/>
  </r>
  <r>
    <x v="174"/>
    <x v="7"/>
    <x v="4"/>
    <n v="151"/>
    <d v="1899-12-30T04:48:27"/>
    <n v="288.45"/>
  </r>
  <r>
    <x v="174"/>
    <x v="7"/>
    <x v="5"/>
    <n v="39"/>
    <d v="1899-12-30T00:34:27"/>
    <n v="34.450000000000003"/>
  </r>
  <r>
    <x v="174"/>
    <x v="8"/>
    <x v="0"/>
    <n v="13"/>
    <d v="1899-12-30T00:23:35"/>
    <n v="23.583333333333332"/>
  </r>
  <r>
    <x v="174"/>
    <x v="8"/>
    <x v="1"/>
    <n v="17"/>
    <d v="1899-12-30T00:24:29"/>
    <n v="24.483333333333334"/>
  </r>
  <r>
    <x v="174"/>
    <x v="8"/>
    <x v="2"/>
    <n v="14"/>
    <d v="1899-12-30T00:16:05"/>
    <n v="16.083333333333332"/>
  </r>
  <r>
    <x v="174"/>
    <x v="8"/>
    <x v="3"/>
    <n v="0"/>
    <d v="1899-12-30T00:00:00"/>
    <n v="0"/>
  </r>
  <r>
    <x v="174"/>
    <x v="8"/>
    <x v="4"/>
    <n v="10"/>
    <d v="1899-12-30T00:19:50"/>
    <n v="19.833333333333332"/>
  </r>
  <r>
    <x v="174"/>
    <x v="8"/>
    <x v="5"/>
    <n v="27"/>
    <d v="1899-12-30T00:36:14"/>
    <n v="36.233333333333334"/>
  </r>
  <r>
    <x v="174"/>
    <x v="9"/>
    <x v="0"/>
    <n v="43"/>
    <d v="1899-12-30T01:19:20"/>
    <n v="79.333333333333329"/>
  </r>
  <r>
    <x v="174"/>
    <x v="9"/>
    <x v="1"/>
    <n v="64"/>
    <d v="1899-12-30T02:04:38"/>
    <n v="124.63333333333334"/>
  </r>
  <r>
    <x v="174"/>
    <x v="9"/>
    <x v="2"/>
    <n v="56"/>
    <d v="1899-12-30T01:25:37"/>
    <n v="85.61666666666666"/>
  </r>
  <r>
    <x v="174"/>
    <x v="9"/>
    <x v="3"/>
    <n v="0"/>
    <d v="1899-12-30T00:00:00"/>
    <n v="0"/>
  </r>
  <r>
    <x v="174"/>
    <x v="9"/>
    <x v="4"/>
    <n v="9"/>
    <d v="1899-12-30T00:17:15"/>
    <n v="17.25"/>
  </r>
  <r>
    <x v="174"/>
    <x v="9"/>
    <x v="5"/>
    <n v="44"/>
    <d v="1899-12-30T00:59:34"/>
    <n v="59.56666666666667"/>
  </r>
  <r>
    <x v="174"/>
    <x v="10"/>
    <x v="0"/>
    <n v="25"/>
    <d v="1899-12-30T00:49:03"/>
    <n v="49.05"/>
  </r>
  <r>
    <x v="174"/>
    <x v="10"/>
    <x v="1"/>
    <n v="15"/>
    <d v="1899-12-30T00:39:21"/>
    <n v="39.35"/>
  </r>
  <r>
    <x v="174"/>
    <x v="10"/>
    <x v="2"/>
    <n v="14"/>
    <d v="1899-12-30T00:28:31"/>
    <n v="28.516666666666666"/>
  </r>
  <r>
    <x v="174"/>
    <x v="10"/>
    <x v="3"/>
    <n v="0"/>
    <d v="1899-12-30T00:00:00"/>
    <n v="0"/>
  </r>
  <r>
    <x v="174"/>
    <x v="10"/>
    <x v="4"/>
    <n v="7"/>
    <d v="1899-12-30T00:12:16"/>
    <n v="12.266666666666667"/>
  </r>
  <r>
    <x v="174"/>
    <x v="10"/>
    <x v="5"/>
    <n v="19"/>
    <d v="1899-12-30T00:28:32"/>
    <n v="28.533333333333335"/>
  </r>
  <r>
    <x v="174"/>
    <x v="11"/>
    <x v="0"/>
    <n v="28"/>
    <d v="1899-12-30T01:11:01"/>
    <n v="71.016666666666666"/>
  </r>
  <r>
    <x v="174"/>
    <x v="11"/>
    <x v="1"/>
    <n v="19"/>
    <d v="1899-12-30T00:50:18"/>
    <n v="50.3"/>
  </r>
  <r>
    <x v="174"/>
    <x v="11"/>
    <x v="2"/>
    <n v="6"/>
    <d v="1899-12-30T00:15:39"/>
    <n v="15.65"/>
  </r>
  <r>
    <x v="174"/>
    <x v="11"/>
    <x v="3"/>
    <n v="0"/>
    <d v="1899-12-30T00:00:00"/>
    <n v="0"/>
  </r>
  <r>
    <x v="174"/>
    <x v="11"/>
    <x v="4"/>
    <n v="12"/>
    <d v="1899-12-30T00:19:39"/>
    <n v="19.649999999999999"/>
  </r>
  <r>
    <x v="174"/>
    <x v="11"/>
    <x v="5"/>
    <n v="17"/>
    <d v="1899-12-30T00:25:25"/>
    <n v="25.416666666666668"/>
  </r>
  <r>
    <x v="174"/>
    <x v="12"/>
    <x v="0"/>
    <n v="101"/>
    <d v="1899-12-30T03:26:30"/>
    <n v="206.5"/>
  </r>
  <r>
    <x v="174"/>
    <x v="12"/>
    <x v="1"/>
    <n v="94"/>
    <d v="1899-12-30T03:49:59"/>
    <n v="229.98333333333332"/>
  </r>
  <r>
    <x v="174"/>
    <x v="12"/>
    <x v="2"/>
    <n v="79"/>
    <d v="1899-12-30T02:17:48"/>
    <n v="137.80000000000001"/>
  </r>
  <r>
    <x v="174"/>
    <x v="12"/>
    <x v="3"/>
    <n v="0"/>
    <d v="1899-12-30T00:00:00"/>
    <n v="0"/>
  </r>
  <r>
    <x v="174"/>
    <x v="12"/>
    <x v="4"/>
    <n v="33"/>
    <d v="1899-12-30T01:26:06"/>
    <n v="86.1"/>
  </r>
  <r>
    <x v="174"/>
    <x v="12"/>
    <x v="5"/>
    <n v="74"/>
    <d v="1899-12-30T01:53:47"/>
    <n v="113.78333333333333"/>
  </r>
  <r>
    <x v="174"/>
    <x v="13"/>
    <x v="0"/>
    <n v="23"/>
    <d v="1899-12-30T00:38:13"/>
    <n v="38.216666666666669"/>
  </r>
  <r>
    <x v="174"/>
    <x v="13"/>
    <x v="1"/>
    <n v="39"/>
    <d v="1899-12-30T01:15:38"/>
    <n v="75.63333333333334"/>
  </r>
  <r>
    <x v="174"/>
    <x v="13"/>
    <x v="2"/>
    <n v="45"/>
    <d v="1899-12-30T00:51:21"/>
    <n v="51.35"/>
  </r>
  <r>
    <x v="174"/>
    <x v="13"/>
    <x v="3"/>
    <n v="0"/>
    <d v="1899-12-30T00:00:00"/>
    <n v="0"/>
  </r>
  <r>
    <x v="174"/>
    <x v="13"/>
    <x v="4"/>
    <n v="5"/>
    <d v="1899-12-30T00:10:17"/>
    <n v="10.283333333333333"/>
  </r>
  <r>
    <x v="174"/>
    <x v="13"/>
    <x v="5"/>
    <n v="35"/>
    <d v="1899-12-30T00:45:50"/>
    <n v="45.833333333333336"/>
  </r>
  <r>
    <x v="175"/>
    <x v="0"/>
    <x v="0"/>
    <n v="57"/>
    <d v="1899-12-30T01:30:51"/>
    <n v="90.85"/>
  </r>
  <r>
    <x v="175"/>
    <x v="0"/>
    <x v="1"/>
    <n v="55"/>
    <d v="1899-12-30T01:11:30"/>
    <n v="71.5"/>
  </r>
  <r>
    <x v="175"/>
    <x v="0"/>
    <x v="2"/>
    <n v="47"/>
    <d v="1899-12-30T00:54:51"/>
    <n v="54.85"/>
  </r>
  <r>
    <x v="175"/>
    <x v="0"/>
    <x v="3"/>
    <n v="0"/>
    <d v="1899-12-30T00:00:00"/>
    <n v="0"/>
  </r>
  <r>
    <x v="175"/>
    <x v="0"/>
    <x v="4"/>
    <n v="13"/>
    <d v="1899-12-30T00:21:14"/>
    <n v="21.233333333333334"/>
  </r>
  <r>
    <x v="175"/>
    <x v="0"/>
    <x v="5"/>
    <n v="54"/>
    <d v="1899-12-30T01:00:57"/>
    <n v="60.95"/>
  </r>
  <r>
    <x v="175"/>
    <x v="1"/>
    <x v="0"/>
    <n v="21"/>
    <d v="1899-12-30T00:56:56"/>
    <n v="56.93333333333333"/>
  </r>
  <r>
    <x v="175"/>
    <x v="1"/>
    <x v="1"/>
    <n v="19"/>
    <d v="1899-12-30T01:10:09"/>
    <n v="70.150000000000006"/>
  </r>
  <r>
    <x v="175"/>
    <x v="1"/>
    <x v="2"/>
    <n v="22"/>
    <d v="1899-12-30T01:02:50"/>
    <n v="62.833333333333336"/>
  </r>
  <r>
    <x v="175"/>
    <x v="1"/>
    <x v="3"/>
    <n v="0"/>
    <d v="1899-12-30T00:00:00"/>
    <n v="0"/>
  </r>
  <r>
    <x v="175"/>
    <x v="1"/>
    <x v="4"/>
    <n v="22"/>
    <d v="1899-12-30T00:49:03"/>
    <n v="49.05"/>
  </r>
  <r>
    <x v="175"/>
    <x v="1"/>
    <x v="5"/>
    <n v="39"/>
    <d v="1899-12-30T01:13:53"/>
    <n v="73.88333333333334"/>
  </r>
  <r>
    <x v="175"/>
    <x v="2"/>
    <x v="0"/>
    <n v="65"/>
    <d v="1899-12-30T02:51:47"/>
    <n v="171.78333333333333"/>
  </r>
  <r>
    <x v="175"/>
    <x v="2"/>
    <x v="1"/>
    <n v="63"/>
    <d v="1899-12-30T02:38:22"/>
    <n v="158.36666666666667"/>
  </r>
  <r>
    <x v="175"/>
    <x v="2"/>
    <x v="2"/>
    <n v="44"/>
    <d v="1899-12-30T01:25:53"/>
    <n v="85.88333333333334"/>
  </r>
  <r>
    <x v="175"/>
    <x v="2"/>
    <x v="3"/>
    <n v="0"/>
    <d v="1899-12-30T00:00:00"/>
    <n v="0"/>
  </r>
  <r>
    <x v="175"/>
    <x v="2"/>
    <x v="4"/>
    <n v="6"/>
    <d v="1899-12-30T00:13:01"/>
    <n v="13.016666666666667"/>
  </r>
  <r>
    <x v="175"/>
    <x v="2"/>
    <x v="5"/>
    <n v="18"/>
    <d v="1899-12-30T00:31:45"/>
    <n v="31.75"/>
  </r>
  <r>
    <x v="175"/>
    <x v="3"/>
    <x v="0"/>
    <n v="13"/>
    <d v="1899-12-30T00:20:07"/>
    <n v="20.116666666666667"/>
  </r>
  <r>
    <x v="175"/>
    <x v="3"/>
    <x v="1"/>
    <n v="6"/>
    <d v="1899-12-30T00:12:35"/>
    <n v="12.583333333333334"/>
  </r>
  <r>
    <x v="175"/>
    <x v="3"/>
    <x v="2"/>
    <n v="6"/>
    <d v="1899-12-30T00:09:00"/>
    <n v="9"/>
  </r>
  <r>
    <x v="175"/>
    <x v="3"/>
    <x v="3"/>
    <n v="0"/>
    <d v="1899-12-30T00:00:00"/>
    <n v="0"/>
  </r>
  <r>
    <x v="175"/>
    <x v="3"/>
    <x v="4"/>
    <n v="0"/>
    <d v="1899-12-30T00:00:00"/>
    <n v="0"/>
  </r>
  <r>
    <x v="175"/>
    <x v="3"/>
    <x v="5"/>
    <n v="11"/>
    <d v="1899-12-30T00:14:55"/>
    <n v="14.916666666666666"/>
  </r>
  <r>
    <x v="175"/>
    <x v="4"/>
    <x v="0"/>
    <n v="52"/>
    <d v="1899-12-30T02:20:17"/>
    <n v="140.28333333333333"/>
  </r>
  <r>
    <x v="175"/>
    <x v="4"/>
    <x v="1"/>
    <n v="35"/>
    <d v="1899-12-30T01:31:03"/>
    <n v="91.05"/>
  </r>
  <r>
    <x v="175"/>
    <x v="4"/>
    <x v="2"/>
    <n v="29"/>
    <d v="1899-12-30T00:56:30"/>
    <n v="56.5"/>
  </r>
  <r>
    <x v="175"/>
    <x v="4"/>
    <x v="3"/>
    <n v="0"/>
    <d v="1899-12-30T00:00:00"/>
    <n v="0"/>
  </r>
  <r>
    <x v="175"/>
    <x v="4"/>
    <x v="4"/>
    <n v="19"/>
    <d v="1899-12-30T00:44:54"/>
    <n v="44.9"/>
  </r>
  <r>
    <x v="175"/>
    <x v="4"/>
    <x v="5"/>
    <n v="22"/>
    <d v="1899-12-30T00:24:55"/>
    <n v="24.916666666666668"/>
  </r>
  <r>
    <x v="175"/>
    <x v="5"/>
    <x v="0"/>
    <n v="34"/>
    <d v="1899-12-30T00:52:38"/>
    <n v="52.633333333333333"/>
  </r>
  <r>
    <x v="175"/>
    <x v="5"/>
    <x v="1"/>
    <n v="30"/>
    <d v="1899-12-30T00:46:37"/>
    <n v="46.616666666666667"/>
  </r>
  <r>
    <x v="175"/>
    <x v="5"/>
    <x v="2"/>
    <n v="36"/>
    <d v="1899-12-30T00:38:13"/>
    <n v="38.216666666666669"/>
  </r>
  <r>
    <x v="175"/>
    <x v="5"/>
    <x v="3"/>
    <n v="0"/>
    <d v="1899-12-30T00:00:00"/>
    <n v="0"/>
  </r>
  <r>
    <x v="175"/>
    <x v="5"/>
    <x v="4"/>
    <n v="2"/>
    <d v="1899-12-30T00:05:28"/>
    <n v="5.4666666666666668"/>
  </r>
  <r>
    <x v="175"/>
    <x v="5"/>
    <x v="5"/>
    <n v="42"/>
    <d v="1899-12-30T00:51:52"/>
    <n v="51.866666666666667"/>
  </r>
  <r>
    <x v="175"/>
    <x v="6"/>
    <x v="0"/>
    <n v="8"/>
    <d v="1899-12-30T00:09:44"/>
    <n v="9.7333333333333325"/>
  </r>
  <r>
    <x v="175"/>
    <x v="6"/>
    <x v="1"/>
    <n v="13"/>
    <d v="1899-12-30T00:20:15"/>
    <n v="20.25"/>
  </r>
  <r>
    <x v="175"/>
    <x v="6"/>
    <x v="2"/>
    <n v="19"/>
    <d v="1899-12-30T00:36:16"/>
    <n v="36.266666666666666"/>
  </r>
  <r>
    <x v="175"/>
    <x v="6"/>
    <x v="3"/>
    <n v="0"/>
    <d v="1899-12-30T00:00:00"/>
    <n v="0"/>
  </r>
  <r>
    <x v="175"/>
    <x v="6"/>
    <x v="4"/>
    <n v="8"/>
    <d v="1899-12-30T00:12:04"/>
    <n v="12.066666666666666"/>
  </r>
  <r>
    <x v="175"/>
    <x v="6"/>
    <x v="5"/>
    <n v="12"/>
    <d v="1899-12-30T00:12:47"/>
    <n v="12.783333333333333"/>
  </r>
  <r>
    <x v="175"/>
    <x v="7"/>
    <x v="0"/>
    <n v="32"/>
    <d v="1899-12-30T00:52:03"/>
    <n v="52.05"/>
  </r>
  <r>
    <x v="175"/>
    <x v="7"/>
    <x v="1"/>
    <n v="84"/>
    <d v="1899-12-30T02:38:30"/>
    <n v="158.5"/>
  </r>
  <r>
    <x v="175"/>
    <x v="7"/>
    <x v="2"/>
    <n v="57"/>
    <d v="1899-12-30T01:03:01"/>
    <n v="63.016666666666666"/>
  </r>
  <r>
    <x v="175"/>
    <x v="7"/>
    <x v="3"/>
    <n v="0"/>
    <d v="1899-12-30T00:00:00"/>
    <n v="0"/>
  </r>
  <r>
    <x v="175"/>
    <x v="7"/>
    <x v="4"/>
    <n v="141"/>
    <d v="1899-12-30T04:31:40"/>
    <n v="271.66666666666669"/>
  </r>
  <r>
    <x v="175"/>
    <x v="7"/>
    <x v="5"/>
    <n v="59"/>
    <d v="1899-12-30T01:00:15"/>
    <n v="60.25"/>
  </r>
  <r>
    <x v="175"/>
    <x v="8"/>
    <x v="0"/>
    <n v="7"/>
    <d v="1899-12-30T00:16:05"/>
    <n v="16.083333333333332"/>
  </r>
  <r>
    <x v="175"/>
    <x v="8"/>
    <x v="1"/>
    <n v="11"/>
    <d v="1899-12-30T00:16:01"/>
    <n v="16.016666666666666"/>
  </r>
  <r>
    <x v="175"/>
    <x v="8"/>
    <x v="2"/>
    <n v="16"/>
    <d v="1899-12-30T00:22:50"/>
    <n v="22.833333333333332"/>
  </r>
  <r>
    <x v="175"/>
    <x v="8"/>
    <x v="3"/>
    <n v="0"/>
    <d v="1899-12-30T00:00:00"/>
    <n v="0"/>
  </r>
  <r>
    <x v="175"/>
    <x v="8"/>
    <x v="4"/>
    <n v="13"/>
    <d v="1899-12-30T00:24:34"/>
    <n v="24.566666666666666"/>
  </r>
  <r>
    <x v="175"/>
    <x v="8"/>
    <x v="5"/>
    <n v="19"/>
    <d v="1899-12-30T00:25:29"/>
    <n v="25.483333333333334"/>
  </r>
  <r>
    <x v="175"/>
    <x v="9"/>
    <x v="0"/>
    <n v="21"/>
    <d v="1899-12-30T00:34:19"/>
    <n v="34.31666666666667"/>
  </r>
  <r>
    <x v="175"/>
    <x v="9"/>
    <x v="1"/>
    <n v="37"/>
    <d v="1899-12-30T01:03:09"/>
    <n v="63.15"/>
  </r>
  <r>
    <x v="175"/>
    <x v="9"/>
    <x v="2"/>
    <n v="29"/>
    <d v="1899-12-30T00:37:06"/>
    <n v="37.1"/>
  </r>
  <r>
    <x v="175"/>
    <x v="9"/>
    <x v="3"/>
    <n v="0"/>
    <d v="1899-12-30T00:00:00"/>
    <n v="0"/>
  </r>
  <r>
    <x v="175"/>
    <x v="9"/>
    <x v="4"/>
    <n v="3"/>
    <d v="1899-12-30T00:07:01"/>
    <n v="7.0166666666666666"/>
  </r>
  <r>
    <x v="175"/>
    <x v="9"/>
    <x v="5"/>
    <n v="27"/>
    <d v="1899-12-30T00:35:03"/>
    <n v="35.049999999999997"/>
  </r>
  <r>
    <x v="175"/>
    <x v="10"/>
    <x v="0"/>
    <n v="14"/>
    <d v="1899-12-30T00:33:57"/>
    <n v="33.950000000000003"/>
  </r>
  <r>
    <x v="175"/>
    <x v="10"/>
    <x v="1"/>
    <n v="16"/>
    <d v="1899-12-30T00:42:05"/>
    <n v="42.083333333333336"/>
  </r>
  <r>
    <x v="175"/>
    <x v="10"/>
    <x v="2"/>
    <n v="6"/>
    <d v="1899-12-30T00:16:42"/>
    <n v="16.7"/>
  </r>
  <r>
    <x v="175"/>
    <x v="10"/>
    <x v="3"/>
    <n v="0"/>
    <d v="1899-12-30T00:00:00"/>
    <n v="0"/>
  </r>
  <r>
    <x v="175"/>
    <x v="10"/>
    <x v="4"/>
    <n v="4"/>
    <d v="1899-12-30T00:08:57"/>
    <n v="8.9499999999999993"/>
  </r>
  <r>
    <x v="175"/>
    <x v="10"/>
    <x v="5"/>
    <n v="13"/>
    <d v="1899-12-30T00:18:08"/>
    <n v="18.133333333333333"/>
  </r>
  <r>
    <x v="175"/>
    <x v="11"/>
    <x v="0"/>
    <n v="18"/>
    <d v="1899-12-30T00:43:15"/>
    <n v="43.25"/>
  </r>
  <r>
    <x v="175"/>
    <x v="11"/>
    <x v="1"/>
    <n v="13"/>
    <d v="1899-12-30T00:32:32"/>
    <n v="32.533333333333331"/>
  </r>
  <r>
    <x v="175"/>
    <x v="11"/>
    <x v="2"/>
    <n v="6"/>
    <d v="1899-12-30T00:09:52"/>
    <n v="9.8666666666666671"/>
  </r>
  <r>
    <x v="175"/>
    <x v="11"/>
    <x v="3"/>
    <n v="0"/>
    <d v="1899-12-30T00:00:00"/>
    <n v="0"/>
  </r>
  <r>
    <x v="175"/>
    <x v="11"/>
    <x v="4"/>
    <n v="6"/>
    <d v="1899-12-30T00:07:29"/>
    <n v="7.4833333333333334"/>
  </r>
  <r>
    <x v="175"/>
    <x v="11"/>
    <x v="5"/>
    <n v="9"/>
    <d v="1899-12-30T00:13:23"/>
    <n v="13.383333333333333"/>
  </r>
  <r>
    <x v="175"/>
    <x v="12"/>
    <x v="0"/>
    <n v="89"/>
    <d v="1899-12-30T03:20:17"/>
    <n v="200.28333333333333"/>
  </r>
  <r>
    <x v="175"/>
    <x v="12"/>
    <x v="1"/>
    <n v="76"/>
    <d v="1899-12-30T02:54:28"/>
    <n v="174.46666666666667"/>
  </r>
  <r>
    <x v="175"/>
    <x v="12"/>
    <x v="2"/>
    <n v="49"/>
    <d v="1899-12-30T01:24:13"/>
    <n v="84.216666666666669"/>
  </r>
  <r>
    <x v="175"/>
    <x v="12"/>
    <x v="3"/>
    <n v="0"/>
    <d v="1899-12-30T00:00:00"/>
    <n v="0"/>
  </r>
  <r>
    <x v="175"/>
    <x v="12"/>
    <x v="4"/>
    <n v="14"/>
    <d v="1899-12-30T00:35:45"/>
    <n v="35.75"/>
  </r>
  <r>
    <x v="175"/>
    <x v="12"/>
    <x v="5"/>
    <n v="73"/>
    <d v="1899-12-30T01:59:01"/>
    <n v="119.01666666666667"/>
  </r>
  <r>
    <x v="175"/>
    <x v="13"/>
    <x v="0"/>
    <n v="5"/>
    <d v="1899-12-30T00:14:37"/>
    <n v="14.616666666666667"/>
  </r>
  <r>
    <x v="175"/>
    <x v="13"/>
    <x v="1"/>
    <n v="12"/>
    <d v="1899-12-30T00:14:08"/>
    <n v="14.133333333333333"/>
  </r>
  <r>
    <x v="175"/>
    <x v="13"/>
    <x v="2"/>
    <n v="10"/>
    <d v="1899-12-30T00:17:08"/>
    <n v="17.133333333333333"/>
  </r>
  <r>
    <x v="175"/>
    <x v="13"/>
    <x v="3"/>
    <n v="0"/>
    <d v="1899-12-30T00:00:00"/>
    <n v="0"/>
  </r>
  <r>
    <x v="175"/>
    <x v="13"/>
    <x v="4"/>
    <n v="1"/>
    <d v="1899-12-30T00:02:14"/>
    <n v="2.2333333333333334"/>
  </r>
  <r>
    <x v="175"/>
    <x v="13"/>
    <x v="5"/>
    <n v="16"/>
    <d v="1899-12-30T00:17:09"/>
    <n v="17.149999999999999"/>
  </r>
  <r>
    <x v="176"/>
    <x v="0"/>
    <x v="0"/>
    <n v="46"/>
    <d v="1899-12-30T01:16:02"/>
    <n v="76.033333333333331"/>
  </r>
  <r>
    <x v="176"/>
    <x v="0"/>
    <x v="1"/>
    <n v="40"/>
    <d v="1899-12-30T01:03:55"/>
    <n v="63.916666666666664"/>
  </r>
  <r>
    <x v="176"/>
    <x v="0"/>
    <x v="2"/>
    <n v="38"/>
    <d v="1899-12-30T00:45:16"/>
    <n v="45.266666666666666"/>
  </r>
  <r>
    <x v="176"/>
    <x v="0"/>
    <x v="3"/>
    <n v="0"/>
    <d v="1899-12-30T00:00:00"/>
    <n v="0"/>
  </r>
  <r>
    <x v="176"/>
    <x v="0"/>
    <x v="4"/>
    <n v="10"/>
    <d v="1899-12-30T00:14:06"/>
    <n v="14.1"/>
  </r>
  <r>
    <x v="176"/>
    <x v="0"/>
    <x v="5"/>
    <n v="34"/>
    <d v="1899-12-30T00:36:46"/>
    <n v="36.766666666666666"/>
  </r>
  <r>
    <x v="176"/>
    <x v="1"/>
    <x v="0"/>
    <n v="25"/>
    <d v="1899-12-30T00:55:11"/>
    <n v="55.18333333333333"/>
  </r>
  <r>
    <x v="176"/>
    <x v="1"/>
    <x v="1"/>
    <n v="17"/>
    <d v="1899-12-30T00:40:12"/>
    <n v="40.200000000000003"/>
  </r>
  <r>
    <x v="176"/>
    <x v="1"/>
    <x v="2"/>
    <n v="24"/>
    <d v="1899-12-30T00:45:19"/>
    <n v="45.31666666666667"/>
  </r>
  <r>
    <x v="176"/>
    <x v="1"/>
    <x v="3"/>
    <n v="0"/>
    <d v="1899-12-30T00:00:00"/>
    <n v="0"/>
  </r>
  <r>
    <x v="176"/>
    <x v="1"/>
    <x v="4"/>
    <n v="19"/>
    <d v="1899-12-30T00:44:47"/>
    <n v="44.783333333333331"/>
  </r>
  <r>
    <x v="176"/>
    <x v="1"/>
    <x v="5"/>
    <n v="39"/>
    <d v="1899-12-30T01:16:55"/>
    <n v="76.916666666666671"/>
  </r>
  <r>
    <x v="176"/>
    <x v="2"/>
    <x v="0"/>
    <n v="64"/>
    <d v="1899-12-30T02:29:56"/>
    <n v="149.93333333333334"/>
  </r>
  <r>
    <x v="176"/>
    <x v="2"/>
    <x v="1"/>
    <n v="74"/>
    <d v="1899-12-30T02:50:54"/>
    <n v="170.9"/>
  </r>
  <r>
    <x v="176"/>
    <x v="2"/>
    <x v="2"/>
    <n v="37"/>
    <d v="1899-12-30T01:08:00"/>
    <n v="68"/>
  </r>
  <r>
    <x v="176"/>
    <x v="2"/>
    <x v="3"/>
    <n v="0"/>
    <d v="1899-12-30T00:00:00"/>
    <n v="0"/>
  </r>
  <r>
    <x v="176"/>
    <x v="2"/>
    <x v="4"/>
    <n v="5"/>
    <d v="1899-12-30T00:15:13"/>
    <n v="15.216666666666667"/>
  </r>
  <r>
    <x v="176"/>
    <x v="2"/>
    <x v="5"/>
    <n v="33"/>
    <d v="1899-12-30T00:53:14"/>
    <n v="53.233333333333334"/>
  </r>
  <r>
    <x v="176"/>
    <x v="3"/>
    <x v="0"/>
    <n v="9"/>
    <d v="1899-12-30T00:24:02"/>
    <n v="24.033333333333335"/>
  </r>
  <r>
    <x v="176"/>
    <x v="3"/>
    <x v="1"/>
    <n v="9"/>
    <d v="1899-12-30T00:25:16"/>
    <n v="25.266666666666666"/>
  </r>
  <r>
    <x v="176"/>
    <x v="3"/>
    <x v="2"/>
    <n v="8"/>
    <d v="1899-12-30T00:20:50"/>
    <n v="20.833333333333332"/>
  </r>
  <r>
    <x v="176"/>
    <x v="3"/>
    <x v="3"/>
    <n v="0"/>
    <d v="1899-12-30T00:00:00"/>
    <n v="0"/>
  </r>
  <r>
    <x v="176"/>
    <x v="3"/>
    <x v="4"/>
    <n v="2"/>
    <d v="1899-12-30T00:05:17"/>
    <n v="5.2833333333333332"/>
  </r>
  <r>
    <x v="176"/>
    <x v="3"/>
    <x v="5"/>
    <n v="14"/>
    <d v="1899-12-30T00:22:53"/>
    <n v="22.883333333333333"/>
  </r>
  <r>
    <x v="176"/>
    <x v="4"/>
    <x v="0"/>
    <n v="34"/>
    <d v="1899-12-30T01:23:27"/>
    <n v="83.45"/>
  </r>
  <r>
    <x v="176"/>
    <x v="4"/>
    <x v="1"/>
    <n v="41"/>
    <d v="1899-12-30T01:30:02"/>
    <n v="90.033333333333331"/>
  </r>
  <r>
    <x v="176"/>
    <x v="4"/>
    <x v="2"/>
    <n v="32"/>
    <d v="1899-12-30T01:02:45"/>
    <n v="62.75"/>
  </r>
  <r>
    <x v="176"/>
    <x v="4"/>
    <x v="3"/>
    <n v="0"/>
    <d v="1899-12-30T00:00:00"/>
    <n v="0"/>
  </r>
  <r>
    <x v="176"/>
    <x v="4"/>
    <x v="4"/>
    <n v="20"/>
    <d v="1899-12-30T00:49:24"/>
    <n v="49.4"/>
  </r>
  <r>
    <x v="176"/>
    <x v="4"/>
    <x v="5"/>
    <n v="23"/>
    <d v="1899-12-30T00:34:02"/>
    <n v="34.033333333333331"/>
  </r>
  <r>
    <x v="176"/>
    <x v="5"/>
    <x v="0"/>
    <n v="21"/>
    <d v="1899-12-30T00:33:56"/>
    <n v="33.93333333333333"/>
  </r>
  <r>
    <x v="176"/>
    <x v="5"/>
    <x v="1"/>
    <n v="19"/>
    <d v="1899-12-30T00:30:08"/>
    <n v="30.133333333333333"/>
  </r>
  <r>
    <x v="176"/>
    <x v="5"/>
    <x v="2"/>
    <n v="20"/>
    <d v="1899-12-30T00:28:28"/>
    <n v="28.466666666666665"/>
  </r>
  <r>
    <x v="176"/>
    <x v="5"/>
    <x v="3"/>
    <n v="0"/>
    <d v="1899-12-30T00:00:00"/>
    <n v="0"/>
  </r>
  <r>
    <x v="176"/>
    <x v="5"/>
    <x v="4"/>
    <n v="3"/>
    <d v="1899-12-30T00:05:35"/>
    <n v="5.583333333333333"/>
  </r>
  <r>
    <x v="176"/>
    <x v="5"/>
    <x v="5"/>
    <n v="26"/>
    <d v="1899-12-30T00:31:38"/>
    <n v="31.633333333333333"/>
  </r>
  <r>
    <x v="176"/>
    <x v="6"/>
    <x v="0"/>
    <n v="28"/>
    <d v="1899-12-30T00:55:32"/>
    <n v="55.533333333333331"/>
  </r>
  <r>
    <x v="176"/>
    <x v="6"/>
    <x v="1"/>
    <n v="38"/>
    <d v="1899-12-30T01:28:10"/>
    <n v="88.166666666666671"/>
  </r>
  <r>
    <x v="176"/>
    <x v="6"/>
    <x v="2"/>
    <n v="28"/>
    <d v="1899-12-30T00:44:39"/>
    <n v="44.65"/>
  </r>
  <r>
    <x v="176"/>
    <x v="6"/>
    <x v="3"/>
    <n v="0"/>
    <d v="1899-12-30T00:00:00"/>
    <n v="0"/>
  </r>
  <r>
    <x v="176"/>
    <x v="6"/>
    <x v="4"/>
    <n v="10"/>
    <d v="1899-12-30T00:21:15"/>
    <n v="21.25"/>
  </r>
  <r>
    <x v="176"/>
    <x v="6"/>
    <x v="5"/>
    <n v="31"/>
    <d v="1899-12-30T00:56:55"/>
    <n v="56.916666666666664"/>
  </r>
  <r>
    <x v="176"/>
    <x v="7"/>
    <x v="0"/>
    <n v="20"/>
    <d v="1899-12-30T00:33:07"/>
    <n v="33.116666666666667"/>
  </r>
  <r>
    <x v="176"/>
    <x v="7"/>
    <x v="1"/>
    <n v="39"/>
    <d v="1899-12-30T01:03:21"/>
    <n v="63.35"/>
  </r>
  <r>
    <x v="176"/>
    <x v="7"/>
    <x v="2"/>
    <n v="22"/>
    <d v="1899-12-30T00:23:46"/>
    <n v="23.766666666666666"/>
  </r>
  <r>
    <x v="176"/>
    <x v="7"/>
    <x v="3"/>
    <n v="0"/>
    <d v="1899-12-30T00:00:00"/>
    <n v="0"/>
  </r>
  <r>
    <x v="176"/>
    <x v="7"/>
    <x v="4"/>
    <n v="125"/>
    <d v="1899-12-30T04:07:49"/>
    <n v="247.81666666666666"/>
  </r>
  <r>
    <x v="176"/>
    <x v="7"/>
    <x v="5"/>
    <n v="31"/>
    <d v="1899-12-30T00:27:32"/>
    <n v="27.533333333333335"/>
  </r>
  <r>
    <x v="176"/>
    <x v="8"/>
    <x v="0"/>
    <n v="15"/>
    <d v="1899-12-30T00:31:55"/>
    <n v="31.916666666666668"/>
  </r>
  <r>
    <x v="176"/>
    <x v="8"/>
    <x v="1"/>
    <n v="16"/>
    <d v="1899-12-30T00:33:37"/>
    <n v="33.616666666666667"/>
  </r>
  <r>
    <x v="176"/>
    <x v="8"/>
    <x v="2"/>
    <n v="23"/>
    <d v="1899-12-30T00:36:29"/>
    <n v="36.483333333333334"/>
  </r>
  <r>
    <x v="176"/>
    <x v="8"/>
    <x v="3"/>
    <n v="0"/>
    <d v="1899-12-30T00:00:00"/>
    <n v="0"/>
  </r>
  <r>
    <x v="176"/>
    <x v="8"/>
    <x v="4"/>
    <n v="7"/>
    <d v="1899-12-30T00:14:22"/>
    <n v="14.366666666666667"/>
  </r>
  <r>
    <x v="176"/>
    <x v="8"/>
    <x v="5"/>
    <n v="27"/>
    <d v="1899-12-30T00:42:19"/>
    <n v="42.31666666666667"/>
  </r>
  <r>
    <x v="176"/>
    <x v="9"/>
    <x v="0"/>
    <n v="25"/>
    <d v="1899-12-30T00:42:32"/>
    <n v="42.533333333333331"/>
  </r>
  <r>
    <x v="176"/>
    <x v="9"/>
    <x v="1"/>
    <n v="39"/>
    <d v="1899-12-30T01:07:01"/>
    <n v="67.016666666666666"/>
  </r>
  <r>
    <x v="176"/>
    <x v="9"/>
    <x v="2"/>
    <n v="33"/>
    <d v="1899-12-30T00:50:23"/>
    <n v="50.383333333333333"/>
  </r>
  <r>
    <x v="176"/>
    <x v="9"/>
    <x v="3"/>
    <n v="0"/>
    <d v="1899-12-30T00:00:00"/>
    <n v="0"/>
  </r>
  <r>
    <x v="176"/>
    <x v="9"/>
    <x v="4"/>
    <n v="6"/>
    <d v="1899-12-30T00:14:29"/>
    <n v="14.483333333333333"/>
  </r>
  <r>
    <x v="176"/>
    <x v="9"/>
    <x v="5"/>
    <n v="29"/>
    <d v="1899-12-30T00:36:32"/>
    <n v="36.533333333333331"/>
  </r>
  <r>
    <x v="176"/>
    <x v="10"/>
    <x v="0"/>
    <n v="13"/>
    <d v="1899-12-30T00:28:29"/>
    <n v="28.483333333333334"/>
  </r>
  <r>
    <x v="176"/>
    <x v="10"/>
    <x v="1"/>
    <n v="23"/>
    <d v="1899-12-30T00:50:51"/>
    <n v="50.85"/>
  </r>
  <r>
    <x v="176"/>
    <x v="10"/>
    <x v="2"/>
    <n v="13"/>
    <d v="1899-12-30T00:29:46"/>
    <n v="29.766666666666666"/>
  </r>
  <r>
    <x v="176"/>
    <x v="10"/>
    <x v="3"/>
    <n v="0"/>
    <d v="1899-12-30T00:00:00"/>
    <n v="0"/>
  </r>
  <r>
    <x v="176"/>
    <x v="10"/>
    <x v="4"/>
    <n v="4"/>
    <d v="1899-12-30T00:04:52"/>
    <n v="4.8666666666666671"/>
  </r>
  <r>
    <x v="176"/>
    <x v="10"/>
    <x v="5"/>
    <n v="14"/>
    <d v="1899-12-30T00:28:11"/>
    <n v="28.183333333333334"/>
  </r>
  <r>
    <x v="176"/>
    <x v="11"/>
    <x v="0"/>
    <n v="13"/>
    <d v="1899-12-30T00:35:29"/>
    <n v="35.483333333333334"/>
  </r>
  <r>
    <x v="176"/>
    <x v="11"/>
    <x v="1"/>
    <n v="6"/>
    <d v="1899-12-30T00:14:12"/>
    <n v="14.2"/>
  </r>
  <r>
    <x v="176"/>
    <x v="11"/>
    <x v="2"/>
    <n v="4"/>
    <d v="1899-12-30T00:08:15"/>
    <n v="8.25"/>
  </r>
  <r>
    <x v="176"/>
    <x v="11"/>
    <x v="3"/>
    <n v="0"/>
    <d v="1899-12-30T00:00:00"/>
    <n v="0"/>
  </r>
  <r>
    <x v="176"/>
    <x v="11"/>
    <x v="4"/>
    <n v="12"/>
    <d v="1899-12-30T00:16:31"/>
    <n v="16.516666666666666"/>
  </r>
  <r>
    <x v="176"/>
    <x v="11"/>
    <x v="5"/>
    <n v="8"/>
    <d v="1899-12-30T00:15:31"/>
    <n v="15.516666666666667"/>
  </r>
  <r>
    <x v="176"/>
    <x v="12"/>
    <x v="0"/>
    <n v="91"/>
    <d v="1899-12-30T03:40:03"/>
    <n v="220.05"/>
  </r>
  <r>
    <x v="176"/>
    <x v="12"/>
    <x v="1"/>
    <n v="95"/>
    <d v="1899-12-30T03:22:26"/>
    <n v="202.43333333333334"/>
  </r>
  <r>
    <x v="176"/>
    <x v="12"/>
    <x v="2"/>
    <n v="76"/>
    <d v="1899-12-30T02:13:02"/>
    <n v="133.03333333333333"/>
  </r>
  <r>
    <x v="176"/>
    <x v="12"/>
    <x v="3"/>
    <n v="0"/>
    <d v="1899-12-30T00:00:00"/>
    <n v="0"/>
  </r>
  <r>
    <x v="176"/>
    <x v="12"/>
    <x v="4"/>
    <n v="20"/>
    <d v="1899-12-30T00:43:01"/>
    <n v="43.016666666666666"/>
  </r>
  <r>
    <x v="176"/>
    <x v="12"/>
    <x v="5"/>
    <n v="80"/>
    <d v="1899-12-30T02:04:47"/>
    <n v="124.78333333333333"/>
  </r>
  <r>
    <x v="176"/>
    <x v="13"/>
    <x v="0"/>
    <n v="20"/>
    <d v="1899-12-30T00:35:51"/>
    <n v="35.85"/>
  </r>
  <r>
    <x v="176"/>
    <x v="13"/>
    <x v="1"/>
    <n v="17"/>
    <d v="1899-12-30T00:27:29"/>
    <n v="27.483333333333334"/>
  </r>
  <r>
    <x v="176"/>
    <x v="13"/>
    <x v="2"/>
    <n v="7"/>
    <d v="1899-12-30T00:08:57"/>
    <n v="8.9499999999999993"/>
  </r>
  <r>
    <x v="176"/>
    <x v="13"/>
    <x v="3"/>
    <n v="0"/>
    <d v="1899-12-30T00:00:00"/>
    <n v="0"/>
  </r>
  <r>
    <x v="176"/>
    <x v="13"/>
    <x v="4"/>
    <n v="0"/>
    <d v="1899-12-30T00:00:00"/>
    <n v="0"/>
  </r>
  <r>
    <x v="176"/>
    <x v="13"/>
    <x v="5"/>
    <n v="29"/>
    <d v="1899-12-30T00:33:25"/>
    <n v="33.416666666666664"/>
  </r>
  <r>
    <x v="177"/>
    <x v="0"/>
    <x v="0"/>
    <n v="85"/>
    <d v="1899-12-30T02:31:54"/>
    <n v="151.9"/>
  </r>
  <r>
    <x v="177"/>
    <x v="0"/>
    <x v="1"/>
    <n v="72"/>
    <d v="1899-12-30T02:03:02"/>
    <n v="123.03333333333333"/>
  </r>
  <r>
    <x v="177"/>
    <x v="0"/>
    <x v="2"/>
    <n v="76"/>
    <d v="1899-12-30T01:47:51"/>
    <n v="107.85"/>
  </r>
  <r>
    <x v="177"/>
    <x v="0"/>
    <x v="3"/>
    <n v="0"/>
    <d v="1899-12-30T00:00:00"/>
    <n v="0"/>
  </r>
  <r>
    <x v="177"/>
    <x v="0"/>
    <x v="4"/>
    <n v="11"/>
    <d v="1899-12-30T00:20:08"/>
    <n v="20.133333333333333"/>
  </r>
  <r>
    <x v="177"/>
    <x v="0"/>
    <x v="5"/>
    <n v="57"/>
    <d v="1899-12-30T01:04:02"/>
    <n v="64.033333333333331"/>
  </r>
  <r>
    <x v="177"/>
    <x v="1"/>
    <x v="0"/>
    <n v="26"/>
    <d v="1899-12-30T01:09:07"/>
    <n v="69.11666666666666"/>
  </r>
  <r>
    <x v="177"/>
    <x v="1"/>
    <x v="1"/>
    <n v="27"/>
    <d v="1899-12-30T01:04:55"/>
    <n v="64.916666666666671"/>
  </r>
  <r>
    <x v="177"/>
    <x v="1"/>
    <x v="2"/>
    <n v="25"/>
    <d v="1899-12-30T00:55:56"/>
    <n v="55.93333333333333"/>
  </r>
  <r>
    <x v="177"/>
    <x v="1"/>
    <x v="3"/>
    <n v="0"/>
    <d v="1899-12-30T00:00:00"/>
    <n v="0"/>
  </r>
  <r>
    <x v="177"/>
    <x v="1"/>
    <x v="4"/>
    <n v="21"/>
    <d v="1899-12-30T00:51:07"/>
    <n v="51.116666666666667"/>
  </r>
  <r>
    <x v="177"/>
    <x v="1"/>
    <x v="5"/>
    <n v="65"/>
    <d v="1899-12-30T02:10:42"/>
    <n v="130.69999999999999"/>
  </r>
  <r>
    <x v="177"/>
    <x v="2"/>
    <x v="0"/>
    <n v="57"/>
    <d v="1899-12-30T02:28:31"/>
    <n v="148.51666666666668"/>
  </r>
  <r>
    <x v="177"/>
    <x v="2"/>
    <x v="1"/>
    <n v="76"/>
    <d v="1899-12-30T02:47:50"/>
    <n v="167.83333333333334"/>
  </r>
  <r>
    <x v="177"/>
    <x v="2"/>
    <x v="2"/>
    <n v="36"/>
    <d v="1899-12-30T01:09:41"/>
    <n v="69.683333333333337"/>
  </r>
  <r>
    <x v="177"/>
    <x v="2"/>
    <x v="3"/>
    <n v="0"/>
    <d v="1899-12-30T00:00:00"/>
    <n v="0"/>
  </r>
  <r>
    <x v="177"/>
    <x v="2"/>
    <x v="4"/>
    <n v="15"/>
    <d v="1899-12-30T00:34:33"/>
    <n v="34.549999999999997"/>
  </r>
  <r>
    <x v="177"/>
    <x v="2"/>
    <x v="5"/>
    <n v="46"/>
    <d v="1899-12-30T01:12:52"/>
    <n v="72.86666666666666"/>
  </r>
  <r>
    <x v="177"/>
    <x v="3"/>
    <x v="0"/>
    <n v="5"/>
    <d v="1899-12-30T00:16:28"/>
    <n v="16.466666666666665"/>
  </r>
  <r>
    <x v="177"/>
    <x v="3"/>
    <x v="1"/>
    <n v="3"/>
    <d v="1899-12-30T00:09:53"/>
    <n v="9.8833333333333329"/>
  </r>
  <r>
    <x v="177"/>
    <x v="3"/>
    <x v="2"/>
    <n v="4"/>
    <d v="1899-12-30T00:07:43"/>
    <n v="7.7166666666666668"/>
  </r>
  <r>
    <x v="177"/>
    <x v="3"/>
    <x v="3"/>
    <n v="0"/>
    <d v="1899-12-30T00:00:00"/>
    <n v="0"/>
  </r>
  <r>
    <x v="177"/>
    <x v="3"/>
    <x v="4"/>
    <n v="0"/>
    <d v="1899-12-30T00:00:00"/>
    <n v="0"/>
  </r>
  <r>
    <x v="177"/>
    <x v="3"/>
    <x v="5"/>
    <n v="8"/>
    <d v="1899-12-30T00:16:39"/>
    <n v="16.649999999999999"/>
  </r>
  <r>
    <x v="177"/>
    <x v="4"/>
    <x v="0"/>
    <n v="25"/>
    <d v="1899-12-30T01:09:02"/>
    <n v="69.033333333333331"/>
  </r>
  <r>
    <x v="177"/>
    <x v="4"/>
    <x v="1"/>
    <n v="33"/>
    <d v="1899-12-30T01:21:14"/>
    <n v="81.233333333333334"/>
  </r>
  <r>
    <x v="177"/>
    <x v="4"/>
    <x v="2"/>
    <n v="20"/>
    <d v="1899-12-30T00:33:32"/>
    <n v="33.533333333333331"/>
  </r>
  <r>
    <x v="177"/>
    <x v="4"/>
    <x v="3"/>
    <n v="0"/>
    <d v="1899-12-30T00:00:00"/>
    <n v="0"/>
  </r>
  <r>
    <x v="177"/>
    <x v="4"/>
    <x v="4"/>
    <n v="15"/>
    <d v="1899-12-30T00:33:37"/>
    <n v="33.616666666666667"/>
  </r>
  <r>
    <x v="177"/>
    <x v="4"/>
    <x v="5"/>
    <n v="16"/>
    <d v="1899-12-30T00:24:04"/>
    <n v="24.066666666666666"/>
  </r>
  <r>
    <x v="177"/>
    <x v="5"/>
    <x v="0"/>
    <n v="24"/>
    <d v="1899-12-30T00:46:14"/>
    <n v="46.233333333333334"/>
  </r>
  <r>
    <x v="177"/>
    <x v="5"/>
    <x v="1"/>
    <n v="28"/>
    <d v="1899-12-30T00:57:40"/>
    <n v="57.666666666666664"/>
  </r>
  <r>
    <x v="177"/>
    <x v="5"/>
    <x v="2"/>
    <n v="30"/>
    <d v="1899-12-30T00:54:42"/>
    <n v="54.7"/>
  </r>
  <r>
    <x v="177"/>
    <x v="5"/>
    <x v="3"/>
    <n v="0"/>
    <d v="1899-12-30T00:00:00"/>
    <n v="0"/>
  </r>
  <r>
    <x v="177"/>
    <x v="5"/>
    <x v="4"/>
    <n v="5"/>
    <d v="1899-12-30T00:07:08"/>
    <n v="7.1333333333333337"/>
  </r>
  <r>
    <x v="177"/>
    <x v="5"/>
    <x v="5"/>
    <n v="35"/>
    <d v="1899-12-30T00:46:10"/>
    <n v="46.166666666666664"/>
  </r>
  <r>
    <x v="177"/>
    <x v="6"/>
    <x v="0"/>
    <n v="27"/>
    <d v="1899-12-30T00:56:21"/>
    <n v="56.35"/>
  </r>
  <r>
    <x v="177"/>
    <x v="6"/>
    <x v="1"/>
    <n v="18"/>
    <d v="1899-12-30T00:33:48"/>
    <n v="33.799999999999997"/>
  </r>
  <r>
    <x v="177"/>
    <x v="6"/>
    <x v="2"/>
    <n v="20"/>
    <d v="1899-12-30T00:35:10"/>
    <n v="35.166666666666664"/>
  </r>
  <r>
    <x v="177"/>
    <x v="6"/>
    <x v="3"/>
    <n v="0"/>
    <d v="1899-12-30T00:00:00"/>
    <n v="0"/>
  </r>
  <r>
    <x v="177"/>
    <x v="6"/>
    <x v="4"/>
    <n v="11"/>
    <d v="1899-12-30T00:23:48"/>
    <n v="23.8"/>
  </r>
  <r>
    <x v="177"/>
    <x v="6"/>
    <x v="5"/>
    <n v="21"/>
    <d v="1899-12-30T00:29:07"/>
    <n v="29.116666666666667"/>
  </r>
  <r>
    <x v="177"/>
    <x v="7"/>
    <x v="0"/>
    <n v="61"/>
    <d v="1899-12-30T01:32:18"/>
    <n v="92.3"/>
  </r>
  <r>
    <x v="177"/>
    <x v="7"/>
    <x v="1"/>
    <n v="97"/>
    <d v="1899-12-30T02:36:21"/>
    <n v="156.35"/>
  </r>
  <r>
    <x v="177"/>
    <x v="7"/>
    <x v="2"/>
    <n v="52"/>
    <d v="1899-12-30T00:56:20"/>
    <n v="56.333333333333336"/>
  </r>
  <r>
    <x v="177"/>
    <x v="7"/>
    <x v="3"/>
    <n v="0"/>
    <d v="1899-12-30T00:00:00"/>
    <n v="0"/>
  </r>
  <r>
    <x v="177"/>
    <x v="7"/>
    <x v="4"/>
    <n v="181"/>
    <d v="1899-12-30T05:30:59"/>
    <n v="330.98333333333335"/>
  </r>
  <r>
    <x v="177"/>
    <x v="7"/>
    <x v="5"/>
    <n v="78"/>
    <d v="1899-12-30T01:28:05"/>
    <n v="88.083333333333329"/>
  </r>
  <r>
    <x v="177"/>
    <x v="8"/>
    <x v="0"/>
    <n v="19"/>
    <d v="1899-12-30T00:39:37"/>
    <n v="39.616666666666667"/>
  </r>
  <r>
    <x v="177"/>
    <x v="8"/>
    <x v="1"/>
    <n v="20"/>
    <d v="1899-12-30T00:34:07"/>
    <n v="34.116666666666667"/>
  </r>
  <r>
    <x v="177"/>
    <x v="8"/>
    <x v="2"/>
    <n v="19"/>
    <d v="1899-12-30T00:37:09"/>
    <n v="37.15"/>
  </r>
  <r>
    <x v="177"/>
    <x v="8"/>
    <x v="3"/>
    <n v="0"/>
    <d v="1899-12-30T00:00:00"/>
    <n v="0"/>
  </r>
  <r>
    <x v="177"/>
    <x v="8"/>
    <x v="4"/>
    <n v="9"/>
    <d v="1899-12-30T00:15:19"/>
    <n v="15.316666666666666"/>
  </r>
  <r>
    <x v="177"/>
    <x v="8"/>
    <x v="5"/>
    <n v="28"/>
    <d v="1899-12-30T00:37:58"/>
    <n v="37.966666666666669"/>
  </r>
  <r>
    <x v="177"/>
    <x v="9"/>
    <x v="0"/>
    <n v="42"/>
    <d v="1899-12-30T01:16:02"/>
    <n v="76.033333333333331"/>
  </r>
  <r>
    <x v="177"/>
    <x v="9"/>
    <x v="1"/>
    <n v="49"/>
    <d v="1899-12-30T01:32:44"/>
    <n v="92.733333333333334"/>
  </r>
  <r>
    <x v="177"/>
    <x v="9"/>
    <x v="2"/>
    <n v="53"/>
    <d v="1899-12-30T01:19:35"/>
    <n v="79.583333333333329"/>
  </r>
  <r>
    <x v="177"/>
    <x v="9"/>
    <x v="3"/>
    <n v="0"/>
    <d v="1899-12-30T00:00:00"/>
    <n v="0"/>
  </r>
  <r>
    <x v="177"/>
    <x v="9"/>
    <x v="4"/>
    <n v="8"/>
    <d v="1899-12-30T00:09:45"/>
    <n v="9.75"/>
  </r>
  <r>
    <x v="177"/>
    <x v="9"/>
    <x v="5"/>
    <n v="34"/>
    <d v="1899-12-30T00:51:30"/>
    <n v="51.5"/>
  </r>
  <r>
    <x v="177"/>
    <x v="10"/>
    <x v="0"/>
    <n v="19"/>
    <d v="1899-12-30T00:44:32"/>
    <n v="44.533333333333331"/>
  </r>
  <r>
    <x v="177"/>
    <x v="10"/>
    <x v="1"/>
    <n v="11"/>
    <d v="1899-12-30T00:30:24"/>
    <n v="30.4"/>
  </r>
  <r>
    <x v="177"/>
    <x v="10"/>
    <x v="2"/>
    <n v="13"/>
    <d v="1899-12-30T00:27:37"/>
    <n v="27.616666666666667"/>
  </r>
  <r>
    <x v="177"/>
    <x v="10"/>
    <x v="3"/>
    <n v="0"/>
    <d v="1899-12-30T00:00:00"/>
    <n v="0"/>
  </r>
  <r>
    <x v="177"/>
    <x v="10"/>
    <x v="4"/>
    <n v="5"/>
    <d v="1899-12-30T00:15:06"/>
    <n v="15.1"/>
  </r>
  <r>
    <x v="177"/>
    <x v="10"/>
    <x v="5"/>
    <n v="16"/>
    <d v="1899-12-30T00:25:35"/>
    <n v="25.583333333333332"/>
  </r>
  <r>
    <x v="177"/>
    <x v="11"/>
    <x v="0"/>
    <n v="16"/>
    <d v="1899-12-30T01:00:52"/>
    <n v="60.866666666666667"/>
  </r>
  <r>
    <x v="177"/>
    <x v="11"/>
    <x v="1"/>
    <n v="8"/>
    <d v="1899-12-30T00:13:56"/>
    <n v="13.933333333333334"/>
  </r>
  <r>
    <x v="177"/>
    <x v="11"/>
    <x v="2"/>
    <n v="5"/>
    <d v="1899-12-30T00:08:38"/>
    <n v="8.6333333333333329"/>
  </r>
  <r>
    <x v="177"/>
    <x v="11"/>
    <x v="3"/>
    <n v="0"/>
    <d v="1899-12-30T00:00:00"/>
    <n v="0"/>
  </r>
  <r>
    <x v="177"/>
    <x v="11"/>
    <x v="4"/>
    <n v="12"/>
    <d v="1899-12-30T00:21:02"/>
    <n v="21.033333333333335"/>
  </r>
  <r>
    <x v="177"/>
    <x v="11"/>
    <x v="5"/>
    <n v="7"/>
    <d v="1899-12-30T00:13:05"/>
    <n v="13.083333333333334"/>
  </r>
  <r>
    <x v="177"/>
    <x v="12"/>
    <x v="0"/>
    <n v="99"/>
    <d v="1899-12-30T03:35:04"/>
    <n v="215.06666666666666"/>
  </r>
  <r>
    <x v="177"/>
    <x v="12"/>
    <x v="1"/>
    <n v="104"/>
    <d v="1899-12-30T04:02:58"/>
    <n v="242.96666666666667"/>
  </r>
  <r>
    <x v="177"/>
    <x v="12"/>
    <x v="2"/>
    <n v="76"/>
    <d v="1899-12-30T02:20:00"/>
    <n v="140"/>
  </r>
  <r>
    <x v="177"/>
    <x v="12"/>
    <x v="3"/>
    <n v="0"/>
    <d v="1899-12-30T00:00:00"/>
    <n v="0"/>
  </r>
  <r>
    <x v="177"/>
    <x v="12"/>
    <x v="4"/>
    <n v="28"/>
    <d v="1899-12-30T01:06:10"/>
    <n v="66.166666666666671"/>
  </r>
  <r>
    <x v="177"/>
    <x v="12"/>
    <x v="5"/>
    <n v="74"/>
    <d v="1899-12-30T01:51:05"/>
    <n v="111.08333333333333"/>
  </r>
  <r>
    <x v="177"/>
    <x v="13"/>
    <x v="0"/>
    <n v="17"/>
    <d v="1899-12-30T00:32:28"/>
    <n v="32.466666666666669"/>
  </r>
  <r>
    <x v="177"/>
    <x v="13"/>
    <x v="1"/>
    <n v="12"/>
    <d v="1899-12-30T00:17:58"/>
    <n v="17.966666666666665"/>
  </r>
  <r>
    <x v="177"/>
    <x v="13"/>
    <x v="2"/>
    <n v="11"/>
    <d v="1899-12-30T00:12:30"/>
    <n v="12.5"/>
  </r>
  <r>
    <x v="177"/>
    <x v="13"/>
    <x v="3"/>
    <n v="0"/>
    <d v="1899-12-30T00:00:00"/>
    <n v="0"/>
  </r>
  <r>
    <x v="177"/>
    <x v="13"/>
    <x v="4"/>
    <n v="1"/>
    <d v="1899-12-30T00:03:14"/>
    <n v="3.2333333333333334"/>
  </r>
  <r>
    <x v="177"/>
    <x v="13"/>
    <x v="5"/>
    <n v="34"/>
    <d v="1899-12-30T00:35:05"/>
    <n v="35.083333333333336"/>
  </r>
  <r>
    <x v="178"/>
    <x v="0"/>
    <x v="0"/>
    <n v="71"/>
    <d v="1899-12-30T01:58:42"/>
    <n v="118.7"/>
  </r>
  <r>
    <x v="178"/>
    <x v="0"/>
    <x v="1"/>
    <n v="62"/>
    <d v="1899-12-30T01:31:47"/>
    <n v="91.783333333333331"/>
  </r>
  <r>
    <x v="178"/>
    <x v="0"/>
    <x v="2"/>
    <n v="67"/>
    <d v="1899-12-30T01:37:07"/>
    <n v="97.11666666666666"/>
  </r>
  <r>
    <x v="178"/>
    <x v="0"/>
    <x v="3"/>
    <n v="0"/>
    <d v="1899-12-30T00:00:00"/>
    <n v="0"/>
  </r>
  <r>
    <x v="178"/>
    <x v="0"/>
    <x v="4"/>
    <n v="5"/>
    <d v="1899-12-30T00:05:40"/>
    <n v="5.666666666666667"/>
  </r>
  <r>
    <x v="178"/>
    <x v="0"/>
    <x v="5"/>
    <n v="43"/>
    <d v="1899-12-30T01:07:17"/>
    <n v="67.283333333333331"/>
  </r>
  <r>
    <x v="178"/>
    <x v="1"/>
    <x v="0"/>
    <n v="18"/>
    <d v="1899-12-30T00:48:43"/>
    <n v="48.716666666666669"/>
  </r>
  <r>
    <x v="178"/>
    <x v="1"/>
    <x v="1"/>
    <n v="14"/>
    <d v="1899-12-30T00:40:43"/>
    <n v="40.716666666666669"/>
  </r>
  <r>
    <x v="178"/>
    <x v="1"/>
    <x v="2"/>
    <n v="15"/>
    <d v="1899-12-30T00:32:51"/>
    <n v="32.85"/>
  </r>
  <r>
    <x v="178"/>
    <x v="1"/>
    <x v="3"/>
    <n v="0"/>
    <d v="1899-12-30T00:00:00"/>
    <n v="0"/>
  </r>
  <r>
    <x v="178"/>
    <x v="1"/>
    <x v="4"/>
    <n v="21"/>
    <d v="1899-12-30T00:54:44"/>
    <n v="54.733333333333334"/>
  </r>
  <r>
    <x v="178"/>
    <x v="1"/>
    <x v="5"/>
    <n v="42"/>
    <d v="1899-12-30T01:20:09"/>
    <n v="80.150000000000006"/>
  </r>
  <r>
    <x v="178"/>
    <x v="2"/>
    <x v="0"/>
    <n v="64"/>
    <d v="1899-12-30T02:59:22"/>
    <n v="179.36666666666667"/>
  </r>
  <r>
    <x v="178"/>
    <x v="2"/>
    <x v="1"/>
    <n v="47"/>
    <d v="1899-12-30T01:39:32"/>
    <n v="99.533333333333331"/>
  </r>
  <r>
    <x v="178"/>
    <x v="2"/>
    <x v="2"/>
    <n v="29"/>
    <d v="1899-12-30T01:00:54"/>
    <n v="60.9"/>
  </r>
  <r>
    <x v="178"/>
    <x v="2"/>
    <x v="3"/>
    <n v="0"/>
    <d v="1899-12-30T00:00:00"/>
    <n v="0"/>
  </r>
  <r>
    <x v="178"/>
    <x v="2"/>
    <x v="4"/>
    <n v="14"/>
    <d v="1899-12-30T00:35:50"/>
    <n v="35.833333333333336"/>
  </r>
  <r>
    <x v="178"/>
    <x v="2"/>
    <x v="5"/>
    <n v="37"/>
    <d v="1899-12-30T01:00:38"/>
    <n v="60.633333333333333"/>
  </r>
  <r>
    <x v="178"/>
    <x v="3"/>
    <x v="0"/>
    <n v="4"/>
    <d v="1899-12-30T00:10:55"/>
    <n v="10.916666666666666"/>
  </r>
  <r>
    <x v="178"/>
    <x v="3"/>
    <x v="1"/>
    <n v="10"/>
    <d v="1899-12-30T00:30:47"/>
    <n v="30.783333333333335"/>
  </r>
  <r>
    <x v="178"/>
    <x v="3"/>
    <x v="2"/>
    <n v="3"/>
    <d v="1899-12-30T00:03:29"/>
    <n v="3.4833333333333334"/>
  </r>
  <r>
    <x v="178"/>
    <x v="3"/>
    <x v="3"/>
    <n v="0"/>
    <d v="1899-12-30T00:00:00"/>
    <n v="0"/>
  </r>
  <r>
    <x v="178"/>
    <x v="3"/>
    <x v="4"/>
    <n v="0"/>
    <d v="1899-12-30T00:00:00"/>
    <n v="0"/>
  </r>
  <r>
    <x v="178"/>
    <x v="3"/>
    <x v="5"/>
    <n v="7"/>
    <d v="1899-12-30T00:11:33"/>
    <n v="11.55"/>
  </r>
  <r>
    <x v="178"/>
    <x v="4"/>
    <x v="0"/>
    <n v="27"/>
    <d v="1899-12-30T01:09:05"/>
    <n v="69.083333333333329"/>
  </r>
  <r>
    <x v="178"/>
    <x v="4"/>
    <x v="1"/>
    <n v="31"/>
    <d v="1899-12-30T01:13:58"/>
    <n v="73.966666666666669"/>
  </r>
  <r>
    <x v="178"/>
    <x v="4"/>
    <x v="2"/>
    <n v="14"/>
    <d v="1899-12-30T00:42:43"/>
    <n v="42.716666666666669"/>
  </r>
  <r>
    <x v="178"/>
    <x v="4"/>
    <x v="3"/>
    <n v="0"/>
    <d v="1899-12-30T00:00:00"/>
    <n v="0"/>
  </r>
  <r>
    <x v="178"/>
    <x v="4"/>
    <x v="4"/>
    <n v="8"/>
    <d v="1899-12-30T00:19:44"/>
    <n v="19.733333333333334"/>
  </r>
  <r>
    <x v="178"/>
    <x v="4"/>
    <x v="5"/>
    <n v="16"/>
    <d v="1899-12-30T00:21:43"/>
    <n v="21.716666666666665"/>
  </r>
  <r>
    <x v="178"/>
    <x v="5"/>
    <x v="0"/>
    <n v="16"/>
    <d v="1899-12-30T00:32:17"/>
    <n v="32.283333333333331"/>
  </r>
  <r>
    <x v="178"/>
    <x v="5"/>
    <x v="1"/>
    <n v="14"/>
    <d v="1899-12-30T00:28:12"/>
    <n v="28.2"/>
  </r>
  <r>
    <x v="178"/>
    <x v="5"/>
    <x v="2"/>
    <n v="24"/>
    <d v="1899-12-30T00:37:06"/>
    <n v="37.1"/>
  </r>
  <r>
    <x v="178"/>
    <x v="5"/>
    <x v="3"/>
    <n v="0"/>
    <d v="1899-12-30T00:00:00"/>
    <n v="0"/>
  </r>
  <r>
    <x v="178"/>
    <x v="5"/>
    <x v="4"/>
    <n v="7"/>
    <d v="1899-12-30T00:15:29"/>
    <n v="15.483333333333333"/>
  </r>
  <r>
    <x v="178"/>
    <x v="5"/>
    <x v="5"/>
    <n v="28"/>
    <d v="1899-12-30T00:42:18"/>
    <n v="42.3"/>
  </r>
  <r>
    <x v="178"/>
    <x v="6"/>
    <x v="0"/>
    <n v="8"/>
    <d v="1899-12-30T00:16:56"/>
    <n v="16.933333333333334"/>
  </r>
  <r>
    <x v="178"/>
    <x v="6"/>
    <x v="1"/>
    <n v="16"/>
    <d v="1899-12-30T00:36:28"/>
    <n v="36.466666666666669"/>
  </r>
  <r>
    <x v="178"/>
    <x v="6"/>
    <x v="2"/>
    <n v="14"/>
    <d v="1899-12-30T00:27:18"/>
    <n v="27.3"/>
  </r>
  <r>
    <x v="178"/>
    <x v="6"/>
    <x v="3"/>
    <n v="0"/>
    <d v="1899-12-30T00:00:00"/>
    <n v="0"/>
  </r>
  <r>
    <x v="178"/>
    <x v="6"/>
    <x v="4"/>
    <n v="12"/>
    <d v="1899-12-30T00:18:17"/>
    <n v="18.283333333333335"/>
  </r>
  <r>
    <x v="178"/>
    <x v="6"/>
    <x v="5"/>
    <n v="8"/>
    <d v="1899-12-30T00:13:20"/>
    <n v="13.333333333333334"/>
  </r>
  <r>
    <x v="178"/>
    <x v="7"/>
    <x v="0"/>
    <n v="31"/>
    <d v="1899-12-30T00:51:37"/>
    <n v="51.616666666666667"/>
  </r>
  <r>
    <x v="178"/>
    <x v="7"/>
    <x v="1"/>
    <n v="50"/>
    <d v="1899-12-30T01:22:52"/>
    <n v="82.86666666666666"/>
  </r>
  <r>
    <x v="178"/>
    <x v="7"/>
    <x v="2"/>
    <n v="33"/>
    <d v="1899-12-30T00:39:43"/>
    <n v="39.716666666666669"/>
  </r>
  <r>
    <x v="178"/>
    <x v="7"/>
    <x v="3"/>
    <n v="0"/>
    <d v="1899-12-30T00:00:00"/>
    <n v="0"/>
  </r>
  <r>
    <x v="178"/>
    <x v="7"/>
    <x v="4"/>
    <n v="110"/>
    <d v="1899-12-30T03:29:19"/>
    <n v="209.31666666666666"/>
  </r>
  <r>
    <x v="178"/>
    <x v="7"/>
    <x v="5"/>
    <n v="44"/>
    <d v="1899-12-30T00:44:02"/>
    <n v="44.033333333333331"/>
  </r>
  <r>
    <x v="178"/>
    <x v="8"/>
    <x v="0"/>
    <n v="12"/>
    <d v="1899-12-30T00:20:34"/>
    <n v="20.566666666666666"/>
  </r>
  <r>
    <x v="178"/>
    <x v="8"/>
    <x v="1"/>
    <n v="17"/>
    <d v="1899-12-30T00:36:11"/>
    <n v="36.18333333333333"/>
  </r>
  <r>
    <x v="178"/>
    <x v="8"/>
    <x v="2"/>
    <n v="9"/>
    <d v="1899-12-30T00:15:11"/>
    <n v="15.183333333333334"/>
  </r>
  <r>
    <x v="178"/>
    <x v="8"/>
    <x v="3"/>
    <n v="0"/>
    <d v="1899-12-30T00:00:00"/>
    <n v="0"/>
  </r>
  <r>
    <x v="178"/>
    <x v="8"/>
    <x v="4"/>
    <n v="6"/>
    <d v="1899-12-30T00:11:26"/>
    <n v="11.433333333333334"/>
  </r>
  <r>
    <x v="178"/>
    <x v="8"/>
    <x v="5"/>
    <n v="29"/>
    <d v="1899-12-30T00:38:07"/>
    <n v="38.116666666666667"/>
  </r>
  <r>
    <x v="178"/>
    <x v="9"/>
    <x v="0"/>
    <n v="17"/>
    <d v="1899-12-30T00:35:19"/>
    <n v="35.31666666666667"/>
  </r>
  <r>
    <x v="178"/>
    <x v="9"/>
    <x v="1"/>
    <n v="39"/>
    <d v="1899-12-30T01:08:50"/>
    <n v="68.833333333333329"/>
  </r>
  <r>
    <x v="178"/>
    <x v="9"/>
    <x v="2"/>
    <n v="41"/>
    <d v="1899-12-30T01:13:54"/>
    <n v="73.900000000000006"/>
  </r>
  <r>
    <x v="178"/>
    <x v="9"/>
    <x v="3"/>
    <n v="0"/>
    <d v="1899-12-30T00:00:00"/>
    <n v="0"/>
  </r>
  <r>
    <x v="178"/>
    <x v="9"/>
    <x v="4"/>
    <n v="8"/>
    <d v="1899-12-30T00:13:41"/>
    <n v="13.683333333333334"/>
  </r>
  <r>
    <x v="178"/>
    <x v="9"/>
    <x v="5"/>
    <n v="17"/>
    <d v="1899-12-30T00:31:05"/>
    <n v="31.083333333333332"/>
  </r>
  <r>
    <x v="178"/>
    <x v="10"/>
    <x v="0"/>
    <n v="13"/>
    <d v="1899-12-30T00:30:37"/>
    <n v="30.616666666666667"/>
  </r>
  <r>
    <x v="178"/>
    <x v="10"/>
    <x v="1"/>
    <n v="18"/>
    <d v="1899-12-30T00:51:11"/>
    <n v="51.18333333333333"/>
  </r>
  <r>
    <x v="178"/>
    <x v="10"/>
    <x v="2"/>
    <n v="12"/>
    <d v="1899-12-30T00:24:50"/>
    <n v="24.833333333333332"/>
  </r>
  <r>
    <x v="178"/>
    <x v="10"/>
    <x v="3"/>
    <n v="0"/>
    <d v="1899-12-30T00:00:00"/>
    <n v="0"/>
  </r>
  <r>
    <x v="178"/>
    <x v="10"/>
    <x v="4"/>
    <n v="6"/>
    <d v="1899-12-30T00:13:52"/>
    <n v="13.866666666666667"/>
  </r>
  <r>
    <x v="178"/>
    <x v="10"/>
    <x v="5"/>
    <n v="8"/>
    <d v="1899-12-30T00:15:15"/>
    <n v="15.25"/>
  </r>
  <r>
    <x v="178"/>
    <x v="11"/>
    <x v="0"/>
    <n v="9"/>
    <d v="1899-12-30T00:22:36"/>
    <n v="22.6"/>
  </r>
  <r>
    <x v="178"/>
    <x v="11"/>
    <x v="1"/>
    <n v="10"/>
    <d v="1899-12-30T00:31:38"/>
    <n v="31.633333333333333"/>
  </r>
  <r>
    <x v="178"/>
    <x v="11"/>
    <x v="2"/>
    <n v="0"/>
    <d v="1899-12-30T00:00:00"/>
    <n v="0"/>
  </r>
  <r>
    <x v="178"/>
    <x v="11"/>
    <x v="3"/>
    <n v="0"/>
    <d v="1899-12-30T00:00:00"/>
    <n v="0"/>
  </r>
  <r>
    <x v="178"/>
    <x v="11"/>
    <x v="4"/>
    <n v="5"/>
    <d v="1899-12-30T00:11:23"/>
    <n v="11.383333333333333"/>
  </r>
  <r>
    <x v="178"/>
    <x v="11"/>
    <x v="5"/>
    <n v="6"/>
    <d v="1899-12-30T00:10:45"/>
    <n v="10.75"/>
  </r>
  <r>
    <x v="178"/>
    <x v="12"/>
    <x v="0"/>
    <n v="96"/>
    <d v="1899-12-30T03:50:07"/>
    <n v="230.11666666666667"/>
  </r>
  <r>
    <x v="178"/>
    <x v="12"/>
    <x v="1"/>
    <n v="99"/>
    <d v="1899-12-30T03:42:56"/>
    <n v="222.93333333333334"/>
  </r>
  <r>
    <x v="178"/>
    <x v="12"/>
    <x v="2"/>
    <n v="83"/>
    <d v="1899-12-30T02:23:25"/>
    <n v="143.41666666666666"/>
  </r>
  <r>
    <x v="178"/>
    <x v="12"/>
    <x v="3"/>
    <n v="0"/>
    <d v="1899-12-30T00:00:00"/>
    <n v="0"/>
  </r>
  <r>
    <x v="178"/>
    <x v="12"/>
    <x v="4"/>
    <n v="35"/>
    <d v="1899-12-30T01:24:15"/>
    <n v="84.25"/>
  </r>
  <r>
    <x v="178"/>
    <x v="12"/>
    <x v="5"/>
    <n v="85"/>
    <d v="1899-12-30T02:17:02"/>
    <n v="137.03333333333333"/>
  </r>
  <r>
    <x v="178"/>
    <x v="13"/>
    <x v="0"/>
    <n v="7"/>
    <d v="1899-12-30T00:15:10"/>
    <n v="15.166666666666666"/>
  </r>
  <r>
    <x v="178"/>
    <x v="13"/>
    <x v="1"/>
    <n v="9"/>
    <d v="1899-12-30T00:17:02"/>
    <n v="17.033333333333335"/>
  </r>
  <r>
    <x v="178"/>
    <x v="13"/>
    <x v="2"/>
    <n v="8"/>
    <d v="1899-12-30T00:09:32"/>
    <n v="9.5333333333333332"/>
  </r>
  <r>
    <x v="178"/>
    <x v="13"/>
    <x v="3"/>
    <n v="0"/>
    <d v="1899-12-30T00:00:00"/>
    <n v="0"/>
  </r>
  <r>
    <x v="178"/>
    <x v="13"/>
    <x v="4"/>
    <n v="3"/>
    <d v="1899-12-30T00:08:37"/>
    <n v="8.6166666666666671"/>
  </r>
  <r>
    <x v="178"/>
    <x v="13"/>
    <x v="5"/>
    <n v="31"/>
    <d v="1899-12-30T00:38:33"/>
    <n v="38.549999999999997"/>
  </r>
  <r>
    <x v="179"/>
    <x v="0"/>
    <x v="0"/>
    <n v="45"/>
    <d v="1899-12-30T01:12:42"/>
    <n v="72.7"/>
  </r>
  <r>
    <x v="179"/>
    <x v="0"/>
    <x v="1"/>
    <n v="41"/>
    <d v="1899-12-30T01:05:30"/>
    <n v="65.5"/>
  </r>
  <r>
    <x v="179"/>
    <x v="0"/>
    <x v="2"/>
    <n v="49"/>
    <d v="1899-12-30T01:08:09"/>
    <n v="68.150000000000006"/>
  </r>
  <r>
    <x v="179"/>
    <x v="0"/>
    <x v="3"/>
    <n v="0"/>
    <d v="1899-12-30T00:00:00"/>
    <n v="0"/>
  </r>
  <r>
    <x v="179"/>
    <x v="0"/>
    <x v="4"/>
    <n v="11"/>
    <d v="1899-12-30T00:16:21"/>
    <n v="16.350000000000001"/>
  </r>
  <r>
    <x v="179"/>
    <x v="0"/>
    <x v="5"/>
    <n v="53"/>
    <d v="1899-12-30T00:59:08"/>
    <n v="59.133333333333333"/>
  </r>
  <r>
    <x v="179"/>
    <x v="1"/>
    <x v="0"/>
    <n v="17"/>
    <d v="1899-12-30T00:51:47"/>
    <n v="51.783333333333331"/>
  </r>
  <r>
    <x v="179"/>
    <x v="1"/>
    <x v="1"/>
    <n v="16"/>
    <d v="1899-12-30T00:52:54"/>
    <n v="52.9"/>
  </r>
  <r>
    <x v="179"/>
    <x v="1"/>
    <x v="2"/>
    <n v="16"/>
    <d v="1899-12-30T00:35:20"/>
    <n v="35.333333333333336"/>
  </r>
  <r>
    <x v="179"/>
    <x v="1"/>
    <x v="3"/>
    <n v="0"/>
    <d v="1899-12-30T00:00:00"/>
    <n v="0"/>
  </r>
  <r>
    <x v="179"/>
    <x v="1"/>
    <x v="4"/>
    <n v="17"/>
    <d v="1899-12-30T00:39:11"/>
    <n v="39.18333333333333"/>
  </r>
  <r>
    <x v="179"/>
    <x v="1"/>
    <x v="5"/>
    <n v="43"/>
    <d v="1899-12-30T01:22:29"/>
    <n v="82.483333333333334"/>
  </r>
  <r>
    <x v="179"/>
    <x v="2"/>
    <x v="0"/>
    <n v="46"/>
    <d v="1899-12-30T02:05:52"/>
    <n v="125.86666666666666"/>
  </r>
  <r>
    <x v="179"/>
    <x v="2"/>
    <x v="1"/>
    <n v="45"/>
    <d v="1899-12-30T02:08:12"/>
    <n v="128.19999999999999"/>
  </r>
  <r>
    <x v="179"/>
    <x v="2"/>
    <x v="2"/>
    <n v="25"/>
    <d v="1899-12-30T00:50:29"/>
    <n v="50.483333333333334"/>
  </r>
  <r>
    <x v="179"/>
    <x v="2"/>
    <x v="3"/>
    <n v="0"/>
    <d v="1899-12-30T00:00:00"/>
    <n v="0"/>
  </r>
  <r>
    <x v="179"/>
    <x v="2"/>
    <x v="4"/>
    <n v="15"/>
    <d v="1899-12-30T00:32:29"/>
    <n v="32.483333333333334"/>
  </r>
  <r>
    <x v="179"/>
    <x v="2"/>
    <x v="5"/>
    <n v="32"/>
    <d v="1899-12-30T00:44:40"/>
    <n v="44.666666666666664"/>
  </r>
  <r>
    <x v="179"/>
    <x v="3"/>
    <x v="0"/>
    <n v="7"/>
    <d v="1899-12-30T00:14:14"/>
    <n v="14.233333333333333"/>
  </r>
  <r>
    <x v="179"/>
    <x v="3"/>
    <x v="1"/>
    <n v="7"/>
    <d v="1899-12-30T00:14:09"/>
    <n v="14.15"/>
  </r>
  <r>
    <x v="179"/>
    <x v="3"/>
    <x v="2"/>
    <n v="3"/>
    <d v="1899-12-30T00:07:11"/>
    <n v="7.1833333333333336"/>
  </r>
  <r>
    <x v="179"/>
    <x v="3"/>
    <x v="3"/>
    <n v="0"/>
    <d v="1899-12-30T00:00:00"/>
    <n v="0"/>
  </r>
  <r>
    <x v="179"/>
    <x v="3"/>
    <x v="4"/>
    <n v="1"/>
    <d v="1899-12-30T00:02:31"/>
    <n v="2.5166666666666666"/>
  </r>
  <r>
    <x v="179"/>
    <x v="3"/>
    <x v="5"/>
    <n v="5"/>
    <d v="1899-12-30T00:05:31"/>
    <n v="5.5166666666666666"/>
  </r>
  <r>
    <x v="179"/>
    <x v="4"/>
    <x v="0"/>
    <n v="27"/>
    <d v="1899-12-30T01:08:17"/>
    <n v="68.283333333333331"/>
  </r>
  <r>
    <x v="179"/>
    <x v="4"/>
    <x v="1"/>
    <n v="22"/>
    <d v="1899-12-30T00:45:30"/>
    <n v="45.5"/>
  </r>
  <r>
    <x v="179"/>
    <x v="4"/>
    <x v="2"/>
    <n v="20"/>
    <d v="1899-12-30T00:43:07"/>
    <n v="43.116666666666667"/>
  </r>
  <r>
    <x v="179"/>
    <x v="4"/>
    <x v="3"/>
    <n v="0"/>
    <d v="1899-12-30T00:00:00"/>
    <n v="0"/>
  </r>
  <r>
    <x v="179"/>
    <x v="4"/>
    <x v="4"/>
    <n v="15"/>
    <d v="1899-12-30T00:36:53"/>
    <n v="36.883333333333333"/>
  </r>
  <r>
    <x v="179"/>
    <x v="4"/>
    <x v="5"/>
    <n v="17"/>
    <d v="1899-12-30T00:18:49"/>
    <n v="18.816666666666666"/>
  </r>
  <r>
    <x v="179"/>
    <x v="5"/>
    <x v="0"/>
    <n v="8"/>
    <d v="1899-12-30T00:15:04"/>
    <n v="15.066666666666666"/>
  </r>
  <r>
    <x v="179"/>
    <x v="5"/>
    <x v="1"/>
    <n v="8"/>
    <d v="1899-12-30T00:14:20"/>
    <n v="14.333333333333334"/>
  </r>
  <r>
    <x v="179"/>
    <x v="5"/>
    <x v="2"/>
    <n v="11"/>
    <d v="1899-12-30T00:12:37"/>
    <n v="12.616666666666667"/>
  </r>
  <r>
    <x v="179"/>
    <x v="5"/>
    <x v="3"/>
    <n v="0"/>
    <d v="1899-12-30T00:00:00"/>
    <n v="0"/>
  </r>
  <r>
    <x v="179"/>
    <x v="5"/>
    <x v="4"/>
    <n v="6"/>
    <d v="1899-12-30T00:13:25"/>
    <n v="13.416666666666666"/>
  </r>
  <r>
    <x v="179"/>
    <x v="5"/>
    <x v="5"/>
    <n v="19"/>
    <d v="1899-12-30T00:23:13"/>
    <n v="23.216666666666665"/>
  </r>
  <r>
    <x v="179"/>
    <x v="6"/>
    <x v="0"/>
    <n v="7"/>
    <d v="1899-12-30T00:11:07"/>
    <n v="11.116666666666667"/>
  </r>
  <r>
    <x v="179"/>
    <x v="6"/>
    <x v="1"/>
    <n v="12"/>
    <d v="1899-12-30T00:17:37"/>
    <n v="17.616666666666667"/>
  </r>
  <r>
    <x v="179"/>
    <x v="6"/>
    <x v="2"/>
    <n v="4"/>
    <d v="1899-12-30T00:07:21"/>
    <n v="7.35"/>
  </r>
  <r>
    <x v="179"/>
    <x v="6"/>
    <x v="3"/>
    <n v="0"/>
    <d v="1899-12-30T00:00:00"/>
    <n v="0"/>
  </r>
  <r>
    <x v="179"/>
    <x v="6"/>
    <x v="4"/>
    <n v="5"/>
    <d v="1899-12-30T00:10:11"/>
    <n v="10.183333333333334"/>
  </r>
  <r>
    <x v="179"/>
    <x v="6"/>
    <x v="5"/>
    <n v="4"/>
    <d v="1899-12-30T00:06:47"/>
    <n v="6.7833333333333332"/>
  </r>
  <r>
    <x v="179"/>
    <x v="7"/>
    <x v="0"/>
    <n v="16"/>
    <d v="1899-12-30T00:26:02"/>
    <n v="26.033333333333335"/>
  </r>
  <r>
    <x v="179"/>
    <x v="7"/>
    <x v="1"/>
    <n v="38"/>
    <d v="1899-12-30T00:54:22"/>
    <n v="54.366666666666667"/>
  </r>
  <r>
    <x v="179"/>
    <x v="7"/>
    <x v="2"/>
    <n v="23"/>
    <d v="1899-12-30T00:31:04"/>
    <n v="31.066666666666666"/>
  </r>
  <r>
    <x v="179"/>
    <x v="7"/>
    <x v="3"/>
    <n v="0"/>
    <d v="1899-12-30T00:00:00"/>
    <n v="0"/>
  </r>
  <r>
    <x v="179"/>
    <x v="7"/>
    <x v="4"/>
    <n v="111"/>
    <d v="1899-12-30T03:43:56"/>
    <n v="223.93333333333334"/>
  </r>
  <r>
    <x v="179"/>
    <x v="7"/>
    <x v="5"/>
    <n v="36"/>
    <d v="1899-12-30T00:33:27"/>
    <n v="33.450000000000003"/>
  </r>
  <r>
    <x v="179"/>
    <x v="8"/>
    <x v="0"/>
    <n v="9"/>
    <d v="1899-12-30T00:18:22"/>
    <n v="18.366666666666667"/>
  </r>
  <r>
    <x v="179"/>
    <x v="8"/>
    <x v="1"/>
    <n v="12"/>
    <d v="1899-12-30T00:13:08"/>
    <n v="13.133333333333333"/>
  </r>
  <r>
    <x v="179"/>
    <x v="8"/>
    <x v="2"/>
    <n v="13"/>
    <d v="1899-12-30T00:20:29"/>
    <n v="20.483333333333334"/>
  </r>
  <r>
    <x v="179"/>
    <x v="8"/>
    <x v="3"/>
    <n v="0"/>
    <d v="1899-12-30T00:00:00"/>
    <n v="0"/>
  </r>
  <r>
    <x v="179"/>
    <x v="8"/>
    <x v="4"/>
    <n v="4"/>
    <d v="1899-12-30T00:07:12"/>
    <n v="7.2"/>
  </r>
  <r>
    <x v="179"/>
    <x v="8"/>
    <x v="5"/>
    <n v="16"/>
    <d v="1899-12-30T00:20:40"/>
    <n v="20.666666666666668"/>
  </r>
  <r>
    <x v="179"/>
    <x v="9"/>
    <x v="0"/>
    <n v="10"/>
    <d v="1899-12-30T00:18:54"/>
    <n v="18.899999999999999"/>
  </r>
  <r>
    <x v="179"/>
    <x v="9"/>
    <x v="1"/>
    <n v="18"/>
    <d v="1899-12-30T00:32:30"/>
    <n v="32.5"/>
  </r>
  <r>
    <x v="179"/>
    <x v="9"/>
    <x v="2"/>
    <n v="16"/>
    <d v="1899-12-30T00:24:17"/>
    <n v="24.283333333333335"/>
  </r>
  <r>
    <x v="179"/>
    <x v="9"/>
    <x v="3"/>
    <n v="0"/>
    <d v="1899-12-30T00:00:00"/>
    <n v="0"/>
  </r>
  <r>
    <x v="179"/>
    <x v="9"/>
    <x v="4"/>
    <n v="4"/>
    <d v="1899-12-30T00:06:09"/>
    <n v="6.15"/>
  </r>
  <r>
    <x v="179"/>
    <x v="9"/>
    <x v="5"/>
    <n v="19"/>
    <d v="1899-12-30T00:21:20"/>
    <n v="21.333333333333332"/>
  </r>
  <r>
    <x v="179"/>
    <x v="10"/>
    <x v="0"/>
    <n v="4"/>
    <d v="1899-12-30T00:09:56"/>
    <n v="9.9333333333333336"/>
  </r>
  <r>
    <x v="179"/>
    <x v="10"/>
    <x v="1"/>
    <n v="3"/>
    <d v="1899-12-30T00:05:47"/>
    <n v="5.7833333333333332"/>
  </r>
  <r>
    <x v="179"/>
    <x v="10"/>
    <x v="2"/>
    <n v="9"/>
    <d v="1899-12-30T00:14:27"/>
    <n v="14.45"/>
  </r>
  <r>
    <x v="179"/>
    <x v="10"/>
    <x v="3"/>
    <n v="0"/>
    <d v="1899-12-30T00:00:00"/>
    <n v="0"/>
  </r>
  <r>
    <x v="179"/>
    <x v="10"/>
    <x v="4"/>
    <n v="5"/>
    <d v="1899-12-30T00:13:35"/>
    <n v="13.583333333333334"/>
  </r>
  <r>
    <x v="179"/>
    <x v="10"/>
    <x v="5"/>
    <n v="5"/>
    <d v="1899-12-30T00:06:57"/>
    <n v="6.95"/>
  </r>
  <r>
    <x v="179"/>
    <x v="11"/>
    <x v="0"/>
    <n v="10"/>
    <d v="1899-12-30T00:24:44"/>
    <n v="24.733333333333334"/>
  </r>
  <r>
    <x v="179"/>
    <x v="11"/>
    <x v="1"/>
    <n v="3"/>
    <d v="1899-12-30T00:06:09"/>
    <n v="6.15"/>
  </r>
  <r>
    <x v="179"/>
    <x v="11"/>
    <x v="2"/>
    <n v="7"/>
    <d v="1899-12-30T00:19:11"/>
    <n v="19.183333333333334"/>
  </r>
  <r>
    <x v="179"/>
    <x v="11"/>
    <x v="3"/>
    <n v="0"/>
    <d v="1899-12-30T00:00:00"/>
    <n v="0"/>
  </r>
  <r>
    <x v="179"/>
    <x v="11"/>
    <x v="4"/>
    <n v="10"/>
    <d v="1899-12-30T00:18:11"/>
    <n v="18.183333333333334"/>
  </r>
  <r>
    <x v="179"/>
    <x v="11"/>
    <x v="5"/>
    <n v="7"/>
    <d v="1899-12-30T00:14:26"/>
    <n v="14.433333333333334"/>
  </r>
  <r>
    <x v="179"/>
    <x v="12"/>
    <x v="0"/>
    <n v="221"/>
    <d v="1899-12-30T07:49:01"/>
    <n v="469.01666666666665"/>
  </r>
  <r>
    <x v="179"/>
    <x v="12"/>
    <x v="1"/>
    <n v="236"/>
    <d v="1899-12-30T07:44:48"/>
    <n v="464.8"/>
  </r>
  <r>
    <x v="179"/>
    <x v="12"/>
    <x v="2"/>
    <n v="166"/>
    <d v="1899-12-30T04:29:05"/>
    <n v="269.08333333333331"/>
  </r>
  <r>
    <x v="179"/>
    <x v="12"/>
    <x v="3"/>
    <n v="0"/>
    <d v="1899-12-30T00:00:00"/>
    <n v="0"/>
  </r>
  <r>
    <x v="179"/>
    <x v="12"/>
    <x v="4"/>
    <n v="38"/>
    <d v="1899-12-30T01:15:31"/>
    <n v="75.516666666666666"/>
  </r>
  <r>
    <x v="179"/>
    <x v="12"/>
    <x v="5"/>
    <n v="177"/>
    <d v="1899-12-30T03:57:14"/>
    <n v="237.23333333333332"/>
  </r>
  <r>
    <x v="179"/>
    <x v="13"/>
    <x v="0"/>
    <n v="2"/>
    <d v="1899-12-30T00:04:55"/>
    <n v="4.916666666666667"/>
  </r>
  <r>
    <x v="179"/>
    <x v="13"/>
    <x v="1"/>
    <n v="2"/>
    <d v="1899-12-30T00:00:34"/>
    <n v="0.56666666666666665"/>
  </r>
  <r>
    <x v="179"/>
    <x v="13"/>
    <x v="2"/>
    <n v="7"/>
    <d v="1899-12-30T00:08:37"/>
    <n v="8.6166666666666671"/>
  </r>
  <r>
    <x v="179"/>
    <x v="13"/>
    <x v="3"/>
    <n v="0"/>
    <d v="1899-12-30T00:00:00"/>
    <n v="0"/>
  </r>
  <r>
    <x v="179"/>
    <x v="13"/>
    <x v="4"/>
    <n v="1"/>
    <d v="1899-12-30T00:02:15"/>
    <n v="2.25"/>
  </r>
  <r>
    <x v="179"/>
    <x v="13"/>
    <x v="5"/>
    <n v="10"/>
    <d v="1899-12-30T00:11:35"/>
    <n v="11.583333333333334"/>
  </r>
  <r>
    <x v="180"/>
    <x v="0"/>
    <x v="0"/>
    <n v="46"/>
    <d v="1899-12-30T01:19:51"/>
    <n v="79.849999999999994"/>
  </r>
  <r>
    <x v="180"/>
    <x v="0"/>
    <x v="1"/>
    <n v="43"/>
    <d v="1899-12-30T00:58:36"/>
    <n v="58.6"/>
  </r>
  <r>
    <x v="180"/>
    <x v="0"/>
    <x v="2"/>
    <n v="30"/>
    <d v="1899-12-30T00:42:36"/>
    <n v="42.6"/>
  </r>
  <r>
    <x v="180"/>
    <x v="0"/>
    <x v="3"/>
    <n v="0"/>
    <d v="1899-12-30T00:00:00"/>
    <n v="0"/>
  </r>
  <r>
    <x v="180"/>
    <x v="0"/>
    <x v="4"/>
    <n v="16"/>
    <d v="1899-12-30T00:34:29"/>
    <n v="34.483333333333334"/>
  </r>
  <r>
    <x v="180"/>
    <x v="0"/>
    <x v="5"/>
    <n v="36"/>
    <d v="1899-12-30T00:35:54"/>
    <n v="35.9"/>
  </r>
  <r>
    <x v="180"/>
    <x v="1"/>
    <x v="0"/>
    <n v="15"/>
    <d v="1899-12-30T00:33:43"/>
    <n v="33.716666666666669"/>
  </r>
  <r>
    <x v="180"/>
    <x v="1"/>
    <x v="1"/>
    <n v="22"/>
    <d v="1899-12-30T00:52:08"/>
    <n v="52.133333333333333"/>
  </r>
  <r>
    <x v="180"/>
    <x v="1"/>
    <x v="2"/>
    <n v="14"/>
    <d v="1899-12-30T00:31:06"/>
    <n v="31.1"/>
  </r>
  <r>
    <x v="180"/>
    <x v="1"/>
    <x v="3"/>
    <n v="0"/>
    <d v="1899-12-30T00:00:00"/>
    <n v="0"/>
  </r>
  <r>
    <x v="180"/>
    <x v="1"/>
    <x v="4"/>
    <n v="16"/>
    <d v="1899-12-30T00:37:43"/>
    <n v="37.716666666666669"/>
  </r>
  <r>
    <x v="180"/>
    <x v="1"/>
    <x v="5"/>
    <n v="39"/>
    <d v="1899-12-30T01:15:11"/>
    <n v="75.183333333333337"/>
  </r>
  <r>
    <x v="180"/>
    <x v="2"/>
    <x v="0"/>
    <n v="60"/>
    <d v="1899-12-30T02:35:05"/>
    <n v="155.08333333333334"/>
  </r>
  <r>
    <x v="180"/>
    <x v="2"/>
    <x v="1"/>
    <n v="53"/>
    <d v="1899-12-30T02:05:32"/>
    <n v="125.53333333333333"/>
  </r>
  <r>
    <x v="180"/>
    <x v="2"/>
    <x v="2"/>
    <n v="36"/>
    <d v="1899-12-30T01:17:21"/>
    <n v="77.349999999999994"/>
  </r>
  <r>
    <x v="180"/>
    <x v="2"/>
    <x v="3"/>
    <n v="0"/>
    <d v="1899-12-30T00:00:00"/>
    <n v="0"/>
  </r>
  <r>
    <x v="180"/>
    <x v="2"/>
    <x v="4"/>
    <n v="7"/>
    <d v="1899-12-30T00:15:56"/>
    <n v="15.933333333333334"/>
  </r>
  <r>
    <x v="180"/>
    <x v="2"/>
    <x v="5"/>
    <n v="33"/>
    <d v="1899-12-30T00:55:38"/>
    <n v="55.633333333333333"/>
  </r>
  <r>
    <x v="180"/>
    <x v="3"/>
    <x v="0"/>
    <n v="5"/>
    <d v="1899-12-30T00:17:08"/>
    <n v="17.133333333333333"/>
  </r>
  <r>
    <x v="180"/>
    <x v="3"/>
    <x v="1"/>
    <n v="6"/>
    <d v="1899-12-30T00:08:52"/>
    <n v="8.8666666666666671"/>
  </r>
  <r>
    <x v="180"/>
    <x v="3"/>
    <x v="2"/>
    <n v="3"/>
    <d v="1899-12-30T00:05:26"/>
    <n v="5.4333333333333336"/>
  </r>
  <r>
    <x v="180"/>
    <x v="3"/>
    <x v="3"/>
    <n v="0"/>
    <d v="1899-12-30T00:00:00"/>
    <n v="0"/>
  </r>
  <r>
    <x v="180"/>
    <x v="3"/>
    <x v="4"/>
    <n v="0"/>
    <d v="1899-12-30T00:00:00"/>
    <n v="0"/>
  </r>
  <r>
    <x v="180"/>
    <x v="3"/>
    <x v="5"/>
    <n v="6"/>
    <d v="1899-12-30T00:10:05"/>
    <n v="10.083333333333334"/>
  </r>
  <r>
    <x v="180"/>
    <x v="4"/>
    <x v="0"/>
    <n v="18"/>
    <d v="1899-12-30T01:03:55"/>
    <n v="63.916666666666664"/>
  </r>
  <r>
    <x v="180"/>
    <x v="4"/>
    <x v="1"/>
    <n v="20"/>
    <d v="1899-12-30T00:55:27"/>
    <n v="55.45"/>
  </r>
  <r>
    <x v="180"/>
    <x v="4"/>
    <x v="2"/>
    <n v="7"/>
    <d v="1899-12-30T00:20:42"/>
    <n v="20.7"/>
  </r>
  <r>
    <x v="180"/>
    <x v="4"/>
    <x v="3"/>
    <n v="0"/>
    <d v="1899-12-30T00:00:00"/>
    <n v="0"/>
  </r>
  <r>
    <x v="180"/>
    <x v="4"/>
    <x v="4"/>
    <n v="14"/>
    <d v="1899-12-30T00:30:39"/>
    <n v="30.65"/>
  </r>
  <r>
    <x v="180"/>
    <x v="4"/>
    <x v="5"/>
    <n v="11"/>
    <d v="1899-12-30T00:16:43"/>
    <n v="16.716666666666665"/>
  </r>
  <r>
    <x v="180"/>
    <x v="5"/>
    <x v="0"/>
    <n v="19"/>
    <d v="1899-12-30T00:30:35"/>
    <n v="30.583333333333332"/>
  </r>
  <r>
    <x v="180"/>
    <x v="5"/>
    <x v="1"/>
    <n v="14"/>
    <d v="1899-12-30T00:17:00"/>
    <n v="17"/>
  </r>
  <r>
    <x v="180"/>
    <x v="5"/>
    <x v="2"/>
    <n v="19"/>
    <d v="1899-12-30T00:35:20"/>
    <n v="35.333333333333336"/>
  </r>
  <r>
    <x v="180"/>
    <x v="5"/>
    <x v="3"/>
    <n v="0"/>
    <d v="1899-12-30T00:00:00"/>
    <n v="0"/>
  </r>
  <r>
    <x v="180"/>
    <x v="5"/>
    <x v="4"/>
    <n v="2"/>
    <d v="1899-12-30T00:02:31"/>
    <n v="2.5166666666666666"/>
  </r>
  <r>
    <x v="180"/>
    <x v="5"/>
    <x v="5"/>
    <n v="24"/>
    <d v="1899-12-30T00:31:59"/>
    <n v="31.983333333333334"/>
  </r>
  <r>
    <x v="180"/>
    <x v="6"/>
    <x v="0"/>
    <n v="10"/>
    <d v="1899-12-30T00:19:36"/>
    <n v="19.600000000000001"/>
  </r>
  <r>
    <x v="180"/>
    <x v="6"/>
    <x v="1"/>
    <n v="9"/>
    <d v="1899-12-30T00:18:17"/>
    <n v="18.283333333333335"/>
  </r>
  <r>
    <x v="180"/>
    <x v="6"/>
    <x v="2"/>
    <n v="10"/>
    <d v="1899-12-30T00:20:39"/>
    <n v="20.65"/>
  </r>
  <r>
    <x v="180"/>
    <x v="6"/>
    <x v="3"/>
    <n v="0"/>
    <d v="1899-12-30T00:00:00"/>
    <n v="0"/>
  </r>
  <r>
    <x v="180"/>
    <x v="6"/>
    <x v="4"/>
    <n v="9"/>
    <d v="1899-12-30T00:17:51"/>
    <n v="17.850000000000001"/>
  </r>
  <r>
    <x v="180"/>
    <x v="6"/>
    <x v="5"/>
    <n v="11"/>
    <d v="1899-12-30T00:15:53"/>
    <n v="15.883333333333333"/>
  </r>
  <r>
    <x v="180"/>
    <x v="7"/>
    <x v="0"/>
    <n v="23"/>
    <d v="1899-12-30T00:43:58"/>
    <n v="43.966666666666669"/>
  </r>
  <r>
    <x v="180"/>
    <x v="7"/>
    <x v="1"/>
    <n v="40"/>
    <d v="1899-12-30T01:03:47"/>
    <n v="63.783333333333331"/>
  </r>
  <r>
    <x v="180"/>
    <x v="7"/>
    <x v="2"/>
    <n v="21"/>
    <d v="1899-12-30T00:31:43"/>
    <n v="31.716666666666665"/>
  </r>
  <r>
    <x v="180"/>
    <x v="7"/>
    <x v="3"/>
    <n v="0"/>
    <d v="1899-12-30T00:00:00"/>
    <n v="0"/>
  </r>
  <r>
    <x v="180"/>
    <x v="7"/>
    <x v="4"/>
    <n v="120"/>
    <d v="1899-12-30T03:48:10"/>
    <n v="228.16666666666666"/>
  </r>
  <r>
    <x v="180"/>
    <x v="7"/>
    <x v="5"/>
    <n v="36"/>
    <d v="1899-12-30T00:40:07"/>
    <n v="40.116666666666667"/>
  </r>
  <r>
    <x v="180"/>
    <x v="8"/>
    <x v="0"/>
    <n v="9"/>
    <d v="1899-12-30T00:14:19"/>
    <n v="14.316666666666666"/>
  </r>
  <r>
    <x v="180"/>
    <x v="8"/>
    <x v="1"/>
    <n v="20"/>
    <d v="1899-12-30T00:31:58"/>
    <n v="31.966666666666665"/>
  </r>
  <r>
    <x v="180"/>
    <x v="8"/>
    <x v="2"/>
    <n v="21"/>
    <d v="1899-12-30T00:32:11"/>
    <n v="32.18333333333333"/>
  </r>
  <r>
    <x v="180"/>
    <x v="8"/>
    <x v="3"/>
    <n v="0"/>
    <d v="1899-12-30T00:00:00"/>
    <n v="0"/>
  </r>
  <r>
    <x v="180"/>
    <x v="8"/>
    <x v="4"/>
    <n v="8"/>
    <d v="1899-12-30T00:13:10"/>
    <n v="13.166666666666666"/>
  </r>
  <r>
    <x v="180"/>
    <x v="8"/>
    <x v="5"/>
    <n v="21"/>
    <d v="1899-12-30T00:21:34"/>
    <n v="21.566666666666666"/>
  </r>
  <r>
    <x v="180"/>
    <x v="9"/>
    <x v="0"/>
    <n v="23"/>
    <d v="1899-12-30T00:53:16"/>
    <n v="53.266666666666666"/>
  </r>
  <r>
    <x v="180"/>
    <x v="9"/>
    <x v="1"/>
    <n v="35"/>
    <d v="1899-12-30T01:05:12"/>
    <n v="65.2"/>
  </r>
  <r>
    <x v="180"/>
    <x v="9"/>
    <x v="2"/>
    <n v="34"/>
    <d v="1899-12-30T00:55:59"/>
    <n v="55.983333333333334"/>
  </r>
  <r>
    <x v="180"/>
    <x v="9"/>
    <x v="3"/>
    <n v="0"/>
    <d v="1899-12-30T00:00:00"/>
    <n v="0"/>
  </r>
  <r>
    <x v="180"/>
    <x v="9"/>
    <x v="4"/>
    <n v="4"/>
    <d v="1899-12-30T00:06:43"/>
    <n v="6.7166666666666668"/>
  </r>
  <r>
    <x v="180"/>
    <x v="9"/>
    <x v="5"/>
    <n v="18"/>
    <d v="1899-12-30T00:23:16"/>
    <n v="23.266666666666666"/>
  </r>
  <r>
    <x v="180"/>
    <x v="10"/>
    <x v="0"/>
    <n v="47"/>
    <d v="1899-12-30T01:39:05"/>
    <n v="99.083333333333329"/>
  </r>
  <r>
    <x v="180"/>
    <x v="10"/>
    <x v="1"/>
    <n v="57"/>
    <d v="1899-12-30T01:40:37"/>
    <n v="100.61666666666666"/>
  </r>
  <r>
    <x v="180"/>
    <x v="10"/>
    <x v="2"/>
    <n v="44"/>
    <d v="1899-12-30T01:11:52"/>
    <n v="71.86666666666666"/>
  </r>
  <r>
    <x v="180"/>
    <x v="10"/>
    <x v="3"/>
    <n v="0"/>
    <d v="1899-12-30T00:00:00"/>
    <n v="0"/>
  </r>
  <r>
    <x v="180"/>
    <x v="10"/>
    <x v="4"/>
    <n v="19"/>
    <d v="1899-12-30T00:36:17"/>
    <n v="36.283333333333331"/>
  </r>
  <r>
    <x v="180"/>
    <x v="10"/>
    <x v="5"/>
    <n v="37"/>
    <d v="1899-12-30T01:02:38"/>
    <n v="62.633333333333333"/>
  </r>
  <r>
    <x v="180"/>
    <x v="11"/>
    <x v="0"/>
    <n v="13"/>
    <d v="1899-12-30T00:35:54"/>
    <n v="35.9"/>
  </r>
  <r>
    <x v="180"/>
    <x v="11"/>
    <x v="1"/>
    <n v="8"/>
    <d v="1899-12-30T00:15:01"/>
    <n v="15.016666666666667"/>
  </r>
  <r>
    <x v="180"/>
    <x v="11"/>
    <x v="2"/>
    <n v="4"/>
    <d v="1899-12-30T00:10:14"/>
    <n v="10.233333333333333"/>
  </r>
  <r>
    <x v="180"/>
    <x v="11"/>
    <x v="3"/>
    <n v="0"/>
    <d v="1899-12-30T00:00:00"/>
    <n v="0"/>
  </r>
  <r>
    <x v="180"/>
    <x v="11"/>
    <x v="4"/>
    <n v="7"/>
    <d v="1899-12-30T00:15:39"/>
    <n v="15.65"/>
  </r>
  <r>
    <x v="180"/>
    <x v="11"/>
    <x v="5"/>
    <n v="10"/>
    <d v="1899-12-30T00:19:41"/>
    <n v="19.683333333333334"/>
  </r>
  <r>
    <x v="180"/>
    <x v="12"/>
    <x v="0"/>
    <n v="128"/>
    <d v="1899-12-30T04:24:14"/>
    <n v="264.23333333333335"/>
  </r>
  <r>
    <x v="180"/>
    <x v="12"/>
    <x v="1"/>
    <n v="149"/>
    <d v="1899-12-30T04:54:41"/>
    <n v="294.68333333333334"/>
  </r>
  <r>
    <x v="180"/>
    <x v="12"/>
    <x v="2"/>
    <n v="102"/>
    <d v="1899-12-30T02:53:56"/>
    <n v="173.93333333333334"/>
  </r>
  <r>
    <x v="180"/>
    <x v="12"/>
    <x v="3"/>
    <n v="0"/>
    <d v="1899-12-30T00:00:00"/>
    <n v="0"/>
  </r>
  <r>
    <x v="180"/>
    <x v="12"/>
    <x v="4"/>
    <n v="27"/>
    <d v="1899-12-30T00:59:14"/>
    <n v="59.233333333333334"/>
  </r>
  <r>
    <x v="180"/>
    <x v="12"/>
    <x v="5"/>
    <n v="117"/>
    <d v="1899-12-30T02:50:55"/>
    <n v="170.91666666666666"/>
  </r>
  <r>
    <x v="180"/>
    <x v="13"/>
    <x v="0"/>
    <n v="4"/>
    <d v="1899-12-30T00:13:51"/>
    <n v="13.85"/>
  </r>
  <r>
    <x v="180"/>
    <x v="13"/>
    <x v="1"/>
    <n v="7"/>
    <d v="1899-12-30T00:13:35"/>
    <n v="13.583333333333334"/>
  </r>
  <r>
    <x v="180"/>
    <x v="13"/>
    <x v="2"/>
    <n v="9"/>
    <d v="1899-12-30T00:08:39"/>
    <n v="8.65"/>
  </r>
  <r>
    <x v="180"/>
    <x v="13"/>
    <x v="3"/>
    <n v="0"/>
    <d v="1899-12-30T00:00:00"/>
    <n v="0"/>
  </r>
  <r>
    <x v="180"/>
    <x v="13"/>
    <x v="4"/>
    <n v="1"/>
    <d v="1899-12-30T00:01:45"/>
    <n v="1.75"/>
  </r>
  <r>
    <x v="180"/>
    <x v="13"/>
    <x v="5"/>
    <n v="11"/>
    <d v="1899-12-30T00:14:08"/>
    <n v="14.133333333333333"/>
  </r>
  <r>
    <x v="181"/>
    <x v="0"/>
    <x v="0"/>
    <n v="19"/>
    <d v="1899-12-30T00:32:09"/>
    <n v="32.15"/>
  </r>
  <r>
    <x v="181"/>
    <x v="0"/>
    <x v="1"/>
    <n v="24"/>
    <d v="1899-12-30T00:33:19"/>
    <n v="33.31666666666667"/>
  </r>
  <r>
    <x v="181"/>
    <x v="0"/>
    <x v="2"/>
    <n v="30"/>
    <d v="1899-12-30T00:37:04"/>
    <n v="37.06666666666667"/>
  </r>
  <r>
    <x v="181"/>
    <x v="0"/>
    <x v="3"/>
    <n v="0"/>
    <d v="1899-12-30T00:00:00"/>
    <n v="0"/>
  </r>
  <r>
    <x v="181"/>
    <x v="0"/>
    <x v="4"/>
    <n v="2"/>
    <d v="1899-12-30T00:04:50"/>
    <n v="4.833333333333333"/>
  </r>
  <r>
    <x v="181"/>
    <x v="0"/>
    <x v="5"/>
    <n v="25"/>
    <d v="1899-12-30T00:22:58"/>
    <n v="22.966666666666665"/>
  </r>
  <r>
    <x v="181"/>
    <x v="1"/>
    <x v="0"/>
    <n v="13"/>
    <d v="1899-12-30T00:35:52"/>
    <n v="35.866666666666667"/>
  </r>
  <r>
    <x v="181"/>
    <x v="1"/>
    <x v="1"/>
    <n v="20"/>
    <d v="1899-12-30T00:50:40"/>
    <n v="50.666666666666664"/>
  </r>
  <r>
    <x v="181"/>
    <x v="1"/>
    <x v="2"/>
    <n v="18"/>
    <d v="1899-12-30T00:36:18"/>
    <n v="36.299999999999997"/>
  </r>
  <r>
    <x v="181"/>
    <x v="1"/>
    <x v="3"/>
    <n v="0"/>
    <d v="1899-12-30T00:00:00"/>
    <n v="0"/>
  </r>
  <r>
    <x v="181"/>
    <x v="1"/>
    <x v="4"/>
    <n v="21"/>
    <d v="1899-12-30T00:59:57"/>
    <n v="59.95"/>
  </r>
  <r>
    <x v="181"/>
    <x v="1"/>
    <x v="5"/>
    <n v="46"/>
    <d v="1899-12-30T01:25:12"/>
    <n v="85.2"/>
  </r>
  <r>
    <x v="181"/>
    <x v="2"/>
    <x v="0"/>
    <n v="66"/>
    <d v="1899-12-30T03:12:30"/>
    <n v="192.5"/>
  </r>
  <r>
    <x v="181"/>
    <x v="2"/>
    <x v="1"/>
    <n v="60"/>
    <d v="1899-12-30T01:55:33"/>
    <n v="115.55"/>
  </r>
  <r>
    <x v="181"/>
    <x v="2"/>
    <x v="2"/>
    <n v="38"/>
    <d v="1899-12-30T01:33:46"/>
    <n v="93.766666666666666"/>
  </r>
  <r>
    <x v="181"/>
    <x v="2"/>
    <x v="3"/>
    <n v="0"/>
    <d v="1899-12-30T00:00:00"/>
    <n v="0"/>
  </r>
  <r>
    <x v="181"/>
    <x v="2"/>
    <x v="4"/>
    <n v="8"/>
    <d v="1899-12-30T00:18:42"/>
    <n v="18.7"/>
  </r>
  <r>
    <x v="181"/>
    <x v="2"/>
    <x v="5"/>
    <n v="47"/>
    <d v="1899-12-30T01:25:40"/>
    <n v="85.666666666666671"/>
  </r>
  <r>
    <x v="181"/>
    <x v="3"/>
    <x v="0"/>
    <n v="3"/>
    <d v="1899-12-30T00:05:39"/>
    <n v="5.65"/>
  </r>
  <r>
    <x v="181"/>
    <x v="3"/>
    <x v="1"/>
    <n v="6"/>
    <d v="1899-12-30T00:17:17"/>
    <n v="17.283333333333335"/>
  </r>
  <r>
    <x v="181"/>
    <x v="3"/>
    <x v="2"/>
    <n v="1"/>
    <d v="1899-12-30T00:02:13"/>
    <n v="2.2166666666666668"/>
  </r>
  <r>
    <x v="181"/>
    <x v="3"/>
    <x v="3"/>
    <n v="0"/>
    <d v="1899-12-30T00:00:00"/>
    <n v="0"/>
  </r>
  <r>
    <x v="181"/>
    <x v="3"/>
    <x v="4"/>
    <n v="0"/>
    <d v="1899-12-30T00:00:00"/>
    <n v="0"/>
  </r>
  <r>
    <x v="181"/>
    <x v="3"/>
    <x v="5"/>
    <n v="2"/>
    <d v="1899-12-30T00:04:05"/>
    <n v="4.083333333333333"/>
  </r>
  <r>
    <x v="181"/>
    <x v="4"/>
    <x v="0"/>
    <n v="39"/>
    <d v="1899-12-30T01:31:01"/>
    <n v="91.016666666666666"/>
  </r>
  <r>
    <x v="181"/>
    <x v="4"/>
    <x v="1"/>
    <n v="27"/>
    <d v="1899-12-30T01:03:46"/>
    <n v="63.766666666666666"/>
  </r>
  <r>
    <x v="181"/>
    <x v="4"/>
    <x v="2"/>
    <n v="19"/>
    <d v="1899-12-30T00:35:34"/>
    <n v="35.56666666666667"/>
  </r>
  <r>
    <x v="181"/>
    <x v="4"/>
    <x v="3"/>
    <n v="0"/>
    <d v="1899-12-30T00:00:00"/>
    <n v="0"/>
  </r>
  <r>
    <x v="181"/>
    <x v="4"/>
    <x v="4"/>
    <n v="11"/>
    <d v="1899-12-30T00:24:41"/>
    <n v="24.683333333333334"/>
  </r>
  <r>
    <x v="181"/>
    <x v="4"/>
    <x v="5"/>
    <n v="21"/>
    <d v="1899-12-30T00:31:14"/>
    <n v="31.233333333333334"/>
  </r>
  <r>
    <x v="181"/>
    <x v="5"/>
    <x v="0"/>
    <n v="13"/>
    <d v="1899-12-30T00:25:59"/>
    <n v="25.983333333333334"/>
  </r>
  <r>
    <x v="181"/>
    <x v="5"/>
    <x v="1"/>
    <n v="8"/>
    <d v="1899-12-30T00:14:00"/>
    <n v="14"/>
  </r>
  <r>
    <x v="181"/>
    <x v="5"/>
    <x v="2"/>
    <n v="6"/>
    <d v="1899-12-30T00:07:49"/>
    <n v="7.8166666666666664"/>
  </r>
  <r>
    <x v="181"/>
    <x v="5"/>
    <x v="3"/>
    <n v="0"/>
    <d v="1899-12-30T00:00:00"/>
    <n v="0"/>
  </r>
  <r>
    <x v="181"/>
    <x v="5"/>
    <x v="4"/>
    <n v="2"/>
    <d v="1899-12-30T00:02:34"/>
    <n v="2.5666666666666664"/>
  </r>
  <r>
    <x v="181"/>
    <x v="5"/>
    <x v="5"/>
    <n v="24"/>
    <d v="1899-12-30T00:24:21"/>
    <n v="24.35"/>
  </r>
  <r>
    <x v="181"/>
    <x v="6"/>
    <x v="0"/>
    <n v="10"/>
    <d v="1899-12-30T00:10:15"/>
    <n v="10.25"/>
  </r>
  <r>
    <x v="181"/>
    <x v="6"/>
    <x v="1"/>
    <n v="8"/>
    <d v="1899-12-30T00:12:17"/>
    <n v="12.283333333333333"/>
  </r>
  <r>
    <x v="181"/>
    <x v="6"/>
    <x v="2"/>
    <n v="8"/>
    <d v="1899-12-30T00:08:42"/>
    <n v="8.6999999999999993"/>
  </r>
  <r>
    <x v="181"/>
    <x v="6"/>
    <x v="3"/>
    <n v="0"/>
    <d v="1899-12-30T00:00:00"/>
    <n v="0"/>
  </r>
  <r>
    <x v="181"/>
    <x v="6"/>
    <x v="4"/>
    <n v="7"/>
    <d v="1899-12-30T00:16:06"/>
    <n v="16.100000000000001"/>
  </r>
  <r>
    <x v="181"/>
    <x v="6"/>
    <x v="5"/>
    <n v="11"/>
    <d v="1899-12-30T00:13:29"/>
    <n v="13.483333333333333"/>
  </r>
  <r>
    <x v="181"/>
    <x v="7"/>
    <x v="0"/>
    <n v="21"/>
    <d v="1899-12-30T00:42:12"/>
    <n v="42.2"/>
  </r>
  <r>
    <x v="181"/>
    <x v="7"/>
    <x v="1"/>
    <n v="37"/>
    <d v="1899-12-30T01:05:47"/>
    <n v="65.783333333333331"/>
  </r>
  <r>
    <x v="181"/>
    <x v="7"/>
    <x v="2"/>
    <n v="13"/>
    <d v="1899-12-30T00:21:42"/>
    <n v="21.7"/>
  </r>
  <r>
    <x v="181"/>
    <x v="7"/>
    <x v="3"/>
    <n v="0"/>
    <d v="1899-12-30T00:00:00"/>
    <n v="0"/>
  </r>
  <r>
    <x v="181"/>
    <x v="7"/>
    <x v="4"/>
    <n v="107"/>
    <d v="1899-12-30T03:37:59"/>
    <n v="217.98333333333332"/>
  </r>
  <r>
    <x v="181"/>
    <x v="7"/>
    <x v="5"/>
    <n v="20"/>
    <d v="1899-12-30T00:19:14"/>
    <n v="19.233333333333334"/>
  </r>
  <r>
    <x v="181"/>
    <x v="8"/>
    <x v="0"/>
    <n v="10"/>
    <d v="1899-12-30T00:21:19"/>
    <n v="21.316666666666666"/>
  </r>
  <r>
    <x v="181"/>
    <x v="8"/>
    <x v="1"/>
    <n v="17"/>
    <d v="1899-12-30T00:33:18"/>
    <n v="33.299999999999997"/>
  </r>
  <r>
    <x v="181"/>
    <x v="8"/>
    <x v="2"/>
    <n v="12"/>
    <d v="1899-12-30T00:19:28"/>
    <n v="19.466666666666665"/>
  </r>
  <r>
    <x v="181"/>
    <x v="8"/>
    <x v="3"/>
    <n v="0"/>
    <d v="1899-12-30T00:00:00"/>
    <n v="0"/>
  </r>
  <r>
    <x v="181"/>
    <x v="8"/>
    <x v="4"/>
    <n v="9"/>
    <d v="1899-12-30T00:16:46"/>
    <n v="16.766666666666666"/>
  </r>
  <r>
    <x v="181"/>
    <x v="8"/>
    <x v="5"/>
    <n v="20"/>
    <d v="1899-12-30T00:19:42"/>
    <n v="19.7"/>
  </r>
  <r>
    <x v="181"/>
    <x v="9"/>
    <x v="0"/>
    <n v="29"/>
    <d v="1899-12-30T01:07:05"/>
    <n v="67.083333333333329"/>
  </r>
  <r>
    <x v="181"/>
    <x v="9"/>
    <x v="1"/>
    <n v="43"/>
    <d v="1899-12-30T01:22:08"/>
    <n v="82.13333333333334"/>
  </r>
  <r>
    <x v="181"/>
    <x v="9"/>
    <x v="2"/>
    <n v="44"/>
    <d v="1899-12-30T01:25:19"/>
    <n v="85.316666666666663"/>
  </r>
  <r>
    <x v="181"/>
    <x v="9"/>
    <x v="3"/>
    <n v="0"/>
    <d v="1899-12-30T00:00:00"/>
    <n v="0"/>
  </r>
  <r>
    <x v="181"/>
    <x v="9"/>
    <x v="4"/>
    <n v="9"/>
    <d v="1899-12-30T00:16:21"/>
    <n v="16.350000000000001"/>
  </r>
  <r>
    <x v="181"/>
    <x v="9"/>
    <x v="5"/>
    <n v="29"/>
    <d v="1899-12-30T00:42:07"/>
    <n v="42.116666666666667"/>
  </r>
  <r>
    <x v="181"/>
    <x v="10"/>
    <x v="0"/>
    <n v="98"/>
    <d v="1899-12-30T02:57:28"/>
    <n v="177.46666666666667"/>
  </r>
  <r>
    <x v="181"/>
    <x v="10"/>
    <x v="1"/>
    <n v="123"/>
    <d v="1899-12-30T03:29:08"/>
    <n v="209.13333333333333"/>
  </r>
  <r>
    <x v="181"/>
    <x v="10"/>
    <x v="2"/>
    <n v="108"/>
    <d v="1899-12-30T02:44:29"/>
    <n v="164.48333333333332"/>
  </r>
  <r>
    <x v="181"/>
    <x v="10"/>
    <x v="3"/>
    <n v="0"/>
    <d v="1899-12-30T00:00:00"/>
    <n v="0"/>
  </r>
  <r>
    <x v="181"/>
    <x v="10"/>
    <x v="4"/>
    <n v="23"/>
    <d v="1899-12-30T00:47:15"/>
    <n v="47.25"/>
  </r>
  <r>
    <x v="181"/>
    <x v="10"/>
    <x v="5"/>
    <n v="104"/>
    <d v="1899-12-30T02:18:32"/>
    <n v="138.53333333333333"/>
  </r>
  <r>
    <x v="181"/>
    <x v="11"/>
    <x v="0"/>
    <n v="15"/>
    <d v="1899-12-30T00:38:13"/>
    <n v="38.216666666666669"/>
  </r>
  <r>
    <x v="181"/>
    <x v="11"/>
    <x v="1"/>
    <n v="11"/>
    <d v="1899-12-30T00:24:57"/>
    <n v="24.95"/>
  </r>
  <r>
    <x v="181"/>
    <x v="11"/>
    <x v="2"/>
    <n v="16"/>
    <d v="1899-12-30T00:36:45"/>
    <n v="36.75"/>
  </r>
  <r>
    <x v="181"/>
    <x v="11"/>
    <x v="3"/>
    <n v="0"/>
    <d v="1899-12-30T00:00:00"/>
    <n v="0"/>
  </r>
  <r>
    <x v="181"/>
    <x v="11"/>
    <x v="4"/>
    <n v="6"/>
    <d v="1899-12-30T00:13:13"/>
    <n v="13.216666666666667"/>
  </r>
  <r>
    <x v="181"/>
    <x v="11"/>
    <x v="5"/>
    <n v="9"/>
    <d v="1899-12-30T00:14:28"/>
    <n v="14.466666666666667"/>
  </r>
  <r>
    <x v="181"/>
    <x v="12"/>
    <x v="0"/>
    <n v="73"/>
    <d v="1899-12-30T03:20:59"/>
    <n v="200.98333333333332"/>
  </r>
  <r>
    <x v="181"/>
    <x v="12"/>
    <x v="1"/>
    <n v="73"/>
    <d v="1899-12-30T02:30:28"/>
    <n v="150.46666666666667"/>
  </r>
  <r>
    <x v="181"/>
    <x v="12"/>
    <x v="2"/>
    <n v="36"/>
    <d v="1899-12-30T01:18:35"/>
    <n v="78.583333333333329"/>
  </r>
  <r>
    <x v="181"/>
    <x v="12"/>
    <x v="3"/>
    <n v="0"/>
    <d v="1899-12-30T00:00:00"/>
    <n v="0"/>
  </r>
  <r>
    <x v="181"/>
    <x v="12"/>
    <x v="4"/>
    <n v="24"/>
    <d v="1899-12-30T01:02:32"/>
    <n v="62.533333333333331"/>
  </r>
  <r>
    <x v="181"/>
    <x v="12"/>
    <x v="5"/>
    <n v="49"/>
    <d v="1899-12-30T01:18:19"/>
    <n v="78.316666666666663"/>
  </r>
  <r>
    <x v="181"/>
    <x v="13"/>
    <x v="0"/>
    <n v="14"/>
    <d v="1899-12-30T00:23:24"/>
    <n v="23.4"/>
  </r>
  <r>
    <x v="181"/>
    <x v="13"/>
    <x v="1"/>
    <n v="25"/>
    <d v="1899-12-30T00:39:10"/>
    <n v="39.166666666666664"/>
  </r>
  <r>
    <x v="181"/>
    <x v="13"/>
    <x v="2"/>
    <n v="17"/>
    <d v="1899-12-30T00:32:55"/>
    <n v="32.916666666666664"/>
  </r>
  <r>
    <x v="181"/>
    <x v="13"/>
    <x v="3"/>
    <n v="0"/>
    <d v="1899-12-30T00:00:00"/>
    <n v="0"/>
  </r>
  <r>
    <x v="181"/>
    <x v="13"/>
    <x v="4"/>
    <n v="2"/>
    <d v="1899-12-30T00:04:40"/>
    <n v="4.666666666666667"/>
  </r>
  <r>
    <x v="181"/>
    <x v="13"/>
    <x v="5"/>
    <n v="24"/>
    <d v="1899-12-30T00:28:25"/>
    <n v="28.416666666666668"/>
  </r>
  <r>
    <x v="182"/>
    <x v="0"/>
    <x v="0"/>
    <n v="9"/>
    <d v="1899-12-30T00:14:33"/>
    <n v="14.55"/>
  </r>
  <r>
    <x v="182"/>
    <x v="0"/>
    <x v="1"/>
    <n v="10"/>
    <d v="1899-12-30T00:10:45"/>
    <n v="10.75"/>
  </r>
  <r>
    <x v="182"/>
    <x v="0"/>
    <x v="2"/>
    <n v="3"/>
    <d v="1899-12-30T00:02:41"/>
    <n v="2.6833333333333336"/>
  </r>
  <r>
    <x v="182"/>
    <x v="0"/>
    <x v="3"/>
    <n v="0"/>
    <d v="1899-12-30T00:00:00"/>
    <n v="0"/>
  </r>
  <r>
    <x v="182"/>
    <x v="0"/>
    <x v="4"/>
    <n v="2"/>
    <d v="1899-12-30T00:03:21"/>
    <n v="3.35"/>
  </r>
  <r>
    <x v="182"/>
    <x v="0"/>
    <x v="5"/>
    <n v="7"/>
    <d v="1899-12-30T00:05:19"/>
    <n v="5.3166666666666664"/>
  </r>
  <r>
    <x v="182"/>
    <x v="1"/>
    <x v="0"/>
    <n v="6"/>
    <d v="1899-12-30T00:19:53"/>
    <n v="19.883333333333333"/>
  </r>
  <r>
    <x v="182"/>
    <x v="1"/>
    <x v="1"/>
    <n v="6"/>
    <d v="1899-12-30T00:13:57"/>
    <n v="13.95"/>
  </r>
  <r>
    <x v="182"/>
    <x v="1"/>
    <x v="2"/>
    <n v="8"/>
    <d v="1899-12-30T00:13:13"/>
    <n v="13.216666666666667"/>
  </r>
  <r>
    <x v="182"/>
    <x v="1"/>
    <x v="3"/>
    <n v="0"/>
    <d v="1899-12-30T00:00:00"/>
    <n v="0"/>
  </r>
  <r>
    <x v="182"/>
    <x v="1"/>
    <x v="4"/>
    <n v="15"/>
    <d v="1899-12-30T00:34:10"/>
    <n v="34.166666666666664"/>
  </r>
  <r>
    <x v="182"/>
    <x v="1"/>
    <x v="5"/>
    <n v="21"/>
    <d v="1899-12-30T00:36:46"/>
    <n v="36.766666666666666"/>
  </r>
  <r>
    <x v="182"/>
    <x v="2"/>
    <x v="0"/>
    <n v="44"/>
    <d v="1899-12-30T01:36:50"/>
    <n v="96.833333333333329"/>
  </r>
  <r>
    <x v="182"/>
    <x v="2"/>
    <x v="1"/>
    <n v="57"/>
    <d v="1899-12-30T01:55:47"/>
    <n v="115.78333333333333"/>
  </r>
  <r>
    <x v="182"/>
    <x v="2"/>
    <x v="2"/>
    <n v="24"/>
    <d v="1899-12-30T00:41:11"/>
    <n v="41.18333333333333"/>
  </r>
  <r>
    <x v="182"/>
    <x v="2"/>
    <x v="3"/>
    <n v="0"/>
    <d v="1899-12-30T00:00:00"/>
    <n v="0"/>
  </r>
  <r>
    <x v="182"/>
    <x v="2"/>
    <x v="4"/>
    <n v="15"/>
    <d v="1899-12-30T00:36:13"/>
    <n v="36.216666666666669"/>
  </r>
  <r>
    <x v="182"/>
    <x v="2"/>
    <x v="5"/>
    <n v="32"/>
    <d v="1899-12-30T00:48:35"/>
    <n v="48.583333333333336"/>
  </r>
  <r>
    <x v="182"/>
    <x v="3"/>
    <x v="0"/>
    <n v="2"/>
    <d v="1899-12-30T00:04:21"/>
    <n v="4.3499999999999996"/>
  </r>
  <r>
    <x v="182"/>
    <x v="3"/>
    <x v="1"/>
    <n v="4"/>
    <d v="1899-12-30T00:12:19"/>
    <n v="12.316666666666666"/>
  </r>
  <r>
    <x v="182"/>
    <x v="3"/>
    <x v="2"/>
    <n v="1"/>
    <d v="1899-12-30T00:02:10"/>
    <n v="2.1666666666666665"/>
  </r>
  <r>
    <x v="182"/>
    <x v="3"/>
    <x v="3"/>
    <n v="0"/>
    <d v="1899-12-30T00:00:00"/>
    <n v="0"/>
  </r>
  <r>
    <x v="182"/>
    <x v="3"/>
    <x v="4"/>
    <n v="1"/>
    <d v="1899-12-30T00:02:14"/>
    <n v="2.2333333333333334"/>
  </r>
  <r>
    <x v="182"/>
    <x v="3"/>
    <x v="5"/>
    <n v="3"/>
    <d v="1899-12-30T00:05:56"/>
    <n v="5.9333333333333336"/>
  </r>
  <r>
    <x v="182"/>
    <x v="4"/>
    <x v="0"/>
    <n v="7"/>
    <d v="1899-12-30T00:19:09"/>
    <n v="19.149999999999999"/>
  </r>
  <r>
    <x v="182"/>
    <x v="4"/>
    <x v="1"/>
    <n v="7"/>
    <d v="1899-12-30T00:29:00"/>
    <n v="29"/>
  </r>
  <r>
    <x v="182"/>
    <x v="4"/>
    <x v="2"/>
    <n v="6"/>
    <d v="1899-12-30T00:12:16"/>
    <n v="12.266666666666667"/>
  </r>
  <r>
    <x v="182"/>
    <x v="4"/>
    <x v="3"/>
    <n v="0"/>
    <d v="1899-12-30T00:00:00"/>
    <n v="0"/>
  </r>
  <r>
    <x v="182"/>
    <x v="4"/>
    <x v="4"/>
    <n v="4"/>
    <d v="1899-12-30T00:08:25"/>
    <n v="8.4166666666666661"/>
  </r>
  <r>
    <x v="182"/>
    <x v="4"/>
    <x v="5"/>
    <n v="8"/>
    <d v="1899-12-30T00:11:58"/>
    <n v="11.966666666666667"/>
  </r>
  <r>
    <x v="182"/>
    <x v="5"/>
    <x v="0"/>
    <n v="0"/>
    <d v="1899-12-30T00:00:00"/>
    <n v="0"/>
  </r>
  <r>
    <x v="182"/>
    <x v="5"/>
    <x v="1"/>
    <n v="5"/>
    <d v="1899-12-30T00:10:37"/>
    <n v="10.616666666666667"/>
  </r>
  <r>
    <x v="182"/>
    <x v="5"/>
    <x v="2"/>
    <n v="0"/>
    <d v="1899-12-30T00:00:00"/>
    <n v="0"/>
  </r>
  <r>
    <x v="182"/>
    <x v="5"/>
    <x v="3"/>
    <n v="0"/>
    <d v="1899-12-30T00:00:00"/>
    <n v="0"/>
  </r>
  <r>
    <x v="182"/>
    <x v="5"/>
    <x v="4"/>
    <n v="2"/>
    <d v="1899-12-30T00:01:04"/>
    <n v="1.0666666666666667"/>
  </r>
  <r>
    <x v="182"/>
    <x v="5"/>
    <x v="5"/>
    <n v="7"/>
    <d v="1899-12-30T00:08:23"/>
    <n v="8.3833333333333329"/>
  </r>
  <r>
    <x v="182"/>
    <x v="6"/>
    <x v="0"/>
    <n v="3"/>
    <d v="1899-12-30T00:06:53"/>
    <n v="6.8833333333333329"/>
  </r>
  <r>
    <x v="182"/>
    <x v="6"/>
    <x v="1"/>
    <n v="5"/>
    <d v="1899-12-30T00:07:35"/>
    <n v="7.583333333333333"/>
  </r>
  <r>
    <x v="182"/>
    <x v="6"/>
    <x v="2"/>
    <n v="4"/>
    <d v="1899-12-30T00:05:20"/>
    <n v="5.333333333333333"/>
  </r>
  <r>
    <x v="182"/>
    <x v="6"/>
    <x v="3"/>
    <n v="0"/>
    <d v="1899-12-30T00:00:00"/>
    <n v="0"/>
  </r>
  <r>
    <x v="182"/>
    <x v="6"/>
    <x v="4"/>
    <n v="7"/>
    <d v="1899-12-30T00:11:39"/>
    <n v="11.65"/>
  </r>
  <r>
    <x v="182"/>
    <x v="6"/>
    <x v="5"/>
    <n v="7"/>
    <d v="1899-12-30T00:07:36"/>
    <n v="7.6"/>
  </r>
  <r>
    <x v="182"/>
    <x v="7"/>
    <x v="0"/>
    <n v="9"/>
    <d v="1899-12-30T00:13:40"/>
    <n v="13.666666666666666"/>
  </r>
  <r>
    <x v="182"/>
    <x v="7"/>
    <x v="1"/>
    <n v="14"/>
    <d v="1899-12-30T00:22:08"/>
    <n v="22.133333333333333"/>
  </r>
  <r>
    <x v="182"/>
    <x v="7"/>
    <x v="2"/>
    <n v="5"/>
    <d v="1899-12-30T00:06:41"/>
    <n v="6.6833333333333336"/>
  </r>
  <r>
    <x v="182"/>
    <x v="7"/>
    <x v="3"/>
    <n v="0"/>
    <d v="1899-12-30T00:00:00"/>
    <n v="0"/>
  </r>
  <r>
    <x v="182"/>
    <x v="7"/>
    <x v="4"/>
    <n v="62"/>
    <d v="1899-12-30T01:54:43"/>
    <n v="114.71666666666667"/>
  </r>
  <r>
    <x v="182"/>
    <x v="7"/>
    <x v="5"/>
    <n v="14"/>
    <d v="1899-12-30T00:07:16"/>
    <n v="7.2666666666666666"/>
  </r>
  <r>
    <x v="182"/>
    <x v="8"/>
    <x v="0"/>
    <n v="5"/>
    <d v="1899-12-30T00:12:25"/>
    <n v="12.416666666666666"/>
  </r>
  <r>
    <x v="182"/>
    <x v="8"/>
    <x v="1"/>
    <n v="7"/>
    <d v="1899-12-30T00:11:07"/>
    <n v="11.116666666666667"/>
  </r>
  <r>
    <x v="182"/>
    <x v="8"/>
    <x v="2"/>
    <n v="11"/>
    <d v="1899-12-30T00:12:54"/>
    <n v="12.9"/>
  </r>
  <r>
    <x v="182"/>
    <x v="8"/>
    <x v="3"/>
    <n v="0"/>
    <d v="1899-12-30T00:00:00"/>
    <n v="0"/>
  </r>
  <r>
    <x v="182"/>
    <x v="8"/>
    <x v="4"/>
    <n v="7"/>
    <d v="1899-12-30T00:13:50"/>
    <n v="13.833333333333334"/>
  </r>
  <r>
    <x v="182"/>
    <x v="8"/>
    <x v="5"/>
    <n v="9"/>
    <d v="1899-12-30T00:12:24"/>
    <n v="12.4"/>
  </r>
  <r>
    <x v="182"/>
    <x v="9"/>
    <x v="0"/>
    <n v="15"/>
    <d v="1899-12-30T00:42:48"/>
    <n v="42.8"/>
  </r>
  <r>
    <x v="182"/>
    <x v="9"/>
    <x v="1"/>
    <n v="19"/>
    <d v="1899-12-30T00:42:06"/>
    <n v="42.1"/>
  </r>
  <r>
    <x v="182"/>
    <x v="9"/>
    <x v="2"/>
    <n v="23"/>
    <d v="1899-12-30T00:45:16"/>
    <n v="45.266666666666666"/>
  </r>
  <r>
    <x v="182"/>
    <x v="9"/>
    <x v="3"/>
    <n v="0"/>
    <d v="1899-12-30T00:00:00"/>
    <n v="0"/>
  </r>
  <r>
    <x v="182"/>
    <x v="9"/>
    <x v="4"/>
    <n v="8"/>
    <d v="1899-12-30T00:19:22"/>
    <n v="19.366666666666667"/>
  </r>
  <r>
    <x v="182"/>
    <x v="9"/>
    <x v="5"/>
    <n v="14"/>
    <d v="1899-12-30T00:19:10"/>
    <n v="19.166666666666668"/>
  </r>
  <r>
    <x v="182"/>
    <x v="10"/>
    <x v="0"/>
    <n v="569"/>
    <d v="1899-12-30T21:13:33"/>
    <n v="1273.55"/>
  </r>
  <r>
    <x v="182"/>
    <x v="10"/>
    <x v="1"/>
    <n v="511"/>
    <d v="1899-12-30T17:51:56"/>
    <n v="1071.9333333333334"/>
  </r>
  <r>
    <x v="182"/>
    <x v="10"/>
    <x v="2"/>
    <n v="373"/>
    <d v="1899-12-30T10:11:33"/>
    <n v="611.54999999999995"/>
  </r>
  <r>
    <x v="182"/>
    <x v="10"/>
    <x v="3"/>
    <n v="0"/>
    <d v="1899-12-30T00:00:00"/>
    <n v="0"/>
  </r>
  <r>
    <x v="182"/>
    <x v="10"/>
    <x v="4"/>
    <n v="107"/>
    <d v="1899-12-30T04:28:40"/>
    <n v="268.66666666666669"/>
  </r>
  <r>
    <x v="182"/>
    <x v="10"/>
    <x v="5"/>
    <n v="464"/>
    <d v="1899-12-30T10:59:54"/>
    <n v="659.9"/>
  </r>
  <r>
    <x v="182"/>
    <x v="11"/>
    <x v="0"/>
    <n v="4"/>
    <d v="1899-12-30T00:14:44"/>
    <n v="14.733333333333333"/>
  </r>
  <r>
    <x v="182"/>
    <x v="11"/>
    <x v="1"/>
    <n v="5"/>
    <d v="1899-12-30T00:08:56"/>
    <n v="8.9333333333333336"/>
  </r>
  <r>
    <x v="182"/>
    <x v="11"/>
    <x v="2"/>
    <n v="0"/>
    <d v="1899-12-30T00:00:00"/>
    <n v="0"/>
  </r>
  <r>
    <x v="182"/>
    <x v="11"/>
    <x v="3"/>
    <n v="0"/>
    <d v="1899-12-30T00:00:00"/>
    <n v="0"/>
  </r>
  <r>
    <x v="182"/>
    <x v="11"/>
    <x v="4"/>
    <n v="4"/>
    <d v="1899-12-30T00:07:23"/>
    <n v="7.3833333333333337"/>
  </r>
  <r>
    <x v="182"/>
    <x v="11"/>
    <x v="5"/>
    <n v="3"/>
    <d v="1899-12-30T00:05:38"/>
    <n v="5.6333333333333329"/>
  </r>
  <r>
    <x v="182"/>
    <x v="12"/>
    <x v="0"/>
    <n v="24"/>
    <d v="1899-12-30T00:48:23"/>
    <n v="48.383333333333333"/>
  </r>
  <r>
    <x v="182"/>
    <x v="12"/>
    <x v="1"/>
    <n v="26"/>
    <d v="1899-12-30T00:49:41"/>
    <n v="49.68333333333333"/>
  </r>
  <r>
    <x v="182"/>
    <x v="12"/>
    <x v="2"/>
    <n v="17"/>
    <d v="1899-12-30T00:28:59"/>
    <n v="28.983333333333334"/>
  </r>
  <r>
    <x v="182"/>
    <x v="12"/>
    <x v="3"/>
    <n v="0"/>
    <d v="1899-12-30T00:00:00"/>
    <n v="0"/>
  </r>
  <r>
    <x v="182"/>
    <x v="12"/>
    <x v="4"/>
    <n v="14"/>
    <d v="1899-12-30T00:29:19"/>
    <n v="29.316666666666666"/>
  </r>
  <r>
    <x v="182"/>
    <x v="12"/>
    <x v="5"/>
    <n v="23"/>
    <d v="1899-12-30T00:34:32"/>
    <n v="34.533333333333331"/>
  </r>
  <r>
    <x v="182"/>
    <x v="13"/>
    <x v="0"/>
    <n v="3"/>
    <d v="1899-12-30T00:05:38"/>
    <n v="5.6333333333333329"/>
  </r>
  <r>
    <x v="182"/>
    <x v="13"/>
    <x v="1"/>
    <n v="3"/>
    <d v="1899-12-30T00:00:25"/>
    <n v="0.41666666666666669"/>
  </r>
  <r>
    <x v="182"/>
    <x v="13"/>
    <x v="2"/>
    <n v="2"/>
    <d v="1899-12-30T00:02:01"/>
    <n v="2.0166666666666666"/>
  </r>
  <r>
    <x v="182"/>
    <x v="13"/>
    <x v="3"/>
    <n v="0"/>
    <d v="1899-12-30T00:00:00"/>
    <n v="0"/>
  </r>
  <r>
    <x v="182"/>
    <x v="13"/>
    <x v="4"/>
    <n v="1"/>
    <d v="1899-12-30T00:00:48"/>
    <n v="0.8"/>
  </r>
  <r>
    <x v="182"/>
    <x v="13"/>
    <x v="5"/>
    <n v="10"/>
    <d v="1899-12-30T00:13:12"/>
    <n v="13.2"/>
  </r>
  <r>
    <x v="183"/>
    <x v="0"/>
    <x v="0"/>
    <n v="0"/>
    <d v="1899-12-30T00:00:00"/>
    <n v="0"/>
  </r>
  <r>
    <x v="183"/>
    <x v="0"/>
    <x v="1"/>
    <n v="3"/>
    <d v="1899-12-30T00:04:10"/>
    <n v="4.166666666666667"/>
  </r>
  <r>
    <x v="183"/>
    <x v="0"/>
    <x v="2"/>
    <n v="3"/>
    <d v="1899-12-30T00:01:16"/>
    <n v="1.2666666666666666"/>
  </r>
  <r>
    <x v="183"/>
    <x v="0"/>
    <x v="3"/>
    <n v="0"/>
    <d v="1899-12-30T00:00:00"/>
    <n v="0"/>
  </r>
  <r>
    <x v="183"/>
    <x v="0"/>
    <x v="4"/>
    <n v="2"/>
    <d v="1899-12-30T00:05:06"/>
    <n v="5.0999999999999996"/>
  </r>
  <r>
    <x v="183"/>
    <x v="0"/>
    <x v="5"/>
    <n v="6"/>
    <d v="1899-12-30T00:03:44"/>
    <n v="3.7333333333333334"/>
  </r>
  <r>
    <x v="183"/>
    <x v="1"/>
    <x v="0"/>
    <n v="3"/>
    <d v="1899-12-30T00:11:46"/>
    <n v="11.766666666666667"/>
  </r>
  <r>
    <x v="183"/>
    <x v="1"/>
    <x v="1"/>
    <n v="6"/>
    <d v="1899-12-30T00:10:18"/>
    <n v="10.3"/>
  </r>
  <r>
    <x v="183"/>
    <x v="1"/>
    <x v="2"/>
    <n v="5"/>
    <d v="1899-12-30T00:03:42"/>
    <n v="3.7"/>
  </r>
  <r>
    <x v="183"/>
    <x v="1"/>
    <x v="3"/>
    <n v="0"/>
    <d v="1899-12-30T00:00:00"/>
    <n v="0"/>
  </r>
  <r>
    <x v="183"/>
    <x v="1"/>
    <x v="4"/>
    <n v="3"/>
    <d v="1899-12-30T00:08:15"/>
    <n v="8.25"/>
  </r>
  <r>
    <x v="183"/>
    <x v="1"/>
    <x v="5"/>
    <n v="8"/>
    <d v="1899-12-30T00:11:25"/>
    <n v="11.416666666666666"/>
  </r>
  <r>
    <x v="183"/>
    <x v="2"/>
    <x v="0"/>
    <n v="97"/>
    <d v="1899-12-30T03:28:52"/>
    <n v="208.86666666666667"/>
  </r>
  <r>
    <x v="183"/>
    <x v="2"/>
    <x v="1"/>
    <n v="98"/>
    <d v="1899-12-30T03:21:24"/>
    <n v="201.4"/>
  </r>
  <r>
    <x v="183"/>
    <x v="2"/>
    <x v="2"/>
    <n v="55"/>
    <d v="1899-12-30T01:34:29"/>
    <n v="94.483333333333334"/>
  </r>
  <r>
    <x v="183"/>
    <x v="2"/>
    <x v="3"/>
    <n v="0"/>
    <d v="1899-12-30T00:00:00"/>
    <n v="0"/>
  </r>
  <r>
    <x v="183"/>
    <x v="2"/>
    <x v="4"/>
    <n v="29"/>
    <d v="1899-12-30T01:12:46"/>
    <n v="72.766666666666666"/>
  </r>
  <r>
    <x v="183"/>
    <x v="2"/>
    <x v="5"/>
    <n v="38"/>
    <d v="1899-12-30T01:07:04"/>
    <n v="67.066666666666663"/>
  </r>
  <r>
    <x v="183"/>
    <x v="3"/>
    <x v="0"/>
    <n v="35"/>
    <d v="1899-12-30T01:12:34"/>
    <n v="72.566666666666663"/>
  </r>
  <r>
    <x v="183"/>
    <x v="3"/>
    <x v="1"/>
    <n v="26"/>
    <d v="1899-12-30T01:03:38"/>
    <n v="63.633333333333333"/>
  </r>
  <r>
    <x v="183"/>
    <x v="3"/>
    <x v="2"/>
    <n v="16"/>
    <d v="1899-12-30T00:27:23"/>
    <n v="27.383333333333333"/>
  </r>
  <r>
    <x v="183"/>
    <x v="3"/>
    <x v="3"/>
    <n v="0"/>
    <d v="1899-12-30T00:00:00"/>
    <n v="0"/>
  </r>
  <r>
    <x v="183"/>
    <x v="3"/>
    <x v="4"/>
    <n v="2"/>
    <d v="1899-12-30T00:05:38"/>
    <n v="5.6333333333333329"/>
  </r>
  <r>
    <x v="183"/>
    <x v="3"/>
    <x v="5"/>
    <n v="16"/>
    <d v="1899-12-30T00:33:39"/>
    <n v="33.65"/>
  </r>
  <r>
    <x v="183"/>
    <x v="4"/>
    <x v="0"/>
    <n v="0"/>
    <d v="1899-12-30T00:00:00"/>
    <n v="0"/>
  </r>
  <r>
    <x v="183"/>
    <x v="4"/>
    <x v="1"/>
    <n v="3"/>
    <d v="1899-12-30T00:05:50"/>
    <n v="5.833333333333333"/>
  </r>
  <r>
    <x v="183"/>
    <x v="4"/>
    <x v="2"/>
    <n v="3"/>
    <d v="1899-12-30T00:04:25"/>
    <n v="4.416666666666667"/>
  </r>
  <r>
    <x v="183"/>
    <x v="4"/>
    <x v="3"/>
    <n v="0"/>
    <d v="1899-12-30T00:00:00"/>
    <n v="0"/>
  </r>
  <r>
    <x v="183"/>
    <x v="4"/>
    <x v="4"/>
    <n v="2"/>
    <d v="1899-12-30T00:05:07"/>
    <n v="5.1166666666666663"/>
  </r>
  <r>
    <x v="183"/>
    <x v="4"/>
    <x v="5"/>
    <n v="0"/>
    <d v="1899-12-30T00:00:00"/>
    <n v="0"/>
  </r>
  <r>
    <x v="183"/>
    <x v="5"/>
    <x v="0"/>
    <n v="4"/>
    <d v="1899-12-30T00:05:11"/>
    <n v="5.1833333333333336"/>
  </r>
  <r>
    <x v="183"/>
    <x v="5"/>
    <x v="1"/>
    <n v="2"/>
    <d v="1899-12-30T00:01:27"/>
    <n v="1.45"/>
  </r>
  <r>
    <x v="183"/>
    <x v="5"/>
    <x v="2"/>
    <n v="1"/>
    <d v="1899-12-30T00:03:11"/>
    <n v="3.1833333333333331"/>
  </r>
  <r>
    <x v="183"/>
    <x v="5"/>
    <x v="3"/>
    <n v="0"/>
    <d v="1899-12-30T00:00:00"/>
    <n v="0"/>
  </r>
  <r>
    <x v="183"/>
    <x v="5"/>
    <x v="4"/>
    <n v="1"/>
    <d v="1899-12-30T00:00:49"/>
    <n v="0.81666666666666665"/>
  </r>
  <r>
    <x v="183"/>
    <x v="5"/>
    <x v="5"/>
    <n v="3"/>
    <d v="1899-12-30T00:03:36"/>
    <n v="3.6"/>
  </r>
  <r>
    <x v="183"/>
    <x v="6"/>
    <x v="0"/>
    <n v="4"/>
    <d v="1899-12-30T00:07:41"/>
    <n v="7.6833333333333336"/>
  </r>
  <r>
    <x v="183"/>
    <x v="6"/>
    <x v="1"/>
    <n v="3"/>
    <d v="1899-12-30T00:05:07"/>
    <n v="5.1166666666666663"/>
  </r>
  <r>
    <x v="183"/>
    <x v="6"/>
    <x v="2"/>
    <n v="3"/>
    <d v="1899-12-30T00:05:12"/>
    <n v="5.2"/>
  </r>
  <r>
    <x v="183"/>
    <x v="6"/>
    <x v="3"/>
    <n v="0"/>
    <d v="1899-12-30T00:00:00"/>
    <n v="0"/>
  </r>
  <r>
    <x v="183"/>
    <x v="6"/>
    <x v="4"/>
    <n v="3"/>
    <d v="1899-12-30T00:01:41"/>
    <n v="1.6833333333333333"/>
  </r>
  <r>
    <x v="183"/>
    <x v="6"/>
    <x v="5"/>
    <n v="1"/>
    <d v="1899-12-30T00:03:11"/>
    <n v="3.1833333333333331"/>
  </r>
  <r>
    <x v="183"/>
    <x v="7"/>
    <x v="0"/>
    <n v="0"/>
    <d v="1899-12-30T00:00:00"/>
    <n v="0"/>
  </r>
  <r>
    <x v="183"/>
    <x v="7"/>
    <x v="1"/>
    <n v="4"/>
    <d v="1899-12-30T00:07:36"/>
    <n v="7.6"/>
  </r>
  <r>
    <x v="183"/>
    <x v="7"/>
    <x v="2"/>
    <n v="0"/>
    <d v="1899-12-30T00:00:00"/>
    <n v="0"/>
  </r>
  <r>
    <x v="183"/>
    <x v="7"/>
    <x v="3"/>
    <n v="0"/>
    <d v="1899-12-30T00:00:00"/>
    <n v="0"/>
  </r>
  <r>
    <x v="183"/>
    <x v="7"/>
    <x v="4"/>
    <n v="19"/>
    <d v="1899-12-30T00:41:35"/>
    <n v="41.583333333333336"/>
  </r>
  <r>
    <x v="183"/>
    <x v="7"/>
    <x v="5"/>
    <n v="5"/>
    <d v="1899-12-30T00:03:38"/>
    <n v="3.6333333333333333"/>
  </r>
  <r>
    <x v="183"/>
    <x v="8"/>
    <x v="0"/>
    <n v="2"/>
    <d v="1899-12-30T00:04:07"/>
    <n v="4.1166666666666663"/>
  </r>
  <r>
    <x v="183"/>
    <x v="8"/>
    <x v="1"/>
    <n v="1"/>
    <d v="1899-12-30T00:00:29"/>
    <n v="0.48333333333333334"/>
  </r>
  <r>
    <x v="183"/>
    <x v="8"/>
    <x v="2"/>
    <n v="1"/>
    <d v="1899-12-30T00:01:26"/>
    <n v="1.4333333333333333"/>
  </r>
  <r>
    <x v="183"/>
    <x v="8"/>
    <x v="3"/>
    <n v="0"/>
    <d v="1899-12-30T00:00:00"/>
    <n v="0"/>
  </r>
  <r>
    <x v="183"/>
    <x v="8"/>
    <x v="4"/>
    <n v="1"/>
    <d v="1899-12-30T00:02:27"/>
    <n v="2.4500000000000002"/>
  </r>
  <r>
    <x v="183"/>
    <x v="8"/>
    <x v="5"/>
    <n v="1"/>
    <d v="1899-12-30T00:00:29"/>
    <n v="0.48333333333333334"/>
  </r>
  <r>
    <x v="183"/>
    <x v="9"/>
    <x v="0"/>
    <n v="4"/>
    <d v="1899-12-30T00:06:57"/>
    <n v="6.95"/>
  </r>
  <r>
    <x v="183"/>
    <x v="9"/>
    <x v="1"/>
    <n v="9"/>
    <d v="1899-12-30T00:10:08"/>
    <n v="10.133333333333333"/>
  </r>
  <r>
    <x v="183"/>
    <x v="9"/>
    <x v="2"/>
    <n v="3"/>
    <d v="1899-12-30T00:02:58"/>
    <n v="2.9666666666666668"/>
  </r>
  <r>
    <x v="183"/>
    <x v="9"/>
    <x v="3"/>
    <n v="0"/>
    <d v="1899-12-30T00:00:00"/>
    <n v="0"/>
  </r>
  <r>
    <x v="183"/>
    <x v="9"/>
    <x v="4"/>
    <n v="1"/>
    <d v="1899-12-30T00:01:23"/>
    <n v="1.3833333333333333"/>
  </r>
  <r>
    <x v="183"/>
    <x v="9"/>
    <x v="5"/>
    <n v="6"/>
    <d v="1899-12-30T00:06:11"/>
    <n v="6.1833333333333336"/>
  </r>
  <r>
    <x v="183"/>
    <x v="10"/>
    <x v="0"/>
    <n v="557"/>
    <d v="1899-12-30T20:06:41"/>
    <n v="1206.6833333333334"/>
  </r>
  <r>
    <x v="183"/>
    <x v="10"/>
    <x v="1"/>
    <n v="475"/>
    <d v="1899-12-30T16:03:37"/>
    <n v="963.61666666666667"/>
  </r>
  <r>
    <x v="183"/>
    <x v="10"/>
    <x v="2"/>
    <n v="256"/>
    <d v="1899-12-30T07:15:06"/>
    <n v="435.1"/>
  </r>
  <r>
    <x v="183"/>
    <x v="10"/>
    <x v="3"/>
    <n v="0"/>
    <d v="1899-12-30T00:00:00"/>
    <n v="0"/>
  </r>
  <r>
    <x v="183"/>
    <x v="10"/>
    <x v="4"/>
    <n v="127"/>
    <d v="1899-12-30T05:20:49"/>
    <n v="320.81666666666666"/>
  </r>
  <r>
    <x v="183"/>
    <x v="10"/>
    <x v="5"/>
    <n v="361"/>
    <d v="1899-12-30T11:15:58"/>
    <n v="675.9666666666667"/>
  </r>
  <r>
    <x v="183"/>
    <x v="11"/>
    <x v="0"/>
    <n v="0"/>
    <d v="1899-12-30T00:00:00"/>
    <n v="0"/>
  </r>
  <r>
    <x v="183"/>
    <x v="11"/>
    <x v="1"/>
    <n v="0"/>
    <d v="1899-12-30T00:00:00"/>
    <n v="0"/>
  </r>
  <r>
    <x v="183"/>
    <x v="11"/>
    <x v="2"/>
    <n v="1"/>
    <d v="1899-12-30T00:01:38"/>
    <n v="1.6333333333333333"/>
  </r>
  <r>
    <x v="183"/>
    <x v="11"/>
    <x v="3"/>
    <n v="0"/>
    <d v="1899-12-30T00:00:00"/>
    <n v="0"/>
  </r>
  <r>
    <x v="183"/>
    <x v="11"/>
    <x v="4"/>
    <n v="0"/>
    <d v="1899-12-30T00:00:00"/>
    <n v="0"/>
  </r>
  <r>
    <x v="183"/>
    <x v="11"/>
    <x v="5"/>
    <n v="2"/>
    <d v="1899-12-30T00:01:13"/>
    <n v="1.2166666666666668"/>
  </r>
  <r>
    <x v="183"/>
    <x v="12"/>
    <x v="0"/>
    <n v="26"/>
    <d v="1899-12-30T01:00:36"/>
    <n v="60.6"/>
  </r>
  <r>
    <x v="183"/>
    <x v="12"/>
    <x v="1"/>
    <n v="30"/>
    <d v="1899-12-30T01:03:04"/>
    <n v="63.06666666666667"/>
  </r>
  <r>
    <x v="183"/>
    <x v="12"/>
    <x v="2"/>
    <n v="21"/>
    <d v="1899-12-30T00:32:26"/>
    <n v="32.43333333333333"/>
  </r>
  <r>
    <x v="183"/>
    <x v="12"/>
    <x v="3"/>
    <n v="0"/>
    <d v="1899-12-30T00:00:00"/>
    <n v="0"/>
  </r>
  <r>
    <x v="183"/>
    <x v="12"/>
    <x v="4"/>
    <n v="6"/>
    <d v="1899-12-30T00:14:07"/>
    <n v="14.116666666666667"/>
  </r>
  <r>
    <x v="183"/>
    <x v="12"/>
    <x v="5"/>
    <n v="19"/>
    <d v="1899-12-30T00:26:14"/>
    <n v="26.233333333333334"/>
  </r>
  <r>
    <x v="183"/>
    <x v="13"/>
    <x v="0"/>
    <n v="0"/>
    <d v="1899-12-30T00:00:00"/>
    <n v="0"/>
  </r>
  <r>
    <x v="183"/>
    <x v="13"/>
    <x v="1"/>
    <n v="0"/>
    <d v="1899-12-30T00:00:00"/>
    <n v="0"/>
  </r>
  <r>
    <x v="183"/>
    <x v="13"/>
    <x v="2"/>
    <n v="1"/>
    <d v="1899-12-30T00:00:38"/>
    <n v="0.6333333333333333"/>
  </r>
  <r>
    <x v="183"/>
    <x v="13"/>
    <x v="3"/>
    <n v="0"/>
    <d v="1899-12-30T00:00:00"/>
    <n v="0"/>
  </r>
  <r>
    <x v="183"/>
    <x v="13"/>
    <x v="4"/>
    <n v="0"/>
    <d v="1899-12-30T00:00:00"/>
    <n v="0"/>
  </r>
  <r>
    <x v="183"/>
    <x v="13"/>
    <x v="5"/>
    <n v="0"/>
    <d v="1899-12-30T00:00:00"/>
    <n v="0"/>
  </r>
  <r>
    <x v="184"/>
    <x v="0"/>
    <x v="0"/>
    <n v="11"/>
    <d v="1899-12-30T00:17:40"/>
    <n v="17.666666666666668"/>
  </r>
  <r>
    <x v="184"/>
    <x v="0"/>
    <x v="1"/>
    <n v="5"/>
    <d v="1899-12-30T00:03:06"/>
    <n v="3.1"/>
  </r>
  <r>
    <x v="184"/>
    <x v="0"/>
    <x v="2"/>
    <n v="4"/>
    <d v="1899-12-30T00:04:49"/>
    <n v="4.8166666666666664"/>
  </r>
  <r>
    <x v="184"/>
    <x v="0"/>
    <x v="3"/>
    <n v="0"/>
    <d v="1899-12-30T00:00:00"/>
    <n v="0"/>
  </r>
  <r>
    <x v="184"/>
    <x v="0"/>
    <x v="4"/>
    <n v="2"/>
    <d v="1899-12-30T00:02:54"/>
    <n v="2.9"/>
  </r>
  <r>
    <x v="184"/>
    <x v="0"/>
    <x v="5"/>
    <n v="12"/>
    <d v="1899-12-30T00:08:54"/>
    <n v="8.9"/>
  </r>
  <r>
    <x v="184"/>
    <x v="1"/>
    <x v="0"/>
    <n v="24"/>
    <d v="1899-12-30T00:52:46"/>
    <n v="52.766666666666666"/>
  </r>
  <r>
    <x v="184"/>
    <x v="1"/>
    <x v="1"/>
    <n v="20"/>
    <d v="1899-12-30T00:43:47"/>
    <n v="43.783333333333331"/>
  </r>
  <r>
    <x v="184"/>
    <x v="1"/>
    <x v="2"/>
    <n v="19"/>
    <d v="1899-12-30T00:33:50"/>
    <n v="33.833333333333336"/>
  </r>
  <r>
    <x v="184"/>
    <x v="1"/>
    <x v="3"/>
    <n v="0"/>
    <d v="1899-12-30T00:00:00"/>
    <n v="0"/>
  </r>
  <r>
    <x v="184"/>
    <x v="1"/>
    <x v="4"/>
    <n v="12"/>
    <d v="1899-12-30T00:33:40"/>
    <n v="33.666666666666664"/>
  </r>
  <r>
    <x v="184"/>
    <x v="1"/>
    <x v="5"/>
    <n v="36"/>
    <d v="1899-12-30T01:16:24"/>
    <n v="76.400000000000006"/>
  </r>
  <r>
    <x v="184"/>
    <x v="2"/>
    <x v="0"/>
    <n v="124"/>
    <d v="1899-12-30T04:39:07"/>
    <n v="279.11666666666667"/>
  </r>
  <r>
    <x v="184"/>
    <x v="2"/>
    <x v="1"/>
    <n v="119"/>
    <d v="1899-12-30T04:15:12"/>
    <n v="255.2"/>
  </r>
  <r>
    <x v="184"/>
    <x v="2"/>
    <x v="2"/>
    <n v="65"/>
    <d v="1899-12-30T01:58:28"/>
    <n v="118.46666666666667"/>
  </r>
  <r>
    <x v="184"/>
    <x v="2"/>
    <x v="3"/>
    <n v="0"/>
    <d v="1899-12-30T00:00:00"/>
    <n v="0"/>
  </r>
  <r>
    <x v="184"/>
    <x v="2"/>
    <x v="4"/>
    <n v="24"/>
    <d v="1899-12-30T00:57:51"/>
    <n v="57.85"/>
  </r>
  <r>
    <x v="184"/>
    <x v="2"/>
    <x v="5"/>
    <n v="78"/>
    <d v="1899-12-30T02:04:22"/>
    <n v="124.36666666666666"/>
  </r>
  <r>
    <x v="184"/>
    <x v="3"/>
    <x v="0"/>
    <n v="43"/>
    <d v="1899-12-30T01:30:40"/>
    <n v="90.666666666666671"/>
  </r>
  <r>
    <x v="184"/>
    <x v="3"/>
    <x v="1"/>
    <n v="20"/>
    <d v="1899-12-30T00:42:06"/>
    <n v="42.1"/>
  </r>
  <r>
    <x v="184"/>
    <x v="3"/>
    <x v="2"/>
    <n v="11"/>
    <d v="1899-12-30T00:20:53"/>
    <n v="20.883333333333333"/>
  </r>
  <r>
    <x v="184"/>
    <x v="3"/>
    <x v="3"/>
    <n v="0"/>
    <d v="1899-12-30T00:00:00"/>
    <n v="0"/>
  </r>
  <r>
    <x v="184"/>
    <x v="3"/>
    <x v="4"/>
    <n v="3"/>
    <d v="1899-12-30T00:08:04"/>
    <n v="8.0666666666666664"/>
  </r>
  <r>
    <x v="184"/>
    <x v="3"/>
    <x v="5"/>
    <n v="29"/>
    <d v="1899-12-30T00:41:58"/>
    <n v="41.966666666666669"/>
  </r>
  <r>
    <x v="184"/>
    <x v="4"/>
    <x v="0"/>
    <n v="9"/>
    <d v="1899-12-30T00:33:20"/>
    <n v="33.333333333333336"/>
  </r>
  <r>
    <x v="184"/>
    <x v="4"/>
    <x v="1"/>
    <n v="10"/>
    <d v="1899-12-30T00:21:02"/>
    <n v="21.033333333333335"/>
  </r>
  <r>
    <x v="184"/>
    <x v="4"/>
    <x v="2"/>
    <n v="5"/>
    <d v="1899-12-30T00:09:29"/>
    <n v="9.4833333333333325"/>
  </r>
  <r>
    <x v="184"/>
    <x v="4"/>
    <x v="3"/>
    <n v="0"/>
    <d v="1899-12-30T00:00:00"/>
    <n v="0"/>
  </r>
  <r>
    <x v="184"/>
    <x v="4"/>
    <x v="4"/>
    <n v="1"/>
    <d v="1899-12-30T00:03:05"/>
    <n v="3.0833333333333335"/>
  </r>
  <r>
    <x v="184"/>
    <x v="4"/>
    <x v="5"/>
    <n v="5"/>
    <d v="1899-12-30T00:10:51"/>
    <n v="10.85"/>
  </r>
  <r>
    <x v="184"/>
    <x v="5"/>
    <x v="0"/>
    <n v="3"/>
    <d v="1899-12-30T00:05:32"/>
    <n v="5.5333333333333332"/>
  </r>
  <r>
    <x v="184"/>
    <x v="5"/>
    <x v="1"/>
    <n v="3"/>
    <d v="1899-12-30T00:03:25"/>
    <n v="3.4166666666666665"/>
  </r>
  <r>
    <x v="184"/>
    <x v="5"/>
    <x v="2"/>
    <n v="2"/>
    <d v="1899-12-30T00:02:42"/>
    <n v="2.7"/>
  </r>
  <r>
    <x v="184"/>
    <x v="5"/>
    <x v="3"/>
    <n v="0"/>
    <d v="1899-12-30T00:00:00"/>
    <n v="0"/>
  </r>
  <r>
    <x v="184"/>
    <x v="5"/>
    <x v="4"/>
    <n v="0"/>
    <d v="1899-12-30T00:00:00"/>
    <n v="0"/>
  </r>
  <r>
    <x v="184"/>
    <x v="5"/>
    <x v="5"/>
    <n v="4"/>
    <d v="1899-12-30T00:02:58"/>
    <n v="2.9666666666666668"/>
  </r>
  <r>
    <x v="184"/>
    <x v="6"/>
    <x v="0"/>
    <n v="9"/>
    <d v="1899-12-30T00:20:27"/>
    <n v="20.45"/>
  </r>
  <r>
    <x v="184"/>
    <x v="6"/>
    <x v="1"/>
    <n v="10"/>
    <d v="1899-12-30T00:14:57"/>
    <n v="14.95"/>
  </r>
  <r>
    <x v="184"/>
    <x v="6"/>
    <x v="2"/>
    <n v="13"/>
    <d v="1899-12-30T00:17:18"/>
    <n v="17.3"/>
  </r>
  <r>
    <x v="184"/>
    <x v="6"/>
    <x v="3"/>
    <n v="0"/>
    <d v="1899-12-30T00:00:00"/>
    <n v="0"/>
  </r>
  <r>
    <x v="184"/>
    <x v="6"/>
    <x v="4"/>
    <n v="10"/>
    <d v="1899-12-30T00:11:25"/>
    <n v="11.416666666666666"/>
  </r>
  <r>
    <x v="184"/>
    <x v="6"/>
    <x v="5"/>
    <n v="9"/>
    <d v="1899-12-30T00:15:10"/>
    <n v="15.166666666666666"/>
  </r>
  <r>
    <x v="184"/>
    <x v="7"/>
    <x v="0"/>
    <n v="5"/>
    <d v="1899-12-30T00:16:29"/>
    <n v="16.483333333333334"/>
  </r>
  <r>
    <x v="184"/>
    <x v="7"/>
    <x v="1"/>
    <n v="15"/>
    <d v="1899-12-30T00:16:40"/>
    <n v="16.666666666666668"/>
  </r>
  <r>
    <x v="184"/>
    <x v="7"/>
    <x v="2"/>
    <n v="2"/>
    <d v="1899-12-30T00:03:24"/>
    <n v="3.4"/>
  </r>
  <r>
    <x v="184"/>
    <x v="7"/>
    <x v="3"/>
    <n v="0"/>
    <d v="1899-12-30T00:00:00"/>
    <n v="0"/>
  </r>
  <r>
    <x v="184"/>
    <x v="7"/>
    <x v="4"/>
    <n v="35"/>
    <d v="1899-12-30T01:20:00"/>
    <n v="80"/>
  </r>
  <r>
    <x v="184"/>
    <x v="7"/>
    <x v="5"/>
    <n v="5"/>
    <d v="1899-12-30T00:03:09"/>
    <n v="3.15"/>
  </r>
  <r>
    <x v="184"/>
    <x v="8"/>
    <x v="0"/>
    <n v="2"/>
    <d v="1899-12-30T00:06:31"/>
    <n v="6.5166666666666666"/>
  </r>
  <r>
    <x v="184"/>
    <x v="8"/>
    <x v="1"/>
    <n v="5"/>
    <d v="1899-12-30T00:04:28"/>
    <n v="4.4666666666666668"/>
  </r>
  <r>
    <x v="184"/>
    <x v="8"/>
    <x v="2"/>
    <n v="5"/>
    <d v="1899-12-30T00:07:43"/>
    <n v="7.7166666666666668"/>
  </r>
  <r>
    <x v="184"/>
    <x v="8"/>
    <x v="3"/>
    <n v="0"/>
    <d v="1899-12-30T00:00:00"/>
    <n v="0"/>
  </r>
  <r>
    <x v="184"/>
    <x v="8"/>
    <x v="4"/>
    <n v="8"/>
    <d v="1899-12-30T00:19:53"/>
    <n v="19.883333333333333"/>
  </r>
  <r>
    <x v="184"/>
    <x v="8"/>
    <x v="5"/>
    <n v="4"/>
    <d v="1899-12-30T00:04:30"/>
    <n v="4.5"/>
  </r>
  <r>
    <x v="184"/>
    <x v="9"/>
    <x v="0"/>
    <n v="15"/>
    <d v="1899-12-30T00:29:00"/>
    <n v="29"/>
  </r>
  <r>
    <x v="184"/>
    <x v="9"/>
    <x v="1"/>
    <n v="14"/>
    <d v="1899-12-30T00:25:37"/>
    <n v="25.616666666666667"/>
  </r>
  <r>
    <x v="184"/>
    <x v="9"/>
    <x v="2"/>
    <n v="13"/>
    <d v="1899-12-30T00:22:06"/>
    <n v="22.1"/>
  </r>
  <r>
    <x v="184"/>
    <x v="9"/>
    <x v="3"/>
    <n v="0"/>
    <d v="1899-12-30T00:00:00"/>
    <n v="0"/>
  </r>
  <r>
    <x v="184"/>
    <x v="9"/>
    <x v="4"/>
    <n v="5"/>
    <d v="1899-12-30T00:07:53"/>
    <n v="7.8833333333333329"/>
  </r>
  <r>
    <x v="184"/>
    <x v="9"/>
    <x v="5"/>
    <n v="15"/>
    <d v="1899-12-30T00:28:32"/>
    <n v="28.533333333333335"/>
  </r>
  <r>
    <x v="184"/>
    <x v="10"/>
    <x v="0"/>
    <n v="395"/>
    <d v="1899-12-30T13:21:08"/>
    <n v="801.13333333333333"/>
  </r>
  <r>
    <x v="184"/>
    <x v="10"/>
    <x v="1"/>
    <n v="372"/>
    <d v="1899-12-30T12:50:43"/>
    <n v="770.7166666666667"/>
  </r>
  <r>
    <x v="184"/>
    <x v="10"/>
    <x v="2"/>
    <n v="188"/>
    <d v="1899-12-30T05:19:06"/>
    <n v="319.10000000000002"/>
  </r>
  <r>
    <x v="184"/>
    <x v="10"/>
    <x v="3"/>
    <n v="0"/>
    <d v="1899-12-30T00:00:00"/>
    <n v="0"/>
  </r>
  <r>
    <x v="184"/>
    <x v="10"/>
    <x v="4"/>
    <n v="101"/>
    <d v="1899-12-30T04:02:27"/>
    <n v="242.45"/>
  </r>
  <r>
    <x v="184"/>
    <x v="10"/>
    <x v="5"/>
    <n v="281"/>
    <d v="1899-12-30T06:48:14"/>
    <n v="408.23333333333335"/>
  </r>
  <r>
    <x v="184"/>
    <x v="11"/>
    <x v="0"/>
    <n v="9"/>
    <d v="1899-12-30T00:39:31"/>
    <n v="39.516666666666666"/>
  </r>
  <r>
    <x v="184"/>
    <x v="11"/>
    <x v="1"/>
    <n v="4"/>
    <d v="1899-12-30T00:11:56"/>
    <n v="11.933333333333334"/>
  </r>
  <r>
    <x v="184"/>
    <x v="11"/>
    <x v="2"/>
    <n v="2"/>
    <d v="1899-12-30T00:04:19"/>
    <n v="4.3166666666666664"/>
  </r>
  <r>
    <x v="184"/>
    <x v="11"/>
    <x v="3"/>
    <n v="0"/>
    <d v="1899-12-30T00:00:00"/>
    <n v="0"/>
  </r>
  <r>
    <x v="184"/>
    <x v="11"/>
    <x v="4"/>
    <n v="1"/>
    <d v="1899-12-30T00:02:07"/>
    <n v="2.1166666666666667"/>
  </r>
  <r>
    <x v="184"/>
    <x v="11"/>
    <x v="5"/>
    <n v="5"/>
    <d v="1899-12-30T00:07:23"/>
    <n v="7.3833333333333337"/>
  </r>
  <r>
    <x v="184"/>
    <x v="12"/>
    <x v="0"/>
    <n v="56"/>
    <d v="1899-12-30T01:57:42"/>
    <n v="117.7"/>
  </r>
  <r>
    <x v="184"/>
    <x v="12"/>
    <x v="1"/>
    <n v="47"/>
    <d v="1899-12-30T01:16:14"/>
    <n v="76.233333333333334"/>
  </r>
  <r>
    <x v="184"/>
    <x v="12"/>
    <x v="2"/>
    <n v="30"/>
    <d v="1899-12-30T00:56:19"/>
    <n v="56.31666666666667"/>
  </r>
  <r>
    <x v="184"/>
    <x v="12"/>
    <x v="3"/>
    <n v="0"/>
    <d v="1899-12-30T00:00:00"/>
    <n v="0"/>
  </r>
  <r>
    <x v="184"/>
    <x v="12"/>
    <x v="4"/>
    <n v="13"/>
    <d v="1899-12-30T00:34:27"/>
    <n v="34.450000000000003"/>
  </r>
  <r>
    <x v="184"/>
    <x v="12"/>
    <x v="5"/>
    <n v="32"/>
    <d v="1899-12-30T00:52:39"/>
    <n v="52.65"/>
  </r>
  <r>
    <x v="184"/>
    <x v="13"/>
    <x v="0"/>
    <n v="3"/>
    <d v="1899-12-30T00:05:24"/>
    <n v="5.4"/>
  </r>
  <r>
    <x v="184"/>
    <x v="13"/>
    <x v="1"/>
    <n v="4"/>
    <d v="1899-12-30T00:04:30"/>
    <n v="4.5"/>
  </r>
  <r>
    <x v="184"/>
    <x v="13"/>
    <x v="2"/>
    <n v="2"/>
    <d v="1899-12-30T00:00:58"/>
    <n v="0.96666666666666667"/>
  </r>
  <r>
    <x v="184"/>
    <x v="13"/>
    <x v="3"/>
    <n v="0"/>
    <d v="1899-12-30T00:00:00"/>
    <n v="0"/>
  </r>
  <r>
    <x v="184"/>
    <x v="13"/>
    <x v="4"/>
    <n v="0"/>
    <d v="1899-12-30T00:00:00"/>
    <n v="0"/>
  </r>
  <r>
    <x v="184"/>
    <x v="13"/>
    <x v="5"/>
    <n v="3"/>
    <d v="1899-12-30T00:04:25"/>
    <n v="4.416666666666667"/>
  </r>
  <r>
    <x v="185"/>
    <x v="0"/>
    <x v="0"/>
    <n v="21"/>
    <d v="1899-12-30T00:31:56"/>
    <n v="31.933333333333334"/>
  </r>
  <r>
    <x v="185"/>
    <x v="0"/>
    <x v="1"/>
    <n v="15"/>
    <d v="1899-12-30T00:22:58"/>
    <n v="22.966666666666665"/>
  </r>
  <r>
    <x v="185"/>
    <x v="0"/>
    <x v="2"/>
    <n v="18"/>
    <d v="1899-12-30T00:26:31"/>
    <n v="26.516666666666666"/>
  </r>
  <r>
    <x v="185"/>
    <x v="0"/>
    <x v="3"/>
    <n v="0"/>
    <d v="1899-12-30T00:00:00"/>
    <n v="0"/>
  </r>
  <r>
    <x v="185"/>
    <x v="0"/>
    <x v="4"/>
    <n v="1"/>
    <d v="1899-12-30T00:02:33"/>
    <n v="2.5499999999999998"/>
  </r>
  <r>
    <x v="185"/>
    <x v="0"/>
    <x v="5"/>
    <n v="9"/>
    <d v="1899-12-30T00:07:24"/>
    <n v="7.4"/>
  </r>
  <r>
    <x v="185"/>
    <x v="1"/>
    <x v="0"/>
    <n v="26"/>
    <d v="1899-12-30T01:04:21"/>
    <n v="64.349999999999994"/>
  </r>
  <r>
    <x v="185"/>
    <x v="1"/>
    <x v="1"/>
    <n v="31"/>
    <d v="1899-12-30T01:04:51"/>
    <n v="64.849999999999994"/>
  </r>
  <r>
    <x v="185"/>
    <x v="1"/>
    <x v="2"/>
    <n v="29"/>
    <d v="1899-12-30T00:52:53"/>
    <n v="52.883333333333333"/>
  </r>
  <r>
    <x v="185"/>
    <x v="1"/>
    <x v="3"/>
    <n v="0"/>
    <d v="1899-12-30T00:00:00"/>
    <n v="0"/>
  </r>
  <r>
    <x v="185"/>
    <x v="1"/>
    <x v="4"/>
    <n v="19"/>
    <d v="1899-12-30T00:48:28"/>
    <n v="48.466666666666669"/>
  </r>
  <r>
    <x v="185"/>
    <x v="1"/>
    <x v="5"/>
    <n v="63"/>
    <d v="1899-12-30T01:53:05"/>
    <n v="113.08333333333333"/>
  </r>
  <r>
    <x v="185"/>
    <x v="2"/>
    <x v="0"/>
    <n v="172"/>
    <d v="1899-12-30T06:55:10"/>
    <n v="415.16666666666669"/>
  </r>
  <r>
    <x v="185"/>
    <x v="2"/>
    <x v="1"/>
    <n v="128"/>
    <d v="1899-12-30T04:32:25"/>
    <n v="272.41666666666669"/>
  </r>
  <r>
    <x v="185"/>
    <x v="2"/>
    <x v="2"/>
    <n v="79"/>
    <d v="1899-12-30T02:35:29"/>
    <n v="155.48333333333332"/>
  </r>
  <r>
    <x v="185"/>
    <x v="2"/>
    <x v="3"/>
    <n v="0"/>
    <d v="1899-12-30T00:00:00"/>
    <n v="0"/>
  </r>
  <r>
    <x v="185"/>
    <x v="2"/>
    <x v="4"/>
    <n v="31"/>
    <d v="1899-12-30T01:00:51"/>
    <n v="60.85"/>
  </r>
  <r>
    <x v="185"/>
    <x v="2"/>
    <x v="5"/>
    <n v="57"/>
    <d v="1899-12-30T01:28:06"/>
    <n v="88.1"/>
  </r>
  <r>
    <x v="185"/>
    <x v="3"/>
    <x v="0"/>
    <n v="22"/>
    <d v="1899-12-30T00:45:47"/>
    <n v="45.783333333333331"/>
  </r>
  <r>
    <x v="185"/>
    <x v="3"/>
    <x v="1"/>
    <n v="19"/>
    <d v="1899-12-30T00:44:50"/>
    <n v="44.833333333333336"/>
  </r>
  <r>
    <x v="185"/>
    <x v="3"/>
    <x v="2"/>
    <n v="9"/>
    <d v="1899-12-30T00:17:35"/>
    <n v="17.583333333333332"/>
  </r>
  <r>
    <x v="185"/>
    <x v="3"/>
    <x v="3"/>
    <n v="0"/>
    <d v="1899-12-30T00:00:00"/>
    <n v="0"/>
  </r>
  <r>
    <x v="185"/>
    <x v="3"/>
    <x v="4"/>
    <n v="2"/>
    <d v="1899-12-30T00:05:01"/>
    <n v="5.0166666666666666"/>
  </r>
  <r>
    <x v="185"/>
    <x v="3"/>
    <x v="5"/>
    <n v="14"/>
    <d v="1899-12-30T00:25:36"/>
    <n v="25.6"/>
  </r>
  <r>
    <x v="185"/>
    <x v="4"/>
    <x v="0"/>
    <n v="36"/>
    <d v="1899-12-30T01:42:52"/>
    <n v="102.86666666666666"/>
  </r>
  <r>
    <x v="185"/>
    <x v="4"/>
    <x v="1"/>
    <n v="28"/>
    <d v="1899-12-30T01:25:57"/>
    <n v="85.95"/>
  </r>
  <r>
    <x v="185"/>
    <x v="4"/>
    <x v="2"/>
    <n v="15"/>
    <d v="1899-12-30T00:24:39"/>
    <n v="24.65"/>
  </r>
  <r>
    <x v="185"/>
    <x v="4"/>
    <x v="3"/>
    <n v="0"/>
    <d v="1899-12-30T00:00:00"/>
    <n v="0"/>
  </r>
  <r>
    <x v="185"/>
    <x v="4"/>
    <x v="4"/>
    <n v="8"/>
    <d v="1899-12-30T00:16:53"/>
    <n v="16.883333333333333"/>
  </r>
  <r>
    <x v="185"/>
    <x v="4"/>
    <x v="5"/>
    <n v="24"/>
    <d v="1899-12-30T00:34:20"/>
    <n v="34.333333333333336"/>
  </r>
  <r>
    <x v="185"/>
    <x v="5"/>
    <x v="0"/>
    <n v="21"/>
    <d v="1899-12-30T00:33:37"/>
    <n v="33.616666666666667"/>
  </r>
  <r>
    <x v="185"/>
    <x v="5"/>
    <x v="1"/>
    <n v="23"/>
    <d v="1899-12-30T00:37:44"/>
    <n v="37.733333333333334"/>
  </r>
  <r>
    <x v="185"/>
    <x v="5"/>
    <x v="2"/>
    <n v="19"/>
    <d v="1899-12-30T00:30:09"/>
    <n v="30.15"/>
  </r>
  <r>
    <x v="185"/>
    <x v="5"/>
    <x v="3"/>
    <n v="0"/>
    <d v="1899-12-30T00:00:00"/>
    <n v="0"/>
  </r>
  <r>
    <x v="185"/>
    <x v="5"/>
    <x v="4"/>
    <n v="3"/>
    <d v="1899-12-30T00:05:37"/>
    <n v="5.6166666666666671"/>
  </r>
  <r>
    <x v="185"/>
    <x v="5"/>
    <x v="5"/>
    <n v="26"/>
    <d v="1899-12-30T00:30:50"/>
    <n v="30.833333333333332"/>
  </r>
  <r>
    <x v="185"/>
    <x v="6"/>
    <x v="0"/>
    <n v="8"/>
    <d v="1899-12-30T00:25:25"/>
    <n v="25.416666666666668"/>
  </r>
  <r>
    <x v="185"/>
    <x v="6"/>
    <x v="1"/>
    <n v="6"/>
    <d v="1899-12-30T00:09:21"/>
    <n v="9.35"/>
  </r>
  <r>
    <x v="185"/>
    <x v="6"/>
    <x v="2"/>
    <n v="9"/>
    <d v="1899-12-30T00:14:35"/>
    <n v="14.583333333333334"/>
  </r>
  <r>
    <x v="185"/>
    <x v="6"/>
    <x v="3"/>
    <n v="0"/>
    <d v="1899-12-30T00:00:00"/>
    <n v="0"/>
  </r>
  <r>
    <x v="185"/>
    <x v="6"/>
    <x v="4"/>
    <n v="8"/>
    <d v="1899-12-30T00:15:48"/>
    <n v="15.8"/>
  </r>
  <r>
    <x v="185"/>
    <x v="6"/>
    <x v="5"/>
    <n v="13"/>
    <d v="1899-12-30T00:20:49"/>
    <n v="20.816666666666666"/>
  </r>
  <r>
    <x v="185"/>
    <x v="7"/>
    <x v="0"/>
    <n v="12"/>
    <d v="1899-12-30T00:31:34"/>
    <n v="31.566666666666666"/>
  </r>
  <r>
    <x v="185"/>
    <x v="7"/>
    <x v="1"/>
    <n v="26"/>
    <d v="1899-12-30T00:44:03"/>
    <n v="44.05"/>
  </r>
  <r>
    <x v="185"/>
    <x v="7"/>
    <x v="2"/>
    <n v="6"/>
    <d v="1899-12-30T00:08:52"/>
    <n v="8.8666666666666671"/>
  </r>
  <r>
    <x v="185"/>
    <x v="7"/>
    <x v="3"/>
    <n v="0"/>
    <d v="1899-12-30T00:00:00"/>
    <n v="0"/>
  </r>
  <r>
    <x v="185"/>
    <x v="7"/>
    <x v="4"/>
    <n v="75"/>
    <d v="1899-12-30T02:35:18"/>
    <n v="155.30000000000001"/>
  </r>
  <r>
    <x v="185"/>
    <x v="7"/>
    <x v="5"/>
    <n v="16"/>
    <d v="1899-12-30T00:20:40"/>
    <n v="20.666666666666668"/>
  </r>
  <r>
    <x v="185"/>
    <x v="8"/>
    <x v="0"/>
    <n v="16"/>
    <d v="1899-12-30T00:27:59"/>
    <n v="27.983333333333334"/>
  </r>
  <r>
    <x v="185"/>
    <x v="8"/>
    <x v="1"/>
    <n v="20"/>
    <d v="1899-12-30T00:26:34"/>
    <n v="26.566666666666666"/>
  </r>
  <r>
    <x v="185"/>
    <x v="8"/>
    <x v="2"/>
    <n v="21"/>
    <d v="1899-12-30T00:30:48"/>
    <n v="30.8"/>
  </r>
  <r>
    <x v="185"/>
    <x v="8"/>
    <x v="3"/>
    <n v="0"/>
    <d v="1899-12-30T00:00:00"/>
    <n v="0"/>
  </r>
  <r>
    <x v="185"/>
    <x v="8"/>
    <x v="4"/>
    <n v="11"/>
    <d v="1899-12-30T00:20:50"/>
    <n v="20.833333333333332"/>
  </r>
  <r>
    <x v="185"/>
    <x v="8"/>
    <x v="5"/>
    <n v="28"/>
    <d v="1899-12-30T00:34:16"/>
    <n v="34.266666666666666"/>
  </r>
  <r>
    <x v="185"/>
    <x v="9"/>
    <x v="0"/>
    <n v="76"/>
    <d v="1899-12-30T02:38:47"/>
    <n v="158.78333333333333"/>
  </r>
  <r>
    <x v="185"/>
    <x v="9"/>
    <x v="1"/>
    <n v="84"/>
    <d v="1899-12-30T03:14:36"/>
    <n v="194.6"/>
  </r>
  <r>
    <x v="185"/>
    <x v="9"/>
    <x v="2"/>
    <n v="68"/>
    <d v="1899-12-30T02:05:22"/>
    <n v="125.36666666666666"/>
  </r>
  <r>
    <x v="185"/>
    <x v="9"/>
    <x v="3"/>
    <n v="0"/>
    <d v="1899-12-30T00:00:00"/>
    <n v="0"/>
  </r>
  <r>
    <x v="185"/>
    <x v="9"/>
    <x v="4"/>
    <n v="8"/>
    <d v="1899-12-30T00:19:05"/>
    <n v="19.083333333333332"/>
  </r>
  <r>
    <x v="185"/>
    <x v="9"/>
    <x v="5"/>
    <n v="105"/>
    <d v="1899-12-30T02:28:11"/>
    <n v="148.18333333333334"/>
  </r>
  <r>
    <x v="185"/>
    <x v="10"/>
    <x v="0"/>
    <n v="162"/>
    <d v="1899-12-30T05:48:42"/>
    <n v="348.7"/>
  </r>
  <r>
    <x v="185"/>
    <x v="10"/>
    <x v="1"/>
    <n v="161"/>
    <d v="1899-12-30T05:28:39"/>
    <n v="328.65"/>
  </r>
  <r>
    <x v="185"/>
    <x v="10"/>
    <x v="2"/>
    <n v="90"/>
    <d v="1899-12-30T02:35:47"/>
    <n v="155.78333333333333"/>
  </r>
  <r>
    <x v="185"/>
    <x v="10"/>
    <x v="3"/>
    <n v="0"/>
    <d v="1899-12-30T00:00:00"/>
    <n v="0"/>
  </r>
  <r>
    <x v="185"/>
    <x v="10"/>
    <x v="4"/>
    <n v="59"/>
    <d v="1899-12-30T02:09:15"/>
    <n v="129.25"/>
  </r>
  <r>
    <x v="185"/>
    <x v="10"/>
    <x v="5"/>
    <n v="127"/>
    <d v="1899-12-30T02:58:56"/>
    <n v="178.93333333333334"/>
  </r>
  <r>
    <x v="185"/>
    <x v="11"/>
    <x v="0"/>
    <n v="15"/>
    <d v="1899-12-30T00:37:29"/>
    <n v="37.483333333333334"/>
  </r>
  <r>
    <x v="185"/>
    <x v="11"/>
    <x v="1"/>
    <n v="16"/>
    <d v="1899-12-30T00:46:06"/>
    <n v="46.1"/>
  </r>
  <r>
    <x v="185"/>
    <x v="11"/>
    <x v="2"/>
    <n v="8"/>
    <d v="1899-12-30T00:10:38"/>
    <n v="10.633333333333333"/>
  </r>
  <r>
    <x v="185"/>
    <x v="11"/>
    <x v="3"/>
    <n v="0"/>
    <d v="1899-12-30T00:00:00"/>
    <n v="0"/>
  </r>
  <r>
    <x v="185"/>
    <x v="11"/>
    <x v="4"/>
    <n v="7"/>
    <d v="1899-12-30T00:14:05"/>
    <n v="14.083333333333334"/>
  </r>
  <r>
    <x v="185"/>
    <x v="11"/>
    <x v="5"/>
    <n v="11"/>
    <d v="1899-12-30T00:15:15"/>
    <n v="15.25"/>
  </r>
  <r>
    <x v="185"/>
    <x v="12"/>
    <x v="0"/>
    <n v="114"/>
    <d v="1899-12-30T04:11:47"/>
    <n v="251.78333333333333"/>
  </r>
  <r>
    <x v="185"/>
    <x v="12"/>
    <x v="1"/>
    <n v="90"/>
    <d v="1899-12-30T02:51:24"/>
    <n v="171.4"/>
  </r>
  <r>
    <x v="185"/>
    <x v="12"/>
    <x v="2"/>
    <n v="63"/>
    <d v="1899-12-30T01:37:07"/>
    <n v="97.11666666666666"/>
  </r>
  <r>
    <x v="185"/>
    <x v="12"/>
    <x v="3"/>
    <n v="0"/>
    <d v="1899-12-30T00:00:00"/>
    <n v="0"/>
  </r>
  <r>
    <x v="185"/>
    <x v="12"/>
    <x v="4"/>
    <n v="53"/>
    <d v="1899-12-30T01:57:26"/>
    <n v="117.43333333333334"/>
  </r>
  <r>
    <x v="185"/>
    <x v="12"/>
    <x v="5"/>
    <n v="98"/>
    <d v="1899-12-30T02:23:50"/>
    <n v="143.83333333333334"/>
  </r>
  <r>
    <x v="185"/>
    <x v="13"/>
    <x v="0"/>
    <n v="3"/>
    <d v="1899-12-30T00:05:42"/>
    <n v="5.7"/>
  </r>
  <r>
    <x v="185"/>
    <x v="13"/>
    <x v="1"/>
    <n v="3"/>
    <d v="1899-12-30T00:10:42"/>
    <n v="10.7"/>
  </r>
  <r>
    <x v="185"/>
    <x v="13"/>
    <x v="2"/>
    <n v="2"/>
    <d v="1899-12-30T00:02:43"/>
    <n v="2.7166666666666668"/>
  </r>
  <r>
    <x v="185"/>
    <x v="13"/>
    <x v="3"/>
    <n v="0"/>
    <d v="1899-12-30T00:00:00"/>
    <n v="0"/>
  </r>
  <r>
    <x v="185"/>
    <x v="13"/>
    <x v="4"/>
    <n v="0"/>
    <d v="1899-12-30T00:00:00"/>
    <n v="0"/>
  </r>
  <r>
    <x v="185"/>
    <x v="13"/>
    <x v="5"/>
    <n v="10"/>
    <d v="1899-12-30T00:11:08"/>
    <n v="11.133333333333333"/>
  </r>
  <r>
    <x v="186"/>
    <x v="0"/>
    <x v="0"/>
    <n v="13"/>
    <d v="1899-12-30T00:23:19"/>
    <n v="23.316666666666666"/>
  </r>
  <r>
    <x v="186"/>
    <x v="0"/>
    <x v="1"/>
    <n v="12"/>
    <d v="1899-12-30T00:13:51"/>
    <n v="13.85"/>
  </r>
  <r>
    <x v="186"/>
    <x v="0"/>
    <x v="2"/>
    <n v="9"/>
    <d v="1899-12-30T00:11:03"/>
    <n v="11.05"/>
  </r>
  <r>
    <x v="186"/>
    <x v="0"/>
    <x v="3"/>
    <n v="0"/>
    <d v="1899-12-30T00:00:00"/>
    <n v="0"/>
  </r>
  <r>
    <x v="186"/>
    <x v="0"/>
    <x v="4"/>
    <n v="3"/>
    <d v="1899-12-30T00:04:55"/>
    <n v="4.916666666666667"/>
  </r>
  <r>
    <x v="186"/>
    <x v="0"/>
    <x v="5"/>
    <n v="20"/>
    <d v="1899-12-30T00:20:00"/>
    <n v="20"/>
  </r>
  <r>
    <x v="186"/>
    <x v="1"/>
    <x v="0"/>
    <n v="26"/>
    <d v="1899-12-30T01:07:56"/>
    <n v="67.933333333333337"/>
  </r>
  <r>
    <x v="186"/>
    <x v="1"/>
    <x v="1"/>
    <n v="36"/>
    <d v="1899-12-30T01:32:00"/>
    <n v="92"/>
  </r>
  <r>
    <x v="186"/>
    <x v="1"/>
    <x v="2"/>
    <n v="23"/>
    <d v="1899-12-30T00:52:30"/>
    <n v="52.5"/>
  </r>
  <r>
    <x v="186"/>
    <x v="1"/>
    <x v="3"/>
    <n v="0"/>
    <d v="1899-12-30T00:00:00"/>
    <n v="0"/>
  </r>
  <r>
    <x v="186"/>
    <x v="1"/>
    <x v="4"/>
    <n v="19"/>
    <d v="1899-12-30T00:50:18"/>
    <n v="50.3"/>
  </r>
  <r>
    <x v="186"/>
    <x v="1"/>
    <x v="5"/>
    <n v="41"/>
    <d v="1899-12-30T01:15:25"/>
    <n v="75.416666666666671"/>
  </r>
  <r>
    <x v="186"/>
    <x v="2"/>
    <x v="0"/>
    <n v="83"/>
    <d v="1899-12-30T03:58:07"/>
    <n v="238.11666666666667"/>
  </r>
  <r>
    <x v="186"/>
    <x v="2"/>
    <x v="1"/>
    <n v="77"/>
    <d v="1899-12-30T02:57:32"/>
    <n v="177.53333333333333"/>
  </r>
  <r>
    <x v="186"/>
    <x v="2"/>
    <x v="2"/>
    <n v="64"/>
    <d v="1899-12-30T01:58:50"/>
    <n v="118.83333333333333"/>
  </r>
  <r>
    <x v="186"/>
    <x v="2"/>
    <x v="3"/>
    <n v="0"/>
    <d v="1899-12-30T00:00:00"/>
    <n v="0"/>
  </r>
  <r>
    <x v="186"/>
    <x v="2"/>
    <x v="4"/>
    <n v="24"/>
    <d v="1899-12-30T00:54:44"/>
    <n v="54.733333333333334"/>
  </r>
  <r>
    <x v="186"/>
    <x v="2"/>
    <x v="5"/>
    <n v="29"/>
    <d v="1899-12-30T00:39:49"/>
    <n v="39.81666666666667"/>
  </r>
  <r>
    <x v="186"/>
    <x v="3"/>
    <x v="0"/>
    <n v="5"/>
    <d v="1899-12-30T00:10:58"/>
    <n v="10.966666666666667"/>
  </r>
  <r>
    <x v="186"/>
    <x v="3"/>
    <x v="1"/>
    <n v="4"/>
    <d v="1899-12-30T00:09:44"/>
    <n v="9.7333333333333325"/>
  </r>
  <r>
    <x v="186"/>
    <x v="3"/>
    <x v="2"/>
    <n v="0"/>
    <d v="1899-12-30T00:00:00"/>
    <n v="0"/>
  </r>
  <r>
    <x v="186"/>
    <x v="3"/>
    <x v="3"/>
    <n v="0"/>
    <d v="1899-12-30T00:00:00"/>
    <n v="0"/>
  </r>
  <r>
    <x v="186"/>
    <x v="3"/>
    <x v="4"/>
    <n v="1"/>
    <d v="1899-12-30T00:03:07"/>
    <n v="3.1166666666666667"/>
  </r>
  <r>
    <x v="186"/>
    <x v="3"/>
    <x v="5"/>
    <n v="5"/>
    <d v="1899-12-30T00:09:39"/>
    <n v="9.65"/>
  </r>
  <r>
    <x v="186"/>
    <x v="4"/>
    <x v="0"/>
    <n v="33"/>
    <d v="1899-12-30T01:39:56"/>
    <n v="99.933333333333337"/>
  </r>
  <r>
    <x v="186"/>
    <x v="4"/>
    <x v="1"/>
    <n v="26"/>
    <d v="1899-12-30T01:03:26"/>
    <n v="63.43333333333333"/>
  </r>
  <r>
    <x v="186"/>
    <x v="4"/>
    <x v="2"/>
    <n v="21"/>
    <d v="1899-12-30T00:53:42"/>
    <n v="53.7"/>
  </r>
  <r>
    <x v="186"/>
    <x v="4"/>
    <x v="3"/>
    <n v="0"/>
    <d v="1899-12-30T00:00:00"/>
    <n v="0"/>
  </r>
  <r>
    <x v="186"/>
    <x v="4"/>
    <x v="4"/>
    <n v="6"/>
    <d v="1899-12-30T00:14:46"/>
    <n v="14.766666666666667"/>
  </r>
  <r>
    <x v="186"/>
    <x v="4"/>
    <x v="5"/>
    <n v="11"/>
    <d v="1899-12-30T00:13:44"/>
    <n v="13.733333333333333"/>
  </r>
  <r>
    <x v="186"/>
    <x v="5"/>
    <x v="0"/>
    <n v="32"/>
    <d v="1899-12-30T00:55:41"/>
    <n v="55.68333333333333"/>
  </r>
  <r>
    <x v="186"/>
    <x v="5"/>
    <x v="1"/>
    <n v="22"/>
    <d v="1899-12-30T00:25:40"/>
    <n v="25.666666666666668"/>
  </r>
  <r>
    <x v="186"/>
    <x v="5"/>
    <x v="2"/>
    <n v="29"/>
    <d v="1899-12-30T00:45:13"/>
    <n v="45.216666666666669"/>
  </r>
  <r>
    <x v="186"/>
    <x v="5"/>
    <x v="3"/>
    <n v="0"/>
    <d v="1899-12-30T00:00:00"/>
    <n v="0"/>
  </r>
  <r>
    <x v="186"/>
    <x v="5"/>
    <x v="4"/>
    <n v="4"/>
    <d v="1899-12-30T00:09:31"/>
    <n v="9.5166666666666675"/>
  </r>
  <r>
    <x v="186"/>
    <x v="5"/>
    <x v="5"/>
    <n v="45"/>
    <d v="1899-12-30T00:58:37"/>
    <n v="58.616666666666667"/>
  </r>
  <r>
    <x v="186"/>
    <x v="6"/>
    <x v="0"/>
    <n v="6"/>
    <d v="1899-12-30T00:09:12"/>
    <n v="9.1999999999999993"/>
  </r>
  <r>
    <x v="186"/>
    <x v="6"/>
    <x v="1"/>
    <n v="8"/>
    <d v="1899-12-30T00:13:55"/>
    <n v="13.916666666666666"/>
  </r>
  <r>
    <x v="186"/>
    <x v="6"/>
    <x v="2"/>
    <n v="7"/>
    <d v="1899-12-30T00:13:22"/>
    <n v="13.366666666666667"/>
  </r>
  <r>
    <x v="186"/>
    <x v="6"/>
    <x v="3"/>
    <n v="0"/>
    <d v="1899-12-30T00:00:00"/>
    <n v="0"/>
  </r>
  <r>
    <x v="186"/>
    <x v="6"/>
    <x v="4"/>
    <n v="6"/>
    <d v="1899-12-30T00:13:34"/>
    <n v="13.566666666666666"/>
  </r>
  <r>
    <x v="186"/>
    <x v="6"/>
    <x v="5"/>
    <n v="7"/>
    <d v="1899-12-30T00:08:03"/>
    <n v="8.0500000000000007"/>
  </r>
  <r>
    <x v="186"/>
    <x v="7"/>
    <x v="0"/>
    <n v="3"/>
    <d v="1899-12-30T00:07:33"/>
    <n v="7.55"/>
  </r>
  <r>
    <x v="186"/>
    <x v="7"/>
    <x v="1"/>
    <n v="21"/>
    <d v="1899-12-30T00:38:50"/>
    <n v="38.833333333333336"/>
  </r>
  <r>
    <x v="186"/>
    <x v="7"/>
    <x v="2"/>
    <n v="4"/>
    <d v="1899-12-30T00:05:18"/>
    <n v="5.3"/>
  </r>
  <r>
    <x v="186"/>
    <x v="7"/>
    <x v="3"/>
    <n v="0"/>
    <d v="1899-12-30T00:00:00"/>
    <n v="0"/>
  </r>
  <r>
    <x v="186"/>
    <x v="7"/>
    <x v="4"/>
    <n v="72"/>
    <d v="1899-12-30T02:38:36"/>
    <n v="158.6"/>
  </r>
  <r>
    <x v="186"/>
    <x v="7"/>
    <x v="5"/>
    <n v="17"/>
    <d v="1899-12-30T00:17:01"/>
    <n v="17.016666666666666"/>
  </r>
  <r>
    <x v="186"/>
    <x v="8"/>
    <x v="0"/>
    <n v="5"/>
    <d v="1899-12-30T00:08:14"/>
    <n v="8.2333333333333325"/>
  </r>
  <r>
    <x v="186"/>
    <x v="8"/>
    <x v="1"/>
    <n v="8"/>
    <d v="1899-12-30T00:14:03"/>
    <n v="14.05"/>
  </r>
  <r>
    <x v="186"/>
    <x v="8"/>
    <x v="2"/>
    <n v="4"/>
    <d v="1899-12-30T00:07:28"/>
    <n v="7.4666666666666668"/>
  </r>
  <r>
    <x v="186"/>
    <x v="8"/>
    <x v="3"/>
    <n v="0"/>
    <d v="1899-12-30T00:00:00"/>
    <n v="0"/>
  </r>
  <r>
    <x v="186"/>
    <x v="8"/>
    <x v="4"/>
    <n v="11"/>
    <d v="1899-12-30T00:26:27"/>
    <n v="26.45"/>
  </r>
  <r>
    <x v="186"/>
    <x v="8"/>
    <x v="5"/>
    <n v="13"/>
    <d v="1899-12-30T00:10:02"/>
    <n v="10.033333333333333"/>
  </r>
  <r>
    <x v="186"/>
    <x v="9"/>
    <x v="0"/>
    <n v="59"/>
    <d v="1899-12-30T02:14:23"/>
    <n v="134.38333333333333"/>
  </r>
  <r>
    <x v="186"/>
    <x v="9"/>
    <x v="1"/>
    <n v="59"/>
    <d v="1899-12-30T01:47:19"/>
    <n v="107.31666666666666"/>
  </r>
  <r>
    <x v="186"/>
    <x v="9"/>
    <x v="2"/>
    <n v="46"/>
    <d v="1899-12-30T01:12:13"/>
    <n v="72.216666666666669"/>
  </r>
  <r>
    <x v="186"/>
    <x v="9"/>
    <x v="3"/>
    <n v="0"/>
    <d v="1899-12-30T00:00:00"/>
    <n v="0"/>
  </r>
  <r>
    <x v="186"/>
    <x v="9"/>
    <x v="4"/>
    <n v="9"/>
    <d v="1899-12-30T00:20:47"/>
    <n v="20.783333333333335"/>
  </r>
  <r>
    <x v="186"/>
    <x v="9"/>
    <x v="5"/>
    <n v="32"/>
    <d v="1899-12-30T00:49:10"/>
    <n v="49.166666666666664"/>
  </r>
  <r>
    <x v="186"/>
    <x v="10"/>
    <x v="0"/>
    <n v="160"/>
    <d v="1899-12-30T05:31:12"/>
    <n v="331.2"/>
  </r>
  <r>
    <x v="186"/>
    <x v="10"/>
    <x v="1"/>
    <n v="127"/>
    <d v="1899-12-30T04:07:45"/>
    <n v="247.75"/>
  </r>
  <r>
    <x v="186"/>
    <x v="10"/>
    <x v="2"/>
    <n v="72"/>
    <d v="1899-12-30T02:05:50"/>
    <n v="125.83333333333333"/>
  </r>
  <r>
    <x v="186"/>
    <x v="10"/>
    <x v="3"/>
    <n v="0"/>
    <d v="1899-12-30T00:00:00"/>
    <n v="0"/>
  </r>
  <r>
    <x v="186"/>
    <x v="10"/>
    <x v="4"/>
    <n v="36"/>
    <d v="1899-12-30T01:14:53"/>
    <n v="74.88333333333334"/>
  </r>
  <r>
    <x v="186"/>
    <x v="10"/>
    <x v="5"/>
    <n v="87"/>
    <d v="1899-12-30T01:52:25"/>
    <n v="112.41666666666667"/>
  </r>
  <r>
    <x v="186"/>
    <x v="11"/>
    <x v="0"/>
    <n v="6"/>
    <d v="1899-12-30T00:15:17"/>
    <n v="15.283333333333333"/>
  </r>
  <r>
    <x v="186"/>
    <x v="11"/>
    <x v="1"/>
    <n v="9"/>
    <d v="1899-12-30T00:25:46"/>
    <n v="25.766666666666666"/>
  </r>
  <r>
    <x v="186"/>
    <x v="11"/>
    <x v="2"/>
    <n v="4"/>
    <d v="1899-12-30T00:09:08"/>
    <n v="9.1333333333333329"/>
  </r>
  <r>
    <x v="186"/>
    <x v="11"/>
    <x v="3"/>
    <n v="0"/>
    <d v="1899-12-30T00:00:00"/>
    <n v="0"/>
  </r>
  <r>
    <x v="186"/>
    <x v="11"/>
    <x v="4"/>
    <n v="7"/>
    <d v="1899-12-30T00:14:29"/>
    <n v="14.483333333333333"/>
  </r>
  <r>
    <x v="186"/>
    <x v="11"/>
    <x v="5"/>
    <n v="12"/>
    <d v="1899-12-30T00:16:34"/>
    <n v="16.566666666666666"/>
  </r>
  <r>
    <x v="186"/>
    <x v="12"/>
    <x v="0"/>
    <n v="89"/>
    <d v="1899-12-30T03:36:41"/>
    <n v="216.68333333333334"/>
  </r>
  <r>
    <x v="186"/>
    <x v="12"/>
    <x v="1"/>
    <n v="42"/>
    <d v="1899-12-30T01:31:18"/>
    <n v="91.3"/>
  </r>
  <r>
    <x v="186"/>
    <x v="12"/>
    <x v="2"/>
    <n v="44"/>
    <d v="1899-12-30T01:20:13"/>
    <n v="80.216666666666669"/>
  </r>
  <r>
    <x v="186"/>
    <x v="12"/>
    <x v="3"/>
    <n v="0"/>
    <d v="1899-12-30T00:00:00"/>
    <n v="0"/>
  </r>
  <r>
    <x v="186"/>
    <x v="12"/>
    <x v="4"/>
    <n v="24"/>
    <d v="1899-12-30T00:55:54"/>
    <n v="55.9"/>
  </r>
  <r>
    <x v="186"/>
    <x v="12"/>
    <x v="5"/>
    <n v="48"/>
    <d v="1899-12-30T01:09:27"/>
    <n v="69.45"/>
  </r>
  <r>
    <x v="186"/>
    <x v="13"/>
    <x v="0"/>
    <n v="5"/>
    <d v="1899-12-30T00:14:49"/>
    <n v="14.816666666666666"/>
  </r>
  <r>
    <x v="186"/>
    <x v="13"/>
    <x v="1"/>
    <n v="9"/>
    <d v="1899-12-30T00:24:53"/>
    <n v="24.883333333333333"/>
  </r>
  <r>
    <x v="186"/>
    <x v="13"/>
    <x v="2"/>
    <n v="6"/>
    <d v="1899-12-30T00:11:25"/>
    <n v="11.416666666666666"/>
  </r>
  <r>
    <x v="186"/>
    <x v="13"/>
    <x v="3"/>
    <n v="0"/>
    <d v="1899-12-30T00:00:00"/>
    <n v="0"/>
  </r>
  <r>
    <x v="186"/>
    <x v="13"/>
    <x v="4"/>
    <n v="0"/>
    <d v="1899-12-30T00:00:00"/>
    <n v="0"/>
  </r>
  <r>
    <x v="186"/>
    <x v="13"/>
    <x v="5"/>
    <n v="24"/>
    <d v="1899-12-30T00:28:59"/>
    <n v="28.983333333333334"/>
  </r>
  <r>
    <x v="187"/>
    <x v="0"/>
    <x v="0"/>
    <n v="63"/>
    <d v="1899-12-30T01:33:50"/>
    <n v="93.833333333333329"/>
  </r>
  <r>
    <x v="187"/>
    <x v="0"/>
    <x v="1"/>
    <n v="78"/>
    <d v="1899-12-30T01:51:19"/>
    <n v="111.31666666666666"/>
  </r>
  <r>
    <x v="187"/>
    <x v="0"/>
    <x v="2"/>
    <n v="58"/>
    <d v="1899-12-30T01:21:21"/>
    <n v="81.349999999999994"/>
  </r>
  <r>
    <x v="187"/>
    <x v="0"/>
    <x v="3"/>
    <n v="0"/>
    <d v="1899-12-30T00:00:00"/>
    <n v="0"/>
  </r>
  <r>
    <x v="187"/>
    <x v="0"/>
    <x v="4"/>
    <n v="21"/>
    <d v="1899-12-30T00:43:54"/>
    <n v="43.9"/>
  </r>
  <r>
    <x v="187"/>
    <x v="0"/>
    <x v="5"/>
    <n v="59"/>
    <d v="1899-12-30T01:02:47"/>
    <n v="62.783333333333331"/>
  </r>
  <r>
    <x v="187"/>
    <x v="1"/>
    <x v="0"/>
    <n v="24"/>
    <d v="1899-12-30T01:06:31"/>
    <n v="66.516666666666666"/>
  </r>
  <r>
    <x v="187"/>
    <x v="1"/>
    <x v="1"/>
    <n v="28"/>
    <d v="1899-12-30T01:12:11"/>
    <n v="72.183333333333337"/>
  </r>
  <r>
    <x v="187"/>
    <x v="1"/>
    <x v="2"/>
    <n v="21"/>
    <d v="1899-12-30T00:43:16"/>
    <n v="43.266666666666666"/>
  </r>
  <r>
    <x v="187"/>
    <x v="1"/>
    <x v="3"/>
    <n v="0"/>
    <d v="1899-12-30T00:00:00"/>
    <n v="0"/>
  </r>
  <r>
    <x v="187"/>
    <x v="1"/>
    <x v="4"/>
    <n v="16"/>
    <d v="1899-12-30T00:39:33"/>
    <n v="39.549999999999997"/>
  </r>
  <r>
    <x v="187"/>
    <x v="1"/>
    <x v="5"/>
    <n v="44"/>
    <d v="1899-12-30T01:24:35"/>
    <n v="84.583333333333329"/>
  </r>
  <r>
    <x v="187"/>
    <x v="2"/>
    <x v="0"/>
    <n v="63"/>
    <d v="1899-12-30T03:12:39"/>
    <n v="192.65"/>
  </r>
  <r>
    <x v="187"/>
    <x v="2"/>
    <x v="1"/>
    <n v="54"/>
    <d v="1899-12-30T02:07:18"/>
    <n v="127.3"/>
  </r>
  <r>
    <x v="187"/>
    <x v="2"/>
    <x v="2"/>
    <n v="36"/>
    <d v="1899-12-30T01:07:03"/>
    <n v="67.05"/>
  </r>
  <r>
    <x v="187"/>
    <x v="2"/>
    <x v="3"/>
    <n v="0"/>
    <d v="1899-12-30T00:00:00"/>
    <n v="0"/>
  </r>
  <r>
    <x v="187"/>
    <x v="2"/>
    <x v="4"/>
    <n v="14"/>
    <d v="1899-12-30T00:34:20"/>
    <n v="34.333333333333336"/>
  </r>
  <r>
    <x v="187"/>
    <x v="2"/>
    <x v="5"/>
    <n v="27"/>
    <d v="1899-12-30T00:48:53"/>
    <n v="48.883333333333333"/>
  </r>
  <r>
    <x v="187"/>
    <x v="3"/>
    <x v="0"/>
    <n v="11"/>
    <d v="1899-12-30T00:21:49"/>
    <n v="21.816666666666666"/>
  </r>
  <r>
    <x v="187"/>
    <x v="3"/>
    <x v="1"/>
    <n v="11"/>
    <d v="1899-12-30T00:19:18"/>
    <n v="19.3"/>
  </r>
  <r>
    <x v="187"/>
    <x v="3"/>
    <x v="2"/>
    <n v="8"/>
    <d v="1899-12-30T00:13:27"/>
    <n v="13.45"/>
  </r>
  <r>
    <x v="187"/>
    <x v="3"/>
    <x v="3"/>
    <n v="0"/>
    <d v="1899-12-30T00:00:00"/>
    <n v="0"/>
  </r>
  <r>
    <x v="187"/>
    <x v="3"/>
    <x v="4"/>
    <n v="3"/>
    <d v="1899-12-30T00:07:01"/>
    <n v="7.0166666666666666"/>
  </r>
  <r>
    <x v="187"/>
    <x v="3"/>
    <x v="5"/>
    <n v="12"/>
    <d v="1899-12-30T00:20:01"/>
    <n v="20.016666666666666"/>
  </r>
  <r>
    <x v="187"/>
    <x v="4"/>
    <x v="0"/>
    <n v="59"/>
    <d v="1899-12-30T02:28:21"/>
    <n v="148.35"/>
  </r>
  <r>
    <x v="187"/>
    <x v="4"/>
    <x v="1"/>
    <n v="37"/>
    <d v="1899-12-30T01:12:49"/>
    <n v="72.816666666666663"/>
  </r>
  <r>
    <x v="187"/>
    <x v="4"/>
    <x v="2"/>
    <n v="33"/>
    <d v="1899-12-30T01:08:19"/>
    <n v="68.316666666666663"/>
  </r>
  <r>
    <x v="187"/>
    <x v="4"/>
    <x v="3"/>
    <n v="0"/>
    <d v="1899-12-30T00:00:00"/>
    <n v="0"/>
  </r>
  <r>
    <x v="187"/>
    <x v="4"/>
    <x v="4"/>
    <n v="16"/>
    <d v="1899-12-30T00:30:52"/>
    <n v="30.866666666666667"/>
  </r>
  <r>
    <x v="187"/>
    <x v="4"/>
    <x v="5"/>
    <n v="24"/>
    <d v="1899-12-30T00:28:57"/>
    <n v="28.95"/>
  </r>
  <r>
    <x v="187"/>
    <x v="5"/>
    <x v="0"/>
    <n v="12"/>
    <d v="1899-12-30T00:19:05"/>
    <n v="19.083333333333332"/>
  </r>
  <r>
    <x v="187"/>
    <x v="5"/>
    <x v="1"/>
    <n v="10"/>
    <d v="1899-12-30T00:15:02"/>
    <n v="15.033333333333333"/>
  </r>
  <r>
    <x v="187"/>
    <x v="5"/>
    <x v="2"/>
    <n v="13"/>
    <d v="1899-12-30T00:16:05"/>
    <n v="16.083333333333332"/>
  </r>
  <r>
    <x v="187"/>
    <x v="5"/>
    <x v="3"/>
    <n v="0"/>
    <d v="1899-12-30T00:00:00"/>
    <n v="0"/>
  </r>
  <r>
    <x v="187"/>
    <x v="5"/>
    <x v="4"/>
    <n v="1"/>
    <d v="1899-12-30T00:02:04"/>
    <n v="2.0666666666666669"/>
  </r>
  <r>
    <x v="187"/>
    <x v="5"/>
    <x v="5"/>
    <n v="14"/>
    <d v="1899-12-30T00:13:49"/>
    <n v="13.816666666666666"/>
  </r>
  <r>
    <x v="187"/>
    <x v="6"/>
    <x v="0"/>
    <n v="2"/>
    <d v="1899-12-30T00:02:30"/>
    <n v="2.5"/>
  </r>
  <r>
    <x v="187"/>
    <x v="6"/>
    <x v="1"/>
    <n v="4"/>
    <d v="1899-12-30T00:02:07"/>
    <n v="2.1166666666666667"/>
  </r>
  <r>
    <x v="187"/>
    <x v="6"/>
    <x v="2"/>
    <n v="0"/>
    <d v="1899-12-30T00:00:00"/>
    <n v="0"/>
  </r>
  <r>
    <x v="187"/>
    <x v="6"/>
    <x v="3"/>
    <n v="0"/>
    <d v="1899-12-30T00:00:00"/>
    <n v="0"/>
  </r>
  <r>
    <x v="187"/>
    <x v="6"/>
    <x v="4"/>
    <n v="7"/>
    <d v="1899-12-30T00:12:38"/>
    <n v="12.633333333333333"/>
  </r>
  <r>
    <x v="187"/>
    <x v="6"/>
    <x v="5"/>
    <n v="4"/>
    <d v="1899-12-30T00:03:19"/>
    <n v="3.3166666666666664"/>
  </r>
  <r>
    <x v="187"/>
    <x v="7"/>
    <x v="0"/>
    <n v="26"/>
    <d v="1899-12-30T00:41:36"/>
    <n v="41.6"/>
  </r>
  <r>
    <x v="187"/>
    <x v="7"/>
    <x v="1"/>
    <n v="58"/>
    <d v="1899-12-30T01:27:14"/>
    <n v="87.233333333333334"/>
  </r>
  <r>
    <x v="187"/>
    <x v="7"/>
    <x v="2"/>
    <n v="32"/>
    <d v="1899-12-30T00:39:12"/>
    <n v="39.200000000000003"/>
  </r>
  <r>
    <x v="187"/>
    <x v="7"/>
    <x v="3"/>
    <n v="0"/>
    <d v="1899-12-30T00:00:00"/>
    <n v="0"/>
  </r>
  <r>
    <x v="187"/>
    <x v="7"/>
    <x v="4"/>
    <n v="93"/>
    <d v="1899-12-30T03:28:59"/>
    <n v="208.98333333333332"/>
  </r>
  <r>
    <x v="187"/>
    <x v="7"/>
    <x v="5"/>
    <n v="36"/>
    <d v="1899-12-30T00:39:13"/>
    <n v="39.216666666666669"/>
  </r>
  <r>
    <x v="187"/>
    <x v="8"/>
    <x v="0"/>
    <n v="6"/>
    <d v="1899-12-30T00:15:51"/>
    <n v="15.85"/>
  </r>
  <r>
    <x v="187"/>
    <x v="8"/>
    <x v="1"/>
    <n v="7"/>
    <d v="1899-12-30T00:08:01"/>
    <n v="8.0166666666666675"/>
  </r>
  <r>
    <x v="187"/>
    <x v="8"/>
    <x v="2"/>
    <n v="8"/>
    <d v="1899-12-30T00:12:23"/>
    <n v="12.383333333333333"/>
  </r>
  <r>
    <x v="187"/>
    <x v="8"/>
    <x v="3"/>
    <n v="0"/>
    <d v="1899-12-30T00:00:00"/>
    <n v="0"/>
  </r>
  <r>
    <x v="187"/>
    <x v="8"/>
    <x v="4"/>
    <n v="4"/>
    <d v="1899-12-30T00:09:10"/>
    <n v="9.1666666666666661"/>
  </r>
  <r>
    <x v="187"/>
    <x v="8"/>
    <x v="5"/>
    <n v="5"/>
    <d v="1899-12-30T00:08:02"/>
    <n v="8.0333333333333332"/>
  </r>
  <r>
    <x v="187"/>
    <x v="9"/>
    <x v="0"/>
    <n v="12"/>
    <d v="1899-12-30T00:13:47"/>
    <n v="13.783333333333333"/>
  </r>
  <r>
    <x v="187"/>
    <x v="9"/>
    <x v="1"/>
    <n v="19"/>
    <d v="1899-12-30T00:31:04"/>
    <n v="31.066666666666666"/>
  </r>
  <r>
    <x v="187"/>
    <x v="9"/>
    <x v="2"/>
    <n v="11"/>
    <d v="1899-12-30T00:16:08"/>
    <n v="16.133333333333333"/>
  </r>
  <r>
    <x v="187"/>
    <x v="9"/>
    <x v="3"/>
    <n v="0"/>
    <d v="1899-12-30T00:00:00"/>
    <n v="0"/>
  </r>
  <r>
    <x v="187"/>
    <x v="9"/>
    <x v="4"/>
    <n v="3"/>
    <d v="1899-12-30T00:06:01"/>
    <n v="6.0166666666666666"/>
  </r>
  <r>
    <x v="187"/>
    <x v="9"/>
    <x v="5"/>
    <n v="5"/>
    <d v="1899-12-30T00:06:36"/>
    <n v="6.6"/>
  </r>
  <r>
    <x v="187"/>
    <x v="10"/>
    <x v="0"/>
    <n v="190"/>
    <d v="1899-12-30T05:53:40"/>
    <n v="353.66666666666669"/>
  </r>
  <r>
    <x v="187"/>
    <x v="10"/>
    <x v="1"/>
    <n v="95"/>
    <d v="1899-12-30T02:50:17"/>
    <n v="170.28333333333333"/>
  </r>
  <r>
    <x v="187"/>
    <x v="10"/>
    <x v="2"/>
    <n v="78"/>
    <d v="1899-12-30T02:09:02"/>
    <n v="129.03333333333333"/>
  </r>
  <r>
    <x v="187"/>
    <x v="10"/>
    <x v="3"/>
    <n v="0"/>
    <d v="1899-12-30T00:00:00"/>
    <n v="0"/>
  </r>
  <r>
    <x v="187"/>
    <x v="10"/>
    <x v="4"/>
    <n v="18"/>
    <d v="1899-12-30T00:43:06"/>
    <n v="43.1"/>
  </r>
  <r>
    <x v="187"/>
    <x v="10"/>
    <x v="5"/>
    <n v="87"/>
    <d v="1899-12-30T02:01:58"/>
    <n v="121.96666666666667"/>
  </r>
  <r>
    <x v="187"/>
    <x v="11"/>
    <x v="0"/>
    <n v="11"/>
    <d v="1899-12-30T00:36:02"/>
    <n v="36.033333333333331"/>
  </r>
  <r>
    <x v="187"/>
    <x v="11"/>
    <x v="1"/>
    <n v="5"/>
    <d v="1899-12-30T00:11:17"/>
    <n v="11.283333333333333"/>
  </r>
  <r>
    <x v="187"/>
    <x v="11"/>
    <x v="2"/>
    <n v="2"/>
    <d v="1899-12-30T00:05:38"/>
    <n v="5.6333333333333329"/>
  </r>
  <r>
    <x v="187"/>
    <x v="11"/>
    <x v="3"/>
    <n v="0"/>
    <d v="1899-12-30T00:00:00"/>
    <n v="0"/>
  </r>
  <r>
    <x v="187"/>
    <x v="11"/>
    <x v="4"/>
    <n v="8"/>
    <d v="1899-12-30T00:06:01"/>
    <n v="6.0166666666666666"/>
  </r>
  <r>
    <x v="187"/>
    <x v="11"/>
    <x v="5"/>
    <n v="9"/>
    <d v="1899-12-30T00:14:05"/>
    <n v="14.083333333333334"/>
  </r>
  <r>
    <x v="187"/>
    <x v="12"/>
    <x v="0"/>
    <n v="53"/>
    <d v="1899-12-30T02:15:14"/>
    <n v="135.23333333333332"/>
  </r>
  <r>
    <x v="187"/>
    <x v="12"/>
    <x v="1"/>
    <n v="60"/>
    <d v="1899-12-30T02:05:30"/>
    <n v="125.5"/>
  </r>
  <r>
    <x v="187"/>
    <x v="12"/>
    <x v="2"/>
    <n v="36"/>
    <d v="1899-12-30T01:01:57"/>
    <n v="61.95"/>
  </r>
  <r>
    <x v="187"/>
    <x v="12"/>
    <x v="3"/>
    <n v="0"/>
    <d v="1899-12-30T00:00:00"/>
    <n v="0"/>
  </r>
  <r>
    <x v="187"/>
    <x v="12"/>
    <x v="4"/>
    <n v="24"/>
    <d v="1899-12-30T00:52:42"/>
    <n v="52.7"/>
  </r>
  <r>
    <x v="187"/>
    <x v="12"/>
    <x v="5"/>
    <n v="50"/>
    <d v="1899-12-30T01:13:49"/>
    <n v="73.816666666666663"/>
  </r>
  <r>
    <x v="187"/>
    <x v="13"/>
    <x v="0"/>
    <n v="23"/>
    <d v="1899-12-30T00:29:31"/>
    <n v="29.516666666666666"/>
  </r>
  <r>
    <x v="187"/>
    <x v="13"/>
    <x v="1"/>
    <n v="30"/>
    <d v="1899-12-30T00:33:25"/>
    <n v="33.416666666666664"/>
  </r>
  <r>
    <x v="187"/>
    <x v="13"/>
    <x v="2"/>
    <n v="29"/>
    <d v="1899-12-30T00:39:28"/>
    <n v="39.466666666666669"/>
  </r>
  <r>
    <x v="187"/>
    <x v="13"/>
    <x v="3"/>
    <n v="0"/>
    <d v="1899-12-30T00:00:00"/>
    <n v="0"/>
  </r>
  <r>
    <x v="187"/>
    <x v="13"/>
    <x v="4"/>
    <n v="1"/>
    <d v="1899-12-30T00:02:24"/>
    <n v="2.4"/>
  </r>
  <r>
    <x v="187"/>
    <x v="13"/>
    <x v="5"/>
    <n v="26"/>
    <d v="1899-12-30T00:35:43"/>
    <n v="35.716666666666669"/>
  </r>
  <r>
    <x v="188"/>
    <x v="0"/>
    <x v="0"/>
    <n v="47"/>
    <d v="1899-12-30T01:11:29"/>
    <n v="71.483333333333334"/>
  </r>
  <r>
    <x v="188"/>
    <x v="0"/>
    <x v="1"/>
    <n v="34"/>
    <d v="1899-12-30T00:57:54"/>
    <n v="57.9"/>
  </r>
  <r>
    <x v="188"/>
    <x v="0"/>
    <x v="2"/>
    <n v="40"/>
    <d v="1899-12-30T00:50:01"/>
    <n v="50.016666666666666"/>
  </r>
  <r>
    <x v="188"/>
    <x v="0"/>
    <x v="3"/>
    <n v="0"/>
    <d v="1899-12-30T00:00:00"/>
    <n v="0"/>
  </r>
  <r>
    <x v="188"/>
    <x v="0"/>
    <x v="4"/>
    <n v="7"/>
    <d v="1899-12-30T00:14:34"/>
    <n v="14.566666666666666"/>
  </r>
  <r>
    <x v="188"/>
    <x v="0"/>
    <x v="5"/>
    <n v="45"/>
    <d v="1899-12-30T00:49:42"/>
    <n v="49.7"/>
  </r>
  <r>
    <x v="188"/>
    <x v="1"/>
    <x v="0"/>
    <n v="21"/>
    <d v="1899-12-30T01:00:40"/>
    <n v="60.666666666666664"/>
  </r>
  <r>
    <x v="188"/>
    <x v="1"/>
    <x v="1"/>
    <n v="24"/>
    <d v="1899-12-30T01:01:36"/>
    <n v="61.6"/>
  </r>
  <r>
    <x v="188"/>
    <x v="1"/>
    <x v="2"/>
    <n v="22"/>
    <d v="1899-12-30T00:45:29"/>
    <n v="45.483333333333334"/>
  </r>
  <r>
    <x v="188"/>
    <x v="1"/>
    <x v="3"/>
    <n v="0"/>
    <d v="1899-12-30T00:00:00"/>
    <n v="0"/>
  </r>
  <r>
    <x v="188"/>
    <x v="1"/>
    <x v="4"/>
    <n v="25"/>
    <d v="1899-12-30T01:06:34"/>
    <n v="66.566666666666663"/>
  </r>
  <r>
    <x v="188"/>
    <x v="1"/>
    <x v="5"/>
    <n v="49"/>
    <d v="1899-12-30T01:33:21"/>
    <n v="93.35"/>
  </r>
  <r>
    <x v="188"/>
    <x v="2"/>
    <x v="0"/>
    <n v="86"/>
    <d v="1899-12-30T03:50:15"/>
    <n v="230.25"/>
  </r>
  <r>
    <x v="188"/>
    <x v="2"/>
    <x v="1"/>
    <n v="99"/>
    <d v="1899-12-30T03:36:34"/>
    <n v="216.56666666666666"/>
  </r>
  <r>
    <x v="188"/>
    <x v="2"/>
    <x v="2"/>
    <n v="58"/>
    <d v="1899-12-30T01:37:11"/>
    <n v="97.183333333333337"/>
  </r>
  <r>
    <x v="188"/>
    <x v="2"/>
    <x v="3"/>
    <n v="0"/>
    <d v="1899-12-30T00:00:00"/>
    <n v="0"/>
  </r>
  <r>
    <x v="188"/>
    <x v="2"/>
    <x v="4"/>
    <n v="7"/>
    <d v="1899-12-30T00:16:53"/>
    <n v="16.883333333333333"/>
  </r>
  <r>
    <x v="188"/>
    <x v="2"/>
    <x v="5"/>
    <n v="43"/>
    <d v="1899-12-30T01:12:28"/>
    <n v="72.466666666666669"/>
  </r>
  <r>
    <x v="188"/>
    <x v="3"/>
    <x v="0"/>
    <n v="36"/>
    <d v="1899-12-30T01:19:10"/>
    <n v="79.166666666666671"/>
  </r>
  <r>
    <x v="188"/>
    <x v="3"/>
    <x v="1"/>
    <n v="25"/>
    <d v="1899-12-30T00:52:59"/>
    <n v="52.983333333333334"/>
  </r>
  <r>
    <x v="188"/>
    <x v="3"/>
    <x v="2"/>
    <n v="20"/>
    <d v="1899-12-30T00:37:00"/>
    <n v="37"/>
  </r>
  <r>
    <x v="188"/>
    <x v="3"/>
    <x v="3"/>
    <n v="0"/>
    <d v="1899-12-30T00:00:00"/>
    <n v="0"/>
  </r>
  <r>
    <x v="188"/>
    <x v="3"/>
    <x v="4"/>
    <n v="0"/>
    <d v="1899-12-30T00:00:00"/>
    <n v="0"/>
  </r>
  <r>
    <x v="188"/>
    <x v="3"/>
    <x v="5"/>
    <n v="23"/>
    <d v="1899-12-30T00:43:56"/>
    <n v="43.93333333333333"/>
  </r>
  <r>
    <x v="188"/>
    <x v="4"/>
    <x v="0"/>
    <n v="36"/>
    <d v="1899-12-30T01:29:59"/>
    <n v="89.983333333333334"/>
  </r>
  <r>
    <x v="188"/>
    <x v="4"/>
    <x v="1"/>
    <n v="35"/>
    <d v="1899-12-30T01:15:48"/>
    <n v="75.8"/>
  </r>
  <r>
    <x v="188"/>
    <x v="4"/>
    <x v="2"/>
    <n v="14"/>
    <d v="1899-12-30T00:25:41"/>
    <n v="25.683333333333334"/>
  </r>
  <r>
    <x v="188"/>
    <x v="4"/>
    <x v="3"/>
    <n v="0"/>
    <d v="1899-12-30T00:00:00"/>
    <n v="0"/>
  </r>
  <r>
    <x v="188"/>
    <x v="4"/>
    <x v="4"/>
    <n v="14"/>
    <d v="1899-12-30T00:29:16"/>
    <n v="29.266666666666666"/>
  </r>
  <r>
    <x v="188"/>
    <x v="4"/>
    <x v="5"/>
    <n v="13"/>
    <d v="1899-12-30T00:18:58"/>
    <n v="18.966666666666665"/>
  </r>
  <r>
    <x v="188"/>
    <x v="5"/>
    <x v="0"/>
    <n v="28"/>
    <d v="1899-12-30T00:59:26"/>
    <n v="59.43333333333333"/>
  </r>
  <r>
    <x v="188"/>
    <x v="5"/>
    <x v="1"/>
    <n v="13"/>
    <d v="1899-12-30T00:21:56"/>
    <n v="21.933333333333334"/>
  </r>
  <r>
    <x v="188"/>
    <x v="5"/>
    <x v="2"/>
    <n v="15"/>
    <d v="1899-12-30T00:25:11"/>
    <n v="25.183333333333334"/>
  </r>
  <r>
    <x v="188"/>
    <x v="5"/>
    <x v="3"/>
    <n v="0"/>
    <d v="1899-12-30T00:00:00"/>
    <n v="0"/>
  </r>
  <r>
    <x v="188"/>
    <x v="5"/>
    <x v="4"/>
    <n v="4"/>
    <d v="1899-12-30T00:08:37"/>
    <n v="8.6166666666666671"/>
  </r>
  <r>
    <x v="188"/>
    <x v="5"/>
    <x v="5"/>
    <n v="27"/>
    <d v="1899-12-30T00:36:34"/>
    <n v="36.56666666666667"/>
  </r>
  <r>
    <x v="188"/>
    <x v="6"/>
    <x v="0"/>
    <n v="14"/>
    <d v="1899-12-30T00:33:12"/>
    <n v="33.200000000000003"/>
  </r>
  <r>
    <x v="188"/>
    <x v="6"/>
    <x v="1"/>
    <n v="21"/>
    <d v="1899-12-30T00:29:25"/>
    <n v="29.416666666666668"/>
  </r>
  <r>
    <x v="188"/>
    <x v="6"/>
    <x v="2"/>
    <n v="13"/>
    <d v="1899-12-30T00:20:54"/>
    <n v="20.9"/>
  </r>
  <r>
    <x v="188"/>
    <x v="6"/>
    <x v="3"/>
    <n v="0"/>
    <d v="1899-12-30T00:00:00"/>
    <n v="0"/>
  </r>
  <r>
    <x v="188"/>
    <x v="6"/>
    <x v="4"/>
    <n v="4"/>
    <d v="1899-12-30T00:06:56"/>
    <n v="6.9333333333333336"/>
  </r>
  <r>
    <x v="188"/>
    <x v="6"/>
    <x v="5"/>
    <n v="11"/>
    <d v="1899-12-30T00:16:00"/>
    <n v="16"/>
  </r>
  <r>
    <x v="188"/>
    <x v="7"/>
    <x v="0"/>
    <n v="30"/>
    <d v="1899-12-30T01:00:50"/>
    <n v="60.833333333333336"/>
  </r>
  <r>
    <x v="188"/>
    <x v="7"/>
    <x v="1"/>
    <n v="47"/>
    <d v="1899-12-30T01:04:01"/>
    <n v="64.016666666666666"/>
  </r>
  <r>
    <x v="188"/>
    <x v="7"/>
    <x v="2"/>
    <n v="17"/>
    <d v="1899-12-30T00:19:12"/>
    <n v="19.2"/>
  </r>
  <r>
    <x v="188"/>
    <x v="7"/>
    <x v="3"/>
    <n v="0"/>
    <d v="1899-12-30T00:00:00"/>
    <n v="0"/>
  </r>
  <r>
    <x v="188"/>
    <x v="7"/>
    <x v="4"/>
    <n v="128"/>
    <d v="1899-12-30T04:14:15"/>
    <n v="254.25"/>
  </r>
  <r>
    <x v="188"/>
    <x v="7"/>
    <x v="5"/>
    <n v="42"/>
    <d v="1899-12-30T00:36:08"/>
    <n v="36.133333333333333"/>
  </r>
  <r>
    <x v="188"/>
    <x v="8"/>
    <x v="0"/>
    <n v="12"/>
    <d v="1899-12-30T00:26:49"/>
    <n v="26.816666666666666"/>
  </r>
  <r>
    <x v="188"/>
    <x v="8"/>
    <x v="1"/>
    <n v="28"/>
    <d v="1899-12-30T00:56:43"/>
    <n v="56.716666666666669"/>
  </r>
  <r>
    <x v="188"/>
    <x v="8"/>
    <x v="2"/>
    <n v="15"/>
    <d v="1899-12-30T00:31:24"/>
    <n v="31.4"/>
  </r>
  <r>
    <x v="188"/>
    <x v="8"/>
    <x v="3"/>
    <n v="0"/>
    <d v="1899-12-30T00:00:00"/>
    <n v="0"/>
  </r>
  <r>
    <x v="188"/>
    <x v="8"/>
    <x v="4"/>
    <n v="11"/>
    <d v="1899-12-30T00:23:04"/>
    <n v="23.066666666666666"/>
  </r>
  <r>
    <x v="188"/>
    <x v="8"/>
    <x v="5"/>
    <n v="22"/>
    <d v="1899-12-30T00:31:32"/>
    <n v="31.533333333333335"/>
  </r>
  <r>
    <x v="188"/>
    <x v="9"/>
    <x v="0"/>
    <n v="33"/>
    <d v="1899-12-30T01:12:17"/>
    <n v="72.283333333333331"/>
  </r>
  <r>
    <x v="188"/>
    <x v="9"/>
    <x v="1"/>
    <n v="39"/>
    <d v="1899-12-30T01:19:25"/>
    <n v="79.416666666666671"/>
  </r>
  <r>
    <x v="188"/>
    <x v="9"/>
    <x v="2"/>
    <n v="42"/>
    <d v="1899-12-30T01:12:00"/>
    <n v="72"/>
  </r>
  <r>
    <x v="188"/>
    <x v="9"/>
    <x v="3"/>
    <n v="0"/>
    <d v="1899-12-30T00:00:00"/>
    <n v="0"/>
  </r>
  <r>
    <x v="188"/>
    <x v="9"/>
    <x v="4"/>
    <n v="11"/>
    <d v="1899-12-30T00:20:24"/>
    <n v="20.399999999999999"/>
  </r>
  <r>
    <x v="188"/>
    <x v="9"/>
    <x v="5"/>
    <n v="35"/>
    <d v="1899-12-30T00:47:37"/>
    <n v="47.616666666666667"/>
  </r>
  <r>
    <x v="188"/>
    <x v="10"/>
    <x v="0"/>
    <n v="230"/>
    <d v="1899-12-30T07:18:04"/>
    <n v="438.06666666666666"/>
  </r>
  <r>
    <x v="188"/>
    <x v="10"/>
    <x v="1"/>
    <n v="162"/>
    <d v="1899-12-30T04:28:31"/>
    <n v="268.51666666666665"/>
  </r>
  <r>
    <x v="188"/>
    <x v="10"/>
    <x v="2"/>
    <n v="121"/>
    <d v="1899-12-30T03:15:40"/>
    <n v="195.66666666666666"/>
  </r>
  <r>
    <x v="188"/>
    <x v="10"/>
    <x v="3"/>
    <n v="0"/>
    <d v="1899-12-30T00:00:00"/>
    <n v="0"/>
  </r>
  <r>
    <x v="188"/>
    <x v="10"/>
    <x v="4"/>
    <n v="38"/>
    <d v="1899-12-30T01:28:50"/>
    <n v="88.833333333333329"/>
  </r>
  <r>
    <x v="188"/>
    <x v="10"/>
    <x v="5"/>
    <n v="113"/>
    <d v="1899-12-30T02:47:29"/>
    <n v="167.48333333333332"/>
  </r>
  <r>
    <x v="188"/>
    <x v="11"/>
    <x v="0"/>
    <n v="8"/>
    <d v="1899-12-30T00:23:48"/>
    <n v="23.8"/>
  </r>
  <r>
    <x v="188"/>
    <x v="11"/>
    <x v="1"/>
    <n v="4"/>
    <d v="1899-12-30T00:09:30"/>
    <n v="9.5"/>
  </r>
  <r>
    <x v="188"/>
    <x v="11"/>
    <x v="2"/>
    <n v="6"/>
    <d v="1899-12-30T00:16:28"/>
    <n v="16.466666666666665"/>
  </r>
  <r>
    <x v="188"/>
    <x v="11"/>
    <x v="3"/>
    <n v="0"/>
    <d v="1899-12-30T00:00:00"/>
    <n v="0"/>
  </r>
  <r>
    <x v="188"/>
    <x v="11"/>
    <x v="4"/>
    <n v="8"/>
    <d v="1899-12-30T00:16:31"/>
    <n v="16.516666666666666"/>
  </r>
  <r>
    <x v="188"/>
    <x v="11"/>
    <x v="5"/>
    <n v="8"/>
    <d v="1899-12-30T00:13:23"/>
    <n v="13.383333333333333"/>
  </r>
  <r>
    <x v="188"/>
    <x v="12"/>
    <x v="0"/>
    <n v="73"/>
    <d v="1899-12-30T03:09:13"/>
    <n v="189.21666666666667"/>
  </r>
  <r>
    <x v="188"/>
    <x v="12"/>
    <x v="1"/>
    <n v="56"/>
    <d v="1899-12-30T02:16:10"/>
    <n v="136.16666666666666"/>
  </r>
  <r>
    <x v="188"/>
    <x v="12"/>
    <x v="2"/>
    <n v="38"/>
    <d v="1899-12-30T01:17:26"/>
    <n v="77.433333333333337"/>
  </r>
  <r>
    <x v="188"/>
    <x v="12"/>
    <x v="3"/>
    <n v="0"/>
    <d v="1899-12-30T00:00:00"/>
    <n v="0"/>
  </r>
  <r>
    <x v="188"/>
    <x v="12"/>
    <x v="4"/>
    <n v="26"/>
    <d v="1899-12-30T01:07:11"/>
    <n v="67.183333333333337"/>
  </r>
  <r>
    <x v="188"/>
    <x v="12"/>
    <x v="5"/>
    <n v="57"/>
    <d v="1899-12-30T01:31:36"/>
    <n v="91.6"/>
  </r>
  <r>
    <x v="188"/>
    <x v="13"/>
    <x v="0"/>
    <n v="13"/>
    <d v="1899-12-30T00:16:26"/>
    <n v="16.433333333333334"/>
  </r>
  <r>
    <x v="188"/>
    <x v="13"/>
    <x v="1"/>
    <n v="24"/>
    <d v="1899-12-30T00:21:53"/>
    <n v="21.883333333333333"/>
  </r>
  <r>
    <x v="188"/>
    <x v="13"/>
    <x v="2"/>
    <n v="33"/>
    <d v="1899-12-30T00:30:23"/>
    <n v="30.383333333333333"/>
  </r>
  <r>
    <x v="188"/>
    <x v="13"/>
    <x v="3"/>
    <n v="0"/>
    <d v="1899-12-30T00:00:00"/>
    <n v="0"/>
  </r>
  <r>
    <x v="188"/>
    <x v="13"/>
    <x v="4"/>
    <n v="1"/>
    <d v="1899-12-30T00:02:38"/>
    <n v="2.6333333333333333"/>
  </r>
  <r>
    <x v="188"/>
    <x v="13"/>
    <x v="5"/>
    <n v="30"/>
    <d v="1899-12-30T00:35:19"/>
    <n v="35.316666666666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774CD8-22AB-4EF8-A13A-1A46B45C895A}" name="TCD5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E51:H66" firstHeaderRow="0" firstDataRow="1" firstDataCol="1"/>
  <pivotFields count="9">
    <pivotField numFmtId="14" showAll="0">
      <items count="1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t="default"/>
      </items>
    </pivotField>
    <pivotField axis="axisRow" showAll="0" sortType="de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7">
        <item x="4"/>
        <item x="3"/>
        <item x="1"/>
        <item x="2"/>
        <item x="5"/>
        <item x="0"/>
        <item t="default"/>
      </items>
    </pivotField>
    <pivotField dataField="1" showAll="0"/>
    <pivotField numFmtId="164" showAll="0"/>
    <pivotField dataField="1" showAll="0"/>
    <pivotField showAll="0" defaultSubtotal="0"/>
    <pivotField showAll="0" defaultSubtotal="0"/>
    <pivotField showAll="0" defaultSubtota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</pivotFields>
  <rowFields count="1">
    <field x="1"/>
  </rowFields>
  <rowItems count="15">
    <i>
      <x v="12"/>
    </i>
    <i>
      <x v="7"/>
    </i>
    <i>
      <x v="2"/>
    </i>
    <i>
      <x v="9"/>
    </i>
    <i>
      <x v="1"/>
    </i>
    <i>
      <x v="13"/>
    </i>
    <i>
      <x/>
    </i>
    <i>
      <x v="8"/>
    </i>
    <i>
      <x v="10"/>
    </i>
    <i>
      <x v="5"/>
    </i>
    <i>
      <x v="4"/>
    </i>
    <i>
      <x v="6"/>
    </i>
    <i>
      <x v="3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oy de N° de sujets télévisés/ mois" fld="3" subtotal="average" baseField="1" baseItem="0" numFmtId="1"/>
    <dataField name="Moyenne de Durée (min)" fld="5" subtotal="average" baseField="0" baseItem="0" numFmtId="2"/>
    <dataField name="Classer la moyenne de n° sujet télévisés/ mois" fld="3" subtotal="average" baseField="1" baseItem="0">
      <extLst>
        <ext xmlns:x14="http://schemas.microsoft.com/office/spreadsheetml/2009/9/main" uri="{E15A36E0-9728-4e99-A89B-3F7291B0FE68}">
          <x14:dataField pivotShowAs="rankDescending"/>
        </ext>
      </extLst>
    </dataField>
  </dataFields>
  <formats count="4"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8D9B99-173A-4B08-A0F9-70BDFE4F996C}" name="TCD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E5:F20" firstHeaderRow="1" firstDataRow="1" firstDataCol="1"/>
  <pivotFields count="9">
    <pivotField numFmtId="14" showAll="0">
      <items count="1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t="default"/>
      </items>
    </pivotField>
    <pivotField axis="axisRow" showAll="0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7">
        <item x="4"/>
        <item x="3"/>
        <item x="1"/>
        <item x="2"/>
        <item x="5"/>
        <item x="0"/>
        <item t="default"/>
      </items>
    </pivotField>
    <pivotField dataField="1" showAll="0"/>
    <pivotField numFmtId="164"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</pivotFields>
  <rowFields count="1">
    <field x="1"/>
  </rowFields>
  <rowItems count="15">
    <i>
      <x v="11"/>
    </i>
    <i>
      <x v="3"/>
    </i>
    <i>
      <x v="6"/>
    </i>
    <i>
      <x v="4"/>
    </i>
    <i>
      <x v="5"/>
    </i>
    <i>
      <x v="10"/>
    </i>
    <i>
      <x v="8"/>
    </i>
    <i>
      <x/>
    </i>
    <i>
      <x v="13"/>
    </i>
    <i>
      <x v="1"/>
    </i>
    <i>
      <x v="9"/>
    </i>
    <i>
      <x v="2"/>
    </i>
    <i>
      <x v="7"/>
    </i>
    <i>
      <x v="12"/>
    </i>
    <i t="grand">
      <x/>
    </i>
  </rowItems>
  <colItems count="1">
    <i/>
  </colItems>
  <dataFields count="1">
    <dataField name="Somme de N° de sujets télévisés" fld="3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B58B6B-F4AC-4362-BCD5-17940820B4EA}" name="TCD4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E41:F48" firstHeaderRow="1" firstDataRow="1" firstDataCol="1"/>
  <pivotFields count="9">
    <pivotField numFmtId="14" showAll="0">
      <items count="1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4"/>
        <item x="3"/>
        <item x="1"/>
        <item x="2"/>
        <item x="5"/>
        <item x="0"/>
        <item t="default"/>
      </items>
    </pivotField>
    <pivotField dataField="1" showAll="0"/>
    <pivotField numFmtId="164" showAll="0"/>
    <pivotField showAll="0"/>
    <pivotField showAll="0" defaultSubtotal="0"/>
    <pivotField showAll="0" defaultSubtotal="0"/>
    <pivotField showAll="0" defaultSubtota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me de N° de sujets télévisés" fld="3" showDataAs="percentOfTotal" baseField="0" baseItem="0" numFmtId="10"/>
  </dataFields>
  <formats count="2">
    <format dxfId="9">
      <pivotArea collapsedLevelsAreSubtotals="1" fieldPosition="0">
        <references count="1">
          <reference field="2" count="0"/>
        </references>
      </pivotArea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F0C7D7-52A9-41F3-B611-44FDAFB86BBD}" name="TCD7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E79:F86" firstHeaderRow="1" firstDataRow="1" firstDataCol="1"/>
  <pivotFields count="9">
    <pivotField numFmtId="14" showAll="0">
      <items count="1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t="default"/>
      </items>
    </pivotField>
    <pivotField showAll="0"/>
    <pivotField axis="axisRow" dataField="1" showAll="0">
      <items count="7">
        <item x="4"/>
        <item x="3"/>
        <item x="1"/>
        <item x="2"/>
        <item x="5"/>
        <item x="0"/>
        <item t="default"/>
      </items>
    </pivotField>
    <pivotField showAll="0"/>
    <pivotField numFmtId="164" showAll="0"/>
    <pivotField showAll="0"/>
    <pivotField showAll="0" defaultSubtotal="0"/>
    <pivotField showAll="0" defaultSubtotal="0"/>
    <pivotField showAll="0" defaultSubtota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Min. de Chaine" fld="2" subtotal="min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4141B-AC1E-4F84-9DB7-D0E4E1D0313D}" name="TCD6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E69:G76" firstHeaderRow="0" firstDataRow="1" firstDataCol="1"/>
  <pivotFields count="9">
    <pivotField numFmtId="14" showAll="0">
      <items count="1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 sortType="ascending">
      <items count="7">
        <item x="4"/>
        <item x="3"/>
        <item x="1"/>
        <item x="2"/>
        <item x="5"/>
        <item x="0"/>
        <item t="default"/>
      </items>
    </pivotField>
    <pivotField dataField="1" showAll="0"/>
    <pivotField numFmtId="164" showAll="0"/>
    <pivotField dataField="1" showAll="0"/>
    <pivotField showAll="0" defaultSubtotal="0"/>
    <pivotField showAll="0" defaultSubtotal="0"/>
    <pivotField showAll="0" defaultSubtota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N° de sujets télévisés" fld="3" baseField="0" baseItem="0"/>
    <dataField name="Somme de Durée (min)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2D7662-81DF-43C1-B491-5FEA4103D43D}" name="TCD3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9">
  <location ref="E22:G35" firstHeaderRow="0" firstDataRow="1" firstDataCol="1"/>
  <pivotFields count="9">
    <pivotField numFmtId="14" showAll="0">
      <items count="1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4"/>
        <item x="3"/>
        <item x="1"/>
        <item x="2"/>
        <item x="5"/>
        <item x="0"/>
        <item t="default"/>
      </items>
    </pivotField>
    <pivotField dataField="1" showAll="0"/>
    <pivotField numFmtId="16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 sd="0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 sd="0"/>
      </items>
    </pivotField>
    <pivotField showAll="0">
      <items count="1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t="default" sd="0"/>
      </items>
    </pivotField>
  </pivotFields>
  <rowFields count="1">
    <field x="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N° de sujets télévisés" fld="3" baseField="0" baseItem="0"/>
    <dataField name="Somme de N° de sujets télévisés2" fld="3" baseField="0" baseItem="0"/>
  </dataFields>
  <formats count="1">
    <format dxfId="10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FDCF1A-C95F-4B7D-A431-5B7C10D29247}" name="TCD8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E88:E103" firstHeaderRow="1" firstDataRow="1" firstDataCol="1"/>
  <pivotFields count="9">
    <pivotField numFmtId="14" showAll="0">
      <items count="1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numFmtId="164" showAll="0"/>
    <pivotField showAll="0"/>
    <pivotField showAll="0" defaultSubtotal="0"/>
    <pivotField showAll="0" defaultSubtotal="0"/>
    <pivotField showAll="0" defaultSubtota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</pivotFields>
  <rowFields count="1">
    <field x="1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DFACDD-9EE3-4C6E-AEA5-793FCF40788C}" name="TCD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E1:L3" firstHeaderRow="1" firstDataRow="2" firstDataCol="1"/>
  <pivotFields count="9">
    <pivotField numFmtId="14" showAll="0">
      <items count="1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7">
        <item x="4"/>
        <item x="3"/>
        <item x="1"/>
        <item x="2"/>
        <item x="5"/>
        <item x="0"/>
        <item t="default"/>
      </items>
    </pivotField>
    <pivotField dataField="1" showAll="0"/>
    <pivotField numFmtId="164"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</pivotFields>
  <rowItems count="1">
    <i/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omme de N° de sujets télévisés" fld="3" baseField="0" baseItem="0" numFmtId="165"/>
  </dataFields>
  <formats count="4">
    <format dxfId="14">
      <pivotArea outline="0" collapsedLevelsAreSubtotals="1" fieldPosition="0"/>
    </format>
    <format dxfId="13">
      <pivotArea outline="0" collapsedLevelsAreSubtotals="1" fieldPosition="0">
        <references count="1">
          <reference field="2" count="1" selected="0">
            <x v="0"/>
          </reference>
        </references>
      </pivotArea>
    </format>
    <format dxfId="12">
      <pivotArea field="2" type="button" dataOnly="0" labelOnly="1" outline="0" axis="axisCol" fieldPosition="0"/>
    </format>
    <format dxfId="11">
      <pivotArea dataOnly="0" labelOnly="1" fieldPosition="0">
        <references count="1">
          <reference field="2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7A6709-8D1C-4E88-8873-22A9D9096FAA}" name="TCD9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79:J80" firstHeaderRow="0" firstDataRow="1" firstDataCol="0"/>
  <pivotFields count="9">
    <pivotField numFmtId="14" showAll="0">
      <items count="1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4"/>
        <item x="3"/>
        <item x="1"/>
        <item x="2"/>
        <item x="5"/>
        <item x="0"/>
        <item t="default"/>
      </items>
    </pivotField>
    <pivotField dataField="1" showAll="0"/>
    <pivotField numFmtId="164" showAll="0"/>
    <pivotField dataField="1" showAll="0"/>
    <pivotField showAll="0" defaultSubtotal="0"/>
    <pivotField showAll="0" defaultSubtotal="0"/>
    <pivotField showAll="0" defaultSubtota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N° de sujets télévisés" fld="3" baseField="0" baseItem="0" numFmtId="165"/>
    <dataField name="Somme de Durée (min)" fld="5" baseField="0" baseItem="0" numFmtId="43"/>
  </dataFields>
  <formats count="2">
    <format dxfId="1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00000000-0016-0000-0000-000000000000}" autoFormatId="16" applyNumberFormats="0" applyBorderFormats="0" applyFontFormats="0" applyPatternFormats="0" applyAlignmentFormats="0" applyWidthHeightFormats="0">
  <queryTableRefresh nextId="8">
    <queryTableFields count="6">
      <queryTableField id="1" name="Mois" tableColumnId="1"/>
      <queryTableField id="2" name="Thématique" tableColumnId="2"/>
      <queryTableField id="3" name="Chaine" tableColumnId="3"/>
      <queryTableField id="4" name="N° de sujets télévisés" tableColumnId="4"/>
      <queryTableField id="5" name="Durée (hh/mm/ss)" tableColumnId="5"/>
      <queryTableField id="7" name="Durée (min)" tableColumnId="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36256957-A2D9-4EB5-850E-02CE15017F44}" sourceName="Mois">
  <pivotTables>
    <pivotTable tabId="2" name="TCD1"/>
    <pivotTable tabId="2" name="TCD2"/>
    <pivotTable tabId="2" name="TCD4"/>
    <pivotTable tabId="2" name="TCD9"/>
  </pivotTables>
  <data>
    <tabular pivotCacheId="535459517">
      <items count="189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  <i x="35" s="1"/>
        <i x="36" s="1"/>
        <i x="37" s="1"/>
        <i x="38" s="1"/>
        <i x="39" s="1"/>
        <i x="40" s="1"/>
        <i x="41" s="1"/>
        <i x="42" s="1"/>
        <i x="43" s="1"/>
        <i x="44" s="1"/>
        <i x="45" s="1"/>
        <i x="46" s="1"/>
        <i x="47" s="1"/>
        <i x="48" s="1"/>
        <i x="49" s="1"/>
        <i x="50" s="1"/>
        <i x="51" s="1"/>
        <i x="52" s="1"/>
        <i x="53" s="1"/>
        <i x="54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82" s="1"/>
        <i x="83" s="1"/>
        <i x="84" s="1"/>
        <i x="85" s="1"/>
        <i x="86" s="1"/>
        <i x="87" s="1"/>
        <i x="88" s="1"/>
        <i x="89" s="1"/>
        <i x="90" s="1"/>
        <i x="91" s="1"/>
        <i x="92" s="1"/>
        <i x="93" s="1"/>
        <i x="94" s="1"/>
        <i x="95" s="1"/>
        <i x="96" s="1"/>
        <i x="97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1" s="1"/>
        <i x="112" s="1"/>
        <i x="113" s="1"/>
        <i x="114" s="1"/>
        <i x="115" s="1"/>
        <i x="116" s="1"/>
        <i x="117" s="1"/>
        <i x="118" s="1"/>
        <i x="119" s="1"/>
        <i x="120" s="1"/>
        <i x="121" s="1"/>
        <i x="122" s="1"/>
        <i x="123" s="1"/>
        <i x="124" s="1"/>
        <i x="125" s="1"/>
        <i x="126" s="1"/>
        <i x="127" s="1"/>
        <i x="128" s="1"/>
        <i x="129" s="1"/>
        <i x="130" s="1"/>
        <i x="131" s="1"/>
        <i x="132" s="1"/>
        <i x="133" s="1"/>
        <i x="134" s="1"/>
        <i x="135" s="1"/>
        <i x="136" s="1"/>
        <i x="137" s="1"/>
        <i x="138" s="1"/>
        <i x="139" s="1"/>
        <i x="140" s="1"/>
        <i x="141" s="1"/>
        <i x="142" s="1"/>
        <i x="143" s="1"/>
        <i x="144" s="1"/>
        <i x="145" s="1"/>
        <i x="146" s="1"/>
        <i x="147" s="1"/>
        <i x="148" s="1"/>
        <i x="149" s="1"/>
        <i x="150" s="1"/>
        <i x="151" s="1"/>
        <i x="152" s="1"/>
        <i x="153" s="1"/>
        <i x="154" s="1"/>
        <i x="155" s="1"/>
        <i x="156" s="1"/>
        <i x="157" s="1"/>
        <i x="158" s="1"/>
        <i x="159" s="1"/>
        <i x="160" s="1"/>
        <i x="161" s="1"/>
        <i x="162" s="1"/>
        <i x="163" s="1"/>
        <i x="164" s="1"/>
        <i x="165" s="1"/>
        <i x="166" s="1"/>
        <i x="167" s="1"/>
        <i x="168" s="1"/>
        <i x="169" s="1"/>
        <i x="170" s="1"/>
        <i x="171" s="1"/>
        <i x="172" s="1"/>
        <i x="173" s="1"/>
        <i x="174" s="1"/>
        <i x="175" s="1"/>
        <i x="176" s="1"/>
        <i x="177" s="1"/>
        <i x="178" s="1"/>
        <i x="179" s="1"/>
        <i x="180" s="1"/>
        <i x="181" s="1"/>
        <i x="182" s="1"/>
        <i x="183" s="1"/>
        <i x="184" s="1"/>
        <i x="185" s="1"/>
        <i x="186" s="1"/>
        <i x="187" s="1"/>
        <i x="188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hématique" xr10:uid="{767C89B9-E90D-42B2-A0CC-7096B457D1CE}" sourceName="Thématique">
  <pivotTables>
    <pivotTable tabId="2" name="TCD1"/>
    <pivotTable tabId="2" name="TCD4"/>
    <pivotTable tabId="2" name="TCD3"/>
    <pivotTable tabId="2" name="TCD6"/>
    <pivotTable tabId="2" name="TCD9"/>
  </pivotTables>
  <data>
    <tabular pivotCacheId="535459517">
      <items count="14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haine" xr10:uid="{B624E997-2F53-4C64-B2DA-53BAE1AD4392}" sourceName="Chaine">
  <pivotTables>
    <pivotTable tabId="2" name="TCD2"/>
    <pivotTable tabId="2" name="TCD3"/>
    <pivotTable tabId="2" name="TCD5"/>
    <pivotTable tabId="2" name="TCD9"/>
  </pivotTables>
  <data>
    <tabular pivotCacheId="535459517">
      <items count="6">
        <i x="4" s="1"/>
        <i x="3" s="1"/>
        <i x="1" s="1"/>
        <i x="2" s="1"/>
        <i x="5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nnées__Mois" xr10:uid="{CCF17332-2561-4AF1-A549-6022FE2FF042}" sourceName="Années (Mois)">
  <pivotTables>
    <pivotTable tabId="2" name="TCD3"/>
    <pivotTable tabId="2" name="TCD5"/>
  </pivotTables>
  <data>
    <tabular pivotCacheId="535459517">
      <items count="18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0" s="1" nd="1"/>
        <i x="17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is" xr10:uid="{18EE2EFD-E92F-4E15-8531-7D88D8C99443}" cache="Segment_Mois" caption="Mois" startItem="184" rowHeight="241300"/>
  <slicer name="Thématique" xr10:uid="{C68D19AF-07F5-40E7-A6B3-A86FE1B0D1A6}" cache="Segment_Thématique" caption="Thématique" rowHeight="241300"/>
  <slicer name="Chaine" xr10:uid="{DFF4B247-0AD2-4809-ADB8-04935FF689E1}" cache="Segment_Chaine" caption="Chaine" rowHeight="241300"/>
  <slicer name="Années (Mois)" xr10:uid="{CFB681E8-6EBF-4B59-9DA3-0FC32B3A9DF4}" cache="Segment_Années__Mois" caption="Années (Mois)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is 1" xr10:uid="{3C14352A-9E2F-4EDB-B957-B63C5753D8D0}" cache="Segment_Mois" caption="Mois" startItem="8" style="Style2" rowHeight="241300"/>
  <slicer name="Thématique 1" xr10:uid="{6D78BAE6-B91A-48FE-BE48-BE0FC8961255}" cache="Segment_Thématique" caption="Thématique" startItem="8" columnCount="2" style="Style2" rowHeight="241300"/>
  <slicer name="Chaine 1" xr10:uid="{1A35695C-71BE-4C01-B6AA-77BA8BE26D32}" cache="Segment_Chaine" caption="Chaine" columnCount="2" style="Style2" rowHeight="241300"/>
  <slicer name="Années (Mois) 1" xr10:uid="{537CE7FD-DAB7-451A-8397-22CDB27F9F92}" cache="Segment_Années__Mois" caption="Années (Mois)" columnCount="2" style="Style2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_ina_barometre_jt_tv_donnees" displayName="Tableau_ina_barometre_jt_tv_donnees" ref="A1:F15876" tableType="queryTable" totalsRowShown="0">
  <autoFilter ref="A1:F15876" xr:uid="{00000000-0009-0000-0100-000001000000}"/>
  <tableColumns count="6">
    <tableColumn id="1" xr3:uid="{00000000-0010-0000-0000-000001000000}" uniqueName="1" name="Mois" queryTableFieldId="1" dataDxfId="20"/>
    <tableColumn id="2" xr3:uid="{00000000-0010-0000-0000-000002000000}" uniqueName="2" name="Thématique" queryTableFieldId="2" dataDxfId="19"/>
    <tableColumn id="3" xr3:uid="{00000000-0010-0000-0000-000003000000}" uniqueName="3" name="Chaine" queryTableFieldId="3" dataDxfId="18"/>
    <tableColumn id="4" xr3:uid="{00000000-0010-0000-0000-000004000000}" uniqueName="4" name="N° de sujets télévisés" queryTableFieldId="4"/>
    <tableColumn id="5" xr3:uid="{00000000-0010-0000-0000-000005000000}" uniqueName="5" name="Durée (hh/mm/ss)" queryTableFieldId="5" dataDxfId="17"/>
    <tableColumn id="6" xr3:uid="{BFEAD9E5-0191-4241-90CF-FDC52E98B7BA}" uniqueName="6" name="Durée (min)" queryTableFieldId="7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21838C-B0CF-4DA4-A1BB-ED9A78BBCB01}" name="Tableau1" displayName="Tableau1" ref="H5:J19" totalsRowShown="0">
  <autoFilter ref="H5:J19" xr:uid="{DC21838C-B0CF-4DA4-A1BB-ED9A78BBCB01}"/>
  <tableColumns count="3">
    <tableColumn id="1" xr3:uid="{66A66752-6798-4E14-983B-07D1B3D30E86}" name="Thématiques">
      <calculatedColumnFormula>E6</calculatedColumnFormula>
    </tableColumn>
    <tableColumn id="2" xr3:uid="{6F9E0AD3-CE5C-426B-8EDE-F1FF47B986FA}" name="Sujets télévisés" dataDxfId="1" dataCellStyle="Milliers">
      <calculatedColumnFormula>VLOOKUP($E6,$E$6:$F$19,2,FALSE)</calculatedColumnFormula>
    </tableColumn>
    <tableColumn id="3" xr3:uid="{95FE4505-1F5A-4C22-9C78-994ABEF9831D}" name="Max sujets télévisés">
      <calculatedColumnFormula>IF(I6=MAX(I$6:I$19),I6,"")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21A728-46AC-4623-807A-A346B3BC2ED8}" name="Tableau2" displayName="Tableau2" ref="G41:I47" totalsRowShown="0">
  <autoFilter ref="G41:I47" xr:uid="{1F21A728-46AC-4623-807A-A346B3BC2ED8}"/>
  <tableColumns count="3">
    <tableColumn id="1" xr3:uid="{C0CADD50-C40E-4F31-B5F6-8B724524E4EA}" name="Chaine">
      <calculatedColumnFormula>E42</calculatedColumnFormula>
    </tableColumn>
    <tableColumn id="2" xr3:uid="{DF269CA7-70ED-4B9A-B296-12C1FCA41FE7}" name="Total sujets télévisés" dataDxfId="0" dataCellStyle="Milliers">
      <calculatedColumnFormula>GETPIVOTDATA("N° de sujets télévisés",$E$41,"Chaine","Arte")</calculatedColumnFormula>
    </tableColumn>
    <tableColumn id="3" xr3:uid="{767B66DA-CEA6-4034-9346-61719649D88D}" name="Total sujets télévisés sup à la moy">
      <calculatedColumnFormula>IF(H42&gt;=AVERAGE($H$42:$H$47),H42,"")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table" Target="../tables/table2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5876"/>
  <sheetViews>
    <sheetView zoomScale="110" zoomScaleNormal="110" workbookViewId="0">
      <selection activeCell="D22" sqref="D22"/>
    </sheetView>
  </sheetViews>
  <sheetFormatPr baseColWidth="10" defaultRowHeight="15" x14ac:dyDescent="0.25"/>
  <cols>
    <col min="1" max="1" width="10.7109375" bestFit="1" customWidth="1"/>
    <col min="2" max="2" width="21.42578125" bestFit="1" customWidth="1"/>
    <col min="3" max="3" width="9.42578125" bestFit="1" customWidth="1"/>
    <col min="4" max="4" width="22.42578125" bestFit="1" customWidth="1"/>
    <col min="5" max="5" width="19.85546875" bestFit="1" customWidth="1"/>
    <col min="6" max="6" width="14" bestFit="1" customWidth="1"/>
    <col min="7" max="7" width="12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25</v>
      </c>
    </row>
    <row r="2" spans="1:6" x14ac:dyDescent="0.25">
      <c r="A2" s="1">
        <v>38353</v>
      </c>
      <c r="B2" t="s">
        <v>5</v>
      </c>
      <c r="C2" t="s">
        <v>6</v>
      </c>
      <c r="D2">
        <v>214</v>
      </c>
      <c r="E2" s="2">
        <v>0.23599537037037038</v>
      </c>
      <c r="F2">
        <v>339.83333333333331</v>
      </c>
    </row>
    <row r="3" spans="1:6" x14ac:dyDescent="0.25">
      <c r="A3" s="1">
        <v>38353</v>
      </c>
      <c r="B3" t="s">
        <v>5</v>
      </c>
      <c r="C3" t="s">
        <v>7</v>
      </c>
      <c r="D3">
        <v>191</v>
      </c>
      <c r="E3" s="2">
        <v>0.21800925925925926</v>
      </c>
      <c r="F3">
        <v>313.93333333333334</v>
      </c>
    </row>
    <row r="4" spans="1:6" x14ac:dyDescent="0.25">
      <c r="A4" s="1">
        <v>38353</v>
      </c>
      <c r="B4" t="s">
        <v>5</v>
      </c>
      <c r="C4" t="s">
        <v>8</v>
      </c>
      <c r="D4">
        <v>88</v>
      </c>
      <c r="E4" s="2">
        <v>0.10765046296296296</v>
      </c>
      <c r="F4">
        <v>155.01666666666668</v>
      </c>
    </row>
    <row r="5" spans="1:6" x14ac:dyDescent="0.25">
      <c r="A5" s="1">
        <v>38353</v>
      </c>
      <c r="B5" t="s">
        <v>5</v>
      </c>
      <c r="C5" t="s">
        <v>9</v>
      </c>
      <c r="D5">
        <v>18</v>
      </c>
      <c r="E5" s="2">
        <v>1.5752314814814816E-2</v>
      </c>
      <c r="F5">
        <v>22.683333333333334</v>
      </c>
    </row>
    <row r="6" spans="1:6" x14ac:dyDescent="0.25">
      <c r="A6" s="1">
        <v>38353</v>
      </c>
      <c r="B6" t="s">
        <v>5</v>
      </c>
      <c r="C6" t="s">
        <v>10</v>
      </c>
      <c r="D6">
        <v>40</v>
      </c>
      <c r="E6" s="2">
        <v>3.6006944444444446E-2</v>
      </c>
      <c r="F6">
        <v>51.85</v>
      </c>
    </row>
    <row r="7" spans="1:6" x14ac:dyDescent="0.25">
      <c r="A7" s="1">
        <v>38353</v>
      </c>
      <c r="B7" t="s">
        <v>5</v>
      </c>
      <c r="C7" t="s">
        <v>11</v>
      </c>
      <c r="D7">
        <v>49</v>
      </c>
      <c r="E7" s="2">
        <v>4.6851851851851853E-2</v>
      </c>
      <c r="F7">
        <v>67.466666666666669</v>
      </c>
    </row>
    <row r="8" spans="1:6" x14ac:dyDescent="0.25">
      <c r="A8" s="1">
        <v>38353</v>
      </c>
      <c r="B8" t="s">
        <v>12</v>
      </c>
      <c r="C8" t="s">
        <v>6</v>
      </c>
      <c r="D8">
        <v>27</v>
      </c>
      <c r="E8" s="2">
        <v>3.4976851851851849E-2</v>
      </c>
      <c r="F8">
        <v>50.366666666666667</v>
      </c>
    </row>
    <row r="9" spans="1:6" x14ac:dyDescent="0.25">
      <c r="A9" s="1">
        <v>38353</v>
      </c>
      <c r="B9" t="s">
        <v>12</v>
      </c>
      <c r="C9" t="s">
        <v>7</v>
      </c>
      <c r="D9">
        <v>42</v>
      </c>
      <c r="E9" s="2">
        <v>5.8379629629629629E-2</v>
      </c>
      <c r="F9">
        <v>84.066666666666663</v>
      </c>
    </row>
    <row r="10" spans="1:6" x14ac:dyDescent="0.25">
      <c r="A10" s="1">
        <v>38353</v>
      </c>
      <c r="B10" t="s">
        <v>12</v>
      </c>
      <c r="C10" t="s">
        <v>8</v>
      </c>
      <c r="D10">
        <v>35</v>
      </c>
      <c r="E10" s="2">
        <v>5.0312500000000003E-2</v>
      </c>
      <c r="F10">
        <v>72.45</v>
      </c>
    </row>
    <row r="11" spans="1:6" x14ac:dyDescent="0.25">
      <c r="A11" s="1">
        <v>38353</v>
      </c>
      <c r="B11" t="s">
        <v>12</v>
      </c>
      <c r="C11" t="s">
        <v>9</v>
      </c>
      <c r="D11">
        <v>4</v>
      </c>
      <c r="E11" s="2">
        <v>2.9166666666666668E-3</v>
      </c>
      <c r="F11">
        <v>4.2</v>
      </c>
    </row>
    <row r="12" spans="1:6" x14ac:dyDescent="0.25">
      <c r="A12" s="1">
        <v>38353</v>
      </c>
      <c r="B12" t="s">
        <v>12</v>
      </c>
      <c r="C12" t="s">
        <v>10</v>
      </c>
      <c r="D12">
        <v>0</v>
      </c>
      <c r="E12" s="2">
        <v>0</v>
      </c>
      <c r="F12">
        <v>0</v>
      </c>
    </row>
    <row r="13" spans="1:6" x14ac:dyDescent="0.25">
      <c r="A13" s="1">
        <v>38353</v>
      </c>
      <c r="B13" t="s">
        <v>12</v>
      </c>
      <c r="C13" t="s">
        <v>11</v>
      </c>
      <c r="D13">
        <v>23</v>
      </c>
      <c r="E13" s="2">
        <v>1.9259259259259261E-2</v>
      </c>
      <c r="F13">
        <v>27.733333333333334</v>
      </c>
    </row>
    <row r="14" spans="1:6" x14ac:dyDescent="0.25">
      <c r="A14" s="1">
        <v>38353</v>
      </c>
      <c r="B14" t="s">
        <v>13</v>
      </c>
      <c r="C14" t="s">
        <v>6</v>
      </c>
      <c r="D14">
        <v>35</v>
      </c>
      <c r="E14" s="2">
        <v>3.6400462962962961E-2</v>
      </c>
      <c r="F14">
        <v>52.416666666666664</v>
      </c>
    </row>
    <row r="15" spans="1:6" x14ac:dyDescent="0.25">
      <c r="A15" s="1">
        <v>38353</v>
      </c>
      <c r="B15" t="s">
        <v>13</v>
      </c>
      <c r="C15" t="s">
        <v>7</v>
      </c>
      <c r="D15">
        <v>18</v>
      </c>
      <c r="E15" s="2">
        <v>2.1666666666666667E-2</v>
      </c>
      <c r="F15">
        <v>31.2</v>
      </c>
    </row>
    <row r="16" spans="1:6" x14ac:dyDescent="0.25">
      <c r="A16" s="1">
        <v>38353</v>
      </c>
      <c r="B16" t="s">
        <v>13</v>
      </c>
      <c r="C16" t="s">
        <v>8</v>
      </c>
      <c r="D16">
        <v>10</v>
      </c>
      <c r="E16" s="2">
        <v>1.15625E-2</v>
      </c>
      <c r="F16">
        <v>16.649999999999999</v>
      </c>
    </row>
    <row r="17" spans="1:6" x14ac:dyDescent="0.25">
      <c r="A17" s="1">
        <v>38353</v>
      </c>
      <c r="B17" t="s">
        <v>13</v>
      </c>
      <c r="C17" t="s">
        <v>9</v>
      </c>
      <c r="D17">
        <v>1</v>
      </c>
      <c r="E17" s="2">
        <v>1.3773148148148147E-3</v>
      </c>
      <c r="F17">
        <v>1.9833333333333334</v>
      </c>
    </row>
    <row r="18" spans="1:6" x14ac:dyDescent="0.25">
      <c r="A18" s="1">
        <v>38353</v>
      </c>
      <c r="B18" t="s">
        <v>13</v>
      </c>
      <c r="C18" t="s">
        <v>10</v>
      </c>
      <c r="D18">
        <v>8</v>
      </c>
      <c r="E18" s="2">
        <v>5.5439814814814813E-3</v>
      </c>
      <c r="F18">
        <v>7.9833333333333334</v>
      </c>
    </row>
    <row r="19" spans="1:6" x14ac:dyDescent="0.25">
      <c r="A19" s="1">
        <v>38353</v>
      </c>
      <c r="B19" t="s">
        <v>13</v>
      </c>
      <c r="C19" t="s">
        <v>11</v>
      </c>
      <c r="D19">
        <v>11</v>
      </c>
      <c r="E19" s="2">
        <v>7.6851851851851855E-3</v>
      </c>
      <c r="F19">
        <v>11.066666666666666</v>
      </c>
    </row>
    <row r="20" spans="1:6" x14ac:dyDescent="0.25">
      <c r="A20" s="1">
        <v>38353</v>
      </c>
      <c r="B20" t="s">
        <v>14</v>
      </c>
      <c r="C20" t="s">
        <v>6</v>
      </c>
      <c r="D20">
        <v>14</v>
      </c>
      <c r="E20" s="2">
        <v>1.5277777777777777E-2</v>
      </c>
      <c r="F20">
        <v>22</v>
      </c>
    </row>
    <row r="21" spans="1:6" x14ac:dyDescent="0.25">
      <c r="A21" s="1">
        <v>38353</v>
      </c>
      <c r="B21" t="s">
        <v>14</v>
      </c>
      <c r="C21" t="s">
        <v>7</v>
      </c>
      <c r="D21">
        <v>12</v>
      </c>
      <c r="E21" s="2">
        <v>1.4375000000000001E-2</v>
      </c>
      <c r="F21">
        <v>20.7</v>
      </c>
    </row>
    <row r="22" spans="1:6" x14ac:dyDescent="0.25">
      <c r="A22" s="1">
        <v>38353</v>
      </c>
      <c r="B22" t="s">
        <v>14</v>
      </c>
      <c r="C22" t="s">
        <v>8</v>
      </c>
      <c r="D22">
        <v>4</v>
      </c>
      <c r="E22" s="2">
        <v>6.7824074074074071E-3</v>
      </c>
      <c r="F22">
        <v>9.7666666666666675</v>
      </c>
    </row>
    <row r="23" spans="1:6" x14ac:dyDescent="0.25">
      <c r="A23" s="1">
        <v>38353</v>
      </c>
      <c r="B23" t="s">
        <v>14</v>
      </c>
      <c r="C23" t="s">
        <v>9</v>
      </c>
      <c r="D23">
        <v>3</v>
      </c>
      <c r="E23" s="2">
        <v>1.5972222222222223E-3</v>
      </c>
      <c r="F23">
        <v>2.2999999999999998</v>
      </c>
    </row>
    <row r="24" spans="1:6" x14ac:dyDescent="0.25">
      <c r="A24" s="1">
        <v>38353</v>
      </c>
      <c r="B24" t="s">
        <v>14</v>
      </c>
      <c r="C24" t="s">
        <v>10</v>
      </c>
      <c r="D24">
        <v>3</v>
      </c>
      <c r="E24" s="2">
        <v>3.1828703703703702E-3</v>
      </c>
      <c r="F24">
        <v>4.583333333333333</v>
      </c>
    </row>
    <row r="25" spans="1:6" x14ac:dyDescent="0.25">
      <c r="A25" s="1">
        <v>38353</v>
      </c>
      <c r="B25" t="s">
        <v>14</v>
      </c>
      <c r="C25" t="s">
        <v>11</v>
      </c>
      <c r="D25">
        <v>8</v>
      </c>
      <c r="E25" s="2">
        <v>9.1435185185185178E-3</v>
      </c>
      <c r="F25">
        <v>13.166666666666666</v>
      </c>
    </row>
    <row r="26" spans="1:6" x14ac:dyDescent="0.25">
      <c r="A26" s="1">
        <v>38353</v>
      </c>
      <c r="B26" t="s">
        <v>15</v>
      </c>
      <c r="C26" t="s">
        <v>6</v>
      </c>
      <c r="D26">
        <v>31</v>
      </c>
      <c r="E26" s="2">
        <v>3.125E-2</v>
      </c>
      <c r="F26">
        <v>45</v>
      </c>
    </row>
    <row r="27" spans="1:6" x14ac:dyDescent="0.25">
      <c r="A27" s="1">
        <v>38353</v>
      </c>
      <c r="B27" t="s">
        <v>15</v>
      </c>
      <c r="C27" t="s">
        <v>7</v>
      </c>
      <c r="D27">
        <v>25</v>
      </c>
      <c r="E27" s="2">
        <v>2.2858796296296297E-2</v>
      </c>
      <c r="F27">
        <v>32.916666666666664</v>
      </c>
    </row>
    <row r="28" spans="1:6" x14ac:dyDescent="0.25">
      <c r="A28" s="1">
        <v>38353</v>
      </c>
      <c r="B28" t="s">
        <v>15</v>
      </c>
      <c r="C28" t="s">
        <v>8</v>
      </c>
      <c r="D28">
        <v>15</v>
      </c>
      <c r="E28" s="2">
        <v>1.607638888888889E-2</v>
      </c>
      <c r="F28">
        <v>23.15</v>
      </c>
    </row>
    <row r="29" spans="1:6" x14ac:dyDescent="0.25">
      <c r="A29" s="1">
        <v>38353</v>
      </c>
      <c r="B29" t="s">
        <v>15</v>
      </c>
      <c r="C29" t="s">
        <v>9</v>
      </c>
      <c r="D29">
        <v>1</v>
      </c>
      <c r="E29" s="2">
        <v>4.7453703703703704E-4</v>
      </c>
      <c r="F29">
        <v>0.68333333333333335</v>
      </c>
    </row>
    <row r="30" spans="1:6" x14ac:dyDescent="0.25">
      <c r="A30" s="1">
        <v>38353</v>
      </c>
      <c r="B30" t="s">
        <v>15</v>
      </c>
      <c r="C30" t="s">
        <v>10</v>
      </c>
      <c r="D30">
        <v>3</v>
      </c>
      <c r="E30" s="2">
        <v>1.5740740740740741E-3</v>
      </c>
      <c r="F30">
        <v>2.2666666666666666</v>
      </c>
    </row>
    <row r="31" spans="1:6" x14ac:dyDescent="0.25">
      <c r="A31" s="1">
        <v>38353</v>
      </c>
      <c r="B31" t="s">
        <v>15</v>
      </c>
      <c r="C31" t="s">
        <v>11</v>
      </c>
      <c r="D31">
        <v>10</v>
      </c>
      <c r="E31" s="2">
        <v>6.7824074074074071E-3</v>
      </c>
      <c r="F31">
        <v>9.7666666666666675</v>
      </c>
    </row>
    <row r="32" spans="1:6" x14ac:dyDescent="0.25">
      <c r="A32" s="1">
        <v>38353</v>
      </c>
      <c r="B32" t="s">
        <v>16</v>
      </c>
      <c r="C32" t="s">
        <v>6</v>
      </c>
      <c r="D32">
        <v>24</v>
      </c>
      <c r="E32" s="2">
        <v>2.6018518518518517E-2</v>
      </c>
      <c r="F32">
        <v>37.466666666666669</v>
      </c>
    </row>
    <row r="33" spans="1:6" x14ac:dyDescent="0.25">
      <c r="A33" s="1">
        <v>38353</v>
      </c>
      <c r="B33" t="s">
        <v>16</v>
      </c>
      <c r="C33" t="s">
        <v>7</v>
      </c>
      <c r="D33">
        <v>19</v>
      </c>
      <c r="E33" s="2">
        <v>1.9247685185185184E-2</v>
      </c>
      <c r="F33">
        <v>27.716666666666665</v>
      </c>
    </row>
    <row r="34" spans="1:6" x14ac:dyDescent="0.25">
      <c r="A34" s="1">
        <v>38353</v>
      </c>
      <c r="B34" t="s">
        <v>16</v>
      </c>
      <c r="C34" t="s">
        <v>8</v>
      </c>
      <c r="D34">
        <v>9</v>
      </c>
      <c r="E34" s="2">
        <v>1.0995370370370371E-2</v>
      </c>
      <c r="F34">
        <v>15.833333333333334</v>
      </c>
    </row>
    <row r="35" spans="1:6" x14ac:dyDescent="0.25">
      <c r="A35" s="1">
        <v>38353</v>
      </c>
      <c r="B35" t="s">
        <v>16</v>
      </c>
      <c r="C35" t="s">
        <v>9</v>
      </c>
      <c r="D35">
        <v>1</v>
      </c>
      <c r="E35" s="2">
        <v>9.4907407407407408E-4</v>
      </c>
      <c r="F35">
        <v>1.3666666666666667</v>
      </c>
    </row>
    <row r="36" spans="1:6" x14ac:dyDescent="0.25">
      <c r="A36" s="1">
        <v>38353</v>
      </c>
      <c r="B36" t="s">
        <v>16</v>
      </c>
      <c r="C36" t="s">
        <v>10</v>
      </c>
      <c r="D36">
        <v>1</v>
      </c>
      <c r="E36" s="2">
        <v>2.3148148148148149E-4</v>
      </c>
      <c r="F36">
        <v>0.33333333333333331</v>
      </c>
    </row>
    <row r="37" spans="1:6" x14ac:dyDescent="0.25">
      <c r="A37" s="1">
        <v>38353</v>
      </c>
      <c r="B37" t="s">
        <v>16</v>
      </c>
      <c r="C37" t="s">
        <v>11</v>
      </c>
      <c r="D37">
        <v>14</v>
      </c>
      <c r="E37" s="2">
        <v>7.3263888888888892E-3</v>
      </c>
      <c r="F37">
        <v>10.55</v>
      </c>
    </row>
    <row r="38" spans="1:6" x14ac:dyDescent="0.25">
      <c r="A38" s="1">
        <v>38353</v>
      </c>
      <c r="B38" t="s">
        <v>17</v>
      </c>
      <c r="C38" t="s">
        <v>6</v>
      </c>
      <c r="D38">
        <v>36</v>
      </c>
      <c r="E38" s="2">
        <v>5.1979166666666667E-2</v>
      </c>
      <c r="F38">
        <v>74.849999999999994</v>
      </c>
    </row>
    <row r="39" spans="1:6" x14ac:dyDescent="0.25">
      <c r="A39" s="1">
        <v>38353</v>
      </c>
      <c r="B39" t="s">
        <v>17</v>
      </c>
      <c r="C39" t="s">
        <v>7</v>
      </c>
      <c r="D39">
        <v>38</v>
      </c>
      <c r="E39" s="2">
        <v>6.3831018518518523E-2</v>
      </c>
      <c r="F39">
        <v>91.916666666666671</v>
      </c>
    </row>
    <row r="40" spans="1:6" x14ac:dyDescent="0.25">
      <c r="A40" s="1">
        <v>38353</v>
      </c>
      <c r="B40" t="s">
        <v>17</v>
      </c>
      <c r="C40" t="s">
        <v>8</v>
      </c>
      <c r="D40">
        <v>24</v>
      </c>
      <c r="E40" s="2">
        <v>4.2222222222222223E-2</v>
      </c>
      <c r="F40">
        <v>60.8</v>
      </c>
    </row>
    <row r="41" spans="1:6" x14ac:dyDescent="0.25">
      <c r="A41" s="1">
        <v>38353</v>
      </c>
      <c r="B41" t="s">
        <v>17</v>
      </c>
      <c r="C41" t="s">
        <v>9</v>
      </c>
      <c r="D41">
        <v>10</v>
      </c>
      <c r="E41" s="2">
        <v>6.0879629629629626E-3</v>
      </c>
      <c r="F41">
        <v>8.7666666666666675</v>
      </c>
    </row>
    <row r="42" spans="1:6" x14ac:dyDescent="0.25">
      <c r="A42" s="1">
        <v>38353</v>
      </c>
      <c r="B42" t="s">
        <v>17</v>
      </c>
      <c r="C42" t="s">
        <v>10</v>
      </c>
      <c r="D42">
        <v>23</v>
      </c>
      <c r="E42" s="2">
        <v>2.9027777777777777E-2</v>
      </c>
      <c r="F42">
        <v>41.8</v>
      </c>
    </row>
    <row r="43" spans="1:6" x14ac:dyDescent="0.25">
      <c r="A43" s="1">
        <v>38353</v>
      </c>
      <c r="B43" t="s">
        <v>17</v>
      </c>
      <c r="C43" t="s">
        <v>11</v>
      </c>
      <c r="D43">
        <v>19</v>
      </c>
      <c r="E43" s="2">
        <v>2.0405092592592593E-2</v>
      </c>
      <c r="F43">
        <v>29.383333333333333</v>
      </c>
    </row>
    <row r="44" spans="1:6" x14ac:dyDescent="0.25">
      <c r="A44" s="1">
        <v>38353</v>
      </c>
      <c r="B44" t="s">
        <v>18</v>
      </c>
      <c r="C44" t="s">
        <v>6</v>
      </c>
      <c r="D44">
        <v>52</v>
      </c>
      <c r="E44" s="2">
        <v>4.821759259259259E-2</v>
      </c>
      <c r="F44">
        <v>69.433333333333337</v>
      </c>
    </row>
    <row r="45" spans="1:6" x14ac:dyDescent="0.25">
      <c r="A45" s="1">
        <v>38353</v>
      </c>
      <c r="B45" t="s">
        <v>18</v>
      </c>
      <c r="C45" t="s">
        <v>7</v>
      </c>
      <c r="D45">
        <v>61</v>
      </c>
      <c r="E45" s="2">
        <v>5.4907407407407405E-2</v>
      </c>
      <c r="F45">
        <v>79.066666666666663</v>
      </c>
    </row>
    <row r="46" spans="1:6" x14ac:dyDescent="0.25">
      <c r="A46" s="1">
        <v>38353</v>
      </c>
      <c r="B46" t="s">
        <v>18</v>
      </c>
      <c r="C46" t="s">
        <v>8</v>
      </c>
      <c r="D46">
        <v>54</v>
      </c>
      <c r="E46" s="2">
        <v>5.5358796296296295E-2</v>
      </c>
      <c r="F46">
        <v>79.716666666666669</v>
      </c>
    </row>
    <row r="47" spans="1:6" x14ac:dyDescent="0.25">
      <c r="A47" s="1">
        <v>38353</v>
      </c>
      <c r="B47" t="s">
        <v>18</v>
      </c>
      <c r="C47" t="s">
        <v>9</v>
      </c>
      <c r="D47">
        <v>15</v>
      </c>
      <c r="E47" s="2">
        <v>1.4386574074074074E-2</v>
      </c>
      <c r="F47">
        <v>20.716666666666665</v>
      </c>
    </row>
    <row r="48" spans="1:6" x14ac:dyDescent="0.25">
      <c r="A48" s="1">
        <v>38353</v>
      </c>
      <c r="B48" t="s">
        <v>18</v>
      </c>
      <c r="C48" t="s">
        <v>10</v>
      </c>
      <c r="D48">
        <v>108</v>
      </c>
      <c r="E48" s="2">
        <v>0.10401620370370371</v>
      </c>
      <c r="F48">
        <v>149.78333333333333</v>
      </c>
    </row>
    <row r="49" spans="1:6" x14ac:dyDescent="0.25">
      <c r="A49" s="1">
        <v>38353</v>
      </c>
      <c r="B49" t="s">
        <v>18</v>
      </c>
      <c r="C49" t="s">
        <v>11</v>
      </c>
      <c r="D49">
        <v>26</v>
      </c>
      <c r="E49" s="2">
        <v>1.1956018518518519E-2</v>
      </c>
      <c r="F49">
        <v>17.216666666666665</v>
      </c>
    </row>
    <row r="50" spans="1:6" x14ac:dyDescent="0.25">
      <c r="A50" s="1">
        <v>38353</v>
      </c>
      <c r="B50" t="s">
        <v>19</v>
      </c>
      <c r="C50" t="s">
        <v>6</v>
      </c>
      <c r="D50">
        <v>20</v>
      </c>
      <c r="E50" s="2">
        <v>1.8113425925925925E-2</v>
      </c>
      <c r="F50">
        <v>26.083333333333332</v>
      </c>
    </row>
    <row r="51" spans="1:6" x14ac:dyDescent="0.25">
      <c r="A51" s="1">
        <v>38353</v>
      </c>
      <c r="B51" t="s">
        <v>19</v>
      </c>
      <c r="C51" t="s">
        <v>7</v>
      </c>
      <c r="D51">
        <v>27</v>
      </c>
      <c r="E51" s="2">
        <v>2.9861111111111113E-2</v>
      </c>
      <c r="F51">
        <v>43</v>
      </c>
    </row>
    <row r="52" spans="1:6" x14ac:dyDescent="0.25">
      <c r="A52" s="1">
        <v>38353</v>
      </c>
      <c r="B52" t="s">
        <v>19</v>
      </c>
      <c r="C52" t="s">
        <v>8</v>
      </c>
      <c r="D52">
        <v>16</v>
      </c>
      <c r="E52" s="2">
        <v>1.695601851851852E-2</v>
      </c>
      <c r="F52">
        <v>24.416666666666668</v>
      </c>
    </row>
    <row r="53" spans="1:6" x14ac:dyDescent="0.25">
      <c r="A53" s="1">
        <v>38353</v>
      </c>
      <c r="B53" t="s">
        <v>19</v>
      </c>
      <c r="C53" t="s">
        <v>9</v>
      </c>
      <c r="D53">
        <v>11</v>
      </c>
      <c r="E53" s="2">
        <v>1.0324074074074074E-2</v>
      </c>
      <c r="F53">
        <v>14.866666666666667</v>
      </c>
    </row>
    <row r="54" spans="1:6" x14ac:dyDescent="0.25">
      <c r="A54" s="1">
        <v>38353</v>
      </c>
      <c r="B54" t="s">
        <v>19</v>
      </c>
      <c r="C54" t="s">
        <v>10</v>
      </c>
      <c r="D54">
        <v>11</v>
      </c>
      <c r="E54" s="2">
        <v>5.2314814814814811E-3</v>
      </c>
      <c r="F54">
        <v>7.5333333333333332</v>
      </c>
    </row>
    <row r="55" spans="1:6" x14ac:dyDescent="0.25">
      <c r="A55" s="1">
        <v>38353</v>
      </c>
      <c r="B55" t="s">
        <v>19</v>
      </c>
      <c r="C55" t="s">
        <v>11</v>
      </c>
      <c r="D55">
        <v>7</v>
      </c>
      <c r="E55" s="2">
        <v>3.1250000000000002E-3</v>
      </c>
      <c r="F55">
        <v>4.5</v>
      </c>
    </row>
    <row r="56" spans="1:6" x14ac:dyDescent="0.25">
      <c r="A56" s="1">
        <v>38353</v>
      </c>
      <c r="B56" t="s">
        <v>20</v>
      </c>
      <c r="C56" t="s">
        <v>6</v>
      </c>
      <c r="D56">
        <v>27</v>
      </c>
      <c r="E56" s="2">
        <v>2.4641203703703703E-2</v>
      </c>
      <c r="F56">
        <v>35.483333333333334</v>
      </c>
    </row>
    <row r="57" spans="1:6" x14ac:dyDescent="0.25">
      <c r="A57" s="1">
        <v>38353</v>
      </c>
      <c r="B57" t="s">
        <v>20</v>
      </c>
      <c r="C57" t="s">
        <v>7</v>
      </c>
      <c r="D57">
        <v>25</v>
      </c>
      <c r="E57" s="2">
        <v>2.2048611111111113E-2</v>
      </c>
      <c r="F57">
        <v>31.75</v>
      </c>
    </row>
    <row r="58" spans="1:6" x14ac:dyDescent="0.25">
      <c r="A58" s="1">
        <v>38353</v>
      </c>
      <c r="B58" t="s">
        <v>20</v>
      </c>
      <c r="C58" t="s">
        <v>8</v>
      </c>
      <c r="D58">
        <v>25</v>
      </c>
      <c r="E58" s="2">
        <v>2.9722222222222223E-2</v>
      </c>
      <c r="F58">
        <v>42.8</v>
      </c>
    </row>
    <row r="59" spans="1:6" x14ac:dyDescent="0.25">
      <c r="A59" s="1">
        <v>38353</v>
      </c>
      <c r="B59" t="s">
        <v>20</v>
      </c>
      <c r="C59" t="s">
        <v>9</v>
      </c>
      <c r="D59">
        <v>6</v>
      </c>
      <c r="E59" s="2">
        <v>2.3032407407407407E-3</v>
      </c>
      <c r="F59">
        <v>3.3166666666666664</v>
      </c>
    </row>
    <row r="60" spans="1:6" x14ac:dyDescent="0.25">
      <c r="A60" s="1">
        <v>38353</v>
      </c>
      <c r="B60" t="s">
        <v>20</v>
      </c>
      <c r="C60" t="s">
        <v>10</v>
      </c>
      <c r="D60">
        <v>22</v>
      </c>
      <c r="E60" s="2">
        <v>2.4884259259259259E-2</v>
      </c>
      <c r="F60">
        <v>35.833333333333336</v>
      </c>
    </row>
    <row r="61" spans="1:6" x14ac:dyDescent="0.25">
      <c r="A61" s="1">
        <v>38353</v>
      </c>
      <c r="B61" t="s">
        <v>20</v>
      </c>
      <c r="C61" t="s">
        <v>11</v>
      </c>
      <c r="D61">
        <v>8</v>
      </c>
      <c r="E61" s="2">
        <v>3.5416666666666665E-3</v>
      </c>
      <c r="F61">
        <v>5.0999999999999996</v>
      </c>
    </row>
    <row r="62" spans="1:6" x14ac:dyDescent="0.25">
      <c r="A62" s="1">
        <v>38353</v>
      </c>
      <c r="B62" t="s">
        <v>21</v>
      </c>
      <c r="C62" t="s">
        <v>6</v>
      </c>
      <c r="D62">
        <v>21</v>
      </c>
      <c r="E62" s="2">
        <v>2.1990740740740741E-2</v>
      </c>
      <c r="F62">
        <v>31.666666666666668</v>
      </c>
    </row>
    <row r="63" spans="1:6" x14ac:dyDescent="0.25">
      <c r="A63" s="1">
        <v>38353</v>
      </c>
      <c r="B63" t="s">
        <v>21</v>
      </c>
      <c r="C63" t="s">
        <v>7</v>
      </c>
      <c r="D63">
        <v>19</v>
      </c>
      <c r="E63" s="2">
        <v>2.1655092592592594E-2</v>
      </c>
      <c r="F63">
        <v>31.183333333333334</v>
      </c>
    </row>
    <row r="64" spans="1:6" x14ac:dyDescent="0.25">
      <c r="A64" s="1">
        <v>38353</v>
      </c>
      <c r="B64" t="s">
        <v>21</v>
      </c>
      <c r="C64" t="s">
        <v>8</v>
      </c>
      <c r="D64">
        <v>15</v>
      </c>
      <c r="E64" s="2">
        <v>1.8703703703703705E-2</v>
      </c>
      <c r="F64">
        <v>26.933333333333334</v>
      </c>
    </row>
    <row r="65" spans="1:6" x14ac:dyDescent="0.25">
      <c r="A65" s="1">
        <v>38353</v>
      </c>
      <c r="B65" t="s">
        <v>21</v>
      </c>
      <c r="C65" t="s">
        <v>9</v>
      </c>
      <c r="D65">
        <v>0</v>
      </c>
      <c r="E65" s="2">
        <v>0</v>
      </c>
      <c r="F65">
        <v>0</v>
      </c>
    </row>
    <row r="66" spans="1:6" x14ac:dyDescent="0.25">
      <c r="A66" s="1">
        <v>38353</v>
      </c>
      <c r="B66" t="s">
        <v>21</v>
      </c>
      <c r="C66" t="s">
        <v>10</v>
      </c>
      <c r="D66">
        <v>2</v>
      </c>
      <c r="E66" s="2">
        <v>2.3379629629629631E-3</v>
      </c>
      <c r="F66">
        <v>3.3666666666666667</v>
      </c>
    </row>
    <row r="67" spans="1:6" x14ac:dyDescent="0.25">
      <c r="A67" s="1">
        <v>38353</v>
      </c>
      <c r="B67" t="s">
        <v>21</v>
      </c>
      <c r="C67" t="s">
        <v>11</v>
      </c>
      <c r="D67">
        <v>12</v>
      </c>
      <c r="E67" s="2">
        <v>1.0428240740740741E-2</v>
      </c>
      <c r="F67">
        <v>15.016666666666667</v>
      </c>
    </row>
    <row r="68" spans="1:6" x14ac:dyDescent="0.25">
      <c r="A68" s="1">
        <v>38353</v>
      </c>
      <c r="B68" t="s">
        <v>22</v>
      </c>
      <c r="C68" t="s">
        <v>6</v>
      </c>
      <c r="D68">
        <v>28</v>
      </c>
      <c r="E68" s="2">
        <v>3.0092592592592591E-2</v>
      </c>
      <c r="F68">
        <v>43.333333333333336</v>
      </c>
    </row>
    <row r="69" spans="1:6" x14ac:dyDescent="0.25">
      <c r="A69" s="1">
        <v>38353</v>
      </c>
      <c r="B69" t="s">
        <v>22</v>
      </c>
      <c r="C69" t="s">
        <v>7</v>
      </c>
      <c r="D69">
        <v>11</v>
      </c>
      <c r="E69" s="2">
        <v>1.5416666666666667E-2</v>
      </c>
      <c r="F69">
        <v>22.2</v>
      </c>
    </row>
    <row r="70" spans="1:6" x14ac:dyDescent="0.25">
      <c r="A70" s="1">
        <v>38353</v>
      </c>
      <c r="B70" t="s">
        <v>22</v>
      </c>
      <c r="C70" t="s">
        <v>8</v>
      </c>
      <c r="D70">
        <v>11</v>
      </c>
      <c r="E70" s="2">
        <v>1.2824074074074075E-2</v>
      </c>
      <c r="F70">
        <v>18.466666666666665</v>
      </c>
    </row>
    <row r="71" spans="1:6" x14ac:dyDescent="0.25">
      <c r="A71" s="1">
        <v>38353</v>
      </c>
      <c r="B71" t="s">
        <v>22</v>
      </c>
      <c r="C71" t="s">
        <v>9</v>
      </c>
      <c r="D71">
        <v>4</v>
      </c>
      <c r="E71" s="2">
        <v>3.6111111111111109E-3</v>
      </c>
      <c r="F71">
        <v>5.2</v>
      </c>
    </row>
    <row r="72" spans="1:6" x14ac:dyDescent="0.25">
      <c r="A72" s="1">
        <v>38353</v>
      </c>
      <c r="B72" t="s">
        <v>22</v>
      </c>
      <c r="C72" t="s">
        <v>10</v>
      </c>
      <c r="D72">
        <v>2</v>
      </c>
      <c r="E72" s="2">
        <v>1.0416666666666667E-3</v>
      </c>
      <c r="F72">
        <v>1.5</v>
      </c>
    </row>
    <row r="73" spans="1:6" x14ac:dyDescent="0.25">
      <c r="A73" s="1">
        <v>38353</v>
      </c>
      <c r="B73" t="s">
        <v>22</v>
      </c>
      <c r="C73" t="s">
        <v>11</v>
      </c>
      <c r="D73">
        <v>7</v>
      </c>
      <c r="E73" s="2">
        <v>7.1296296296296299E-3</v>
      </c>
      <c r="F73">
        <v>10.266666666666667</v>
      </c>
    </row>
    <row r="74" spans="1:6" x14ac:dyDescent="0.25">
      <c r="A74" s="1">
        <v>38353</v>
      </c>
      <c r="B74" t="s">
        <v>23</v>
      </c>
      <c r="C74" t="s">
        <v>6</v>
      </c>
      <c r="D74">
        <v>139</v>
      </c>
      <c r="E74" s="2">
        <v>0.14611111111111111</v>
      </c>
      <c r="F74">
        <v>210.4</v>
      </c>
    </row>
    <row r="75" spans="1:6" x14ac:dyDescent="0.25">
      <c r="A75" s="1">
        <v>38353</v>
      </c>
      <c r="B75" t="s">
        <v>23</v>
      </c>
      <c r="C75" t="s">
        <v>7</v>
      </c>
      <c r="D75">
        <v>129</v>
      </c>
      <c r="E75" s="2">
        <v>0.14283564814814814</v>
      </c>
      <c r="F75">
        <v>205.68333333333334</v>
      </c>
    </row>
    <row r="76" spans="1:6" x14ac:dyDescent="0.25">
      <c r="A76" s="1">
        <v>38353</v>
      </c>
      <c r="B76" t="s">
        <v>23</v>
      </c>
      <c r="C76" t="s">
        <v>8</v>
      </c>
      <c r="D76">
        <v>65</v>
      </c>
      <c r="E76" s="2">
        <v>7.2303240740740737E-2</v>
      </c>
      <c r="F76">
        <v>104.11666666666666</v>
      </c>
    </row>
    <row r="77" spans="1:6" x14ac:dyDescent="0.25">
      <c r="A77" s="1">
        <v>38353</v>
      </c>
      <c r="B77" t="s">
        <v>23</v>
      </c>
      <c r="C77" t="s">
        <v>9</v>
      </c>
      <c r="D77">
        <v>24</v>
      </c>
      <c r="E77" s="2">
        <v>1.7152777777777777E-2</v>
      </c>
      <c r="F77">
        <v>24.7</v>
      </c>
    </row>
    <row r="78" spans="1:6" x14ac:dyDescent="0.25">
      <c r="A78" s="1">
        <v>38353</v>
      </c>
      <c r="B78" t="s">
        <v>23</v>
      </c>
      <c r="C78" t="s">
        <v>10</v>
      </c>
      <c r="D78">
        <v>31</v>
      </c>
      <c r="E78" s="2">
        <v>2.0590277777777777E-2</v>
      </c>
      <c r="F78">
        <v>29.65</v>
      </c>
    </row>
    <row r="79" spans="1:6" x14ac:dyDescent="0.25">
      <c r="A79" s="1">
        <v>38353</v>
      </c>
      <c r="B79" t="s">
        <v>23</v>
      </c>
      <c r="C79" t="s">
        <v>11</v>
      </c>
      <c r="D79">
        <v>53</v>
      </c>
      <c r="E79" s="2">
        <v>3.8900462962962963E-2</v>
      </c>
      <c r="F79">
        <v>56.016666666666666</v>
      </c>
    </row>
    <row r="80" spans="1:6" x14ac:dyDescent="0.25">
      <c r="A80" s="1">
        <v>38353</v>
      </c>
      <c r="B80" t="s">
        <v>24</v>
      </c>
      <c r="C80" t="s">
        <v>6</v>
      </c>
      <c r="D80">
        <v>37</v>
      </c>
      <c r="E80" s="2">
        <v>3.0590277777777779E-2</v>
      </c>
      <c r="F80">
        <v>44.05</v>
      </c>
    </row>
    <row r="81" spans="1:6" x14ac:dyDescent="0.25">
      <c r="A81" s="1">
        <v>38353</v>
      </c>
      <c r="B81" t="s">
        <v>24</v>
      </c>
      <c r="C81" t="s">
        <v>7</v>
      </c>
      <c r="D81">
        <v>49</v>
      </c>
      <c r="E81" s="2">
        <v>3.979166666666667E-2</v>
      </c>
      <c r="F81">
        <v>57.3</v>
      </c>
    </row>
    <row r="82" spans="1:6" x14ac:dyDescent="0.25">
      <c r="A82" s="1">
        <v>38353</v>
      </c>
      <c r="B82" t="s">
        <v>24</v>
      </c>
      <c r="C82" t="s">
        <v>8</v>
      </c>
      <c r="D82">
        <v>19</v>
      </c>
      <c r="E82" s="2">
        <v>1.6261574074074074E-2</v>
      </c>
      <c r="F82">
        <v>23.416666666666668</v>
      </c>
    </row>
    <row r="83" spans="1:6" x14ac:dyDescent="0.25">
      <c r="A83" s="1">
        <v>38353</v>
      </c>
      <c r="B83" t="s">
        <v>24</v>
      </c>
      <c r="C83" t="s">
        <v>9</v>
      </c>
      <c r="D83">
        <v>7</v>
      </c>
      <c r="E83" s="2">
        <v>3.1250000000000002E-3</v>
      </c>
      <c r="F83">
        <v>4.5</v>
      </c>
    </row>
    <row r="84" spans="1:6" x14ac:dyDescent="0.25">
      <c r="A84" s="1">
        <v>38353</v>
      </c>
      <c r="B84" t="s">
        <v>24</v>
      </c>
      <c r="C84" t="s">
        <v>10</v>
      </c>
      <c r="D84">
        <v>0</v>
      </c>
      <c r="E84" s="2">
        <v>0</v>
      </c>
      <c r="F84">
        <v>0</v>
      </c>
    </row>
    <row r="85" spans="1:6" x14ac:dyDescent="0.25">
      <c r="A85" s="1">
        <v>38353</v>
      </c>
      <c r="B85" t="s">
        <v>24</v>
      </c>
      <c r="C85" t="s">
        <v>11</v>
      </c>
      <c r="D85">
        <v>32</v>
      </c>
      <c r="E85" s="2">
        <v>1.5092592592592593E-2</v>
      </c>
      <c r="F85">
        <v>21.733333333333334</v>
      </c>
    </row>
    <row r="86" spans="1:6" x14ac:dyDescent="0.25">
      <c r="A86" s="1">
        <v>38384</v>
      </c>
      <c r="B86" t="s">
        <v>5</v>
      </c>
      <c r="C86" t="s">
        <v>6</v>
      </c>
      <c r="D86">
        <v>42</v>
      </c>
      <c r="E86" s="2">
        <v>4.1319444444444443E-2</v>
      </c>
      <c r="F86">
        <v>59.5</v>
      </c>
    </row>
    <row r="87" spans="1:6" x14ac:dyDescent="0.25">
      <c r="A87" s="1">
        <v>38384</v>
      </c>
      <c r="B87" t="s">
        <v>5</v>
      </c>
      <c r="C87" t="s">
        <v>7</v>
      </c>
      <c r="D87">
        <v>30</v>
      </c>
      <c r="E87" s="2">
        <v>3.1319444444444441E-2</v>
      </c>
      <c r="F87">
        <v>45.1</v>
      </c>
    </row>
    <row r="88" spans="1:6" x14ac:dyDescent="0.25">
      <c r="A88" s="1">
        <v>38384</v>
      </c>
      <c r="B88" t="s">
        <v>5</v>
      </c>
      <c r="C88" t="s">
        <v>8</v>
      </c>
      <c r="D88">
        <v>13</v>
      </c>
      <c r="E88" s="2">
        <v>1.2847222222222222E-2</v>
      </c>
      <c r="F88">
        <v>18.5</v>
      </c>
    </row>
    <row r="89" spans="1:6" x14ac:dyDescent="0.25">
      <c r="A89" s="1">
        <v>38384</v>
      </c>
      <c r="B89" t="s">
        <v>5</v>
      </c>
      <c r="C89" t="s">
        <v>9</v>
      </c>
      <c r="D89">
        <v>4</v>
      </c>
      <c r="E89" s="2">
        <v>3.2870370370370371E-3</v>
      </c>
      <c r="F89">
        <v>4.7333333333333334</v>
      </c>
    </row>
    <row r="90" spans="1:6" x14ac:dyDescent="0.25">
      <c r="A90" s="1">
        <v>38384</v>
      </c>
      <c r="B90" t="s">
        <v>5</v>
      </c>
      <c r="C90" t="s">
        <v>10</v>
      </c>
      <c r="D90">
        <v>14</v>
      </c>
      <c r="E90" s="2">
        <v>1.3506944444444445E-2</v>
      </c>
      <c r="F90">
        <v>19.45</v>
      </c>
    </row>
    <row r="91" spans="1:6" x14ac:dyDescent="0.25">
      <c r="A91" s="1">
        <v>38384</v>
      </c>
      <c r="B91" t="s">
        <v>5</v>
      </c>
      <c r="C91" t="s">
        <v>11</v>
      </c>
      <c r="D91">
        <v>14</v>
      </c>
      <c r="E91" s="2">
        <v>6.7476851851851856E-3</v>
      </c>
      <c r="F91">
        <v>9.7166666666666668</v>
      </c>
    </row>
    <row r="92" spans="1:6" x14ac:dyDescent="0.25">
      <c r="A92" s="1">
        <v>38384</v>
      </c>
      <c r="B92" t="s">
        <v>12</v>
      </c>
      <c r="C92" t="s">
        <v>6</v>
      </c>
      <c r="D92">
        <v>41</v>
      </c>
      <c r="E92" s="2">
        <v>4.5590277777777778E-2</v>
      </c>
      <c r="F92">
        <v>65.650000000000006</v>
      </c>
    </row>
    <row r="93" spans="1:6" x14ac:dyDescent="0.25">
      <c r="A93" s="1">
        <v>38384</v>
      </c>
      <c r="B93" t="s">
        <v>12</v>
      </c>
      <c r="C93" t="s">
        <v>7</v>
      </c>
      <c r="D93">
        <v>66</v>
      </c>
      <c r="E93" s="2">
        <v>9.0937500000000004E-2</v>
      </c>
      <c r="F93">
        <v>130.94999999999999</v>
      </c>
    </row>
    <row r="94" spans="1:6" x14ac:dyDescent="0.25">
      <c r="A94" s="1">
        <v>38384</v>
      </c>
      <c r="B94" t="s">
        <v>12</v>
      </c>
      <c r="C94" t="s">
        <v>8</v>
      </c>
      <c r="D94">
        <v>23</v>
      </c>
      <c r="E94" s="2">
        <v>3.4375000000000003E-2</v>
      </c>
      <c r="F94">
        <v>49.5</v>
      </c>
    </row>
    <row r="95" spans="1:6" x14ac:dyDescent="0.25">
      <c r="A95" s="1">
        <v>38384</v>
      </c>
      <c r="B95" t="s">
        <v>12</v>
      </c>
      <c r="C95" t="s">
        <v>9</v>
      </c>
      <c r="D95">
        <v>12</v>
      </c>
      <c r="E95" s="2">
        <v>6.5740740740740742E-3</v>
      </c>
      <c r="F95">
        <v>9.4666666666666668</v>
      </c>
    </row>
    <row r="96" spans="1:6" x14ac:dyDescent="0.25">
      <c r="A96" s="1">
        <v>38384</v>
      </c>
      <c r="B96" t="s">
        <v>12</v>
      </c>
      <c r="C96" t="s">
        <v>10</v>
      </c>
      <c r="D96">
        <v>5</v>
      </c>
      <c r="E96" s="2">
        <v>2.662037037037037E-3</v>
      </c>
      <c r="F96">
        <v>3.8333333333333335</v>
      </c>
    </row>
    <row r="97" spans="1:6" x14ac:dyDescent="0.25">
      <c r="A97" s="1">
        <v>38384</v>
      </c>
      <c r="B97" t="s">
        <v>12</v>
      </c>
      <c r="C97" t="s">
        <v>11</v>
      </c>
      <c r="D97">
        <v>29</v>
      </c>
      <c r="E97" s="2">
        <v>2.9490740740740741E-2</v>
      </c>
      <c r="F97">
        <v>42.466666666666669</v>
      </c>
    </row>
    <row r="98" spans="1:6" x14ac:dyDescent="0.25">
      <c r="A98" s="1">
        <v>38384</v>
      </c>
      <c r="B98" t="s">
        <v>13</v>
      </c>
      <c r="C98" t="s">
        <v>6</v>
      </c>
      <c r="D98">
        <v>46</v>
      </c>
      <c r="E98" s="2">
        <v>4.4050925925925924E-2</v>
      </c>
      <c r="F98">
        <v>63.43333333333333</v>
      </c>
    </row>
    <row r="99" spans="1:6" x14ac:dyDescent="0.25">
      <c r="A99" s="1">
        <v>38384</v>
      </c>
      <c r="B99" t="s">
        <v>13</v>
      </c>
      <c r="C99" t="s">
        <v>7</v>
      </c>
      <c r="D99">
        <v>43</v>
      </c>
      <c r="E99" s="2">
        <v>5.1608796296296298E-2</v>
      </c>
      <c r="F99">
        <v>74.316666666666663</v>
      </c>
    </row>
    <row r="100" spans="1:6" x14ac:dyDescent="0.25">
      <c r="A100" s="1">
        <v>38384</v>
      </c>
      <c r="B100" t="s">
        <v>13</v>
      </c>
      <c r="C100" t="s">
        <v>8</v>
      </c>
      <c r="D100">
        <v>24</v>
      </c>
      <c r="E100" s="2">
        <v>2.6261574074074073E-2</v>
      </c>
      <c r="F100">
        <v>37.81666666666667</v>
      </c>
    </row>
    <row r="101" spans="1:6" x14ac:dyDescent="0.25">
      <c r="A101" s="1">
        <v>38384</v>
      </c>
      <c r="B101" t="s">
        <v>13</v>
      </c>
      <c r="C101" t="s">
        <v>9</v>
      </c>
      <c r="D101">
        <v>2</v>
      </c>
      <c r="E101" s="2">
        <v>1.3078703703703703E-3</v>
      </c>
      <c r="F101">
        <v>1.8833333333333333</v>
      </c>
    </row>
    <row r="102" spans="1:6" x14ac:dyDescent="0.25">
      <c r="A102" s="1">
        <v>38384</v>
      </c>
      <c r="B102" t="s">
        <v>13</v>
      </c>
      <c r="C102" t="s">
        <v>10</v>
      </c>
      <c r="D102">
        <v>7</v>
      </c>
      <c r="E102" s="2">
        <v>5.9606481481481481E-3</v>
      </c>
      <c r="F102">
        <v>8.5833333333333339</v>
      </c>
    </row>
    <row r="103" spans="1:6" x14ac:dyDescent="0.25">
      <c r="A103" s="1">
        <v>38384</v>
      </c>
      <c r="B103" t="s">
        <v>13</v>
      </c>
      <c r="C103" t="s">
        <v>11</v>
      </c>
      <c r="D103">
        <v>11</v>
      </c>
      <c r="E103" s="2">
        <v>8.1712962962962963E-3</v>
      </c>
      <c r="F103">
        <v>11.766666666666667</v>
      </c>
    </row>
    <row r="104" spans="1:6" x14ac:dyDescent="0.25">
      <c r="A104" s="1">
        <v>38384</v>
      </c>
      <c r="B104" t="s">
        <v>14</v>
      </c>
      <c r="C104" t="s">
        <v>6</v>
      </c>
      <c r="D104">
        <v>27</v>
      </c>
      <c r="E104" s="2">
        <v>2.8634259259259259E-2</v>
      </c>
      <c r="F104">
        <v>41.233333333333334</v>
      </c>
    </row>
    <row r="105" spans="1:6" x14ac:dyDescent="0.25">
      <c r="A105" s="1">
        <v>38384</v>
      </c>
      <c r="B105" t="s">
        <v>14</v>
      </c>
      <c r="C105" t="s">
        <v>7</v>
      </c>
      <c r="D105">
        <v>31</v>
      </c>
      <c r="E105" s="2">
        <v>3.0879629629629628E-2</v>
      </c>
      <c r="F105">
        <v>44.466666666666669</v>
      </c>
    </row>
    <row r="106" spans="1:6" x14ac:dyDescent="0.25">
      <c r="A106" s="1">
        <v>38384</v>
      </c>
      <c r="B106" t="s">
        <v>14</v>
      </c>
      <c r="C106" t="s">
        <v>8</v>
      </c>
      <c r="D106">
        <v>22</v>
      </c>
      <c r="E106" s="2">
        <v>2.6203703703703705E-2</v>
      </c>
      <c r="F106">
        <v>37.733333333333334</v>
      </c>
    </row>
    <row r="107" spans="1:6" x14ac:dyDescent="0.25">
      <c r="A107" s="1">
        <v>38384</v>
      </c>
      <c r="B107" t="s">
        <v>14</v>
      </c>
      <c r="C107" t="s">
        <v>9</v>
      </c>
      <c r="D107">
        <v>7</v>
      </c>
      <c r="E107" s="2">
        <v>4.3518518518518515E-3</v>
      </c>
      <c r="F107">
        <v>6.2666666666666666</v>
      </c>
    </row>
    <row r="108" spans="1:6" x14ac:dyDescent="0.25">
      <c r="A108" s="1">
        <v>38384</v>
      </c>
      <c r="B108" t="s">
        <v>14</v>
      </c>
      <c r="C108" t="s">
        <v>10</v>
      </c>
      <c r="D108">
        <v>7</v>
      </c>
      <c r="E108" s="2">
        <v>8.2060185185185187E-3</v>
      </c>
      <c r="F108">
        <v>11.816666666666666</v>
      </c>
    </row>
    <row r="109" spans="1:6" x14ac:dyDescent="0.25">
      <c r="A109" s="1">
        <v>38384</v>
      </c>
      <c r="B109" t="s">
        <v>14</v>
      </c>
      <c r="C109" t="s">
        <v>11</v>
      </c>
      <c r="D109">
        <v>10</v>
      </c>
      <c r="E109" s="2">
        <v>8.9004629629629625E-3</v>
      </c>
      <c r="F109">
        <v>12.816666666666666</v>
      </c>
    </row>
    <row r="110" spans="1:6" x14ac:dyDescent="0.25">
      <c r="A110" s="1">
        <v>38384</v>
      </c>
      <c r="B110" t="s">
        <v>15</v>
      </c>
      <c r="C110" t="s">
        <v>6</v>
      </c>
      <c r="D110">
        <v>46</v>
      </c>
      <c r="E110" s="2">
        <v>4.6215277777777779E-2</v>
      </c>
      <c r="F110">
        <v>66.55</v>
      </c>
    </row>
    <row r="111" spans="1:6" x14ac:dyDescent="0.25">
      <c r="A111" s="1">
        <v>38384</v>
      </c>
      <c r="B111" t="s">
        <v>15</v>
      </c>
      <c r="C111" t="s">
        <v>7</v>
      </c>
      <c r="D111">
        <v>25</v>
      </c>
      <c r="E111" s="2">
        <v>2.9050925925925924E-2</v>
      </c>
      <c r="F111">
        <v>41.833333333333336</v>
      </c>
    </row>
    <row r="112" spans="1:6" x14ac:dyDescent="0.25">
      <c r="A112" s="1">
        <v>38384</v>
      </c>
      <c r="B112" t="s">
        <v>15</v>
      </c>
      <c r="C112" t="s">
        <v>8</v>
      </c>
      <c r="D112">
        <v>12</v>
      </c>
      <c r="E112" s="2">
        <v>1.2638888888888889E-2</v>
      </c>
      <c r="F112">
        <v>18.2</v>
      </c>
    </row>
    <row r="113" spans="1:6" x14ac:dyDescent="0.25">
      <c r="A113" s="1">
        <v>38384</v>
      </c>
      <c r="B113" t="s">
        <v>15</v>
      </c>
      <c r="C113" t="s">
        <v>9</v>
      </c>
      <c r="D113">
        <v>0</v>
      </c>
      <c r="E113" s="2">
        <v>0</v>
      </c>
      <c r="F113">
        <v>0</v>
      </c>
    </row>
    <row r="114" spans="1:6" x14ac:dyDescent="0.25">
      <c r="A114" s="1">
        <v>38384</v>
      </c>
      <c r="B114" t="s">
        <v>15</v>
      </c>
      <c r="C114" t="s">
        <v>10</v>
      </c>
      <c r="D114">
        <v>6</v>
      </c>
      <c r="E114" s="2">
        <v>9.3865740740740732E-3</v>
      </c>
      <c r="F114">
        <v>13.516666666666667</v>
      </c>
    </row>
    <row r="115" spans="1:6" x14ac:dyDescent="0.25">
      <c r="A115" s="1">
        <v>38384</v>
      </c>
      <c r="B115" t="s">
        <v>15</v>
      </c>
      <c r="C115" t="s">
        <v>11</v>
      </c>
      <c r="D115">
        <v>7</v>
      </c>
      <c r="E115" s="2">
        <v>7.1064814814814819E-3</v>
      </c>
      <c r="F115">
        <v>10.233333333333333</v>
      </c>
    </row>
    <row r="116" spans="1:6" x14ac:dyDescent="0.25">
      <c r="A116" s="1">
        <v>38384</v>
      </c>
      <c r="B116" t="s">
        <v>16</v>
      </c>
      <c r="C116" t="s">
        <v>6</v>
      </c>
      <c r="D116">
        <v>17</v>
      </c>
      <c r="E116" s="2">
        <v>1.8865740740740742E-2</v>
      </c>
      <c r="F116">
        <v>27.166666666666668</v>
      </c>
    </row>
    <row r="117" spans="1:6" x14ac:dyDescent="0.25">
      <c r="A117" s="1">
        <v>38384</v>
      </c>
      <c r="B117" t="s">
        <v>16</v>
      </c>
      <c r="C117" t="s">
        <v>7</v>
      </c>
      <c r="D117">
        <v>16</v>
      </c>
      <c r="E117" s="2">
        <v>1.9456018518518518E-2</v>
      </c>
      <c r="F117">
        <v>28.016666666666666</v>
      </c>
    </row>
    <row r="118" spans="1:6" x14ac:dyDescent="0.25">
      <c r="A118" s="1">
        <v>38384</v>
      </c>
      <c r="B118" t="s">
        <v>16</v>
      </c>
      <c r="C118" t="s">
        <v>8</v>
      </c>
      <c r="D118">
        <v>13</v>
      </c>
      <c r="E118" s="2">
        <v>1.6145833333333335E-2</v>
      </c>
      <c r="F118">
        <v>23.25</v>
      </c>
    </row>
    <row r="119" spans="1:6" x14ac:dyDescent="0.25">
      <c r="A119" s="1">
        <v>38384</v>
      </c>
      <c r="B119" t="s">
        <v>16</v>
      </c>
      <c r="C119" t="s">
        <v>9</v>
      </c>
      <c r="D119">
        <v>8</v>
      </c>
      <c r="E119" s="2">
        <v>3.9351851851851848E-3</v>
      </c>
      <c r="F119">
        <v>5.666666666666667</v>
      </c>
    </row>
    <row r="120" spans="1:6" x14ac:dyDescent="0.25">
      <c r="A120" s="1">
        <v>38384</v>
      </c>
      <c r="B120" t="s">
        <v>16</v>
      </c>
      <c r="C120" t="s">
        <v>10</v>
      </c>
      <c r="D120">
        <v>0</v>
      </c>
      <c r="E120" s="2">
        <v>0</v>
      </c>
      <c r="F120">
        <v>0</v>
      </c>
    </row>
    <row r="121" spans="1:6" x14ac:dyDescent="0.25">
      <c r="A121" s="1">
        <v>38384</v>
      </c>
      <c r="B121" t="s">
        <v>16</v>
      </c>
      <c r="C121" t="s">
        <v>11</v>
      </c>
      <c r="D121">
        <v>10</v>
      </c>
      <c r="E121" s="2">
        <v>5.6481481481481478E-3</v>
      </c>
      <c r="F121">
        <v>8.1333333333333329</v>
      </c>
    </row>
    <row r="122" spans="1:6" x14ac:dyDescent="0.25">
      <c r="A122" s="1">
        <v>38384</v>
      </c>
      <c r="B122" t="s">
        <v>17</v>
      </c>
      <c r="C122" t="s">
        <v>6</v>
      </c>
      <c r="D122">
        <v>14</v>
      </c>
      <c r="E122" s="2">
        <v>1.3009259259259259E-2</v>
      </c>
      <c r="F122">
        <v>18.733333333333334</v>
      </c>
    </row>
    <row r="123" spans="1:6" x14ac:dyDescent="0.25">
      <c r="A123" s="1">
        <v>38384</v>
      </c>
      <c r="B123" t="s">
        <v>17</v>
      </c>
      <c r="C123" t="s">
        <v>7</v>
      </c>
      <c r="D123">
        <v>12</v>
      </c>
      <c r="E123" s="2">
        <v>1.4212962962962964E-2</v>
      </c>
      <c r="F123">
        <v>20.466666666666665</v>
      </c>
    </row>
    <row r="124" spans="1:6" x14ac:dyDescent="0.25">
      <c r="A124" s="1">
        <v>38384</v>
      </c>
      <c r="B124" t="s">
        <v>17</v>
      </c>
      <c r="C124" t="s">
        <v>8</v>
      </c>
      <c r="D124">
        <v>12</v>
      </c>
      <c r="E124" s="2">
        <v>1.0775462962962962E-2</v>
      </c>
      <c r="F124">
        <v>15.516666666666667</v>
      </c>
    </row>
    <row r="125" spans="1:6" x14ac:dyDescent="0.25">
      <c r="A125" s="1">
        <v>38384</v>
      </c>
      <c r="B125" t="s">
        <v>17</v>
      </c>
      <c r="C125" t="s">
        <v>9</v>
      </c>
      <c r="D125">
        <v>1</v>
      </c>
      <c r="E125" s="2">
        <v>8.2175925925925927E-4</v>
      </c>
      <c r="F125">
        <v>1.1833333333333333</v>
      </c>
    </row>
    <row r="126" spans="1:6" x14ac:dyDescent="0.25">
      <c r="A126" s="1">
        <v>38384</v>
      </c>
      <c r="B126" t="s">
        <v>17</v>
      </c>
      <c r="C126" t="s">
        <v>10</v>
      </c>
      <c r="D126">
        <v>9</v>
      </c>
      <c r="E126" s="2">
        <v>7.6388888888888886E-3</v>
      </c>
      <c r="F126">
        <v>11</v>
      </c>
    </row>
    <row r="127" spans="1:6" x14ac:dyDescent="0.25">
      <c r="A127" s="1">
        <v>38384</v>
      </c>
      <c r="B127" t="s">
        <v>17</v>
      </c>
      <c r="C127" t="s">
        <v>11</v>
      </c>
      <c r="D127">
        <v>4</v>
      </c>
      <c r="E127" s="2">
        <v>2.0601851851851853E-3</v>
      </c>
      <c r="F127">
        <v>2.9666666666666668</v>
      </c>
    </row>
    <row r="128" spans="1:6" x14ac:dyDescent="0.25">
      <c r="A128" s="1">
        <v>38384</v>
      </c>
      <c r="B128" t="s">
        <v>18</v>
      </c>
      <c r="C128" t="s">
        <v>6</v>
      </c>
      <c r="D128">
        <v>100</v>
      </c>
      <c r="E128" s="2">
        <v>9.762731481481482E-2</v>
      </c>
      <c r="F128">
        <v>140.58333333333334</v>
      </c>
    </row>
    <row r="129" spans="1:6" x14ac:dyDescent="0.25">
      <c r="A129" s="1">
        <v>38384</v>
      </c>
      <c r="B129" t="s">
        <v>18</v>
      </c>
      <c r="C129" t="s">
        <v>7</v>
      </c>
      <c r="D129">
        <v>110</v>
      </c>
      <c r="E129" s="2">
        <v>0.10939814814814815</v>
      </c>
      <c r="F129">
        <v>157.53333333333333</v>
      </c>
    </row>
    <row r="130" spans="1:6" x14ac:dyDescent="0.25">
      <c r="A130" s="1">
        <v>38384</v>
      </c>
      <c r="B130" t="s">
        <v>18</v>
      </c>
      <c r="C130" t="s">
        <v>8</v>
      </c>
      <c r="D130">
        <v>81</v>
      </c>
      <c r="E130" s="2">
        <v>9.329861111111111E-2</v>
      </c>
      <c r="F130">
        <v>134.35</v>
      </c>
    </row>
    <row r="131" spans="1:6" x14ac:dyDescent="0.25">
      <c r="A131" s="1">
        <v>38384</v>
      </c>
      <c r="B131" t="s">
        <v>18</v>
      </c>
      <c r="C131" t="s">
        <v>9</v>
      </c>
      <c r="D131">
        <v>26</v>
      </c>
      <c r="E131" s="2">
        <v>1.8206018518518517E-2</v>
      </c>
      <c r="F131">
        <v>26.216666666666665</v>
      </c>
    </row>
    <row r="132" spans="1:6" x14ac:dyDescent="0.25">
      <c r="A132" s="1">
        <v>38384</v>
      </c>
      <c r="B132" t="s">
        <v>18</v>
      </c>
      <c r="C132" t="s">
        <v>10</v>
      </c>
      <c r="D132">
        <v>160</v>
      </c>
      <c r="E132" s="2">
        <v>0.14381944444444444</v>
      </c>
      <c r="F132">
        <v>207.1</v>
      </c>
    </row>
    <row r="133" spans="1:6" x14ac:dyDescent="0.25">
      <c r="A133" s="1">
        <v>38384</v>
      </c>
      <c r="B133" t="s">
        <v>18</v>
      </c>
      <c r="C133" t="s">
        <v>11</v>
      </c>
      <c r="D133">
        <v>32</v>
      </c>
      <c r="E133" s="2">
        <v>2.074074074074074E-2</v>
      </c>
      <c r="F133">
        <v>29.866666666666667</v>
      </c>
    </row>
    <row r="134" spans="1:6" x14ac:dyDescent="0.25">
      <c r="A134" s="1">
        <v>38384</v>
      </c>
      <c r="B134" t="s">
        <v>19</v>
      </c>
      <c r="C134" t="s">
        <v>6</v>
      </c>
      <c r="D134">
        <v>56</v>
      </c>
      <c r="E134" s="2">
        <v>6.7685185185185182E-2</v>
      </c>
      <c r="F134">
        <v>97.466666666666669</v>
      </c>
    </row>
    <row r="135" spans="1:6" x14ac:dyDescent="0.25">
      <c r="A135" s="1">
        <v>38384</v>
      </c>
      <c r="B135" t="s">
        <v>19</v>
      </c>
      <c r="C135" t="s">
        <v>7</v>
      </c>
      <c r="D135">
        <v>52</v>
      </c>
      <c r="E135" s="2">
        <v>5.980324074074074E-2</v>
      </c>
      <c r="F135">
        <v>86.11666666666666</v>
      </c>
    </row>
    <row r="136" spans="1:6" x14ac:dyDescent="0.25">
      <c r="A136" s="1">
        <v>38384</v>
      </c>
      <c r="B136" t="s">
        <v>19</v>
      </c>
      <c r="C136" t="s">
        <v>8</v>
      </c>
      <c r="D136">
        <v>43</v>
      </c>
      <c r="E136" s="2">
        <v>5.1307870370370372E-2</v>
      </c>
      <c r="F136">
        <v>73.88333333333334</v>
      </c>
    </row>
    <row r="137" spans="1:6" x14ac:dyDescent="0.25">
      <c r="A137" s="1">
        <v>38384</v>
      </c>
      <c r="B137" t="s">
        <v>19</v>
      </c>
      <c r="C137" t="s">
        <v>9</v>
      </c>
      <c r="D137">
        <v>15</v>
      </c>
      <c r="E137" s="2">
        <v>7.766203703703704E-3</v>
      </c>
      <c r="F137">
        <v>11.183333333333334</v>
      </c>
    </row>
    <row r="138" spans="1:6" x14ac:dyDescent="0.25">
      <c r="A138" s="1">
        <v>38384</v>
      </c>
      <c r="B138" t="s">
        <v>19</v>
      </c>
      <c r="C138" t="s">
        <v>10</v>
      </c>
      <c r="D138">
        <v>8</v>
      </c>
      <c r="E138" s="2">
        <v>7.4421296296296293E-3</v>
      </c>
      <c r="F138">
        <v>10.716666666666667</v>
      </c>
    </row>
    <row r="139" spans="1:6" x14ac:dyDescent="0.25">
      <c r="A139" s="1">
        <v>38384</v>
      </c>
      <c r="B139" t="s">
        <v>19</v>
      </c>
      <c r="C139" t="s">
        <v>11</v>
      </c>
      <c r="D139">
        <v>26</v>
      </c>
      <c r="E139" s="2">
        <v>1.7673611111111112E-2</v>
      </c>
      <c r="F139">
        <v>25.45</v>
      </c>
    </row>
    <row r="140" spans="1:6" x14ac:dyDescent="0.25">
      <c r="A140" s="1">
        <v>38384</v>
      </c>
      <c r="B140" t="s">
        <v>20</v>
      </c>
      <c r="C140" t="s">
        <v>6</v>
      </c>
      <c r="D140">
        <v>23</v>
      </c>
      <c r="E140" s="2">
        <v>2.2418981481481481E-2</v>
      </c>
      <c r="F140">
        <v>32.283333333333331</v>
      </c>
    </row>
    <row r="141" spans="1:6" x14ac:dyDescent="0.25">
      <c r="A141" s="1">
        <v>38384</v>
      </c>
      <c r="B141" t="s">
        <v>20</v>
      </c>
      <c r="C141" t="s">
        <v>7</v>
      </c>
      <c r="D141">
        <v>18</v>
      </c>
      <c r="E141" s="2">
        <v>1.7465277777777777E-2</v>
      </c>
      <c r="F141">
        <v>25.15</v>
      </c>
    </row>
    <row r="142" spans="1:6" x14ac:dyDescent="0.25">
      <c r="A142" s="1">
        <v>38384</v>
      </c>
      <c r="B142" t="s">
        <v>20</v>
      </c>
      <c r="C142" t="s">
        <v>8</v>
      </c>
      <c r="D142">
        <v>13</v>
      </c>
      <c r="E142" s="2">
        <v>1.5092592592592593E-2</v>
      </c>
      <c r="F142">
        <v>21.733333333333334</v>
      </c>
    </row>
    <row r="143" spans="1:6" x14ac:dyDescent="0.25">
      <c r="A143" s="1">
        <v>38384</v>
      </c>
      <c r="B143" t="s">
        <v>20</v>
      </c>
      <c r="C143" t="s">
        <v>9</v>
      </c>
      <c r="D143">
        <v>2</v>
      </c>
      <c r="E143" s="2">
        <v>1.5740740740740741E-3</v>
      </c>
      <c r="F143">
        <v>2.2666666666666666</v>
      </c>
    </row>
    <row r="144" spans="1:6" x14ac:dyDescent="0.25">
      <c r="A144" s="1">
        <v>38384</v>
      </c>
      <c r="B144" t="s">
        <v>20</v>
      </c>
      <c r="C144" t="s">
        <v>10</v>
      </c>
      <c r="D144">
        <v>4</v>
      </c>
      <c r="E144" s="2">
        <v>2.4652777777777776E-3</v>
      </c>
      <c r="F144">
        <v>3.55</v>
      </c>
    </row>
    <row r="145" spans="1:6" x14ac:dyDescent="0.25">
      <c r="A145" s="1">
        <v>38384</v>
      </c>
      <c r="B145" t="s">
        <v>20</v>
      </c>
      <c r="C145" t="s">
        <v>11</v>
      </c>
      <c r="D145">
        <v>6</v>
      </c>
      <c r="E145" s="2">
        <v>3.1134259259259257E-3</v>
      </c>
      <c r="F145">
        <v>4.4833333333333334</v>
      </c>
    </row>
    <row r="146" spans="1:6" x14ac:dyDescent="0.25">
      <c r="A146" s="1">
        <v>38384</v>
      </c>
      <c r="B146" t="s">
        <v>21</v>
      </c>
      <c r="C146" t="s">
        <v>6</v>
      </c>
      <c r="D146">
        <v>50</v>
      </c>
      <c r="E146" s="2">
        <v>5.5752314814814817E-2</v>
      </c>
      <c r="F146">
        <v>80.283333333333331</v>
      </c>
    </row>
    <row r="147" spans="1:6" x14ac:dyDescent="0.25">
      <c r="A147" s="1">
        <v>38384</v>
      </c>
      <c r="B147" t="s">
        <v>21</v>
      </c>
      <c r="C147" t="s">
        <v>7</v>
      </c>
      <c r="D147">
        <v>41</v>
      </c>
      <c r="E147" s="2">
        <v>5.230324074074074E-2</v>
      </c>
      <c r="F147">
        <v>75.316666666666663</v>
      </c>
    </row>
    <row r="148" spans="1:6" x14ac:dyDescent="0.25">
      <c r="A148" s="1">
        <v>38384</v>
      </c>
      <c r="B148" t="s">
        <v>21</v>
      </c>
      <c r="C148" t="s">
        <v>8</v>
      </c>
      <c r="D148">
        <v>20</v>
      </c>
      <c r="E148" s="2">
        <v>2.4548611111111111E-2</v>
      </c>
      <c r="F148">
        <v>35.35</v>
      </c>
    </row>
    <row r="149" spans="1:6" x14ac:dyDescent="0.25">
      <c r="A149" s="1">
        <v>38384</v>
      </c>
      <c r="B149" t="s">
        <v>21</v>
      </c>
      <c r="C149" t="s">
        <v>9</v>
      </c>
      <c r="D149">
        <v>9</v>
      </c>
      <c r="E149" s="2">
        <v>8.0208333333333329E-3</v>
      </c>
      <c r="F149">
        <v>11.55</v>
      </c>
    </row>
    <row r="150" spans="1:6" x14ac:dyDescent="0.25">
      <c r="A150" s="1">
        <v>38384</v>
      </c>
      <c r="B150" t="s">
        <v>21</v>
      </c>
      <c r="C150" t="s">
        <v>10</v>
      </c>
      <c r="D150">
        <v>6</v>
      </c>
      <c r="E150" s="2">
        <v>3.9236111111111112E-3</v>
      </c>
      <c r="F150">
        <v>5.65</v>
      </c>
    </row>
    <row r="151" spans="1:6" x14ac:dyDescent="0.25">
      <c r="A151" s="1">
        <v>38384</v>
      </c>
      <c r="B151" t="s">
        <v>21</v>
      </c>
      <c r="C151" t="s">
        <v>11</v>
      </c>
      <c r="D151">
        <v>16</v>
      </c>
      <c r="E151" s="2">
        <v>1.5150462962962963E-2</v>
      </c>
      <c r="F151">
        <v>21.816666666666666</v>
      </c>
    </row>
    <row r="152" spans="1:6" x14ac:dyDescent="0.25">
      <c r="A152" s="1">
        <v>38384</v>
      </c>
      <c r="B152" t="s">
        <v>22</v>
      </c>
      <c r="C152" t="s">
        <v>6</v>
      </c>
      <c r="D152">
        <v>17</v>
      </c>
      <c r="E152" s="2">
        <v>1.8564814814814815E-2</v>
      </c>
      <c r="F152">
        <v>26.733333333333334</v>
      </c>
    </row>
    <row r="153" spans="1:6" x14ac:dyDescent="0.25">
      <c r="A153" s="1">
        <v>38384</v>
      </c>
      <c r="B153" t="s">
        <v>22</v>
      </c>
      <c r="C153" t="s">
        <v>7</v>
      </c>
      <c r="D153">
        <v>15</v>
      </c>
      <c r="E153" s="2">
        <v>2.224537037037037E-2</v>
      </c>
      <c r="F153">
        <v>32.033333333333331</v>
      </c>
    </row>
    <row r="154" spans="1:6" x14ac:dyDescent="0.25">
      <c r="A154" s="1">
        <v>38384</v>
      </c>
      <c r="B154" t="s">
        <v>22</v>
      </c>
      <c r="C154" t="s">
        <v>8</v>
      </c>
      <c r="D154">
        <v>10</v>
      </c>
      <c r="E154" s="2">
        <v>1.0891203703703703E-2</v>
      </c>
      <c r="F154">
        <v>15.683333333333334</v>
      </c>
    </row>
    <row r="155" spans="1:6" x14ac:dyDescent="0.25">
      <c r="A155" s="1">
        <v>38384</v>
      </c>
      <c r="B155" t="s">
        <v>22</v>
      </c>
      <c r="C155" t="s">
        <v>9</v>
      </c>
      <c r="D155">
        <v>0</v>
      </c>
      <c r="E155" s="2">
        <v>0</v>
      </c>
      <c r="F155">
        <v>0</v>
      </c>
    </row>
    <row r="156" spans="1:6" x14ac:dyDescent="0.25">
      <c r="A156" s="1">
        <v>38384</v>
      </c>
      <c r="B156" t="s">
        <v>22</v>
      </c>
      <c r="C156" t="s">
        <v>10</v>
      </c>
      <c r="D156">
        <v>4</v>
      </c>
      <c r="E156" s="2">
        <v>1.5972222222222223E-3</v>
      </c>
      <c r="F156">
        <v>2.2999999999999998</v>
      </c>
    </row>
    <row r="157" spans="1:6" x14ac:dyDescent="0.25">
      <c r="A157" s="1">
        <v>38384</v>
      </c>
      <c r="B157" t="s">
        <v>22</v>
      </c>
      <c r="C157" t="s">
        <v>11</v>
      </c>
      <c r="D157">
        <v>4</v>
      </c>
      <c r="E157" s="2">
        <v>3.5532407407407409E-3</v>
      </c>
      <c r="F157">
        <v>5.1166666666666663</v>
      </c>
    </row>
    <row r="158" spans="1:6" x14ac:dyDescent="0.25">
      <c r="A158" s="1">
        <v>38384</v>
      </c>
      <c r="B158" t="s">
        <v>23</v>
      </c>
      <c r="C158" t="s">
        <v>6</v>
      </c>
      <c r="D158">
        <v>177</v>
      </c>
      <c r="E158" s="2">
        <v>0.19215277777777778</v>
      </c>
      <c r="F158">
        <v>276.7</v>
      </c>
    </row>
    <row r="159" spans="1:6" x14ac:dyDescent="0.25">
      <c r="A159" s="1">
        <v>38384</v>
      </c>
      <c r="B159" t="s">
        <v>23</v>
      </c>
      <c r="C159" t="s">
        <v>7</v>
      </c>
      <c r="D159">
        <v>132</v>
      </c>
      <c r="E159" s="2">
        <v>0.13392361111111112</v>
      </c>
      <c r="F159">
        <v>192.85</v>
      </c>
    </row>
    <row r="160" spans="1:6" x14ac:dyDescent="0.25">
      <c r="A160" s="1">
        <v>38384</v>
      </c>
      <c r="B160" t="s">
        <v>23</v>
      </c>
      <c r="C160" t="s">
        <v>8</v>
      </c>
      <c r="D160">
        <v>67</v>
      </c>
      <c r="E160" s="2">
        <v>7.6874999999999999E-2</v>
      </c>
      <c r="F160">
        <v>110.7</v>
      </c>
    </row>
    <row r="161" spans="1:6" x14ac:dyDescent="0.25">
      <c r="A161" s="1">
        <v>38384</v>
      </c>
      <c r="B161" t="s">
        <v>23</v>
      </c>
      <c r="C161" t="s">
        <v>9</v>
      </c>
      <c r="D161">
        <v>29</v>
      </c>
      <c r="E161" s="2">
        <v>1.7233796296296296E-2</v>
      </c>
      <c r="F161">
        <v>24.816666666666666</v>
      </c>
    </row>
    <row r="162" spans="1:6" x14ac:dyDescent="0.25">
      <c r="A162" s="1">
        <v>38384</v>
      </c>
      <c r="B162" t="s">
        <v>23</v>
      </c>
      <c r="C162" t="s">
        <v>10</v>
      </c>
      <c r="D162">
        <v>27</v>
      </c>
      <c r="E162" s="2">
        <v>2.5763888888888888E-2</v>
      </c>
      <c r="F162">
        <v>37.1</v>
      </c>
    </row>
    <row r="163" spans="1:6" x14ac:dyDescent="0.25">
      <c r="A163" s="1">
        <v>38384</v>
      </c>
      <c r="B163" t="s">
        <v>23</v>
      </c>
      <c r="C163" t="s">
        <v>11</v>
      </c>
      <c r="D163">
        <v>70</v>
      </c>
      <c r="E163" s="2">
        <v>5.2766203703703704E-2</v>
      </c>
      <c r="F163">
        <v>75.983333333333334</v>
      </c>
    </row>
    <row r="164" spans="1:6" x14ac:dyDescent="0.25">
      <c r="A164" s="1">
        <v>38384</v>
      </c>
      <c r="B164" t="s">
        <v>24</v>
      </c>
      <c r="C164" t="s">
        <v>6</v>
      </c>
      <c r="D164">
        <v>54</v>
      </c>
      <c r="E164" s="2">
        <v>5.2152777777777777E-2</v>
      </c>
      <c r="F164">
        <v>75.099999999999994</v>
      </c>
    </row>
    <row r="165" spans="1:6" x14ac:dyDescent="0.25">
      <c r="A165" s="1">
        <v>38384</v>
      </c>
      <c r="B165" t="s">
        <v>24</v>
      </c>
      <c r="C165" t="s">
        <v>7</v>
      </c>
      <c r="D165">
        <v>58</v>
      </c>
      <c r="E165" s="2">
        <v>4.9930555555555554E-2</v>
      </c>
      <c r="F165">
        <v>71.900000000000006</v>
      </c>
    </row>
    <row r="166" spans="1:6" x14ac:dyDescent="0.25">
      <c r="A166" s="1">
        <v>38384</v>
      </c>
      <c r="B166" t="s">
        <v>24</v>
      </c>
      <c r="C166" t="s">
        <v>8</v>
      </c>
      <c r="D166">
        <v>29</v>
      </c>
      <c r="E166" s="2">
        <v>2.7592592592592592E-2</v>
      </c>
      <c r="F166">
        <v>39.733333333333334</v>
      </c>
    </row>
    <row r="167" spans="1:6" x14ac:dyDescent="0.25">
      <c r="A167" s="1">
        <v>38384</v>
      </c>
      <c r="B167" t="s">
        <v>24</v>
      </c>
      <c r="C167" t="s">
        <v>9</v>
      </c>
      <c r="D167">
        <v>18</v>
      </c>
      <c r="E167" s="2">
        <v>1.1585648148148149E-2</v>
      </c>
      <c r="F167">
        <v>16.683333333333334</v>
      </c>
    </row>
    <row r="168" spans="1:6" x14ac:dyDescent="0.25">
      <c r="A168" s="1">
        <v>38384</v>
      </c>
      <c r="B168" t="s">
        <v>24</v>
      </c>
      <c r="C168" t="s">
        <v>10</v>
      </c>
      <c r="D168">
        <v>3</v>
      </c>
      <c r="E168" s="2">
        <v>1.8865740740740742E-3</v>
      </c>
      <c r="F168">
        <v>2.7166666666666668</v>
      </c>
    </row>
    <row r="169" spans="1:6" x14ac:dyDescent="0.25">
      <c r="A169" s="1">
        <v>38384</v>
      </c>
      <c r="B169" t="s">
        <v>24</v>
      </c>
      <c r="C169" t="s">
        <v>11</v>
      </c>
      <c r="D169">
        <v>38</v>
      </c>
      <c r="E169" s="2">
        <v>2.7708333333333335E-2</v>
      </c>
      <c r="F169">
        <v>39.9</v>
      </c>
    </row>
    <row r="170" spans="1:6" x14ac:dyDescent="0.25">
      <c r="A170" s="1">
        <v>38412</v>
      </c>
      <c r="B170" t="s">
        <v>5</v>
      </c>
      <c r="C170" t="s">
        <v>6</v>
      </c>
      <c r="D170">
        <v>47</v>
      </c>
      <c r="E170" s="2">
        <v>5.0393518518518518E-2</v>
      </c>
      <c r="F170">
        <v>72.566666666666663</v>
      </c>
    </row>
    <row r="171" spans="1:6" x14ac:dyDescent="0.25">
      <c r="A171" s="1">
        <v>38412</v>
      </c>
      <c r="B171" t="s">
        <v>5</v>
      </c>
      <c r="C171" t="s">
        <v>7</v>
      </c>
      <c r="D171">
        <v>44</v>
      </c>
      <c r="E171" s="2">
        <v>4.2129629629629628E-2</v>
      </c>
      <c r="F171">
        <v>60.666666666666664</v>
      </c>
    </row>
    <row r="172" spans="1:6" x14ac:dyDescent="0.25">
      <c r="A172" s="1">
        <v>38412</v>
      </c>
      <c r="B172" t="s">
        <v>5</v>
      </c>
      <c r="C172" t="s">
        <v>8</v>
      </c>
      <c r="D172">
        <v>27</v>
      </c>
      <c r="E172" s="2">
        <v>2.9050925925925924E-2</v>
      </c>
      <c r="F172">
        <v>41.833333333333336</v>
      </c>
    </row>
    <row r="173" spans="1:6" x14ac:dyDescent="0.25">
      <c r="A173" s="1">
        <v>38412</v>
      </c>
      <c r="B173" t="s">
        <v>5</v>
      </c>
      <c r="C173" t="s">
        <v>9</v>
      </c>
      <c r="D173">
        <v>1</v>
      </c>
      <c r="E173" s="2">
        <v>8.2175925925925927E-4</v>
      </c>
      <c r="F173">
        <v>1.1833333333333333</v>
      </c>
    </row>
    <row r="174" spans="1:6" x14ac:dyDescent="0.25">
      <c r="A174" s="1">
        <v>38412</v>
      </c>
      <c r="B174" t="s">
        <v>5</v>
      </c>
      <c r="C174" t="s">
        <v>10</v>
      </c>
      <c r="D174">
        <v>10</v>
      </c>
      <c r="E174" s="2">
        <v>7.4652777777777781E-3</v>
      </c>
      <c r="F174">
        <v>10.75</v>
      </c>
    </row>
    <row r="175" spans="1:6" x14ac:dyDescent="0.25">
      <c r="A175" s="1">
        <v>38412</v>
      </c>
      <c r="B175" t="s">
        <v>5</v>
      </c>
      <c r="C175" t="s">
        <v>11</v>
      </c>
      <c r="D175">
        <v>20</v>
      </c>
      <c r="E175" s="2">
        <v>1.4560185185185185E-2</v>
      </c>
      <c r="F175">
        <v>20.966666666666665</v>
      </c>
    </row>
    <row r="176" spans="1:6" x14ac:dyDescent="0.25">
      <c r="A176" s="1">
        <v>38412</v>
      </c>
      <c r="B176" t="s">
        <v>12</v>
      </c>
      <c r="C176" t="s">
        <v>6</v>
      </c>
      <c r="D176">
        <v>48</v>
      </c>
      <c r="E176" s="2">
        <v>4.9618055555555554E-2</v>
      </c>
      <c r="F176">
        <v>71.45</v>
      </c>
    </row>
    <row r="177" spans="1:6" x14ac:dyDescent="0.25">
      <c r="A177" s="1">
        <v>38412</v>
      </c>
      <c r="B177" t="s">
        <v>12</v>
      </c>
      <c r="C177" t="s">
        <v>7</v>
      </c>
      <c r="D177">
        <v>81</v>
      </c>
      <c r="E177" s="2">
        <v>9.7222222222222224E-2</v>
      </c>
      <c r="F177">
        <v>140</v>
      </c>
    </row>
    <row r="178" spans="1:6" x14ac:dyDescent="0.25">
      <c r="A178" s="1">
        <v>38412</v>
      </c>
      <c r="B178" t="s">
        <v>12</v>
      </c>
      <c r="C178" t="s">
        <v>8</v>
      </c>
      <c r="D178">
        <v>38</v>
      </c>
      <c r="E178" s="2">
        <v>5.65162037037037E-2</v>
      </c>
      <c r="F178">
        <v>81.38333333333334</v>
      </c>
    </row>
    <row r="179" spans="1:6" x14ac:dyDescent="0.25">
      <c r="A179" s="1">
        <v>38412</v>
      </c>
      <c r="B179" t="s">
        <v>12</v>
      </c>
      <c r="C179" t="s">
        <v>9</v>
      </c>
      <c r="D179">
        <v>14</v>
      </c>
      <c r="E179" s="2">
        <v>7.3726851851851852E-3</v>
      </c>
      <c r="F179">
        <v>10.616666666666667</v>
      </c>
    </row>
    <row r="180" spans="1:6" x14ac:dyDescent="0.25">
      <c r="A180" s="1">
        <v>38412</v>
      </c>
      <c r="B180" t="s">
        <v>12</v>
      </c>
      <c r="C180" t="s">
        <v>10</v>
      </c>
      <c r="D180">
        <v>2</v>
      </c>
      <c r="E180" s="2">
        <v>1.9212962962962964E-3</v>
      </c>
      <c r="F180">
        <v>2.7666666666666666</v>
      </c>
    </row>
    <row r="181" spans="1:6" x14ac:dyDescent="0.25">
      <c r="A181" s="1">
        <v>38412</v>
      </c>
      <c r="B181" t="s">
        <v>12</v>
      </c>
      <c r="C181" t="s">
        <v>11</v>
      </c>
      <c r="D181">
        <v>39</v>
      </c>
      <c r="E181" s="2">
        <v>3.9884259259259258E-2</v>
      </c>
      <c r="F181">
        <v>57.43333333333333</v>
      </c>
    </row>
    <row r="182" spans="1:6" x14ac:dyDescent="0.25">
      <c r="A182" s="1">
        <v>38412</v>
      </c>
      <c r="B182" t="s">
        <v>13</v>
      </c>
      <c r="C182" t="s">
        <v>6</v>
      </c>
      <c r="D182">
        <v>92</v>
      </c>
      <c r="E182" s="2">
        <v>9.9375000000000005E-2</v>
      </c>
      <c r="F182">
        <v>143.1</v>
      </c>
    </row>
    <row r="183" spans="1:6" x14ac:dyDescent="0.25">
      <c r="A183" s="1">
        <v>38412</v>
      </c>
      <c r="B183" t="s">
        <v>13</v>
      </c>
      <c r="C183" t="s">
        <v>7</v>
      </c>
      <c r="D183">
        <v>50</v>
      </c>
      <c r="E183" s="2">
        <v>6.5266203703703701E-2</v>
      </c>
      <c r="F183">
        <v>93.983333333333334</v>
      </c>
    </row>
    <row r="184" spans="1:6" x14ac:dyDescent="0.25">
      <c r="A184" s="1">
        <v>38412</v>
      </c>
      <c r="B184" t="s">
        <v>13</v>
      </c>
      <c r="C184" t="s">
        <v>8</v>
      </c>
      <c r="D184">
        <v>27</v>
      </c>
      <c r="E184" s="2">
        <v>3.3773148148148149E-2</v>
      </c>
      <c r="F184">
        <v>48.633333333333333</v>
      </c>
    </row>
    <row r="185" spans="1:6" x14ac:dyDescent="0.25">
      <c r="A185" s="1">
        <v>38412</v>
      </c>
      <c r="B185" t="s">
        <v>13</v>
      </c>
      <c r="C185" t="s">
        <v>9</v>
      </c>
      <c r="D185">
        <v>2</v>
      </c>
      <c r="E185" s="2">
        <v>1.7476851851851852E-3</v>
      </c>
      <c r="F185">
        <v>2.5166666666666666</v>
      </c>
    </row>
    <row r="186" spans="1:6" x14ac:dyDescent="0.25">
      <c r="A186" s="1">
        <v>38412</v>
      </c>
      <c r="B186" t="s">
        <v>13</v>
      </c>
      <c r="C186" t="s">
        <v>10</v>
      </c>
      <c r="D186">
        <v>13</v>
      </c>
      <c r="E186" s="2">
        <v>1.1412037037037037E-2</v>
      </c>
      <c r="F186">
        <v>16.433333333333334</v>
      </c>
    </row>
    <row r="187" spans="1:6" x14ac:dyDescent="0.25">
      <c r="A187" s="1">
        <v>38412</v>
      </c>
      <c r="B187" t="s">
        <v>13</v>
      </c>
      <c r="C187" t="s">
        <v>11</v>
      </c>
      <c r="D187">
        <v>14</v>
      </c>
      <c r="E187" s="2">
        <v>9.4907407407407406E-3</v>
      </c>
      <c r="F187">
        <v>13.666666666666666</v>
      </c>
    </row>
    <row r="188" spans="1:6" x14ac:dyDescent="0.25">
      <c r="A188" s="1">
        <v>38412</v>
      </c>
      <c r="B188" t="s">
        <v>14</v>
      </c>
      <c r="C188" t="s">
        <v>6</v>
      </c>
      <c r="D188">
        <v>33</v>
      </c>
      <c r="E188" s="2">
        <v>3.6469907407407409E-2</v>
      </c>
      <c r="F188">
        <v>52.516666666666666</v>
      </c>
    </row>
    <row r="189" spans="1:6" x14ac:dyDescent="0.25">
      <c r="A189" s="1">
        <v>38412</v>
      </c>
      <c r="B189" t="s">
        <v>14</v>
      </c>
      <c r="C189" t="s">
        <v>7</v>
      </c>
      <c r="D189">
        <v>24</v>
      </c>
      <c r="E189" s="2">
        <v>2.6979166666666665E-2</v>
      </c>
      <c r="F189">
        <v>38.85</v>
      </c>
    </row>
    <row r="190" spans="1:6" x14ac:dyDescent="0.25">
      <c r="A190" s="1">
        <v>38412</v>
      </c>
      <c r="B190" t="s">
        <v>14</v>
      </c>
      <c r="C190" t="s">
        <v>8</v>
      </c>
      <c r="D190">
        <v>15</v>
      </c>
      <c r="E190" s="2">
        <v>1.6446759259259258E-2</v>
      </c>
      <c r="F190">
        <v>23.683333333333334</v>
      </c>
    </row>
    <row r="191" spans="1:6" x14ac:dyDescent="0.25">
      <c r="A191" s="1">
        <v>38412</v>
      </c>
      <c r="B191" t="s">
        <v>14</v>
      </c>
      <c r="C191" t="s">
        <v>9</v>
      </c>
      <c r="D191">
        <v>3</v>
      </c>
      <c r="E191" s="2">
        <v>5.5208333333333333E-3</v>
      </c>
      <c r="F191">
        <v>7.95</v>
      </c>
    </row>
    <row r="192" spans="1:6" x14ac:dyDescent="0.25">
      <c r="A192" s="1">
        <v>38412</v>
      </c>
      <c r="B192" t="s">
        <v>14</v>
      </c>
      <c r="C192" t="s">
        <v>10</v>
      </c>
      <c r="D192">
        <v>4</v>
      </c>
      <c r="E192" s="2">
        <v>9.3749999999999997E-4</v>
      </c>
      <c r="F192">
        <v>1.35</v>
      </c>
    </row>
    <row r="193" spans="1:6" x14ac:dyDescent="0.25">
      <c r="A193" s="1">
        <v>38412</v>
      </c>
      <c r="B193" t="s">
        <v>14</v>
      </c>
      <c r="C193" t="s">
        <v>11</v>
      </c>
      <c r="D193">
        <v>18</v>
      </c>
      <c r="E193" s="2">
        <v>1.7476851851851851E-2</v>
      </c>
      <c r="F193">
        <v>25.166666666666668</v>
      </c>
    </row>
    <row r="194" spans="1:6" x14ac:dyDescent="0.25">
      <c r="A194" s="1">
        <v>38412</v>
      </c>
      <c r="B194" t="s">
        <v>15</v>
      </c>
      <c r="C194" t="s">
        <v>6</v>
      </c>
      <c r="D194">
        <v>57</v>
      </c>
      <c r="E194" s="2">
        <v>6.4236111111111105E-2</v>
      </c>
      <c r="F194">
        <v>92.5</v>
      </c>
    </row>
    <row r="195" spans="1:6" x14ac:dyDescent="0.25">
      <c r="A195" s="1">
        <v>38412</v>
      </c>
      <c r="B195" t="s">
        <v>15</v>
      </c>
      <c r="C195" t="s">
        <v>7</v>
      </c>
      <c r="D195">
        <v>57</v>
      </c>
      <c r="E195" s="2">
        <v>5.4386574074074073E-2</v>
      </c>
      <c r="F195">
        <v>78.316666666666663</v>
      </c>
    </row>
    <row r="196" spans="1:6" x14ac:dyDescent="0.25">
      <c r="A196" s="1">
        <v>38412</v>
      </c>
      <c r="B196" t="s">
        <v>15</v>
      </c>
      <c r="C196" t="s">
        <v>8</v>
      </c>
      <c r="D196">
        <v>14</v>
      </c>
      <c r="E196" s="2">
        <v>1.5358796296296296E-2</v>
      </c>
      <c r="F196">
        <v>22.116666666666667</v>
      </c>
    </row>
    <row r="197" spans="1:6" x14ac:dyDescent="0.25">
      <c r="A197" s="1">
        <v>38412</v>
      </c>
      <c r="B197" t="s">
        <v>15</v>
      </c>
      <c r="C197" t="s">
        <v>9</v>
      </c>
      <c r="D197">
        <v>4</v>
      </c>
      <c r="E197" s="2">
        <v>3.2986111111111111E-3</v>
      </c>
      <c r="F197">
        <v>4.75</v>
      </c>
    </row>
    <row r="198" spans="1:6" x14ac:dyDescent="0.25">
      <c r="A198" s="1">
        <v>38412</v>
      </c>
      <c r="B198" t="s">
        <v>15</v>
      </c>
      <c r="C198" t="s">
        <v>10</v>
      </c>
      <c r="D198">
        <v>0</v>
      </c>
      <c r="E198" s="2">
        <v>0</v>
      </c>
      <c r="F198">
        <v>0</v>
      </c>
    </row>
    <row r="199" spans="1:6" x14ac:dyDescent="0.25">
      <c r="A199" s="1">
        <v>38412</v>
      </c>
      <c r="B199" t="s">
        <v>15</v>
      </c>
      <c r="C199" t="s">
        <v>11</v>
      </c>
      <c r="D199">
        <v>13</v>
      </c>
      <c r="E199" s="2">
        <v>1.0219907407407407E-2</v>
      </c>
      <c r="F199">
        <v>14.716666666666667</v>
      </c>
    </row>
    <row r="200" spans="1:6" x14ac:dyDescent="0.25">
      <c r="A200" s="1">
        <v>38412</v>
      </c>
      <c r="B200" t="s">
        <v>16</v>
      </c>
      <c r="C200" t="s">
        <v>6</v>
      </c>
      <c r="D200">
        <v>32</v>
      </c>
      <c r="E200" s="2">
        <v>3.3090277777777781E-2</v>
      </c>
      <c r="F200">
        <v>47.65</v>
      </c>
    </row>
    <row r="201" spans="1:6" x14ac:dyDescent="0.25">
      <c r="A201" s="1">
        <v>38412</v>
      </c>
      <c r="B201" t="s">
        <v>16</v>
      </c>
      <c r="C201" t="s">
        <v>7</v>
      </c>
      <c r="D201">
        <v>28</v>
      </c>
      <c r="E201" s="2">
        <v>2.8946759259259259E-2</v>
      </c>
      <c r="F201">
        <v>41.68333333333333</v>
      </c>
    </row>
    <row r="202" spans="1:6" x14ac:dyDescent="0.25">
      <c r="A202" s="1">
        <v>38412</v>
      </c>
      <c r="B202" t="s">
        <v>16</v>
      </c>
      <c r="C202" t="s">
        <v>8</v>
      </c>
      <c r="D202">
        <v>18</v>
      </c>
      <c r="E202" s="2">
        <v>1.8842592592592591E-2</v>
      </c>
      <c r="F202">
        <v>27.133333333333333</v>
      </c>
    </row>
    <row r="203" spans="1:6" x14ac:dyDescent="0.25">
      <c r="A203" s="1">
        <v>38412</v>
      </c>
      <c r="B203" t="s">
        <v>16</v>
      </c>
      <c r="C203" t="s">
        <v>9</v>
      </c>
      <c r="D203">
        <v>3</v>
      </c>
      <c r="E203" s="2">
        <v>2.5115740740740741E-3</v>
      </c>
      <c r="F203">
        <v>3.6166666666666667</v>
      </c>
    </row>
    <row r="204" spans="1:6" x14ac:dyDescent="0.25">
      <c r="A204" s="1">
        <v>38412</v>
      </c>
      <c r="B204" t="s">
        <v>16</v>
      </c>
      <c r="C204" t="s">
        <v>10</v>
      </c>
      <c r="D204">
        <v>9</v>
      </c>
      <c r="E204" s="2">
        <v>7.2800925925925923E-3</v>
      </c>
      <c r="F204">
        <v>10.483333333333333</v>
      </c>
    </row>
    <row r="205" spans="1:6" x14ac:dyDescent="0.25">
      <c r="A205" s="1">
        <v>38412</v>
      </c>
      <c r="B205" t="s">
        <v>16</v>
      </c>
      <c r="C205" t="s">
        <v>11</v>
      </c>
      <c r="D205">
        <v>12</v>
      </c>
      <c r="E205" s="2">
        <v>8.6458333333333335E-3</v>
      </c>
      <c r="F205">
        <v>12.45</v>
      </c>
    </row>
    <row r="206" spans="1:6" x14ac:dyDescent="0.25">
      <c r="A206" s="1">
        <v>38412</v>
      </c>
      <c r="B206" t="s">
        <v>17</v>
      </c>
      <c r="C206" t="s">
        <v>6</v>
      </c>
      <c r="D206">
        <v>7</v>
      </c>
      <c r="E206" s="2">
        <v>7.5578703703703702E-3</v>
      </c>
      <c r="F206">
        <v>10.883333333333333</v>
      </c>
    </row>
    <row r="207" spans="1:6" x14ac:dyDescent="0.25">
      <c r="A207" s="1">
        <v>38412</v>
      </c>
      <c r="B207" t="s">
        <v>17</v>
      </c>
      <c r="C207" t="s">
        <v>7</v>
      </c>
      <c r="D207">
        <v>7</v>
      </c>
      <c r="E207" s="2">
        <v>8.86574074074074E-3</v>
      </c>
      <c r="F207">
        <v>12.766666666666667</v>
      </c>
    </row>
    <row r="208" spans="1:6" x14ac:dyDescent="0.25">
      <c r="A208" s="1">
        <v>38412</v>
      </c>
      <c r="B208" t="s">
        <v>17</v>
      </c>
      <c r="C208" t="s">
        <v>8</v>
      </c>
      <c r="D208">
        <v>1</v>
      </c>
      <c r="E208" s="2">
        <v>1.6898148148148148E-3</v>
      </c>
      <c r="F208">
        <v>2.4333333333333336</v>
      </c>
    </row>
    <row r="209" spans="1:6" x14ac:dyDescent="0.25">
      <c r="A209" s="1">
        <v>38412</v>
      </c>
      <c r="B209" t="s">
        <v>17</v>
      </c>
      <c r="C209" t="s">
        <v>9</v>
      </c>
      <c r="D209">
        <v>1</v>
      </c>
      <c r="E209" s="2">
        <v>3.3564814814814812E-4</v>
      </c>
      <c r="F209">
        <v>0.48333333333333334</v>
      </c>
    </row>
    <row r="210" spans="1:6" x14ac:dyDescent="0.25">
      <c r="A210" s="1">
        <v>38412</v>
      </c>
      <c r="B210" t="s">
        <v>17</v>
      </c>
      <c r="C210" t="s">
        <v>10</v>
      </c>
      <c r="D210">
        <v>3</v>
      </c>
      <c r="E210" s="2">
        <v>3.414351851851852E-3</v>
      </c>
      <c r="F210">
        <v>4.916666666666667</v>
      </c>
    </row>
    <row r="211" spans="1:6" x14ac:dyDescent="0.25">
      <c r="A211" s="1">
        <v>38412</v>
      </c>
      <c r="B211" t="s">
        <v>17</v>
      </c>
      <c r="C211" t="s">
        <v>11</v>
      </c>
      <c r="D211">
        <v>0</v>
      </c>
      <c r="E211" s="2">
        <v>0</v>
      </c>
      <c r="F211">
        <v>0</v>
      </c>
    </row>
    <row r="212" spans="1:6" x14ac:dyDescent="0.25">
      <c r="A212" s="1">
        <v>38412</v>
      </c>
      <c r="B212" t="s">
        <v>18</v>
      </c>
      <c r="C212" t="s">
        <v>6</v>
      </c>
      <c r="D212">
        <v>109</v>
      </c>
      <c r="E212" s="2">
        <v>0.12104166666666667</v>
      </c>
      <c r="F212">
        <v>174.3</v>
      </c>
    </row>
    <row r="213" spans="1:6" x14ac:dyDescent="0.25">
      <c r="A213" s="1">
        <v>38412</v>
      </c>
      <c r="B213" t="s">
        <v>18</v>
      </c>
      <c r="C213" t="s">
        <v>7</v>
      </c>
      <c r="D213">
        <v>140</v>
      </c>
      <c r="E213" s="2">
        <v>0.12934027777777779</v>
      </c>
      <c r="F213">
        <v>186.25</v>
      </c>
    </row>
    <row r="214" spans="1:6" x14ac:dyDescent="0.25">
      <c r="A214" s="1">
        <v>38412</v>
      </c>
      <c r="B214" t="s">
        <v>18</v>
      </c>
      <c r="C214" t="s">
        <v>8</v>
      </c>
      <c r="D214">
        <v>104</v>
      </c>
      <c r="E214" s="2">
        <v>0.11991898148148149</v>
      </c>
      <c r="F214">
        <v>172.68333333333334</v>
      </c>
    </row>
    <row r="215" spans="1:6" x14ac:dyDescent="0.25">
      <c r="A215" s="1">
        <v>38412</v>
      </c>
      <c r="B215" t="s">
        <v>18</v>
      </c>
      <c r="C215" t="s">
        <v>9</v>
      </c>
      <c r="D215">
        <v>30</v>
      </c>
      <c r="E215" s="2">
        <v>2.0810185185185185E-2</v>
      </c>
      <c r="F215">
        <v>29.966666666666665</v>
      </c>
    </row>
    <row r="216" spans="1:6" x14ac:dyDescent="0.25">
      <c r="A216" s="1">
        <v>38412</v>
      </c>
      <c r="B216" t="s">
        <v>18</v>
      </c>
      <c r="C216" t="s">
        <v>10</v>
      </c>
      <c r="D216">
        <v>189</v>
      </c>
      <c r="E216" s="2">
        <v>0.17760416666666667</v>
      </c>
      <c r="F216">
        <v>255.75</v>
      </c>
    </row>
    <row r="217" spans="1:6" x14ac:dyDescent="0.25">
      <c r="A217" s="1">
        <v>38412</v>
      </c>
      <c r="B217" t="s">
        <v>18</v>
      </c>
      <c r="C217" t="s">
        <v>11</v>
      </c>
      <c r="D217">
        <v>47</v>
      </c>
      <c r="E217" s="2">
        <v>2.7349537037037037E-2</v>
      </c>
      <c r="F217">
        <v>39.383333333333333</v>
      </c>
    </row>
    <row r="218" spans="1:6" x14ac:dyDescent="0.25">
      <c r="A218" s="1">
        <v>38412</v>
      </c>
      <c r="B218" t="s">
        <v>19</v>
      </c>
      <c r="C218" t="s">
        <v>6</v>
      </c>
      <c r="D218">
        <v>44</v>
      </c>
      <c r="E218" s="2">
        <v>4.3159722222222224E-2</v>
      </c>
      <c r="F218">
        <v>62.15</v>
      </c>
    </row>
    <row r="219" spans="1:6" x14ac:dyDescent="0.25">
      <c r="A219" s="1">
        <v>38412</v>
      </c>
      <c r="B219" t="s">
        <v>19</v>
      </c>
      <c r="C219" t="s">
        <v>7</v>
      </c>
      <c r="D219">
        <v>60</v>
      </c>
      <c r="E219" s="2">
        <v>6.9768518518518521E-2</v>
      </c>
      <c r="F219">
        <v>100.46666666666667</v>
      </c>
    </row>
    <row r="220" spans="1:6" x14ac:dyDescent="0.25">
      <c r="A220" s="1">
        <v>38412</v>
      </c>
      <c r="B220" t="s">
        <v>19</v>
      </c>
      <c r="C220" t="s">
        <v>8</v>
      </c>
      <c r="D220">
        <v>30</v>
      </c>
      <c r="E220" s="2">
        <v>4.2534722222222224E-2</v>
      </c>
      <c r="F220">
        <v>61.25</v>
      </c>
    </row>
    <row r="221" spans="1:6" x14ac:dyDescent="0.25">
      <c r="A221" s="1">
        <v>38412</v>
      </c>
      <c r="B221" t="s">
        <v>19</v>
      </c>
      <c r="C221" t="s">
        <v>9</v>
      </c>
      <c r="D221">
        <v>13</v>
      </c>
      <c r="E221" s="2">
        <v>1.0648148148148148E-2</v>
      </c>
      <c r="F221">
        <v>15.333333333333334</v>
      </c>
    </row>
    <row r="222" spans="1:6" x14ac:dyDescent="0.25">
      <c r="A222" s="1">
        <v>38412</v>
      </c>
      <c r="B222" t="s">
        <v>19</v>
      </c>
      <c r="C222" t="s">
        <v>10</v>
      </c>
      <c r="D222">
        <v>21</v>
      </c>
      <c r="E222" s="2">
        <v>1.4236111111111111E-2</v>
      </c>
      <c r="F222">
        <v>20.5</v>
      </c>
    </row>
    <row r="223" spans="1:6" x14ac:dyDescent="0.25">
      <c r="A223" s="1">
        <v>38412</v>
      </c>
      <c r="B223" t="s">
        <v>19</v>
      </c>
      <c r="C223" t="s">
        <v>11</v>
      </c>
      <c r="D223">
        <v>14</v>
      </c>
      <c r="E223" s="2">
        <v>1.0300925925925925E-2</v>
      </c>
      <c r="F223">
        <v>14.833333333333334</v>
      </c>
    </row>
    <row r="224" spans="1:6" x14ac:dyDescent="0.25">
      <c r="A224" s="1">
        <v>38412</v>
      </c>
      <c r="B224" t="s">
        <v>20</v>
      </c>
      <c r="C224" t="s">
        <v>6</v>
      </c>
      <c r="D224">
        <v>38</v>
      </c>
      <c r="E224" s="2">
        <v>3.709490740740741E-2</v>
      </c>
      <c r="F224">
        <v>53.416666666666664</v>
      </c>
    </row>
    <row r="225" spans="1:6" x14ac:dyDescent="0.25">
      <c r="A225" s="1">
        <v>38412</v>
      </c>
      <c r="B225" t="s">
        <v>20</v>
      </c>
      <c r="C225" t="s">
        <v>7</v>
      </c>
      <c r="D225">
        <v>22</v>
      </c>
      <c r="E225" s="2">
        <v>2.087962962962963E-2</v>
      </c>
      <c r="F225">
        <v>30.066666666666666</v>
      </c>
    </row>
    <row r="226" spans="1:6" x14ac:dyDescent="0.25">
      <c r="A226" s="1">
        <v>38412</v>
      </c>
      <c r="B226" t="s">
        <v>20</v>
      </c>
      <c r="C226" t="s">
        <v>8</v>
      </c>
      <c r="D226">
        <v>22</v>
      </c>
      <c r="E226" s="2">
        <v>2.2685185185185187E-2</v>
      </c>
      <c r="F226">
        <v>32.666666666666664</v>
      </c>
    </row>
    <row r="227" spans="1:6" x14ac:dyDescent="0.25">
      <c r="A227" s="1">
        <v>38412</v>
      </c>
      <c r="B227" t="s">
        <v>20</v>
      </c>
      <c r="C227" t="s">
        <v>9</v>
      </c>
      <c r="D227">
        <v>5</v>
      </c>
      <c r="E227" s="2">
        <v>4.7106481481481478E-3</v>
      </c>
      <c r="F227">
        <v>6.7833333333333332</v>
      </c>
    </row>
    <row r="228" spans="1:6" x14ac:dyDescent="0.25">
      <c r="A228" s="1">
        <v>38412</v>
      </c>
      <c r="B228" t="s">
        <v>20</v>
      </c>
      <c r="C228" t="s">
        <v>10</v>
      </c>
      <c r="D228">
        <v>5</v>
      </c>
      <c r="E228" s="2">
        <v>5.185185185185185E-3</v>
      </c>
      <c r="F228">
        <v>7.4666666666666668</v>
      </c>
    </row>
    <row r="229" spans="1:6" x14ac:dyDescent="0.25">
      <c r="A229" s="1">
        <v>38412</v>
      </c>
      <c r="B229" t="s">
        <v>20</v>
      </c>
      <c r="C229" t="s">
        <v>11</v>
      </c>
      <c r="D229">
        <v>12</v>
      </c>
      <c r="E229" s="2">
        <v>4.9884259259259257E-3</v>
      </c>
      <c r="F229">
        <v>7.1833333333333336</v>
      </c>
    </row>
    <row r="230" spans="1:6" x14ac:dyDescent="0.25">
      <c r="A230" s="1">
        <v>38412</v>
      </c>
      <c r="B230" t="s">
        <v>21</v>
      </c>
      <c r="C230" t="s">
        <v>6</v>
      </c>
      <c r="D230">
        <v>69</v>
      </c>
      <c r="E230" s="2">
        <v>7.6921296296296293E-2</v>
      </c>
      <c r="F230">
        <v>110.76666666666667</v>
      </c>
    </row>
    <row r="231" spans="1:6" x14ac:dyDescent="0.25">
      <c r="A231" s="1">
        <v>38412</v>
      </c>
      <c r="B231" t="s">
        <v>21</v>
      </c>
      <c r="C231" t="s">
        <v>7</v>
      </c>
      <c r="D231">
        <v>75</v>
      </c>
      <c r="E231" s="2">
        <v>9.2766203703703698E-2</v>
      </c>
      <c r="F231">
        <v>133.58333333333334</v>
      </c>
    </row>
    <row r="232" spans="1:6" x14ac:dyDescent="0.25">
      <c r="A232" s="1">
        <v>38412</v>
      </c>
      <c r="B232" t="s">
        <v>21</v>
      </c>
      <c r="C232" t="s">
        <v>8</v>
      </c>
      <c r="D232">
        <v>44</v>
      </c>
      <c r="E232" s="2">
        <v>5.108796296296296E-2</v>
      </c>
      <c r="F232">
        <v>73.566666666666663</v>
      </c>
    </row>
    <row r="233" spans="1:6" x14ac:dyDescent="0.25">
      <c r="A233" s="1">
        <v>38412</v>
      </c>
      <c r="B233" t="s">
        <v>21</v>
      </c>
      <c r="C233" t="s">
        <v>9</v>
      </c>
      <c r="D233">
        <v>14</v>
      </c>
      <c r="E233" s="2">
        <v>1.21875E-2</v>
      </c>
      <c r="F233">
        <v>17.55</v>
      </c>
    </row>
    <row r="234" spans="1:6" x14ac:dyDescent="0.25">
      <c r="A234" s="1">
        <v>38412</v>
      </c>
      <c r="B234" t="s">
        <v>21</v>
      </c>
      <c r="C234" t="s">
        <v>10</v>
      </c>
      <c r="D234">
        <v>19</v>
      </c>
      <c r="E234" s="2">
        <v>1.7187500000000001E-2</v>
      </c>
      <c r="F234">
        <v>24.75</v>
      </c>
    </row>
    <row r="235" spans="1:6" x14ac:dyDescent="0.25">
      <c r="A235" s="1">
        <v>38412</v>
      </c>
      <c r="B235" t="s">
        <v>21</v>
      </c>
      <c r="C235" t="s">
        <v>11</v>
      </c>
      <c r="D235">
        <v>40</v>
      </c>
      <c r="E235" s="2">
        <v>2.7129629629629629E-2</v>
      </c>
      <c r="F235">
        <v>39.06666666666667</v>
      </c>
    </row>
    <row r="236" spans="1:6" x14ac:dyDescent="0.25">
      <c r="A236" s="1">
        <v>38412</v>
      </c>
      <c r="B236" t="s">
        <v>22</v>
      </c>
      <c r="C236" t="s">
        <v>6</v>
      </c>
      <c r="D236">
        <v>29</v>
      </c>
      <c r="E236" s="2">
        <v>2.8576388888888887E-2</v>
      </c>
      <c r="F236">
        <v>41.15</v>
      </c>
    </row>
    <row r="237" spans="1:6" x14ac:dyDescent="0.25">
      <c r="A237" s="1">
        <v>38412</v>
      </c>
      <c r="B237" t="s">
        <v>22</v>
      </c>
      <c r="C237" t="s">
        <v>7</v>
      </c>
      <c r="D237">
        <v>27</v>
      </c>
      <c r="E237" s="2">
        <v>2.9363425925925925E-2</v>
      </c>
      <c r="F237">
        <v>42.283333333333331</v>
      </c>
    </row>
    <row r="238" spans="1:6" x14ac:dyDescent="0.25">
      <c r="A238" s="1">
        <v>38412</v>
      </c>
      <c r="B238" t="s">
        <v>22</v>
      </c>
      <c r="C238" t="s">
        <v>8</v>
      </c>
      <c r="D238">
        <v>8</v>
      </c>
      <c r="E238" s="2">
        <v>1.1041666666666667E-2</v>
      </c>
      <c r="F238">
        <v>15.9</v>
      </c>
    </row>
    <row r="239" spans="1:6" x14ac:dyDescent="0.25">
      <c r="A239" s="1">
        <v>38412</v>
      </c>
      <c r="B239" t="s">
        <v>22</v>
      </c>
      <c r="C239" t="s">
        <v>9</v>
      </c>
      <c r="D239">
        <v>3</v>
      </c>
      <c r="E239" s="2">
        <v>2.2453703703703702E-3</v>
      </c>
      <c r="F239">
        <v>3.2333333333333334</v>
      </c>
    </row>
    <row r="240" spans="1:6" x14ac:dyDescent="0.25">
      <c r="A240" s="1">
        <v>38412</v>
      </c>
      <c r="B240" t="s">
        <v>22</v>
      </c>
      <c r="C240" t="s">
        <v>10</v>
      </c>
      <c r="D240">
        <v>3</v>
      </c>
      <c r="E240" s="2">
        <v>4.4791666666666669E-3</v>
      </c>
      <c r="F240">
        <v>6.45</v>
      </c>
    </row>
    <row r="241" spans="1:6" x14ac:dyDescent="0.25">
      <c r="A241" s="1">
        <v>38412</v>
      </c>
      <c r="B241" t="s">
        <v>22</v>
      </c>
      <c r="C241" t="s">
        <v>11</v>
      </c>
      <c r="D241">
        <v>6</v>
      </c>
      <c r="E241" s="2">
        <v>4.0277777777777777E-3</v>
      </c>
      <c r="F241">
        <v>5.8</v>
      </c>
    </row>
    <row r="242" spans="1:6" x14ac:dyDescent="0.25">
      <c r="A242" s="1">
        <v>38412</v>
      </c>
      <c r="B242" t="s">
        <v>23</v>
      </c>
      <c r="C242" t="s">
        <v>6</v>
      </c>
      <c r="D242">
        <v>217</v>
      </c>
      <c r="E242" s="2">
        <v>0.24579861111111112</v>
      </c>
      <c r="F242">
        <v>353.95</v>
      </c>
    </row>
    <row r="243" spans="1:6" x14ac:dyDescent="0.25">
      <c r="A243" s="1">
        <v>38412</v>
      </c>
      <c r="B243" t="s">
        <v>23</v>
      </c>
      <c r="C243" t="s">
        <v>7</v>
      </c>
      <c r="D243">
        <v>187</v>
      </c>
      <c r="E243" s="2">
        <v>0.18616898148148148</v>
      </c>
      <c r="F243">
        <v>268.08333333333331</v>
      </c>
    </row>
    <row r="244" spans="1:6" x14ac:dyDescent="0.25">
      <c r="A244" s="1">
        <v>38412</v>
      </c>
      <c r="B244" t="s">
        <v>23</v>
      </c>
      <c r="C244" t="s">
        <v>8</v>
      </c>
      <c r="D244">
        <v>89</v>
      </c>
      <c r="E244" s="2">
        <v>0.11561342592592593</v>
      </c>
      <c r="F244">
        <v>166.48333333333332</v>
      </c>
    </row>
    <row r="245" spans="1:6" x14ac:dyDescent="0.25">
      <c r="A245" s="1">
        <v>38412</v>
      </c>
      <c r="B245" t="s">
        <v>23</v>
      </c>
      <c r="C245" t="s">
        <v>9</v>
      </c>
      <c r="D245">
        <v>34</v>
      </c>
      <c r="E245" s="2">
        <v>2.2476851851851852E-2</v>
      </c>
      <c r="F245">
        <v>32.366666666666667</v>
      </c>
    </row>
    <row r="246" spans="1:6" x14ac:dyDescent="0.25">
      <c r="A246" s="1">
        <v>38412</v>
      </c>
      <c r="B246" t="s">
        <v>23</v>
      </c>
      <c r="C246" t="s">
        <v>10</v>
      </c>
      <c r="D246">
        <v>39</v>
      </c>
      <c r="E246" s="2">
        <v>3.3935185185185186E-2</v>
      </c>
      <c r="F246">
        <v>48.866666666666667</v>
      </c>
    </row>
    <row r="247" spans="1:6" x14ac:dyDescent="0.25">
      <c r="A247" s="1">
        <v>38412</v>
      </c>
      <c r="B247" t="s">
        <v>23</v>
      </c>
      <c r="C247" t="s">
        <v>11</v>
      </c>
      <c r="D247">
        <v>78</v>
      </c>
      <c r="E247" s="2">
        <v>6.2152777777777779E-2</v>
      </c>
      <c r="F247">
        <v>89.5</v>
      </c>
    </row>
    <row r="248" spans="1:6" x14ac:dyDescent="0.25">
      <c r="A248" s="1">
        <v>38412</v>
      </c>
      <c r="B248" t="s">
        <v>24</v>
      </c>
      <c r="C248" t="s">
        <v>6</v>
      </c>
      <c r="D248">
        <v>55</v>
      </c>
      <c r="E248" s="2">
        <v>5.0405092592592592E-2</v>
      </c>
      <c r="F248">
        <v>72.583333333333329</v>
      </c>
    </row>
    <row r="249" spans="1:6" x14ac:dyDescent="0.25">
      <c r="A249" s="1">
        <v>38412</v>
      </c>
      <c r="B249" t="s">
        <v>24</v>
      </c>
      <c r="C249" t="s">
        <v>7</v>
      </c>
      <c r="D249">
        <v>63</v>
      </c>
      <c r="E249" s="2">
        <v>5.5347222222222221E-2</v>
      </c>
      <c r="F249">
        <v>79.7</v>
      </c>
    </row>
    <row r="250" spans="1:6" x14ac:dyDescent="0.25">
      <c r="A250" s="1">
        <v>38412</v>
      </c>
      <c r="B250" t="s">
        <v>24</v>
      </c>
      <c r="C250" t="s">
        <v>8</v>
      </c>
      <c r="D250">
        <v>31</v>
      </c>
      <c r="E250" s="2">
        <v>3.125E-2</v>
      </c>
      <c r="F250">
        <v>45</v>
      </c>
    </row>
    <row r="251" spans="1:6" x14ac:dyDescent="0.25">
      <c r="A251" s="1">
        <v>38412</v>
      </c>
      <c r="B251" t="s">
        <v>24</v>
      </c>
      <c r="C251" t="s">
        <v>9</v>
      </c>
      <c r="D251">
        <v>15</v>
      </c>
      <c r="E251" s="2">
        <v>1.0162037037037037E-2</v>
      </c>
      <c r="F251">
        <v>14.633333333333333</v>
      </c>
    </row>
    <row r="252" spans="1:6" x14ac:dyDescent="0.25">
      <c r="A252" s="1">
        <v>38412</v>
      </c>
      <c r="B252" t="s">
        <v>24</v>
      </c>
      <c r="C252" t="s">
        <v>10</v>
      </c>
      <c r="D252">
        <v>1</v>
      </c>
      <c r="E252" s="2">
        <v>3.4722222222222224E-4</v>
      </c>
      <c r="F252">
        <v>0.5</v>
      </c>
    </row>
    <row r="253" spans="1:6" x14ac:dyDescent="0.25">
      <c r="A253" s="1">
        <v>38412</v>
      </c>
      <c r="B253" t="s">
        <v>24</v>
      </c>
      <c r="C253" t="s">
        <v>11</v>
      </c>
      <c r="D253">
        <v>46</v>
      </c>
      <c r="E253" s="2">
        <v>2.71875E-2</v>
      </c>
      <c r="F253">
        <v>39.15</v>
      </c>
    </row>
    <row r="254" spans="1:6" x14ac:dyDescent="0.25">
      <c r="A254" s="1">
        <v>38443</v>
      </c>
      <c r="B254" t="s">
        <v>5</v>
      </c>
      <c r="C254" t="s">
        <v>6</v>
      </c>
      <c r="D254">
        <v>16</v>
      </c>
      <c r="E254" s="2">
        <v>1.5972222222222221E-2</v>
      </c>
      <c r="F254">
        <v>23</v>
      </c>
    </row>
    <row r="255" spans="1:6" x14ac:dyDescent="0.25">
      <c r="A255" s="1">
        <v>38443</v>
      </c>
      <c r="B255" t="s">
        <v>5</v>
      </c>
      <c r="C255" t="s">
        <v>7</v>
      </c>
      <c r="D255">
        <v>17</v>
      </c>
      <c r="E255" s="2">
        <v>2.1597222222222223E-2</v>
      </c>
      <c r="F255">
        <v>31.1</v>
      </c>
    </row>
    <row r="256" spans="1:6" x14ac:dyDescent="0.25">
      <c r="A256" s="1">
        <v>38443</v>
      </c>
      <c r="B256" t="s">
        <v>5</v>
      </c>
      <c r="C256" t="s">
        <v>8</v>
      </c>
      <c r="D256">
        <v>7</v>
      </c>
      <c r="E256" s="2">
        <v>5.6828703703703702E-3</v>
      </c>
      <c r="F256">
        <v>8.1833333333333336</v>
      </c>
    </row>
    <row r="257" spans="1:6" x14ac:dyDescent="0.25">
      <c r="A257" s="1">
        <v>38443</v>
      </c>
      <c r="B257" t="s">
        <v>5</v>
      </c>
      <c r="C257" t="s">
        <v>9</v>
      </c>
      <c r="D257">
        <v>1</v>
      </c>
      <c r="E257" s="2">
        <v>9.0277777777777774E-4</v>
      </c>
      <c r="F257">
        <v>1.3</v>
      </c>
    </row>
    <row r="258" spans="1:6" x14ac:dyDescent="0.25">
      <c r="A258" s="1">
        <v>38443</v>
      </c>
      <c r="B258" t="s">
        <v>5</v>
      </c>
      <c r="C258" t="s">
        <v>10</v>
      </c>
      <c r="D258">
        <v>2</v>
      </c>
      <c r="E258" s="2">
        <v>4.7453703703703704E-4</v>
      </c>
      <c r="F258">
        <v>0.68333333333333335</v>
      </c>
    </row>
    <row r="259" spans="1:6" x14ac:dyDescent="0.25">
      <c r="A259" s="1">
        <v>38443</v>
      </c>
      <c r="B259" t="s">
        <v>5</v>
      </c>
      <c r="C259" t="s">
        <v>11</v>
      </c>
      <c r="D259">
        <v>7</v>
      </c>
      <c r="E259" s="2">
        <v>5.8680555555555552E-3</v>
      </c>
      <c r="F259">
        <v>8.4499999999999993</v>
      </c>
    </row>
    <row r="260" spans="1:6" x14ac:dyDescent="0.25">
      <c r="A260" s="1">
        <v>38443</v>
      </c>
      <c r="B260" t="s">
        <v>12</v>
      </c>
      <c r="C260" t="s">
        <v>6</v>
      </c>
      <c r="D260">
        <v>28</v>
      </c>
      <c r="E260" s="2">
        <v>3.30787037037037E-2</v>
      </c>
      <c r="F260">
        <v>47.633333333333333</v>
      </c>
    </row>
    <row r="261" spans="1:6" x14ac:dyDescent="0.25">
      <c r="A261" s="1">
        <v>38443</v>
      </c>
      <c r="B261" t="s">
        <v>12</v>
      </c>
      <c r="C261" t="s">
        <v>7</v>
      </c>
      <c r="D261">
        <v>46</v>
      </c>
      <c r="E261" s="2">
        <v>6.582175925925926E-2</v>
      </c>
      <c r="F261">
        <v>94.783333333333331</v>
      </c>
    </row>
    <row r="262" spans="1:6" x14ac:dyDescent="0.25">
      <c r="A262" s="1">
        <v>38443</v>
      </c>
      <c r="B262" t="s">
        <v>12</v>
      </c>
      <c r="C262" t="s">
        <v>8</v>
      </c>
      <c r="D262">
        <v>21</v>
      </c>
      <c r="E262" s="2">
        <v>3.1828703703703706E-2</v>
      </c>
      <c r="F262">
        <v>45.833333333333336</v>
      </c>
    </row>
    <row r="263" spans="1:6" x14ac:dyDescent="0.25">
      <c r="A263" s="1">
        <v>38443</v>
      </c>
      <c r="B263" t="s">
        <v>12</v>
      </c>
      <c r="C263" t="s">
        <v>9</v>
      </c>
      <c r="D263">
        <v>8</v>
      </c>
      <c r="E263" s="2">
        <v>3.5416666666666665E-3</v>
      </c>
      <c r="F263">
        <v>5.0999999999999996</v>
      </c>
    </row>
    <row r="264" spans="1:6" x14ac:dyDescent="0.25">
      <c r="A264" s="1">
        <v>38443</v>
      </c>
      <c r="B264" t="s">
        <v>12</v>
      </c>
      <c r="C264" t="s">
        <v>10</v>
      </c>
      <c r="D264">
        <v>1</v>
      </c>
      <c r="E264" s="2">
        <v>2.4305555555555555E-4</v>
      </c>
      <c r="F264">
        <v>0.35</v>
      </c>
    </row>
    <row r="265" spans="1:6" x14ac:dyDescent="0.25">
      <c r="A265" s="1">
        <v>38443</v>
      </c>
      <c r="B265" t="s">
        <v>12</v>
      </c>
      <c r="C265" t="s">
        <v>11</v>
      </c>
      <c r="D265">
        <v>20</v>
      </c>
      <c r="E265" s="2">
        <v>2.2222222222222223E-2</v>
      </c>
      <c r="F265">
        <v>32</v>
      </c>
    </row>
    <row r="266" spans="1:6" x14ac:dyDescent="0.25">
      <c r="A266" s="1">
        <v>38443</v>
      </c>
      <c r="B266" t="s">
        <v>13</v>
      </c>
      <c r="C266" t="s">
        <v>6</v>
      </c>
      <c r="D266">
        <v>57</v>
      </c>
      <c r="E266" s="2">
        <v>6.0138888888888888E-2</v>
      </c>
      <c r="F266">
        <v>86.6</v>
      </c>
    </row>
    <row r="267" spans="1:6" x14ac:dyDescent="0.25">
      <c r="A267" s="1">
        <v>38443</v>
      </c>
      <c r="B267" t="s">
        <v>13</v>
      </c>
      <c r="C267" t="s">
        <v>7</v>
      </c>
      <c r="D267">
        <v>38</v>
      </c>
      <c r="E267" s="2">
        <v>4.71875E-2</v>
      </c>
      <c r="F267">
        <v>67.95</v>
      </c>
    </row>
    <row r="268" spans="1:6" x14ac:dyDescent="0.25">
      <c r="A268" s="1">
        <v>38443</v>
      </c>
      <c r="B268" t="s">
        <v>13</v>
      </c>
      <c r="C268" t="s">
        <v>8</v>
      </c>
      <c r="D268">
        <v>20</v>
      </c>
      <c r="E268" s="2">
        <v>2.9050925925925924E-2</v>
      </c>
      <c r="F268">
        <v>41.833333333333336</v>
      </c>
    </row>
    <row r="269" spans="1:6" x14ac:dyDescent="0.25">
      <c r="A269" s="1">
        <v>38443</v>
      </c>
      <c r="B269" t="s">
        <v>13</v>
      </c>
      <c r="C269" t="s">
        <v>9</v>
      </c>
      <c r="D269">
        <v>11</v>
      </c>
      <c r="E269" s="2">
        <v>6.3194444444444444E-3</v>
      </c>
      <c r="F269">
        <v>9.1</v>
      </c>
    </row>
    <row r="270" spans="1:6" x14ac:dyDescent="0.25">
      <c r="A270" s="1">
        <v>38443</v>
      </c>
      <c r="B270" t="s">
        <v>13</v>
      </c>
      <c r="C270" t="s">
        <v>10</v>
      </c>
      <c r="D270">
        <v>17</v>
      </c>
      <c r="E270" s="2">
        <v>1.6701388888888891E-2</v>
      </c>
      <c r="F270">
        <v>24.05</v>
      </c>
    </row>
    <row r="271" spans="1:6" x14ac:dyDescent="0.25">
      <c r="A271" s="1">
        <v>38443</v>
      </c>
      <c r="B271" t="s">
        <v>13</v>
      </c>
      <c r="C271" t="s">
        <v>11</v>
      </c>
      <c r="D271">
        <v>12</v>
      </c>
      <c r="E271" s="2">
        <v>9.1782407407407403E-3</v>
      </c>
      <c r="F271">
        <v>13.216666666666667</v>
      </c>
    </row>
    <row r="272" spans="1:6" x14ac:dyDescent="0.25">
      <c r="A272" s="1">
        <v>38443</v>
      </c>
      <c r="B272" t="s">
        <v>14</v>
      </c>
      <c r="C272" t="s">
        <v>6</v>
      </c>
      <c r="D272">
        <v>12</v>
      </c>
      <c r="E272" s="2">
        <v>1.2418981481481482E-2</v>
      </c>
      <c r="F272">
        <v>17.883333333333333</v>
      </c>
    </row>
    <row r="273" spans="1:6" x14ac:dyDescent="0.25">
      <c r="A273" s="1">
        <v>38443</v>
      </c>
      <c r="B273" t="s">
        <v>14</v>
      </c>
      <c r="C273" t="s">
        <v>7</v>
      </c>
      <c r="D273">
        <v>13</v>
      </c>
      <c r="E273" s="2">
        <v>1.5196759259259259E-2</v>
      </c>
      <c r="F273">
        <v>21.883333333333333</v>
      </c>
    </row>
    <row r="274" spans="1:6" x14ac:dyDescent="0.25">
      <c r="A274" s="1">
        <v>38443</v>
      </c>
      <c r="B274" t="s">
        <v>14</v>
      </c>
      <c r="C274" t="s">
        <v>8</v>
      </c>
      <c r="D274">
        <v>7</v>
      </c>
      <c r="E274" s="2">
        <v>7.2106481481481483E-3</v>
      </c>
      <c r="F274">
        <v>10.383333333333333</v>
      </c>
    </row>
    <row r="275" spans="1:6" x14ac:dyDescent="0.25">
      <c r="A275" s="1">
        <v>38443</v>
      </c>
      <c r="B275" t="s">
        <v>14</v>
      </c>
      <c r="C275" t="s">
        <v>9</v>
      </c>
      <c r="D275">
        <v>2</v>
      </c>
      <c r="E275" s="2">
        <v>5.7870370370370367E-4</v>
      </c>
      <c r="F275">
        <v>0.83333333333333337</v>
      </c>
    </row>
    <row r="276" spans="1:6" x14ac:dyDescent="0.25">
      <c r="A276" s="1">
        <v>38443</v>
      </c>
      <c r="B276" t="s">
        <v>14</v>
      </c>
      <c r="C276" t="s">
        <v>10</v>
      </c>
      <c r="D276">
        <v>2</v>
      </c>
      <c r="E276" s="2">
        <v>4.9768518518518521E-4</v>
      </c>
      <c r="F276">
        <v>0.71666666666666667</v>
      </c>
    </row>
    <row r="277" spans="1:6" x14ac:dyDescent="0.25">
      <c r="A277" s="1">
        <v>38443</v>
      </c>
      <c r="B277" t="s">
        <v>14</v>
      </c>
      <c r="C277" t="s">
        <v>11</v>
      </c>
      <c r="D277">
        <v>7</v>
      </c>
      <c r="E277" s="2">
        <v>2.638888888888889E-3</v>
      </c>
      <c r="F277">
        <v>3.8</v>
      </c>
    </row>
    <row r="278" spans="1:6" x14ac:dyDescent="0.25">
      <c r="A278" s="1">
        <v>38443</v>
      </c>
      <c r="B278" t="s">
        <v>15</v>
      </c>
      <c r="C278" t="s">
        <v>6</v>
      </c>
      <c r="D278">
        <v>30</v>
      </c>
      <c r="E278" s="2">
        <v>3.1851851851851853E-2</v>
      </c>
      <c r="F278">
        <v>45.866666666666667</v>
      </c>
    </row>
    <row r="279" spans="1:6" x14ac:dyDescent="0.25">
      <c r="A279" s="1">
        <v>38443</v>
      </c>
      <c r="B279" t="s">
        <v>15</v>
      </c>
      <c r="C279" t="s">
        <v>7</v>
      </c>
      <c r="D279">
        <v>11</v>
      </c>
      <c r="E279" s="2">
        <v>1.4444444444444444E-2</v>
      </c>
      <c r="F279">
        <v>20.8</v>
      </c>
    </row>
    <row r="280" spans="1:6" x14ac:dyDescent="0.25">
      <c r="A280" s="1">
        <v>38443</v>
      </c>
      <c r="B280" t="s">
        <v>15</v>
      </c>
      <c r="C280" t="s">
        <v>8</v>
      </c>
      <c r="D280">
        <v>6</v>
      </c>
      <c r="E280" s="2">
        <v>4.0625000000000001E-3</v>
      </c>
      <c r="F280">
        <v>5.85</v>
      </c>
    </row>
    <row r="281" spans="1:6" x14ac:dyDescent="0.25">
      <c r="A281" s="1">
        <v>38443</v>
      </c>
      <c r="B281" t="s">
        <v>15</v>
      </c>
      <c r="C281" t="s">
        <v>9</v>
      </c>
      <c r="D281">
        <v>1</v>
      </c>
      <c r="E281" s="2">
        <v>1.8518518518518518E-4</v>
      </c>
      <c r="F281">
        <v>0.26666666666666666</v>
      </c>
    </row>
    <row r="282" spans="1:6" x14ac:dyDescent="0.25">
      <c r="A282" s="1">
        <v>38443</v>
      </c>
      <c r="B282" t="s">
        <v>15</v>
      </c>
      <c r="C282" t="s">
        <v>10</v>
      </c>
      <c r="D282">
        <v>1</v>
      </c>
      <c r="E282" s="2">
        <v>2.4305555555555555E-4</v>
      </c>
      <c r="F282">
        <v>0.35</v>
      </c>
    </row>
    <row r="283" spans="1:6" x14ac:dyDescent="0.25">
      <c r="A283" s="1">
        <v>38443</v>
      </c>
      <c r="B283" t="s">
        <v>15</v>
      </c>
      <c r="C283" t="s">
        <v>11</v>
      </c>
      <c r="D283">
        <v>10</v>
      </c>
      <c r="E283" s="2">
        <v>6.8402777777777776E-3</v>
      </c>
      <c r="F283">
        <v>9.85</v>
      </c>
    </row>
    <row r="284" spans="1:6" x14ac:dyDescent="0.25">
      <c r="A284" s="1">
        <v>38443</v>
      </c>
      <c r="B284" t="s">
        <v>16</v>
      </c>
      <c r="C284" t="s">
        <v>6</v>
      </c>
      <c r="D284">
        <v>20</v>
      </c>
      <c r="E284" s="2">
        <v>2.1261574074074075E-2</v>
      </c>
      <c r="F284">
        <v>30.616666666666667</v>
      </c>
    </row>
    <row r="285" spans="1:6" x14ac:dyDescent="0.25">
      <c r="A285" s="1">
        <v>38443</v>
      </c>
      <c r="B285" t="s">
        <v>16</v>
      </c>
      <c r="C285" t="s">
        <v>7</v>
      </c>
      <c r="D285">
        <v>19</v>
      </c>
      <c r="E285" s="2">
        <v>1.7835648148148149E-2</v>
      </c>
      <c r="F285">
        <v>25.683333333333334</v>
      </c>
    </row>
    <row r="286" spans="1:6" x14ac:dyDescent="0.25">
      <c r="A286" s="1">
        <v>38443</v>
      </c>
      <c r="B286" t="s">
        <v>16</v>
      </c>
      <c r="C286" t="s">
        <v>8</v>
      </c>
      <c r="D286">
        <v>15</v>
      </c>
      <c r="E286" s="2">
        <v>1.7175925925925924E-2</v>
      </c>
      <c r="F286">
        <v>24.733333333333334</v>
      </c>
    </row>
    <row r="287" spans="1:6" x14ac:dyDescent="0.25">
      <c r="A287" s="1">
        <v>38443</v>
      </c>
      <c r="B287" t="s">
        <v>16</v>
      </c>
      <c r="C287" t="s">
        <v>9</v>
      </c>
      <c r="D287">
        <v>4</v>
      </c>
      <c r="E287" s="2">
        <v>2.1643518518518518E-3</v>
      </c>
      <c r="F287">
        <v>3.1166666666666667</v>
      </c>
    </row>
    <row r="288" spans="1:6" x14ac:dyDescent="0.25">
      <c r="A288" s="1">
        <v>38443</v>
      </c>
      <c r="B288" t="s">
        <v>16</v>
      </c>
      <c r="C288" t="s">
        <v>10</v>
      </c>
      <c r="D288">
        <v>4</v>
      </c>
      <c r="E288" s="2">
        <v>1.9560185185185184E-3</v>
      </c>
      <c r="F288">
        <v>2.8166666666666664</v>
      </c>
    </row>
    <row r="289" spans="1:6" x14ac:dyDescent="0.25">
      <c r="A289" s="1">
        <v>38443</v>
      </c>
      <c r="B289" t="s">
        <v>16</v>
      </c>
      <c r="C289" t="s">
        <v>11</v>
      </c>
      <c r="D289">
        <v>8</v>
      </c>
      <c r="E289" s="2">
        <v>5.5902777777777773E-3</v>
      </c>
      <c r="F289">
        <v>8.0500000000000007</v>
      </c>
    </row>
    <row r="290" spans="1:6" x14ac:dyDescent="0.25">
      <c r="A290" s="1">
        <v>38443</v>
      </c>
      <c r="B290" t="s">
        <v>17</v>
      </c>
      <c r="C290" t="s">
        <v>6</v>
      </c>
      <c r="D290">
        <v>34</v>
      </c>
      <c r="E290" s="2">
        <v>3.815972222222222E-2</v>
      </c>
      <c r="F290">
        <v>54.95</v>
      </c>
    </row>
    <row r="291" spans="1:6" x14ac:dyDescent="0.25">
      <c r="A291" s="1">
        <v>38443</v>
      </c>
      <c r="B291" t="s">
        <v>17</v>
      </c>
      <c r="C291" t="s">
        <v>7</v>
      </c>
      <c r="D291">
        <v>34</v>
      </c>
      <c r="E291" s="2">
        <v>4.0324074074074075E-2</v>
      </c>
      <c r="F291">
        <v>58.06666666666667</v>
      </c>
    </row>
    <row r="292" spans="1:6" x14ac:dyDescent="0.25">
      <c r="A292" s="1">
        <v>38443</v>
      </c>
      <c r="B292" t="s">
        <v>17</v>
      </c>
      <c r="C292" t="s">
        <v>8</v>
      </c>
      <c r="D292">
        <v>19</v>
      </c>
      <c r="E292" s="2">
        <v>2.0532407407407409E-2</v>
      </c>
      <c r="F292">
        <v>29.566666666666666</v>
      </c>
    </row>
    <row r="293" spans="1:6" x14ac:dyDescent="0.25">
      <c r="A293" s="1">
        <v>38443</v>
      </c>
      <c r="B293" t="s">
        <v>17</v>
      </c>
      <c r="C293" t="s">
        <v>9</v>
      </c>
      <c r="D293">
        <v>6</v>
      </c>
      <c r="E293" s="2">
        <v>3.6458333333333334E-3</v>
      </c>
      <c r="F293">
        <v>5.25</v>
      </c>
    </row>
    <row r="294" spans="1:6" x14ac:dyDescent="0.25">
      <c r="A294" s="1">
        <v>38443</v>
      </c>
      <c r="B294" t="s">
        <v>17</v>
      </c>
      <c r="C294" t="s">
        <v>10</v>
      </c>
      <c r="D294">
        <v>13</v>
      </c>
      <c r="E294" s="2">
        <v>1.2858796296296297E-2</v>
      </c>
      <c r="F294">
        <v>18.516666666666666</v>
      </c>
    </row>
    <row r="295" spans="1:6" x14ac:dyDescent="0.25">
      <c r="A295" s="1">
        <v>38443</v>
      </c>
      <c r="B295" t="s">
        <v>17</v>
      </c>
      <c r="C295" t="s">
        <v>11</v>
      </c>
      <c r="D295">
        <v>14</v>
      </c>
      <c r="E295" s="2">
        <v>1.4872685185185185E-2</v>
      </c>
      <c r="F295">
        <v>21.416666666666668</v>
      </c>
    </row>
    <row r="296" spans="1:6" x14ac:dyDescent="0.25">
      <c r="A296" s="1">
        <v>38443</v>
      </c>
      <c r="B296" t="s">
        <v>18</v>
      </c>
      <c r="C296" t="s">
        <v>6</v>
      </c>
      <c r="D296">
        <v>74</v>
      </c>
      <c r="E296" s="2">
        <v>7.0381944444444441E-2</v>
      </c>
      <c r="F296">
        <v>101.35</v>
      </c>
    </row>
    <row r="297" spans="1:6" x14ac:dyDescent="0.25">
      <c r="A297" s="1">
        <v>38443</v>
      </c>
      <c r="B297" t="s">
        <v>18</v>
      </c>
      <c r="C297" t="s">
        <v>7</v>
      </c>
      <c r="D297">
        <v>82</v>
      </c>
      <c r="E297" s="2">
        <v>7.480324074074074E-2</v>
      </c>
      <c r="F297">
        <v>107.71666666666667</v>
      </c>
    </row>
    <row r="298" spans="1:6" x14ac:dyDescent="0.25">
      <c r="A298" s="1">
        <v>38443</v>
      </c>
      <c r="B298" t="s">
        <v>18</v>
      </c>
      <c r="C298" t="s">
        <v>8</v>
      </c>
      <c r="D298">
        <v>66</v>
      </c>
      <c r="E298" s="2">
        <v>7.0810185185185184E-2</v>
      </c>
      <c r="F298">
        <v>101.96666666666667</v>
      </c>
    </row>
    <row r="299" spans="1:6" x14ac:dyDescent="0.25">
      <c r="A299" s="1">
        <v>38443</v>
      </c>
      <c r="B299" t="s">
        <v>18</v>
      </c>
      <c r="C299" t="s">
        <v>9</v>
      </c>
      <c r="D299">
        <v>16</v>
      </c>
      <c r="E299" s="2">
        <v>9.8495370370370369E-3</v>
      </c>
      <c r="F299">
        <v>14.183333333333334</v>
      </c>
    </row>
    <row r="300" spans="1:6" x14ac:dyDescent="0.25">
      <c r="A300" s="1">
        <v>38443</v>
      </c>
      <c r="B300" t="s">
        <v>18</v>
      </c>
      <c r="C300" t="s">
        <v>10</v>
      </c>
      <c r="D300">
        <v>130</v>
      </c>
      <c r="E300" s="2">
        <v>0.11024305555555555</v>
      </c>
      <c r="F300">
        <v>158.75</v>
      </c>
    </row>
    <row r="301" spans="1:6" x14ac:dyDescent="0.25">
      <c r="A301" s="1">
        <v>38443</v>
      </c>
      <c r="B301" t="s">
        <v>18</v>
      </c>
      <c r="C301" t="s">
        <v>11</v>
      </c>
      <c r="D301">
        <v>23</v>
      </c>
      <c r="E301" s="2">
        <v>9.5833333333333326E-3</v>
      </c>
      <c r="F301">
        <v>13.8</v>
      </c>
    </row>
    <row r="302" spans="1:6" x14ac:dyDescent="0.25">
      <c r="A302" s="1">
        <v>38443</v>
      </c>
      <c r="B302" t="s">
        <v>19</v>
      </c>
      <c r="C302" t="s">
        <v>6</v>
      </c>
      <c r="D302">
        <v>33</v>
      </c>
      <c r="E302" s="2">
        <v>3.6921296296296299E-2</v>
      </c>
      <c r="F302">
        <v>53.166666666666664</v>
      </c>
    </row>
    <row r="303" spans="1:6" x14ac:dyDescent="0.25">
      <c r="A303" s="1">
        <v>38443</v>
      </c>
      <c r="B303" t="s">
        <v>19</v>
      </c>
      <c r="C303" t="s">
        <v>7</v>
      </c>
      <c r="D303">
        <v>26</v>
      </c>
      <c r="E303" s="2">
        <v>2.9548611111111112E-2</v>
      </c>
      <c r="F303">
        <v>42.55</v>
      </c>
    </row>
    <row r="304" spans="1:6" x14ac:dyDescent="0.25">
      <c r="A304" s="1">
        <v>38443</v>
      </c>
      <c r="B304" t="s">
        <v>19</v>
      </c>
      <c r="C304" t="s">
        <v>8</v>
      </c>
      <c r="D304">
        <v>35</v>
      </c>
      <c r="E304" s="2">
        <v>4.8391203703703707E-2</v>
      </c>
      <c r="F304">
        <v>69.683333333333337</v>
      </c>
    </row>
    <row r="305" spans="1:6" x14ac:dyDescent="0.25">
      <c r="A305" s="1">
        <v>38443</v>
      </c>
      <c r="B305" t="s">
        <v>19</v>
      </c>
      <c r="C305" t="s">
        <v>9</v>
      </c>
      <c r="D305">
        <v>19</v>
      </c>
      <c r="E305" s="2">
        <v>1.1481481481481481E-2</v>
      </c>
      <c r="F305">
        <v>16.533333333333335</v>
      </c>
    </row>
    <row r="306" spans="1:6" x14ac:dyDescent="0.25">
      <c r="A306" s="1">
        <v>38443</v>
      </c>
      <c r="B306" t="s">
        <v>19</v>
      </c>
      <c r="C306" t="s">
        <v>10</v>
      </c>
      <c r="D306">
        <v>5</v>
      </c>
      <c r="E306" s="2">
        <v>2.1759259259259258E-3</v>
      </c>
      <c r="F306">
        <v>3.1333333333333333</v>
      </c>
    </row>
    <row r="307" spans="1:6" x14ac:dyDescent="0.25">
      <c r="A307" s="1">
        <v>38443</v>
      </c>
      <c r="B307" t="s">
        <v>19</v>
      </c>
      <c r="C307" t="s">
        <v>11</v>
      </c>
      <c r="D307">
        <v>18</v>
      </c>
      <c r="E307" s="2">
        <v>1.6284722222222221E-2</v>
      </c>
      <c r="F307">
        <v>23.45</v>
      </c>
    </row>
    <row r="308" spans="1:6" x14ac:dyDescent="0.25">
      <c r="A308" s="1">
        <v>38443</v>
      </c>
      <c r="B308" t="s">
        <v>20</v>
      </c>
      <c r="C308" t="s">
        <v>6</v>
      </c>
      <c r="D308">
        <v>31</v>
      </c>
      <c r="E308" s="2">
        <v>3.0451388888888889E-2</v>
      </c>
      <c r="F308">
        <v>43.85</v>
      </c>
    </row>
    <row r="309" spans="1:6" x14ac:dyDescent="0.25">
      <c r="A309" s="1">
        <v>38443</v>
      </c>
      <c r="B309" t="s">
        <v>20</v>
      </c>
      <c r="C309" t="s">
        <v>7</v>
      </c>
      <c r="D309">
        <v>23</v>
      </c>
      <c r="E309" s="2">
        <v>2.8472222222222222E-2</v>
      </c>
      <c r="F309">
        <v>41</v>
      </c>
    </row>
    <row r="310" spans="1:6" x14ac:dyDescent="0.25">
      <c r="A310" s="1">
        <v>38443</v>
      </c>
      <c r="B310" t="s">
        <v>20</v>
      </c>
      <c r="C310" t="s">
        <v>8</v>
      </c>
      <c r="D310">
        <v>15</v>
      </c>
      <c r="E310" s="2">
        <v>1.7025462962962964E-2</v>
      </c>
      <c r="F310">
        <v>24.516666666666666</v>
      </c>
    </row>
    <row r="311" spans="1:6" x14ac:dyDescent="0.25">
      <c r="A311" s="1">
        <v>38443</v>
      </c>
      <c r="B311" t="s">
        <v>20</v>
      </c>
      <c r="C311" t="s">
        <v>9</v>
      </c>
      <c r="D311">
        <v>5</v>
      </c>
      <c r="E311" s="2">
        <v>4.0277777777777777E-3</v>
      </c>
      <c r="F311">
        <v>5.8</v>
      </c>
    </row>
    <row r="312" spans="1:6" x14ac:dyDescent="0.25">
      <c r="A312" s="1">
        <v>38443</v>
      </c>
      <c r="B312" t="s">
        <v>20</v>
      </c>
      <c r="C312" t="s">
        <v>10</v>
      </c>
      <c r="D312">
        <v>5</v>
      </c>
      <c r="E312" s="2">
        <v>4.340277777777778E-3</v>
      </c>
      <c r="F312">
        <v>6.25</v>
      </c>
    </row>
    <row r="313" spans="1:6" x14ac:dyDescent="0.25">
      <c r="A313" s="1">
        <v>38443</v>
      </c>
      <c r="B313" t="s">
        <v>20</v>
      </c>
      <c r="C313" t="s">
        <v>11</v>
      </c>
      <c r="D313">
        <v>10</v>
      </c>
      <c r="E313" s="2">
        <v>6.9212962962962961E-3</v>
      </c>
      <c r="F313">
        <v>9.9666666666666668</v>
      </c>
    </row>
    <row r="314" spans="1:6" x14ac:dyDescent="0.25">
      <c r="A314" s="1">
        <v>38443</v>
      </c>
      <c r="B314" t="s">
        <v>21</v>
      </c>
      <c r="C314" t="s">
        <v>6</v>
      </c>
      <c r="D314">
        <v>23</v>
      </c>
      <c r="E314" s="2">
        <v>2.4652777777777777E-2</v>
      </c>
      <c r="F314">
        <v>35.5</v>
      </c>
    </row>
    <row r="315" spans="1:6" x14ac:dyDescent="0.25">
      <c r="A315" s="1">
        <v>38443</v>
      </c>
      <c r="B315" t="s">
        <v>21</v>
      </c>
      <c r="C315" t="s">
        <v>7</v>
      </c>
      <c r="D315">
        <v>24</v>
      </c>
      <c r="E315" s="2">
        <v>3.0902777777777779E-2</v>
      </c>
      <c r="F315">
        <v>44.5</v>
      </c>
    </row>
    <row r="316" spans="1:6" x14ac:dyDescent="0.25">
      <c r="A316" s="1">
        <v>38443</v>
      </c>
      <c r="B316" t="s">
        <v>21</v>
      </c>
      <c r="C316" t="s">
        <v>8</v>
      </c>
      <c r="D316">
        <v>18</v>
      </c>
      <c r="E316" s="2">
        <v>2.6064814814814815E-2</v>
      </c>
      <c r="F316">
        <v>37.533333333333331</v>
      </c>
    </row>
    <row r="317" spans="1:6" x14ac:dyDescent="0.25">
      <c r="A317" s="1">
        <v>38443</v>
      </c>
      <c r="B317" t="s">
        <v>21</v>
      </c>
      <c r="C317" t="s">
        <v>9</v>
      </c>
      <c r="D317">
        <v>5</v>
      </c>
      <c r="E317" s="2">
        <v>2.1643518518518518E-3</v>
      </c>
      <c r="F317">
        <v>3.1166666666666667</v>
      </c>
    </row>
    <row r="318" spans="1:6" x14ac:dyDescent="0.25">
      <c r="A318" s="1">
        <v>38443</v>
      </c>
      <c r="B318" t="s">
        <v>21</v>
      </c>
      <c r="C318" t="s">
        <v>10</v>
      </c>
      <c r="D318">
        <v>3</v>
      </c>
      <c r="E318" s="2">
        <v>2.4305555555555556E-3</v>
      </c>
      <c r="F318">
        <v>3.5</v>
      </c>
    </row>
    <row r="319" spans="1:6" x14ac:dyDescent="0.25">
      <c r="A319" s="1">
        <v>38443</v>
      </c>
      <c r="B319" t="s">
        <v>21</v>
      </c>
      <c r="C319" t="s">
        <v>11</v>
      </c>
      <c r="D319">
        <v>8</v>
      </c>
      <c r="E319" s="2">
        <v>3.8888888888888888E-3</v>
      </c>
      <c r="F319">
        <v>5.6</v>
      </c>
    </row>
    <row r="320" spans="1:6" x14ac:dyDescent="0.25">
      <c r="A320" s="1">
        <v>38443</v>
      </c>
      <c r="B320" t="s">
        <v>22</v>
      </c>
      <c r="C320" t="s">
        <v>6</v>
      </c>
      <c r="D320">
        <v>13</v>
      </c>
      <c r="E320" s="2">
        <v>1.2569444444444444E-2</v>
      </c>
      <c r="F320">
        <v>18.100000000000001</v>
      </c>
    </row>
    <row r="321" spans="1:6" x14ac:dyDescent="0.25">
      <c r="A321" s="1">
        <v>38443</v>
      </c>
      <c r="B321" t="s">
        <v>22</v>
      </c>
      <c r="C321" t="s">
        <v>7</v>
      </c>
      <c r="D321">
        <v>12</v>
      </c>
      <c r="E321" s="2">
        <v>1.5081018518518518E-2</v>
      </c>
      <c r="F321">
        <v>21.716666666666665</v>
      </c>
    </row>
    <row r="322" spans="1:6" x14ac:dyDescent="0.25">
      <c r="A322" s="1">
        <v>38443</v>
      </c>
      <c r="B322" t="s">
        <v>22</v>
      </c>
      <c r="C322" t="s">
        <v>8</v>
      </c>
      <c r="D322">
        <v>8</v>
      </c>
      <c r="E322" s="2">
        <v>6.2615740740740739E-3</v>
      </c>
      <c r="F322">
        <v>9.0166666666666675</v>
      </c>
    </row>
    <row r="323" spans="1:6" x14ac:dyDescent="0.25">
      <c r="A323" s="1">
        <v>38443</v>
      </c>
      <c r="B323" t="s">
        <v>22</v>
      </c>
      <c r="C323" t="s">
        <v>9</v>
      </c>
      <c r="D323">
        <v>1</v>
      </c>
      <c r="E323" s="2">
        <v>3.8194444444444446E-4</v>
      </c>
      <c r="F323">
        <v>0.55000000000000004</v>
      </c>
    </row>
    <row r="324" spans="1:6" x14ac:dyDescent="0.25">
      <c r="A324" s="1">
        <v>38443</v>
      </c>
      <c r="B324" t="s">
        <v>22</v>
      </c>
      <c r="C324" t="s">
        <v>10</v>
      </c>
      <c r="D324">
        <v>5</v>
      </c>
      <c r="E324" s="2">
        <v>5.6828703703703702E-3</v>
      </c>
      <c r="F324">
        <v>8.1833333333333336</v>
      </c>
    </row>
    <row r="325" spans="1:6" x14ac:dyDescent="0.25">
      <c r="A325" s="1">
        <v>38443</v>
      </c>
      <c r="B325" t="s">
        <v>22</v>
      </c>
      <c r="C325" t="s">
        <v>11</v>
      </c>
      <c r="D325">
        <v>6</v>
      </c>
      <c r="E325" s="2">
        <v>4.1203703703703706E-3</v>
      </c>
      <c r="F325">
        <v>5.9333333333333336</v>
      </c>
    </row>
    <row r="326" spans="1:6" x14ac:dyDescent="0.25">
      <c r="A326" s="1">
        <v>38443</v>
      </c>
      <c r="B326" t="s">
        <v>23</v>
      </c>
      <c r="C326" t="s">
        <v>6</v>
      </c>
      <c r="D326">
        <v>275</v>
      </c>
      <c r="E326" s="2">
        <v>0.31475694444444446</v>
      </c>
      <c r="F326">
        <v>453.25</v>
      </c>
    </row>
    <row r="327" spans="1:6" x14ac:dyDescent="0.25">
      <c r="A327" s="1">
        <v>38443</v>
      </c>
      <c r="B327" t="s">
        <v>23</v>
      </c>
      <c r="C327" t="s">
        <v>7</v>
      </c>
      <c r="D327">
        <v>276</v>
      </c>
      <c r="E327" s="2">
        <v>0.30927083333333333</v>
      </c>
      <c r="F327">
        <v>445.35</v>
      </c>
    </row>
    <row r="328" spans="1:6" x14ac:dyDescent="0.25">
      <c r="A328" s="1">
        <v>38443</v>
      </c>
      <c r="B328" t="s">
        <v>23</v>
      </c>
      <c r="C328" t="s">
        <v>8</v>
      </c>
      <c r="D328">
        <v>154</v>
      </c>
      <c r="E328" s="2">
        <v>0.19258101851851853</v>
      </c>
      <c r="F328">
        <v>277.31666666666666</v>
      </c>
    </row>
    <row r="329" spans="1:6" x14ac:dyDescent="0.25">
      <c r="A329" s="1">
        <v>38443</v>
      </c>
      <c r="B329" t="s">
        <v>23</v>
      </c>
      <c r="C329" t="s">
        <v>9</v>
      </c>
      <c r="D329">
        <v>47</v>
      </c>
      <c r="E329" s="2">
        <v>3.4108796296296297E-2</v>
      </c>
      <c r="F329">
        <v>49.116666666666667</v>
      </c>
    </row>
    <row r="330" spans="1:6" x14ac:dyDescent="0.25">
      <c r="A330" s="1">
        <v>38443</v>
      </c>
      <c r="B330" t="s">
        <v>23</v>
      </c>
      <c r="C330" t="s">
        <v>10</v>
      </c>
      <c r="D330">
        <v>92</v>
      </c>
      <c r="E330" s="2">
        <v>0.10302083333333334</v>
      </c>
      <c r="F330">
        <v>148.35</v>
      </c>
    </row>
    <row r="331" spans="1:6" x14ac:dyDescent="0.25">
      <c r="A331" s="1">
        <v>38443</v>
      </c>
      <c r="B331" t="s">
        <v>23</v>
      </c>
      <c r="C331" t="s">
        <v>11</v>
      </c>
      <c r="D331">
        <v>118</v>
      </c>
      <c r="E331" s="2">
        <v>0.10689814814814814</v>
      </c>
      <c r="F331">
        <v>153.93333333333334</v>
      </c>
    </row>
    <row r="332" spans="1:6" x14ac:dyDescent="0.25">
      <c r="A332" s="1">
        <v>38443</v>
      </c>
      <c r="B332" t="s">
        <v>24</v>
      </c>
      <c r="C332" t="s">
        <v>6</v>
      </c>
      <c r="D332">
        <v>31</v>
      </c>
      <c r="E332" s="2">
        <v>2.1122685185185185E-2</v>
      </c>
      <c r="F332">
        <v>30.416666666666668</v>
      </c>
    </row>
    <row r="333" spans="1:6" x14ac:dyDescent="0.25">
      <c r="A333" s="1">
        <v>38443</v>
      </c>
      <c r="B333" t="s">
        <v>24</v>
      </c>
      <c r="C333" t="s">
        <v>7</v>
      </c>
      <c r="D333">
        <v>26</v>
      </c>
      <c r="E333" s="2">
        <v>1.894675925925926E-2</v>
      </c>
      <c r="F333">
        <v>27.283333333333335</v>
      </c>
    </row>
    <row r="334" spans="1:6" x14ac:dyDescent="0.25">
      <c r="A334" s="1">
        <v>38443</v>
      </c>
      <c r="B334" t="s">
        <v>24</v>
      </c>
      <c r="C334" t="s">
        <v>8</v>
      </c>
      <c r="D334">
        <v>16</v>
      </c>
      <c r="E334" s="2">
        <v>1.4085648148148147E-2</v>
      </c>
      <c r="F334">
        <v>20.283333333333335</v>
      </c>
    </row>
    <row r="335" spans="1:6" x14ac:dyDescent="0.25">
      <c r="A335" s="1">
        <v>38443</v>
      </c>
      <c r="B335" t="s">
        <v>24</v>
      </c>
      <c r="C335" t="s">
        <v>9</v>
      </c>
      <c r="D335">
        <v>8</v>
      </c>
      <c r="E335" s="2">
        <v>5.347222222222222E-3</v>
      </c>
      <c r="F335">
        <v>7.7</v>
      </c>
    </row>
    <row r="336" spans="1:6" x14ac:dyDescent="0.25">
      <c r="A336" s="1">
        <v>38443</v>
      </c>
      <c r="B336" t="s">
        <v>24</v>
      </c>
      <c r="C336" t="s">
        <v>10</v>
      </c>
      <c r="D336">
        <v>1</v>
      </c>
      <c r="E336" s="2">
        <v>2.5462962962962961E-4</v>
      </c>
      <c r="F336">
        <v>0.36666666666666664</v>
      </c>
    </row>
    <row r="337" spans="1:6" x14ac:dyDescent="0.25">
      <c r="A337" s="1">
        <v>38443</v>
      </c>
      <c r="B337" t="s">
        <v>24</v>
      </c>
      <c r="C337" t="s">
        <v>11</v>
      </c>
      <c r="D337">
        <v>29</v>
      </c>
      <c r="E337" s="2">
        <v>1.5011574074074075E-2</v>
      </c>
      <c r="F337">
        <v>21.616666666666667</v>
      </c>
    </row>
    <row r="338" spans="1:6" x14ac:dyDescent="0.25">
      <c r="A338" s="1">
        <v>38473</v>
      </c>
      <c r="B338" t="s">
        <v>5</v>
      </c>
      <c r="C338" t="s">
        <v>6</v>
      </c>
      <c r="D338">
        <v>12</v>
      </c>
      <c r="E338" s="2">
        <v>1.1597222222222222E-2</v>
      </c>
      <c r="F338">
        <v>16.7</v>
      </c>
    </row>
    <row r="339" spans="1:6" x14ac:dyDescent="0.25">
      <c r="A339" s="1">
        <v>38473</v>
      </c>
      <c r="B339" t="s">
        <v>5</v>
      </c>
      <c r="C339" t="s">
        <v>7</v>
      </c>
      <c r="D339">
        <v>11</v>
      </c>
      <c r="E339" s="2">
        <v>8.9583333333333338E-3</v>
      </c>
      <c r="F339">
        <v>12.9</v>
      </c>
    </row>
    <row r="340" spans="1:6" x14ac:dyDescent="0.25">
      <c r="A340" s="1">
        <v>38473</v>
      </c>
      <c r="B340" t="s">
        <v>5</v>
      </c>
      <c r="C340" t="s">
        <v>8</v>
      </c>
      <c r="D340">
        <v>7</v>
      </c>
      <c r="E340" s="2">
        <v>7.037037037037037E-3</v>
      </c>
      <c r="F340">
        <v>10.133333333333333</v>
      </c>
    </row>
    <row r="341" spans="1:6" x14ac:dyDescent="0.25">
      <c r="A341" s="1">
        <v>38473</v>
      </c>
      <c r="B341" t="s">
        <v>5</v>
      </c>
      <c r="C341" t="s">
        <v>9</v>
      </c>
      <c r="D341">
        <v>1</v>
      </c>
      <c r="E341" s="2">
        <v>2.6620370370370372E-4</v>
      </c>
      <c r="F341">
        <v>0.38333333333333336</v>
      </c>
    </row>
    <row r="342" spans="1:6" x14ac:dyDescent="0.25">
      <c r="A342" s="1">
        <v>38473</v>
      </c>
      <c r="B342" t="s">
        <v>5</v>
      </c>
      <c r="C342" t="s">
        <v>10</v>
      </c>
      <c r="D342">
        <v>0</v>
      </c>
      <c r="E342" s="2">
        <v>0</v>
      </c>
      <c r="F342">
        <v>0</v>
      </c>
    </row>
    <row r="343" spans="1:6" x14ac:dyDescent="0.25">
      <c r="A343" s="1">
        <v>38473</v>
      </c>
      <c r="B343" t="s">
        <v>5</v>
      </c>
      <c r="C343" t="s">
        <v>11</v>
      </c>
      <c r="D343">
        <v>8</v>
      </c>
      <c r="E343" s="2">
        <v>3.7268518518518519E-3</v>
      </c>
      <c r="F343">
        <v>5.3666666666666663</v>
      </c>
    </row>
    <row r="344" spans="1:6" x14ac:dyDescent="0.25">
      <c r="A344" s="1">
        <v>38473</v>
      </c>
      <c r="B344" t="s">
        <v>12</v>
      </c>
      <c r="C344" t="s">
        <v>6</v>
      </c>
      <c r="D344">
        <v>47</v>
      </c>
      <c r="E344" s="2">
        <v>5.1111111111111114E-2</v>
      </c>
      <c r="F344">
        <v>73.599999999999994</v>
      </c>
    </row>
    <row r="345" spans="1:6" x14ac:dyDescent="0.25">
      <c r="A345" s="1">
        <v>38473</v>
      </c>
      <c r="B345" t="s">
        <v>12</v>
      </c>
      <c r="C345" t="s">
        <v>7</v>
      </c>
      <c r="D345">
        <v>78</v>
      </c>
      <c r="E345" s="2">
        <v>0.1055787037037037</v>
      </c>
      <c r="F345">
        <v>152.03333333333333</v>
      </c>
    </row>
    <row r="346" spans="1:6" x14ac:dyDescent="0.25">
      <c r="A346" s="1">
        <v>38473</v>
      </c>
      <c r="B346" t="s">
        <v>12</v>
      </c>
      <c r="C346" t="s">
        <v>8</v>
      </c>
      <c r="D346">
        <v>42</v>
      </c>
      <c r="E346" s="2">
        <v>5.9016203703703703E-2</v>
      </c>
      <c r="F346">
        <v>84.983333333333334</v>
      </c>
    </row>
    <row r="347" spans="1:6" x14ac:dyDescent="0.25">
      <c r="A347" s="1">
        <v>38473</v>
      </c>
      <c r="B347" t="s">
        <v>12</v>
      </c>
      <c r="C347" t="s">
        <v>9</v>
      </c>
      <c r="D347">
        <v>10</v>
      </c>
      <c r="E347" s="2">
        <v>5.8912037037037041E-3</v>
      </c>
      <c r="F347">
        <v>8.4833333333333325</v>
      </c>
    </row>
    <row r="348" spans="1:6" x14ac:dyDescent="0.25">
      <c r="A348" s="1">
        <v>38473</v>
      </c>
      <c r="B348" t="s">
        <v>12</v>
      </c>
      <c r="C348" t="s">
        <v>10</v>
      </c>
      <c r="D348">
        <v>4</v>
      </c>
      <c r="E348" s="2">
        <v>4.6412037037037038E-3</v>
      </c>
      <c r="F348">
        <v>6.6833333333333336</v>
      </c>
    </row>
    <row r="349" spans="1:6" x14ac:dyDescent="0.25">
      <c r="A349" s="1">
        <v>38473</v>
      </c>
      <c r="B349" t="s">
        <v>12</v>
      </c>
      <c r="C349" t="s">
        <v>11</v>
      </c>
      <c r="D349">
        <v>40</v>
      </c>
      <c r="E349" s="2">
        <v>4.252314814814815E-2</v>
      </c>
      <c r="F349">
        <v>61.233333333333334</v>
      </c>
    </row>
    <row r="350" spans="1:6" x14ac:dyDescent="0.25">
      <c r="A350" s="1">
        <v>38473</v>
      </c>
      <c r="B350" t="s">
        <v>13</v>
      </c>
      <c r="C350" t="s">
        <v>6</v>
      </c>
      <c r="D350">
        <v>74</v>
      </c>
      <c r="E350" s="2">
        <v>8.7326388888888884E-2</v>
      </c>
      <c r="F350">
        <v>125.75</v>
      </c>
    </row>
    <row r="351" spans="1:6" x14ac:dyDescent="0.25">
      <c r="A351" s="1">
        <v>38473</v>
      </c>
      <c r="B351" t="s">
        <v>13</v>
      </c>
      <c r="C351" t="s">
        <v>7</v>
      </c>
      <c r="D351">
        <v>65</v>
      </c>
      <c r="E351" s="2">
        <v>8.1342592592592591E-2</v>
      </c>
      <c r="F351">
        <v>117.13333333333334</v>
      </c>
    </row>
    <row r="352" spans="1:6" x14ac:dyDescent="0.25">
      <c r="A352" s="1">
        <v>38473</v>
      </c>
      <c r="B352" t="s">
        <v>13</v>
      </c>
      <c r="C352" t="s">
        <v>8</v>
      </c>
      <c r="D352">
        <v>26</v>
      </c>
      <c r="E352" s="2">
        <v>3.2731481481481479E-2</v>
      </c>
      <c r="F352">
        <v>47.133333333333333</v>
      </c>
    </row>
    <row r="353" spans="1:6" x14ac:dyDescent="0.25">
      <c r="A353" s="1">
        <v>38473</v>
      </c>
      <c r="B353" t="s">
        <v>13</v>
      </c>
      <c r="C353" t="s">
        <v>9</v>
      </c>
      <c r="D353">
        <v>8</v>
      </c>
      <c r="E353" s="2">
        <v>6.0185185185185185E-3</v>
      </c>
      <c r="F353">
        <v>8.6666666666666661</v>
      </c>
    </row>
    <row r="354" spans="1:6" x14ac:dyDescent="0.25">
      <c r="A354" s="1">
        <v>38473</v>
      </c>
      <c r="B354" t="s">
        <v>13</v>
      </c>
      <c r="C354" t="s">
        <v>10</v>
      </c>
      <c r="D354">
        <v>15</v>
      </c>
      <c r="E354" s="2">
        <v>9.3402777777777772E-3</v>
      </c>
      <c r="F354">
        <v>13.45</v>
      </c>
    </row>
    <row r="355" spans="1:6" x14ac:dyDescent="0.25">
      <c r="A355" s="1">
        <v>38473</v>
      </c>
      <c r="B355" t="s">
        <v>13</v>
      </c>
      <c r="C355" t="s">
        <v>11</v>
      </c>
      <c r="D355">
        <v>15</v>
      </c>
      <c r="E355" s="2">
        <v>7.5925925925925926E-3</v>
      </c>
      <c r="F355">
        <v>10.933333333333334</v>
      </c>
    </row>
    <row r="356" spans="1:6" x14ac:dyDescent="0.25">
      <c r="A356" s="1">
        <v>38473</v>
      </c>
      <c r="B356" t="s">
        <v>14</v>
      </c>
      <c r="C356" t="s">
        <v>6</v>
      </c>
      <c r="D356">
        <v>24</v>
      </c>
      <c r="E356" s="2">
        <v>2.9733796296296296E-2</v>
      </c>
      <c r="F356">
        <v>42.81666666666667</v>
      </c>
    </row>
    <row r="357" spans="1:6" x14ac:dyDescent="0.25">
      <c r="A357" s="1">
        <v>38473</v>
      </c>
      <c r="B357" t="s">
        <v>14</v>
      </c>
      <c r="C357" t="s">
        <v>7</v>
      </c>
      <c r="D357">
        <v>9</v>
      </c>
      <c r="E357" s="2">
        <v>0.01</v>
      </c>
      <c r="F357">
        <v>14.4</v>
      </c>
    </row>
    <row r="358" spans="1:6" x14ac:dyDescent="0.25">
      <c r="A358" s="1">
        <v>38473</v>
      </c>
      <c r="B358" t="s">
        <v>14</v>
      </c>
      <c r="C358" t="s">
        <v>8</v>
      </c>
      <c r="D358">
        <v>7</v>
      </c>
      <c r="E358" s="2">
        <v>9.7222222222222224E-3</v>
      </c>
      <c r="F358">
        <v>14</v>
      </c>
    </row>
    <row r="359" spans="1:6" x14ac:dyDescent="0.25">
      <c r="A359" s="1">
        <v>38473</v>
      </c>
      <c r="B359" t="s">
        <v>14</v>
      </c>
      <c r="C359" t="s">
        <v>9</v>
      </c>
      <c r="D359">
        <v>1</v>
      </c>
      <c r="E359" s="2">
        <v>4.6296296296296298E-4</v>
      </c>
      <c r="F359">
        <v>0.66666666666666663</v>
      </c>
    </row>
    <row r="360" spans="1:6" x14ac:dyDescent="0.25">
      <c r="A360" s="1">
        <v>38473</v>
      </c>
      <c r="B360" t="s">
        <v>14</v>
      </c>
      <c r="C360" t="s">
        <v>10</v>
      </c>
      <c r="D360">
        <v>4</v>
      </c>
      <c r="E360" s="2">
        <v>1.2847222222222223E-3</v>
      </c>
      <c r="F360">
        <v>1.85</v>
      </c>
    </row>
    <row r="361" spans="1:6" x14ac:dyDescent="0.25">
      <c r="A361" s="1">
        <v>38473</v>
      </c>
      <c r="B361" t="s">
        <v>14</v>
      </c>
      <c r="C361" t="s">
        <v>11</v>
      </c>
      <c r="D361">
        <v>6</v>
      </c>
      <c r="E361" s="2">
        <v>5.1967592592592595E-3</v>
      </c>
      <c r="F361">
        <v>7.4833333333333334</v>
      </c>
    </row>
    <row r="362" spans="1:6" x14ac:dyDescent="0.25">
      <c r="A362" s="1">
        <v>38473</v>
      </c>
      <c r="B362" t="s">
        <v>15</v>
      </c>
      <c r="C362" t="s">
        <v>6</v>
      </c>
      <c r="D362">
        <v>33</v>
      </c>
      <c r="E362" s="2">
        <v>3.4490740740740738E-2</v>
      </c>
      <c r="F362">
        <v>49.666666666666664</v>
      </c>
    </row>
    <row r="363" spans="1:6" x14ac:dyDescent="0.25">
      <c r="A363" s="1">
        <v>38473</v>
      </c>
      <c r="B363" t="s">
        <v>15</v>
      </c>
      <c r="C363" t="s">
        <v>7</v>
      </c>
      <c r="D363">
        <v>26</v>
      </c>
      <c r="E363" s="2">
        <v>2.8333333333333332E-2</v>
      </c>
      <c r="F363">
        <v>40.799999999999997</v>
      </c>
    </row>
    <row r="364" spans="1:6" x14ac:dyDescent="0.25">
      <c r="A364" s="1">
        <v>38473</v>
      </c>
      <c r="B364" t="s">
        <v>15</v>
      </c>
      <c r="C364" t="s">
        <v>8</v>
      </c>
      <c r="D364">
        <v>9</v>
      </c>
      <c r="E364" s="2">
        <v>1.0648148148148148E-2</v>
      </c>
      <c r="F364">
        <v>15.333333333333334</v>
      </c>
    </row>
    <row r="365" spans="1:6" x14ac:dyDescent="0.25">
      <c r="A365" s="1">
        <v>38473</v>
      </c>
      <c r="B365" t="s">
        <v>15</v>
      </c>
      <c r="C365" t="s">
        <v>9</v>
      </c>
      <c r="D365">
        <v>1</v>
      </c>
      <c r="E365" s="2">
        <v>6.018518518518519E-4</v>
      </c>
      <c r="F365">
        <v>0.8666666666666667</v>
      </c>
    </row>
    <row r="366" spans="1:6" x14ac:dyDescent="0.25">
      <c r="A366" s="1">
        <v>38473</v>
      </c>
      <c r="B366" t="s">
        <v>15</v>
      </c>
      <c r="C366" t="s">
        <v>10</v>
      </c>
      <c r="D366">
        <v>3</v>
      </c>
      <c r="E366" s="2">
        <v>1.712962962962963E-3</v>
      </c>
      <c r="F366">
        <v>2.4666666666666668</v>
      </c>
    </row>
    <row r="367" spans="1:6" x14ac:dyDescent="0.25">
      <c r="A367" s="1">
        <v>38473</v>
      </c>
      <c r="B367" t="s">
        <v>15</v>
      </c>
      <c r="C367" t="s">
        <v>11</v>
      </c>
      <c r="D367">
        <v>7</v>
      </c>
      <c r="E367" s="2">
        <v>4.178240740740741E-3</v>
      </c>
      <c r="F367">
        <v>6.0166666666666666</v>
      </c>
    </row>
    <row r="368" spans="1:6" x14ac:dyDescent="0.25">
      <c r="A368" s="1">
        <v>38473</v>
      </c>
      <c r="B368" t="s">
        <v>16</v>
      </c>
      <c r="C368" t="s">
        <v>6</v>
      </c>
      <c r="D368">
        <v>18</v>
      </c>
      <c r="E368" s="2">
        <v>1.8969907407407408E-2</v>
      </c>
      <c r="F368">
        <v>27.316666666666666</v>
      </c>
    </row>
    <row r="369" spans="1:6" x14ac:dyDescent="0.25">
      <c r="A369" s="1">
        <v>38473</v>
      </c>
      <c r="B369" t="s">
        <v>16</v>
      </c>
      <c r="C369" t="s">
        <v>7</v>
      </c>
      <c r="D369">
        <v>27</v>
      </c>
      <c r="E369" s="2">
        <v>2.554398148148148E-2</v>
      </c>
      <c r="F369">
        <v>36.783333333333331</v>
      </c>
    </row>
    <row r="370" spans="1:6" x14ac:dyDescent="0.25">
      <c r="A370" s="1">
        <v>38473</v>
      </c>
      <c r="B370" t="s">
        <v>16</v>
      </c>
      <c r="C370" t="s">
        <v>8</v>
      </c>
      <c r="D370">
        <v>21</v>
      </c>
      <c r="E370" s="2">
        <v>2.3958333333333335E-2</v>
      </c>
      <c r="F370">
        <v>34.5</v>
      </c>
    </row>
    <row r="371" spans="1:6" x14ac:dyDescent="0.25">
      <c r="A371" s="1">
        <v>38473</v>
      </c>
      <c r="B371" t="s">
        <v>16</v>
      </c>
      <c r="C371" t="s">
        <v>9</v>
      </c>
      <c r="D371">
        <v>9</v>
      </c>
      <c r="E371" s="2">
        <v>8.6342592592592599E-3</v>
      </c>
      <c r="F371">
        <v>12.433333333333334</v>
      </c>
    </row>
    <row r="372" spans="1:6" x14ac:dyDescent="0.25">
      <c r="A372" s="1">
        <v>38473</v>
      </c>
      <c r="B372" t="s">
        <v>16</v>
      </c>
      <c r="C372" t="s">
        <v>10</v>
      </c>
      <c r="D372">
        <v>0</v>
      </c>
      <c r="E372" s="2">
        <v>0</v>
      </c>
      <c r="F372">
        <v>0</v>
      </c>
    </row>
    <row r="373" spans="1:6" x14ac:dyDescent="0.25">
      <c r="A373" s="1">
        <v>38473</v>
      </c>
      <c r="B373" t="s">
        <v>16</v>
      </c>
      <c r="C373" t="s">
        <v>11</v>
      </c>
      <c r="D373">
        <v>12</v>
      </c>
      <c r="E373" s="2">
        <v>6.1689814814814819E-3</v>
      </c>
      <c r="F373">
        <v>8.8833333333333329</v>
      </c>
    </row>
    <row r="374" spans="1:6" x14ac:dyDescent="0.25">
      <c r="A374" s="1">
        <v>38473</v>
      </c>
      <c r="B374" t="s">
        <v>17</v>
      </c>
      <c r="C374" t="s">
        <v>6</v>
      </c>
      <c r="D374">
        <v>22</v>
      </c>
      <c r="E374" s="2">
        <v>2.3877314814814816E-2</v>
      </c>
      <c r="F374">
        <v>34.383333333333333</v>
      </c>
    </row>
    <row r="375" spans="1:6" x14ac:dyDescent="0.25">
      <c r="A375" s="1">
        <v>38473</v>
      </c>
      <c r="B375" t="s">
        <v>17</v>
      </c>
      <c r="C375" t="s">
        <v>7</v>
      </c>
      <c r="D375">
        <v>31</v>
      </c>
      <c r="E375" s="2">
        <v>3.4456018518518518E-2</v>
      </c>
      <c r="F375">
        <v>49.616666666666667</v>
      </c>
    </row>
    <row r="376" spans="1:6" x14ac:dyDescent="0.25">
      <c r="A376" s="1">
        <v>38473</v>
      </c>
      <c r="B376" t="s">
        <v>17</v>
      </c>
      <c r="C376" t="s">
        <v>8</v>
      </c>
      <c r="D376">
        <v>17</v>
      </c>
      <c r="E376" s="2">
        <v>2.2870370370370371E-2</v>
      </c>
      <c r="F376">
        <v>32.93333333333333</v>
      </c>
    </row>
    <row r="377" spans="1:6" x14ac:dyDescent="0.25">
      <c r="A377" s="1">
        <v>38473</v>
      </c>
      <c r="B377" t="s">
        <v>17</v>
      </c>
      <c r="C377" t="s">
        <v>9</v>
      </c>
      <c r="D377">
        <v>4</v>
      </c>
      <c r="E377" s="2">
        <v>2.650462962962963E-3</v>
      </c>
      <c r="F377">
        <v>3.8166666666666664</v>
      </c>
    </row>
    <row r="378" spans="1:6" x14ac:dyDescent="0.25">
      <c r="A378" s="1">
        <v>38473</v>
      </c>
      <c r="B378" t="s">
        <v>17</v>
      </c>
      <c r="C378" t="s">
        <v>10</v>
      </c>
      <c r="D378">
        <v>17</v>
      </c>
      <c r="E378" s="2">
        <v>2.3460648148148147E-2</v>
      </c>
      <c r="F378">
        <v>33.783333333333331</v>
      </c>
    </row>
    <row r="379" spans="1:6" x14ac:dyDescent="0.25">
      <c r="A379" s="1">
        <v>38473</v>
      </c>
      <c r="B379" t="s">
        <v>17</v>
      </c>
      <c r="C379" t="s">
        <v>11</v>
      </c>
      <c r="D379">
        <v>13</v>
      </c>
      <c r="E379" s="2">
        <v>1.1585648148148149E-2</v>
      </c>
      <c r="F379">
        <v>16.683333333333334</v>
      </c>
    </row>
    <row r="380" spans="1:6" x14ac:dyDescent="0.25">
      <c r="A380" s="1">
        <v>38473</v>
      </c>
      <c r="B380" t="s">
        <v>18</v>
      </c>
      <c r="C380" t="s">
        <v>6</v>
      </c>
      <c r="D380">
        <v>154</v>
      </c>
      <c r="E380" s="2">
        <v>0.18876157407407407</v>
      </c>
      <c r="F380">
        <v>271.81666666666666</v>
      </c>
    </row>
    <row r="381" spans="1:6" x14ac:dyDescent="0.25">
      <c r="A381" s="1">
        <v>38473</v>
      </c>
      <c r="B381" t="s">
        <v>18</v>
      </c>
      <c r="C381" t="s">
        <v>7</v>
      </c>
      <c r="D381">
        <v>216</v>
      </c>
      <c r="E381" s="2">
        <v>0.20833333333333334</v>
      </c>
      <c r="F381">
        <v>300</v>
      </c>
    </row>
    <row r="382" spans="1:6" x14ac:dyDescent="0.25">
      <c r="A382" s="1">
        <v>38473</v>
      </c>
      <c r="B382" t="s">
        <v>18</v>
      </c>
      <c r="C382" t="s">
        <v>8</v>
      </c>
      <c r="D382">
        <v>119</v>
      </c>
      <c r="E382" s="2">
        <v>0.18159722222222222</v>
      </c>
      <c r="F382">
        <v>261.5</v>
      </c>
    </row>
    <row r="383" spans="1:6" x14ac:dyDescent="0.25">
      <c r="A383" s="1">
        <v>38473</v>
      </c>
      <c r="B383" t="s">
        <v>18</v>
      </c>
      <c r="C383" t="s">
        <v>9</v>
      </c>
      <c r="D383">
        <v>42</v>
      </c>
      <c r="E383" s="2">
        <v>2.6053240740740741E-2</v>
      </c>
      <c r="F383">
        <v>37.516666666666666</v>
      </c>
    </row>
    <row r="384" spans="1:6" x14ac:dyDescent="0.25">
      <c r="A384" s="1">
        <v>38473</v>
      </c>
      <c r="B384" t="s">
        <v>18</v>
      </c>
      <c r="C384" t="s">
        <v>10</v>
      </c>
      <c r="D384">
        <v>220</v>
      </c>
      <c r="E384" s="2">
        <v>0.19373842592592594</v>
      </c>
      <c r="F384">
        <v>278.98333333333335</v>
      </c>
    </row>
    <row r="385" spans="1:6" x14ac:dyDescent="0.25">
      <c r="A385" s="1">
        <v>38473</v>
      </c>
      <c r="B385" t="s">
        <v>18</v>
      </c>
      <c r="C385" t="s">
        <v>11</v>
      </c>
      <c r="D385">
        <v>66</v>
      </c>
      <c r="E385" s="2">
        <v>6.0694444444444447E-2</v>
      </c>
      <c r="F385">
        <v>87.4</v>
      </c>
    </row>
    <row r="386" spans="1:6" x14ac:dyDescent="0.25">
      <c r="A386" s="1">
        <v>38473</v>
      </c>
      <c r="B386" t="s">
        <v>19</v>
      </c>
      <c r="C386" t="s">
        <v>6</v>
      </c>
      <c r="D386">
        <v>43</v>
      </c>
      <c r="E386" s="2">
        <v>4.1724537037037039E-2</v>
      </c>
      <c r="F386">
        <v>60.083333333333336</v>
      </c>
    </row>
    <row r="387" spans="1:6" x14ac:dyDescent="0.25">
      <c r="A387" s="1">
        <v>38473</v>
      </c>
      <c r="B387" t="s">
        <v>19</v>
      </c>
      <c r="C387" t="s">
        <v>7</v>
      </c>
      <c r="D387">
        <v>41</v>
      </c>
      <c r="E387" s="2">
        <v>4.2881944444444445E-2</v>
      </c>
      <c r="F387">
        <v>61.75</v>
      </c>
    </row>
    <row r="388" spans="1:6" x14ac:dyDescent="0.25">
      <c r="A388" s="1">
        <v>38473</v>
      </c>
      <c r="B388" t="s">
        <v>19</v>
      </c>
      <c r="C388" t="s">
        <v>8</v>
      </c>
      <c r="D388">
        <v>26</v>
      </c>
      <c r="E388" s="2">
        <v>2.8750000000000001E-2</v>
      </c>
      <c r="F388">
        <v>41.4</v>
      </c>
    </row>
    <row r="389" spans="1:6" x14ac:dyDescent="0.25">
      <c r="A389" s="1">
        <v>38473</v>
      </c>
      <c r="B389" t="s">
        <v>19</v>
      </c>
      <c r="C389" t="s">
        <v>9</v>
      </c>
      <c r="D389">
        <v>19</v>
      </c>
      <c r="E389" s="2">
        <v>1.2129629629629629E-2</v>
      </c>
      <c r="F389">
        <v>17.466666666666665</v>
      </c>
    </row>
    <row r="390" spans="1:6" x14ac:dyDescent="0.25">
      <c r="A390" s="1">
        <v>38473</v>
      </c>
      <c r="B390" t="s">
        <v>19</v>
      </c>
      <c r="C390" t="s">
        <v>10</v>
      </c>
      <c r="D390">
        <v>12</v>
      </c>
      <c r="E390" s="2">
        <v>8.86574074074074E-3</v>
      </c>
      <c r="F390">
        <v>12.766666666666667</v>
      </c>
    </row>
    <row r="391" spans="1:6" x14ac:dyDescent="0.25">
      <c r="A391" s="1">
        <v>38473</v>
      </c>
      <c r="B391" t="s">
        <v>19</v>
      </c>
      <c r="C391" t="s">
        <v>11</v>
      </c>
      <c r="D391">
        <v>17</v>
      </c>
      <c r="E391" s="2">
        <v>9.479166666666667E-3</v>
      </c>
      <c r="F391">
        <v>13.65</v>
      </c>
    </row>
    <row r="392" spans="1:6" x14ac:dyDescent="0.25">
      <c r="A392" s="1">
        <v>38473</v>
      </c>
      <c r="B392" t="s">
        <v>20</v>
      </c>
      <c r="C392" t="s">
        <v>6</v>
      </c>
      <c r="D392">
        <v>56</v>
      </c>
      <c r="E392" s="2">
        <v>6.9513888888888889E-2</v>
      </c>
      <c r="F392">
        <v>100.1</v>
      </c>
    </row>
    <row r="393" spans="1:6" x14ac:dyDescent="0.25">
      <c r="A393" s="1">
        <v>38473</v>
      </c>
      <c r="B393" t="s">
        <v>20</v>
      </c>
      <c r="C393" t="s">
        <v>7</v>
      </c>
      <c r="D393">
        <v>57</v>
      </c>
      <c r="E393" s="2">
        <v>6.1493055555555558E-2</v>
      </c>
      <c r="F393">
        <v>88.55</v>
      </c>
    </row>
    <row r="394" spans="1:6" x14ac:dyDescent="0.25">
      <c r="A394" s="1">
        <v>38473</v>
      </c>
      <c r="B394" t="s">
        <v>20</v>
      </c>
      <c r="C394" t="s">
        <v>8</v>
      </c>
      <c r="D394">
        <v>47</v>
      </c>
      <c r="E394" s="2">
        <v>6.6157407407407401E-2</v>
      </c>
      <c r="F394">
        <v>95.266666666666666</v>
      </c>
    </row>
    <row r="395" spans="1:6" x14ac:dyDescent="0.25">
      <c r="A395" s="1">
        <v>38473</v>
      </c>
      <c r="B395" t="s">
        <v>20</v>
      </c>
      <c r="C395" t="s">
        <v>9</v>
      </c>
      <c r="D395">
        <v>16</v>
      </c>
      <c r="E395" s="2">
        <v>8.7847222222222215E-3</v>
      </c>
      <c r="F395">
        <v>12.65</v>
      </c>
    </row>
    <row r="396" spans="1:6" x14ac:dyDescent="0.25">
      <c r="A396" s="1">
        <v>38473</v>
      </c>
      <c r="B396" t="s">
        <v>20</v>
      </c>
      <c r="C396" t="s">
        <v>10</v>
      </c>
      <c r="D396">
        <v>13</v>
      </c>
      <c r="E396" s="2">
        <v>1.3483796296296296E-2</v>
      </c>
      <c r="F396">
        <v>19.416666666666668</v>
      </c>
    </row>
    <row r="397" spans="1:6" x14ac:dyDescent="0.25">
      <c r="A397" s="1">
        <v>38473</v>
      </c>
      <c r="B397" t="s">
        <v>20</v>
      </c>
      <c r="C397" t="s">
        <v>11</v>
      </c>
      <c r="D397">
        <v>24</v>
      </c>
      <c r="E397" s="2">
        <v>2.4780092592592593E-2</v>
      </c>
      <c r="F397">
        <v>35.68333333333333</v>
      </c>
    </row>
    <row r="398" spans="1:6" x14ac:dyDescent="0.25">
      <c r="A398" s="1">
        <v>38473</v>
      </c>
      <c r="B398" t="s">
        <v>21</v>
      </c>
      <c r="C398" t="s">
        <v>6</v>
      </c>
      <c r="D398">
        <v>48</v>
      </c>
      <c r="E398" s="2">
        <v>5.1608796296296298E-2</v>
      </c>
      <c r="F398">
        <v>74.316666666666663</v>
      </c>
    </row>
    <row r="399" spans="1:6" x14ac:dyDescent="0.25">
      <c r="A399" s="1">
        <v>38473</v>
      </c>
      <c r="B399" t="s">
        <v>21</v>
      </c>
      <c r="C399" t="s">
        <v>7</v>
      </c>
      <c r="D399">
        <v>35</v>
      </c>
      <c r="E399" s="2">
        <v>3.6377314814814814E-2</v>
      </c>
      <c r="F399">
        <v>52.383333333333333</v>
      </c>
    </row>
    <row r="400" spans="1:6" x14ac:dyDescent="0.25">
      <c r="A400" s="1">
        <v>38473</v>
      </c>
      <c r="B400" t="s">
        <v>21</v>
      </c>
      <c r="C400" t="s">
        <v>8</v>
      </c>
      <c r="D400">
        <v>22</v>
      </c>
      <c r="E400" s="2">
        <v>2.3842592592592592E-2</v>
      </c>
      <c r="F400">
        <v>34.333333333333336</v>
      </c>
    </row>
    <row r="401" spans="1:6" x14ac:dyDescent="0.25">
      <c r="A401" s="1">
        <v>38473</v>
      </c>
      <c r="B401" t="s">
        <v>21</v>
      </c>
      <c r="C401" t="s">
        <v>9</v>
      </c>
      <c r="D401">
        <v>2</v>
      </c>
      <c r="E401" s="2">
        <v>9.3749999999999997E-4</v>
      </c>
      <c r="F401">
        <v>1.35</v>
      </c>
    </row>
    <row r="402" spans="1:6" x14ac:dyDescent="0.25">
      <c r="A402" s="1">
        <v>38473</v>
      </c>
      <c r="B402" t="s">
        <v>21</v>
      </c>
      <c r="C402" t="s">
        <v>10</v>
      </c>
      <c r="D402">
        <v>2</v>
      </c>
      <c r="E402" s="2">
        <v>2.0138888888888888E-3</v>
      </c>
      <c r="F402">
        <v>2.9</v>
      </c>
    </row>
    <row r="403" spans="1:6" x14ac:dyDescent="0.25">
      <c r="A403" s="1">
        <v>38473</v>
      </c>
      <c r="B403" t="s">
        <v>21</v>
      </c>
      <c r="C403" t="s">
        <v>11</v>
      </c>
      <c r="D403">
        <v>22</v>
      </c>
      <c r="E403" s="2">
        <v>1.2395833333333333E-2</v>
      </c>
      <c r="F403">
        <v>17.850000000000001</v>
      </c>
    </row>
    <row r="404" spans="1:6" x14ac:dyDescent="0.25">
      <c r="A404" s="1">
        <v>38473</v>
      </c>
      <c r="B404" t="s">
        <v>22</v>
      </c>
      <c r="C404" t="s">
        <v>6</v>
      </c>
      <c r="D404">
        <v>31</v>
      </c>
      <c r="E404" s="2">
        <v>3.2812500000000001E-2</v>
      </c>
      <c r="F404">
        <v>47.25</v>
      </c>
    </row>
    <row r="405" spans="1:6" x14ac:dyDescent="0.25">
      <c r="A405" s="1">
        <v>38473</v>
      </c>
      <c r="B405" t="s">
        <v>22</v>
      </c>
      <c r="C405" t="s">
        <v>7</v>
      </c>
      <c r="D405">
        <v>23</v>
      </c>
      <c r="E405" s="2">
        <v>2.5451388888888888E-2</v>
      </c>
      <c r="F405">
        <v>36.65</v>
      </c>
    </row>
    <row r="406" spans="1:6" x14ac:dyDescent="0.25">
      <c r="A406" s="1">
        <v>38473</v>
      </c>
      <c r="B406" t="s">
        <v>22</v>
      </c>
      <c r="C406" t="s">
        <v>8</v>
      </c>
      <c r="D406">
        <v>6</v>
      </c>
      <c r="E406" s="2">
        <v>7.6273148148148151E-3</v>
      </c>
      <c r="F406">
        <v>10.983333333333333</v>
      </c>
    </row>
    <row r="407" spans="1:6" x14ac:dyDescent="0.25">
      <c r="A407" s="1">
        <v>38473</v>
      </c>
      <c r="B407" t="s">
        <v>22</v>
      </c>
      <c r="C407" t="s">
        <v>9</v>
      </c>
      <c r="D407">
        <v>0</v>
      </c>
      <c r="E407" s="2">
        <v>0</v>
      </c>
      <c r="F407">
        <v>0</v>
      </c>
    </row>
    <row r="408" spans="1:6" x14ac:dyDescent="0.25">
      <c r="A408" s="1">
        <v>38473</v>
      </c>
      <c r="B408" t="s">
        <v>22</v>
      </c>
      <c r="C408" t="s">
        <v>10</v>
      </c>
      <c r="D408">
        <v>2</v>
      </c>
      <c r="E408" s="2">
        <v>5.4398148148148144E-4</v>
      </c>
      <c r="F408">
        <v>0.78333333333333333</v>
      </c>
    </row>
    <row r="409" spans="1:6" x14ac:dyDescent="0.25">
      <c r="A409" s="1">
        <v>38473</v>
      </c>
      <c r="B409" t="s">
        <v>22</v>
      </c>
      <c r="C409" t="s">
        <v>11</v>
      </c>
      <c r="D409">
        <v>7</v>
      </c>
      <c r="E409" s="2">
        <v>5.5671296296296293E-3</v>
      </c>
      <c r="F409">
        <v>8.0166666666666675</v>
      </c>
    </row>
    <row r="410" spans="1:6" x14ac:dyDescent="0.25">
      <c r="A410" s="1">
        <v>38473</v>
      </c>
      <c r="B410" t="s">
        <v>23</v>
      </c>
      <c r="C410" t="s">
        <v>6</v>
      </c>
      <c r="D410">
        <v>176</v>
      </c>
      <c r="E410" s="2">
        <v>0.19844907407407408</v>
      </c>
      <c r="F410">
        <v>285.76666666666665</v>
      </c>
    </row>
    <row r="411" spans="1:6" x14ac:dyDescent="0.25">
      <c r="A411" s="1">
        <v>38473</v>
      </c>
      <c r="B411" t="s">
        <v>23</v>
      </c>
      <c r="C411" t="s">
        <v>7</v>
      </c>
      <c r="D411">
        <v>143</v>
      </c>
      <c r="E411" s="2">
        <v>0.1484375</v>
      </c>
      <c r="F411">
        <v>213.75</v>
      </c>
    </row>
    <row r="412" spans="1:6" x14ac:dyDescent="0.25">
      <c r="A412" s="1">
        <v>38473</v>
      </c>
      <c r="B412" t="s">
        <v>23</v>
      </c>
      <c r="C412" t="s">
        <v>8</v>
      </c>
      <c r="D412">
        <v>82</v>
      </c>
      <c r="E412" s="2">
        <v>9.3148148148148147E-2</v>
      </c>
      <c r="F412">
        <v>134.13333333333333</v>
      </c>
    </row>
    <row r="413" spans="1:6" x14ac:dyDescent="0.25">
      <c r="A413" s="1">
        <v>38473</v>
      </c>
      <c r="B413" t="s">
        <v>23</v>
      </c>
      <c r="C413" t="s">
        <v>9</v>
      </c>
      <c r="D413">
        <v>27</v>
      </c>
      <c r="E413" s="2">
        <v>2.162037037037037E-2</v>
      </c>
      <c r="F413">
        <v>31.133333333333333</v>
      </c>
    </row>
    <row r="414" spans="1:6" x14ac:dyDescent="0.25">
      <c r="A414" s="1">
        <v>38473</v>
      </c>
      <c r="B414" t="s">
        <v>23</v>
      </c>
      <c r="C414" t="s">
        <v>10</v>
      </c>
      <c r="D414">
        <v>37</v>
      </c>
      <c r="E414" s="2">
        <v>3.318287037037037E-2</v>
      </c>
      <c r="F414">
        <v>47.783333333333331</v>
      </c>
    </row>
    <row r="415" spans="1:6" x14ac:dyDescent="0.25">
      <c r="A415" s="1">
        <v>38473</v>
      </c>
      <c r="B415" t="s">
        <v>23</v>
      </c>
      <c r="C415" t="s">
        <v>11</v>
      </c>
      <c r="D415">
        <v>60</v>
      </c>
      <c r="E415" s="2">
        <v>4.3449074074074077E-2</v>
      </c>
      <c r="F415">
        <v>62.56666666666667</v>
      </c>
    </row>
    <row r="416" spans="1:6" x14ac:dyDescent="0.25">
      <c r="A416" s="1">
        <v>38473</v>
      </c>
      <c r="B416" t="s">
        <v>24</v>
      </c>
      <c r="C416" t="s">
        <v>6</v>
      </c>
      <c r="D416">
        <v>58</v>
      </c>
      <c r="E416" s="2">
        <v>5.4988425925925927E-2</v>
      </c>
      <c r="F416">
        <v>79.183333333333337</v>
      </c>
    </row>
    <row r="417" spans="1:6" x14ac:dyDescent="0.25">
      <c r="A417" s="1">
        <v>38473</v>
      </c>
      <c r="B417" t="s">
        <v>24</v>
      </c>
      <c r="C417" t="s">
        <v>7</v>
      </c>
      <c r="D417">
        <v>61</v>
      </c>
      <c r="E417" s="2">
        <v>5.1527777777777777E-2</v>
      </c>
      <c r="F417">
        <v>74.2</v>
      </c>
    </row>
    <row r="418" spans="1:6" x14ac:dyDescent="0.25">
      <c r="A418" s="1">
        <v>38473</v>
      </c>
      <c r="B418" t="s">
        <v>24</v>
      </c>
      <c r="C418" t="s">
        <v>8</v>
      </c>
      <c r="D418">
        <v>38</v>
      </c>
      <c r="E418" s="2">
        <v>3.4293981481481481E-2</v>
      </c>
      <c r="F418">
        <v>49.383333333333333</v>
      </c>
    </row>
    <row r="419" spans="1:6" x14ac:dyDescent="0.25">
      <c r="A419" s="1">
        <v>38473</v>
      </c>
      <c r="B419" t="s">
        <v>24</v>
      </c>
      <c r="C419" t="s">
        <v>9</v>
      </c>
      <c r="D419">
        <v>14</v>
      </c>
      <c r="E419" s="2">
        <v>9.432870370370371E-3</v>
      </c>
      <c r="F419">
        <v>13.583333333333334</v>
      </c>
    </row>
    <row r="420" spans="1:6" x14ac:dyDescent="0.25">
      <c r="A420" s="1">
        <v>38473</v>
      </c>
      <c r="B420" t="s">
        <v>24</v>
      </c>
      <c r="C420" t="s">
        <v>10</v>
      </c>
      <c r="D420">
        <v>0</v>
      </c>
      <c r="E420" s="2">
        <v>0</v>
      </c>
      <c r="F420">
        <v>0</v>
      </c>
    </row>
    <row r="421" spans="1:6" x14ac:dyDescent="0.25">
      <c r="A421" s="1">
        <v>38473</v>
      </c>
      <c r="B421" t="s">
        <v>24</v>
      </c>
      <c r="C421" t="s">
        <v>11</v>
      </c>
      <c r="D421">
        <v>53</v>
      </c>
      <c r="E421" s="2">
        <v>3.5972222222222225E-2</v>
      </c>
      <c r="F421">
        <v>51.8</v>
      </c>
    </row>
    <row r="422" spans="1:6" x14ac:dyDescent="0.25">
      <c r="A422" s="1">
        <v>38504</v>
      </c>
      <c r="B422" t="s">
        <v>5</v>
      </c>
      <c r="C422" t="s">
        <v>6</v>
      </c>
      <c r="D422">
        <v>37</v>
      </c>
      <c r="E422" s="2">
        <v>4.103009259259259E-2</v>
      </c>
      <c r="F422">
        <v>59.083333333333336</v>
      </c>
    </row>
    <row r="423" spans="1:6" x14ac:dyDescent="0.25">
      <c r="A423" s="1">
        <v>38504</v>
      </c>
      <c r="B423" t="s">
        <v>5</v>
      </c>
      <c r="C423" t="s">
        <v>7</v>
      </c>
      <c r="D423">
        <v>24</v>
      </c>
      <c r="E423" s="2">
        <v>2.3483796296296298E-2</v>
      </c>
      <c r="F423">
        <v>33.81666666666667</v>
      </c>
    </row>
    <row r="424" spans="1:6" x14ac:dyDescent="0.25">
      <c r="A424" s="1">
        <v>38504</v>
      </c>
      <c r="B424" t="s">
        <v>5</v>
      </c>
      <c r="C424" t="s">
        <v>8</v>
      </c>
      <c r="D424">
        <v>20</v>
      </c>
      <c r="E424" s="2">
        <v>2.5173611111111112E-2</v>
      </c>
      <c r="F424">
        <v>36.25</v>
      </c>
    </row>
    <row r="425" spans="1:6" x14ac:dyDescent="0.25">
      <c r="A425" s="1">
        <v>38504</v>
      </c>
      <c r="B425" t="s">
        <v>5</v>
      </c>
      <c r="C425" t="s">
        <v>9</v>
      </c>
      <c r="D425">
        <v>1</v>
      </c>
      <c r="E425" s="2">
        <v>1.6319444444444445E-3</v>
      </c>
      <c r="F425">
        <v>2.35</v>
      </c>
    </row>
    <row r="426" spans="1:6" x14ac:dyDescent="0.25">
      <c r="A426" s="1">
        <v>38504</v>
      </c>
      <c r="B426" t="s">
        <v>5</v>
      </c>
      <c r="C426" t="s">
        <v>10</v>
      </c>
      <c r="D426">
        <v>8</v>
      </c>
      <c r="E426" s="2">
        <v>4.9074074074074072E-3</v>
      </c>
      <c r="F426">
        <v>7.0666666666666664</v>
      </c>
    </row>
    <row r="427" spans="1:6" x14ac:dyDescent="0.25">
      <c r="A427" s="1">
        <v>38504</v>
      </c>
      <c r="B427" t="s">
        <v>5</v>
      </c>
      <c r="C427" t="s">
        <v>11</v>
      </c>
      <c r="D427">
        <v>12</v>
      </c>
      <c r="E427" s="2">
        <v>1.0555555555555556E-2</v>
      </c>
      <c r="F427">
        <v>15.2</v>
      </c>
    </row>
    <row r="428" spans="1:6" x14ac:dyDescent="0.25">
      <c r="A428" s="1">
        <v>38504</v>
      </c>
      <c r="B428" t="s">
        <v>12</v>
      </c>
      <c r="C428" t="s">
        <v>6</v>
      </c>
      <c r="D428">
        <v>38</v>
      </c>
      <c r="E428" s="2">
        <v>4.2673611111111114E-2</v>
      </c>
      <c r="F428">
        <v>61.45</v>
      </c>
    </row>
    <row r="429" spans="1:6" x14ac:dyDescent="0.25">
      <c r="A429" s="1">
        <v>38504</v>
      </c>
      <c r="B429" t="s">
        <v>12</v>
      </c>
      <c r="C429" t="s">
        <v>7</v>
      </c>
      <c r="D429">
        <v>47</v>
      </c>
      <c r="E429" s="2">
        <v>5.7488425925925929E-2</v>
      </c>
      <c r="F429">
        <v>82.783333333333331</v>
      </c>
    </row>
    <row r="430" spans="1:6" x14ac:dyDescent="0.25">
      <c r="A430" s="1">
        <v>38504</v>
      </c>
      <c r="B430" t="s">
        <v>12</v>
      </c>
      <c r="C430" t="s">
        <v>8</v>
      </c>
      <c r="D430">
        <v>27</v>
      </c>
      <c r="E430" s="2">
        <v>3.2870370370370369E-2</v>
      </c>
      <c r="F430">
        <v>47.333333333333336</v>
      </c>
    </row>
    <row r="431" spans="1:6" x14ac:dyDescent="0.25">
      <c r="A431" s="1">
        <v>38504</v>
      </c>
      <c r="B431" t="s">
        <v>12</v>
      </c>
      <c r="C431" t="s">
        <v>9</v>
      </c>
      <c r="D431">
        <v>2</v>
      </c>
      <c r="E431" s="2">
        <v>1.2268518518518518E-3</v>
      </c>
      <c r="F431">
        <v>1.7666666666666666</v>
      </c>
    </row>
    <row r="432" spans="1:6" x14ac:dyDescent="0.25">
      <c r="A432" s="1">
        <v>38504</v>
      </c>
      <c r="B432" t="s">
        <v>12</v>
      </c>
      <c r="C432" t="s">
        <v>10</v>
      </c>
      <c r="D432">
        <v>0</v>
      </c>
      <c r="E432" s="2">
        <v>0</v>
      </c>
      <c r="F432">
        <v>0</v>
      </c>
    </row>
    <row r="433" spans="1:6" x14ac:dyDescent="0.25">
      <c r="A433" s="1">
        <v>38504</v>
      </c>
      <c r="B433" t="s">
        <v>12</v>
      </c>
      <c r="C433" t="s">
        <v>11</v>
      </c>
      <c r="D433">
        <v>16</v>
      </c>
      <c r="E433" s="2">
        <v>1.3391203703703704E-2</v>
      </c>
      <c r="F433">
        <v>19.283333333333335</v>
      </c>
    </row>
    <row r="434" spans="1:6" x14ac:dyDescent="0.25">
      <c r="A434" s="1">
        <v>38504</v>
      </c>
      <c r="B434" t="s">
        <v>13</v>
      </c>
      <c r="C434" t="s">
        <v>6</v>
      </c>
      <c r="D434">
        <v>54</v>
      </c>
      <c r="E434" s="2">
        <v>6.0428240740740741E-2</v>
      </c>
      <c r="F434">
        <v>87.016666666666666</v>
      </c>
    </row>
    <row r="435" spans="1:6" x14ac:dyDescent="0.25">
      <c r="A435" s="1">
        <v>38504</v>
      </c>
      <c r="B435" t="s">
        <v>13</v>
      </c>
      <c r="C435" t="s">
        <v>7</v>
      </c>
      <c r="D435">
        <v>44</v>
      </c>
      <c r="E435" s="2">
        <v>4.8333333333333332E-2</v>
      </c>
      <c r="F435">
        <v>69.599999999999994</v>
      </c>
    </row>
    <row r="436" spans="1:6" x14ac:dyDescent="0.25">
      <c r="A436" s="1">
        <v>38504</v>
      </c>
      <c r="B436" t="s">
        <v>13</v>
      </c>
      <c r="C436" t="s">
        <v>8</v>
      </c>
      <c r="D436">
        <v>35</v>
      </c>
      <c r="E436" s="2">
        <v>5.1562499999999997E-2</v>
      </c>
      <c r="F436">
        <v>74.25</v>
      </c>
    </row>
    <row r="437" spans="1:6" x14ac:dyDescent="0.25">
      <c r="A437" s="1">
        <v>38504</v>
      </c>
      <c r="B437" t="s">
        <v>13</v>
      </c>
      <c r="C437" t="s">
        <v>9</v>
      </c>
      <c r="D437">
        <v>2</v>
      </c>
      <c r="E437" s="2">
        <v>1.4120370370370369E-3</v>
      </c>
      <c r="F437">
        <v>2.0333333333333332</v>
      </c>
    </row>
    <row r="438" spans="1:6" x14ac:dyDescent="0.25">
      <c r="A438" s="1">
        <v>38504</v>
      </c>
      <c r="B438" t="s">
        <v>13</v>
      </c>
      <c r="C438" t="s">
        <v>10</v>
      </c>
      <c r="D438">
        <v>11</v>
      </c>
      <c r="E438" s="2">
        <v>9.8263888888888897E-3</v>
      </c>
      <c r="F438">
        <v>14.15</v>
      </c>
    </row>
    <row r="439" spans="1:6" x14ac:dyDescent="0.25">
      <c r="A439" s="1">
        <v>38504</v>
      </c>
      <c r="B439" t="s">
        <v>13</v>
      </c>
      <c r="C439" t="s">
        <v>11</v>
      </c>
      <c r="D439">
        <v>10</v>
      </c>
      <c r="E439" s="2">
        <v>6.7708333333333336E-3</v>
      </c>
      <c r="F439">
        <v>9.75</v>
      </c>
    </row>
    <row r="440" spans="1:6" x14ac:dyDescent="0.25">
      <c r="A440" s="1">
        <v>38504</v>
      </c>
      <c r="B440" t="s">
        <v>14</v>
      </c>
      <c r="C440" t="s">
        <v>6</v>
      </c>
      <c r="D440">
        <v>19</v>
      </c>
      <c r="E440" s="2">
        <v>2.4293981481481482E-2</v>
      </c>
      <c r="F440">
        <v>34.983333333333334</v>
      </c>
    </row>
    <row r="441" spans="1:6" x14ac:dyDescent="0.25">
      <c r="A441" s="1">
        <v>38504</v>
      </c>
      <c r="B441" t="s">
        <v>14</v>
      </c>
      <c r="C441" t="s">
        <v>7</v>
      </c>
      <c r="D441">
        <v>22</v>
      </c>
      <c r="E441" s="2">
        <v>2.914351851851852E-2</v>
      </c>
      <c r="F441">
        <v>41.966666666666669</v>
      </c>
    </row>
    <row r="442" spans="1:6" x14ac:dyDescent="0.25">
      <c r="A442" s="1">
        <v>38504</v>
      </c>
      <c r="B442" t="s">
        <v>14</v>
      </c>
      <c r="C442" t="s">
        <v>8</v>
      </c>
      <c r="D442">
        <v>12</v>
      </c>
      <c r="E442" s="2">
        <v>1.6099537037037037E-2</v>
      </c>
      <c r="F442">
        <v>23.183333333333334</v>
      </c>
    </row>
    <row r="443" spans="1:6" x14ac:dyDescent="0.25">
      <c r="A443" s="1">
        <v>38504</v>
      </c>
      <c r="B443" t="s">
        <v>14</v>
      </c>
      <c r="C443" t="s">
        <v>9</v>
      </c>
      <c r="D443">
        <v>3</v>
      </c>
      <c r="E443" s="2">
        <v>2.7662037037037039E-3</v>
      </c>
      <c r="F443">
        <v>3.9833333333333334</v>
      </c>
    </row>
    <row r="444" spans="1:6" x14ac:dyDescent="0.25">
      <c r="A444" s="1">
        <v>38504</v>
      </c>
      <c r="B444" t="s">
        <v>14</v>
      </c>
      <c r="C444" t="s">
        <v>10</v>
      </c>
      <c r="D444">
        <v>2</v>
      </c>
      <c r="E444" s="2">
        <v>2.476851851851852E-3</v>
      </c>
      <c r="F444">
        <v>3.5666666666666664</v>
      </c>
    </row>
    <row r="445" spans="1:6" x14ac:dyDescent="0.25">
      <c r="A445" s="1">
        <v>38504</v>
      </c>
      <c r="B445" t="s">
        <v>14</v>
      </c>
      <c r="C445" t="s">
        <v>11</v>
      </c>
      <c r="D445">
        <v>13</v>
      </c>
      <c r="E445" s="2">
        <v>1.3078703703703703E-2</v>
      </c>
      <c r="F445">
        <v>18.833333333333332</v>
      </c>
    </row>
    <row r="446" spans="1:6" x14ac:dyDescent="0.25">
      <c r="A446" s="1">
        <v>38504</v>
      </c>
      <c r="B446" t="s">
        <v>15</v>
      </c>
      <c r="C446" t="s">
        <v>6</v>
      </c>
      <c r="D446">
        <v>54</v>
      </c>
      <c r="E446" s="2">
        <v>5.8692129629629629E-2</v>
      </c>
      <c r="F446">
        <v>84.516666666666666</v>
      </c>
    </row>
    <row r="447" spans="1:6" x14ac:dyDescent="0.25">
      <c r="A447" s="1">
        <v>38504</v>
      </c>
      <c r="B447" t="s">
        <v>15</v>
      </c>
      <c r="C447" t="s">
        <v>7</v>
      </c>
      <c r="D447">
        <v>46</v>
      </c>
      <c r="E447" s="2">
        <v>4.6724537037037037E-2</v>
      </c>
      <c r="F447">
        <v>67.283333333333331</v>
      </c>
    </row>
    <row r="448" spans="1:6" x14ac:dyDescent="0.25">
      <c r="A448" s="1">
        <v>38504</v>
      </c>
      <c r="B448" t="s">
        <v>15</v>
      </c>
      <c r="C448" t="s">
        <v>8</v>
      </c>
      <c r="D448">
        <v>10</v>
      </c>
      <c r="E448" s="2">
        <v>1.1099537037037036E-2</v>
      </c>
      <c r="F448">
        <v>15.983333333333333</v>
      </c>
    </row>
    <row r="449" spans="1:6" x14ac:dyDescent="0.25">
      <c r="A449" s="1">
        <v>38504</v>
      </c>
      <c r="B449" t="s">
        <v>15</v>
      </c>
      <c r="C449" t="s">
        <v>9</v>
      </c>
      <c r="D449">
        <v>0</v>
      </c>
      <c r="E449" s="2">
        <v>0</v>
      </c>
      <c r="F449">
        <v>0</v>
      </c>
    </row>
    <row r="450" spans="1:6" x14ac:dyDescent="0.25">
      <c r="A450" s="1">
        <v>38504</v>
      </c>
      <c r="B450" t="s">
        <v>15</v>
      </c>
      <c r="C450" t="s">
        <v>10</v>
      </c>
      <c r="D450">
        <v>10</v>
      </c>
      <c r="E450" s="2">
        <v>1.0833333333333334E-2</v>
      </c>
      <c r="F450">
        <v>15.6</v>
      </c>
    </row>
    <row r="451" spans="1:6" x14ac:dyDescent="0.25">
      <c r="A451" s="1">
        <v>38504</v>
      </c>
      <c r="B451" t="s">
        <v>15</v>
      </c>
      <c r="C451" t="s">
        <v>11</v>
      </c>
      <c r="D451">
        <v>11</v>
      </c>
      <c r="E451" s="2">
        <v>1.0277777777777778E-2</v>
      </c>
      <c r="F451">
        <v>14.8</v>
      </c>
    </row>
    <row r="452" spans="1:6" x14ac:dyDescent="0.25">
      <c r="A452" s="1">
        <v>38504</v>
      </c>
      <c r="B452" t="s">
        <v>16</v>
      </c>
      <c r="C452" t="s">
        <v>6</v>
      </c>
      <c r="D452">
        <v>13</v>
      </c>
      <c r="E452" s="2">
        <v>1.4837962962962963E-2</v>
      </c>
      <c r="F452">
        <v>21.366666666666667</v>
      </c>
    </row>
    <row r="453" spans="1:6" x14ac:dyDescent="0.25">
      <c r="A453" s="1">
        <v>38504</v>
      </c>
      <c r="B453" t="s">
        <v>16</v>
      </c>
      <c r="C453" t="s">
        <v>7</v>
      </c>
      <c r="D453">
        <v>24</v>
      </c>
      <c r="E453" s="2">
        <v>3.0208333333333334E-2</v>
      </c>
      <c r="F453">
        <v>43.5</v>
      </c>
    </row>
    <row r="454" spans="1:6" x14ac:dyDescent="0.25">
      <c r="A454" s="1">
        <v>38504</v>
      </c>
      <c r="B454" t="s">
        <v>16</v>
      </c>
      <c r="C454" t="s">
        <v>8</v>
      </c>
      <c r="D454">
        <v>19</v>
      </c>
      <c r="E454" s="2">
        <v>2.2129629629629631E-2</v>
      </c>
      <c r="F454">
        <v>31.866666666666667</v>
      </c>
    </row>
    <row r="455" spans="1:6" x14ac:dyDescent="0.25">
      <c r="A455" s="1">
        <v>38504</v>
      </c>
      <c r="B455" t="s">
        <v>16</v>
      </c>
      <c r="C455" t="s">
        <v>9</v>
      </c>
      <c r="D455">
        <v>10</v>
      </c>
      <c r="E455" s="2">
        <v>5.3009259259259259E-3</v>
      </c>
      <c r="F455">
        <v>7.6333333333333329</v>
      </c>
    </row>
    <row r="456" spans="1:6" x14ac:dyDescent="0.25">
      <c r="A456" s="1">
        <v>38504</v>
      </c>
      <c r="B456" t="s">
        <v>16</v>
      </c>
      <c r="C456" t="s">
        <v>10</v>
      </c>
      <c r="D456">
        <v>0</v>
      </c>
      <c r="E456" s="2">
        <v>0</v>
      </c>
      <c r="F456">
        <v>0</v>
      </c>
    </row>
    <row r="457" spans="1:6" x14ac:dyDescent="0.25">
      <c r="A457" s="1">
        <v>38504</v>
      </c>
      <c r="B457" t="s">
        <v>16</v>
      </c>
      <c r="C457" t="s">
        <v>11</v>
      </c>
      <c r="D457">
        <v>11</v>
      </c>
      <c r="E457" s="2">
        <v>8.7384259259259255E-3</v>
      </c>
      <c r="F457">
        <v>12.583333333333334</v>
      </c>
    </row>
    <row r="458" spans="1:6" x14ac:dyDescent="0.25">
      <c r="A458" s="1">
        <v>38504</v>
      </c>
      <c r="B458" t="s">
        <v>17</v>
      </c>
      <c r="C458" t="s">
        <v>6</v>
      </c>
      <c r="D458">
        <v>3</v>
      </c>
      <c r="E458" s="2">
        <v>2.8587962962962963E-3</v>
      </c>
      <c r="F458">
        <v>4.1166666666666663</v>
      </c>
    </row>
    <row r="459" spans="1:6" x14ac:dyDescent="0.25">
      <c r="A459" s="1">
        <v>38504</v>
      </c>
      <c r="B459" t="s">
        <v>17</v>
      </c>
      <c r="C459" t="s">
        <v>7</v>
      </c>
      <c r="D459">
        <v>10</v>
      </c>
      <c r="E459" s="2">
        <v>8.0092592592592594E-3</v>
      </c>
      <c r="F459">
        <v>11.533333333333333</v>
      </c>
    </row>
    <row r="460" spans="1:6" x14ac:dyDescent="0.25">
      <c r="A460" s="1">
        <v>38504</v>
      </c>
      <c r="B460" t="s">
        <v>17</v>
      </c>
      <c r="C460" t="s">
        <v>8</v>
      </c>
      <c r="D460">
        <v>6</v>
      </c>
      <c r="E460" s="2">
        <v>7.7083333333333335E-3</v>
      </c>
      <c r="F460">
        <v>11.1</v>
      </c>
    </row>
    <row r="461" spans="1:6" x14ac:dyDescent="0.25">
      <c r="A461" s="1">
        <v>38504</v>
      </c>
      <c r="B461" t="s">
        <v>17</v>
      </c>
      <c r="C461" t="s">
        <v>9</v>
      </c>
      <c r="D461">
        <v>0</v>
      </c>
      <c r="E461" s="2">
        <v>0</v>
      </c>
      <c r="F461">
        <v>0</v>
      </c>
    </row>
    <row r="462" spans="1:6" x14ac:dyDescent="0.25">
      <c r="A462" s="1">
        <v>38504</v>
      </c>
      <c r="B462" t="s">
        <v>17</v>
      </c>
      <c r="C462" t="s">
        <v>10</v>
      </c>
      <c r="D462">
        <v>3</v>
      </c>
      <c r="E462" s="2">
        <v>3.2754629629629631E-3</v>
      </c>
      <c r="F462">
        <v>4.7166666666666668</v>
      </c>
    </row>
    <row r="463" spans="1:6" x14ac:dyDescent="0.25">
      <c r="A463" s="1">
        <v>38504</v>
      </c>
      <c r="B463" t="s">
        <v>17</v>
      </c>
      <c r="C463" t="s">
        <v>11</v>
      </c>
      <c r="D463">
        <v>3</v>
      </c>
      <c r="E463" s="2">
        <v>2.0138888888888888E-3</v>
      </c>
      <c r="F463">
        <v>2.9</v>
      </c>
    </row>
    <row r="464" spans="1:6" x14ac:dyDescent="0.25">
      <c r="A464" s="1">
        <v>38504</v>
      </c>
      <c r="B464" t="s">
        <v>18</v>
      </c>
      <c r="C464" t="s">
        <v>6</v>
      </c>
      <c r="D464">
        <v>95</v>
      </c>
      <c r="E464" s="2">
        <v>0.10325231481481481</v>
      </c>
      <c r="F464">
        <v>148.68333333333334</v>
      </c>
    </row>
    <row r="465" spans="1:6" x14ac:dyDescent="0.25">
      <c r="A465" s="1">
        <v>38504</v>
      </c>
      <c r="B465" t="s">
        <v>18</v>
      </c>
      <c r="C465" t="s">
        <v>7</v>
      </c>
      <c r="D465">
        <v>105</v>
      </c>
      <c r="E465" s="2">
        <v>0.13250000000000001</v>
      </c>
      <c r="F465">
        <v>190.8</v>
      </c>
    </row>
    <row r="466" spans="1:6" x14ac:dyDescent="0.25">
      <c r="A466" s="1">
        <v>38504</v>
      </c>
      <c r="B466" t="s">
        <v>18</v>
      </c>
      <c r="C466" t="s">
        <v>8</v>
      </c>
      <c r="D466">
        <v>91</v>
      </c>
      <c r="E466" s="2">
        <v>0.11707175925925926</v>
      </c>
      <c r="F466">
        <v>168.58333333333334</v>
      </c>
    </row>
    <row r="467" spans="1:6" x14ac:dyDescent="0.25">
      <c r="A467" s="1">
        <v>38504</v>
      </c>
      <c r="B467" t="s">
        <v>18</v>
      </c>
      <c r="C467" t="s">
        <v>9</v>
      </c>
      <c r="D467">
        <v>14</v>
      </c>
      <c r="E467" s="2">
        <v>8.7152777777777784E-3</v>
      </c>
      <c r="F467">
        <v>12.55</v>
      </c>
    </row>
    <row r="468" spans="1:6" x14ac:dyDescent="0.25">
      <c r="A468" s="1">
        <v>38504</v>
      </c>
      <c r="B468" t="s">
        <v>18</v>
      </c>
      <c r="C468" t="s">
        <v>10</v>
      </c>
      <c r="D468">
        <v>168</v>
      </c>
      <c r="E468" s="2">
        <v>0.16767361111111112</v>
      </c>
      <c r="F468">
        <v>241.45</v>
      </c>
    </row>
    <row r="469" spans="1:6" x14ac:dyDescent="0.25">
      <c r="A469" s="1">
        <v>38504</v>
      </c>
      <c r="B469" t="s">
        <v>18</v>
      </c>
      <c r="C469" t="s">
        <v>11</v>
      </c>
      <c r="D469">
        <v>26</v>
      </c>
      <c r="E469" s="2">
        <v>2.2199074074074072E-2</v>
      </c>
      <c r="F469">
        <v>31.966666666666665</v>
      </c>
    </row>
    <row r="470" spans="1:6" x14ac:dyDescent="0.25">
      <c r="A470" s="1">
        <v>38504</v>
      </c>
      <c r="B470" t="s">
        <v>19</v>
      </c>
      <c r="C470" t="s">
        <v>6</v>
      </c>
      <c r="D470">
        <v>51</v>
      </c>
      <c r="E470" s="2">
        <v>5.1643518518518519E-2</v>
      </c>
      <c r="F470">
        <v>74.36666666666666</v>
      </c>
    </row>
    <row r="471" spans="1:6" x14ac:dyDescent="0.25">
      <c r="A471" s="1">
        <v>38504</v>
      </c>
      <c r="B471" t="s">
        <v>19</v>
      </c>
      <c r="C471" t="s">
        <v>7</v>
      </c>
      <c r="D471">
        <v>44</v>
      </c>
      <c r="E471" s="2">
        <v>4.7037037037037037E-2</v>
      </c>
      <c r="F471">
        <v>67.733333333333334</v>
      </c>
    </row>
    <row r="472" spans="1:6" x14ac:dyDescent="0.25">
      <c r="A472" s="1">
        <v>38504</v>
      </c>
      <c r="B472" t="s">
        <v>19</v>
      </c>
      <c r="C472" t="s">
        <v>8</v>
      </c>
      <c r="D472">
        <v>31</v>
      </c>
      <c r="E472" s="2">
        <v>3.4930555555555555E-2</v>
      </c>
      <c r="F472">
        <v>50.3</v>
      </c>
    </row>
    <row r="473" spans="1:6" x14ac:dyDescent="0.25">
      <c r="A473" s="1">
        <v>38504</v>
      </c>
      <c r="B473" t="s">
        <v>19</v>
      </c>
      <c r="C473" t="s">
        <v>9</v>
      </c>
      <c r="D473">
        <v>11</v>
      </c>
      <c r="E473" s="2">
        <v>8.9351851851851849E-3</v>
      </c>
      <c r="F473">
        <v>12.866666666666667</v>
      </c>
    </row>
    <row r="474" spans="1:6" x14ac:dyDescent="0.25">
      <c r="A474" s="1">
        <v>38504</v>
      </c>
      <c r="B474" t="s">
        <v>19</v>
      </c>
      <c r="C474" t="s">
        <v>10</v>
      </c>
      <c r="D474">
        <v>12</v>
      </c>
      <c r="E474" s="2">
        <v>8.1828703703703699E-3</v>
      </c>
      <c r="F474">
        <v>11.783333333333333</v>
      </c>
    </row>
    <row r="475" spans="1:6" x14ac:dyDescent="0.25">
      <c r="A475" s="1">
        <v>38504</v>
      </c>
      <c r="B475" t="s">
        <v>19</v>
      </c>
      <c r="C475" t="s">
        <v>11</v>
      </c>
      <c r="D475">
        <v>20</v>
      </c>
      <c r="E475" s="2">
        <v>1.6886574074074075E-2</v>
      </c>
      <c r="F475">
        <v>24.316666666666666</v>
      </c>
    </row>
    <row r="476" spans="1:6" x14ac:dyDescent="0.25">
      <c r="A476" s="1">
        <v>38504</v>
      </c>
      <c r="B476" t="s">
        <v>20</v>
      </c>
      <c r="C476" t="s">
        <v>6</v>
      </c>
      <c r="D476">
        <v>29</v>
      </c>
      <c r="E476" s="2">
        <v>3.0405092592592591E-2</v>
      </c>
      <c r="F476">
        <v>43.783333333333331</v>
      </c>
    </row>
    <row r="477" spans="1:6" x14ac:dyDescent="0.25">
      <c r="A477" s="1">
        <v>38504</v>
      </c>
      <c r="B477" t="s">
        <v>20</v>
      </c>
      <c r="C477" t="s">
        <v>7</v>
      </c>
      <c r="D477">
        <v>25</v>
      </c>
      <c r="E477" s="2">
        <v>2.7025462962962963E-2</v>
      </c>
      <c r="F477">
        <v>38.916666666666664</v>
      </c>
    </row>
    <row r="478" spans="1:6" x14ac:dyDescent="0.25">
      <c r="A478" s="1">
        <v>38504</v>
      </c>
      <c r="B478" t="s">
        <v>20</v>
      </c>
      <c r="C478" t="s">
        <v>8</v>
      </c>
      <c r="D478">
        <v>21</v>
      </c>
      <c r="E478" s="2">
        <v>3.1504629629629632E-2</v>
      </c>
      <c r="F478">
        <v>45.366666666666667</v>
      </c>
    </row>
    <row r="479" spans="1:6" x14ac:dyDescent="0.25">
      <c r="A479" s="1">
        <v>38504</v>
      </c>
      <c r="B479" t="s">
        <v>20</v>
      </c>
      <c r="C479" t="s">
        <v>9</v>
      </c>
      <c r="D479">
        <v>4</v>
      </c>
      <c r="E479" s="2">
        <v>2.5462962962962965E-3</v>
      </c>
      <c r="F479">
        <v>3.6666666666666665</v>
      </c>
    </row>
    <row r="480" spans="1:6" x14ac:dyDescent="0.25">
      <c r="A480" s="1">
        <v>38504</v>
      </c>
      <c r="B480" t="s">
        <v>20</v>
      </c>
      <c r="C480" t="s">
        <v>10</v>
      </c>
      <c r="D480">
        <v>5</v>
      </c>
      <c r="E480" s="2">
        <v>5.347222222222222E-3</v>
      </c>
      <c r="F480">
        <v>7.7</v>
      </c>
    </row>
    <row r="481" spans="1:6" x14ac:dyDescent="0.25">
      <c r="A481" s="1">
        <v>38504</v>
      </c>
      <c r="B481" t="s">
        <v>20</v>
      </c>
      <c r="C481" t="s">
        <v>11</v>
      </c>
      <c r="D481">
        <v>5</v>
      </c>
      <c r="E481" s="2">
        <v>7.7314814814814815E-3</v>
      </c>
      <c r="F481">
        <v>11.133333333333333</v>
      </c>
    </row>
    <row r="482" spans="1:6" x14ac:dyDescent="0.25">
      <c r="A482" s="1">
        <v>38504</v>
      </c>
      <c r="B482" t="s">
        <v>21</v>
      </c>
      <c r="C482" t="s">
        <v>6</v>
      </c>
      <c r="D482">
        <v>23</v>
      </c>
      <c r="E482" s="2">
        <v>2.8796296296296296E-2</v>
      </c>
      <c r="F482">
        <v>41.466666666666669</v>
      </c>
    </row>
    <row r="483" spans="1:6" x14ac:dyDescent="0.25">
      <c r="A483" s="1">
        <v>38504</v>
      </c>
      <c r="B483" t="s">
        <v>21</v>
      </c>
      <c r="C483" t="s">
        <v>7</v>
      </c>
      <c r="D483">
        <v>32</v>
      </c>
      <c r="E483" s="2">
        <v>3.6030092592592593E-2</v>
      </c>
      <c r="F483">
        <v>51.883333333333333</v>
      </c>
    </row>
    <row r="484" spans="1:6" x14ac:dyDescent="0.25">
      <c r="A484" s="1">
        <v>38504</v>
      </c>
      <c r="B484" t="s">
        <v>21</v>
      </c>
      <c r="C484" t="s">
        <v>8</v>
      </c>
      <c r="D484">
        <v>13</v>
      </c>
      <c r="E484" s="2">
        <v>1.8703703703703705E-2</v>
      </c>
      <c r="F484">
        <v>26.933333333333334</v>
      </c>
    </row>
    <row r="485" spans="1:6" x14ac:dyDescent="0.25">
      <c r="A485" s="1">
        <v>38504</v>
      </c>
      <c r="B485" t="s">
        <v>21</v>
      </c>
      <c r="C485" t="s">
        <v>9</v>
      </c>
      <c r="D485">
        <v>6</v>
      </c>
      <c r="E485" s="2">
        <v>2.9050925925925928E-3</v>
      </c>
      <c r="F485">
        <v>4.1833333333333336</v>
      </c>
    </row>
    <row r="486" spans="1:6" x14ac:dyDescent="0.25">
      <c r="A486" s="1">
        <v>38504</v>
      </c>
      <c r="B486" t="s">
        <v>21</v>
      </c>
      <c r="C486" t="s">
        <v>10</v>
      </c>
      <c r="D486">
        <v>1</v>
      </c>
      <c r="E486" s="2">
        <v>2.2222222222222222E-3</v>
      </c>
      <c r="F486">
        <v>3.2</v>
      </c>
    </row>
    <row r="487" spans="1:6" x14ac:dyDescent="0.25">
      <c r="A487" s="1">
        <v>38504</v>
      </c>
      <c r="B487" t="s">
        <v>21</v>
      </c>
      <c r="C487" t="s">
        <v>11</v>
      </c>
      <c r="D487">
        <v>10</v>
      </c>
      <c r="E487" s="2">
        <v>1.1770833333333333E-2</v>
      </c>
      <c r="F487">
        <v>16.95</v>
      </c>
    </row>
    <row r="488" spans="1:6" x14ac:dyDescent="0.25">
      <c r="A488" s="1">
        <v>38504</v>
      </c>
      <c r="B488" t="s">
        <v>22</v>
      </c>
      <c r="C488" t="s">
        <v>6</v>
      </c>
      <c r="D488">
        <v>22</v>
      </c>
      <c r="E488" s="2">
        <v>2.6122685185185186E-2</v>
      </c>
      <c r="F488">
        <v>37.616666666666667</v>
      </c>
    </row>
    <row r="489" spans="1:6" x14ac:dyDescent="0.25">
      <c r="A489" s="1">
        <v>38504</v>
      </c>
      <c r="B489" t="s">
        <v>22</v>
      </c>
      <c r="C489" t="s">
        <v>7</v>
      </c>
      <c r="D489">
        <v>25</v>
      </c>
      <c r="E489" s="2">
        <v>2.4305555555555556E-2</v>
      </c>
      <c r="F489">
        <v>35</v>
      </c>
    </row>
    <row r="490" spans="1:6" x14ac:dyDescent="0.25">
      <c r="A490" s="1">
        <v>38504</v>
      </c>
      <c r="B490" t="s">
        <v>22</v>
      </c>
      <c r="C490" t="s">
        <v>8</v>
      </c>
      <c r="D490">
        <v>3</v>
      </c>
      <c r="E490" s="2">
        <v>3.7384259259259259E-3</v>
      </c>
      <c r="F490">
        <v>5.3833333333333337</v>
      </c>
    </row>
    <row r="491" spans="1:6" x14ac:dyDescent="0.25">
      <c r="A491" s="1">
        <v>38504</v>
      </c>
      <c r="B491" t="s">
        <v>22</v>
      </c>
      <c r="C491" t="s">
        <v>9</v>
      </c>
      <c r="D491">
        <v>1</v>
      </c>
      <c r="E491" s="2">
        <v>3.5879629629629629E-4</v>
      </c>
      <c r="F491">
        <v>0.51666666666666672</v>
      </c>
    </row>
    <row r="492" spans="1:6" x14ac:dyDescent="0.25">
      <c r="A492" s="1">
        <v>38504</v>
      </c>
      <c r="B492" t="s">
        <v>22</v>
      </c>
      <c r="C492" t="s">
        <v>10</v>
      </c>
      <c r="D492">
        <v>3</v>
      </c>
      <c r="E492" s="2">
        <v>2.0254629629629629E-3</v>
      </c>
      <c r="F492">
        <v>2.9166666666666665</v>
      </c>
    </row>
    <row r="493" spans="1:6" x14ac:dyDescent="0.25">
      <c r="A493" s="1">
        <v>38504</v>
      </c>
      <c r="B493" t="s">
        <v>22</v>
      </c>
      <c r="C493" t="s">
        <v>11</v>
      </c>
      <c r="D493">
        <v>4</v>
      </c>
      <c r="E493" s="2">
        <v>4.0856481481481481E-3</v>
      </c>
      <c r="F493">
        <v>5.8833333333333329</v>
      </c>
    </row>
    <row r="494" spans="1:6" x14ac:dyDescent="0.25">
      <c r="A494" s="1">
        <v>38504</v>
      </c>
      <c r="B494" t="s">
        <v>23</v>
      </c>
      <c r="C494" t="s">
        <v>6</v>
      </c>
      <c r="D494">
        <v>168</v>
      </c>
      <c r="E494" s="2">
        <v>0.17260416666666667</v>
      </c>
      <c r="F494">
        <v>248.55</v>
      </c>
    </row>
    <row r="495" spans="1:6" x14ac:dyDescent="0.25">
      <c r="A495" s="1">
        <v>38504</v>
      </c>
      <c r="B495" t="s">
        <v>23</v>
      </c>
      <c r="C495" t="s">
        <v>7</v>
      </c>
      <c r="D495">
        <v>134</v>
      </c>
      <c r="E495" s="2">
        <v>0.1620138888888889</v>
      </c>
      <c r="F495">
        <v>233.3</v>
      </c>
    </row>
    <row r="496" spans="1:6" x14ac:dyDescent="0.25">
      <c r="A496" s="1">
        <v>38504</v>
      </c>
      <c r="B496" t="s">
        <v>23</v>
      </c>
      <c r="C496" t="s">
        <v>8</v>
      </c>
      <c r="D496">
        <v>72</v>
      </c>
      <c r="E496" s="2">
        <v>9.2523148148148146E-2</v>
      </c>
      <c r="F496">
        <v>133.23333333333332</v>
      </c>
    </row>
    <row r="497" spans="1:6" x14ac:dyDescent="0.25">
      <c r="A497" s="1">
        <v>38504</v>
      </c>
      <c r="B497" t="s">
        <v>23</v>
      </c>
      <c r="C497" t="s">
        <v>9</v>
      </c>
      <c r="D497">
        <v>21</v>
      </c>
      <c r="E497" s="2">
        <v>1.474537037037037E-2</v>
      </c>
      <c r="F497">
        <v>21.233333333333334</v>
      </c>
    </row>
    <row r="498" spans="1:6" x14ac:dyDescent="0.25">
      <c r="A498" s="1">
        <v>38504</v>
      </c>
      <c r="B498" t="s">
        <v>23</v>
      </c>
      <c r="C498" t="s">
        <v>10</v>
      </c>
      <c r="D498">
        <v>26</v>
      </c>
      <c r="E498" s="2">
        <v>1.7650462962962962E-2</v>
      </c>
      <c r="F498">
        <v>25.416666666666668</v>
      </c>
    </row>
    <row r="499" spans="1:6" x14ac:dyDescent="0.25">
      <c r="A499" s="1">
        <v>38504</v>
      </c>
      <c r="B499" t="s">
        <v>23</v>
      </c>
      <c r="C499" t="s">
        <v>11</v>
      </c>
      <c r="D499">
        <v>67</v>
      </c>
      <c r="E499" s="2">
        <v>5.8796296296296298E-2</v>
      </c>
      <c r="F499">
        <v>84.666666666666671</v>
      </c>
    </row>
    <row r="500" spans="1:6" x14ac:dyDescent="0.25">
      <c r="A500" s="1">
        <v>38504</v>
      </c>
      <c r="B500" t="s">
        <v>24</v>
      </c>
      <c r="C500" t="s">
        <v>6</v>
      </c>
      <c r="D500">
        <v>53</v>
      </c>
      <c r="E500" s="2">
        <v>4.7743055555555552E-2</v>
      </c>
      <c r="F500">
        <v>68.75</v>
      </c>
    </row>
    <row r="501" spans="1:6" x14ac:dyDescent="0.25">
      <c r="A501" s="1">
        <v>38504</v>
      </c>
      <c r="B501" t="s">
        <v>24</v>
      </c>
      <c r="C501" t="s">
        <v>7</v>
      </c>
      <c r="D501">
        <v>49</v>
      </c>
      <c r="E501" s="2">
        <v>4.283564814814815E-2</v>
      </c>
      <c r="F501">
        <v>61.68333333333333</v>
      </c>
    </row>
    <row r="502" spans="1:6" x14ac:dyDescent="0.25">
      <c r="A502" s="1">
        <v>38504</v>
      </c>
      <c r="B502" t="s">
        <v>24</v>
      </c>
      <c r="C502" t="s">
        <v>8</v>
      </c>
      <c r="D502">
        <v>34</v>
      </c>
      <c r="E502" s="2">
        <v>3.2777777777777781E-2</v>
      </c>
      <c r="F502">
        <v>47.2</v>
      </c>
    </row>
    <row r="503" spans="1:6" x14ac:dyDescent="0.25">
      <c r="A503" s="1">
        <v>38504</v>
      </c>
      <c r="B503" t="s">
        <v>24</v>
      </c>
      <c r="C503" t="s">
        <v>9</v>
      </c>
      <c r="D503">
        <v>12</v>
      </c>
      <c r="E503" s="2">
        <v>8.8310185185185193E-3</v>
      </c>
      <c r="F503">
        <v>12.716666666666667</v>
      </c>
    </row>
    <row r="504" spans="1:6" x14ac:dyDescent="0.25">
      <c r="A504" s="1">
        <v>38504</v>
      </c>
      <c r="B504" t="s">
        <v>24</v>
      </c>
      <c r="C504" t="s">
        <v>10</v>
      </c>
      <c r="D504">
        <v>2</v>
      </c>
      <c r="E504" s="2">
        <v>7.407407407407407E-4</v>
      </c>
      <c r="F504">
        <v>1.0666666666666667</v>
      </c>
    </row>
    <row r="505" spans="1:6" x14ac:dyDescent="0.25">
      <c r="A505" s="1">
        <v>38504</v>
      </c>
      <c r="B505" t="s">
        <v>24</v>
      </c>
      <c r="C505" t="s">
        <v>11</v>
      </c>
      <c r="D505">
        <v>29</v>
      </c>
      <c r="E505" s="2">
        <v>1.7314814814814814E-2</v>
      </c>
      <c r="F505">
        <v>24.933333333333334</v>
      </c>
    </row>
    <row r="506" spans="1:6" x14ac:dyDescent="0.25">
      <c r="A506" s="1">
        <v>38534</v>
      </c>
      <c r="B506" t="s">
        <v>5</v>
      </c>
      <c r="C506" t="s">
        <v>6</v>
      </c>
      <c r="D506">
        <v>43</v>
      </c>
      <c r="E506" s="2">
        <v>4.0949074074074075E-2</v>
      </c>
      <c r="F506">
        <v>58.966666666666669</v>
      </c>
    </row>
    <row r="507" spans="1:6" x14ac:dyDescent="0.25">
      <c r="A507" s="1">
        <v>38534</v>
      </c>
      <c r="B507" t="s">
        <v>5</v>
      </c>
      <c r="C507" t="s">
        <v>7</v>
      </c>
      <c r="D507">
        <v>46</v>
      </c>
      <c r="E507" s="2">
        <v>3.4699074074074077E-2</v>
      </c>
      <c r="F507">
        <v>49.966666666666669</v>
      </c>
    </row>
    <row r="508" spans="1:6" x14ac:dyDescent="0.25">
      <c r="A508" s="1">
        <v>38534</v>
      </c>
      <c r="B508" t="s">
        <v>5</v>
      </c>
      <c r="C508" t="s">
        <v>8</v>
      </c>
      <c r="D508">
        <v>15</v>
      </c>
      <c r="E508" s="2">
        <v>1.34375E-2</v>
      </c>
      <c r="F508">
        <v>19.350000000000001</v>
      </c>
    </row>
    <row r="509" spans="1:6" x14ac:dyDescent="0.25">
      <c r="A509" s="1">
        <v>38534</v>
      </c>
      <c r="B509" t="s">
        <v>5</v>
      </c>
      <c r="C509" t="s">
        <v>9</v>
      </c>
      <c r="D509">
        <v>9</v>
      </c>
      <c r="E509" s="2">
        <v>5.2314814814814811E-3</v>
      </c>
      <c r="F509">
        <v>7.5333333333333332</v>
      </c>
    </row>
    <row r="510" spans="1:6" x14ac:dyDescent="0.25">
      <c r="A510" s="1">
        <v>38534</v>
      </c>
      <c r="B510" t="s">
        <v>5</v>
      </c>
      <c r="C510" t="s">
        <v>10</v>
      </c>
      <c r="D510">
        <v>12</v>
      </c>
      <c r="E510" s="2">
        <v>7.6273148148148151E-3</v>
      </c>
      <c r="F510">
        <v>10.983333333333333</v>
      </c>
    </row>
    <row r="511" spans="1:6" x14ac:dyDescent="0.25">
      <c r="A511" s="1">
        <v>38534</v>
      </c>
      <c r="B511" t="s">
        <v>5</v>
      </c>
      <c r="C511" t="s">
        <v>11</v>
      </c>
      <c r="D511">
        <v>13</v>
      </c>
      <c r="E511" s="2">
        <v>7.4999999999999997E-3</v>
      </c>
      <c r="F511">
        <v>10.8</v>
      </c>
    </row>
    <row r="512" spans="1:6" x14ac:dyDescent="0.25">
      <c r="A512" s="1">
        <v>38534</v>
      </c>
      <c r="B512" t="s">
        <v>12</v>
      </c>
      <c r="C512" t="s">
        <v>6</v>
      </c>
      <c r="D512">
        <v>47</v>
      </c>
      <c r="E512" s="2">
        <v>5.5057870370370368E-2</v>
      </c>
      <c r="F512">
        <v>79.283333333333331</v>
      </c>
    </row>
    <row r="513" spans="1:6" x14ac:dyDescent="0.25">
      <c r="A513" s="1">
        <v>38534</v>
      </c>
      <c r="B513" t="s">
        <v>12</v>
      </c>
      <c r="C513" t="s">
        <v>7</v>
      </c>
      <c r="D513">
        <v>61</v>
      </c>
      <c r="E513" s="2">
        <v>7.5231481481481483E-2</v>
      </c>
      <c r="F513">
        <v>108.33333333333333</v>
      </c>
    </row>
    <row r="514" spans="1:6" x14ac:dyDescent="0.25">
      <c r="A514" s="1">
        <v>38534</v>
      </c>
      <c r="B514" t="s">
        <v>12</v>
      </c>
      <c r="C514" t="s">
        <v>8</v>
      </c>
      <c r="D514">
        <v>25</v>
      </c>
      <c r="E514" s="2">
        <v>3.3449074074074076E-2</v>
      </c>
      <c r="F514">
        <v>48.166666666666664</v>
      </c>
    </row>
    <row r="515" spans="1:6" x14ac:dyDescent="0.25">
      <c r="A515" s="1">
        <v>38534</v>
      </c>
      <c r="B515" t="s">
        <v>12</v>
      </c>
      <c r="C515" t="s">
        <v>9</v>
      </c>
      <c r="D515">
        <v>2</v>
      </c>
      <c r="E515" s="2">
        <v>1.3194444444444445E-3</v>
      </c>
      <c r="F515">
        <v>1.9</v>
      </c>
    </row>
    <row r="516" spans="1:6" x14ac:dyDescent="0.25">
      <c r="A516" s="1">
        <v>38534</v>
      </c>
      <c r="B516" t="s">
        <v>12</v>
      </c>
      <c r="C516" t="s">
        <v>10</v>
      </c>
      <c r="D516">
        <v>3</v>
      </c>
      <c r="E516" s="2">
        <v>3.4837962962962965E-3</v>
      </c>
      <c r="F516">
        <v>5.0166666666666666</v>
      </c>
    </row>
    <row r="517" spans="1:6" x14ac:dyDescent="0.25">
      <c r="A517" s="1">
        <v>38534</v>
      </c>
      <c r="B517" t="s">
        <v>12</v>
      </c>
      <c r="C517" t="s">
        <v>11</v>
      </c>
      <c r="D517">
        <v>19</v>
      </c>
      <c r="E517" s="2">
        <v>1.6307870370370372E-2</v>
      </c>
      <c r="F517">
        <v>23.483333333333334</v>
      </c>
    </row>
    <row r="518" spans="1:6" x14ac:dyDescent="0.25">
      <c r="A518" s="1">
        <v>38534</v>
      </c>
      <c r="B518" t="s">
        <v>13</v>
      </c>
      <c r="C518" t="s">
        <v>6</v>
      </c>
      <c r="D518">
        <v>43</v>
      </c>
      <c r="E518" s="2">
        <v>4.8993055555555554E-2</v>
      </c>
      <c r="F518">
        <v>70.55</v>
      </c>
    </row>
    <row r="519" spans="1:6" x14ac:dyDescent="0.25">
      <c r="A519" s="1">
        <v>38534</v>
      </c>
      <c r="B519" t="s">
        <v>13</v>
      </c>
      <c r="C519" t="s">
        <v>7</v>
      </c>
      <c r="D519">
        <v>34</v>
      </c>
      <c r="E519" s="2">
        <v>3.7870370370370374E-2</v>
      </c>
      <c r="F519">
        <v>54.533333333333331</v>
      </c>
    </row>
    <row r="520" spans="1:6" x14ac:dyDescent="0.25">
      <c r="A520" s="1">
        <v>38534</v>
      </c>
      <c r="B520" t="s">
        <v>13</v>
      </c>
      <c r="C520" t="s">
        <v>8</v>
      </c>
      <c r="D520">
        <v>25</v>
      </c>
      <c r="E520" s="2">
        <v>3.4884259259259261E-2</v>
      </c>
      <c r="F520">
        <v>50.233333333333334</v>
      </c>
    </row>
    <row r="521" spans="1:6" x14ac:dyDescent="0.25">
      <c r="A521" s="1">
        <v>38534</v>
      </c>
      <c r="B521" t="s">
        <v>13</v>
      </c>
      <c r="C521" t="s">
        <v>9</v>
      </c>
      <c r="D521">
        <v>11</v>
      </c>
      <c r="E521" s="2">
        <v>6.7939814814814816E-3</v>
      </c>
      <c r="F521">
        <v>9.7833333333333332</v>
      </c>
    </row>
    <row r="522" spans="1:6" x14ac:dyDescent="0.25">
      <c r="A522" s="1">
        <v>38534</v>
      </c>
      <c r="B522" t="s">
        <v>13</v>
      </c>
      <c r="C522" t="s">
        <v>10</v>
      </c>
      <c r="D522">
        <v>12</v>
      </c>
      <c r="E522" s="2">
        <v>1.1319444444444444E-2</v>
      </c>
      <c r="F522">
        <v>16.3</v>
      </c>
    </row>
    <row r="523" spans="1:6" x14ac:dyDescent="0.25">
      <c r="A523" s="1">
        <v>38534</v>
      </c>
      <c r="B523" t="s">
        <v>13</v>
      </c>
      <c r="C523" t="s">
        <v>11</v>
      </c>
      <c r="D523">
        <v>13</v>
      </c>
      <c r="E523" s="2">
        <v>1.1793981481481482E-2</v>
      </c>
      <c r="F523">
        <v>16.983333333333334</v>
      </c>
    </row>
    <row r="524" spans="1:6" x14ac:dyDescent="0.25">
      <c r="A524" s="1">
        <v>38534</v>
      </c>
      <c r="B524" t="s">
        <v>14</v>
      </c>
      <c r="C524" t="s">
        <v>6</v>
      </c>
      <c r="D524">
        <v>9</v>
      </c>
      <c r="E524" s="2">
        <v>9.5601851851851855E-3</v>
      </c>
      <c r="F524">
        <v>13.766666666666667</v>
      </c>
    </row>
    <row r="525" spans="1:6" x14ac:dyDescent="0.25">
      <c r="A525" s="1">
        <v>38534</v>
      </c>
      <c r="B525" t="s">
        <v>14</v>
      </c>
      <c r="C525" t="s">
        <v>7</v>
      </c>
      <c r="D525">
        <v>11</v>
      </c>
      <c r="E525" s="2">
        <v>1.0578703703703703E-2</v>
      </c>
      <c r="F525">
        <v>15.233333333333333</v>
      </c>
    </row>
    <row r="526" spans="1:6" x14ac:dyDescent="0.25">
      <c r="A526" s="1">
        <v>38534</v>
      </c>
      <c r="B526" t="s">
        <v>14</v>
      </c>
      <c r="C526" t="s">
        <v>8</v>
      </c>
      <c r="D526">
        <v>8</v>
      </c>
      <c r="E526" s="2">
        <v>1.425925925925926E-2</v>
      </c>
      <c r="F526">
        <v>20.533333333333335</v>
      </c>
    </row>
    <row r="527" spans="1:6" x14ac:dyDescent="0.25">
      <c r="A527" s="1">
        <v>38534</v>
      </c>
      <c r="B527" t="s">
        <v>14</v>
      </c>
      <c r="C527" t="s">
        <v>9</v>
      </c>
      <c r="D527">
        <v>2</v>
      </c>
      <c r="E527" s="2">
        <v>1.2037037037037038E-3</v>
      </c>
      <c r="F527">
        <v>1.7333333333333334</v>
      </c>
    </row>
    <row r="528" spans="1:6" x14ac:dyDescent="0.25">
      <c r="A528" s="1">
        <v>38534</v>
      </c>
      <c r="B528" t="s">
        <v>14</v>
      </c>
      <c r="C528" t="s">
        <v>10</v>
      </c>
      <c r="D528">
        <v>1</v>
      </c>
      <c r="E528" s="2">
        <v>1.6782407407407408E-3</v>
      </c>
      <c r="F528">
        <v>2.4166666666666665</v>
      </c>
    </row>
    <row r="529" spans="1:6" x14ac:dyDescent="0.25">
      <c r="A529" s="1">
        <v>38534</v>
      </c>
      <c r="B529" t="s">
        <v>14</v>
      </c>
      <c r="C529" t="s">
        <v>11</v>
      </c>
      <c r="D529">
        <v>3</v>
      </c>
      <c r="E529" s="2">
        <v>3.6921296296296298E-3</v>
      </c>
      <c r="F529">
        <v>5.3166666666666664</v>
      </c>
    </row>
    <row r="530" spans="1:6" x14ac:dyDescent="0.25">
      <c r="A530" s="1">
        <v>38534</v>
      </c>
      <c r="B530" t="s">
        <v>15</v>
      </c>
      <c r="C530" t="s">
        <v>6</v>
      </c>
      <c r="D530">
        <v>42</v>
      </c>
      <c r="E530" s="2">
        <v>4.7233796296296295E-2</v>
      </c>
      <c r="F530">
        <v>68.016666666666666</v>
      </c>
    </row>
    <row r="531" spans="1:6" x14ac:dyDescent="0.25">
      <c r="A531" s="1">
        <v>38534</v>
      </c>
      <c r="B531" t="s">
        <v>15</v>
      </c>
      <c r="C531" t="s">
        <v>7</v>
      </c>
      <c r="D531">
        <v>48</v>
      </c>
      <c r="E531" s="2">
        <v>4.821759259259259E-2</v>
      </c>
      <c r="F531">
        <v>69.433333333333337</v>
      </c>
    </row>
    <row r="532" spans="1:6" x14ac:dyDescent="0.25">
      <c r="A532" s="1">
        <v>38534</v>
      </c>
      <c r="B532" t="s">
        <v>15</v>
      </c>
      <c r="C532" t="s">
        <v>8</v>
      </c>
      <c r="D532">
        <v>18</v>
      </c>
      <c r="E532" s="2">
        <v>1.7708333333333333E-2</v>
      </c>
      <c r="F532">
        <v>25.5</v>
      </c>
    </row>
    <row r="533" spans="1:6" x14ac:dyDescent="0.25">
      <c r="A533" s="1">
        <v>38534</v>
      </c>
      <c r="B533" t="s">
        <v>15</v>
      </c>
      <c r="C533" t="s">
        <v>9</v>
      </c>
      <c r="D533">
        <v>3</v>
      </c>
      <c r="E533" s="2">
        <v>3.2754629629629631E-3</v>
      </c>
      <c r="F533">
        <v>4.7166666666666668</v>
      </c>
    </row>
    <row r="534" spans="1:6" x14ac:dyDescent="0.25">
      <c r="A534" s="1">
        <v>38534</v>
      </c>
      <c r="B534" t="s">
        <v>15</v>
      </c>
      <c r="C534" t="s">
        <v>10</v>
      </c>
      <c r="D534">
        <v>9</v>
      </c>
      <c r="E534" s="2">
        <v>6.6087962962962966E-3</v>
      </c>
      <c r="F534">
        <v>9.5166666666666675</v>
      </c>
    </row>
    <row r="535" spans="1:6" x14ac:dyDescent="0.25">
      <c r="A535" s="1">
        <v>38534</v>
      </c>
      <c r="B535" t="s">
        <v>15</v>
      </c>
      <c r="C535" t="s">
        <v>11</v>
      </c>
      <c r="D535">
        <v>18</v>
      </c>
      <c r="E535" s="2">
        <v>1.2199074074074074E-2</v>
      </c>
      <c r="F535">
        <v>17.566666666666666</v>
      </c>
    </row>
    <row r="536" spans="1:6" x14ac:dyDescent="0.25">
      <c r="A536" s="1">
        <v>38534</v>
      </c>
      <c r="B536" t="s">
        <v>16</v>
      </c>
      <c r="C536" t="s">
        <v>6</v>
      </c>
      <c r="D536">
        <v>14</v>
      </c>
      <c r="E536" s="2">
        <v>1.59375E-2</v>
      </c>
      <c r="F536">
        <v>22.95</v>
      </c>
    </row>
    <row r="537" spans="1:6" x14ac:dyDescent="0.25">
      <c r="A537" s="1">
        <v>38534</v>
      </c>
      <c r="B537" t="s">
        <v>16</v>
      </c>
      <c r="C537" t="s">
        <v>7</v>
      </c>
      <c r="D537">
        <v>11</v>
      </c>
      <c r="E537" s="2">
        <v>1.0706018518518519E-2</v>
      </c>
      <c r="F537">
        <v>15.416666666666666</v>
      </c>
    </row>
    <row r="538" spans="1:6" x14ac:dyDescent="0.25">
      <c r="A538" s="1">
        <v>38534</v>
      </c>
      <c r="B538" t="s">
        <v>16</v>
      </c>
      <c r="C538" t="s">
        <v>8</v>
      </c>
      <c r="D538">
        <v>8</v>
      </c>
      <c r="E538" s="2">
        <v>7.6736111111111111E-3</v>
      </c>
      <c r="F538">
        <v>11.05</v>
      </c>
    </row>
    <row r="539" spans="1:6" x14ac:dyDescent="0.25">
      <c r="A539" s="1">
        <v>38534</v>
      </c>
      <c r="B539" t="s">
        <v>16</v>
      </c>
      <c r="C539" t="s">
        <v>9</v>
      </c>
      <c r="D539">
        <v>4</v>
      </c>
      <c r="E539" s="2">
        <v>1.6666666666666668E-3</v>
      </c>
      <c r="F539">
        <v>2.4</v>
      </c>
    </row>
    <row r="540" spans="1:6" x14ac:dyDescent="0.25">
      <c r="A540" s="1">
        <v>38534</v>
      </c>
      <c r="B540" t="s">
        <v>16</v>
      </c>
      <c r="C540" t="s">
        <v>10</v>
      </c>
      <c r="D540">
        <v>1</v>
      </c>
      <c r="E540" s="2">
        <v>1.1458333333333333E-3</v>
      </c>
      <c r="F540">
        <v>1.65</v>
      </c>
    </row>
    <row r="541" spans="1:6" x14ac:dyDescent="0.25">
      <c r="A541" s="1">
        <v>38534</v>
      </c>
      <c r="B541" t="s">
        <v>16</v>
      </c>
      <c r="C541" t="s">
        <v>11</v>
      </c>
      <c r="D541">
        <v>8</v>
      </c>
      <c r="E541" s="2">
        <v>6.4583333333333333E-3</v>
      </c>
      <c r="F541">
        <v>9.3000000000000007</v>
      </c>
    </row>
    <row r="542" spans="1:6" x14ac:dyDescent="0.25">
      <c r="A542" s="1">
        <v>38534</v>
      </c>
      <c r="B542" t="s">
        <v>17</v>
      </c>
      <c r="C542" t="s">
        <v>6</v>
      </c>
      <c r="D542">
        <v>8</v>
      </c>
      <c r="E542" s="2">
        <v>6.1805555555555555E-3</v>
      </c>
      <c r="F542">
        <v>8.9</v>
      </c>
    </row>
    <row r="543" spans="1:6" x14ac:dyDescent="0.25">
      <c r="A543" s="1">
        <v>38534</v>
      </c>
      <c r="B543" t="s">
        <v>17</v>
      </c>
      <c r="C543" t="s">
        <v>7</v>
      </c>
      <c r="D543">
        <v>11</v>
      </c>
      <c r="E543" s="2">
        <v>1.0011574074074074E-2</v>
      </c>
      <c r="F543">
        <v>14.416666666666666</v>
      </c>
    </row>
    <row r="544" spans="1:6" x14ac:dyDescent="0.25">
      <c r="A544" s="1">
        <v>38534</v>
      </c>
      <c r="B544" t="s">
        <v>17</v>
      </c>
      <c r="C544" t="s">
        <v>8</v>
      </c>
      <c r="D544">
        <v>9</v>
      </c>
      <c r="E544" s="2">
        <v>1.1435185185185185E-2</v>
      </c>
      <c r="F544">
        <v>16.466666666666665</v>
      </c>
    </row>
    <row r="545" spans="1:6" x14ac:dyDescent="0.25">
      <c r="A545" s="1">
        <v>38534</v>
      </c>
      <c r="B545" t="s">
        <v>17</v>
      </c>
      <c r="C545" t="s">
        <v>9</v>
      </c>
      <c r="D545">
        <v>1</v>
      </c>
      <c r="E545" s="2">
        <v>3.5879629629629629E-4</v>
      </c>
      <c r="F545">
        <v>0.51666666666666672</v>
      </c>
    </row>
    <row r="546" spans="1:6" x14ac:dyDescent="0.25">
      <c r="A546" s="1">
        <v>38534</v>
      </c>
      <c r="B546" t="s">
        <v>17</v>
      </c>
      <c r="C546" t="s">
        <v>10</v>
      </c>
      <c r="D546">
        <v>4</v>
      </c>
      <c r="E546" s="2">
        <v>2.4074074074074076E-3</v>
      </c>
      <c r="F546">
        <v>3.4666666666666668</v>
      </c>
    </row>
    <row r="547" spans="1:6" x14ac:dyDescent="0.25">
      <c r="A547" s="1">
        <v>38534</v>
      </c>
      <c r="B547" t="s">
        <v>17</v>
      </c>
      <c r="C547" t="s">
        <v>11</v>
      </c>
      <c r="D547">
        <v>4</v>
      </c>
      <c r="E547" s="2">
        <v>1.6782407407407408E-3</v>
      </c>
      <c r="F547">
        <v>2.4166666666666665</v>
      </c>
    </row>
    <row r="548" spans="1:6" x14ac:dyDescent="0.25">
      <c r="A548" s="1">
        <v>38534</v>
      </c>
      <c r="B548" t="s">
        <v>18</v>
      </c>
      <c r="C548" t="s">
        <v>6</v>
      </c>
      <c r="D548">
        <v>185</v>
      </c>
      <c r="E548" s="2">
        <v>0.21706018518518519</v>
      </c>
      <c r="F548">
        <v>312.56666666666666</v>
      </c>
    </row>
    <row r="549" spans="1:6" x14ac:dyDescent="0.25">
      <c r="A549" s="1">
        <v>38534</v>
      </c>
      <c r="B549" t="s">
        <v>18</v>
      </c>
      <c r="C549" t="s">
        <v>7</v>
      </c>
      <c r="D549">
        <v>208</v>
      </c>
      <c r="E549" s="2">
        <v>0.24063657407407407</v>
      </c>
      <c r="F549">
        <v>346.51666666666665</v>
      </c>
    </row>
    <row r="550" spans="1:6" x14ac:dyDescent="0.25">
      <c r="A550" s="1">
        <v>38534</v>
      </c>
      <c r="B550" t="s">
        <v>18</v>
      </c>
      <c r="C550" t="s">
        <v>8</v>
      </c>
      <c r="D550">
        <v>134</v>
      </c>
      <c r="E550" s="2">
        <v>0.16341435185185185</v>
      </c>
      <c r="F550">
        <v>235.31666666666666</v>
      </c>
    </row>
    <row r="551" spans="1:6" x14ac:dyDescent="0.25">
      <c r="A551" s="1">
        <v>38534</v>
      </c>
      <c r="B551" t="s">
        <v>18</v>
      </c>
      <c r="C551" t="s">
        <v>9</v>
      </c>
      <c r="D551">
        <v>52</v>
      </c>
      <c r="E551" s="2">
        <v>3.6249999999999998E-2</v>
      </c>
      <c r="F551">
        <v>52.2</v>
      </c>
    </row>
    <row r="552" spans="1:6" x14ac:dyDescent="0.25">
      <c r="A552" s="1">
        <v>38534</v>
      </c>
      <c r="B552" t="s">
        <v>18</v>
      </c>
      <c r="C552" t="s">
        <v>10</v>
      </c>
      <c r="D552">
        <v>148</v>
      </c>
      <c r="E552" s="2">
        <v>0.14614583333333334</v>
      </c>
      <c r="F552">
        <v>210.45</v>
      </c>
    </row>
    <row r="553" spans="1:6" x14ac:dyDescent="0.25">
      <c r="A553" s="1">
        <v>38534</v>
      </c>
      <c r="B553" t="s">
        <v>18</v>
      </c>
      <c r="C553" t="s">
        <v>11</v>
      </c>
      <c r="D553">
        <v>72</v>
      </c>
      <c r="E553" s="2">
        <v>6.2245370370370368E-2</v>
      </c>
      <c r="F553">
        <v>89.63333333333334</v>
      </c>
    </row>
    <row r="554" spans="1:6" x14ac:dyDescent="0.25">
      <c r="A554" s="1">
        <v>38534</v>
      </c>
      <c r="B554" t="s">
        <v>19</v>
      </c>
      <c r="C554" t="s">
        <v>6</v>
      </c>
      <c r="D554">
        <v>22</v>
      </c>
      <c r="E554" s="2">
        <v>2.6192129629629631E-2</v>
      </c>
      <c r="F554">
        <v>37.716666666666669</v>
      </c>
    </row>
    <row r="555" spans="1:6" x14ac:dyDescent="0.25">
      <c r="A555" s="1">
        <v>38534</v>
      </c>
      <c r="B555" t="s">
        <v>19</v>
      </c>
      <c r="C555" t="s">
        <v>7</v>
      </c>
      <c r="D555">
        <v>23</v>
      </c>
      <c r="E555" s="2">
        <v>2.3368055555555555E-2</v>
      </c>
      <c r="F555">
        <v>33.65</v>
      </c>
    </row>
    <row r="556" spans="1:6" x14ac:dyDescent="0.25">
      <c r="A556" s="1">
        <v>38534</v>
      </c>
      <c r="B556" t="s">
        <v>19</v>
      </c>
      <c r="C556" t="s">
        <v>8</v>
      </c>
      <c r="D556">
        <v>23</v>
      </c>
      <c r="E556" s="2">
        <v>2.3807870370370372E-2</v>
      </c>
      <c r="F556">
        <v>34.283333333333331</v>
      </c>
    </row>
    <row r="557" spans="1:6" x14ac:dyDescent="0.25">
      <c r="A557" s="1">
        <v>38534</v>
      </c>
      <c r="B557" t="s">
        <v>19</v>
      </c>
      <c r="C557" t="s">
        <v>9</v>
      </c>
      <c r="D557">
        <v>14</v>
      </c>
      <c r="E557" s="2">
        <v>7.6967592592592591E-3</v>
      </c>
      <c r="F557">
        <v>11.083333333333334</v>
      </c>
    </row>
    <row r="558" spans="1:6" x14ac:dyDescent="0.25">
      <c r="A558" s="1">
        <v>38534</v>
      </c>
      <c r="B558" t="s">
        <v>19</v>
      </c>
      <c r="C558" t="s">
        <v>10</v>
      </c>
      <c r="D558">
        <v>17</v>
      </c>
      <c r="E558" s="2">
        <v>1.2037037037037037E-2</v>
      </c>
      <c r="F558">
        <v>17.333333333333332</v>
      </c>
    </row>
    <row r="559" spans="1:6" x14ac:dyDescent="0.25">
      <c r="A559" s="1">
        <v>38534</v>
      </c>
      <c r="B559" t="s">
        <v>19</v>
      </c>
      <c r="C559" t="s">
        <v>11</v>
      </c>
      <c r="D559">
        <v>12</v>
      </c>
      <c r="E559" s="2">
        <v>3.9120370370370368E-3</v>
      </c>
      <c r="F559">
        <v>5.6333333333333329</v>
      </c>
    </row>
    <row r="560" spans="1:6" x14ac:dyDescent="0.25">
      <c r="A560" s="1">
        <v>38534</v>
      </c>
      <c r="B560" t="s">
        <v>20</v>
      </c>
      <c r="C560" t="s">
        <v>6</v>
      </c>
      <c r="D560">
        <v>29</v>
      </c>
      <c r="E560" s="2">
        <v>3.1585648148148147E-2</v>
      </c>
      <c r="F560">
        <v>45.483333333333334</v>
      </c>
    </row>
    <row r="561" spans="1:6" x14ac:dyDescent="0.25">
      <c r="A561" s="1">
        <v>38534</v>
      </c>
      <c r="B561" t="s">
        <v>20</v>
      </c>
      <c r="C561" t="s">
        <v>7</v>
      </c>
      <c r="D561">
        <v>31</v>
      </c>
      <c r="E561" s="2">
        <v>3.1192129629629629E-2</v>
      </c>
      <c r="F561">
        <v>44.916666666666664</v>
      </c>
    </row>
    <row r="562" spans="1:6" x14ac:dyDescent="0.25">
      <c r="A562" s="1">
        <v>38534</v>
      </c>
      <c r="B562" t="s">
        <v>20</v>
      </c>
      <c r="C562" t="s">
        <v>8</v>
      </c>
      <c r="D562">
        <v>21</v>
      </c>
      <c r="E562" s="2">
        <v>2.3391203703703702E-2</v>
      </c>
      <c r="F562">
        <v>33.68333333333333</v>
      </c>
    </row>
    <row r="563" spans="1:6" x14ac:dyDescent="0.25">
      <c r="A563" s="1">
        <v>38534</v>
      </c>
      <c r="B563" t="s">
        <v>20</v>
      </c>
      <c r="C563" t="s">
        <v>9</v>
      </c>
      <c r="D563">
        <v>9</v>
      </c>
      <c r="E563" s="2">
        <v>7.2916666666666668E-3</v>
      </c>
      <c r="F563">
        <v>10.5</v>
      </c>
    </row>
    <row r="564" spans="1:6" x14ac:dyDescent="0.25">
      <c r="A564" s="1">
        <v>38534</v>
      </c>
      <c r="B564" t="s">
        <v>20</v>
      </c>
      <c r="C564" t="s">
        <v>10</v>
      </c>
      <c r="D564">
        <v>8</v>
      </c>
      <c r="E564" s="2">
        <v>7.7314814814814815E-3</v>
      </c>
      <c r="F564">
        <v>11.133333333333333</v>
      </c>
    </row>
    <row r="565" spans="1:6" x14ac:dyDescent="0.25">
      <c r="A565" s="1">
        <v>38534</v>
      </c>
      <c r="B565" t="s">
        <v>20</v>
      </c>
      <c r="C565" t="s">
        <v>11</v>
      </c>
      <c r="D565">
        <v>11</v>
      </c>
      <c r="E565" s="2">
        <v>6.7592592592592591E-3</v>
      </c>
      <c r="F565">
        <v>9.7333333333333325</v>
      </c>
    </row>
    <row r="566" spans="1:6" x14ac:dyDescent="0.25">
      <c r="A566" s="1">
        <v>38534</v>
      </c>
      <c r="B566" t="s">
        <v>21</v>
      </c>
      <c r="C566" t="s">
        <v>6</v>
      </c>
      <c r="D566">
        <v>21</v>
      </c>
      <c r="E566" s="2">
        <v>2.6863425925925926E-2</v>
      </c>
      <c r="F566">
        <v>38.68333333333333</v>
      </c>
    </row>
    <row r="567" spans="1:6" x14ac:dyDescent="0.25">
      <c r="A567" s="1">
        <v>38534</v>
      </c>
      <c r="B567" t="s">
        <v>21</v>
      </c>
      <c r="C567" t="s">
        <v>7</v>
      </c>
      <c r="D567">
        <v>9</v>
      </c>
      <c r="E567" s="2">
        <v>8.6921296296296295E-3</v>
      </c>
      <c r="F567">
        <v>12.516666666666667</v>
      </c>
    </row>
    <row r="568" spans="1:6" x14ac:dyDescent="0.25">
      <c r="A568" s="1">
        <v>38534</v>
      </c>
      <c r="B568" t="s">
        <v>21</v>
      </c>
      <c r="C568" t="s">
        <v>8</v>
      </c>
      <c r="D568">
        <v>4</v>
      </c>
      <c r="E568" s="2">
        <v>5.4861111111111109E-3</v>
      </c>
      <c r="F568">
        <v>7.9</v>
      </c>
    </row>
    <row r="569" spans="1:6" x14ac:dyDescent="0.25">
      <c r="A569" s="1">
        <v>38534</v>
      </c>
      <c r="B569" t="s">
        <v>21</v>
      </c>
      <c r="C569" t="s">
        <v>9</v>
      </c>
      <c r="D569">
        <v>1</v>
      </c>
      <c r="E569" s="2">
        <v>1.0532407407407407E-3</v>
      </c>
      <c r="F569">
        <v>1.5166666666666666</v>
      </c>
    </row>
    <row r="570" spans="1:6" x14ac:dyDescent="0.25">
      <c r="A570" s="1">
        <v>38534</v>
      </c>
      <c r="B570" t="s">
        <v>21</v>
      </c>
      <c r="C570" t="s">
        <v>10</v>
      </c>
      <c r="D570">
        <v>3</v>
      </c>
      <c r="E570" s="2">
        <v>2.3495370370370371E-3</v>
      </c>
      <c r="F570">
        <v>3.3833333333333333</v>
      </c>
    </row>
    <row r="571" spans="1:6" x14ac:dyDescent="0.25">
      <c r="A571" s="1">
        <v>38534</v>
      </c>
      <c r="B571" t="s">
        <v>21</v>
      </c>
      <c r="C571" t="s">
        <v>11</v>
      </c>
      <c r="D571">
        <v>3</v>
      </c>
      <c r="E571" s="2">
        <v>2.2569444444444442E-3</v>
      </c>
      <c r="F571">
        <v>3.25</v>
      </c>
    </row>
    <row r="572" spans="1:6" x14ac:dyDescent="0.25">
      <c r="A572" s="1">
        <v>38534</v>
      </c>
      <c r="B572" t="s">
        <v>22</v>
      </c>
      <c r="C572" t="s">
        <v>6</v>
      </c>
      <c r="D572">
        <v>16</v>
      </c>
      <c r="E572" s="2">
        <v>1.9328703703703702E-2</v>
      </c>
      <c r="F572">
        <v>27.833333333333332</v>
      </c>
    </row>
    <row r="573" spans="1:6" x14ac:dyDescent="0.25">
      <c r="A573" s="1">
        <v>38534</v>
      </c>
      <c r="B573" t="s">
        <v>22</v>
      </c>
      <c r="C573" t="s">
        <v>7</v>
      </c>
      <c r="D573">
        <v>24</v>
      </c>
      <c r="E573" s="2">
        <v>2.5092592592592593E-2</v>
      </c>
      <c r="F573">
        <v>36.133333333333333</v>
      </c>
    </row>
    <row r="574" spans="1:6" x14ac:dyDescent="0.25">
      <c r="A574" s="1">
        <v>38534</v>
      </c>
      <c r="B574" t="s">
        <v>22</v>
      </c>
      <c r="C574" t="s">
        <v>8</v>
      </c>
      <c r="D574">
        <v>7</v>
      </c>
      <c r="E574" s="2">
        <v>9.2476851851851852E-3</v>
      </c>
      <c r="F574">
        <v>13.316666666666666</v>
      </c>
    </row>
    <row r="575" spans="1:6" x14ac:dyDescent="0.25">
      <c r="A575" s="1">
        <v>38534</v>
      </c>
      <c r="B575" t="s">
        <v>22</v>
      </c>
      <c r="C575" t="s">
        <v>9</v>
      </c>
      <c r="D575">
        <v>9</v>
      </c>
      <c r="E575" s="2">
        <v>5.0694444444444441E-3</v>
      </c>
      <c r="F575">
        <v>7.3</v>
      </c>
    </row>
    <row r="576" spans="1:6" x14ac:dyDescent="0.25">
      <c r="A576" s="1">
        <v>38534</v>
      </c>
      <c r="B576" t="s">
        <v>22</v>
      </c>
      <c r="C576" t="s">
        <v>10</v>
      </c>
      <c r="D576">
        <v>9</v>
      </c>
      <c r="E576" s="2">
        <v>6.5393518518518517E-3</v>
      </c>
      <c r="F576">
        <v>9.4166666666666661</v>
      </c>
    </row>
    <row r="577" spans="1:6" x14ac:dyDescent="0.25">
      <c r="A577" s="1">
        <v>38534</v>
      </c>
      <c r="B577" t="s">
        <v>22</v>
      </c>
      <c r="C577" t="s">
        <v>11</v>
      </c>
      <c r="D577">
        <v>8</v>
      </c>
      <c r="E577" s="2">
        <v>6.828703703703704E-3</v>
      </c>
      <c r="F577">
        <v>9.8333333333333339</v>
      </c>
    </row>
    <row r="578" spans="1:6" x14ac:dyDescent="0.25">
      <c r="A578" s="1">
        <v>38534</v>
      </c>
      <c r="B578" t="s">
        <v>23</v>
      </c>
      <c r="C578" t="s">
        <v>6</v>
      </c>
      <c r="D578">
        <v>89</v>
      </c>
      <c r="E578" s="2">
        <v>0.10405092592592592</v>
      </c>
      <c r="F578">
        <v>149.83333333333334</v>
      </c>
    </row>
    <row r="579" spans="1:6" x14ac:dyDescent="0.25">
      <c r="A579" s="1">
        <v>38534</v>
      </c>
      <c r="B579" t="s">
        <v>23</v>
      </c>
      <c r="C579" t="s">
        <v>7</v>
      </c>
      <c r="D579">
        <v>84</v>
      </c>
      <c r="E579" s="2">
        <v>8.9166666666666672E-2</v>
      </c>
      <c r="F579">
        <v>128.4</v>
      </c>
    </row>
    <row r="580" spans="1:6" x14ac:dyDescent="0.25">
      <c r="A580" s="1">
        <v>38534</v>
      </c>
      <c r="B580" t="s">
        <v>23</v>
      </c>
      <c r="C580" t="s">
        <v>8</v>
      </c>
      <c r="D580">
        <v>61</v>
      </c>
      <c r="E580" s="2">
        <v>7.1747685185185192E-2</v>
      </c>
      <c r="F580">
        <v>103.31666666666666</v>
      </c>
    </row>
    <row r="581" spans="1:6" x14ac:dyDescent="0.25">
      <c r="A581" s="1">
        <v>38534</v>
      </c>
      <c r="B581" t="s">
        <v>23</v>
      </c>
      <c r="C581" t="s">
        <v>9</v>
      </c>
      <c r="D581">
        <v>28</v>
      </c>
      <c r="E581" s="2">
        <v>1.8472222222222223E-2</v>
      </c>
      <c r="F581">
        <v>26.6</v>
      </c>
    </row>
    <row r="582" spans="1:6" x14ac:dyDescent="0.25">
      <c r="A582" s="1">
        <v>38534</v>
      </c>
      <c r="B582" t="s">
        <v>23</v>
      </c>
      <c r="C582" t="s">
        <v>10</v>
      </c>
      <c r="D582">
        <v>27</v>
      </c>
      <c r="E582" s="2">
        <v>2.4189814814814813E-2</v>
      </c>
      <c r="F582">
        <v>34.833333333333336</v>
      </c>
    </row>
    <row r="583" spans="1:6" x14ac:dyDescent="0.25">
      <c r="A583" s="1">
        <v>38534</v>
      </c>
      <c r="B583" t="s">
        <v>23</v>
      </c>
      <c r="C583" t="s">
        <v>11</v>
      </c>
      <c r="D583">
        <v>42</v>
      </c>
      <c r="E583" s="2">
        <v>3.2731481481481479E-2</v>
      </c>
      <c r="F583">
        <v>47.133333333333333</v>
      </c>
    </row>
    <row r="584" spans="1:6" x14ac:dyDescent="0.25">
      <c r="A584" s="1">
        <v>38534</v>
      </c>
      <c r="B584" t="s">
        <v>24</v>
      </c>
      <c r="C584" t="s">
        <v>6</v>
      </c>
      <c r="D584">
        <v>81</v>
      </c>
      <c r="E584" s="2">
        <v>8.4884259259259257E-2</v>
      </c>
      <c r="F584">
        <v>122.23333333333333</v>
      </c>
    </row>
    <row r="585" spans="1:6" x14ac:dyDescent="0.25">
      <c r="A585" s="1">
        <v>38534</v>
      </c>
      <c r="B585" t="s">
        <v>24</v>
      </c>
      <c r="C585" t="s">
        <v>7</v>
      </c>
      <c r="D585">
        <v>94</v>
      </c>
      <c r="E585" s="2">
        <v>9.5590277777777774E-2</v>
      </c>
      <c r="F585">
        <v>137.65</v>
      </c>
    </row>
    <row r="586" spans="1:6" x14ac:dyDescent="0.25">
      <c r="A586" s="1">
        <v>38534</v>
      </c>
      <c r="B586" t="s">
        <v>24</v>
      </c>
      <c r="C586" t="s">
        <v>8</v>
      </c>
      <c r="D586">
        <v>55</v>
      </c>
      <c r="E586" s="2">
        <v>5.3935185185185183E-2</v>
      </c>
      <c r="F586">
        <v>77.666666666666671</v>
      </c>
    </row>
    <row r="587" spans="1:6" x14ac:dyDescent="0.25">
      <c r="A587" s="1">
        <v>38534</v>
      </c>
      <c r="B587" t="s">
        <v>24</v>
      </c>
      <c r="C587" t="s">
        <v>9</v>
      </c>
      <c r="D587">
        <v>31</v>
      </c>
      <c r="E587" s="2">
        <v>1.804398148148148E-2</v>
      </c>
      <c r="F587">
        <v>25.983333333333334</v>
      </c>
    </row>
    <row r="588" spans="1:6" x14ac:dyDescent="0.25">
      <c r="A588" s="1">
        <v>38534</v>
      </c>
      <c r="B588" t="s">
        <v>24</v>
      </c>
      <c r="C588" t="s">
        <v>10</v>
      </c>
      <c r="D588">
        <v>4</v>
      </c>
      <c r="E588" s="2">
        <v>3.6574074074074074E-3</v>
      </c>
      <c r="F588">
        <v>5.2666666666666666</v>
      </c>
    </row>
    <row r="589" spans="1:6" x14ac:dyDescent="0.25">
      <c r="A589" s="1">
        <v>38534</v>
      </c>
      <c r="B589" t="s">
        <v>24</v>
      </c>
      <c r="C589" t="s">
        <v>11</v>
      </c>
      <c r="D589">
        <v>55</v>
      </c>
      <c r="E589" s="2">
        <v>3.4189814814814812E-2</v>
      </c>
      <c r="F589">
        <v>49.233333333333334</v>
      </c>
    </row>
    <row r="590" spans="1:6" x14ac:dyDescent="0.25">
      <c r="A590" s="1">
        <v>38565</v>
      </c>
      <c r="B590" t="s">
        <v>5</v>
      </c>
      <c r="C590" t="s">
        <v>6</v>
      </c>
      <c r="D590">
        <v>142</v>
      </c>
      <c r="E590" s="2">
        <v>0.16582175925925927</v>
      </c>
      <c r="F590">
        <v>238.78333333333333</v>
      </c>
    </row>
    <row r="591" spans="1:6" x14ac:dyDescent="0.25">
      <c r="A591" s="1">
        <v>38565</v>
      </c>
      <c r="B591" t="s">
        <v>5</v>
      </c>
      <c r="C591" t="s">
        <v>7</v>
      </c>
      <c r="D591">
        <v>169</v>
      </c>
      <c r="E591" s="2">
        <v>0.17658564814814814</v>
      </c>
      <c r="F591">
        <v>254.28333333333333</v>
      </c>
    </row>
    <row r="592" spans="1:6" x14ac:dyDescent="0.25">
      <c r="A592" s="1">
        <v>38565</v>
      </c>
      <c r="B592" t="s">
        <v>5</v>
      </c>
      <c r="C592" t="s">
        <v>8</v>
      </c>
      <c r="D592">
        <v>96</v>
      </c>
      <c r="E592" s="2">
        <v>0.10583333333333333</v>
      </c>
      <c r="F592">
        <v>152.4</v>
      </c>
    </row>
    <row r="593" spans="1:6" x14ac:dyDescent="0.25">
      <c r="A593" s="1">
        <v>38565</v>
      </c>
      <c r="B593" t="s">
        <v>5</v>
      </c>
      <c r="C593" t="s">
        <v>9</v>
      </c>
      <c r="D593">
        <v>35</v>
      </c>
      <c r="E593" s="2">
        <v>2.5648148148148149E-2</v>
      </c>
      <c r="F593">
        <v>36.93333333333333</v>
      </c>
    </row>
    <row r="594" spans="1:6" x14ac:dyDescent="0.25">
      <c r="A594" s="1">
        <v>38565</v>
      </c>
      <c r="B594" t="s">
        <v>5</v>
      </c>
      <c r="C594" t="s">
        <v>10</v>
      </c>
      <c r="D594">
        <v>48</v>
      </c>
      <c r="E594" s="2">
        <v>3.4513888888888886E-2</v>
      </c>
      <c r="F594">
        <v>49.7</v>
      </c>
    </row>
    <row r="595" spans="1:6" x14ac:dyDescent="0.25">
      <c r="A595" s="1">
        <v>38565</v>
      </c>
      <c r="B595" t="s">
        <v>5</v>
      </c>
      <c r="C595" t="s">
        <v>11</v>
      </c>
      <c r="D595">
        <v>58</v>
      </c>
      <c r="E595" s="2">
        <v>5.5069444444444442E-2</v>
      </c>
      <c r="F595">
        <v>79.3</v>
      </c>
    </row>
    <row r="596" spans="1:6" x14ac:dyDescent="0.25">
      <c r="A596" s="1">
        <v>38565</v>
      </c>
      <c r="B596" t="s">
        <v>12</v>
      </c>
      <c r="C596" t="s">
        <v>6</v>
      </c>
      <c r="D596">
        <v>48</v>
      </c>
      <c r="E596" s="2">
        <v>6.0011574074074071E-2</v>
      </c>
      <c r="F596">
        <v>86.416666666666671</v>
      </c>
    </row>
    <row r="597" spans="1:6" x14ac:dyDescent="0.25">
      <c r="A597" s="1">
        <v>38565</v>
      </c>
      <c r="B597" t="s">
        <v>12</v>
      </c>
      <c r="C597" t="s">
        <v>7</v>
      </c>
      <c r="D597">
        <v>72</v>
      </c>
      <c r="E597" s="2">
        <v>9.178240740740741E-2</v>
      </c>
      <c r="F597">
        <v>132.16666666666666</v>
      </c>
    </row>
    <row r="598" spans="1:6" x14ac:dyDescent="0.25">
      <c r="A598" s="1">
        <v>38565</v>
      </c>
      <c r="B598" t="s">
        <v>12</v>
      </c>
      <c r="C598" t="s">
        <v>8</v>
      </c>
      <c r="D598">
        <v>31</v>
      </c>
      <c r="E598" s="2">
        <v>4.0138888888888891E-2</v>
      </c>
      <c r="F598">
        <v>57.8</v>
      </c>
    </row>
    <row r="599" spans="1:6" x14ac:dyDescent="0.25">
      <c r="A599" s="1">
        <v>38565</v>
      </c>
      <c r="B599" t="s">
        <v>12</v>
      </c>
      <c r="C599" t="s">
        <v>9</v>
      </c>
      <c r="D599">
        <v>6</v>
      </c>
      <c r="E599" s="2">
        <v>3.8888888888888888E-3</v>
      </c>
      <c r="F599">
        <v>5.6</v>
      </c>
    </row>
    <row r="600" spans="1:6" x14ac:dyDescent="0.25">
      <c r="A600" s="1">
        <v>38565</v>
      </c>
      <c r="B600" t="s">
        <v>12</v>
      </c>
      <c r="C600" t="s">
        <v>10</v>
      </c>
      <c r="D600">
        <v>7</v>
      </c>
      <c r="E600" s="2">
        <v>1.8124999999999999E-2</v>
      </c>
      <c r="F600">
        <v>26.1</v>
      </c>
    </row>
    <row r="601" spans="1:6" x14ac:dyDescent="0.25">
      <c r="A601" s="1">
        <v>38565</v>
      </c>
      <c r="B601" t="s">
        <v>12</v>
      </c>
      <c r="C601" t="s">
        <v>11</v>
      </c>
      <c r="D601">
        <v>23</v>
      </c>
      <c r="E601" s="2">
        <v>1.8657407407407407E-2</v>
      </c>
      <c r="F601">
        <v>26.866666666666667</v>
      </c>
    </row>
    <row r="602" spans="1:6" x14ac:dyDescent="0.25">
      <c r="A602" s="1">
        <v>38565</v>
      </c>
      <c r="B602" t="s">
        <v>13</v>
      </c>
      <c r="C602" t="s">
        <v>6</v>
      </c>
      <c r="D602">
        <v>58</v>
      </c>
      <c r="E602" s="2">
        <v>6.9004629629629624E-2</v>
      </c>
      <c r="F602">
        <v>99.36666666666666</v>
      </c>
    </row>
    <row r="603" spans="1:6" x14ac:dyDescent="0.25">
      <c r="A603" s="1">
        <v>38565</v>
      </c>
      <c r="B603" t="s">
        <v>13</v>
      </c>
      <c r="C603" t="s">
        <v>7</v>
      </c>
      <c r="D603">
        <v>58</v>
      </c>
      <c r="E603" s="2">
        <v>7.2673611111111105E-2</v>
      </c>
      <c r="F603">
        <v>104.65</v>
      </c>
    </row>
    <row r="604" spans="1:6" x14ac:dyDescent="0.25">
      <c r="A604" s="1">
        <v>38565</v>
      </c>
      <c r="B604" t="s">
        <v>13</v>
      </c>
      <c r="C604" t="s">
        <v>8</v>
      </c>
      <c r="D604">
        <v>35</v>
      </c>
      <c r="E604" s="2">
        <v>4.6296296296296294E-2</v>
      </c>
      <c r="F604">
        <v>66.666666666666671</v>
      </c>
    </row>
    <row r="605" spans="1:6" x14ac:dyDescent="0.25">
      <c r="A605" s="1">
        <v>38565</v>
      </c>
      <c r="B605" t="s">
        <v>13</v>
      </c>
      <c r="C605" t="s">
        <v>9</v>
      </c>
      <c r="D605">
        <v>9</v>
      </c>
      <c r="E605" s="2">
        <v>6.6898148148148151E-3</v>
      </c>
      <c r="F605">
        <v>9.6333333333333329</v>
      </c>
    </row>
    <row r="606" spans="1:6" x14ac:dyDescent="0.25">
      <c r="A606" s="1">
        <v>38565</v>
      </c>
      <c r="B606" t="s">
        <v>13</v>
      </c>
      <c r="C606" t="s">
        <v>10</v>
      </c>
      <c r="D606">
        <v>5</v>
      </c>
      <c r="E606" s="2">
        <v>4.5949074074074078E-3</v>
      </c>
      <c r="F606">
        <v>6.6166666666666671</v>
      </c>
    </row>
    <row r="607" spans="1:6" x14ac:dyDescent="0.25">
      <c r="A607" s="1">
        <v>38565</v>
      </c>
      <c r="B607" t="s">
        <v>13</v>
      </c>
      <c r="C607" t="s">
        <v>11</v>
      </c>
      <c r="D607">
        <v>19</v>
      </c>
      <c r="E607" s="2">
        <v>1.494212962962963E-2</v>
      </c>
      <c r="F607">
        <v>21.516666666666666</v>
      </c>
    </row>
    <row r="608" spans="1:6" x14ac:dyDescent="0.25">
      <c r="A608" s="1">
        <v>38565</v>
      </c>
      <c r="B608" t="s">
        <v>14</v>
      </c>
      <c r="C608" t="s">
        <v>6</v>
      </c>
      <c r="D608">
        <v>25</v>
      </c>
      <c r="E608" s="2">
        <v>3.2650462962962964E-2</v>
      </c>
      <c r="F608">
        <v>47.016666666666666</v>
      </c>
    </row>
    <row r="609" spans="1:6" x14ac:dyDescent="0.25">
      <c r="A609" s="1">
        <v>38565</v>
      </c>
      <c r="B609" t="s">
        <v>14</v>
      </c>
      <c r="C609" t="s">
        <v>7</v>
      </c>
      <c r="D609">
        <v>19</v>
      </c>
      <c r="E609" s="2">
        <v>2.3032407407407408E-2</v>
      </c>
      <c r="F609">
        <v>33.166666666666664</v>
      </c>
    </row>
    <row r="610" spans="1:6" x14ac:dyDescent="0.25">
      <c r="A610" s="1">
        <v>38565</v>
      </c>
      <c r="B610" t="s">
        <v>14</v>
      </c>
      <c r="C610" t="s">
        <v>8</v>
      </c>
      <c r="D610">
        <v>12</v>
      </c>
      <c r="E610" s="2">
        <v>1.511574074074074E-2</v>
      </c>
      <c r="F610">
        <v>21.766666666666666</v>
      </c>
    </row>
    <row r="611" spans="1:6" x14ac:dyDescent="0.25">
      <c r="A611" s="1">
        <v>38565</v>
      </c>
      <c r="B611" t="s">
        <v>14</v>
      </c>
      <c r="C611" t="s">
        <v>9</v>
      </c>
      <c r="D611">
        <v>3</v>
      </c>
      <c r="E611" s="2">
        <v>2.6157407407407405E-3</v>
      </c>
      <c r="F611">
        <v>3.7666666666666666</v>
      </c>
    </row>
    <row r="612" spans="1:6" x14ac:dyDescent="0.25">
      <c r="A612" s="1">
        <v>38565</v>
      </c>
      <c r="B612" t="s">
        <v>14</v>
      </c>
      <c r="C612" t="s">
        <v>10</v>
      </c>
      <c r="D612">
        <v>2</v>
      </c>
      <c r="E612" s="2">
        <v>2.3611111111111111E-3</v>
      </c>
      <c r="F612">
        <v>3.4</v>
      </c>
    </row>
    <row r="613" spans="1:6" x14ac:dyDescent="0.25">
      <c r="A613" s="1">
        <v>38565</v>
      </c>
      <c r="B613" t="s">
        <v>14</v>
      </c>
      <c r="C613" t="s">
        <v>11</v>
      </c>
      <c r="D613">
        <v>15</v>
      </c>
      <c r="E613" s="2">
        <v>1.5150462962962963E-2</v>
      </c>
      <c r="F613">
        <v>21.816666666666666</v>
      </c>
    </row>
    <row r="614" spans="1:6" x14ac:dyDescent="0.25">
      <c r="A614" s="1">
        <v>38565</v>
      </c>
      <c r="B614" t="s">
        <v>15</v>
      </c>
      <c r="C614" t="s">
        <v>6</v>
      </c>
      <c r="D614">
        <v>66</v>
      </c>
      <c r="E614" s="2">
        <v>7.7858796296296301E-2</v>
      </c>
      <c r="F614">
        <v>112.11666666666666</v>
      </c>
    </row>
    <row r="615" spans="1:6" x14ac:dyDescent="0.25">
      <c r="A615" s="1">
        <v>38565</v>
      </c>
      <c r="B615" t="s">
        <v>15</v>
      </c>
      <c r="C615" t="s">
        <v>7</v>
      </c>
      <c r="D615">
        <v>53</v>
      </c>
      <c r="E615" s="2">
        <v>6.5000000000000002E-2</v>
      </c>
      <c r="F615">
        <v>93.6</v>
      </c>
    </row>
    <row r="616" spans="1:6" x14ac:dyDescent="0.25">
      <c r="A616" s="1">
        <v>38565</v>
      </c>
      <c r="B616" t="s">
        <v>15</v>
      </c>
      <c r="C616" t="s">
        <v>8</v>
      </c>
      <c r="D616">
        <v>27</v>
      </c>
      <c r="E616" s="2">
        <v>2.8657407407407406E-2</v>
      </c>
      <c r="F616">
        <v>41.266666666666666</v>
      </c>
    </row>
    <row r="617" spans="1:6" x14ac:dyDescent="0.25">
      <c r="A617" s="1">
        <v>38565</v>
      </c>
      <c r="B617" t="s">
        <v>15</v>
      </c>
      <c r="C617" t="s">
        <v>9</v>
      </c>
      <c r="D617">
        <v>6</v>
      </c>
      <c r="E617" s="2">
        <v>4.6064814814814814E-3</v>
      </c>
      <c r="F617">
        <v>6.6333333333333329</v>
      </c>
    </row>
    <row r="618" spans="1:6" x14ac:dyDescent="0.25">
      <c r="A618" s="1">
        <v>38565</v>
      </c>
      <c r="B618" t="s">
        <v>15</v>
      </c>
      <c r="C618" t="s">
        <v>10</v>
      </c>
      <c r="D618">
        <v>13</v>
      </c>
      <c r="E618" s="2">
        <v>1.4606481481481481E-2</v>
      </c>
      <c r="F618">
        <v>21.033333333333335</v>
      </c>
    </row>
    <row r="619" spans="1:6" x14ac:dyDescent="0.25">
      <c r="A619" s="1">
        <v>38565</v>
      </c>
      <c r="B619" t="s">
        <v>15</v>
      </c>
      <c r="C619" t="s">
        <v>11</v>
      </c>
      <c r="D619">
        <v>16</v>
      </c>
      <c r="E619" s="2">
        <v>1.0636574074074074E-2</v>
      </c>
      <c r="F619">
        <v>15.316666666666666</v>
      </c>
    </row>
    <row r="620" spans="1:6" x14ac:dyDescent="0.25">
      <c r="A620" s="1">
        <v>38565</v>
      </c>
      <c r="B620" t="s">
        <v>16</v>
      </c>
      <c r="C620" t="s">
        <v>6</v>
      </c>
      <c r="D620">
        <v>34</v>
      </c>
      <c r="E620" s="2">
        <v>3.9861111111111111E-2</v>
      </c>
      <c r="F620">
        <v>57.4</v>
      </c>
    </row>
    <row r="621" spans="1:6" x14ac:dyDescent="0.25">
      <c r="A621" s="1">
        <v>38565</v>
      </c>
      <c r="B621" t="s">
        <v>16</v>
      </c>
      <c r="C621" t="s">
        <v>7</v>
      </c>
      <c r="D621">
        <v>34</v>
      </c>
      <c r="E621" s="2">
        <v>3.6724537037037035E-2</v>
      </c>
      <c r="F621">
        <v>52.883333333333333</v>
      </c>
    </row>
    <row r="622" spans="1:6" x14ac:dyDescent="0.25">
      <c r="A622" s="1">
        <v>38565</v>
      </c>
      <c r="B622" t="s">
        <v>16</v>
      </c>
      <c r="C622" t="s">
        <v>8</v>
      </c>
      <c r="D622">
        <v>17</v>
      </c>
      <c r="E622" s="2">
        <v>2.0092592592592592E-2</v>
      </c>
      <c r="F622">
        <v>28.933333333333334</v>
      </c>
    </row>
    <row r="623" spans="1:6" x14ac:dyDescent="0.25">
      <c r="A623" s="1">
        <v>38565</v>
      </c>
      <c r="B623" t="s">
        <v>16</v>
      </c>
      <c r="C623" t="s">
        <v>9</v>
      </c>
      <c r="D623">
        <v>10</v>
      </c>
      <c r="E623" s="2">
        <v>7.905092592592592E-3</v>
      </c>
      <c r="F623">
        <v>11.383333333333333</v>
      </c>
    </row>
    <row r="624" spans="1:6" x14ac:dyDescent="0.25">
      <c r="A624" s="1">
        <v>38565</v>
      </c>
      <c r="B624" t="s">
        <v>16</v>
      </c>
      <c r="C624" t="s">
        <v>10</v>
      </c>
      <c r="D624">
        <v>9</v>
      </c>
      <c r="E624" s="2">
        <v>7.6273148148148151E-3</v>
      </c>
      <c r="F624">
        <v>10.983333333333333</v>
      </c>
    </row>
    <row r="625" spans="1:6" x14ac:dyDescent="0.25">
      <c r="A625" s="1">
        <v>38565</v>
      </c>
      <c r="B625" t="s">
        <v>16</v>
      </c>
      <c r="C625" t="s">
        <v>11</v>
      </c>
      <c r="D625">
        <v>21</v>
      </c>
      <c r="E625" s="2">
        <v>1.6226851851851853E-2</v>
      </c>
      <c r="F625">
        <v>23.366666666666667</v>
      </c>
    </row>
    <row r="626" spans="1:6" x14ac:dyDescent="0.25">
      <c r="A626" s="1">
        <v>38565</v>
      </c>
      <c r="B626" t="s">
        <v>17</v>
      </c>
      <c r="C626" t="s">
        <v>6</v>
      </c>
      <c r="D626">
        <v>14</v>
      </c>
      <c r="E626" s="2">
        <v>1.5185185185185185E-2</v>
      </c>
      <c r="F626">
        <v>21.866666666666667</v>
      </c>
    </row>
    <row r="627" spans="1:6" x14ac:dyDescent="0.25">
      <c r="A627" s="1">
        <v>38565</v>
      </c>
      <c r="B627" t="s">
        <v>17</v>
      </c>
      <c r="C627" t="s">
        <v>7</v>
      </c>
      <c r="D627">
        <v>15</v>
      </c>
      <c r="E627" s="2">
        <v>1.4583333333333334E-2</v>
      </c>
      <c r="F627">
        <v>21</v>
      </c>
    </row>
    <row r="628" spans="1:6" x14ac:dyDescent="0.25">
      <c r="A628" s="1">
        <v>38565</v>
      </c>
      <c r="B628" t="s">
        <v>17</v>
      </c>
      <c r="C628" t="s">
        <v>8</v>
      </c>
      <c r="D628">
        <v>17</v>
      </c>
      <c r="E628" s="2">
        <v>2.6689814814814816E-2</v>
      </c>
      <c r="F628">
        <v>38.43333333333333</v>
      </c>
    </row>
    <row r="629" spans="1:6" x14ac:dyDescent="0.25">
      <c r="A629" s="1">
        <v>38565</v>
      </c>
      <c r="B629" t="s">
        <v>17</v>
      </c>
      <c r="C629" t="s">
        <v>9</v>
      </c>
      <c r="D629">
        <v>2</v>
      </c>
      <c r="E629" s="2">
        <v>1.1805555555555556E-3</v>
      </c>
      <c r="F629">
        <v>1.7</v>
      </c>
    </row>
    <row r="630" spans="1:6" x14ac:dyDescent="0.25">
      <c r="A630" s="1">
        <v>38565</v>
      </c>
      <c r="B630" t="s">
        <v>17</v>
      </c>
      <c r="C630" t="s">
        <v>10</v>
      </c>
      <c r="D630">
        <v>12</v>
      </c>
      <c r="E630" s="2">
        <v>8.5995370370370375E-3</v>
      </c>
      <c r="F630">
        <v>12.383333333333333</v>
      </c>
    </row>
    <row r="631" spans="1:6" x14ac:dyDescent="0.25">
      <c r="A631" s="1">
        <v>38565</v>
      </c>
      <c r="B631" t="s">
        <v>17</v>
      </c>
      <c r="C631" t="s">
        <v>11</v>
      </c>
      <c r="D631">
        <v>11</v>
      </c>
      <c r="E631" s="2">
        <v>7.7199074074074071E-3</v>
      </c>
      <c r="F631">
        <v>11.116666666666667</v>
      </c>
    </row>
    <row r="632" spans="1:6" x14ac:dyDescent="0.25">
      <c r="A632" s="1">
        <v>38565</v>
      </c>
      <c r="B632" t="s">
        <v>18</v>
      </c>
      <c r="C632" t="s">
        <v>6</v>
      </c>
      <c r="D632">
        <v>67</v>
      </c>
      <c r="E632" s="2">
        <v>6.8298611111111115E-2</v>
      </c>
      <c r="F632">
        <v>98.35</v>
      </c>
    </row>
    <row r="633" spans="1:6" x14ac:dyDescent="0.25">
      <c r="A633" s="1">
        <v>38565</v>
      </c>
      <c r="B633" t="s">
        <v>18</v>
      </c>
      <c r="C633" t="s">
        <v>7</v>
      </c>
      <c r="D633">
        <v>81</v>
      </c>
      <c r="E633" s="2">
        <v>8.324074074074074E-2</v>
      </c>
      <c r="F633">
        <v>119.86666666666666</v>
      </c>
    </row>
    <row r="634" spans="1:6" x14ac:dyDescent="0.25">
      <c r="A634" s="1">
        <v>38565</v>
      </c>
      <c r="B634" t="s">
        <v>18</v>
      </c>
      <c r="C634" t="s">
        <v>8</v>
      </c>
      <c r="D634">
        <v>53</v>
      </c>
      <c r="E634" s="2">
        <v>5.9918981481481483E-2</v>
      </c>
      <c r="F634">
        <v>86.283333333333331</v>
      </c>
    </row>
    <row r="635" spans="1:6" x14ac:dyDescent="0.25">
      <c r="A635" s="1">
        <v>38565</v>
      </c>
      <c r="B635" t="s">
        <v>18</v>
      </c>
      <c r="C635" t="s">
        <v>9</v>
      </c>
      <c r="D635">
        <v>38</v>
      </c>
      <c r="E635" s="2">
        <v>2.6782407407407408E-2</v>
      </c>
      <c r="F635">
        <v>38.56666666666667</v>
      </c>
    </row>
    <row r="636" spans="1:6" x14ac:dyDescent="0.25">
      <c r="A636" s="1">
        <v>38565</v>
      </c>
      <c r="B636" t="s">
        <v>18</v>
      </c>
      <c r="C636" t="s">
        <v>10</v>
      </c>
      <c r="D636">
        <v>176</v>
      </c>
      <c r="E636" s="2">
        <v>0.17315972222222223</v>
      </c>
      <c r="F636">
        <v>249.35</v>
      </c>
    </row>
    <row r="637" spans="1:6" x14ac:dyDescent="0.25">
      <c r="A637" s="1">
        <v>38565</v>
      </c>
      <c r="B637" t="s">
        <v>18</v>
      </c>
      <c r="C637" t="s">
        <v>11</v>
      </c>
      <c r="D637">
        <v>33</v>
      </c>
      <c r="E637" s="2">
        <v>1.6469907407407409E-2</v>
      </c>
      <c r="F637">
        <v>23.716666666666665</v>
      </c>
    </row>
    <row r="638" spans="1:6" x14ac:dyDescent="0.25">
      <c r="A638" s="1">
        <v>38565</v>
      </c>
      <c r="B638" t="s">
        <v>19</v>
      </c>
      <c r="C638" t="s">
        <v>6</v>
      </c>
      <c r="D638">
        <v>15</v>
      </c>
      <c r="E638" s="2">
        <v>1.7037037037037038E-2</v>
      </c>
      <c r="F638">
        <v>24.533333333333335</v>
      </c>
    </row>
    <row r="639" spans="1:6" x14ac:dyDescent="0.25">
      <c r="A639" s="1">
        <v>38565</v>
      </c>
      <c r="B639" t="s">
        <v>19</v>
      </c>
      <c r="C639" t="s">
        <v>7</v>
      </c>
      <c r="D639">
        <v>20</v>
      </c>
      <c r="E639" s="2">
        <v>1.9976851851851853E-2</v>
      </c>
      <c r="F639">
        <v>28.766666666666666</v>
      </c>
    </row>
    <row r="640" spans="1:6" x14ac:dyDescent="0.25">
      <c r="A640" s="1">
        <v>38565</v>
      </c>
      <c r="B640" t="s">
        <v>19</v>
      </c>
      <c r="C640" t="s">
        <v>8</v>
      </c>
      <c r="D640">
        <v>19</v>
      </c>
      <c r="E640" s="2">
        <v>1.7025462962962964E-2</v>
      </c>
      <c r="F640">
        <v>24.516666666666666</v>
      </c>
    </row>
    <row r="641" spans="1:6" x14ac:dyDescent="0.25">
      <c r="A641" s="1">
        <v>38565</v>
      </c>
      <c r="B641" t="s">
        <v>19</v>
      </c>
      <c r="C641" t="s">
        <v>9</v>
      </c>
      <c r="D641">
        <v>4</v>
      </c>
      <c r="E641" s="2">
        <v>3.8541666666666668E-3</v>
      </c>
      <c r="F641">
        <v>5.55</v>
      </c>
    </row>
    <row r="642" spans="1:6" x14ac:dyDescent="0.25">
      <c r="A642" s="1">
        <v>38565</v>
      </c>
      <c r="B642" t="s">
        <v>19</v>
      </c>
      <c r="C642" t="s">
        <v>10</v>
      </c>
      <c r="D642">
        <v>7</v>
      </c>
      <c r="E642" s="2">
        <v>5.9490740740740745E-3</v>
      </c>
      <c r="F642">
        <v>8.5666666666666664</v>
      </c>
    </row>
    <row r="643" spans="1:6" x14ac:dyDescent="0.25">
      <c r="A643" s="1">
        <v>38565</v>
      </c>
      <c r="B643" t="s">
        <v>19</v>
      </c>
      <c r="C643" t="s">
        <v>11</v>
      </c>
      <c r="D643">
        <v>4</v>
      </c>
      <c r="E643" s="2">
        <v>2.3032407407407407E-3</v>
      </c>
      <c r="F643">
        <v>3.3166666666666664</v>
      </c>
    </row>
    <row r="644" spans="1:6" x14ac:dyDescent="0.25">
      <c r="A644" s="1">
        <v>38565</v>
      </c>
      <c r="B644" t="s">
        <v>20</v>
      </c>
      <c r="C644" t="s">
        <v>6</v>
      </c>
      <c r="D644">
        <v>16</v>
      </c>
      <c r="E644" s="2">
        <v>2.0810185185185185E-2</v>
      </c>
      <c r="F644">
        <v>29.966666666666665</v>
      </c>
    </row>
    <row r="645" spans="1:6" x14ac:dyDescent="0.25">
      <c r="A645" s="1">
        <v>38565</v>
      </c>
      <c r="B645" t="s">
        <v>20</v>
      </c>
      <c r="C645" t="s">
        <v>7</v>
      </c>
      <c r="D645">
        <v>19</v>
      </c>
      <c r="E645" s="2">
        <v>2.0520833333333332E-2</v>
      </c>
      <c r="F645">
        <v>29.55</v>
      </c>
    </row>
    <row r="646" spans="1:6" x14ac:dyDescent="0.25">
      <c r="A646" s="1">
        <v>38565</v>
      </c>
      <c r="B646" t="s">
        <v>20</v>
      </c>
      <c r="C646" t="s">
        <v>8</v>
      </c>
      <c r="D646">
        <v>21</v>
      </c>
      <c r="E646" s="2">
        <v>2.6956018518518518E-2</v>
      </c>
      <c r="F646">
        <v>38.81666666666667</v>
      </c>
    </row>
    <row r="647" spans="1:6" x14ac:dyDescent="0.25">
      <c r="A647" s="1">
        <v>38565</v>
      </c>
      <c r="B647" t="s">
        <v>20</v>
      </c>
      <c r="C647" t="s">
        <v>9</v>
      </c>
      <c r="D647">
        <v>8</v>
      </c>
      <c r="E647" s="2">
        <v>5.6365740740740742E-3</v>
      </c>
      <c r="F647">
        <v>8.1166666666666671</v>
      </c>
    </row>
    <row r="648" spans="1:6" x14ac:dyDescent="0.25">
      <c r="A648" s="1">
        <v>38565</v>
      </c>
      <c r="B648" t="s">
        <v>20</v>
      </c>
      <c r="C648" t="s">
        <v>10</v>
      </c>
      <c r="D648">
        <v>4</v>
      </c>
      <c r="E648" s="2">
        <v>4.1203703703703706E-3</v>
      </c>
      <c r="F648">
        <v>5.9333333333333336</v>
      </c>
    </row>
    <row r="649" spans="1:6" x14ac:dyDescent="0.25">
      <c r="A649" s="1">
        <v>38565</v>
      </c>
      <c r="B649" t="s">
        <v>20</v>
      </c>
      <c r="C649" t="s">
        <v>11</v>
      </c>
      <c r="D649">
        <v>7</v>
      </c>
      <c r="E649" s="2">
        <v>3.7152777777777778E-3</v>
      </c>
      <c r="F649">
        <v>5.35</v>
      </c>
    </row>
    <row r="650" spans="1:6" x14ac:dyDescent="0.25">
      <c r="A650" s="1">
        <v>38565</v>
      </c>
      <c r="B650" t="s">
        <v>21</v>
      </c>
      <c r="C650" t="s">
        <v>6</v>
      </c>
      <c r="D650">
        <v>32</v>
      </c>
      <c r="E650" s="2">
        <v>4.0219907407407406E-2</v>
      </c>
      <c r="F650">
        <v>57.916666666666664</v>
      </c>
    </row>
    <row r="651" spans="1:6" x14ac:dyDescent="0.25">
      <c r="A651" s="1">
        <v>38565</v>
      </c>
      <c r="B651" t="s">
        <v>21</v>
      </c>
      <c r="C651" t="s">
        <v>7</v>
      </c>
      <c r="D651">
        <v>32</v>
      </c>
      <c r="E651" s="2">
        <v>3.8981481481481478E-2</v>
      </c>
      <c r="F651">
        <v>56.133333333333333</v>
      </c>
    </row>
    <row r="652" spans="1:6" x14ac:dyDescent="0.25">
      <c r="A652" s="1">
        <v>38565</v>
      </c>
      <c r="B652" t="s">
        <v>21</v>
      </c>
      <c r="C652" t="s">
        <v>8</v>
      </c>
      <c r="D652">
        <v>12</v>
      </c>
      <c r="E652" s="2">
        <v>1.6203703703703703E-2</v>
      </c>
      <c r="F652">
        <v>23.333333333333332</v>
      </c>
    </row>
    <row r="653" spans="1:6" x14ac:dyDescent="0.25">
      <c r="A653" s="1">
        <v>38565</v>
      </c>
      <c r="B653" t="s">
        <v>21</v>
      </c>
      <c r="C653" t="s">
        <v>9</v>
      </c>
      <c r="D653">
        <v>4</v>
      </c>
      <c r="E653" s="2">
        <v>2.8703703703703703E-3</v>
      </c>
      <c r="F653">
        <v>4.1333333333333337</v>
      </c>
    </row>
    <row r="654" spans="1:6" x14ac:dyDescent="0.25">
      <c r="A654" s="1">
        <v>38565</v>
      </c>
      <c r="B654" t="s">
        <v>21</v>
      </c>
      <c r="C654" t="s">
        <v>10</v>
      </c>
      <c r="D654">
        <v>8</v>
      </c>
      <c r="E654" s="2">
        <v>6.1574074074074074E-3</v>
      </c>
      <c r="F654">
        <v>8.8666666666666671</v>
      </c>
    </row>
    <row r="655" spans="1:6" x14ac:dyDescent="0.25">
      <c r="A655" s="1">
        <v>38565</v>
      </c>
      <c r="B655" t="s">
        <v>21</v>
      </c>
      <c r="C655" t="s">
        <v>11</v>
      </c>
      <c r="D655">
        <v>13</v>
      </c>
      <c r="E655" s="2">
        <v>8.3449074074074068E-3</v>
      </c>
      <c r="F655">
        <v>12.016666666666667</v>
      </c>
    </row>
    <row r="656" spans="1:6" x14ac:dyDescent="0.25">
      <c r="A656" s="1">
        <v>38565</v>
      </c>
      <c r="B656" t="s">
        <v>22</v>
      </c>
      <c r="C656" t="s">
        <v>6</v>
      </c>
      <c r="D656">
        <v>26</v>
      </c>
      <c r="E656" s="2">
        <v>2.7847222222222221E-2</v>
      </c>
      <c r="F656">
        <v>40.1</v>
      </c>
    </row>
    <row r="657" spans="1:6" x14ac:dyDescent="0.25">
      <c r="A657" s="1">
        <v>38565</v>
      </c>
      <c r="B657" t="s">
        <v>22</v>
      </c>
      <c r="C657" t="s">
        <v>7</v>
      </c>
      <c r="D657">
        <v>20</v>
      </c>
      <c r="E657" s="2">
        <v>2.2280092592592591E-2</v>
      </c>
      <c r="F657">
        <v>32.083333333333336</v>
      </c>
    </row>
    <row r="658" spans="1:6" x14ac:dyDescent="0.25">
      <c r="A658" s="1">
        <v>38565</v>
      </c>
      <c r="B658" t="s">
        <v>22</v>
      </c>
      <c r="C658" t="s">
        <v>8</v>
      </c>
      <c r="D658">
        <v>15</v>
      </c>
      <c r="E658" s="2">
        <v>1.2129629629629629E-2</v>
      </c>
      <c r="F658">
        <v>17.466666666666665</v>
      </c>
    </row>
    <row r="659" spans="1:6" x14ac:dyDescent="0.25">
      <c r="A659" s="1">
        <v>38565</v>
      </c>
      <c r="B659" t="s">
        <v>22</v>
      </c>
      <c r="C659" t="s">
        <v>9</v>
      </c>
      <c r="D659">
        <v>7</v>
      </c>
      <c r="E659" s="2">
        <v>5.5439814814814813E-3</v>
      </c>
      <c r="F659">
        <v>7.9833333333333334</v>
      </c>
    </row>
    <row r="660" spans="1:6" x14ac:dyDescent="0.25">
      <c r="A660" s="1">
        <v>38565</v>
      </c>
      <c r="B660" t="s">
        <v>22</v>
      </c>
      <c r="C660" t="s">
        <v>10</v>
      </c>
      <c r="D660">
        <v>9</v>
      </c>
      <c r="E660" s="2">
        <v>9.1898148148148156E-3</v>
      </c>
      <c r="F660">
        <v>13.233333333333333</v>
      </c>
    </row>
    <row r="661" spans="1:6" x14ac:dyDescent="0.25">
      <c r="A661" s="1">
        <v>38565</v>
      </c>
      <c r="B661" t="s">
        <v>22</v>
      </c>
      <c r="C661" t="s">
        <v>11</v>
      </c>
      <c r="D661">
        <v>14</v>
      </c>
      <c r="E661" s="2">
        <v>7.9745370370370369E-3</v>
      </c>
      <c r="F661">
        <v>11.483333333333333</v>
      </c>
    </row>
    <row r="662" spans="1:6" x14ac:dyDescent="0.25">
      <c r="A662" s="1">
        <v>38565</v>
      </c>
      <c r="B662" t="s">
        <v>23</v>
      </c>
      <c r="C662" t="s">
        <v>6</v>
      </c>
      <c r="D662">
        <v>159</v>
      </c>
      <c r="E662" s="2">
        <v>0.19065972222222222</v>
      </c>
      <c r="F662">
        <v>274.55</v>
      </c>
    </row>
    <row r="663" spans="1:6" x14ac:dyDescent="0.25">
      <c r="A663" s="1">
        <v>38565</v>
      </c>
      <c r="B663" t="s">
        <v>23</v>
      </c>
      <c r="C663" t="s">
        <v>7</v>
      </c>
      <c r="D663">
        <v>139</v>
      </c>
      <c r="E663" s="2">
        <v>0.16425925925925927</v>
      </c>
      <c r="F663">
        <v>236.53333333333333</v>
      </c>
    </row>
    <row r="664" spans="1:6" x14ac:dyDescent="0.25">
      <c r="A664" s="1">
        <v>38565</v>
      </c>
      <c r="B664" t="s">
        <v>23</v>
      </c>
      <c r="C664" t="s">
        <v>8</v>
      </c>
      <c r="D664">
        <v>116</v>
      </c>
      <c r="E664" s="2">
        <v>0.13831018518518517</v>
      </c>
      <c r="F664">
        <v>199.16666666666666</v>
      </c>
    </row>
    <row r="665" spans="1:6" x14ac:dyDescent="0.25">
      <c r="A665" s="1">
        <v>38565</v>
      </c>
      <c r="B665" t="s">
        <v>23</v>
      </c>
      <c r="C665" t="s">
        <v>9</v>
      </c>
      <c r="D665">
        <v>39</v>
      </c>
      <c r="E665" s="2">
        <v>2.4456018518518519E-2</v>
      </c>
      <c r="F665">
        <v>35.216666666666669</v>
      </c>
    </row>
    <row r="666" spans="1:6" x14ac:dyDescent="0.25">
      <c r="A666" s="1">
        <v>38565</v>
      </c>
      <c r="B666" t="s">
        <v>23</v>
      </c>
      <c r="C666" t="s">
        <v>10</v>
      </c>
      <c r="D666">
        <v>38</v>
      </c>
      <c r="E666" s="2">
        <v>4.7962962962962964E-2</v>
      </c>
      <c r="F666">
        <v>69.066666666666663</v>
      </c>
    </row>
    <row r="667" spans="1:6" x14ac:dyDescent="0.25">
      <c r="A667" s="1">
        <v>38565</v>
      </c>
      <c r="B667" t="s">
        <v>23</v>
      </c>
      <c r="C667" t="s">
        <v>11</v>
      </c>
      <c r="D667">
        <v>54</v>
      </c>
      <c r="E667" s="2">
        <v>3.9004629629629632E-2</v>
      </c>
      <c r="F667">
        <v>56.166666666666664</v>
      </c>
    </row>
    <row r="668" spans="1:6" x14ac:dyDescent="0.25">
      <c r="A668" s="1">
        <v>38565</v>
      </c>
      <c r="B668" t="s">
        <v>24</v>
      </c>
      <c r="C668" t="s">
        <v>6</v>
      </c>
      <c r="D668">
        <v>58</v>
      </c>
      <c r="E668" s="2">
        <v>5.3599537037037036E-2</v>
      </c>
      <c r="F668">
        <v>77.183333333333337</v>
      </c>
    </row>
    <row r="669" spans="1:6" x14ac:dyDescent="0.25">
      <c r="A669" s="1">
        <v>38565</v>
      </c>
      <c r="B669" t="s">
        <v>24</v>
      </c>
      <c r="C669" t="s">
        <v>7</v>
      </c>
      <c r="D669">
        <v>69</v>
      </c>
      <c r="E669" s="2">
        <v>6.0150462962962961E-2</v>
      </c>
      <c r="F669">
        <v>86.61666666666666</v>
      </c>
    </row>
    <row r="670" spans="1:6" x14ac:dyDescent="0.25">
      <c r="A670" s="1">
        <v>38565</v>
      </c>
      <c r="B670" t="s">
        <v>24</v>
      </c>
      <c r="C670" t="s">
        <v>8</v>
      </c>
      <c r="D670">
        <v>38</v>
      </c>
      <c r="E670" s="2">
        <v>3.4201388888888892E-2</v>
      </c>
      <c r="F670">
        <v>49.25</v>
      </c>
    </row>
    <row r="671" spans="1:6" x14ac:dyDescent="0.25">
      <c r="A671" s="1">
        <v>38565</v>
      </c>
      <c r="B671" t="s">
        <v>24</v>
      </c>
      <c r="C671" t="s">
        <v>9</v>
      </c>
      <c r="D671">
        <v>28</v>
      </c>
      <c r="E671" s="2">
        <v>1.8113425925925925E-2</v>
      </c>
      <c r="F671">
        <v>26.083333333333332</v>
      </c>
    </row>
    <row r="672" spans="1:6" x14ac:dyDescent="0.25">
      <c r="A672" s="1">
        <v>38565</v>
      </c>
      <c r="B672" t="s">
        <v>24</v>
      </c>
      <c r="C672" t="s">
        <v>10</v>
      </c>
      <c r="D672">
        <v>4</v>
      </c>
      <c r="E672" s="2">
        <v>2.3611111111111111E-3</v>
      </c>
      <c r="F672">
        <v>3.4</v>
      </c>
    </row>
    <row r="673" spans="1:6" x14ac:dyDescent="0.25">
      <c r="A673" s="1">
        <v>38565</v>
      </c>
      <c r="B673" t="s">
        <v>24</v>
      </c>
      <c r="C673" t="s">
        <v>11</v>
      </c>
      <c r="D673">
        <v>43</v>
      </c>
      <c r="E673" s="2">
        <v>2.5879629629629631E-2</v>
      </c>
      <c r="F673">
        <v>37.266666666666666</v>
      </c>
    </row>
    <row r="674" spans="1:6" x14ac:dyDescent="0.25">
      <c r="A674" s="1">
        <v>38596</v>
      </c>
      <c r="B674" t="s">
        <v>5</v>
      </c>
      <c r="C674" t="s">
        <v>6</v>
      </c>
      <c r="D674">
        <v>115</v>
      </c>
      <c r="E674" s="2">
        <v>0.12686342592592592</v>
      </c>
      <c r="F674">
        <v>182.68333333333334</v>
      </c>
    </row>
    <row r="675" spans="1:6" x14ac:dyDescent="0.25">
      <c r="A675" s="1">
        <v>38596</v>
      </c>
      <c r="B675" t="s">
        <v>5</v>
      </c>
      <c r="C675" t="s">
        <v>7</v>
      </c>
      <c r="D675">
        <v>102</v>
      </c>
      <c r="E675" s="2">
        <v>0.10728009259259259</v>
      </c>
      <c r="F675">
        <v>154.48333333333332</v>
      </c>
    </row>
    <row r="676" spans="1:6" x14ac:dyDescent="0.25">
      <c r="A676" s="1">
        <v>38596</v>
      </c>
      <c r="B676" t="s">
        <v>5</v>
      </c>
      <c r="C676" t="s">
        <v>8</v>
      </c>
      <c r="D676">
        <v>51</v>
      </c>
      <c r="E676" s="2">
        <v>5.1168981481481482E-2</v>
      </c>
      <c r="F676">
        <v>73.683333333333337</v>
      </c>
    </row>
    <row r="677" spans="1:6" x14ac:dyDescent="0.25">
      <c r="A677" s="1">
        <v>38596</v>
      </c>
      <c r="B677" t="s">
        <v>5</v>
      </c>
      <c r="C677" t="s">
        <v>9</v>
      </c>
      <c r="D677">
        <v>19</v>
      </c>
      <c r="E677" s="2">
        <v>1.5543981481481482E-2</v>
      </c>
      <c r="F677">
        <v>22.383333333333333</v>
      </c>
    </row>
    <row r="678" spans="1:6" x14ac:dyDescent="0.25">
      <c r="A678" s="1">
        <v>38596</v>
      </c>
      <c r="B678" t="s">
        <v>5</v>
      </c>
      <c r="C678" t="s">
        <v>10</v>
      </c>
      <c r="D678">
        <v>32</v>
      </c>
      <c r="E678" s="2">
        <v>3.1886574074074074E-2</v>
      </c>
      <c r="F678">
        <v>45.916666666666664</v>
      </c>
    </row>
    <row r="679" spans="1:6" x14ac:dyDescent="0.25">
      <c r="A679" s="1">
        <v>38596</v>
      </c>
      <c r="B679" t="s">
        <v>5</v>
      </c>
      <c r="C679" t="s">
        <v>11</v>
      </c>
      <c r="D679">
        <v>46</v>
      </c>
      <c r="E679" s="2">
        <v>6.1967592592592595E-2</v>
      </c>
      <c r="F679">
        <v>89.233333333333334</v>
      </c>
    </row>
    <row r="680" spans="1:6" x14ac:dyDescent="0.25">
      <c r="A680" s="1">
        <v>38596</v>
      </c>
      <c r="B680" t="s">
        <v>12</v>
      </c>
      <c r="C680" t="s">
        <v>6</v>
      </c>
      <c r="D680">
        <v>40</v>
      </c>
      <c r="E680" s="2">
        <v>4.7291666666666669E-2</v>
      </c>
      <c r="F680">
        <v>68.099999999999994</v>
      </c>
    </row>
    <row r="681" spans="1:6" x14ac:dyDescent="0.25">
      <c r="A681" s="1">
        <v>38596</v>
      </c>
      <c r="B681" t="s">
        <v>12</v>
      </c>
      <c r="C681" t="s">
        <v>7</v>
      </c>
      <c r="D681">
        <v>55</v>
      </c>
      <c r="E681" s="2">
        <v>6.9768518518518521E-2</v>
      </c>
      <c r="F681">
        <v>100.46666666666667</v>
      </c>
    </row>
    <row r="682" spans="1:6" x14ac:dyDescent="0.25">
      <c r="A682" s="1">
        <v>38596</v>
      </c>
      <c r="B682" t="s">
        <v>12</v>
      </c>
      <c r="C682" t="s">
        <v>8</v>
      </c>
      <c r="D682">
        <v>25</v>
      </c>
      <c r="E682" s="2">
        <v>3.3518518518518517E-2</v>
      </c>
      <c r="F682">
        <v>48.266666666666666</v>
      </c>
    </row>
    <row r="683" spans="1:6" x14ac:dyDescent="0.25">
      <c r="A683" s="1">
        <v>38596</v>
      </c>
      <c r="B683" t="s">
        <v>12</v>
      </c>
      <c r="C683" t="s">
        <v>9</v>
      </c>
      <c r="D683">
        <v>5</v>
      </c>
      <c r="E683" s="2">
        <v>4.5254629629629629E-3</v>
      </c>
      <c r="F683">
        <v>6.5166666666666666</v>
      </c>
    </row>
    <row r="684" spans="1:6" x14ac:dyDescent="0.25">
      <c r="A684" s="1">
        <v>38596</v>
      </c>
      <c r="B684" t="s">
        <v>12</v>
      </c>
      <c r="C684" t="s">
        <v>10</v>
      </c>
      <c r="D684">
        <v>1</v>
      </c>
      <c r="E684" s="2">
        <v>2.3148148148148149E-4</v>
      </c>
      <c r="F684">
        <v>0.33333333333333331</v>
      </c>
    </row>
    <row r="685" spans="1:6" x14ac:dyDescent="0.25">
      <c r="A685" s="1">
        <v>38596</v>
      </c>
      <c r="B685" t="s">
        <v>12</v>
      </c>
      <c r="C685" t="s">
        <v>11</v>
      </c>
      <c r="D685">
        <v>17</v>
      </c>
      <c r="E685" s="2">
        <v>1.5717592592592592E-2</v>
      </c>
      <c r="F685">
        <v>22.633333333333333</v>
      </c>
    </row>
    <row r="686" spans="1:6" x14ac:dyDescent="0.25">
      <c r="A686" s="1">
        <v>38596</v>
      </c>
      <c r="B686" t="s">
        <v>13</v>
      </c>
      <c r="C686" t="s">
        <v>6</v>
      </c>
      <c r="D686">
        <v>63</v>
      </c>
      <c r="E686" s="2">
        <v>6.7847222222222225E-2</v>
      </c>
      <c r="F686">
        <v>97.7</v>
      </c>
    </row>
    <row r="687" spans="1:6" x14ac:dyDescent="0.25">
      <c r="A687" s="1">
        <v>38596</v>
      </c>
      <c r="B687" t="s">
        <v>13</v>
      </c>
      <c r="C687" t="s">
        <v>7</v>
      </c>
      <c r="D687">
        <v>39</v>
      </c>
      <c r="E687" s="2">
        <v>4.4930555555555557E-2</v>
      </c>
      <c r="F687">
        <v>64.7</v>
      </c>
    </row>
    <row r="688" spans="1:6" x14ac:dyDescent="0.25">
      <c r="A688" s="1">
        <v>38596</v>
      </c>
      <c r="B688" t="s">
        <v>13</v>
      </c>
      <c r="C688" t="s">
        <v>8</v>
      </c>
      <c r="D688">
        <v>36</v>
      </c>
      <c r="E688" s="2">
        <v>4.7245370370370368E-2</v>
      </c>
      <c r="F688">
        <v>68.033333333333331</v>
      </c>
    </row>
    <row r="689" spans="1:6" x14ac:dyDescent="0.25">
      <c r="A689" s="1">
        <v>38596</v>
      </c>
      <c r="B689" t="s">
        <v>13</v>
      </c>
      <c r="C689" t="s">
        <v>9</v>
      </c>
      <c r="D689">
        <v>21</v>
      </c>
      <c r="E689" s="2">
        <v>1.5520833333333333E-2</v>
      </c>
      <c r="F689">
        <v>22.35</v>
      </c>
    </row>
    <row r="690" spans="1:6" x14ac:dyDescent="0.25">
      <c r="A690" s="1">
        <v>38596</v>
      </c>
      <c r="B690" t="s">
        <v>13</v>
      </c>
      <c r="C690" t="s">
        <v>10</v>
      </c>
      <c r="D690">
        <v>21</v>
      </c>
      <c r="E690" s="2">
        <v>1.7743055555555557E-2</v>
      </c>
      <c r="F690">
        <v>25.55</v>
      </c>
    </row>
    <row r="691" spans="1:6" x14ac:dyDescent="0.25">
      <c r="A691" s="1">
        <v>38596</v>
      </c>
      <c r="B691" t="s">
        <v>13</v>
      </c>
      <c r="C691" t="s">
        <v>11</v>
      </c>
      <c r="D691">
        <v>28</v>
      </c>
      <c r="E691" s="2">
        <v>1.9884259259259258E-2</v>
      </c>
      <c r="F691">
        <v>28.633333333333333</v>
      </c>
    </row>
    <row r="692" spans="1:6" x14ac:dyDescent="0.25">
      <c r="A692" s="1">
        <v>38596</v>
      </c>
      <c r="B692" t="s">
        <v>14</v>
      </c>
      <c r="C692" t="s">
        <v>6</v>
      </c>
      <c r="D692">
        <v>16</v>
      </c>
      <c r="E692" s="2">
        <v>1.8831018518518518E-2</v>
      </c>
      <c r="F692">
        <v>27.116666666666667</v>
      </c>
    </row>
    <row r="693" spans="1:6" x14ac:dyDescent="0.25">
      <c r="A693" s="1">
        <v>38596</v>
      </c>
      <c r="B693" t="s">
        <v>14</v>
      </c>
      <c r="C693" t="s">
        <v>7</v>
      </c>
      <c r="D693">
        <v>19</v>
      </c>
      <c r="E693" s="2">
        <v>2.6979166666666665E-2</v>
      </c>
      <c r="F693">
        <v>38.85</v>
      </c>
    </row>
    <row r="694" spans="1:6" x14ac:dyDescent="0.25">
      <c r="A694" s="1">
        <v>38596</v>
      </c>
      <c r="B694" t="s">
        <v>14</v>
      </c>
      <c r="C694" t="s">
        <v>8</v>
      </c>
      <c r="D694">
        <v>7</v>
      </c>
      <c r="E694" s="2">
        <v>1.0266203703703704E-2</v>
      </c>
      <c r="F694">
        <v>14.783333333333333</v>
      </c>
    </row>
    <row r="695" spans="1:6" x14ac:dyDescent="0.25">
      <c r="A695" s="1">
        <v>38596</v>
      </c>
      <c r="B695" t="s">
        <v>14</v>
      </c>
      <c r="C695" t="s">
        <v>9</v>
      </c>
      <c r="D695">
        <v>3</v>
      </c>
      <c r="E695" s="2">
        <v>1.3773148148148147E-3</v>
      </c>
      <c r="F695">
        <v>1.9833333333333334</v>
      </c>
    </row>
    <row r="696" spans="1:6" x14ac:dyDescent="0.25">
      <c r="A696" s="1">
        <v>38596</v>
      </c>
      <c r="B696" t="s">
        <v>14</v>
      </c>
      <c r="C696" t="s">
        <v>10</v>
      </c>
      <c r="D696">
        <v>0</v>
      </c>
      <c r="E696" s="2">
        <v>0</v>
      </c>
      <c r="F696">
        <v>0</v>
      </c>
    </row>
    <row r="697" spans="1:6" x14ac:dyDescent="0.25">
      <c r="A697" s="1">
        <v>38596</v>
      </c>
      <c r="B697" t="s">
        <v>14</v>
      </c>
      <c r="C697" t="s">
        <v>11</v>
      </c>
      <c r="D697">
        <v>3</v>
      </c>
      <c r="E697" s="2">
        <v>2.3148148148148147E-3</v>
      </c>
      <c r="F697">
        <v>3.3333333333333335</v>
      </c>
    </row>
    <row r="698" spans="1:6" x14ac:dyDescent="0.25">
      <c r="A698" s="1">
        <v>38596</v>
      </c>
      <c r="B698" t="s">
        <v>15</v>
      </c>
      <c r="C698" t="s">
        <v>6</v>
      </c>
      <c r="D698">
        <v>51</v>
      </c>
      <c r="E698" s="2">
        <v>4.8009259259259258E-2</v>
      </c>
      <c r="F698">
        <v>69.13333333333334</v>
      </c>
    </row>
    <row r="699" spans="1:6" x14ac:dyDescent="0.25">
      <c r="A699" s="1">
        <v>38596</v>
      </c>
      <c r="B699" t="s">
        <v>15</v>
      </c>
      <c r="C699" t="s">
        <v>7</v>
      </c>
      <c r="D699">
        <v>34</v>
      </c>
      <c r="E699" s="2">
        <v>3.5081018518518518E-2</v>
      </c>
      <c r="F699">
        <v>50.516666666666666</v>
      </c>
    </row>
    <row r="700" spans="1:6" x14ac:dyDescent="0.25">
      <c r="A700" s="1">
        <v>38596</v>
      </c>
      <c r="B700" t="s">
        <v>15</v>
      </c>
      <c r="C700" t="s">
        <v>8</v>
      </c>
      <c r="D700">
        <v>19</v>
      </c>
      <c r="E700" s="2">
        <v>1.7928240740740741E-2</v>
      </c>
      <c r="F700">
        <v>25.816666666666666</v>
      </c>
    </row>
    <row r="701" spans="1:6" x14ac:dyDescent="0.25">
      <c r="A701" s="1">
        <v>38596</v>
      </c>
      <c r="B701" t="s">
        <v>15</v>
      </c>
      <c r="C701" t="s">
        <v>9</v>
      </c>
      <c r="D701">
        <v>1</v>
      </c>
      <c r="E701" s="2">
        <v>6.2500000000000001E-4</v>
      </c>
      <c r="F701">
        <v>0.9</v>
      </c>
    </row>
    <row r="702" spans="1:6" x14ac:dyDescent="0.25">
      <c r="A702" s="1">
        <v>38596</v>
      </c>
      <c r="B702" t="s">
        <v>15</v>
      </c>
      <c r="C702" t="s">
        <v>10</v>
      </c>
      <c r="D702">
        <v>5</v>
      </c>
      <c r="E702" s="2">
        <v>2.1759259259259258E-3</v>
      </c>
      <c r="F702">
        <v>3.1333333333333333</v>
      </c>
    </row>
    <row r="703" spans="1:6" x14ac:dyDescent="0.25">
      <c r="A703" s="1">
        <v>38596</v>
      </c>
      <c r="B703" t="s">
        <v>15</v>
      </c>
      <c r="C703" t="s">
        <v>11</v>
      </c>
      <c r="D703">
        <v>4</v>
      </c>
      <c r="E703" s="2">
        <v>4.0393518518518521E-3</v>
      </c>
      <c r="F703">
        <v>5.8166666666666664</v>
      </c>
    </row>
    <row r="704" spans="1:6" x14ac:dyDescent="0.25">
      <c r="A704" s="1">
        <v>38596</v>
      </c>
      <c r="B704" t="s">
        <v>16</v>
      </c>
      <c r="C704" t="s">
        <v>6</v>
      </c>
      <c r="D704">
        <v>19</v>
      </c>
      <c r="E704" s="2">
        <v>2.1493055555555557E-2</v>
      </c>
      <c r="F704">
        <v>30.95</v>
      </c>
    </row>
    <row r="705" spans="1:6" x14ac:dyDescent="0.25">
      <c r="A705" s="1">
        <v>38596</v>
      </c>
      <c r="B705" t="s">
        <v>16</v>
      </c>
      <c r="C705" t="s">
        <v>7</v>
      </c>
      <c r="D705">
        <v>17</v>
      </c>
      <c r="E705" s="2">
        <v>2.2685185185185187E-2</v>
      </c>
      <c r="F705">
        <v>32.666666666666664</v>
      </c>
    </row>
    <row r="706" spans="1:6" x14ac:dyDescent="0.25">
      <c r="A706" s="1">
        <v>38596</v>
      </c>
      <c r="B706" t="s">
        <v>16</v>
      </c>
      <c r="C706" t="s">
        <v>8</v>
      </c>
      <c r="D706">
        <v>15</v>
      </c>
      <c r="E706" s="2">
        <v>1.6342592592592593E-2</v>
      </c>
      <c r="F706">
        <v>23.533333333333335</v>
      </c>
    </row>
    <row r="707" spans="1:6" x14ac:dyDescent="0.25">
      <c r="A707" s="1">
        <v>38596</v>
      </c>
      <c r="B707" t="s">
        <v>16</v>
      </c>
      <c r="C707" t="s">
        <v>9</v>
      </c>
      <c r="D707">
        <v>7</v>
      </c>
      <c r="E707" s="2">
        <v>5.5555555555555558E-3</v>
      </c>
      <c r="F707">
        <v>8</v>
      </c>
    </row>
    <row r="708" spans="1:6" x14ac:dyDescent="0.25">
      <c r="A708" s="1">
        <v>38596</v>
      </c>
      <c r="B708" t="s">
        <v>16</v>
      </c>
      <c r="C708" t="s">
        <v>10</v>
      </c>
      <c r="D708">
        <v>4</v>
      </c>
      <c r="E708" s="2">
        <v>2.4189814814814816E-3</v>
      </c>
      <c r="F708">
        <v>3.4833333333333334</v>
      </c>
    </row>
    <row r="709" spans="1:6" x14ac:dyDescent="0.25">
      <c r="A709" s="1">
        <v>38596</v>
      </c>
      <c r="B709" t="s">
        <v>16</v>
      </c>
      <c r="C709" t="s">
        <v>11</v>
      </c>
      <c r="D709">
        <v>14</v>
      </c>
      <c r="E709" s="2">
        <v>7.6041666666666671E-3</v>
      </c>
      <c r="F709">
        <v>10.95</v>
      </c>
    </row>
    <row r="710" spans="1:6" x14ac:dyDescent="0.25">
      <c r="A710" s="1">
        <v>38596</v>
      </c>
      <c r="B710" t="s">
        <v>17</v>
      </c>
      <c r="C710" t="s">
        <v>6</v>
      </c>
      <c r="D710">
        <v>7</v>
      </c>
      <c r="E710" s="2">
        <v>5.4282407407407404E-3</v>
      </c>
      <c r="F710">
        <v>7.8166666666666664</v>
      </c>
    </row>
    <row r="711" spans="1:6" x14ac:dyDescent="0.25">
      <c r="A711" s="1">
        <v>38596</v>
      </c>
      <c r="B711" t="s">
        <v>17</v>
      </c>
      <c r="C711" t="s">
        <v>7</v>
      </c>
      <c r="D711">
        <v>10</v>
      </c>
      <c r="E711" s="2">
        <v>8.726851851851852E-3</v>
      </c>
      <c r="F711">
        <v>12.566666666666666</v>
      </c>
    </row>
    <row r="712" spans="1:6" x14ac:dyDescent="0.25">
      <c r="A712" s="1">
        <v>38596</v>
      </c>
      <c r="B712" t="s">
        <v>17</v>
      </c>
      <c r="C712" t="s">
        <v>8</v>
      </c>
      <c r="D712">
        <v>4</v>
      </c>
      <c r="E712" s="2">
        <v>5.5092592592592589E-3</v>
      </c>
      <c r="F712">
        <v>7.9333333333333336</v>
      </c>
    </row>
    <row r="713" spans="1:6" x14ac:dyDescent="0.25">
      <c r="A713" s="1">
        <v>38596</v>
      </c>
      <c r="B713" t="s">
        <v>17</v>
      </c>
      <c r="C713" t="s">
        <v>9</v>
      </c>
      <c r="D713">
        <v>4</v>
      </c>
      <c r="E713" s="2">
        <v>2.6041666666666665E-3</v>
      </c>
      <c r="F713">
        <v>3.75</v>
      </c>
    </row>
    <row r="714" spans="1:6" x14ac:dyDescent="0.25">
      <c r="A714" s="1">
        <v>38596</v>
      </c>
      <c r="B714" t="s">
        <v>17</v>
      </c>
      <c r="C714" t="s">
        <v>10</v>
      </c>
      <c r="D714">
        <v>5</v>
      </c>
      <c r="E714" s="2">
        <v>3.9004629629629628E-3</v>
      </c>
      <c r="F714">
        <v>5.6166666666666671</v>
      </c>
    </row>
    <row r="715" spans="1:6" x14ac:dyDescent="0.25">
      <c r="A715" s="1">
        <v>38596</v>
      </c>
      <c r="B715" t="s">
        <v>17</v>
      </c>
      <c r="C715" t="s">
        <v>11</v>
      </c>
      <c r="D715">
        <v>3</v>
      </c>
      <c r="E715" s="2">
        <v>1.3773148148148147E-3</v>
      </c>
      <c r="F715">
        <v>1.9833333333333334</v>
      </c>
    </row>
    <row r="716" spans="1:6" x14ac:dyDescent="0.25">
      <c r="A716" s="1">
        <v>38596</v>
      </c>
      <c r="B716" t="s">
        <v>18</v>
      </c>
      <c r="C716" t="s">
        <v>6</v>
      </c>
      <c r="D716">
        <v>65</v>
      </c>
      <c r="E716" s="2">
        <v>6.0474537037037035E-2</v>
      </c>
      <c r="F716">
        <v>87.083333333333329</v>
      </c>
    </row>
    <row r="717" spans="1:6" x14ac:dyDescent="0.25">
      <c r="A717" s="1">
        <v>38596</v>
      </c>
      <c r="B717" t="s">
        <v>18</v>
      </c>
      <c r="C717" t="s">
        <v>7</v>
      </c>
      <c r="D717">
        <v>71</v>
      </c>
      <c r="E717" s="2">
        <v>6.7245370370370372E-2</v>
      </c>
      <c r="F717">
        <v>96.833333333333329</v>
      </c>
    </row>
    <row r="718" spans="1:6" x14ac:dyDescent="0.25">
      <c r="A718" s="1">
        <v>38596</v>
      </c>
      <c r="B718" t="s">
        <v>18</v>
      </c>
      <c r="C718" t="s">
        <v>8</v>
      </c>
      <c r="D718">
        <v>45</v>
      </c>
      <c r="E718" s="2">
        <v>5.3067129629629631E-2</v>
      </c>
      <c r="F718">
        <v>76.416666666666671</v>
      </c>
    </row>
    <row r="719" spans="1:6" x14ac:dyDescent="0.25">
      <c r="A719" s="1">
        <v>38596</v>
      </c>
      <c r="B719" t="s">
        <v>18</v>
      </c>
      <c r="C719" t="s">
        <v>9</v>
      </c>
      <c r="D719">
        <v>25</v>
      </c>
      <c r="E719" s="2">
        <v>2.0266203703703703E-2</v>
      </c>
      <c r="F719">
        <v>29.183333333333334</v>
      </c>
    </row>
    <row r="720" spans="1:6" x14ac:dyDescent="0.25">
      <c r="A720" s="1">
        <v>38596</v>
      </c>
      <c r="B720" t="s">
        <v>18</v>
      </c>
      <c r="C720" t="s">
        <v>10</v>
      </c>
      <c r="D720">
        <v>133</v>
      </c>
      <c r="E720" s="2">
        <v>0.13395833333333335</v>
      </c>
      <c r="F720">
        <v>192.9</v>
      </c>
    </row>
    <row r="721" spans="1:6" x14ac:dyDescent="0.25">
      <c r="A721" s="1">
        <v>38596</v>
      </c>
      <c r="B721" t="s">
        <v>18</v>
      </c>
      <c r="C721" t="s">
        <v>11</v>
      </c>
      <c r="D721">
        <v>29</v>
      </c>
      <c r="E721" s="2">
        <v>1.4953703703703703E-2</v>
      </c>
      <c r="F721">
        <v>21.533333333333335</v>
      </c>
    </row>
    <row r="722" spans="1:6" x14ac:dyDescent="0.25">
      <c r="A722" s="1">
        <v>38596</v>
      </c>
      <c r="B722" t="s">
        <v>19</v>
      </c>
      <c r="C722" t="s">
        <v>6</v>
      </c>
      <c r="D722">
        <v>25</v>
      </c>
      <c r="E722" s="2">
        <v>2.4583333333333332E-2</v>
      </c>
      <c r="F722">
        <v>35.4</v>
      </c>
    </row>
    <row r="723" spans="1:6" x14ac:dyDescent="0.25">
      <c r="A723" s="1">
        <v>38596</v>
      </c>
      <c r="B723" t="s">
        <v>19</v>
      </c>
      <c r="C723" t="s">
        <v>7</v>
      </c>
      <c r="D723">
        <v>24</v>
      </c>
      <c r="E723" s="2">
        <v>2.7268518518518518E-2</v>
      </c>
      <c r="F723">
        <v>39.266666666666666</v>
      </c>
    </row>
    <row r="724" spans="1:6" x14ac:dyDescent="0.25">
      <c r="A724" s="1">
        <v>38596</v>
      </c>
      <c r="B724" t="s">
        <v>19</v>
      </c>
      <c r="C724" t="s">
        <v>8</v>
      </c>
      <c r="D724">
        <v>20</v>
      </c>
      <c r="E724" s="2">
        <v>2.539351851851852E-2</v>
      </c>
      <c r="F724">
        <v>36.56666666666667</v>
      </c>
    </row>
    <row r="725" spans="1:6" x14ac:dyDescent="0.25">
      <c r="A725" s="1">
        <v>38596</v>
      </c>
      <c r="B725" t="s">
        <v>19</v>
      </c>
      <c r="C725" t="s">
        <v>9</v>
      </c>
      <c r="D725">
        <v>11</v>
      </c>
      <c r="E725" s="2">
        <v>7.8703703703703696E-3</v>
      </c>
      <c r="F725">
        <v>11.333333333333334</v>
      </c>
    </row>
    <row r="726" spans="1:6" x14ac:dyDescent="0.25">
      <c r="A726" s="1">
        <v>38596</v>
      </c>
      <c r="B726" t="s">
        <v>19</v>
      </c>
      <c r="C726" t="s">
        <v>10</v>
      </c>
      <c r="D726">
        <v>12</v>
      </c>
      <c r="E726" s="2">
        <v>5.1504629629629626E-3</v>
      </c>
      <c r="F726">
        <v>7.416666666666667</v>
      </c>
    </row>
    <row r="727" spans="1:6" x14ac:dyDescent="0.25">
      <c r="A727" s="1">
        <v>38596</v>
      </c>
      <c r="B727" t="s">
        <v>19</v>
      </c>
      <c r="C727" t="s">
        <v>11</v>
      </c>
      <c r="D727">
        <v>13</v>
      </c>
      <c r="E727" s="2">
        <v>9.3749999999999997E-3</v>
      </c>
      <c r="F727">
        <v>13.5</v>
      </c>
    </row>
    <row r="728" spans="1:6" x14ac:dyDescent="0.25">
      <c r="A728" s="1">
        <v>38596</v>
      </c>
      <c r="B728" t="s">
        <v>20</v>
      </c>
      <c r="C728" t="s">
        <v>6</v>
      </c>
      <c r="D728">
        <v>47</v>
      </c>
      <c r="E728" s="2">
        <v>4.9942129629629628E-2</v>
      </c>
      <c r="F728">
        <v>71.916666666666671</v>
      </c>
    </row>
    <row r="729" spans="1:6" x14ac:dyDescent="0.25">
      <c r="A729" s="1">
        <v>38596</v>
      </c>
      <c r="B729" t="s">
        <v>20</v>
      </c>
      <c r="C729" t="s">
        <v>7</v>
      </c>
      <c r="D729">
        <v>47</v>
      </c>
      <c r="E729" s="2">
        <v>4.6585648148148147E-2</v>
      </c>
      <c r="F729">
        <v>67.083333333333329</v>
      </c>
    </row>
    <row r="730" spans="1:6" x14ac:dyDescent="0.25">
      <c r="A730" s="1">
        <v>38596</v>
      </c>
      <c r="B730" t="s">
        <v>20</v>
      </c>
      <c r="C730" t="s">
        <v>8</v>
      </c>
      <c r="D730">
        <v>46</v>
      </c>
      <c r="E730" s="2">
        <v>5.9201388888888887E-2</v>
      </c>
      <c r="F730">
        <v>85.25</v>
      </c>
    </row>
    <row r="731" spans="1:6" x14ac:dyDescent="0.25">
      <c r="A731" s="1">
        <v>38596</v>
      </c>
      <c r="B731" t="s">
        <v>20</v>
      </c>
      <c r="C731" t="s">
        <v>9</v>
      </c>
      <c r="D731">
        <v>20</v>
      </c>
      <c r="E731" s="2">
        <v>1.5092592592592593E-2</v>
      </c>
      <c r="F731">
        <v>21.733333333333334</v>
      </c>
    </row>
    <row r="732" spans="1:6" x14ac:dyDescent="0.25">
      <c r="A732" s="1">
        <v>38596</v>
      </c>
      <c r="B732" t="s">
        <v>20</v>
      </c>
      <c r="C732" t="s">
        <v>10</v>
      </c>
      <c r="D732">
        <v>9</v>
      </c>
      <c r="E732" s="2">
        <v>1.1099537037037036E-2</v>
      </c>
      <c r="F732">
        <v>15.983333333333333</v>
      </c>
    </row>
    <row r="733" spans="1:6" x14ac:dyDescent="0.25">
      <c r="A733" s="1">
        <v>38596</v>
      </c>
      <c r="B733" t="s">
        <v>20</v>
      </c>
      <c r="C733" t="s">
        <v>11</v>
      </c>
      <c r="D733">
        <v>19</v>
      </c>
      <c r="E733" s="2">
        <v>1.6122685185185184E-2</v>
      </c>
      <c r="F733">
        <v>23.216666666666665</v>
      </c>
    </row>
    <row r="734" spans="1:6" x14ac:dyDescent="0.25">
      <c r="A734" s="1">
        <v>38596</v>
      </c>
      <c r="B734" t="s">
        <v>21</v>
      </c>
      <c r="C734" t="s">
        <v>6</v>
      </c>
      <c r="D734">
        <v>29</v>
      </c>
      <c r="E734" s="2">
        <v>3.1435185185185184E-2</v>
      </c>
      <c r="F734">
        <v>45.266666666666666</v>
      </c>
    </row>
    <row r="735" spans="1:6" x14ac:dyDescent="0.25">
      <c r="A735" s="1">
        <v>38596</v>
      </c>
      <c r="B735" t="s">
        <v>21</v>
      </c>
      <c r="C735" t="s">
        <v>7</v>
      </c>
      <c r="D735">
        <v>21</v>
      </c>
      <c r="E735" s="2">
        <v>2.8310185185185185E-2</v>
      </c>
      <c r="F735">
        <v>40.766666666666666</v>
      </c>
    </row>
    <row r="736" spans="1:6" x14ac:dyDescent="0.25">
      <c r="A736" s="1">
        <v>38596</v>
      </c>
      <c r="B736" t="s">
        <v>21</v>
      </c>
      <c r="C736" t="s">
        <v>8</v>
      </c>
      <c r="D736">
        <v>18</v>
      </c>
      <c r="E736" s="2">
        <v>2.537037037037037E-2</v>
      </c>
      <c r="F736">
        <v>36.533333333333331</v>
      </c>
    </row>
    <row r="737" spans="1:6" x14ac:dyDescent="0.25">
      <c r="A737" s="1">
        <v>38596</v>
      </c>
      <c r="B737" t="s">
        <v>21</v>
      </c>
      <c r="C737" t="s">
        <v>9</v>
      </c>
      <c r="D737">
        <v>5</v>
      </c>
      <c r="E737" s="2">
        <v>3.7268518518518519E-3</v>
      </c>
      <c r="F737">
        <v>5.3666666666666663</v>
      </c>
    </row>
    <row r="738" spans="1:6" x14ac:dyDescent="0.25">
      <c r="A738" s="1">
        <v>38596</v>
      </c>
      <c r="B738" t="s">
        <v>21</v>
      </c>
      <c r="C738" t="s">
        <v>10</v>
      </c>
      <c r="D738">
        <v>4</v>
      </c>
      <c r="E738" s="2">
        <v>3.1018518518518517E-3</v>
      </c>
      <c r="F738">
        <v>4.4666666666666668</v>
      </c>
    </row>
    <row r="739" spans="1:6" x14ac:dyDescent="0.25">
      <c r="A739" s="1">
        <v>38596</v>
      </c>
      <c r="B739" t="s">
        <v>21</v>
      </c>
      <c r="C739" t="s">
        <v>11</v>
      </c>
      <c r="D739">
        <v>5</v>
      </c>
      <c r="E739" s="2">
        <v>5.347222222222222E-3</v>
      </c>
      <c r="F739">
        <v>7.7</v>
      </c>
    </row>
    <row r="740" spans="1:6" x14ac:dyDescent="0.25">
      <c r="A740" s="1">
        <v>38596</v>
      </c>
      <c r="B740" t="s">
        <v>22</v>
      </c>
      <c r="C740" t="s">
        <v>6</v>
      </c>
      <c r="D740">
        <v>10</v>
      </c>
      <c r="E740" s="2">
        <v>1.306712962962963E-2</v>
      </c>
      <c r="F740">
        <v>18.816666666666666</v>
      </c>
    </row>
    <row r="741" spans="1:6" x14ac:dyDescent="0.25">
      <c r="A741" s="1">
        <v>38596</v>
      </c>
      <c r="B741" t="s">
        <v>22</v>
      </c>
      <c r="C741" t="s">
        <v>7</v>
      </c>
      <c r="D741">
        <v>17</v>
      </c>
      <c r="E741" s="2">
        <v>1.894675925925926E-2</v>
      </c>
      <c r="F741">
        <v>27.283333333333335</v>
      </c>
    </row>
    <row r="742" spans="1:6" x14ac:dyDescent="0.25">
      <c r="A742" s="1">
        <v>38596</v>
      </c>
      <c r="B742" t="s">
        <v>22</v>
      </c>
      <c r="C742" t="s">
        <v>8</v>
      </c>
      <c r="D742">
        <v>8</v>
      </c>
      <c r="E742" s="2">
        <v>9.1898148148148156E-3</v>
      </c>
      <c r="F742">
        <v>13.233333333333333</v>
      </c>
    </row>
    <row r="743" spans="1:6" x14ac:dyDescent="0.25">
      <c r="A743" s="1">
        <v>38596</v>
      </c>
      <c r="B743" t="s">
        <v>22</v>
      </c>
      <c r="C743" t="s">
        <v>9</v>
      </c>
      <c r="D743">
        <v>4</v>
      </c>
      <c r="E743" s="2">
        <v>3.5763888888888889E-3</v>
      </c>
      <c r="F743">
        <v>5.15</v>
      </c>
    </row>
    <row r="744" spans="1:6" x14ac:dyDescent="0.25">
      <c r="A744" s="1">
        <v>38596</v>
      </c>
      <c r="B744" t="s">
        <v>22</v>
      </c>
      <c r="C744" t="s">
        <v>10</v>
      </c>
      <c r="D744">
        <v>3</v>
      </c>
      <c r="E744" s="2">
        <v>2.9050925925925928E-3</v>
      </c>
      <c r="F744">
        <v>4.1833333333333336</v>
      </c>
    </row>
    <row r="745" spans="1:6" x14ac:dyDescent="0.25">
      <c r="A745" s="1">
        <v>38596</v>
      </c>
      <c r="B745" t="s">
        <v>22</v>
      </c>
      <c r="C745" t="s">
        <v>11</v>
      </c>
      <c r="D745">
        <v>5</v>
      </c>
      <c r="E745" s="2">
        <v>4.1435185185185186E-3</v>
      </c>
      <c r="F745">
        <v>5.9666666666666668</v>
      </c>
    </row>
    <row r="746" spans="1:6" x14ac:dyDescent="0.25">
      <c r="A746" s="1">
        <v>38596</v>
      </c>
      <c r="B746" t="s">
        <v>23</v>
      </c>
      <c r="C746" t="s">
        <v>6</v>
      </c>
      <c r="D746">
        <v>124</v>
      </c>
      <c r="E746" s="2">
        <v>0.12354166666666666</v>
      </c>
      <c r="F746">
        <v>177.9</v>
      </c>
    </row>
    <row r="747" spans="1:6" x14ac:dyDescent="0.25">
      <c r="A747" s="1">
        <v>38596</v>
      </c>
      <c r="B747" t="s">
        <v>23</v>
      </c>
      <c r="C747" t="s">
        <v>7</v>
      </c>
      <c r="D747">
        <v>102</v>
      </c>
      <c r="E747" s="2">
        <v>0.11819444444444445</v>
      </c>
      <c r="F747">
        <v>170.2</v>
      </c>
    </row>
    <row r="748" spans="1:6" x14ac:dyDescent="0.25">
      <c r="A748" s="1">
        <v>38596</v>
      </c>
      <c r="B748" t="s">
        <v>23</v>
      </c>
      <c r="C748" t="s">
        <v>8</v>
      </c>
      <c r="D748">
        <v>78</v>
      </c>
      <c r="E748" s="2">
        <v>9.4988425925925921E-2</v>
      </c>
      <c r="F748">
        <v>136.78333333333333</v>
      </c>
    </row>
    <row r="749" spans="1:6" x14ac:dyDescent="0.25">
      <c r="A749" s="1">
        <v>38596</v>
      </c>
      <c r="B749" t="s">
        <v>23</v>
      </c>
      <c r="C749" t="s">
        <v>9</v>
      </c>
      <c r="D749">
        <v>38</v>
      </c>
      <c r="E749" s="2">
        <v>3.0902777777777779E-2</v>
      </c>
      <c r="F749">
        <v>44.5</v>
      </c>
    </row>
    <row r="750" spans="1:6" x14ac:dyDescent="0.25">
      <c r="A750" s="1">
        <v>38596</v>
      </c>
      <c r="B750" t="s">
        <v>23</v>
      </c>
      <c r="C750" t="s">
        <v>10</v>
      </c>
      <c r="D750">
        <v>32</v>
      </c>
      <c r="E750" s="2">
        <v>3.4016203703703701E-2</v>
      </c>
      <c r="F750">
        <v>48.983333333333334</v>
      </c>
    </row>
    <row r="751" spans="1:6" x14ac:dyDescent="0.25">
      <c r="A751" s="1">
        <v>38596</v>
      </c>
      <c r="B751" t="s">
        <v>23</v>
      </c>
      <c r="C751" t="s">
        <v>11</v>
      </c>
      <c r="D751">
        <v>55</v>
      </c>
      <c r="E751" s="2">
        <v>3.9675925925925927E-2</v>
      </c>
      <c r="F751">
        <v>57.133333333333333</v>
      </c>
    </row>
    <row r="752" spans="1:6" x14ac:dyDescent="0.25">
      <c r="A752" s="1">
        <v>38596</v>
      </c>
      <c r="B752" t="s">
        <v>24</v>
      </c>
      <c r="C752" t="s">
        <v>6</v>
      </c>
      <c r="D752">
        <v>41</v>
      </c>
      <c r="E752" s="2">
        <v>3.4409722222222223E-2</v>
      </c>
      <c r="F752">
        <v>49.55</v>
      </c>
    </row>
    <row r="753" spans="1:6" x14ac:dyDescent="0.25">
      <c r="A753" s="1">
        <v>38596</v>
      </c>
      <c r="B753" t="s">
        <v>24</v>
      </c>
      <c r="C753" t="s">
        <v>7</v>
      </c>
      <c r="D753">
        <v>43</v>
      </c>
      <c r="E753" s="2">
        <v>3.201388888888889E-2</v>
      </c>
      <c r="F753">
        <v>46.1</v>
      </c>
    </row>
    <row r="754" spans="1:6" x14ac:dyDescent="0.25">
      <c r="A754" s="1">
        <v>38596</v>
      </c>
      <c r="B754" t="s">
        <v>24</v>
      </c>
      <c r="C754" t="s">
        <v>8</v>
      </c>
      <c r="D754">
        <v>25</v>
      </c>
      <c r="E754" s="2">
        <v>2.0486111111111111E-2</v>
      </c>
      <c r="F754">
        <v>29.5</v>
      </c>
    </row>
    <row r="755" spans="1:6" x14ac:dyDescent="0.25">
      <c r="A755" s="1">
        <v>38596</v>
      </c>
      <c r="B755" t="s">
        <v>24</v>
      </c>
      <c r="C755" t="s">
        <v>9</v>
      </c>
      <c r="D755">
        <v>11</v>
      </c>
      <c r="E755" s="2">
        <v>9.9884259259259266E-3</v>
      </c>
      <c r="F755">
        <v>14.383333333333333</v>
      </c>
    </row>
    <row r="756" spans="1:6" x14ac:dyDescent="0.25">
      <c r="A756" s="1">
        <v>38596</v>
      </c>
      <c r="B756" t="s">
        <v>24</v>
      </c>
      <c r="C756" t="s">
        <v>10</v>
      </c>
      <c r="D756">
        <v>0</v>
      </c>
      <c r="E756" s="2">
        <v>0</v>
      </c>
      <c r="F756">
        <v>0</v>
      </c>
    </row>
    <row r="757" spans="1:6" x14ac:dyDescent="0.25">
      <c r="A757" s="1">
        <v>38596</v>
      </c>
      <c r="B757" t="s">
        <v>24</v>
      </c>
      <c r="C757" t="s">
        <v>11</v>
      </c>
      <c r="D757">
        <v>33</v>
      </c>
      <c r="E757" s="2">
        <v>2.0289351851851854E-2</v>
      </c>
      <c r="F757">
        <v>29.216666666666665</v>
      </c>
    </row>
    <row r="758" spans="1:6" x14ac:dyDescent="0.25">
      <c r="A758" s="1">
        <v>38626</v>
      </c>
      <c r="B758" t="s">
        <v>5</v>
      </c>
      <c r="C758" t="s">
        <v>6</v>
      </c>
      <c r="D758">
        <v>47</v>
      </c>
      <c r="E758" s="2">
        <v>5.5127314814814816E-2</v>
      </c>
      <c r="F758">
        <v>79.38333333333334</v>
      </c>
    </row>
    <row r="759" spans="1:6" x14ac:dyDescent="0.25">
      <c r="A759" s="1">
        <v>38626</v>
      </c>
      <c r="B759" t="s">
        <v>5</v>
      </c>
      <c r="C759" t="s">
        <v>7</v>
      </c>
      <c r="D759">
        <v>49</v>
      </c>
      <c r="E759" s="2">
        <v>5.0949074074074077E-2</v>
      </c>
      <c r="F759">
        <v>73.36666666666666</v>
      </c>
    </row>
    <row r="760" spans="1:6" x14ac:dyDescent="0.25">
      <c r="A760" s="1">
        <v>38626</v>
      </c>
      <c r="B760" t="s">
        <v>5</v>
      </c>
      <c r="C760" t="s">
        <v>8</v>
      </c>
      <c r="D760">
        <v>30</v>
      </c>
      <c r="E760" s="2">
        <v>3.3900462962962966E-2</v>
      </c>
      <c r="F760">
        <v>48.81666666666667</v>
      </c>
    </row>
    <row r="761" spans="1:6" x14ac:dyDescent="0.25">
      <c r="A761" s="1">
        <v>38626</v>
      </c>
      <c r="B761" t="s">
        <v>5</v>
      </c>
      <c r="C761" t="s">
        <v>9</v>
      </c>
      <c r="D761">
        <v>8</v>
      </c>
      <c r="E761" s="2">
        <v>7.0486111111111114E-3</v>
      </c>
      <c r="F761">
        <v>10.15</v>
      </c>
    </row>
    <row r="762" spans="1:6" x14ac:dyDescent="0.25">
      <c r="A762" s="1">
        <v>38626</v>
      </c>
      <c r="B762" t="s">
        <v>5</v>
      </c>
      <c r="C762" t="s">
        <v>10</v>
      </c>
      <c r="D762">
        <v>39</v>
      </c>
      <c r="E762" s="2">
        <v>3.8148148148148146E-2</v>
      </c>
      <c r="F762">
        <v>54.93333333333333</v>
      </c>
    </row>
    <row r="763" spans="1:6" x14ac:dyDescent="0.25">
      <c r="A763" s="1">
        <v>38626</v>
      </c>
      <c r="B763" t="s">
        <v>5</v>
      </c>
      <c r="C763" t="s">
        <v>11</v>
      </c>
      <c r="D763">
        <v>22</v>
      </c>
      <c r="E763" s="2">
        <v>1.6006944444444445E-2</v>
      </c>
      <c r="F763">
        <v>23.05</v>
      </c>
    </row>
    <row r="764" spans="1:6" x14ac:dyDescent="0.25">
      <c r="A764" s="1">
        <v>38626</v>
      </c>
      <c r="B764" t="s">
        <v>12</v>
      </c>
      <c r="C764" t="s">
        <v>6</v>
      </c>
      <c r="D764">
        <v>42</v>
      </c>
      <c r="E764" s="2">
        <v>4.8784722222222222E-2</v>
      </c>
      <c r="F764">
        <v>70.25</v>
      </c>
    </row>
    <row r="765" spans="1:6" x14ac:dyDescent="0.25">
      <c r="A765" s="1">
        <v>38626</v>
      </c>
      <c r="B765" t="s">
        <v>12</v>
      </c>
      <c r="C765" t="s">
        <v>7</v>
      </c>
      <c r="D765">
        <v>57</v>
      </c>
      <c r="E765" s="2">
        <v>7.6736111111111116E-2</v>
      </c>
      <c r="F765">
        <v>110.5</v>
      </c>
    </row>
    <row r="766" spans="1:6" x14ac:dyDescent="0.25">
      <c r="A766" s="1">
        <v>38626</v>
      </c>
      <c r="B766" t="s">
        <v>12</v>
      </c>
      <c r="C766" t="s">
        <v>8</v>
      </c>
      <c r="D766">
        <v>32</v>
      </c>
      <c r="E766" s="2">
        <v>4.8032407407407406E-2</v>
      </c>
      <c r="F766">
        <v>69.166666666666671</v>
      </c>
    </row>
    <row r="767" spans="1:6" x14ac:dyDescent="0.25">
      <c r="A767" s="1">
        <v>38626</v>
      </c>
      <c r="B767" t="s">
        <v>12</v>
      </c>
      <c r="C767" t="s">
        <v>9</v>
      </c>
      <c r="D767">
        <v>7</v>
      </c>
      <c r="E767" s="2">
        <v>5.3819444444444444E-3</v>
      </c>
      <c r="F767">
        <v>7.75</v>
      </c>
    </row>
    <row r="768" spans="1:6" x14ac:dyDescent="0.25">
      <c r="A768" s="1">
        <v>38626</v>
      </c>
      <c r="B768" t="s">
        <v>12</v>
      </c>
      <c r="C768" t="s">
        <v>10</v>
      </c>
      <c r="D768">
        <v>3</v>
      </c>
      <c r="E768" s="2">
        <v>2.627314814814815E-3</v>
      </c>
      <c r="F768">
        <v>3.7833333333333332</v>
      </c>
    </row>
    <row r="769" spans="1:6" x14ac:dyDescent="0.25">
      <c r="A769" s="1">
        <v>38626</v>
      </c>
      <c r="B769" t="s">
        <v>12</v>
      </c>
      <c r="C769" t="s">
        <v>11</v>
      </c>
      <c r="D769">
        <v>26</v>
      </c>
      <c r="E769" s="2">
        <v>2.568287037037037E-2</v>
      </c>
      <c r="F769">
        <v>36.983333333333334</v>
      </c>
    </row>
    <row r="770" spans="1:6" x14ac:dyDescent="0.25">
      <c r="A770" s="1">
        <v>38626</v>
      </c>
      <c r="B770" t="s">
        <v>13</v>
      </c>
      <c r="C770" t="s">
        <v>6</v>
      </c>
      <c r="D770">
        <v>47</v>
      </c>
      <c r="E770" s="2">
        <v>5.7303240740740738E-2</v>
      </c>
      <c r="F770">
        <v>82.516666666666666</v>
      </c>
    </row>
    <row r="771" spans="1:6" x14ac:dyDescent="0.25">
      <c r="A771" s="1">
        <v>38626</v>
      </c>
      <c r="B771" t="s">
        <v>13</v>
      </c>
      <c r="C771" t="s">
        <v>7</v>
      </c>
      <c r="D771">
        <v>31</v>
      </c>
      <c r="E771" s="2">
        <v>4.4699074074074072E-2</v>
      </c>
      <c r="F771">
        <v>64.36666666666666</v>
      </c>
    </row>
    <row r="772" spans="1:6" x14ac:dyDescent="0.25">
      <c r="A772" s="1">
        <v>38626</v>
      </c>
      <c r="B772" t="s">
        <v>13</v>
      </c>
      <c r="C772" t="s">
        <v>8</v>
      </c>
      <c r="D772">
        <v>18</v>
      </c>
      <c r="E772" s="2">
        <v>2.3275462962962963E-2</v>
      </c>
      <c r="F772">
        <v>33.516666666666666</v>
      </c>
    </row>
    <row r="773" spans="1:6" x14ac:dyDescent="0.25">
      <c r="A773" s="1">
        <v>38626</v>
      </c>
      <c r="B773" t="s">
        <v>13</v>
      </c>
      <c r="C773" t="s">
        <v>9</v>
      </c>
      <c r="D773">
        <v>10</v>
      </c>
      <c r="E773" s="2">
        <v>7.7777777777777776E-3</v>
      </c>
      <c r="F773">
        <v>11.2</v>
      </c>
    </row>
    <row r="774" spans="1:6" x14ac:dyDescent="0.25">
      <c r="A774" s="1">
        <v>38626</v>
      </c>
      <c r="B774" t="s">
        <v>13</v>
      </c>
      <c r="C774" t="s">
        <v>10</v>
      </c>
      <c r="D774">
        <v>8</v>
      </c>
      <c r="E774" s="2">
        <v>5.8680555555555552E-3</v>
      </c>
      <c r="F774">
        <v>8.4499999999999993</v>
      </c>
    </row>
    <row r="775" spans="1:6" x14ac:dyDescent="0.25">
      <c r="A775" s="1">
        <v>38626</v>
      </c>
      <c r="B775" t="s">
        <v>13</v>
      </c>
      <c r="C775" t="s">
        <v>11</v>
      </c>
      <c r="D775">
        <v>7</v>
      </c>
      <c r="E775" s="2">
        <v>4.0046296296296297E-3</v>
      </c>
      <c r="F775">
        <v>5.7666666666666666</v>
      </c>
    </row>
    <row r="776" spans="1:6" x14ac:dyDescent="0.25">
      <c r="A776" s="1">
        <v>38626</v>
      </c>
      <c r="B776" t="s">
        <v>14</v>
      </c>
      <c r="C776" t="s">
        <v>6</v>
      </c>
      <c r="D776">
        <v>15</v>
      </c>
      <c r="E776" s="2">
        <v>2.0393518518518519E-2</v>
      </c>
      <c r="F776">
        <v>29.366666666666667</v>
      </c>
    </row>
    <row r="777" spans="1:6" x14ac:dyDescent="0.25">
      <c r="A777" s="1">
        <v>38626</v>
      </c>
      <c r="B777" t="s">
        <v>14</v>
      </c>
      <c r="C777" t="s">
        <v>7</v>
      </c>
      <c r="D777">
        <v>8</v>
      </c>
      <c r="E777" s="2">
        <v>9.8032407407407408E-3</v>
      </c>
      <c r="F777">
        <v>14.116666666666667</v>
      </c>
    </row>
    <row r="778" spans="1:6" x14ac:dyDescent="0.25">
      <c r="A778" s="1">
        <v>38626</v>
      </c>
      <c r="B778" t="s">
        <v>14</v>
      </c>
      <c r="C778" t="s">
        <v>8</v>
      </c>
      <c r="D778">
        <v>5</v>
      </c>
      <c r="E778" s="2">
        <v>6.1111111111111114E-3</v>
      </c>
      <c r="F778">
        <v>8.8000000000000007</v>
      </c>
    </row>
    <row r="779" spans="1:6" x14ac:dyDescent="0.25">
      <c r="A779" s="1">
        <v>38626</v>
      </c>
      <c r="B779" t="s">
        <v>14</v>
      </c>
      <c r="C779" t="s">
        <v>9</v>
      </c>
      <c r="D779">
        <v>1</v>
      </c>
      <c r="E779" s="2">
        <v>1.25E-3</v>
      </c>
      <c r="F779">
        <v>1.8</v>
      </c>
    </row>
    <row r="780" spans="1:6" x14ac:dyDescent="0.25">
      <c r="A780" s="1">
        <v>38626</v>
      </c>
      <c r="B780" t="s">
        <v>14</v>
      </c>
      <c r="C780" t="s">
        <v>10</v>
      </c>
      <c r="D780">
        <v>0</v>
      </c>
      <c r="E780" s="2">
        <v>0</v>
      </c>
      <c r="F780">
        <v>0</v>
      </c>
    </row>
    <row r="781" spans="1:6" x14ac:dyDescent="0.25">
      <c r="A781" s="1">
        <v>38626</v>
      </c>
      <c r="B781" t="s">
        <v>14</v>
      </c>
      <c r="C781" t="s">
        <v>11</v>
      </c>
      <c r="D781">
        <v>1</v>
      </c>
      <c r="E781" s="2">
        <v>1.3194444444444445E-3</v>
      </c>
      <c r="F781">
        <v>1.9</v>
      </c>
    </row>
    <row r="782" spans="1:6" x14ac:dyDescent="0.25">
      <c r="A782" s="1">
        <v>38626</v>
      </c>
      <c r="B782" t="s">
        <v>15</v>
      </c>
      <c r="C782" t="s">
        <v>6</v>
      </c>
      <c r="D782">
        <v>22</v>
      </c>
      <c r="E782" s="2">
        <v>2.2708333333333334E-2</v>
      </c>
      <c r="F782">
        <v>32.700000000000003</v>
      </c>
    </row>
    <row r="783" spans="1:6" x14ac:dyDescent="0.25">
      <c r="A783" s="1">
        <v>38626</v>
      </c>
      <c r="B783" t="s">
        <v>15</v>
      </c>
      <c r="C783" t="s">
        <v>7</v>
      </c>
      <c r="D783">
        <v>14</v>
      </c>
      <c r="E783" s="2">
        <v>1.5578703703703704E-2</v>
      </c>
      <c r="F783">
        <v>22.433333333333334</v>
      </c>
    </row>
    <row r="784" spans="1:6" x14ac:dyDescent="0.25">
      <c r="A784" s="1">
        <v>38626</v>
      </c>
      <c r="B784" t="s">
        <v>15</v>
      </c>
      <c r="C784" t="s">
        <v>8</v>
      </c>
      <c r="D784">
        <v>8</v>
      </c>
      <c r="E784" s="2">
        <v>8.6689814814814806E-3</v>
      </c>
      <c r="F784">
        <v>12.483333333333333</v>
      </c>
    </row>
    <row r="785" spans="1:6" x14ac:dyDescent="0.25">
      <c r="A785" s="1">
        <v>38626</v>
      </c>
      <c r="B785" t="s">
        <v>15</v>
      </c>
      <c r="C785" t="s">
        <v>9</v>
      </c>
      <c r="D785">
        <v>3</v>
      </c>
      <c r="E785" s="2">
        <v>1.8749999999999999E-3</v>
      </c>
      <c r="F785">
        <v>2.7</v>
      </c>
    </row>
    <row r="786" spans="1:6" x14ac:dyDescent="0.25">
      <c r="A786" s="1">
        <v>38626</v>
      </c>
      <c r="B786" t="s">
        <v>15</v>
      </c>
      <c r="C786" t="s">
        <v>10</v>
      </c>
      <c r="D786">
        <v>2</v>
      </c>
      <c r="E786" s="2">
        <v>2.3148148148148147E-3</v>
      </c>
      <c r="F786">
        <v>3.3333333333333335</v>
      </c>
    </row>
    <row r="787" spans="1:6" x14ac:dyDescent="0.25">
      <c r="A787" s="1">
        <v>38626</v>
      </c>
      <c r="B787" t="s">
        <v>15</v>
      </c>
      <c r="C787" t="s">
        <v>11</v>
      </c>
      <c r="D787">
        <v>9</v>
      </c>
      <c r="E787" s="2">
        <v>7.0023148148148145E-3</v>
      </c>
      <c r="F787">
        <v>10.083333333333334</v>
      </c>
    </row>
    <row r="788" spans="1:6" x14ac:dyDescent="0.25">
      <c r="A788" s="1">
        <v>38626</v>
      </c>
      <c r="B788" t="s">
        <v>16</v>
      </c>
      <c r="C788" t="s">
        <v>6</v>
      </c>
      <c r="D788">
        <v>7</v>
      </c>
      <c r="E788" s="2">
        <v>9.7222222222222224E-3</v>
      </c>
      <c r="F788">
        <v>14</v>
      </c>
    </row>
    <row r="789" spans="1:6" x14ac:dyDescent="0.25">
      <c r="A789" s="1">
        <v>38626</v>
      </c>
      <c r="B789" t="s">
        <v>16</v>
      </c>
      <c r="C789" t="s">
        <v>7</v>
      </c>
      <c r="D789">
        <v>11</v>
      </c>
      <c r="E789" s="2">
        <v>1.0543981481481482E-2</v>
      </c>
      <c r="F789">
        <v>15.183333333333334</v>
      </c>
    </row>
    <row r="790" spans="1:6" x14ac:dyDescent="0.25">
      <c r="A790" s="1">
        <v>38626</v>
      </c>
      <c r="B790" t="s">
        <v>16</v>
      </c>
      <c r="C790" t="s">
        <v>8</v>
      </c>
      <c r="D790">
        <v>12</v>
      </c>
      <c r="E790" s="2">
        <v>1.3472222222222222E-2</v>
      </c>
      <c r="F790">
        <v>19.399999999999999</v>
      </c>
    </row>
    <row r="791" spans="1:6" x14ac:dyDescent="0.25">
      <c r="A791" s="1">
        <v>38626</v>
      </c>
      <c r="B791" t="s">
        <v>16</v>
      </c>
      <c r="C791" t="s">
        <v>9</v>
      </c>
      <c r="D791">
        <v>4</v>
      </c>
      <c r="E791" s="2">
        <v>2.9050925925925928E-3</v>
      </c>
      <c r="F791">
        <v>4.1833333333333336</v>
      </c>
    </row>
    <row r="792" spans="1:6" x14ac:dyDescent="0.25">
      <c r="A792" s="1">
        <v>38626</v>
      </c>
      <c r="B792" t="s">
        <v>16</v>
      </c>
      <c r="C792" t="s">
        <v>10</v>
      </c>
      <c r="D792">
        <v>3</v>
      </c>
      <c r="E792" s="2">
        <v>2.9050925925925928E-3</v>
      </c>
      <c r="F792">
        <v>4.1833333333333336</v>
      </c>
    </row>
    <row r="793" spans="1:6" x14ac:dyDescent="0.25">
      <c r="A793" s="1">
        <v>38626</v>
      </c>
      <c r="B793" t="s">
        <v>16</v>
      </c>
      <c r="C793" t="s">
        <v>11</v>
      </c>
      <c r="D793">
        <v>2</v>
      </c>
      <c r="E793" s="2">
        <v>1.8055555555555555E-3</v>
      </c>
      <c r="F793">
        <v>2.6</v>
      </c>
    </row>
    <row r="794" spans="1:6" x14ac:dyDescent="0.25">
      <c r="A794" s="1">
        <v>38626</v>
      </c>
      <c r="B794" t="s">
        <v>17</v>
      </c>
      <c r="C794" t="s">
        <v>6</v>
      </c>
      <c r="D794">
        <v>10</v>
      </c>
      <c r="E794" s="2">
        <v>8.3796296296296292E-3</v>
      </c>
      <c r="F794">
        <v>12.066666666666666</v>
      </c>
    </row>
    <row r="795" spans="1:6" x14ac:dyDescent="0.25">
      <c r="A795" s="1">
        <v>38626</v>
      </c>
      <c r="B795" t="s">
        <v>17</v>
      </c>
      <c r="C795" t="s">
        <v>7</v>
      </c>
      <c r="D795">
        <v>6</v>
      </c>
      <c r="E795" s="2">
        <v>7.1527777777777779E-3</v>
      </c>
      <c r="F795">
        <v>10.3</v>
      </c>
    </row>
    <row r="796" spans="1:6" x14ac:dyDescent="0.25">
      <c r="A796" s="1">
        <v>38626</v>
      </c>
      <c r="B796" t="s">
        <v>17</v>
      </c>
      <c r="C796" t="s">
        <v>8</v>
      </c>
      <c r="D796">
        <v>8</v>
      </c>
      <c r="E796" s="2">
        <v>8.4375000000000006E-3</v>
      </c>
      <c r="F796">
        <v>12.15</v>
      </c>
    </row>
    <row r="797" spans="1:6" x14ac:dyDescent="0.25">
      <c r="A797" s="1">
        <v>38626</v>
      </c>
      <c r="B797" t="s">
        <v>17</v>
      </c>
      <c r="C797" t="s">
        <v>9</v>
      </c>
      <c r="D797">
        <v>0</v>
      </c>
      <c r="E797" s="2">
        <v>0</v>
      </c>
      <c r="F797">
        <v>0</v>
      </c>
    </row>
    <row r="798" spans="1:6" x14ac:dyDescent="0.25">
      <c r="A798" s="1">
        <v>38626</v>
      </c>
      <c r="B798" t="s">
        <v>17</v>
      </c>
      <c r="C798" t="s">
        <v>10</v>
      </c>
      <c r="D798">
        <v>2</v>
      </c>
      <c r="E798" s="2">
        <v>1.6782407407407408E-3</v>
      </c>
      <c r="F798">
        <v>2.4166666666666665</v>
      </c>
    </row>
    <row r="799" spans="1:6" x14ac:dyDescent="0.25">
      <c r="A799" s="1">
        <v>38626</v>
      </c>
      <c r="B799" t="s">
        <v>17</v>
      </c>
      <c r="C799" t="s">
        <v>11</v>
      </c>
      <c r="D799">
        <v>5</v>
      </c>
      <c r="E799" s="2">
        <v>3.0092592592592593E-3</v>
      </c>
      <c r="F799">
        <v>4.333333333333333</v>
      </c>
    </row>
    <row r="800" spans="1:6" x14ac:dyDescent="0.25">
      <c r="A800" s="1">
        <v>38626</v>
      </c>
      <c r="B800" t="s">
        <v>18</v>
      </c>
      <c r="C800" t="s">
        <v>6</v>
      </c>
      <c r="D800">
        <v>69</v>
      </c>
      <c r="E800" s="2">
        <v>8.1111111111111106E-2</v>
      </c>
      <c r="F800">
        <v>116.8</v>
      </c>
    </row>
    <row r="801" spans="1:6" x14ac:dyDescent="0.25">
      <c r="A801" s="1">
        <v>38626</v>
      </c>
      <c r="B801" t="s">
        <v>18</v>
      </c>
      <c r="C801" t="s">
        <v>7</v>
      </c>
      <c r="D801">
        <v>70</v>
      </c>
      <c r="E801" s="2">
        <v>7.0601851851851846E-2</v>
      </c>
      <c r="F801">
        <v>101.66666666666667</v>
      </c>
    </row>
    <row r="802" spans="1:6" x14ac:dyDescent="0.25">
      <c r="A802" s="1">
        <v>38626</v>
      </c>
      <c r="B802" t="s">
        <v>18</v>
      </c>
      <c r="C802" t="s">
        <v>8</v>
      </c>
      <c r="D802">
        <v>59</v>
      </c>
      <c r="E802" s="2">
        <v>5.9340277777777777E-2</v>
      </c>
      <c r="F802">
        <v>85.45</v>
      </c>
    </row>
    <row r="803" spans="1:6" x14ac:dyDescent="0.25">
      <c r="A803" s="1">
        <v>38626</v>
      </c>
      <c r="B803" t="s">
        <v>18</v>
      </c>
      <c r="C803" t="s">
        <v>9</v>
      </c>
      <c r="D803">
        <v>27</v>
      </c>
      <c r="E803" s="2">
        <v>2.5636574074074076E-2</v>
      </c>
      <c r="F803">
        <v>36.916666666666664</v>
      </c>
    </row>
    <row r="804" spans="1:6" x14ac:dyDescent="0.25">
      <c r="A804" s="1">
        <v>38626</v>
      </c>
      <c r="B804" t="s">
        <v>18</v>
      </c>
      <c r="C804" t="s">
        <v>10</v>
      </c>
      <c r="D804">
        <v>114</v>
      </c>
      <c r="E804" s="2">
        <v>0.1140625</v>
      </c>
      <c r="F804">
        <v>164.25</v>
      </c>
    </row>
    <row r="805" spans="1:6" x14ac:dyDescent="0.25">
      <c r="A805" s="1">
        <v>38626</v>
      </c>
      <c r="B805" t="s">
        <v>18</v>
      </c>
      <c r="C805" t="s">
        <v>11</v>
      </c>
      <c r="D805">
        <v>29</v>
      </c>
      <c r="E805" s="2">
        <v>1.9803240740740739E-2</v>
      </c>
      <c r="F805">
        <v>28.516666666666666</v>
      </c>
    </row>
    <row r="806" spans="1:6" x14ac:dyDescent="0.25">
      <c r="A806" s="1">
        <v>38626</v>
      </c>
      <c r="B806" t="s">
        <v>19</v>
      </c>
      <c r="C806" t="s">
        <v>6</v>
      </c>
      <c r="D806">
        <v>40</v>
      </c>
      <c r="E806" s="2">
        <v>4.9675925925925929E-2</v>
      </c>
      <c r="F806">
        <v>71.533333333333331</v>
      </c>
    </row>
    <row r="807" spans="1:6" x14ac:dyDescent="0.25">
      <c r="A807" s="1">
        <v>38626</v>
      </c>
      <c r="B807" t="s">
        <v>19</v>
      </c>
      <c r="C807" t="s">
        <v>7</v>
      </c>
      <c r="D807">
        <v>40</v>
      </c>
      <c r="E807" s="2">
        <v>5.0960648148148151E-2</v>
      </c>
      <c r="F807">
        <v>73.38333333333334</v>
      </c>
    </row>
    <row r="808" spans="1:6" x14ac:dyDescent="0.25">
      <c r="A808" s="1">
        <v>38626</v>
      </c>
      <c r="B808" t="s">
        <v>19</v>
      </c>
      <c r="C808" t="s">
        <v>8</v>
      </c>
      <c r="D808">
        <v>34</v>
      </c>
      <c r="E808" s="2">
        <v>4.2060185185185187E-2</v>
      </c>
      <c r="F808">
        <v>60.56666666666667</v>
      </c>
    </row>
    <row r="809" spans="1:6" x14ac:dyDescent="0.25">
      <c r="A809" s="1">
        <v>38626</v>
      </c>
      <c r="B809" t="s">
        <v>19</v>
      </c>
      <c r="C809" t="s">
        <v>9</v>
      </c>
      <c r="D809">
        <v>20</v>
      </c>
      <c r="E809" s="2">
        <v>1.7418981481481483E-2</v>
      </c>
      <c r="F809">
        <v>25.083333333333332</v>
      </c>
    </row>
    <row r="810" spans="1:6" x14ac:dyDescent="0.25">
      <c r="A810" s="1">
        <v>38626</v>
      </c>
      <c r="B810" t="s">
        <v>19</v>
      </c>
      <c r="C810" t="s">
        <v>10</v>
      </c>
      <c r="D810">
        <v>16</v>
      </c>
      <c r="E810" s="2">
        <v>1.5706018518518518E-2</v>
      </c>
      <c r="F810">
        <v>22.616666666666667</v>
      </c>
    </row>
    <row r="811" spans="1:6" x14ac:dyDescent="0.25">
      <c r="A811" s="1">
        <v>38626</v>
      </c>
      <c r="B811" t="s">
        <v>19</v>
      </c>
      <c r="C811" t="s">
        <v>11</v>
      </c>
      <c r="D811">
        <v>17</v>
      </c>
      <c r="E811" s="2">
        <v>1.4305555555555556E-2</v>
      </c>
      <c r="F811">
        <v>20.6</v>
      </c>
    </row>
    <row r="812" spans="1:6" x14ac:dyDescent="0.25">
      <c r="A812" s="1">
        <v>38626</v>
      </c>
      <c r="B812" t="s">
        <v>20</v>
      </c>
      <c r="C812" t="s">
        <v>6</v>
      </c>
      <c r="D812">
        <v>23</v>
      </c>
      <c r="E812" s="2">
        <v>2.7858796296296295E-2</v>
      </c>
      <c r="F812">
        <v>40.116666666666667</v>
      </c>
    </row>
    <row r="813" spans="1:6" x14ac:dyDescent="0.25">
      <c r="A813" s="1">
        <v>38626</v>
      </c>
      <c r="B813" t="s">
        <v>20</v>
      </c>
      <c r="C813" t="s">
        <v>7</v>
      </c>
      <c r="D813">
        <v>21</v>
      </c>
      <c r="E813" s="2">
        <v>2.6099537037037036E-2</v>
      </c>
      <c r="F813">
        <v>37.583333333333336</v>
      </c>
    </row>
    <row r="814" spans="1:6" x14ac:dyDescent="0.25">
      <c r="A814" s="1">
        <v>38626</v>
      </c>
      <c r="B814" t="s">
        <v>20</v>
      </c>
      <c r="C814" t="s">
        <v>8</v>
      </c>
      <c r="D814">
        <v>13</v>
      </c>
      <c r="E814" s="2">
        <v>1.2974537037037038E-2</v>
      </c>
      <c r="F814">
        <v>18.683333333333334</v>
      </c>
    </row>
    <row r="815" spans="1:6" x14ac:dyDescent="0.25">
      <c r="A815" s="1">
        <v>38626</v>
      </c>
      <c r="B815" t="s">
        <v>20</v>
      </c>
      <c r="C815" t="s">
        <v>9</v>
      </c>
      <c r="D815">
        <v>11</v>
      </c>
      <c r="E815" s="2">
        <v>9.8148148148148144E-3</v>
      </c>
      <c r="F815">
        <v>14.133333333333333</v>
      </c>
    </row>
    <row r="816" spans="1:6" x14ac:dyDescent="0.25">
      <c r="A816" s="1">
        <v>38626</v>
      </c>
      <c r="B816" t="s">
        <v>20</v>
      </c>
      <c r="C816" t="s">
        <v>10</v>
      </c>
      <c r="D816">
        <v>3</v>
      </c>
      <c r="E816" s="2">
        <v>2.4537037037037036E-3</v>
      </c>
      <c r="F816">
        <v>3.5333333333333332</v>
      </c>
    </row>
    <row r="817" spans="1:6" x14ac:dyDescent="0.25">
      <c r="A817" s="1">
        <v>38626</v>
      </c>
      <c r="B817" t="s">
        <v>20</v>
      </c>
      <c r="C817" t="s">
        <v>11</v>
      </c>
      <c r="D817">
        <v>9</v>
      </c>
      <c r="E817" s="2">
        <v>5.6249999999999998E-3</v>
      </c>
      <c r="F817">
        <v>8.1</v>
      </c>
    </row>
    <row r="818" spans="1:6" x14ac:dyDescent="0.25">
      <c r="A818" s="1">
        <v>38626</v>
      </c>
      <c r="B818" t="s">
        <v>21</v>
      </c>
      <c r="C818" t="s">
        <v>6</v>
      </c>
      <c r="D818">
        <v>63</v>
      </c>
      <c r="E818" s="2">
        <v>7.1840277777777781E-2</v>
      </c>
      <c r="F818">
        <v>103.45</v>
      </c>
    </row>
    <row r="819" spans="1:6" x14ac:dyDescent="0.25">
      <c r="A819" s="1">
        <v>38626</v>
      </c>
      <c r="B819" t="s">
        <v>21</v>
      </c>
      <c r="C819" t="s">
        <v>7</v>
      </c>
      <c r="D819">
        <v>70</v>
      </c>
      <c r="E819" s="2">
        <v>7.1886574074074075E-2</v>
      </c>
      <c r="F819">
        <v>103.51666666666667</v>
      </c>
    </row>
    <row r="820" spans="1:6" x14ac:dyDescent="0.25">
      <c r="A820" s="1">
        <v>38626</v>
      </c>
      <c r="B820" t="s">
        <v>21</v>
      </c>
      <c r="C820" t="s">
        <v>8</v>
      </c>
      <c r="D820">
        <v>45</v>
      </c>
      <c r="E820" s="2">
        <v>6.3483796296296302E-2</v>
      </c>
      <c r="F820">
        <v>91.416666666666671</v>
      </c>
    </row>
    <row r="821" spans="1:6" x14ac:dyDescent="0.25">
      <c r="A821" s="1">
        <v>38626</v>
      </c>
      <c r="B821" t="s">
        <v>21</v>
      </c>
      <c r="C821" t="s">
        <v>9</v>
      </c>
      <c r="D821">
        <v>15</v>
      </c>
      <c r="E821" s="2">
        <v>1.3333333333333334E-2</v>
      </c>
      <c r="F821">
        <v>19.2</v>
      </c>
    </row>
    <row r="822" spans="1:6" x14ac:dyDescent="0.25">
      <c r="A822" s="1">
        <v>38626</v>
      </c>
      <c r="B822" t="s">
        <v>21</v>
      </c>
      <c r="C822" t="s">
        <v>10</v>
      </c>
      <c r="D822">
        <v>33</v>
      </c>
      <c r="E822" s="2">
        <v>3.4351851851851849E-2</v>
      </c>
      <c r="F822">
        <v>49.466666666666669</v>
      </c>
    </row>
    <row r="823" spans="1:6" x14ac:dyDescent="0.25">
      <c r="A823" s="1">
        <v>38626</v>
      </c>
      <c r="B823" t="s">
        <v>21</v>
      </c>
      <c r="C823" t="s">
        <v>11</v>
      </c>
      <c r="D823">
        <v>24</v>
      </c>
      <c r="E823" s="2">
        <v>2.1956018518518517E-2</v>
      </c>
      <c r="F823">
        <v>31.616666666666667</v>
      </c>
    </row>
    <row r="824" spans="1:6" x14ac:dyDescent="0.25">
      <c r="A824" s="1">
        <v>38626</v>
      </c>
      <c r="B824" t="s">
        <v>22</v>
      </c>
      <c r="C824" t="s">
        <v>6</v>
      </c>
      <c r="D824">
        <v>24</v>
      </c>
      <c r="E824" s="2">
        <v>2.3391203703703702E-2</v>
      </c>
      <c r="F824">
        <v>33.68333333333333</v>
      </c>
    </row>
    <row r="825" spans="1:6" x14ac:dyDescent="0.25">
      <c r="A825" s="1">
        <v>38626</v>
      </c>
      <c r="B825" t="s">
        <v>22</v>
      </c>
      <c r="C825" t="s">
        <v>7</v>
      </c>
      <c r="D825">
        <v>22</v>
      </c>
      <c r="E825" s="2">
        <v>2.2395833333333334E-2</v>
      </c>
      <c r="F825">
        <v>32.25</v>
      </c>
    </row>
    <row r="826" spans="1:6" x14ac:dyDescent="0.25">
      <c r="A826" s="1">
        <v>38626</v>
      </c>
      <c r="B826" t="s">
        <v>22</v>
      </c>
      <c r="C826" t="s">
        <v>8</v>
      </c>
      <c r="D826">
        <v>12</v>
      </c>
      <c r="E826" s="2">
        <v>1.2835648148148148E-2</v>
      </c>
      <c r="F826">
        <v>18.483333333333334</v>
      </c>
    </row>
    <row r="827" spans="1:6" x14ac:dyDescent="0.25">
      <c r="A827" s="1">
        <v>38626</v>
      </c>
      <c r="B827" t="s">
        <v>22</v>
      </c>
      <c r="C827" t="s">
        <v>9</v>
      </c>
      <c r="D827">
        <v>4</v>
      </c>
      <c r="E827" s="2">
        <v>3.2754629629629631E-3</v>
      </c>
      <c r="F827">
        <v>4.7166666666666668</v>
      </c>
    </row>
    <row r="828" spans="1:6" x14ac:dyDescent="0.25">
      <c r="A828" s="1">
        <v>38626</v>
      </c>
      <c r="B828" t="s">
        <v>22</v>
      </c>
      <c r="C828" t="s">
        <v>10</v>
      </c>
      <c r="D828">
        <v>7</v>
      </c>
      <c r="E828" s="2">
        <v>5.0347222222222225E-3</v>
      </c>
      <c r="F828">
        <v>7.25</v>
      </c>
    </row>
    <row r="829" spans="1:6" x14ac:dyDescent="0.25">
      <c r="A829" s="1">
        <v>38626</v>
      </c>
      <c r="B829" t="s">
        <v>22</v>
      </c>
      <c r="C829" t="s">
        <v>11</v>
      </c>
      <c r="D829">
        <v>8</v>
      </c>
      <c r="E829" s="2">
        <v>7.2106481481481483E-3</v>
      </c>
      <c r="F829">
        <v>10.383333333333333</v>
      </c>
    </row>
    <row r="830" spans="1:6" x14ac:dyDescent="0.25">
      <c r="A830" s="1">
        <v>38626</v>
      </c>
      <c r="B830" t="s">
        <v>23</v>
      </c>
      <c r="C830" t="s">
        <v>6</v>
      </c>
      <c r="D830">
        <v>153</v>
      </c>
      <c r="E830" s="2">
        <v>0.18793981481481481</v>
      </c>
      <c r="F830">
        <v>270.63333333333333</v>
      </c>
    </row>
    <row r="831" spans="1:6" x14ac:dyDescent="0.25">
      <c r="A831" s="1">
        <v>38626</v>
      </c>
      <c r="B831" t="s">
        <v>23</v>
      </c>
      <c r="C831" t="s">
        <v>7</v>
      </c>
      <c r="D831">
        <v>140</v>
      </c>
      <c r="E831" s="2">
        <v>0.15371527777777777</v>
      </c>
      <c r="F831">
        <v>221.35</v>
      </c>
    </row>
    <row r="832" spans="1:6" x14ac:dyDescent="0.25">
      <c r="A832" s="1">
        <v>38626</v>
      </c>
      <c r="B832" t="s">
        <v>23</v>
      </c>
      <c r="C832" t="s">
        <v>8</v>
      </c>
      <c r="D832">
        <v>109</v>
      </c>
      <c r="E832" s="2">
        <v>0.12778935185185186</v>
      </c>
      <c r="F832">
        <v>184.01666666666668</v>
      </c>
    </row>
    <row r="833" spans="1:6" x14ac:dyDescent="0.25">
      <c r="A833" s="1">
        <v>38626</v>
      </c>
      <c r="B833" t="s">
        <v>23</v>
      </c>
      <c r="C833" t="s">
        <v>9</v>
      </c>
      <c r="D833">
        <v>39</v>
      </c>
      <c r="E833" s="2">
        <v>3.5335648148148151E-2</v>
      </c>
      <c r="F833">
        <v>50.883333333333333</v>
      </c>
    </row>
    <row r="834" spans="1:6" x14ac:dyDescent="0.25">
      <c r="A834" s="1">
        <v>38626</v>
      </c>
      <c r="B834" t="s">
        <v>23</v>
      </c>
      <c r="C834" t="s">
        <v>10</v>
      </c>
      <c r="D834">
        <v>44</v>
      </c>
      <c r="E834" s="2">
        <v>3.72337962962963E-2</v>
      </c>
      <c r="F834">
        <v>53.616666666666667</v>
      </c>
    </row>
    <row r="835" spans="1:6" x14ac:dyDescent="0.25">
      <c r="A835" s="1">
        <v>38626</v>
      </c>
      <c r="B835" t="s">
        <v>23</v>
      </c>
      <c r="C835" t="s">
        <v>11</v>
      </c>
      <c r="D835">
        <v>65</v>
      </c>
      <c r="E835" s="2">
        <v>5.4942129629629632E-2</v>
      </c>
      <c r="F835">
        <v>79.11666666666666</v>
      </c>
    </row>
    <row r="836" spans="1:6" x14ac:dyDescent="0.25">
      <c r="A836" s="1">
        <v>38626</v>
      </c>
      <c r="B836" t="s">
        <v>24</v>
      </c>
      <c r="C836" t="s">
        <v>6</v>
      </c>
      <c r="D836">
        <v>40</v>
      </c>
      <c r="E836" s="2">
        <v>3.5636574074074077E-2</v>
      </c>
      <c r="F836">
        <v>51.31666666666667</v>
      </c>
    </row>
    <row r="837" spans="1:6" x14ac:dyDescent="0.25">
      <c r="A837" s="1">
        <v>38626</v>
      </c>
      <c r="B837" t="s">
        <v>24</v>
      </c>
      <c r="C837" t="s">
        <v>7</v>
      </c>
      <c r="D837">
        <v>31</v>
      </c>
      <c r="E837" s="2">
        <v>2.3784722222222221E-2</v>
      </c>
      <c r="F837">
        <v>34.25</v>
      </c>
    </row>
    <row r="838" spans="1:6" x14ac:dyDescent="0.25">
      <c r="A838" s="1">
        <v>38626</v>
      </c>
      <c r="B838" t="s">
        <v>24</v>
      </c>
      <c r="C838" t="s">
        <v>8</v>
      </c>
      <c r="D838">
        <v>23</v>
      </c>
      <c r="E838" s="2">
        <v>2.0949074074074075E-2</v>
      </c>
      <c r="F838">
        <v>30.166666666666668</v>
      </c>
    </row>
    <row r="839" spans="1:6" x14ac:dyDescent="0.25">
      <c r="A839" s="1">
        <v>38626</v>
      </c>
      <c r="B839" t="s">
        <v>24</v>
      </c>
      <c r="C839" t="s">
        <v>9</v>
      </c>
      <c r="D839">
        <v>3</v>
      </c>
      <c r="E839" s="2">
        <v>3.0902777777777777E-3</v>
      </c>
      <c r="F839">
        <v>4.45</v>
      </c>
    </row>
    <row r="840" spans="1:6" x14ac:dyDescent="0.25">
      <c r="A840" s="1">
        <v>38626</v>
      </c>
      <c r="B840" t="s">
        <v>24</v>
      </c>
      <c r="C840" t="s">
        <v>10</v>
      </c>
      <c r="D840">
        <v>0</v>
      </c>
      <c r="E840" s="2">
        <v>0</v>
      </c>
      <c r="F840">
        <v>0</v>
      </c>
    </row>
    <row r="841" spans="1:6" x14ac:dyDescent="0.25">
      <c r="A841" s="1">
        <v>38626</v>
      </c>
      <c r="B841" t="s">
        <v>24</v>
      </c>
      <c r="C841" t="s">
        <v>11</v>
      </c>
      <c r="D841">
        <v>25</v>
      </c>
      <c r="E841" s="2">
        <v>1.6168981481481482E-2</v>
      </c>
      <c r="F841">
        <v>23.283333333333335</v>
      </c>
    </row>
    <row r="842" spans="1:6" x14ac:dyDescent="0.25">
      <c r="A842" s="1">
        <v>38657</v>
      </c>
      <c r="B842" t="s">
        <v>5</v>
      </c>
      <c r="C842" t="s">
        <v>6</v>
      </c>
      <c r="D842">
        <v>29</v>
      </c>
      <c r="E842" s="2">
        <v>2.7685185185185184E-2</v>
      </c>
      <c r="F842">
        <v>39.866666666666667</v>
      </c>
    </row>
    <row r="843" spans="1:6" x14ac:dyDescent="0.25">
      <c r="A843" s="1">
        <v>38657</v>
      </c>
      <c r="B843" t="s">
        <v>5</v>
      </c>
      <c r="C843" t="s">
        <v>7</v>
      </c>
      <c r="D843">
        <v>22</v>
      </c>
      <c r="E843" s="2">
        <v>1.6585648148148148E-2</v>
      </c>
      <c r="F843">
        <v>23.883333333333333</v>
      </c>
    </row>
    <row r="844" spans="1:6" x14ac:dyDescent="0.25">
      <c r="A844" s="1">
        <v>38657</v>
      </c>
      <c r="B844" t="s">
        <v>5</v>
      </c>
      <c r="C844" t="s">
        <v>8</v>
      </c>
      <c r="D844">
        <v>9</v>
      </c>
      <c r="E844" s="2">
        <v>9.2361111111111116E-3</v>
      </c>
      <c r="F844">
        <v>13.3</v>
      </c>
    </row>
    <row r="845" spans="1:6" x14ac:dyDescent="0.25">
      <c r="A845" s="1">
        <v>38657</v>
      </c>
      <c r="B845" t="s">
        <v>5</v>
      </c>
      <c r="C845" t="s">
        <v>9</v>
      </c>
      <c r="D845">
        <v>1</v>
      </c>
      <c r="E845" s="2">
        <v>1.3773148148148147E-3</v>
      </c>
      <c r="F845">
        <v>1.9833333333333334</v>
      </c>
    </row>
    <row r="846" spans="1:6" x14ac:dyDescent="0.25">
      <c r="A846" s="1">
        <v>38657</v>
      </c>
      <c r="B846" t="s">
        <v>5</v>
      </c>
      <c r="C846" t="s">
        <v>10</v>
      </c>
      <c r="D846">
        <v>13</v>
      </c>
      <c r="E846" s="2">
        <v>6.7361111111111111E-3</v>
      </c>
      <c r="F846">
        <v>9.6999999999999993</v>
      </c>
    </row>
    <row r="847" spans="1:6" x14ac:dyDescent="0.25">
      <c r="A847" s="1">
        <v>38657</v>
      </c>
      <c r="B847" t="s">
        <v>5</v>
      </c>
      <c r="C847" t="s">
        <v>11</v>
      </c>
      <c r="D847">
        <v>15</v>
      </c>
      <c r="E847" s="2">
        <v>1.074074074074074E-2</v>
      </c>
      <c r="F847">
        <v>15.466666666666667</v>
      </c>
    </row>
    <row r="848" spans="1:6" x14ac:dyDescent="0.25">
      <c r="A848" s="1">
        <v>38657</v>
      </c>
      <c r="B848" t="s">
        <v>12</v>
      </c>
      <c r="C848" t="s">
        <v>6</v>
      </c>
      <c r="D848">
        <v>50</v>
      </c>
      <c r="E848" s="2">
        <v>5.4884259259259258E-2</v>
      </c>
      <c r="F848">
        <v>79.033333333333331</v>
      </c>
    </row>
    <row r="849" spans="1:6" x14ac:dyDescent="0.25">
      <c r="A849" s="1">
        <v>38657</v>
      </c>
      <c r="B849" t="s">
        <v>12</v>
      </c>
      <c r="C849" t="s">
        <v>7</v>
      </c>
      <c r="D849">
        <v>57</v>
      </c>
      <c r="E849" s="2">
        <v>7.4606481481481482E-2</v>
      </c>
      <c r="F849">
        <v>107.43333333333334</v>
      </c>
    </row>
    <row r="850" spans="1:6" x14ac:dyDescent="0.25">
      <c r="A850" s="1">
        <v>38657</v>
      </c>
      <c r="B850" t="s">
        <v>12</v>
      </c>
      <c r="C850" t="s">
        <v>8</v>
      </c>
      <c r="D850">
        <v>43</v>
      </c>
      <c r="E850" s="2">
        <v>6.0092592592592593E-2</v>
      </c>
      <c r="F850">
        <v>86.533333333333331</v>
      </c>
    </row>
    <row r="851" spans="1:6" x14ac:dyDescent="0.25">
      <c r="A851" s="1">
        <v>38657</v>
      </c>
      <c r="B851" t="s">
        <v>12</v>
      </c>
      <c r="C851" t="s">
        <v>9</v>
      </c>
      <c r="D851">
        <v>5</v>
      </c>
      <c r="E851" s="2">
        <v>4.4791666666666669E-3</v>
      </c>
      <c r="F851">
        <v>6.45</v>
      </c>
    </row>
    <row r="852" spans="1:6" x14ac:dyDescent="0.25">
      <c r="A852" s="1">
        <v>38657</v>
      </c>
      <c r="B852" t="s">
        <v>12</v>
      </c>
      <c r="C852" t="s">
        <v>10</v>
      </c>
      <c r="D852">
        <v>11</v>
      </c>
      <c r="E852" s="2">
        <v>1.7974537037037035E-2</v>
      </c>
      <c r="F852">
        <v>25.883333333333333</v>
      </c>
    </row>
    <row r="853" spans="1:6" x14ac:dyDescent="0.25">
      <c r="A853" s="1">
        <v>38657</v>
      </c>
      <c r="B853" t="s">
        <v>12</v>
      </c>
      <c r="C853" t="s">
        <v>11</v>
      </c>
      <c r="D853">
        <v>19</v>
      </c>
      <c r="E853" s="2">
        <v>1.8506944444444444E-2</v>
      </c>
      <c r="F853">
        <v>26.65</v>
      </c>
    </row>
    <row r="854" spans="1:6" x14ac:dyDescent="0.25">
      <c r="A854" s="1">
        <v>38657</v>
      </c>
      <c r="B854" t="s">
        <v>13</v>
      </c>
      <c r="C854" t="s">
        <v>6</v>
      </c>
      <c r="D854">
        <v>51</v>
      </c>
      <c r="E854" s="2">
        <v>5.6458333333333333E-2</v>
      </c>
      <c r="F854">
        <v>81.3</v>
      </c>
    </row>
    <row r="855" spans="1:6" x14ac:dyDescent="0.25">
      <c r="A855" s="1">
        <v>38657</v>
      </c>
      <c r="B855" t="s">
        <v>13</v>
      </c>
      <c r="C855" t="s">
        <v>7</v>
      </c>
      <c r="D855">
        <v>40</v>
      </c>
      <c r="E855" s="2">
        <v>5.0312500000000003E-2</v>
      </c>
      <c r="F855">
        <v>72.45</v>
      </c>
    </row>
    <row r="856" spans="1:6" x14ac:dyDescent="0.25">
      <c r="A856" s="1">
        <v>38657</v>
      </c>
      <c r="B856" t="s">
        <v>13</v>
      </c>
      <c r="C856" t="s">
        <v>8</v>
      </c>
      <c r="D856">
        <v>33</v>
      </c>
      <c r="E856" s="2">
        <v>3.9814814814814817E-2</v>
      </c>
      <c r="F856">
        <v>57.333333333333336</v>
      </c>
    </row>
    <row r="857" spans="1:6" x14ac:dyDescent="0.25">
      <c r="A857" s="1">
        <v>38657</v>
      </c>
      <c r="B857" t="s">
        <v>13</v>
      </c>
      <c r="C857" t="s">
        <v>9</v>
      </c>
      <c r="D857">
        <v>7</v>
      </c>
      <c r="E857" s="2">
        <v>5.2546296296296299E-3</v>
      </c>
      <c r="F857">
        <v>7.5666666666666664</v>
      </c>
    </row>
    <row r="858" spans="1:6" x14ac:dyDescent="0.25">
      <c r="A858" s="1">
        <v>38657</v>
      </c>
      <c r="B858" t="s">
        <v>13</v>
      </c>
      <c r="C858" t="s">
        <v>10</v>
      </c>
      <c r="D858">
        <v>10</v>
      </c>
      <c r="E858" s="2">
        <v>8.7152777777777784E-3</v>
      </c>
      <c r="F858">
        <v>12.55</v>
      </c>
    </row>
    <row r="859" spans="1:6" x14ac:dyDescent="0.25">
      <c r="A859" s="1">
        <v>38657</v>
      </c>
      <c r="B859" t="s">
        <v>13</v>
      </c>
      <c r="C859" t="s">
        <v>11</v>
      </c>
      <c r="D859">
        <v>17</v>
      </c>
      <c r="E859" s="2">
        <v>1.3530092592592592E-2</v>
      </c>
      <c r="F859">
        <v>19.483333333333334</v>
      </c>
    </row>
    <row r="860" spans="1:6" x14ac:dyDescent="0.25">
      <c r="A860" s="1">
        <v>38657</v>
      </c>
      <c r="B860" t="s">
        <v>14</v>
      </c>
      <c r="C860" t="s">
        <v>6</v>
      </c>
      <c r="D860">
        <v>17</v>
      </c>
      <c r="E860" s="2">
        <v>2.1863425925925925E-2</v>
      </c>
      <c r="F860">
        <v>31.483333333333334</v>
      </c>
    </row>
    <row r="861" spans="1:6" x14ac:dyDescent="0.25">
      <c r="A861" s="1">
        <v>38657</v>
      </c>
      <c r="B861" t="s">
        <v>14</v>
      </c>
      <c r="C861" t="s">
        <v>7</v>
      </c>
      <c r="D861">
        <v>16</v>
      </c>
      <c r="E861" s="2">
        <v>2.4004629629629629E-2</v>
      </c>
      <c r="F861">
        <v>34.56666666666667</v>
      </c>
    </row>
    <row r="862" spans="1:6" x14ac:dyDescent="0.25">
      <c r="A862" s="1">
        <v>38657</v>
      </c>
      <c r="B862" t="s">
        <v>14</v>
      </c>
      <c r="C862" t="s">
        <v>8</v>
      </c>
      <c r="D862">
        <v>8</v>
      </c>
      <c r="E862" s="2">
        <v>1.0636574074074074E-2</v>
      </c>
      <c r="F862">
        <v>15.316666666666666</v>
      </c>
    </row>
    <row r="863" spans="1:6" x14ac:dyDescent="0.25">
      <c r="A863" s="1">
        <v>38657</v>
      </c>
      <c r="B863" t="s">
        <v>14</v>
      </c>
      <c r="C863" t="s">
        <v>9</v>
      </c>
      <c r="D863">
        <v>5</v>
      </c>
      <c r="E863" s="2">
        <v>4.4791666666666669E-3</v>
      </c>
      <c r="F863">
        <v>6.45</v>
      </c>
    </row>
    <row r="864" spans="1:6" x14ac:dyDescent="0.25">
      <c r="A864" s="1">
        <v>38657</v>
      </c>
      <c r="B864" t="s">
        <v>14</v>
      </c>
      <c r="C864" t="s">
        <v>10</v>
      </c>
      <c r="D864">
        <v>2</v>
      </c>
      <c r="E864" s="2">
        <v>4.6296296296296298E-4</v>
      </c>
      <c r="F864">
        <v>0.66666666666666663</v>
      </c>
    </row>
    <row r="865" spans="1:6" x14ac:dyDescent="0.25">
      <c r="A865" s="1">
        <v>38657</v>
      </c>
      <c r="B865" t="s">
        <v>14</v>
      </c>
      <c r="C865" t="s">
        <v>11</v>
      </c>
      <c r="D865">
        <v>3</v>
      </c>
      <c r="E865" s="2">
        <v>2.2685185185185187E-3</v>
      </c>
      <c r="F865">
        <v>3.2666666666666666</v>
      </c>
    </row>
    <row r="866" spans="1:6" x14ac:dyDescent="0.25">
      <c r="A866" s="1">
        <v>38657</v>
      </c>
      <c r="B866" t="s">
        <v>15</v>
      </c>
      <c r="C866" t="s">
        <v>6</v>
      </c>
      <c r="D866">
        <v>39</v>
      </c>
      <c r="E866" s="2">
        <v>3.9618055555555552E-2</v>
      </c>
      <c r="F866">
        <v>57.05</v>
      </c>
    </row>
    <row r="867" spans="1:6" x14ac:dyDescent="0.25">
      <c r="A867" s="1">
        <v>38657</v>
      </c>
      <c r="B867" t="s">
        <v>15</v>
      </c>
      <c r="C867" t="s">
        <v>7</v>
      </c>
      <c r="D867">
        <v>34</v>
      </c>
      <c r="E867" s="2">
        <v>3.0856481481481481E-2</v>
      </c>
      <c r="F867">
        <v>44.43333333333333</v>
      </c>
    </row>
    <row r="868" spans="1:6" x14ac:dyDescent="0.25">
      <c r="A868" s="1">
        <v>38657</v>
      </c>
      <c r="B868" t="s">
        <v>15</v>
      </c>
      <c r="C868" t="s">
        <v>8</v>
      </c>
      <c r="D868">
        <v>15</v>
      </c>
      <c r="E868" s="2">
        <v>1.7789351851851851E-2</v>
      </c>
      <c r="F868">
        <v>25.616666666666667</v>
      </c>
    </row>
    <row r="869" spans="1:6" x14ac:dyDescent="0.25">
      <c r="A869" s="1">
        <v>38657</v>
      </c>
      <c r="B869" t="s">
        <v>15</v>
      </c>
      <c r="C869" t="s">
        <v>9</v>
      </c>
      <c r="D869">
        <v>4</v>
      </c>
      <c r="E869" s="2">
        <v>3.1481481481481482E-3</v>
      </c>
      <c r="F869">
        <v>4.5333333333333332</v>
      </c>
    </row>
    <row r="870" spans="1:6" x14ac:dyDescent="0.25">
      <c r="A870" s="1">
        <v>38657</v>
      </c>
      <c r="B870" t="s">
        <v>15</v>
      </c>
      <c r="C870" t="s">
        <v>10</v>
      </c>
      <c r="D870">
        <v>16</v>
      </c>
      <c r="E870" s="2">
        <v>1.3599537037037037E-2</v>
      </c>
      <c r="F870">
        <v>19.583333333333332</v>
      </c>
    </row>
    <row r="871" spans="1:6" x14ac:dyDescent="0.25">
      <c r="A871" s="1">
        <v>38657</v>
      </c>
      <c r="B871" t="s">
        <v>15</v>
      </c>
      <c r="C871" t="s">
        <v>11</v>
      </c>
      <c r="D871">
        <v>13</v>
      </c>
      <c r="E871" s="2">
        <v>7.3148148148148148E-3</v>
      </c>
      <c r="F871">
        <v>10.533333333333333</v>
      </c>
    </row>
    <row r="872" spans="1:6" x14ac:dyDescent="0.25">
      <c r="A872" s="1">
        <v>38657</v>
      </c>
      <c r="B872" t="s">
        <v>16</v>
      </c>
      <c r="C872" t="s">
        <v>6</v>
      </c>
      <c r="D872">
        <v>24</v>
      </c>
      <c r="E872" s="2">
        <v>2.9236111111111112E-2</v>
      </c>
      <c r="F872">
        <v>42.1</v>
      </c>
    </row>
    <row r="873" spans="1:6" x14ac:dyDescent="0.25">
      <c r="A873" s="1">
        <v>38657</v>
      </c>
      <c r="B873" t="s">
        <v>16</v>
      </c>
      <c r="C873" t="s">
        <v>7</v>
      </c>
      <c r="D873">
        <v>31</v>
      </c>
      <c r="E873" s="2">
        <v>3.7465277777777778E-2</v>
      </c>
      <c r="F873">
        <v>53.95</v>
      </c>
    </row>
    <row r="874" spans="1:6" x14ac:dyDescent="0.25">
      <c r="A874" s="1">
        <v>38657</v>
      </c>
      <c r="B874" t="s">
        <v>16</v>
      </c>
      <c r="C874" t="s">
        <v>8</v>
      </c>
      <c r="D874">
        <v>18</v>
      </c>
      <c r="E874" s="2">
        <v>1.9375E-2</v>
      </c>
      <c r="F874">
        <v>27.9</v>
      </c>
    </row>
    <row r="875" spans="1:6" x14ac:dyDescent="0.25">
      <c r="A875" s="1">
        <v>38657</v>
      </c>
      <c r="B875" t="s">
        <v>16</v>
      </c>
      <c r="C875" t="s">
        <v>9</v>
      </c>
      <c r="D875">
        <v>15</v>
      </c>
      <c r="E875" s="2">
        <v>1.1956018518518519E-2</v>
      </c>
      <c r="F875">
        <v>17.216666666666665</v>
      </c>
    </row>
    <row r="876" spans="1:6" x14ac:dyDescent="0.25">
      <c r="A876" s="1">
        <v>38657</v>
      </c>
      <c r="B876" t="s">
        <v>16</v>
      </c>
      <c r="C876" t="s">
        <v>10</v>
      </c>
      <c r="D876">
        <v>1</v>
      </c>
      <c r="E876" s="2">
        <v>1.6782407407407408E-3</v>
      </c>
      <c r="F876">
        <v>2.4166666666666665</v>
      </c>
    </row>
    <row r="877" spans="1:6" x14ac:dyDescent="0.25">
      <c r="A877" s="1">
        <v>38657</v>
      </c>
      <c r="B877" t="s">
        <v>16</v>
      </c>
      <c r="C877" t="s">
        <v>11</v>
      </c>
      <c r="D877">
        <v>18</v>
      </c>
      <c r="E877" s="2">
        <v>1.6122685185185184E-2</v>
      </c>
      <c r="F877">
        <v>23.216666666666665</v>
      </c>
    </row>
    <row r="878" spans="1:6" x14ac:dyDescent="0.25">
      <c r="A878" s="1">
        <v>38657</v>
      </c>
      <c r="B878" t="s">
        <v>17</v>
      </c>
      <c r="C878" t="s">
        <v>6</v>
      </c>
      <c r="D878">
        <v>18</v>
      </c>
      <c r="E878" s="2">
        <v>2.1446759259259259E-2</v>
      </c>
      <c r="F878">
        <v>30.883333333333333</v>
      </c>
    </row>
    <row r="879" spans="1:6" x14ac:dyDescent="0.25">
      <c r="A879" s="1">
        <v>38657</v>
      </c>
      <c r="B879" t="s">
        <v>17</v>
      </c>
      <c r="C879" t="s">
        <v>7</v>
      </c>
      <c r="D879">
        <v>12</v>
      </c>
      <c r="E879" s="2">
        <v>1.1863425925925927E-2</v>
      </c>
      <c r="F879">
        <v>17.083333333333332</v>
      </c>
    </row>
    <row r="880" spans="1:6" x14ac:dyDescent="0.25">
      <c r="A880" s="1">
        <v>38657</v>
      </c>
      <c r="B880" t="s">
        <v>17</v>
      </c>
      <c r="C880" t="s">
        <v>8</v>
      </c>
      <c r="D880">
        <v>13</v>
      </c>
      <c r="E880" s="2">
        <v>1.5659722222222221E-2</v>
      </c>
      <c r="F880">
        <v>22.55</v>
      </c>
    </row>
    <row r="881" spans="1:6" x14ac:dyDescent="0.25">
      <c r="A881" s="1">
        <v>38657</v>
      </c>
      <c r="B881" t="s">
        <v>17</v>
      </c>
      <c r="C881" t="s">
        <v>9</v>
      </c>
      <c r="D881">
        <v>1</v>
      </c>
      <c r="E881" s="2">
        <v>5.5555555555555556E-4</v>
      </c>
      <c r="F881">
        <v>0.8</v>
      </c>
    </row>
    <row r="882" spans="1:6" x14ac:dyDescent="0.25">
      <c r="A882" s="1">
        <v>38657</v>
      </c>
      <c r="B882" t="s">
        <v>17</v>
      </c>
      <c r="C882" t="s">
        <v>10</v>
      </c>
      <c r="D882">
        <v>4</v>
      </c>
      <c r="E882" s="2">
        <v>4.2476851851851851E-3</v>
      </c>
      <c r="F882">
        <v>6.1166666666666663</v>
      </c>
    </row>
    <row r="883" spans="1:6" x14ac:dyDescent="0.25">
      <c r="A883" s="1">
        <v>38657</v>
      </c>
      <c r="B883" t="s">
        <v>17</v>
      </c>
      <c r="C883" t="s">
        <v>11</v>
      </c>
      <c r="D883">
        <v>1</v>
      </c>
      <c r="E883" s="2">
        <v>1.3888888888888889E-3</v>
      </c>
      <c r="F883">
        <v>2</v>
      </c>
    </row>
    <row r="884" spans="1:6" x14ac:dyDescent="0.25">
      <c r="A884" s="1">
        <v>38657</v>
      </c>
      <c r="B884" t="s">
        <v>18</v>
      </c>
      <c r="C884" t="s">
        <v>6</v>
      </c>
      <c r="D884">
        <v>67</v>
      </c>
      <c r="E884" s="2">
        <v>6.4143518518518516E-2</v>
      </c>
      <c r="F884">
        <v>92.36666666666666</v>
      </c>
    </row>
    <row r="885" spans="1:6" x14ac:dyDescent="0.25">
      <c r="A885" s="1">
        <v>38657</v>
      </c>
      <c r="B885" t="s">
        <v>18</v>
      </c>
      <c r="C885" t="s">
        <v>7</v>
      </c>
      <c r="D885">
        <v>74</v>
      </c>
      <c r="E885" s="2">
        <v>7.8229166666666669E-2</v>
      </c>
      <c r="F885">
        <v>112.65</v>
      </c>
    </row>
    <row r="886" spans="1:6" x14ac:dyDescent="0.25">
      <c r="A886" s="1">
        <v>38657</v>
      </c>
      <c r="B886" t="s">
        <v>18</v>
      </c>
      <c r="C886" t="s">
        <v>8</v>
      </c>
      <c r="D886">
        <v>39</v>
      </c>
      <c r="E886" s="2">
        <v>3.9016203703703706E-2</v>
      </c>
      <c r="F886">
        <v>56.18333333333333</v>
      </c>
    </row>
    <row r="887" spans="1:6" x14ac:dyDescent="0.25">
      <c r="A887" s="1">
        <v>38657</v>
      </c>
      <c r="B887" t="s">
        <v>18</v>
      </c>
      <c r="C887" t="s">
        <v>9</v>
      </c>
      <c r="D887">
        <v>24</v>
      </c>
      <c r="E887" s="2">
        <v>2.0486111111111111E-2</v>
      </c>
      <c r="F887">
        <v>29.5</v>
      </c>
    </row>
    <row r="888" spans="1:6" x14ac:dyDescent="0.25">
      <c r="A888" s="1">
        <v>38657</v>
      </c>
      <c r="B888" t="s">
        <v>18</v>
      </c>
      <c r="C888" t="s">
        <v>10</v>
      </c>
      <c r="D888">
        <v>127</v>
      </c>
      <c r="E888" s="2">
        <v>0.12968750000000001</v>
      </c>
      <c r="F888">
        <v>186.75</v>
      </c>
    </row>
    <row r="889" spans="1:6" x14ac:dyDescent="0.25">
      <c r="A889" s="1">
        <v>38657</v>
      </c>
      <c r="B889" t="s">
        <v>18</v>
      </c>
      <c r="C889" t="s">
        <v>11</v>
      </c>
      <c r="D889">
        <v>21</v>
      </c>
      <c r="E889" s="2">
        <v>1.0439814814814815E-2</v>
      </c>
      <c r="F889">
        <v>15.033333333333333</v>
      </c>
    </row>
    <row r="890" spans="1:6" x14ac:dyDescent="0.25">
      <c r="A890" s="1">
        <v>38657</v>
      </c>
      <c r="B890" t="s">
        <v>19</v>
      </c>
      <c r="C890" t="s">
        <v>6</v>
      </c>
      <c r="D890">
        <v>45</v>
      </c>
      <c r="E890" s="2">
        <v>5.1446759259259262E-2</v>
      </c>
      <c r="F890">
        <v>74.083333333333329</v>
      </c>
    </row>
    <row r="891" spans="1:6" x14ac:dyDescent="0.25">
      <c r="A891" s="1">
        <v>38657</v>
      </c>
      <c r="B891" t="s">
        <v>19</v>
      </c>
      <c r="C891" t="s">
        <v>7</v>
      </c>
      <c r="D891">
        <v>39</v>
      </c>
      <c r="E891" s="2">
        <v>3.7627314814814815E-2</v>
      </c>
      <c r="F891">
        <v>54.18333333333333</v>
      </c>
    </row>
    <row r="892" spans="1:6" x14ac:dyDescent="0.25">
      <c r="A892" s="1">
        <v>38657</v>
      </c>
      <c r="B892" t="s">
        <v>19</v>
      </c>
      <c r="C892" t="s">
        <v>8</v>
      </c>
      <c r="D892">
        <v>40</v>
      </c>
      <c r="E892" s="2">
        <v>4.6412037037037036E-2</v>
      </c>
      <c r="F892">
        <v>66.833333333333329</v>
      </c>
    </row>
    <row r="893" spans="1:6" x14ac:dyDescent="0.25">
      <c r="A893" s="1">
        <v>38657</v>
      </c>
      <c r="B893" t="s">
        <v>19</v>
      </c>
      <c r="C893" t="s">
        <v>9</v>
      </c>
      <c r="D893">
        <v>18</v>
      </c>
      <c r="E893" s="2">
        <v>1.6979166666666667E-2</v>
      </c>
      <c r="F893">
        <v>24.45</v>
      </c>
    </row>
    <row r="894" spans="1:6" x14ac:dyDescent="0.25">
      <c r="A894" s="1">
        <v>38657</v>
      </c>
      <c r="B894" t="s">
        <v>19</v>
      </c>
      <c r="C894" t="s">
        <v>10</v>
      </c>
      <c r="D894">
        <v>19</v>
      </c>
      <c r="E894" s="2">
        <v>1.8912037037037036E-2</v>
      </c>
      <c r="F894">
        <v>27.233333333333334</v>
      </c>
    </row>
    <row r="895" spans="1:6" x14ac:dyDescent="0.25">
      <c r="A895" s="1">
        <v>38657</v>
      </c>
      <c r="B895" t="s">
        <v>19</v>
      </c>
      <c r="C895" t="s">
        <v>11</v>
      </c>
      <c r="D895">
        <v>25</v>
      </c>
      <c r="E895" s="2">
        <v>2.0729166666666667E-2</v>
      </c>
      <c r="F895">
        <v>29.85</v>
      </c>
    </row>
    <row r="896" spans="1:6" x14ac:dyDescent="0.25">
      <c r="A896" s="1">
        <v>38657</v>
      </c>
      <c r="B896" t="s">
        <v>20</v>
      </c>
      <c r="C896" t="s">
        <v>6</v>
      </c>
      <c r="D896">
        <v>32</v>
      </c>
      <c r="E896" s="2">
        <v>3.6469907407407409E-2</v>
      </c>
      <c r="F896">
        <v>52.516666666666666</v>
      </c>
    </row>
    <row r="897" spans="1:6" x14ac:dyDescent="0.25">
      <c r="A897" s="1">
        <v>38657</v>
      </c>
      <c r="B897" t="s">
        <v>20</v>
      </c>
      <c r="C897" t="s">
        <v>7</v>
      </c>
      <c r="D897">
        <v>40</v>
      </c>
      <c r="E897" s="2">
        <v>4.1006944444444443E-2</v>
      </c>
      <c r="F897">
        <v>59.05</v>
      </c>
    </row>
    <row r="898" spans="1:6" x14ac:dyDescent="0.25">
      <c r="A898" s="1">
        <v>38657</v>
      </c>
      <c r="B898" t="s">
        <v>20</v>
      </c>
      <c r="C898" t="s">
        <v>8</v>
      </c>
      <c r="D898">
        <v>26</v>
      </c>
      <c r="E898" s="2">
        <v>3.290509259259259E-2</v>
      </c>
      <c r="F898">
        <v>47.383333333333333</v>
      </c>
    </row>
    <row r="899" spans="1:6" x14ac:dyDescent="0.25">
      <c r="A899" s="1">
        <v>38657</v>
      </c>
      <c r="B899" t="s">
        <v>20</v>
      </c>
      <c r="C899" t="s">
        <v>9</v>
      </c>
      <c r="D899">
        <v>13</v>
      </c>
      <c r="E899" s="2">
        <v>1.269675925925926E-2</v>
      </c>
      <c r="F899">
        <v>18.283333333333335</v>
      </c>
    </row>
    <row r="900" spans="1:6" x14ac:dyDescent="0.25">
      <c r="A900" s="1">
        <v>38657</v>
      </c>
      <c r="B900" t="s">
        <v>20</v>
      </c>
      <c r="C900" t="s">
        <v>10</v>
      </c>
      <c r="D900">
        <v>7</v>
      </c>
      <c r="E900" s="2">
        <v>8.6921296296296295E-3</v>
      </c>
      <c r="F900">
        <v>12.516666666666667</v>
      </c>
    </row>
    <row r="901" spans="1:6" x14ac:dyDescent="0.25">
      <c r="A901" s="1">
        <v>38657</v>
      </c>
      <c r="B901" t="s">
        <v>20</v>
      </c>
      <c r="C901" t="s">
        <v>11</v>
      </c>
      <c r="D901">
        <v>8</v>
      </c>
      <c r="E901" s="2">
        <v>8.4490740740740741E-3</v>
      </c>
      <c r="F901">
        <v>12.166666666666666</v>
      </c>
    </row>
    <row r="902" spans="1:6" x14ac:dyDescent="0.25">
      <c r="A902" s="1">
        <v>38657</v>
      </c>
      <c r="B902" t="s">
        <v>21</v>
      </c>
      <c r="C902" t="s">
        <v>6</v>
      </c>
      <c r="D902">
        <v>47</v>
      </c>
      <c r="E902" s="2">
        <v>4.9212962962962965E-2</v>
      </c>
      <c r="F902">
        <v>70.86666666666666</v>
      </c>
    </row>
    <row r="903" spans="1:6" x14ac:dyDescent="0.25">
      <c r="A903" s="1">
        <v>38657</v>
      </c>
      <c r="B903" t="s">
        <v>21</v>
      </c>
      <c r="C903" t="s">
        <v>7</v>
      </c>
      <c r="D903">
        <v>36</v>
      </c>
      <c r="E903" s="2">
        <v>4.1134259259259259E-2</v>
      </c>
      <c r="F903">
        <v>59.233333333333334</v>
      </c>
    </row>
    <row r="904" spans="1:6" x14ac:dyDescent="0.25">
      <c r="A904" s="1">
        <v>38657</v>
      </c>
      <c r="B904" t="s">
        <v>21</v>
      </c>
      <c r="C904" t="s">
        <v>8</v>
      </c>
      <c r="D904">
        <v>26</v>
      </c>
      <c r="E904" s="2">
        <v>3.1377314814814816E-2</v>
      </c>
      <c r="F904">
        <v>45.18333333333333</v>
      </c>
    </row>
    <row r="905" spans="1:6" x14ac:dyDescent="0.25">
      <c r="A905" s="1">
        <v>38657</v>
      </c>
      <c r="B905" t="s">
        <v>21</v>
      </c>
      <c r="C905" t="s">
        <v>9</v>
      </c>
      <c r="D905">
        <v>10</v>
      </c>
      <c r="E905" s="2">
        <v>9.8032407407407408E-3</v>
      </c>
      <c r="F905">
        <v>14.116666666666667</v>
      </c>
    </row>
    <row r="906" spans="1:6" x14ac:dyDescent="0.25">
      <c r="A906" s="1">
        <v>38657</v>
      </c>
      <c r="B906" t="s">
        <v>21</v>
      </c>
      <c r="C906" t="s">
        <v>10</v>
      </c>
      <c r="D906">
        <v>12</v>
      </c>
      <c r="E906" s="2">
        <v>1.2326388888888888E-2</v>
      </c>
      <c r="F906">
        <v>17.75</v>
      </c>
    </row>
    <row r="907" spans="1:6" x14ac:dyDescent="0.25">
      <c r="A907" s="1">
        <v>38657</v>
      </c>
      <c r="B907" t="s">
        <v>21</v>
      </c>
      <c r="C907" t="s">
        <v>11</v>
      </c>
      <c r="D907">
        <v>16</v>
      </c>
      <c r="E907" s="2">
        <v>1.3518518518518518E-2</v>
      </c>
      <c r="F907">
        <v>19.466666666666665</v>
      </c>
    </row>
    <row r="908" spans="1:6" x14ac:dyDescent="0.25">
      <c r="A908" s="1">
        <v>38657</v>
      </c>
      <c r="B908" t="s">
        <v>22</v>
      </c>
      <c r="C908" t="s">
        <v>6</v>
      </c>
      <c r="D908">
        <v>20</v>
      </c>
      <c r="E908" s="2">
        <v>1.9166666666666665E-2</v>
      </c>
      <c r="F908">
        <v>27.6</v>
      </c>
    </row>
    <row r="909" spans="1:6" x14ac:dyDescent="0.25">
      <c r="A909" s="1">
        <v>38657</v>
      </c>
      <c r="B909" t="s">
        <v>22</v>
      </c>
      <c r="C909" t="s">
        <v>7</v>
      </c>
      <c r="D909">
        <v>20</v>
      </c>
      <c r="E909" s="2">
        <v>2.0393518518518519E-2</v>
      </c>
      <c r="F909">
        <v>29.366666666666667</v>
      </c>
    </row>
    <row r="910" spans="1:6" x14ac:dyDescent="0.25">
      <c r="A910" s="1">
        <v>38657</v>
      </c>
      <c r="B910" t="s">
        <v>22</v>
      </c>
      <c r="C910" t="s">
        <v>8</v>
      </c>
      <c r="D910">
        <v>10</v>
      </c>
      <c r="E910" s="2">
        <v>1.2916666666666667E-2</v>
      </c>
      <c r="F910">
        <v>18.600000000000001</v>
      </c>
    </row>
    <row r="911" spans="1:6" x14ac:dyDescent="0.25">
      <c r="A911" s="1">
        <v>38657</v>
      </c>
      <c r="B911" t="s">
        <v>22</v>
      </c>
      <c r="C911" t="s">
        <v>9</v>
      </c>
      <c r="D911">
        <v>1</v>
      </c>
      <c r="E911" s="2">
        <v>4.0509259259259258E-4</v>
      </c>
      <c r="F911">
        <v>0.58333333333333337</v>
      </c>
    </row>
    <row r="912" spans="1:6" x14ac:dyDescent="0.25">
      <c r="A912" s="1">
        <v>38657</v>
      </c>
      <c r="B912" t="s">
        <v>22</v>
      </c>
      <c r="C912" t="s">
        <v>10</v>
      </c>
      <c r="D912">
        <v>1</v>
      </c>
      <c r="E912" s="2">
        <v>2.1527777777777778E-3</v>
      </c>
      <c r="F912">
        <v>3.1</v>
      </c>
    </row>
    <row r="913" spans="1:6" x14ac:dyDescent="0.25">
      <c r="A913" s="1">
        <v>38657</v>
      </c>
      <c r="B913" t="s">
        <v>22</v>
      </c>
      <c r="C913" t="s">
        <v>11</v>
      </c>
      <c r="D913">
        <v>8</v>
      </c>
      <c r="E913" s="2">
        <v>4.7337962962962967E-3</v>
      </c>
      <c r="F913">
        <v>6.8166666666666664</v>
      </c>
    </row>
    <row r="914" spans="1:6" x14ac:dyDescent="0.25">
      <c r="A914" s="1">
        <v>38657</v>
      </c>
      <c r="B914" t="s">
        <v>23</v>
      </c>
      <c r="C914" t="s">
        <v>6</v>
      </c>
      <c r="D914">
        <v>291</v>
      </c>
      <c r="E914" s="2">
        <v>0.34837962962962965</v>
      </c>
      <c r="F914">
        <v>501.66666666666669</v>
      </c>
    </row>
    <row r="915" spans="1:6" x14ac:dyDescent="0.25">
      <c r="A915" s="1">
        <v>38657</v>
      </c>
      <c r="B915" t="s">
        <v>23</v>
      </c>
      <c r="C915" t="s">
        <v>7</v>
      </c>
      <c r="D915">
        <v>253</v>
      </c>
      <c r="E915" s="2">
        <v>0.28188657407407408</v>
      </c>
      <c r="F915">
        <v>405.91666666666669</v>
      </c>
    </row>
    <row r="916" spans="1:6" x14ac:dyDescent="0.25">
      <c r="A916" s="1">
        <v>38657</v>
      </c>
      <c r="B916" t="s">
        <v>23</v>
      </c>
      <c r="C916" t="s">
        <v>8</v>
      </c>
      <c r="D916">
        <v>203</v>
      </c>
      <c r="E916" s="2">
        <v>0.25861111111111112</v>
      </c>
      <c r="F916">
        <v>372.4</v>
      </c>
    </row>
    <row r="917" spans="1:6" x14ac:dyDescent="0.25">
      <c r="A917" s="1">
        <v>38657</v>
      </c>
      <c r="B917" t="s">
        <v>23</v>
      </c>
      <c r="C917" t="s">
        <v>9</v>
      </c>
      <c r="D917">
        <v>81</v>
      </c>
      <c r="E917" s="2">
        <v>6.8912037037037036E-2</v>
      </c>
      <c r="F917">
        <v>99.233333333333334</v>
      </c>
    </row>
    <row r="918" spans="1:6" x14ac:dyDescent="0.25">
      <c r="A918" s="1">
        <v>38657</v>
      </c>
      <c r="B918" t="s">
        <v>23</v>
      </c>
      <c r="C918" t="s">
        <v>10</v>
      </c>
      <c r="D918">
        <v>104</v>
      </c>
      <c r="E918" s="2">
        <v>0.11686342592592593</v>
      </c>
      <c r="F918">
        <v>168.28333333333333</v>
      </c>
    </row>
    <row r="919" spans="1:6" x14ac:dyDescent="0.25">
      <c r="A919" s="1">
        <v>38657</v>
      </c>
      <c r="B919" t="s">
        <v>23</v>
      </c>
      <c r="C919" t="s">
        <v>11</v>
      </c>
      <c r="D919">
        <v>116</v>
      </c>
      <c r="E919" s="2">
        <v>0.11052083333333333</v>
      </c>
      <c r="F919">
        <v>159.15</v>
      </c>
    </row>
    <row r="920" spans="1:6" x14ac:dyDescent="0.25">
      <c r="A920" s="1">
        <v>38657</v>
      </c>
      <c r="B920" t="s">
        <v>24</v>
      </c>
      <c r="C920" t="s">
        <v>6</v>
      </c>
      <c r="D920">
        <v>47</v>
      </c>
      <c r="E920" s="2">
        <v>4.3692129629629629E-2</v>
      </c>
      <c r="F920">
        <v>62.916666666666664</v>
      </c>
    </row>
    <row r="921" spans="1:6" x14ac:dyDescent="0.25">
      <c r="A921" s="1">
        <v>38657</v>
      </c>
      <c r="B921" t="s">
        <v>24</v>
      </c>
      <c r="C921" t="s">
        <v>7</v>
      </c>
      <c r="D921">
        <v>48</v>
      </c>
      <c r="E921" s="2">
        <v>3.321759259259259E-2</v>
      </c>
      <c r="F921">
        <v>47.833333333333336</v>
      </c>
    </row>
    <row r="922" spans="1:6" x14ac:dyDescent="0.25">
      <c r="A922" s="1">
        <v>38657</v>
      </c>
      <c r="B922" t="s">
        <v>24</v>
      </c>
      <c r="C922" t="s">
        <v>8</v>
      </c>
      <c r="D922">
        <v>22</v>
      </c>
      <c r="E922" s="2">
        <v>1.9120370370370371E-2</v>
      </c>
      <c r="F922">
        <v>27.533333333333335</v>
      </c>
    </row>
    <row r="923" spans="1:6" x14ac:dyDescent="0.25">
      <c r="A923" s="1">
        <v>38657</v>
      </c>
      <c r="B923" t="s">
        <v>24</v>
      </c>
      <c r="C923" t="s">
        <v>9</v>
      </c>
      <c r="D923">
        <v>8</v>
      </c>
      <c r="E923" s="2">
        <v>6.8055555555555551E-3</v>
      </c>
      <c r="F923">
        <v>9.8000000000000007</v>
      </c>
    </row>
    <row r="924" spans="1:6" x14ac:dyDescent="0.25">
      <c r="A924" s="1">
        <v>38657</v>
      </c>
      <c r="B924" t="s">
        <v>24</v>
      </c>
      <c r="C924" t="s">
        <v>10</v>
      </c>
      <c r="D924">
        <v>0</v>
      </c>
      <c r="E924" s="2">
        <v>0</v>
      </c>
      <c r="F924">
        <v>0</v>
      </c>
    </row>
    <row r="925" spans="1:6" x14ac:dyDescent="0.25">
      <c r="A925" s="1">
        <v>38657</v>
      </c>
      <c r="B925" t="s">
        <v>24</v>
      </c>
      <c r="C925" t="s">
        <v>11</v>
      </c>
      <c r="D925">
        <v>33</v>
      </c>
      <c r="E925" s="2">
        <v>1.9664351851851853E-2</v>
      </c>
      <c r="F925">
        <v>28.316666666666666</v>
      </c>
    </row>
    <row r="926" spans="1:6" x14ac:dyDescent="0.25">
      <c r="A926" s="1">
        <v>38687</v>
      </c>
      <c r="B926" t="s">
        <v>5</v>
      </c>
      <c r="C926" t="s">
        <v>6</v>
      </c>
      <c r="D926">
        <v>52</v>
      </c>
      <c r="E926" s="2">
        <v>6.1574074074074073E-2</v>
      </c>
      <c r="F926">
        <v>88.666666666666671</v>
      </c>
    </row>
    <row r="927" spans="1:6" x14ac:dyDescent="0.25">
      <c r="A927" s="1">
        <v>38687</v>
      </c>
      <c r="B927" t="s">
        <v>5</v>
      </c>
      <c r="C927" t="s">
        <v>7</v>
      </c>
      <c r="D927">
        <v>42</v>
      </c>
      <c r="E927" s="2">
        <v>4.7129629629629632E-2</v>
      </c>
      <c r="F927">
        <v>67.86666666666666</v>
      </c>
    </row>
    <row r="928" spans="1:6" x14ac:dyDescent="0.25">
      <c r="A928" s="1">
        <v>38687</v>
      </c>
      <c r="B928" t="s">
        <v>5</v>
      </c>
      <c r="C928" t="s">
        <v>8</v>
      </c>
      <c r="D928">
        <v>37</v>
      </c>
      <c r="E928" s="2">
        <v>3.6655092592592593E-2</v>
      </c>
      <c r="F928">
        <v>52.783333333333331</v>
      </c>
    </row>
    <row r="929" spans="1:6" x14ac:dyDescent="0.25">
      <c r="A929" s="1">
        <v>38687</v>
      </c>
      <c r="B929" t="s">
        <v>5</v>
      </c>
      <c r="C929" t="s">
        <v>9</v>
      </c>
      <c r="D929">
        <v>4</v>
      </c>
      <c r="E929" s="2">
        <v>3.3449074074074076E-3</v>
      </c>
      <c r="F929">
        <v>4.8166666666666664</v>
      </c>
    </row>
    <row r="930" spans="1:6" x14ac:dyDescent="0.25">
      <c r="A930" s="1">
        <v>38687</v>
      </c>
      <c r="B930" t="s">
        <v>5</v>
      </c>
      <c r="C930" t="s">
        <v>10</v>
      </c>
      <c r="D930">
        <v>12</v>
      </c>
      <c r="E930" s="2">
        <v>1.7384259259259259E-2</v>
      </c>
      <c r="F930">
        <v>25.033333333333335</v>
      </c>
    </row>
    <row r="931" spans="1:6" x14ac:dyDescent="0.25">
      <c r="A931" s="1">
        <v>38687</v>
      </c>
      <c r="B931" t="s">
        <v>5</v>
      </c>
      <c r="C931" t="s">
        <v>11</v>
      </c>
      <c r="D931">
        <v>36</v>
      </c>
      <c r="E931" s="2">
        <v>3.9039351851851853E-2</v>
      </c>
      <c r="F931">
        <v>56.216666666666669</v>
      </c>
    </row>
    <row r="932" spans="1:6" x14ac:dyDescent="0.25">
      <c r="A932" s="1">
        <v>38687</v>
      </c>
      <c r="B932" t="s">
        <v>12</v>
      </c>
      <c r="C932" t="s">
        <v>6</v>
      </c>
      <c r="D932">
        <v>60</v>
      </c>
      <c r="E932" s="2">
        <v>7.7164351851851845E-2</v>
      </c>
      <c r="F932">
        <v>111.11666666666666</v>
      </c>
    </row>
    <row r="933" spans="1:6" x14ac:dyDescent="0.25">
      <c r="A933" s="1">
        <v>38687</v>
      </c>
      <c r="B933" t="s">
        <v>12</v>
      </c>
      <c r="C933" t="s">
        <v>7</v>
      </c>
      <c r="D933">
        <v>50</v>
      </c>
      <c r="E933" s="2">
        <v>6.7581018518518512E-2</v>
      </c>
      <c r="F933">
        <v>97.316666666666663</v>
      </c>
    </row>
    <row r="934" spans="1:6" x14ac:dyDescent="0.25">
      <c r="A934" s="1">
        <v>38687</v>
      </c>
      <c r="B934" t="s">
        <v>12</v>
      </c>
      <c r="C934" t="s">
        <v>8</v>
      </c>
      <c r="D934">
        <v>30</v>
      </c>
      <c r="E934" s="2">
        <v>3.7557870370370373E-2</v>
      </c>
      <c r="F934">
        <v>54.083333333333336</v>
      </c>
    </row>
    <row r="935" spans="1:6" x14ac:dyDescent="0.25">
      <c r="A935" s="1">
        <v>38687</v>
      </c>
      <c r="B935" t="s">
        <v>12</v>
      </c>
      <c r="C935" t="s">
        <v>9</v>
      </c>
      <c r="D935">
        <v>5</v>
      </c>
      <c r="E935" s="2">
        <v>5.0578703703703706E-3</v>
      </c>
      <c r="F935">
        <v>7.2833333333333332</v>
      </c>
    </row>
    <row r="936" spans="1:6" x14ac:dyDescent="0.25">
      <c r="A936" s="1">
        <v>38687</v>
      </c>
      <c r="B936" t="s">
        <v>12</v>
      </c>
      <c r="C936" t="s">
        <v>10</v>
      </c>
      <c r="D936">
        <v>3</v>
      </c>
      <c r="E936" s="2">
        <v>2.7430555555555554E-3</v>
      </c>
      <c r="F936">
        <v>3.95</v>
      </c>
    </row>
    <row r="937" spans="1:6" x14ac:dyDescent="0.25">
      <c r="A937" s="1">
        <v>38687</v>
      </c>
      <c r="B937" t="s">
        <v>12</v>
      </c>
      <c r="C937" t="s">
        <v>11</v>
      </c>
      <c r="D937">
        <v>18</v>
      </c>
      <c r="E937" s="2">
        <v>1.7418981481481483E-2</v>
      </c>
      <c r="F937">
        <v>25.083333333333332</v>
      </c>
    </row>
    <row r="938" spans="1:6" x14ac:dyDescent="0.25">
      <c r="A938" s="1">
        <v>38687</v>
      </c>
      <c r="B938" t="s">
        <v>13</v>
      </c>
      <c r="C938" t="s">
        <v>6</v>
      </c>
      <c r="D938">
        <v>61</v>
      </c>
      <c r="E938" s="2">
        <v>6.7650462962962968E-2</v>
      </c>
      <c r="F938">
        <v>97.416666666666671</v>
      </c>
    </row>
    <row r="939" spans="1:6" x14ac:dyDescent="0.25">
      <c r="A939" s="1">
        <v>38687</v>
      </c>
      <c r="B939" t="s">
        <v>13</v>
      </c>
      <c r="C939" t="s">
        <v>7</v>
      </c>
      <c r="D939">
        <v>64</v>
      </c>
      <c r="E939" s="2">
        <v>8.0509259259259253E-2</v>
      </c>
      <c r="F939">
        <v>115.93333333333334</v>
      </c>
    </row>
    <row r="940" spans="1:6" x14ac:dyDescent="0.25">
      <c r="A940" s="1">
        <v>38687</v>
      </c>
      <c r="B940" t="s">
        <v>13</v>
      </c>
      <c r="C940" t="s">
        <v>8</v>
      </c>
      <c r="D940">
        <v>30</v>
      </c>
      <c r="E940" s="2">
        <v>4.0462962962962964E-2</v>
      </c>
      <c r="F940">
        <v>58.266666666666666</v>
      </c>
    </row>
    <row r="941" spans="1:6" x14ac:dyDescent="0.25">
      <c r="A941" s="1">
        <v>38687</v>
      </c>
      <c r="B941" t="s">
        <v>13</v>
      </c>
      <c r="C941" t="s">
        <v>9</v>
      </c>
      <c r="D941">
        <v>18</v>
      </c>
      <c r="E941" s="2">
        <v>1.7013888888888887E-2</v>
      </c>
      <c r="F941">
        <v>24.5</v>
      </c>
    </row>
    <row r="942" spans="1:6" x14ac:dyDescent="0.25">
      <c r="A942" s="1">
        <v>38687</v>
      </c>
      <c r="B942" t="s">
        <v>13</v>
      </c>
      <c r="C942" t="s">
        <v>10</v>
      </c>
      <c r="D942">
        <v>9</v>
      </c>
      <c r="E942" s="2">
        <v>9.9074074074074082E-3</v>
      </c>
      <c r="F942">
        <v>14.266666666666667</v>
      </c>
    </row>
    <row r="943" spans="1:6" x14ac:dyDescent="0.25">
      <c r="A943" s="1">
        <v>38687</v>
      </c>
      <c r="B943" t="s">
        <v>13</v>
      </c>
      <c r="C943" t="s">
        <v>11</v>
      </c>
      <c r="D943">
        <v>19</v>
      </c>
      <c r="E943" s="2">
        <v>1.3414351851851853E-2</v>
      </c>
      <c r="F943">
        <v>19.316666666666666</v>
      </c>
    </row>
    <row r="944" spans="1:6" x14ac:dyDescent="0.25">
      <c r="A944" s="1">
        <v>38687</v>
      </c>
      <c r="B944" t="s">
        <v>14</v>
      </c>
      <c r="C944" t="s">
        <v>6</v>
      </c>
      <c r="D944">
        <v>16</v>
      </c>
      <c r="E944" s="2">
        <v>1.9016203703703705E-2</v>
      </c>
      <c r="F944">
        <v>27.383333333333333</v>
      </c>
    </row>
    <row r="945" spans="1:6" x14ac:dyDescent="0.25">
      <c r="A945" s="1">
        <v>38687</v>
      </c>
      <c r="B945" t="s">
        <v>14</v>
      </c>
      <c r="C945" t="s">
        <v>7</v>
      </c>
      <c r="D945">
        <v>14</v>
      </c>
      <c r="E945" s="2">
        <v>1.7141203703703704E-2</v>
      </c>
      <c r="F945">
        <v>24.683333333333334</v>
      </c>
    </row>
    <row r="946" spans="1:6" x14ac:dyDescent="0.25">
      <c r="A946" s="1">
        <v>38687</v>
      </c>
      <c r="B946" t="s">
        <v>14</v>
      </c>
      <c r="C946" t="s">
        <v>8</v>
      </c>
      <c r="D946">
        <v>5</v>
      </c>
      <c r="E946" s="2">
        <v>8.1134259259259267E-3</v>
      </c>
      <c r="F946">
        <v>11.683333333333334</v>
      </c>
    </row>
    <row r="947" spans="1:6" x14ac:dyDescent="0.25">
      <c r="A947" s="1">
        <v>38687</v>
      </c>
      <c r="B947" t="s">
        <v>14</v>
      </c>
      <c r="C947" t="s">
        <v>9</v>
      </c>
      <c r="D947">
        <v>3</v>
      </c>
      <c r="E947" s="2">
        <v>3.2638888888888891E-3</v>
      </c>
      <c r="F947">
        <v>4.7</v>
      </c>
    </row>
    <row r="948" spans="1:6" x14ac:dyDescent="0.25">
      <c r="A948" s="1">
        <v>38687</v>
      </c>
      <c r="B948" t="s">
        <v>14</v>
      </c>
      <c r="C948" t="s">
        <v>10</v>
      </c>
      <c r="D948">
        <v>1</v>
      </c>
      <c r="E948" s="2">
        <v>2.0949074074074073E-3</v>
      </c>
      <c r="F948">
        <v>3.0166666666666666</v>
      </c>
    </row>
    <row r="949" spans="1:6" x14ac:dyDescent="0.25">
      <c r="A949" s="1">
        <v>38687</v>
      </c>
      <c r="B949" t="s">
        <v>14</v>
      </c>
      <c r="C949" t="s">
        <v>11</v>
      </c>
      <c r="D949">
        <v>4</v>
      </c>
      <c r="E949" s="2">
        <v>3.2291666666666666E-3</v>
      </c>
      <c r="F949">
        <v>4.6500000000000004</v>
      </c>
    </row>
    <row r="950" spans="1:6" x14ac:dyDescent="0.25">
      <c r="A950" s="1">
        <v>38687</v>
      </c>
      <c r="B950" t="s">
        <v>15</v>
      </c>
      <c r="C950" t="s">
        <v>6</v>
      </c>
      <c r="D950">
        <v>29</v>
      </c>
      <c r="E950" s="2">
        <v>2.6168981481481481E-2</v>
      </c>
      <c r="F950">
        <v>37.68333333333333</v>
      </c>
    </row>
    <row r="951" spans="1:6" x14ac:dyDescent="0.25">
      <c r="A951" s="1">
        <v>38687</v>
      </c>
      <c r="B951" t="s">
        <v>15</v>
      </c>
      <c r="C951" t="s">
        <v>7</v>
      </c>
      <c r="D951">
        <v>37</v>
      </c>
      <c r="E951" s="2">
        <v>3.3888888888888892E-2</v>
      </c>
      <c r="F951">
        <v>48.8</v>
      </c>
    </row>
    <row r="952" spans="1:6" x14ac:dyDescent="0.25">
      <c r="A952" s="1">
        <v>38687</v>
      </c>
      <c r="B952" t="s">
        <v>15</v>
      </c>
      <c r="C952" t="s">
        <v>8</v>
      </c>
      <c r="D952">
        <v>14</v>
      </c>
      <c r="E952" s="2">
        <v>1.8425925925925925E-2</v>
      </c>
      <c r="F952">
        <v>26.533333333333335</v>
      </c>
    </row>
    <row r="953" spans="1:6" x14ac:dyDescent="0.25">
      <c r="A953" s="1">
        <v>38687</v>
      </c>
      <c r="B953" t="s">
        <v>15</v>
      </c>
      <c r="C953" t="s">
        <v>9</v>
      </c>
      <c r="D953">
        <v>6</v>
      </c>
      <c r="E953" s="2">
        <v>4.8148148148148152E-3</v>
      </c>
      <c r="F953">
        <v>6.9333333333333336</v>
      </c>
    </row>
    <row r="954" spans="1:6" x14ac:dyDescent="0.25">
      <c r="A954" s="1">
        <v>38687</v>
      </c>
      <c r="B954" t="s">
        <v>15</v>
      </c>
      <c r="C954" t="s">
        <v>10</v>
      </c>
      <c r="D954">
        <v>9</v>
      </c>
      <c r="E954" s="2">
        <v>8.3101851851851843E-3</v>
      </c>
      <c r="F954">
        <v>11.966666666666667</v>
      </c>
    </row>
    <row r="955" spans="1:6" x14ac:dyDescent="0.25">
      <c r="A955" s="1">
        <v>38687</v>
      </c>
      <c r="B955" t="s">
        <v>15</v>
      </c>
      <c r="C955" t="s">
        <v>11</v>
      </c>
      <c r="D955">
        <v>8</v>
      </c>
      <c r="E955" s="2">
        <v>5.5671296296296293E-3</v>
      </c>
      <c r="F955">
        <v>8.0166666666666675</v>
      </c>
    </row>
    <row r="956" spans="1:6" x14ac:dyDescent="0.25">
      <c r="A956" s="1">
        <v>38687</v>
      </c>
      <c r="B956" t="s">
        <v>16</v>
      </c>
      <c r="C956" t="s">
        <v>6</v>
      </c>
      <c r="D956">
        <v>17</v>
      </c>
      <c r="E956" s="2">
        <v>1.7928240740740741E-2</v>
      </c>
      <c r="F956">
        <v>25.816666666666666</v>
      </c>
    </row>
    <row r="957" spans="1:6" x14ac:dyDescent="0.25">
      <c r="A957" s="1">
        <v>38687</v>
      </c>
      <c r="B957" t="s">
        <v>16</v>
      </c>
      <c r="C957" t="s">
        <v>7</v>
      </c>
      <c r="D957">
        <v>13</v>
      </c>
      <c r="E957" s="2">
        <v>1.136574074074074E-2</v>
      </c>
      <c r="F957">
        <v>16.366666666666667</v>
      </c>
    </row>
    <row r="958" spans="1:6" x14ac:dyDescent="0.25">
      <c r="A958" s="1">
        <v>38687</v>
      </c>
      <c r="B958" t="s">
        <v>16</v>
      </c>
      <c r="C958" t="s">
        <v>8</v>
      </c>
      <c r="D958">
        <v>20</v>
      </c>
      <c r="E958" s="2">
        <v>2.2569444444444444E-2</v>
      </c>
      <c r="F958">
        <v>32.5</v>
      </c>
    </row>
    <row r="959" spans="1:6" x14ac:dyDescent="0.25">
      <c r="A959" s="1">
        <v>38687</v>
      </c>
      <c r="B959" t="s">
        <v>16</v>
      </c>
      <c r="C959" t="s">
        <v>9</v>
      </c>
      <c r="D959">
        <v>7</v>
      </c>
      <c r="E959" s="2">
        <v>3.7268518518518519E-3</v>
      </c>
      <c r="F959">
        <v>5.3666666666666663</v>
      </c>
    </row>
    <row r="960" spans="1:6" x14ac:dyDescent="0.25">
      <c r="A960" s="1">
        <v>38687</v>
      </c>
      <c r="B960" t="s">
        <v>16</v>
      </c>
      <c r="C960" t="s">
        <v>10</v>
      </c>
      <c r="D960">
        <v>2</v>
      </c>
      <c r="E960" s="2">
        <v>1.0995370370370371E-3</v>
      </c>
      <c r="F960">
        <v>1.5833333333333335</v>
      </c>
    </row>
    <row r="961" spans="1:6" x14ac:dyDescent="0.25">
      <c r="A961" s="1">
        <v>38687</v>
      </c>
      <c r="B961" t="s">
        <v>16</v>
      </c>
      <c r="C961" t="s">
        <v>11</v>
      </c>
      <c r="D961">
        <v>8</v>
      </c>
      <c r="E961" s="2">
        <v>5.7407407407407407E-3</v>
      </c>
      <c r="F961">
        <v>8.2666666666666675</v>
      </c>
    </row>
    <row r="962" spans="1:6" x14ac:dyDescent="0.25">
      <c r="A962" s="1">
        <v>38687</v>
      </c>
      <c r="B962" t="s">
        <v>17</v>
      </c>
      <c r="C962" t="s">
        <v>6</v>
      </c>
      <c r="D962">
        <v>13</v>
      </c>
      <c r="E962" s="2">
        <v>9.4097222222222221E-3</v>
      </c>
      <c r="F962">
        <v>13.55</v>
      </c>
    </row>
    <row r="963" spans="1:6" x14ac:dyDescent="0.25">
      <c r="A963" s="1">
        <v>38687</v>
      </c>
      <c r="B963" t="s">
        <v>17</v>
      </c>
      <c r="C963" t="s">
        <v>7</v>
      </c>
      <c r="D963">
        <v>12</v>
      </c>
      <c r="E963" s="2">
        <v>1.2523148148148148E-2</v>
      </c>
      <c r="F963">
        <v>18.033333333333335</v>
      </c>
    </row>
    <row r="964" spans="1:6" x14ac:dyDescent="0.25">
      <c r="A964" s="1">
        <v>38687</v>
      </c>
      <c r="B964" t="s">
        <v>17</v>
      </c>
      <c r="C964" t="s">
        <v>8</v>
      </c>
      <c r="D964">
        <v>6</v>
      </c>
      <c r="E964" s="2">
        <v>5.2777777777777779E-3</v>
      </c>
      <c r="F964">
        <v>7.6</v>
      </c>
    </row>
    <row r="965" spans="1:6" x14ac:dyDescent="0.25">
      <c r="A965" s="1">
        <v>38687</v>
      </c>
      <c r="B965" t="s">
        <v>17</v>
      </c>
      <c r="C965" t="s">
        <v>9</v>
      </c>
      <c r="D965">
        <v>4</v>
      </c>
      <c r="E965" s="2">
        <v>2.9629629629629628E-3</v>
      </c>
      <c r="F965">
        <v>4.2666666666666666</v>
      </c>
    </row>
    <row r="966" spans="1:6" x14ac:dyDescent="0.25">
      <c r="A966" s="1">
        <v>38687</v>
      </c>
      <c r="B966" t="s">
        <v>17</v>
      </c>
      <c r="C966" t="s">
        <v>10</v>
      </c>
      <c r="D966">
        <v>3</v>
      </c>
      <c r="E966" s="2">
        <v>1.5428240740740741E-2</v>
      </c>
      <c r="F966">
        <v>22.216666666666665</v>
      </c>
    </row>
    <row r="967" spans="1:6" x14ac:dyDescent="0.25">
      <c r="A967" s="1">
        <v>38687</v>
      </c>
      <c r="B967" t="s">
        <v>17</v>
      </c>
      <c r="C967" t="s">
        <v>11</v>
      </c>
      <c r="D967">
        <v>5</v>
      </c>
      <c r="E967" s="2">
        <v>5.0115740740740737E-3</v>
      </c>
      <c r="F967">
        <v>7.2166666666666668</v>
      </c>
    </row>
    <row r="968" spans="1:6" x14ac:dyDescent="0.25">
      <c r="A968" s="1">
        <v>38687</v>
      </c>
      <c r="B968" t="s">
        <v>18</v>
      </c>
      <c r="C968" t="s">
        <v>6</v>
      </c>
      <c r="D968">
        <v>52</v>
      </c>
      <c r="E968" s="2">
        <v>5.0543981481481481E-2</v>
      </c>
      <c r="F968">
        <v>72.783333333333331</v>
      </c>
    </row>
    <row r="969" spans="1:6" x14ac:dyDescent="0.25">
      <c r="A969" s="1">
        <v>38687</v>
      </c>
      <c r="B969" t="s">
        <v>18</v>
      </c>
      <c r="C969" t="s">
        <v>7</v>
      </c>
      <c r="D969">
        <v>67</v>
      </c>
      <c r="E969" s="2">
        <v>6.3240740740740736E-2</v>
      </c>
      <c r="F969">
        <v>91.066666666666663</v>
      </c>
    </row>
    <row r="970" spans="1:6" x14ac:dyDescent="0.25">
      <c r="A970" s="1">
        <v>38687</v>
      </c>
      <c r="B970" t="s">
        <v>18</v>
      </c>
      <c r="C970" t="s">
        <v>8</v>
      </c>
      <c r="D970">
        <v>52</v>
      </c>
      <c r="E970" s="2">
        <v>5.4479166666666669E-2</v>
      </c>
      <c r="F970">
        <v>78.45</v>
      </c>
    </row>
    <row r="971" spans="1:6" x14ac:dyDescent="0.25">
      <c r="A971" s="1">
        <v>38687</v>
      </c>
      <c r="B971" t="s">
        <v>18</v>
      </c>
      <c r="C971" t="s">
        <v>9</v>
      </c>
      <c r="D971">
        <v>23</v>
      </c>
      <c r="E971" s="2">
        <v>2.2893518518518518E-2</v>
      </c>
      <c r="F971">
        <v>32.966666666666669</v>
      </c>
    </row>
    <row r="972" spans="1:6" x14ac:dyDescent="0.25">
      <c r="A972" s="1">
        <v>38687</v>
      </c>
      <c r="B972" t="s">
        <v>18</v>
      </c>
      <c r="C972" t="s">
        <v>10</v>
      </c>
      <c r="D972">
        <v>107</v>
      </c>
      <c r="E972" s="2">
        <v>0.12527777777777777</v>
      </c>
      <c r="F972">
        <v>180.4</v>
      </c>
    </row>
    <row r="973" spans="1:6" x14ac:dyDescent="0.25">
      <c r="A973" s="1">
        <v>38687</v>
      </c>
      <c r="B973" t="s">
        <v>18</v>
      </c>
      <c r="C973" t="s">
        <v>11</v>
      </c>
      <c r="D973">
        <v>28</v>
      </c>
      <c r="E973" s="2">
        <v>1.5486111111111112E-2</v>
      </c>
      <c r="F973">
        <v>22.3</v>
      </c>
    </row>
    <row r="974" spans="1:6" x14ac:dyDescent="0.25">
      <c r="A974" s="1">
        <v>38687</v>
      </c>
      <c r="B974" t="s">
        <v>19</v>
      </c>
      <c r="C974" t="s">
        <v>6</v>
      </c>
      <c r="D974">
        <v>32</v>
      </c>
      <c r="E974" s="2">
        <v>3.4062500000000002E-2</v>
      </c>
      <c r="F974">
        <v>49.05</v>
      </c>
    </row>
    <row r="975" spans="1:6" x14ac:dyDescent="0.25">
      <c r="A975" s="1">
        <v>38687</v>
      </c>
      <c r="B975" t="s">
        <v>19</v>
      </c>
      <c r="C975" t="s">
        <v>7</v>
      </c>
      <c r="D975">
        <v>27</v>
      </c>
      <c r="E975" s="2">
        <v>2.4687500000000001E-2</v>
      </c>
      <c r="F975">
        <v>35.549999999999997</v>
      </c>
    </row>
    <row r="976" spans="1:6" x14ac:dyDescent="0.25">
      <c r="A976" s="1">
        <v>38687</v>
      </c>
      <c r="B976" t="s">
        <v>19</v>
      </c>
      <c r="C976" t="s">
        <v>8</v>
      </c>
      <c r="D976">
        <v>28</v>
      </c>
      <c r="E976" s="2">
        <v>2.7685185185185184E-2</v>
      </c>
      <c r="F976">
        <v>39.866666666666667</v>
      </c>
    </row>
    <row r="977" spans="1:6" x14ac:dyDescent="0.25">
      <c r="A977" s="1">
        <v>38687</v>
      </c>
      <c r="B977" t="s">
        <v>19</v>
      </c>
      <c r="C977" t="s">
        <v>9</v>
      </c>
      <c r="D977">
        <v>12</v>
      </c>
      <c r="E977" s="2">
        <v>1.2210648148148148E-2</v>
      </c>
      <c r="F977">
        <v>17.583333333333332</v>
      </c>
    </row>
    <row r="978" spans="1:6" x14ac:dyDescent="0.25">
      <c r="A978" s="1">
        <v>38687</v>
      </c>
      <c r="B978" t="s">
        <v>19</v>
      </c>
      <c r="C978" t="s">
        <v>10</v>
      </c>
      <c r="D978">
        <v>13</v>
      </c>
      <c r="E978" s="2">
        <v>1.2037037037037037E-2</v>
      </c>
      <c r="F978">
        <v>17.333333333333332</v>
      </c>
    </row>
    <row r="979" spans="1:6" x14ac:dyDescent="0.25">
      <c r="A979" s="1">
        <v>38687</v>
      </c>
      <c r="B979" t="s">
        <v>19</v>
      </c>
      <c r="C979" t="s">
        <v>11</v>
      </c>
      <c r="D979">
        <v>8</v>
      </c>
      <c r="E979" s="2">
        <v>6.3657407407407404E-3</v>
      </c>
      <c r="F979">
        <v>9.1666666666666661</v>
      </c>
    </row>
    <row r="980" spans="1:6" x14ac:dyDescent="0.25">
      <c r="A980" s="1">
        <v>38687</v>
      </c>
      <c r="B980" t="s">
        <v>20</v>
      </c>
      <c r="C980" t="s">
        <v>6</v>
      </c>
      <c r="D980">
        <v>24</v>
      </c>
      <c r="E980" s="2">
        <v>2.5949074074074076E-2</v>
      </c>
      <c r="F980">
        <v>37.366666666666667</v>
      </c>
    </row>
    <row r="981" spans="1:6" x14ac:dyDescent="0.25">
      <c r="A981" s="1">
        <v>38687</v>
      </c>
      <c r="B981" t="s">
        <v>20</v>
      </c>
      <c r="C981" t="s">
        <v>7</v>
      </c>
      <c r="D981">
        <v>16</v>
      </c>
      <c r="E981" s="2">
        <v>1.511574074074074E-2</v>
      </c>
      <c r="F981">
        <v>21.766666666666666</v>
      </c>
    </row>
    <row r="982" spans="1:6" x14ac:dyDescent="0.25">
      <c r="A982" s="1">
        <v>38687</v>
      </c>
      <c r="B982" t="s">
        <v>20</v>
      </c>
      <c r="C982" t="s">
        <v>8</v>
      </c>
      <c r="D982">
        <v>17</v>
      </c>
      <c r="E982" s="2">
        <v>2.6284722222222223E-2</v>
      </c>
      <c r="F982">
        <v>37.85</v>
      </c>
    </row>
    <row r="983" spans="1:6" x14ac:dyDescent="0.25">
      <c r="A983" s="1">
        <v>38687</v>
      </c>
      <c r="B983" t="s">
        <v>20</v>
      </c>
      <c r="C983" t="s">
        <v>9</v>
      </c>
      <c r="D983">
        <v>5</v>
      </c>
      <c r="E983" s="2">
        <v>3.6111111111111109E-3</v>
      </c>
      <c r="F983">
        <v>5.2</v>
      </c>
    </row>
    <row r="984" spans="1:6" x14ac:dyDescent="0.25">
      <c r="A984" s="1">
        <v>38687</v>
      </c>
      <c r="B984" t="s">
        <v>20</v>
      </c>
      <c r="C984" t="s">
        <v>10</v>
      </c>
      <c r="D984">
        <v>0</v>
      </c>
      <c r="E984" s="2">
        <v>0</v>
      </c>
      <c r="F984">
        <v>0</v>
      </c>
    </row>
    <row r="985" spans="1:6" x14ac:dyDescent="0.25">
      <c r="A985" s="1">
        <v>38687</v>
      </c>
      <c r="B985" t="s">
        <v>20</v>
      </c>
      <c r="C985" t="s">
        <v>11</v>
      </c>
      <c r="D985">
        <v>16</v>
      </c>
      <c r="E985" s="2">
        <v>1.2372685185185184E-2</v>
      </c>
      <c r="F985">
        <v>17.816666666666666</v>
      </c>
    </row>
    <row r="986" spans="1:6" x14ac:dyDescent="0.25">
      <c r="A986" s="1">
        <v>38687</v>
      </c>
      <c r="B986" t="s">
        <v>21</v>
      </c>
      <c r="C986" t="s">
        <v>6</v>
      </c>
      <c r="D986">
        <v>19</v>
      </c>
      <c r="E986" s="2">
        <v>1.9537037037037037E-2</v>
      </c>
      <c r="F986">
        <v>28.133333333333333</v>
      </c>
    </row>
    <row r="987" spans="1:6" x14ac:dyDescent="0.25">
      <c r="A987" s="1">
        <v>38687</v>
      </c>
      <c r="B987" t="s">
        <v>21</v>
      </c>
      <c r="C987" t="s">
        <v>7</v>
      </c>
      <c r="D987">
        <v>19</v>
      </c>
      <c r="E987" s="2">
        <v>2.4293981481481482E-2</v>
      </c>
      <c r="F987">
        <v>34.983333333333334</v>
      </c>
    </row>
    <row r="988" spans="1:6" x14ac:dyDescent="0.25">
      <c r="A988" s="1">
        <v>38687</v>
      </c>
      <c r="B988" t="s">
        <v>21</v>
      </c>
      <c r="C988" t="s">
        <v>8</v>
      </c>
      <c r="D988">
        <v>12</v>
      </c>
      <c r="E988" s="2">
        <v>1.636574074074074E-2</v>
      </c>
      <c r="F988">
        <v>23.566666666666666</v>
      </c>
    </row>
    <row r="989" spans="1:6" x14ac:dyDescent="0.25">
      <c r="A989" s="1">
        <v>38687</v>
      </c>
      <c r="B989" t="s">
        <v>21</v>
      </c>
      <c r="C989" t="s">
        <v>9</v>
      </c>
      <c r="D989">
        <v>1</v>
      </c>
      <c r="E989" s="2">
        <v>6.7129629629629625E-4</v>
      </c>
      <c r="F989">
        <v>0.96666666666666667</v>
      </c>
    </row>
    <row r="990" spans="1:6" x14ac:dyDescent="0.25">
      <c r="A990" s="1">
        <v>38687</v>
      </c>
      <c r="B990" t="s">
        <v>21</v>
      </c>
      <c r="C990" t="s">
        <v>10</v>
      </c>
      <c r="D990">
        <v>4</v>
      </c>
      <c r="E990" s="2">
        <v>2.9976851851851853E-3</v>
      </c>
      <c r="F990">
        <v>4.3166666666666664</v>
      </c>
    </row>
    <row r="991" spans="1:6" x14ac:dyDescent="0.25">
      <c r="A991" s="1">
        <v>38687</v>
      </c>
      <c r="B991" t="s">
        <v>21</v>
      </c>
      <c r="C991" t="s">
        <v>11</v>
      </c>
      <c r="D991">
        <v>7</v>
      </c>
      <c r="E991" s="2">
        <v>3.9120370370370368E-3</v>
      </c>
      <c r="F991">
        <v>5.6333333333333329</v>
      </c>
    </row>
    <row r="992" spans="1:6" x14ac:dyDescent="0.25">
      <c r="A992" s="1">
        <v>38687</v>
      </c>
      <c r="B992" t="s">
        <v>22</v>
      </c>
      <c r="C992" t="s">
        <v>6</v>
      </c>
      <c r="D992">
        <v>30</v>
      </c>
      <c r="E992" s="2">
        <v>3.3159722222222222E-2</v>
      </c>
      <c r="F992">
        <v>47.75</v>
      </c>
    </row>
    <row r="993" spans="1:6" x14ac:dyDescent="0.25">
      <c r="A993" s="1">
        <v>38687</v>
      </c>
      <c r="B993" t="s">
        <v>22</v>
      </c>
      <c r="C993" t="s">
        <v>7</v>
      </c>
      <c r="D993">
        <v>14</v>
      </c>
      <c r="E993" s="2">
        <v>1.494212962962963E-2</v>
      </c>
      <c r="F993">
        <v>21.516666666666666</v>
      </c>
    </row>
    <row r="994" spans="1:6" x14ac:dyDescent="0.25">
      <c r="A994" s="1">
        <v>38687</v>
      </c>
      <c r="B994" t="s">
        <v>22</v>
      </c>
      <c r="C994" t="s">
        <v>8</v>
      </c>
      <c r="D994">
        <v>10</v>
      </c>
      <c r="E994" s="2">
        <v>1.0150462962962964E-2</v>
      </c>
      <c r="F994">
        <v>14.616666666666667</v>
      </c>
    </row>
    <row r="995" spans="1:6" x14ac:dyDescent="0.25">
      <c r="A995" s="1">
        <v>38687</v>
      </c>
      <c r="B995" t="s">
        <v>22</v>
      </c>
      <c r="C995" t="s">
        <v>9</v>
      </c>
      <c r="D995">
        <v>2</v>
      </c>
      <c r="E995" s="2">
        <v>2.2222222222222222E-3</v>
      </c>
      <c r="F995">
        <v>3.2</v>
      </c>
    </row>
    <row r="996" spans="1:6" x14ac:dyDescent="0.25">
      <c r="A996" s="1">
        <v>38687</v>
      </c>
      <c r="B996" t="s">
        <v>22</v>
      </c>
      <c r="C996" t="s">
        <v>10</v>
      </c>
      <c r="D996">
        <v>2</v>
      </c>
      <c r="E996" s="2">
        <v>1.0532407407407407E-3</v>
      </c>
      <c r="F996">
        <v>1.5166666666666666</v>
      </c>
    </row>
    <row r="997" spans="1:6" x14ac:dyDescent="0.25">
      <c r="A997" s="1">
        <v>38687</v>
      </c>
      <c r="B997" t="s">
        <v>22</v>
      </c>
      <c r="C997" t="s">
        <v>11</v>
      </c>
      <c r="D997">
        <v>6</v>
      </c>
      <c r="E997" s="2">
        <v>4.178240740740741E-3</v>
      </c>
      <c r="F997">
        <v>6.0166666666666666</v>
      </c>
    </row>
    <row r="998" spans="1:6" x14ac:dyDescent="0.25">
      <c r="A998" s="1">
        <v>38687</v>
      </c>
      <c r="B998" t="s">
        <v>23</v>
      </c>
      <c r="C998" t="s">
        <v>6</v>
      </c>
      <c r="D998">
        <v>186</v>
      </c>
      <c r="E998" s="2">
        <v>0.2028587962962963</v>
      </c>
      <c r="F998">
        <v>292.11666666666667</v>
      </c>
    </row>
    <row r="999" spans="1:6" x14ac:dyDescent="0.25">
      <c r="A999" s="1">
        <v>38687</v>
      </c>
      <c r="B999" t="s">
        <v>23</v>
      </c>
      <c r="C999" t="s">
        <v>7</v>
      </c>
      <c r="D999">
        <v>166</v>
      </c>
      <c r="E999" s="2">
        <v>0.18870370370370371</v>
      </c>
      <c r="F999">
        <v>271.73333333333335</v>
      </c>
    </row>
    <row r="1000" spans="1:6" x14ac:dyDescent="0.25">
      <c r="A1000" s="1">
        <v>38687</v>
      </c>
      <c r="B1000" t="s">
        <v>23</v>
      </c>
      <c r="C1000" t="s">
        <v>8</v>
      </c>
      <c r="D1000">
        <v>104</v>
      </c>
      <c r="E1000" s="2">
        <v>0.11965277777777777</v>
      </c>
      <c r="F1000">
        <v>172.3</v>
      </c>
    </row>
    <row r="1001" spans="1:6" x14ac:dyDescent="0.25">
      <c r="A1001" s="1">
        <v>38687</v>
      </c>
      <c r="B1001" t="s">
        <v>23</v>
      </c>
      <c r="C1001" t="s">
        <v>9</v>
      </c>
      <c r="D1001">
        <v>38</v>
      </c>
      <c r="E1001" s="2">
        <v>3.1273148148148147E-2</v>
      </c>
      <c r="F1001">
        <v>45.033333333333331</v>
      </c>
    </row>
    <row r="1002" spans="1:6" x14ac:dyDescent="0.25">
      <c r="A1002" s="1">
        <v>38687</v>
      </c>
      <c r="B1002" t="s">
        <v>23</v>
      </c>
      <c r="C1002" t="s">
        <v>10</v>
      </c>
      <c r="D1002">
        <v>56</v>
      </c>
      <c r="E1002" s="2">
        <v>6.9259259259259257E-2</v>
      </c>
      <c r="F1002">
        <v>99.733333333333334</v>
      </c>
    </row>
    <row r="1003" spans="1:6" x14ac:dyDescent="0.25">
      <c r="A1003" s="1">
        <v>38687</v>
      </c>
      <c r="B1003" t="s">
        <v>23</v>
      </c>
      <c r="C1003" t="s">
        <v>11</v>
      </c>
      <c r="D1003">
        <v>60</v>
      </c>
      <c r="E1003" s="2">
        <v>4.5775462962962962E-2</v>
      </c>
      <c r="F1003">
        <v>65.916666666666671</v>
      </c>
    </row>
    <row r="1004" spans="1:6" x14ac:dyDescent="0.25">
      <c r="A1004" s="1">
        <v>38687</v>
      </c>
      <c r="B1004" t="s">
        <v>24</v>
      </c>
      <c r="C1004" t="s">
        <v>6</v>
      </c>
      <c r="D1004">
        <v>29</v>
      </c>
      <c r="E1004" s="2">
        <v>2.6932870370370371E-2</v>
      </c>
      <c r="F1004">
        <v>38.783333333333331</v>
      </c>
    </row>
    <row r="1005" spans="1:6" x14ac:dyDescent="0.25">
      <c r="A1005" s="1">
        <v>38687</v>
      </c>
      <c r="B1005" t="s">
        <v>24</v>
      </c>
      <c r="C1005" t="s">
        <v>7</v>
      </c>
      <c r="D1005">
        <v>27</v>
      </c>
      <c r="E1005" s="2">
        <v>2.357638888888889E-2</v>
      </c>
      <c r="F1005">
        <v>33.950000000000003</v>
      </c>
    </row>
    <row r="1006" spans="1:6" x14ac:dyDescent="0.25">
      <c r="A1006" s="1">
        <v>38687</v>
      </c>
      <c r="B1006" t="s">
        <v>24</v>
      </c>
      <c r="C1006" t="s">
        <v>8</v>
      </c>
      <c r="D1006">
        <v>21</v>
      </c>
      <c r="E1006" s="2">
        <v>2.1111111111111112E-2</v>
      </c>
      <c r="F1006">
        <v>30.4</v>
      </c>
    </row>
    <row r="1007" spans="1:6" x14ac:dyDescent="0.25">
      <c r="A1007" s="1">
        <v>38687</v>
      </c>
      <c r="B1007" t="s">
        <v>24</v>
      </c>
      <c r="C1007" t="s">
        <v>9</v>
      </c>
      <c r="D1007">
        <v>5</v>
      </c>
      <c r="E1007" s="2">
        <v>4.340277777777778E-3</v>
      </c>
      <c r="F1007">
        <v>6.25</v>
      </c>
    </row>
    <row r="1008" spans="1:6" x14ac:dyDescent="0.25">
      <c r="A1008" s="1">
        <v>38687</v>
      </c>
      <c r="B1008" t="s">
        <v>24</v>
      </c>
      <c r="C1008" t="s">
        <v>10</v>
      </c>
      <c r="D1008">
        <v>2</v>
      </c>
      <c r="E1008" s="2">
        <v>4.9768518518518521E-4</v>
      </c>
      <c r="F1008">
        <v>0.71666666666666667</v>
      </c>
    </row>
    <row r="1009" spans="1:6" x14ac:dyDescent="0.25">
      <c r="A1009" s="1">
        <v>38687</v>
      </c>
      <c r="B1009" t="s">
        <v>24</v>
      </c>
      <c r="C1009" t="s">
        <v>11</v>
      </c>
      <c r="D1009">
        <v>26</v>
      </c>
      <c r="E1009" s="2">
        <v>1.5520833333333333E-2</v>
      </c>
      <c r="F1009">
        <v>22.35</v>
      </c>
    </row>
    <row r="1010" spans="1:6" x14ac:dyDescent="0.25">
      <c r="A1010" s="1">
        <v>38718</v>
      </c>
      <c r="B1010" t="s">
        <v>5</v>
      </c>
      <c r="C1010" t="s">
        <v>6</v>
      </c>
      <c r="D1010">
        <v>43</v>
      </c>
      <c r="E1010" s="2">
        <v>4.3148148148148151E-2</v>
      </c>
      <c r="F1010">
        <v>62.133333333333333</v>
      </c>
    </row>
    <row r="1011" spans="1:6" x14ac:dyDescent="0.25">
      <c r="A1011" s="1">
        <v>38718</v>
      </c>
      <c r="B1011" t="s">
        <v>5</v>
      </c>
      <c r="C1011" t="s">
        <v>7</v>
      </c>
      <c r="D1011">
        <v>30</v>
      </c>
      <c r="E1011" s="2">
        <v>2.9340277777777778E-2</v>
      </c>
      <c r="F1011">
        <v>42.25</v>
      </c>
    </row>
    <row r="1012" spans="1:6" x14ac:dyDescent="0.25">
      <c r="A1012" s="1">
        <v>38718</v>
      </c>
      <c r="B1012" t="s">
        <v>5</v>
      </c>
      <c r="C1012" t="s">
        <v>8</v>
      </c>
      <c r="D1012">
        <v>21</v>
      </c>
      <c r="E1012" s="2">
        <v>1.6099537037037037E-2</v>
      </c>
      <c r="F1012">
        <v>23.183333333333334</v>
      </c>
    </row>
    <row r="1013" spans="1:6" x14ac:dyDescent="0.25">
      <c r="A1013" s="1">
        <v>38718</v>
      </c>
      <c r="B1013" t="s">
        <v>5</v>
      </c>
      <c r="C1013" t="s">
        <v>9</v>
      </c>
      <c r="D1013">
        <v>6</v>
      </c>
      <c r="E1013" s="2">
        <v>4.8495370370370368E-3</v>
      </c>
      <c r="F1013">
        <v>6.9833333333333334</v>
      </c>
    </row>
    <row r="1014" spans="1:6" x14ac:dyDescent="0.25">
      <c r="A1014" s="1">
        <v>38718</v>
      </c>
      <c r="B1014" t="s">
        <v>5</v>
      </c>
      <c r="C1014" t="s">
        <v>10</v>
      </c>
      <c r="D1014">
        <v>7</v>
      </c>
      <c r="E1014" s="2">
        <v>3.9120370370370368E-3</v>
      </c>
      <c r="F1014">
        <v>5.6333333333333329</v>
      </c>
    </row>
    <row r="1015" spans="1:6" x14ac:dyDescent="0.25">
      <c r="A1015" s="1">
        <v>38718</v>
      </c>
      <c r="B1015" t="s">
        <v>5</v>
      </c>
      <c r="C1015" t="s">
        <v>11</v>
      </c>
      <c r="D1015">
        <v>20</v>
      </c>
      <c r="E1015" s="2">
        <v>1.53125E-2</v>
      </c>
      <c r="F1015">
        <v>22.05</v>
      </c>
    </row>
    <row r="1016" spans="1:6" x14ac:dyDescent="0.25">
      <c r="A1016" s="1">
        <v>38718</v>
      </c>
      <c r="B1016" t="s">
        <v>12</v>
      </c>
      <c r="C1016" t="s">
        <v>6</v>
      </c>
      <c r="D1016">
        <v>52</v>
      </c>
      <c r="E1016" s="2">
        <v>5.8611111111111114E-2</v>
      </c>
      <c r="F1016">
        <v>84.4</v>
      </c>
    </row>
    <row r="1017" spans="1:6" x14ac:dyDescent="0.25">
      <c r="A1017" s="1">
        <v>38718</v>
      </c>
      <c r="B1017" t="s">
        <v>12</v>
      </c>
      <c r="C1017" t="s">
        <v>7</v>
      </c>
      <c r="D1017">
        <v>63</v>
      </c>
      <c r="E1017" s="2">
        <v>7.6932870370370374E-2</v>
      </c>
      <c r="F1017">
        <v>110.78333333333333</v>
      </c>
    </row>
    <row r="1018" spans="1:6" x14ac:dyDescent="0.25">
      <c r="A1018" s="1">
        <v>38718</v>
      </c>
      <c r="B1018" t="s">
        <v>12</v>
      </c>
      <c r="C1018" t="s">
        <v>8</v>
      </c>
      <c r="D1018">
        <v>38</v>
      </c>
      <c r="E1018" s="2">
        <v>4.9444444444444444E-2</v>
      </c>
      <c r="F1018">
        <v>71.2</v>
      </c>
    </row>
    <row r="1019" spans="1:6" x14ac:dyDescent="0.25">
      <c r="A1019" s="1">
        <v>38718</v>
      </c>
      <c r="B1019" t="s">
        <v>12</v>
      </c>
      <c r="C1019" t="s">
        <v>9</v>
      </c>
      <c r="D1019">
        <v>11</v>
      </c>
      <c r="E1019" s="2">
        <v>1.1018518518518518E-2</v>
      </c>
      <c r="F1019">
        <v>15.866666666666667</v>
      </c>
    </row>
    <row r="1020" spans="1:6" x14ac:dyDescent="0.25">
      <c r="A1020" s="1">
        <v>38718</v>
      </c>
      <c r="B1020" t="s">
        <v>12</v>
      </c>
      <c r="C1020" t="s">
        <v>10</v>
      </c>
      <c r="D1020">
        <v>4</v>
      </c>
      <c r="E1020" s="2">
        <v>4.9652777777777777E-3</v>
      </c>
      <c r="F1020">
        <v>7.15</v>
      </c>
    </row>
    <row r="1021" spans="1:6" x14ac:dyDescent="0.25">
      <c r="A1021" s="1">
        <v>38718</v>
      </c>
      <c r="B1021" t="s">
        <v>12</v>
      </c>
      <c r="C1021" t="s">
        <v>11</v>
      </c>
      <c r="D1021">
        <v>33</v>
      </c>
      <c r="E1021" s="2">
        <v>2.9837962962962962E-2</v>
      </c>
      <c r="F1021">
        <v>42.966666666666669</v>
      </c>
    </row>
    <row r="1022" spans="1:6" x14ac:dyDescent="0.25">
      <c r="A1022" s="1">
        <v>38718</v>
      </c>
      <c r="B1022" t="s">
        <v>13</v>
      </c>
      <c r="C1022" t="s">
        <v>6</v>
      </c>
      <c r="D1022">
        <v>47</v>
      </c>
      <c r="E1022" s="2">
        <v>5.3553240740740742E-2</v>
      </c>
      <c r="F1022">
        <v>77.11666666666666</v>
      </c>
    </row>
    <row r="1023" spans="1:6" x14ac:dyDescent="0.25">
      <c r="A1023" s="1">
        <v>38718</v>
      </c>
      <c r="B1023" t="s">
        <v>13</v>
      </c>
      <c r="C1023" t="s">
        <v>7</v>
      </c>
      <c r="D1023">
        <v>39</v>
      </c>
      <c r="E1023" s="2">
        <v>4.9456018518518517E-2</v>
      </c>
      <c r="F1023">
        <v>71.216666666666669</v>
      </c>
    </row>
    <row r="1024" spans="1:6" x14ac:dyDescent="0.25">
      <c r="A1024" s="1">
        <v>38718</v>
      </c>
      <c r="B1024" t="s">
        <v>13</v>
      </c>
      <c r="C1024" t="s">
        <v>8</v>
      </c>
      <c r="D1024">
        <v>26</v>
      </c>
      <c r="E1024" s="2">
        <v>2.929398148148148E-2</v>
      </c>
      <c r="F1024">
        <v>42.18333333333333</v>
      </c>
    </row>
    <row r="1025" spans="1:6" x14ac:dyDescent="0.25">
      <c r="A1025" s="1">
        <v>38718</v>
      </c>
      <c r="B1025" t="s">
        <v>13</v>
      </c>
      <c r="C1025" t="s">
        <v>9</v>
      </c>
      <c r="D1025">
        <v>8</v>
      </c>
      <c r="E1025" s="2">
        <v>7.3263888888888892E-3</v>
      </c>
      <c r="F1025">
        <v>10.55</v>
      </c>
    </row>
    <row r="1026" spans="1:6" x14ac:dyDescent="0.25">
      <c r="A1026" s="1">
        <v>38718</v>
      </c>
      <c r="B1026" t="s">
        <v>13</v>
      </c>
      <c r="C1026" t="s">
        <v>10</v>
      </c>
      <c r="D1026">
        <v>20</v>
      </c>
      <c r="E1026" s="2">
        <v>1.6435185185185185E-2</v>
      </c>
      <c r="F1026">
        <v>23.666666666666668</v>
      </c>
    </row>
    <row r="1027" spans="1:6" x14ac:dyDescent="0.25">
      <c r="A1027" s="1">
        <v>38718</v>
      </c>
      <c r="B1027" t="s">
        <v>13</v>
      </c>
      <c r="C1027" t="s">
        <v>11</v>
      </c>
      <c r="D1027">
        <v>15</v>
      </c>
      <c r="E1027" s="2">
        <v>1.2465277777777778E-2</v>
      </c>
      <c r="F1027">
        <v>17.95</v>
      </c>
    </row>
    <row r="1028" spans="1:6" x14ac:dyDescent="0.25">
      <c r="A1028" s="1">
        <v>38718</v>
      </c>
      <c r="B1028" t="s">
        <v>14</v>
      </c>
      <c r="C1028" t="s">
        <v>6</v>
      </c>
      <c r="D1028">
        <v>26</v>
      </c>
      <c r="E1028" s="2">
        <v>3.0891203703703702E-2</v>
      </c>
      <c r="F1028">
        <v>44.483333333333334</v>
      </c>
    </row>
    <row r="1029" spans="1:6" x14ac:dyDescent="0.25">
      <c r="A1029" s="1">
        <v>38718</v>
      </c>
      <c r="B1029" t="s">
        <v>14</v>
      </c>
      <c r="C1029" t="s">
        <v>7</v>
      </c>
      <c r="D1029">
        <v>12</v>
      </c>
      <c r="E1029" s="2">
        <v>1.2638888888888889E-2</v>
      </c>
      <c r="F1029">
        <v>18.2</v>
      </c>
    </row>
    <row r="1030" spans="1:6" x14ac:dyDescent="0.25">
      <c r="A1030" s="1">
        <v>38718</v>
      </c>
      <c r="B1030" t="s">
        <v>14</v>
      </c>
      <c r="C1030" t="s">
        <v>8</v>
      </c>
      <c r="D1030">
        <v>7</v>
      </c>
      <c r="E1030" s="2">
        <v>9.5138888888888894E-3</v>
      </c>
      <c r="F1030">
        <v>13.7</v>
      </c>
    </row>
    <row r="1031" spans="1:6" x14ac:dyDescent="0.25">
      <c r="A1031" s="1">
        <v>38718</v>
      </c>
      <c r="B1031" t="s">
        <v>14</v>
      </c>
      <c r="C1031" t="s">
        <v>9</v>
      </c>
      <c r="D1031">
        <v>4</v>
      </c>
      <c r="E1031" s="2">
        <v>3.9351851851851848E-3</v>
      </c>
      <c r="F1031">
        <v>5.666666666666667</v>
      </c>
    </row>
    <row r="1032" spans="1:6" x14ac:dyDescent="0.25">
      <c r="A1032" s="1">
        <v>38718</v>
      </c>
      <c r="B1032" t="s">
        <v>14</v>
      </c>
      <c r="C1032" t="s">
        <v>10</v>
      </c>
      <c r="D1032">
        <v>2</v>
      </c>
      <c r="E1032" s="2">
        <v>4.2361111111111115E-3</v>
      </c>
      <c r="F1032">
        <v>6.1</v>
      </c>
    </row>
    <row r="1033" spans="1:6" x14ac:dyDescent="0.25">
      <c r="A1033" s="1">
        <v>38718</v>
      </c>
      <c r="B1033" t="s">
        <v>14</v>
      </c>
      <c r="C1033" t="s">
        <v>11</v>
      </c>
      <c r="D1033">
        <v>5</v>
      </c>
      <c r="E1033" s="2">
        <v>6.1689814814814819E-3</v>
      </c>
      <c r="F1033">
        <v>8.8833333333333329</v>
      </c>
    </row>
    <row r="1034" spans="1:6" x14ac:dyDescent="0.25">
      <c r="A1034" s="1">
        <v>38718</v>
      </c>
      <c r="B1034" t="s">
        <v>15</v>
      </c>
      <c r="C1034" t="s">
        <v>6</v>
      </c>
      <c r="D1034">
        <v>42</v>
      </c>
      <c r="E1034" s="2">
        <v>4.4224537037037034E-2</v>
      </c>
      <c r="F1034">
        <v>63.68333333333333</v>
      </c>
    </row>
    <row r="1035" spans="1:6" x14ac:dyDescent="0.25">
      <c r="A1035" s="1">
        <v>38718</v>
      </c>
      <c r="B1035" t="s">
        <v>15</v>
      </c>
      <c r="C1035" t="s">
        <v>7</v>
      </c>
      <c r="D1035">
        <v>46</v>
      </c>
      <c r="E1035" s="2">
        <v>3.9745370370370368E-2</v>
      </c>
      <c r="F1035">
        <v>57.233333333333334</v>
      </c>
    </row>
    <row r="1036" spans="1:6" x14ac:dyDescent="0.25">
      <c r="A1036" s="1">
        <v>38718</v>
      </c>
      <c r="B1036" t="s">
        <v>15</v>
      </c>
      <c r="C1036" t="s">
        <v>8</v>
      </c>
      <c r="D1036">
        <v>24</v>
      </c>
      <c r="E1036" s="2">
        <v>2.5520833333333333E-2</v>
      </c>
      <c r="F1036">
        <v>36.75</v>
      </c>
    </row>
    <row r="1037" spans="1:6" x14ac:dyDescent="0.25">
      <c r="A1037" s="1">
        <v>38718</v>
      </c>
      <c r="B1037" t="s">
        <v>15</v>
      </c>
      <c r="C1037" t="s">
        <v>9</v>
      </c>
      <c r="D1037">
        <v>4</v>
      </c>
      <c r="E1037" s="2">
        <v>3.2291666666666666E-3</v>
      </c>
      <c r="F1037">
        <v>4.6500000000000004</v>
      </c>
    </row>
    <row r="1038" spans="1:6" x14ac:dyDescent="0.25">
      <c r="A1038" s="1">
        <v>38718</v>
      </c>
      <c r="B1038" t="s">
        <v>15</v>
      </c>
      <c r="C1038" t="s">
        <v>10</v>
      </c>
      <c r="D1038">
        <v>8</v>
      </c>
      <c r="E1038" s="2">
        <v>2.6041666666666665E-3</v>
      </c>
      <c r="F1038">
        <v>3.75</v>
      </c>
    </row>
    <row r="1039" spans="1:6" x14ac:dyDescent="0.25">
      <c r="A1039" s="1">
        <v>38718</v>
      </c>
      <c r="B1039" t="s">
        <v>15</v>
      </c>
      <c r="C1039" t="s">
        <v>11</v>
      </c>
      <c r="D1039">
        <v>15</v>
      </c>
      <c r="E1039" s="2">
        <v>8.6226851851851846E-3</v>
      </c>
      <c r="F1039">
        <v>12.416666666666666</v>
      </c>
    </row>
    <row r="1040" spans="1:6" x14ac:dyDescent="0.25">
      <c r="A1040" s="1">
        <v>38718</v>
      </c>
      <c r="B1040" t="s">
        <v>16</v>
      </c>
      <c r="C1040" t="s">
        <v>6</v>
      </c>
      <c r="D1040">
        <v>31</v>
      </c>
      <c r="E1040" s="2">
        <v>3.9780092592592596E-2</v>
      </c>
      <c r="F1040">
        <v>57.283333333333331</v>
      </c>
    </row>
    <row r="1041" spans="1:6" x14ac:dyDescent="0.25">
      <c r="A1041" s="1">
        <v>38718</v>
      </c>
      <c r="B1041" t="s">
        <v>16</v>
      </c>
      <c r="C1041" t="s">
        <v>7</v>
      </c>
      <c r="D1041">
        <v>32</v>
      </c>
      <c r="E1041" s="2">
        <v>4.1215277777777781E-2</v>
      </c>
      <c r="F1041">
        <v>59.35</v>
      </c>
    </row>
    <row r="1042" spans="1:6" x14ac:dyDescent="0.25">
      <c r="A1042" s="1">
        <v>38718</v>
      </c>
      <c r="B1042" t="s">
        <v>16</v>
      </c>
      <c r="C1042" t="s">
        <v>8</v>
      </c>
      <c r="D1042">
        <v>20</v>
      </c>
      <c r="E1042" s="2">
        <v>2.0868055555555556E-2</v>
      </c>
      <c r="F1042">
        <v>30.05</v>
      </c>
    </row>
    <row r="1043" spans="1:6" x14ac:dyDescent="0.25">
      <c r="A1043" s="1">
        <v>38718</v>
      </c>
      <c r="B1043" t="s">
        <v>16</v>
      </c>
      <c r="C1043" t="s">
        <v>9</v>
      </c>
      <c r="D1043">
        <v>6</v>
      </c>
      <c r="E1043" s="2">
        <v>4.9884259259259257E-3</v>
      </c>
      <c r="F1043">
        <v>7.1833333333333336</v>
      </c>
    </row>
    <row r="1044" spans="1:6" x14ac:dyDescent="0.25">
      <c r="A1044" s="1">
        <v>38718</v>
      </c>
      <c r="B1044" t="s">
        <v>16</v>
      </c>
      <c r="C1044" t="s">
        <v>10</v>
      </c>
      <c r="D1044">
        <v>2</v>
      </c>
      <c r="E1044" s="2">
        <v>1.7824074074074075E-3</v>
      </c>
      <c r="F1044">
        <v>2.5666666666666664</v>
      </c>
    </row>
    <row r="1045" spans="1:6" x14ac:dyDescent="0.25">
      <c r="A1045" s="1">
        <v>38718</v>
      </c>
      <c r="B1045" t="s">
        <v>16</v>
      </c>
      <c r="C1045" t="s">
        <v>11</v>
      </c>
      <c r="D1045">
        <v>18</v>
      </c>
      <c r="E1045" s="2">
        <v>1.6608796296296295E-2</v>
      </c>
      <c r="F1045">
        <v>23.916666666666668</v>
      </c>
    </row>
    <row r="1046" spans="1:6" x14ac:dyDescent="0.25">
      <c r="A1046" s="1">
        <v>38718</v>
      </c>
      <c r="B1046" t="s">
        <v>17</v>
      </c>
      <c r="C1046" t="s">
        <v>6</v>
      </c>
      <c r="D1046">
        <v>10</v>
      </c>
      <c r="E1046" s="2">
        <v>1.5648148148148147E-2</v>
      </c>
      <c r="F1046">
        <v>22.533333333333335</v>
      </c>
    </row>
    <row r="1047" spans="1:6" x14ac:dyDescent="0.25">
      <c r="A1047" s="1">
        <v>38718</v>
      </c>
      <c r="B1047" t="s">
        <v>17</v>
      </c>
      <c r="C1047" t="s">
        <v>7</v>
      </c>
      <c r="D1047">
        <v>10</v>
      </c>
      <c r="E1047" s="2">
        <v>1.443287037037037E-2</v>
      </c>
      <c r="F1047">
        <v>20.783333333333335</v>
      </c>
    </row>
    <row r="1048" spans="1:6" x14ac:dyDescent="0.25">
      <c r="A1048" s="1">
        <v>38718</v>
      </c>
      <c r="B1048" t="s">
        <v>17</v>
      </c>
      <c r="C1048" t="s">
        <v>8</v>
      </c>
      <c r="D1048">
        <v>11</v>
      </c>
      <c r="E1048" s="2">
        <v>1.3599537037037037E-2</v>
      </c>
      <c r="F1048">
        <v>19.583333333333332</v>
      </c>
    </row>
    <row r="1049" spans="1:6" x14ac:dyDescent="0.25">
      <c r="A1049" s="1">
        <v>38718</v>
      </c>
      <c r="B1049" t="s">
        <v>17</v>
      </c>
      <c r="C1049" t="s">
        <v>9</v>
      </c>
      <c r="D1049">
        <v>6</v>
      </c>
      <c r="E1049" s="2">
        <v>6.3888888888888893E-3</v>
      </c>
      <c r="F1049">
        <v>9.1999999999999993</v>
      </c>
    </row>
    <row r="1050" spans="1:6" x14ac:dyDescent="0.25">
      <c r="A1050" s="1">
        <v>38718</v>
      </c>
      <c r="B1050" t="s">
        <v>17</v>
      </c>
      <c r="C1050" t="s">
        <v>10</v>
      </c>
      <c r="D1050">
        <v>4</v>
      </c>
      <c r="E1050" s="2">
        <v>3.2175925925925926E-3</v>
      </c>
      <c r="F1050">
        <v>4.6333333333333329</v>
      </c>
    </row>
    <row r="1051" spans="1:6" x14ac:dyDescent="0.25">
      <c r="A1051" s="1">
        <v>38718</v>
      </c>
      <c r="B1051" t="s">
        <v>17</v>
      </c>
      <c r="C1051" t="s">
        <v>11</v>
      </c>
      <c r="D1051">
        <v>2</v>
      </c>
      <c r="E1051" s="2">
        <v>2.2337962962962962E-3</v>
      </c>
      <c r="F1051">
        <v>3.2166666666666668</v>
      </c>
    </row>
    <row r="1052" spans="1:6" x14ac:dyDescent="0.25">
      <c r="A1052" s="1">
        <v>38718</v>
      </c>
      <c r="B1052" t="s">
        <v>18</v>
      </c>
      <c r="C1052" t="s">
        <v>6</v>
      </c>
      <c r="D1052">
        <v>79</v>
      </c>
      <c r="E1052" s="2">
        <v>7.9791666666666664E-2</v>
      </c>
      <c r="F1052">
        <v>114.9</v>
      </c>
    </row>
    <row r="1053" spans="1:6" x14ac:dyDescent="0.25">
      <c r="A1053" s="1">
        <v>38718</v>
      </c>
      <c r="B1053" t="s">
        <v>18</v>
      </c>
      <c r="C1053" t="s">
        <v>7</v>
      </c>
      <c r="D1053">
        <v>88</v>
      </c>
      <c r="E1053" s="2">
        <v>9.644675925925926E-2</v>
      </c>
      <c r="F1053">
        <v>138.88333333333333</v>
      </c>
    </row>
    <row r="1054" spans="1:6" x14ac:dyDescent="0.25">
      <c r="A1054" s="1">
        <v>38718</v>
      </c>
      <c r="B1054" t="s">
        <v>18</v>
      </c>
      <c r="C1054" t="s">
        <v>8</v>
      </c>
      <c r="D1054">
        <v>79</v>
      </c>
      <c r="E1054" s="2">
        <v>9.302083333333333E-2</v>
      </c>
      <c r="F1054">
        <v>133.94999999999999</v>
      </c>
    </row>
    <row r="1055" spans="1:6" x14ac:dyDescent="0.25">
      <c r="A1055" s="1">
        <v>38718</v>
      </c>
      <c r="B1055" t="s">
        <v>18</v>
      </c>
      <c r="C1055" t="s">
        <v>9</v>
      </c>
      <c r="D1055">
        <v>31</v>
      </c>
      <c r="E1055" s="2">
        <v>3.215277777777778E-2</v>
      </c>
      <c r="F1055">
        <v>46.3</v>
      </c>
    </row>
    <row r="1056" spans="1:6" x14ac:dyDescent="0.25">
      <c r="A1056" s="1">
        <v>38718</v>
      </c>
      <c r="B1056" t="s">
        <v>18</v>
      </c>
      <c r="C1056" t="s">
        <v>10</v>
      </c>
      <c r="D1056">
        <v>138</v>
      </c>
      <c r="E1056" s="2">
        <v>0.13150462962962964</v>
      </c>
      <c r="F1056">
        <v>189.36666666666667</v>
      </c>
    </row>
    <row r="1057" spans="1:6" x14ac:dyDescent="0.25">
      <c r="A1057" s="1">
        <v>38718</v>
      </c>
      <c r="B1057" t="s">
        <v>18</v>
      </c>
      <c r="C1057" t="s">
        <v>11</v>
      </c>
      <c r="D1057">
        <v>28</v>
      </c>
      <c r="E1057" s="2">
        <v>2.1736111111111112E-2</v>
      </c>
      <c r="F1057">
        <v>31.3</v>
      </c>
    </row>
    <row r="1058" spans="1:6" x14ac:dyDescent="0.25">
      <c r="A1058" s="1">
        <v>38718</v>
      </c>
      <c r="B1058" t="s">
        <v>19</v>
      </c>
      <c r="C1058" t="s">
        <v>6</v>
      </c>
      <c r="D1058">
        <v>54</v>
      </c>
      <c r="E1058" s="2">
        <v>6.4178240740740744E-2</v>
      </c>
      <c r="F1058">
        <v>92.416666666666671</v>
      </c>
    </row>
    <row r="1059" spans="1:6" x14ac:dyDescent="0.25">
      <c r="A1059" s="1">
        <v>38718</v>
      </c>
      <c r="B1059" t="s">
        <v>19</v>
      </c>
      <c r="C1059" t="s">
        <v>7</v>
      </c>
      <c r="D1059">
        <v>38</v>
      </c>
      <c r="E1059" s="2">
        <v>4.3449074074074077E-2</v>
      </c>
      <c r="F1059">
        <v>62.56666666666667</v>
      </c>
    </row>
    <row r="1060" spans="1:6" x14ac:dyDescent="0.25">
      <c r="A1060" s="1">
        <v>38718</v>
      </c>
      <c r="B1060" t="s">
        <v>19</v>
      </c>
      <c r="C1060" t="s">
        <v>8</v>
      </c>
      <c r="D1060">
        <v>34</v>
      </c>
      <c r="E1060" s="2">
        <v>4.3032407407407408E-2</v>
      </c>
      <c r="F1060">
        <v>61.966666666666669</v>
      </c>
    </row>
    <row r="1061" spans="1:6" x14ac:dyDescent="0.25">
      <c r="A1061" s="1">
        <v>38718</v>
      </c>
      <c r="B1061" t="s">
        <v>19</v>
      </c>
      <c r="C1061" t="s">
        <v>9</v>
      </c>
      <c r="D1061">
        <v>18</v>
      </c>
      <c r="E1061" s="2">
        <v>1.5671296296296298E-2</v>
      </c>
      <c r="F1061">
        <v>22.566666666666666</v>
      </c>
    </row>
    <row r="1062" spans="1:6" x14ac:dyDescent="0.25">
      <c r="A1062" s="1">
        <v>38718</v>
      </c>
      <c r="B1062" t="s">
        <v>19</v>
      </c>
      <c r="C1062" t="s">
        <v>10</v>
      </c>
      <c r="D1062">
        <v>23</v>
      </c>
      <c r="E1062" s="2">
        <v>1.1261574074074075E-2</v>
      </c>
      <c r="F1062">
        <v>16.216666666666665</v>
      </c>
    </row>
    <row r="1063" spans="1:6" x14ac:dyDescent="0.25">
      <c r="A1063" s="1">
        <v>38718</v>
      </c>
      <c r="B1063" t="s">
        <v>19</v>
      </c>
      <c r="C1063" t="s">
        <v>11</v>
      </c>
      <c r="D1063">
        <v>28</v>
      </c>
      <c r="E1063" s="2">
        <v>2.1597222222222223E-2</v>
      </c>
      <c r="F1063">
        <v>31.1</v>
      </c>
    </row>
    <row r="1064" spans="1:6" x14ac:dyDescent="0.25">
      <c r="A1064" s="1">
        <v>38718</v>
      </c>
      <c r="B1064" t="s">
        <v>20</v>
      </c>
      <c r="C1064" t="s">
        <v>6</v>
      </c>
      <c r="D1064">
        <v>26</v>
      </c>
      <c r="E1064" s="2">
        <v>2.4837962962962964E-2</v>
      </c>
      <c r="F1064">
        <v>35.766666666666666</v>
      </c>
    </row>
    <row r="1065" spans="1:6" x14ac:dyDescent="0.25">
      <c r="A1065" s="1">
        <v>38718</v>
      </c>
      <c r="B1065" t="s">
        <v>20</v>
      </c>
      <c r="C1065" t="s">
        <v>7</v>
      </c>
      <c r="D1065">
        <v>28</v>
      </c>
      <c r="E1065" s="2">
        <v>2.9664351851851851E-2</v>
      </c>
      <c r="F1065">
        <v>42.716666666666669</v>
      </c>
    </row>
    <row r="1066" spans="1:6" x14ac:dyDescent="0.25">
      <c r="A1066" s="1">
        <v>38718</v>
      </c>
      <c r="B1066" t="s">
        <v>20</v>
      </c>
      <c r="C1066" t="s">
        <v>8</v>
      </c>
      <c r="D1066">
        <v>26</v>
      </c>
      <c r="E1066" s="2">
        <v>3.2986111111111112E-2</v>
      </c>
      <c r="F1066">
        <v>47.5</v>
      </c>
    </row>
    <row r="1067" spans="1:6" x14ac:dyDescent="0.25">
      <c r="A1067" s="1">
        <v>38718</v>
      </c>
      <c r="B1067" t="s">
        <v>20</v>
      </c>
      <c r="C1067" t="s">
        <v>9</v>
      </c>
      <c r="D1067">
        <v>11</v>
      </c>
      <c r="E1067" s="2">
        <v>1.0127314814814815E-2</v>
      </c>
      <c r="F1067">
        <v>14.583333333333334</v>
      </c>
    </row>
    <row r="1068" spans="1:6" x14ac:dyDescent="0.25">
      <c r="A1068" s="1">
        <v>38718</v>
      </c>
      <c r="B1068" t="s">
        <v>20</v>
      </c>
      <c r="C1068" t="s">
        <v>10</v>
      </c>
      <c r="D1068">
        <v>20</v>
      </c>
      <c r="E1068" s="2">
        <v>2.7453703703703702E-2</v>
      </c>
      <c r="F1068">
        <v>39.533333333333331</v>
      </c>
    </row>
    <row r="1069" spans="1:6" x14ac:dyDescent="0.25">
      <c r="A1069" s="1">
        <v>38718</v>
      </c>
      <c r="B1069" t="s">
        <v>20</v>
      </c>
      <c r="C1069" t="s">
        <v>11</v>
      </c>
      <c r="D1069">
        <v>10</v>
      </c>
      <c r="E1069" s="2">
        <v>9.5138888888888894E-3</v>
      </c>
      <c r="F1069">
        <v>13.7</v>
      </c>
    </row>
    <row r="1070" spans="1:6" x14ac:dyDescent="0.25">
      <c r="A1070" s="1">
        <v>38718</v>
      </c>
      <c r="B1070" t="s">
        <v>21</v>
      </c>
      <c r="C1070" t="s">
        <v>6</v>
      </c>
      <c r="D1070">
        <v>50</v>
      </c>
      <c r="E1070" s="2">
        <v>6.0787037037037035E-2</v>
      </c>
      <c r="F1070">
        <v>87.533333333333331</v>
      </c>
    </row>
    <row r="1071" spans="1:6" x14ac:dyDescent="0.25">
      <c r="A1071" s="1">
        <v>38718</v>
      </c>
      <c r="B1071" t="s">
        <v>21</v>
      </c>
      <c r="C1071" t="s">
        <v>7</v>
      </c>
      <c r="D1071">
        <v>42</v>
      </c>
      <c r="E1071" s="2">
        <v>4.7939814814814817E-2</v>
      </c>
      <c r="F1071">
        <v>69.033333333333331</v>
      </c>
    </row>
    <row r="1072" spans="1:6" x14ac:dyDescent="0.25">
      <c r="A1072" s="1">
        <v>38718</v>
      </c>
      <c r="B1072" t="s">
        <v>21</v>
      </c>
      <c r="C1072" t="s">
        <v>8</v>
      </c>
      <c r="D1072">
        <v>24</v>
      </c>
      <c r="E1072" s="2">
        <v>2.8912037037037038E-2</v>
      </c>
      <c r="F1072">
        <v>41.633333333333333</v>
      </c>
    </row>
    <row r="1073" spans="1:6" x14ac:dyDescent="0.25">
      <c r="A1073" s="1">
        <v>38718</v>
      </c>
      <c r="B1073" t="s">
        <v>21</v>
      </c>
      <c r="C1073" t="s">
        <v>9</v>
      </c>
      <c r="D1073">
        <v>9</v>
      </c>
      <c r="E1073" s="2">
        <v>7.5347222222222222E-3</v>
      </c>
      <c r="F1073">
        <v>10.85</v>
      </c>
    </row>
    <row r="1074" spans="1:6" x14ac:dyDescent="0.25">
      <c r="A1074" s="1">
        <v>38718</v>
      </c>
      <c r="B1074" t="s">
        <v>21</v>
      </c>
      <c r="C1074" t="s">
        <v>10</v>
      </c>
      <c r="D1074">
        <v>27</v>
      </c>
      <c r="E1074" s="2">
        <v>3.3877314814814811E-2</v>
      </c>
      <c r="F1074">
        <v>48.783333333333331</v>
      </c>
    </row>
    <row r="1075" spans="1:6" x14ac:dyDescent="0.25">
      <c r="A1075" s="1">
        <v>38718</v>
      </c>
      <c r="B1075" t="s">
        <v>21</v>
      </c>
      <c r="C1075" t="s">
        <v>11</v>
      </c>
      <c r="D1075">
        <v>15</v>
      </c>
      <c r="E1075" s="2">
        <v>1.337962962962963E-2</v>
      </c>
      <c r="F1075">
        <v>19.266666666666666</v>
      </c>
    </row>
    <row r="1076" spans="1:6" x14ac:dyDescent="0.25">
      <c r="A1076" s="1">
        <v>38718</v>
      </c>
      <c r="B1076" t="s">
        <v>22</v>
      </c>
      <c r="C1076" t="s">
        <v>6</v>
      </c>
      <c r="D1076">
        <v>22</v>
      </c>
      <c r="E1076" s="2">
        <v>2.3252314814814816E-2</v>
      </c>
      <c r="F1076">
        <v>33.483333333333334</v>
      </c>
    </row>
    <row r="1077" spans="1:6" x14ac:dyDescent="0.25">
      <c r="A1077" s="1">
        <v>38718</v>
      </c>
      <c r="B1077" t="s">
        <v>22</v>
      </c>
      <c r="C1077" t="s">
        <v>7</v>
      </c>
      <c r="D1077">
        <v>17</v>
      </c>
      <c r="E1077" s="2">
        <v>1.800925925925926E-2</v>
      </c>
      <c r="F1077">
        <v>25.933333333333334</v>
      </c>
    </row>
    <row r="1078" spans="1:6" x14ac:dyDescent="0.25">
      <c r="A1078" s="1">
        <v>38718</v>
      </c>
      <c r="B1078" t="s">
        <v>22</v>
      </c>
      <c r="C1078" t="s">
        <v>8</v>
      </c>
      <c r="D1078">
        <v>17</v>
      </c>
      <c r="E1078" s="2">
        <v>1.7418981481481483E-2</v>
      </c>
      <c r="F1078">
        <v>25.083333333333332</v>
      </c>
    </row>
    <row r="1079" spans="1:6" x14ac:dyDescent="0.25">
      <c r="A1079" s="1">
        <v>38718</v>
      </c>
      <c r="B1079" t="s">
        <v>22</v>
      </c>
      <c r="C1079" t="s">
        <v>9</v>
      </c>
      <c r="D1079">
        <v>1</v>
      </c>
      <c r="E1079" s="2">
        <v>1.0416666666666667E-3</v>
      </c>
      <c r="F1079">
        <v>1.5</v>
      </c>
    </row>
    <row r="1080" spans="1:6" x14ac:dyDescent="0.25">
      <c r="A1080" s="1">
        <v>38718</v>
      </c>
      <c r="B1080" t="s">
        <v>22</v>
      </c>
      <c r="C1080" t="s">
        <v>10</v>
      </c>
      <c r="D1080">
        <v>7</v>
      </c>
      <c r="E1080" s="2">
        <v>8.0324074074074082E-3</v>
      </c>
      <c r="F1080">
        <v>11.566666666666666</v>
      </c>
    </row>
    <row r="1081" spans="1:6" x14ac:dyDescent="0.25">
      <c r="A1081" s="1">
        <v>38718</v>
      </c>
      <c r="B1081" t="s">
        <v>22</v>
      </c>
      <c r="C1081" t="s">
        <v>11</v>
      </c>
      <c r="D1081">
        <v>9</v>
      </c>
      <c r="E1081" s="2">
        <v>4.2592592592592595E-3</v>
      </c>
      <c r="F1081">
        <v>6.1333333333333337</v>
      </c>
    </row>
    <row r="1082" spans="1:6" x14ac:dyDescent="0.25">
      <c r="A1082" s="1">
        <v>38718</v>
      </c>
      <c r="B1082" t="s">
        <v>23</v>
      </c>
      <c r="C1082" t="s">
        <v>6</v>
      </c>
      <c r="D1082">
        <v>159</v>
      </c>
      <c r="E1082" s="2">
        <v>0.1708449074074074</v>
      </c>
      <c r="F1082">
        <v>246.01666666666668</v>
      </c>
    </row>
    <row r="1083" spans="1:6" x14ac:dyDescent="0.25">
      <c r="A1083" s="1">
        <v>38718</v>
      </c>
      <c r="B1083" t="s">
        <v>23</v>
      </c>
      <c r="C1083" t="s">
        <v>7</v>
      </c>
      <c r="D1083">
        <v>142</v>
      </c>
      <c r="E1083" s="2">
        <v>0.17489583333333333</v>
      </c>
      <c r="F1083">
        <v>251.85</v>
      </c>
    </row>
    <row r="1084" spans="1:6" x14ac:dyDescent="0.25">
      <c r="A1084" s="1">
        <v>38718</v>
      </c>
      <c r="B1084" t="s">
        <v>23</v>
      </c>
      <c r="C1084" t="s">
        <v>8</v>
      </c>
      <c r="D1084">
        <v>100</v>
      </c>
      <c r="E1084" s="2">
        <v>0.12054398148148149</v>
      </c>
      <c r="F1084">
        <v>173.58333333333334</v>
      </c>
    </row>
    <row r="1085" spans="1:6" x14ac:dyDescent="0.25">
      <c r="A1085" s="1">
        <v>38718</v>
      </c>
      <c r="B1085" t="s">
        <v>23</v>
      </c>
      <c r="C1085" t="s">
        <v>9</v>
      </c>
      <c r="D1085">
        <v>34</v>
      </c>
      <c r="E1085" s="2">
        <v>3.1435185185185184E-2</v>
      </c>
      <c r="F1085">
        <v>45.266666666666666</v>
      </c>
    </row>
    <row r="1086" spans="1:6" x14ac:dyDescent="0.25">
      <c r="A1086" s="1">
        <v>38718</v>
      </c>
      <c r="B1086" t="s">
        <v>23</v>
      </c>
      <c r="C1086" t="s">
        <v>10</v>
      </c>
      <c r="D1086">
        <v>43</v>
      </c>
      <c r="E1086" s="2">
        <v>3.9780092592592596E-2</v>
      </c>
      <c r="F1086">
        <v>57.283333333333331</v>
      </c>
    </row>
    <row r="1087" spans="1:6" x14ac:dyDescent="0.25">
      <c r="A1087" s="1">
        <v>38718</v>
      </c>
      <c r="B1087" t="s">
        <v>23</v>
      </c>
      <c r="C1087" t="s">
        <v>11</v>
      </c>
      <c r="D1087">
        <v>55</v>
      </c>
      <c r="E1087" s="2">
        <v>4.6666666666666669E-2</v>
      </c>
      <c r="F1087">
        <v>67.2</v>
      </c>
    </row>
    <row r="1088" spans="1:6" x14ac:dyDescent="0.25">
      <c r="A1088" s="1">
        <v>38718</v>
      </c>
      <c r="B1088" t="s">
        <v>24</v>
      </c>
      <c r="C1088" t="s">
        <v>6</v>
      </c>
      <c r="D1088">
        <v>40</v>
      </c>
      <c r="E1088" s="2">
        <v>3.5659722222222225E-2</v>
      </c>
      <c r="F1088">
        <v>51.35</v>
      </c>
    </row>
    <row r="1089" spans="1:6" x14ac:dyDescent="0.25">
      <c r="A1089" s="1">
        <v>38718</v>
      </c>
      <c r="B1089" t="s">
        <v>24</v>
      </c>
      <c r="C1089" t="s">
        <v>7</v>
      </c>
      <c r="D1089">
        <v>42</v>
      </c>
      <c r="E1089" s="2">
        <v>3.259259259259259E-2</v>
      </c>
      <c r="F1089">
        <v>46.93333333333333</v>
      </c>
    </row>
    <row r="1090" spans="1:6" x14ac:dyDescent="0.25">
      <c r="A1090" s="1">
        <v>38718</v>
      </c>
      <c r="B1090" t="s">
        <v>24</v>
      </c>
      <c r="C1090" t="s">
        <v>8</v>
      </c>
      <c r="D1090">
        <v>26</v>
      </c>
      <c r="E1090" s="2">
        <v>2.582175925925926E-2</v>
      </c>
      <c r="F1090">
        <v>37.18333333333333</v>
      </c>
    </row>
    <row r="1091" spans="1:6" x14ac:dyDescent="0.25">
      <c r="A1091" s="1">
        <v>38718</v>
      </c>
      <c r="B1091" t="s">
        <v>24</v>
      </c>
      <c r="C1091" t="s">
        <v>9</v>
      </c>
      <c r="D1091">
        <v>5</v>
      </c>
      <c r="E1091" s="2">
        <v>2.9050925925925928E-3</v>
      </c>
      <c r="F1091">
        <v>4.1833333333333336</v>
      </c>
    </row>
    <row r="1092" spans="1:6" x14ac:dyDescent="0.25">
      <c r="A1092" s="1">
        <v>38718</v>
      </c>
      <c r="B1092" t="s">
        <v>24</v>
      </c>
      <c r="C1092" t="s">
        <v>10</v>
      </c>
      <c r="D1092">
        <v>2</v>
      </c>
      <c r="E1092" s="2">
        <v>2.2106481481481482E-3</v>
      </c>
      <c r="F1092">
        <v>3.1833333333333331</v>
      </c>
    </row>
    <row r="1093" spans="1:6" x14ac:dyDescent="0.25">
      <c r="A1093" s="1">
        <v>38718</v>
      </c>
      <c r="B1093" t="s">
        <v>24</v>
      </c>
      <c r="C1093" t="s">
        <v>11</v>
      </c>
      <c r="D1093">
        <v>35</v>
      </c>
      <c r="E1093" s="2">
        <v>2.1886574074074076E-2</v>
      </c>
      <c r="F1093">
        <v>31.516666666666666</v>
      </c>
    </row>
    <row r="1094" spans="1:6" x14ac:dyDescent="0.25">
      <c r="A1094" s="1">
        <v>38749</v>
      </c>
      <c r="B1094" t="s">
        <v>5</v>
      </c>
      <c r="C1094" t="s">
        <v>6</v>
      </c>
      <c r="D1094">
        <v>13</v>
      </c>
      <c r="E1094" s="2">
        <v>1.5081018518518518E-2</v>
      </c>
      <c r="F1094">
        <v>21.716666666666665</v>
      </c>
    </row>
    <row r="1095" spans="1:6" x14ac:dyDescent="0.25">
      <c r="A1095" s="1">
        <v>38749</v>
      </c>
      <c r="B1095" t="s">
        <v>5</v>
      </c>
      <c r="C1095" t="s">
        <v>7</v>
      </c>
      <c r="D1095">
        <v>16</v>
      </c>
      <c r="E1095" s="2">
        <v>1.4328703703703703E-2</v>
      </c>
      <c r="F1095">
        <v>20.633333333333333</v>
      </c>
    </row>
    <row r="1096" spans="1:6" x14ac:dyDescent="0.25">
      <c r="A1096" s="1">
        <v>38749</v>
      </c>
      <c r="B1096" t="s">
        <v>5</v>
      </c>
      <c r="C1096" t="s">
        <v>8</v>
      </c>
      <c r="D1096">
        <v>7</v>
      </c>
      <c r="E1096" s="2">
        <v>5.9375000000000001E-3</v>
      </c>
      <c r="F1096">
        <v>8.5500000000000007</v>
      </c>
    </row>
    <row r="1097" spans="1:6" x14ac:dyDescent="0.25">
      <c r="A1097" s="1">
        <v>38749</v>
      </c>
      <c r="B1097" t="s">
        <v>5</v>
      </c>
      <c r="C1097" t="s">
        <v>9</v>
      </c>
      <c r="D1097">
        <v>5</v>
      </c>
      <c r="E1097" s="2">
        <v>4.9074074074074072E-3</v>
      </c>
      <c r="F1097">
        <v>7.0666666666666664</v>
      </c>
    </row>
    <row r="1098" spans="1:6" x14ac:dyDescent="0.25">
      <c r="A1098" s="1">
        <v>38749</v>
      </c>
      <c r="B1098" t="s">
        <v>5</v>
      </c>
      <c r="C1098" t="s">
        <v>10</v>
      </c>
      <c r="D1098">
        <v>12</v>
      </c>
      <c r="E1098" s="2">
        <v>8.9930555555555562E-3</v>
      </c>
      <c r="F1098">
        <v>12.95</v>
      </c>
    </row>
    <row r="1099" spans="1:6" x14ac:dyDescent="0.25">
      <c r="A1099" s="1">
        <v>38749</v>
      </c>
      <c r="B1099" t="s">
        <v>5</v>
      </c>
      <c r="C1099" t="s">
        <v>11</v>
      </c>
      <c r="D1099">
        <v>13</v>
      </c>
      <c r="E1099" s="2">
        <v>3.9004629629629628E-3</v>
      </c>
      <c r="F1099">
        <v>5.6166666666666671</v>
      </c>
    </row>
    <row r="1100" spans="1:6" x14ac:dyDescent="0.25">
      <c r="A1100" s="1">
        <v>38749</v>
      </c>
      <c r="B1100" t="s">
        <v>12</v>
      </c>
      <c r="C1100" t="s">
        <v>6</v>
      </c>
      <c r="D1100">
        <v>42</v>
      </c>
      <c r="E1100" s="2">
        <v>5.2256944444444446E-2</v>
      </c>
      <c r="F1100">
        <v>75.25</v>
      </c>
    </row>
    <row r="1101" spans="1:6" x14ac:dyDescent="0.25">
      <c r="A1101" s="1">
        <v>38749</v>
      </c>
      <c r="B1101" t="s">
        <v>12</v>
      </c>
      <c r="C1101" t="s">
        <v>7</v>
      </c>
      <c r="D1101">
        <v>47</v>
      </c>
      <c r="E1101" s="2">
        <v>6.5474537037037039E-2</v>
      </c>
      <c r="F1101">
        <v>94.283333333333331</v>
      </c>
    </row>
    <row r="1102" spans="1:6" x14ac:dyDescent="0.25">
      <c r="A1102" s="1">
        <v>38749</v>
      </c>
      <c r="B1102" t="s">
        <v>12</v>
      </c>
      <c r="C1102" t="s">
        <v>8</v>
      </c>
      <c r="D1102">
        <v>26</v>
      </c>
      <c r="E1102" s="2">
        <v>3.6180555555555556E-2</v>
      </c>
      <c r="F1102">
        <v>52.1</v>
      </c>
    </row>
    <row r="1103" spans="1:6" x14ac:dyDescent="0.25">
      <c r="A1103" s="1">
        <v>38749</v>
      </c>
      <c r="B1103" t="s">
        <v>12</v>
      </c>
      <c r="C1103" t="s">
        <v>9</v>
      </c>
      <c r="D1103">
        <v>11</v>
      </c>
      <c r="E1103" s="2">
        <v>1.1087962962962963E-2</v>
      </c>
      <c r="F1103">
        <v>15.966666666666667</v>
      </c>
    </row>
    <row r="1104" spans="1:6" x14ac:dyDescent="0.25">
      <c r="A1104" s="1">
        <v>38749</v>
      </c>
      <c r="B1104" t="s">
        <v>12</v>
      </c>
      <c r="C1104" t="s">
        <v>10</v>
      </c>
      <c r="D1104">
        <v>2</v>
      </c>
      <c r="E1104" s="2">
        <v>5.2083333333333333E-4</v>
      </c>
      <c r="F1104">
        <v>0.75</v>
      </c>
    </row>
    <row r="1105" spans="1:6" x14ac:dyDescent="0.25">
      <c r="A1105" s="1">
        <v>38749</v>
      </c>
      <c r="B1105" t="s">
        <v>12</v>
      </c>
      <c r="C1105" t="s">
        <v>11</v>
      </c>
      <c r="D1105">
        <v>21</v>
      </c>
      <c r="E1105" s="2">
        <v>1.5532407407407408E-2</v>
      </c>
      <c r="F1105">
        <v>22.366666666666667</v>
      </c>
    </row>
    <row r="1106" spans="1:6" x14ac:dyDescent="0.25">
      <c r="A1106" s="1">
        <v>38749</v>
      </c>
      <c r="B1106" t="s">
        <v>13</v>
      </c>
      <c r="C1106" t="s">
        <v>6</v>
      </c>
      <c r="D1106">
        <v>46</v>
      </c>
      <c r="E1106" s="2">
        <v>4.7581018518518516E-2</v>
      </c>
      <c r="F1106">
        <v>68.516666666666666</v>
      </c>
    </row>
    <row r="1107" spans="1:6" x14ac:dyDescent="0.25">
      <c r="A1107" s="1">
        <v>38749</v>
      </c>
      <c r="B1107" t="s">
        <v>13</v>
      </c>
      <c r="C1107" t="s">
        <v>7</v>
      </c>
      <c r="D1107">
        <v>44</v>
      </c>
      <c r="E1107" s="2">
        <v>5.4039351851851852E-2</v>
      </c>
      <c r="F1107">
        <v>77.816666666666663</v>
      </c>
    </row>
    <row r="1108" spans="1:6" x14ac:dyDescent="0.25">
      <c r="A1108" s="1">
        <v>38749</v>
      </c>
      <c r="B1108" t="s">
        <v>13</v>
      </c>
      <c r="C1108" t="s">
        <v>8</v>
      </c>
      <c r="D1108">
        <v>18</v>
      </c>
      <c r="E1108" s="2">
        <v>2.5115740740740741E-2</v>
      </c>
      <c r="F1108">
        <v>36.166666666666664</v>
      </c>
    </row>
    <row r="1109" spans="1:6" x14ac:dyDescent="0.25">
      <c r="A1109" s="1">
        <v>38749</v>
      </c>
      <c r="B1109" t="s">
        <v>13</v>
      </c>
      <c r="C1109" t="s">
        <v>9</v>
      </c>
      <c r="D1109">
        <v>11</v>
      </c>
      <c r="E1109" s="2">
        <v>1.1203703703703704E-2</v>
      </c>
      <c r="F1109">
        <v>16.133333333333333</v>
      </c>
    </row>
    <row r="1110" spans="1:6" x14ac:dyDescent="0.25">
      <c r="A1110" s="1">
        <v>38749</v>
      </c>
      <c r="B1110" t="s">
        <v>13</v>
      </c>
      <c r="C1110" t="s">
        <v>10</v>
      </c>
      <c r="D1110">
        <v>11</v>
      </c>
      <c r="E1110" s="2">
        <v>1.1064814814814816E-2</v>
      </c>
      <c r="F1110">
        <v>15.933333333333334</v>
      </c>
    </row>
    <row r="1111" spans="1:6" x14ac:dyDescent="0.25">
      <c r="A1111" s="1">
        <v>38749</v>
      </c>
      <c r="B1111" t="s">
        <v>13</v>
      </c>
      <c r="C1111" t="s">
        <v>11</v>
      </c>
      <c r="D1111">
        <v>18</v>
      </c>
      <c r="E1111" s="2">
        <v>1.2372685185185184E-2</v>
      </c>
      <c r="F1111">
        <v>17.816666666666666</v>
      </c>
    </row>
    <row r="1112" spans="1:6" x14ac:dyDescent="0.25">
      <c r="A1112" s="1">
        <v>38749</v>
      </c>
      <c r="B1112" t="s">
        <v>14</v>
      </c>
      <c r="C1112" t="s">
        <v>6</v>
      </c>
      <c r="D1112">
        <v>6</v>
      </c>
      <c r="E1112" s="2">
        <v>7.0949074074074074E-3</v>
      </c>
      <c r="F1112">
        <v>10.216666666666667</v>
      </c>
    </row>
    <row r="1113" spans="1:6" x14ac:dyDescent="0.25">
      <c r="A1113" s="1">
        <v>38749</v>
      </c>
      <c r="B1113" t="s">
        <v>14</v>
      </c>
      <c r="C1113" t="s">
        <v>7</v>
      </c>
      <c r="D1113">
        <v>6</v>
      </c>
      <c r="E1113" s="2">
        <v>1.0520833333333333E-2</v>
      </c>
      <c r="F1113">
        <v>15.15</v>
      </c>
    </row>
    <row r="1114" spans="1:6" x14ac:dyDescent="0.25">
      <c r="A1114" s="1">
        <v>38749</v>
      </c>
      <c r="B1114" t="s">
        <v>14</v>
      </c>
      <c r="C1114" t="s">
        <v>8</v>
      </c>
      <c r="D1114">
        <v>2</v>
      </c>
      <c r="E1114" s="2">
        <v>3.0555555555555557E-3</v>
      </c>
      <c r="F1114">
        <v>4.4000000000000004</v>
      </c>
    </row>
    <row r="1115" spans="1:6" x14ac:dyDescent="0.25">
      <c r="A1115" s="1">
        <v>38749</v>
      </c>
      <c r="B1115" t="s">
        <v>14</v>
      </c>
      <c r="C1115" t="s">
        <v>9</v>
      </c>
      <c r="D1115">
        <v>0</v>
      </c>
      <c r="E1115" s="2">
        <v>0</v>
      </c>
      <c r="F1115">
        <v>0</v>
      </c>
    </row>
    <row r="1116" spans="1:6" x14ac:dyDescent="0.25">
      <c r="A1116" s="1">
        <v>38749</v>
      </c>
      <c r="B1116" t="s">
        <v>14</v>
      </c>
      <c r="C1116" t="s">
        <v>10</v>
      </c>
      <c r="D1116">
        <v>3</v>
      </c>
      <c r="E1116" s="2">
        <v>4.1319444444444442E-3</v>
      </c>
      <c r="F1116">
        <v>5.95</v>
      </c>
    </row>
    <row r="1117" spans="1:6" x14ac:dyDescent="0.25">
      <c r="A1117" s="1">
        <v>38749</v>
      </c>
      <c r="B1117" t="s">
        <v>14</v>
      </c>
      <c r="C1117" t="s">
        <v>11</v>
      </c>
      <c r="D1117">
        <v>1</v>
      </c>
      <c r="E1117" s="2">
        <v>1.1921296296296296E-3</v>
      </c>
      <c r="F1117">
        <v>1.7166666666666668</v>
      </c>
    </row>
    <row r="1118" spans="1:6" x14ac:dyDescent="0.25">
      <c r="A1118" s="1">
        <v>38749</v>
      </c>
      <c r="B1118" t="s">
        <v>15</v>
      </c>
      <c r="C1118" t="s">
        <v>6</v>
      </c>
      <c r="D1118">
        <v>32</v>
      </c>
      <c r="E1118" s="2">
        <v>3.5370370370370371E-2</v>
      </c>
      <c r="F1118">
        <v>50.93333333333333</v>
      </c>
    </row>
    <row r="1119" spans="1:6" x14ac:dyDescent="0.25">
      <c r="A1119" s="1">
        <v>38749</v>
      </c>
      <c r="B1119" t="s">
        <v>15</v>
      </c>
      <c r="C1119" t="s">
        <v>7</v>
      </c>
      <c r="D1119">
        <v>21</v>
      </c>
      <c r="E1119" s="2">
        <v>2.4756944444444446E-2</v>
      </c>
      <c r="F1119">
        <v>35.65</v>
      </c>
    </row>
    <row r="1120" spans="1:6" x14ac:dyDescent="0.25">
      <c r="A1120" s="1">
        <v>38749</v>
      </c>
      <c r="B1120" t="s">
        <v>15</v>
      </c>
      <c r="C1120" t="s">
        <v>8</v>
      </c>
      <c r="D1120">
        <v>19</v>
      </c>
      <c r="E1120" s="2">
        <v>2.0983796296296296E-2</v>
      </c>
      <c r="F1120">
        <v>30.216666666666665</v>
      </c>
    </row>
    <row r="1121" spans="1:6" x14ac:dyDescent="0.25">
      <c r="A1121" s="1">
        <v>38749</v>
      </c>
      <c r="B1121" t="s">
        <v>15</v>
      </c>
      <c r="C1121" t="s">
        <v>9</v>
      </c>
      <c r="D1121">
        <v>8</v>
      </c>
      <c r="E1121" s="2">
        <v>8.1597222222222227E-3</v>
      </c>
      <c r="F1121">
        <v>11.75</v>
      </c>
    </row>
    <row r="1122" spans="1:6" x14ac:dyDescent="0.25">
      <c r="A1122" s="1">
        <v>38749</v>
      </c>
      <c r="B1122" t="s">
        <v>15</v>
      </c>
      <c r="C1122" t="s">
        <v>10</v>
      </c>
      <c r="D1122">
        <v>9</v>
      </c>
      <c r="E1122" s="2">
        <v>6.8171296296296296E-3</v>
      </c>
      <c r="F1122">
        <v>9.8166666666666664</v>
      </c>
    </row>
    <row r="1123" spans="1:6" x14ac:dyDescent="0.25">
      <c r="A1123" s="1">
        <v>38749</v>
      </c>
      <c r="B1123" t="s">
        <v>15</v>
      </c>
      <c r="C1123" t="s">
        <v>11</v>
      </c>
      <c r="D1123">
        <v>11</v>
      </c>
      <c r="E1123" s="2">
        <v>7.7199074074074071E-3</v>
      </c>
      <c r="F1123">
        <v>11.116666666666667</v>
      </c>
    </row>
    <row r="1124" spans="1:6" x14ac:dyDescent="0.25">
      <c r="A1124" s="1">
        <v>38749</v>
      </c>
      <c r="B1124" t="s">
        <v>16</v>
      </c>
      <c r="C1124" t="s">
        <v>6</v>
      </c>
      <c r="D1124">
        <v>32</v>
      </c>
      <c r="E1124" s="2">
        <v>3.3506944444444443E-2</v>
      </c>
      <c r="F1124">
        <v>48.25</v>
      </c>
    </row>
    <row r="1125" spans="1:6" x14ac:dyDescent="0.25">
      <c r="A1125" s="1">
        <v>38749</v>
      </c>
      <c r="B1125" t="s">
        <v>16</v>
      </c>
      <c r="C1125" t="s">
        <v>7</v>
      </c>
      <c r="D1125">
        <v>28</v>
      </c>
      <c r="E1125" s="2">
        <v>2.991898148148148E-2</v>
      </c>
      <c r="F1125">
        <v>43.083333333333336</v>
      </c>
    </row>
    <row r="1126" spans="1:6" x14ac:dyDescent="0.25">
      <c r="A1126" s="1">
        <v>38749</v>
      </c>
      <c r="B1126" t="s">
        <v>16</v>
      </c>
      <c r="C1126" t="s">
        <v>8</v>
      </c>
      <c r="D1126">
        <v>27</v>
      </c>
      <c r="E1126" s="2">
        <v>3.2650462962962964E-2</v>
      </c>
      <c r="F1126">
        <v>47.016666666666666</v>
      </c>
    </row>
    <row r="1127" spans="1:6" x14ac:dyDescent="0.25">
      <c r="A1127" s="1">
        <v>38749</v>
      </c>
      <c r="B1127" t="s">
        <v>16</v>
      </c>
      <c r="C1127" t="s">
        <v>9</v>
      </c>
      <c r="D1127">
        <v>10</v>
      </c>
      <c r="E1127" s="2">
        <v>1.1909722222222223E-2</v>
      </c>
      <c r="F1127">
        <v>17.149999999999999</v>
      </c>
    </row>
    <row r="1128" spans="1:6" x14ac:dyDescent="0.25">
      <c r="A1128" s="1">
        <v>38749</v>
      </c>
      <c r="B1128" t="s">
        <v>16</v>
      </c>
      <c r="C1128" t="s">
        <v>10</v>
      </c>
      <c r="D1128">
        <v>7</v>
      </c>
      <c r="E1128" s="2">
        <v>6.3657407407407404E-3</v>
      </c>
      <c r="F1128">
        <v>9.1666666666666661</v>
      </c>
    </row>
    <row r="1129" spans="1:6" x14ac:dyDescent="0.25">
      <c r="A1129" s="1">
        <v>38749</v>
      </c>
      <c r="B1129" t="s">
        <v>16</v>
      </c>
      <c r="C1129" t="s">
        <v>11</v>
      </c>
      <c r="D1129">
        <v>12</v>
      </c>
      <c r="E1129" s="2">
        <v>1.1076388888888889E-2</v>
      </c>
      <c r="F1129">
        <v>15.95</v>
      </c>
    </row>
    <row r="1130" spans="1:6" x14ac:dyDescent="0.25">
      <c r="A1130" s="1">
        <v>38749</v>
      </c>
      <c r="B1130" t="s">
        <v>17</v>
      </c>
      <c r="C1130" t="s">
        <v>6</v>
      </c>
      <c r="D1130">
        <v>11</v>
      </c>
      <c r="E1130" s="2">
        <v>1.0081018518518519E-2</v>
      </c>
      <c r="F1130">
        <v>14.516666666666667</v>
      </c>
    </row>
    <row r="1131" spans="1:6" x14ac:dyDescent="0.25">
      <c r="A1131" s="1">
        <v>38749</v>
      </c>
      <c r="B1131" t="s">
        <v>17</v>
      </c>
      <c r="C1131" t="s">
        <v>7</v>
      </c>
      <c r="D1131">
        <v>3</v>
      </c>
      <c r="E1131" s="2">
        <v>3.414351851851852E-3</v>
      </c>
      <c r="F1131">
        <v>4.916666666666667</v>
      </c>
    </row>
    <row r="1132" spans="1:6" x14ac:dyDescent="0.25">
      <c r="A1132" s="1">
        <v>38749</v>
      </c>
      <c r="B1132" t="s">
        <v>17</v>
      </c>
      <c r="C1132" t="s">
        <v>8</v>
      </c>
      <c r="D1132">
        <v>2</v>
      </c>
      <c r="E1132" s="2">
        <v>2.627314814814815E-3</v>
      </c>
      <c r="F1132">
        <v>3.7833333333333332</v>
      </c>
    </row>
    <row r="1133" spans="1:6" x14ac:dyDescent="0.25">
      <c r="A1133" s="1">
        <v>38749</v>
      </c>
      <c r="B1133" t="s">
        <v>17</v>
      </c>
      <c r="C1133" t="s">
        <v>9</v>
      </c>
      <c r="D1133">
        <v>2</v>
      </c>
      <c r="E1133" s="2">
        <v>2.5925925925925925E-3</v>
      </c>
      <c r="F1133">
        <v>3.7333333333333334</v>
      </c>
    </row>
    <row r="1134" spans="1:6" x14ac:dyDescent="0.25">
      <c r="A1134" s="1">
        <v>38749</v>
      </c>
      <c r="B1134" t="s">
        <v>17</v>
      </c>
      <c r="C1134" t="s">
        <v>10</v>
      </c>
      <c r="D1134">
        <v>4</v>
      </c>
      <c r="E1134" s="2">
        <v>1.6087962962962963E-3</v>
      </c>
      <c r="F1134">
        <v>2.3166666666666664</v>
      </c>
    </row>
    <row r="1135" spans="1:6" x14ac:dyDescent="0.25">
      <c r="A1135" s="1">
        <v>38749</v>
      </c>
      <c r="B1135" t="s">
        <v>17</v>
      </c>
      <c r="C1135" t="s">
        <v>11</v>
      </c>
      <c r="D1135">
        <v>1</v>
      </c>
      <c r="E1135" s="2">
        <v>1.4236111111111112E-3</v>
      </c>
      <c r="F1135">
        <v>2.0499999999999998</v>
      </c>
    </row>
    <row r="1136" spans="1:6" x14ac:dyDescent="0.25">
      <c r="A1136" s="1">
        <v>38749</v>
      </c>
      <c r="B1136" t="s">
        <v>18</v>
      </c>
      <c r="C1136" t="s">
        <v>6</v>
      </c>
      <c r="D1136">
        <v>42</v>
      </c>
      <c r="E1136" s="2">
        <v>4.6458333333333331E-2</v>
      </c>
      <c r="F1136">
        <v>66.900000000000006</v>
      </c>
    </row>
    <row r="1137" spans="1:6" x14ac:dyDescent="0.25">
      <c r="A1137" s="1">
        <v>38749</v>
      </c>
      <c r="B1137" t="s">
        <v>18</v>
      </c>
      <c r="C1137" t="s">
        <v>7</v>
      </c>
      <c r="D1137">
        <v>40</v>
      </c>
      <c r="E1137" s="2">
        <v>4.0243055555555553E-2</v>
      </c>
      <c r="F1137">
        <v>57.95</v>
      </c>
    </row>
    <row r="1138" spans="1:6" x14ac:dyDescent="0.25">
      <c r="A1138" s="1">
        <v>38749</v>
      </c>
      <c r="B1138" t="s">
        <v>18</v>
      </c>
      <c r="C1138" t="s">
        <v>8</v>
      </c>
      <c r="D1138">
        <v>45</v>
      </c>
      <c r="E1138" s="2">
        <v>5.7766203703703702E-2</v>
      </c>
      <c r="F1138">
        <v>83.183333333333337</v>
      </c>
    </row>
    <row r="1139" spans="1:6" x14ac:dyDescent="0.25">
      <c r="A1139" s="1">
        <v>38749</v>
      </c>
      <c r="B1139" t="s">
        <v>18</v>
      </c>
      <c r="C1139" t="s">
        <v>9</v>
      </c>
      <c r="D1139">
        <v>30</v>
      </c>
      <c r="E1139" s="2">
        <v>3.1458333333333331E-2</v>
      </c>
      <c r="F1139">
        <v>45.3</v>
      </c>
    </row>
    <row r="1140" spans="1:6" x14ac:dyDescent="0.25">
      <c r="A1140" s="1">
        <v>38749</v>
      </c>
      <c r="B1140" t="s">
        <v>18</v>
      </c>
      <c r="C1140" t="s">
        <v>10</v>
      </c>
      <c r="D1140">
        <v>104</v>
      </c>
      <c r="E1140" s="2">
        <v>9.8460648148148144E-2</v>
      </c>
      <c r="F1140">
        <v>141.78333333333333</v>
      </c>
    </row>
    <row r="1141" spans="1:6" x14ac:dyDescent="0.25">
      <c r="A1141" s="1">
        <v>38749</v>
      </c>
      <c r="B1141" t="s">
        <v>18</v>
      </c>
      <c r="C1141" t="s">
        <v>11</v>
      </c>
      <c r="D1141">
        <v>20</v>
      </c>
      <c r="E1141" s="2">
        <v>8.2291666666666659E-3</v>
      </c>
      <c r="F1141">
        <v>11.85</v>
      </c>
    </row>
    <row r="1142" spans="1:6" x14ac:dyDescent="0.25">
      <c r="A1142" s="1">
        <v>38749</v>
      </c>
      <c r="B1142" t="s">
        <v>19</v>
      </c>
      <c r="C1142" t="s">
        <v>6</v>
      </c>
      <c r="D1142">
        <v>49</v>
      </c>
      <c r="E1142" s="2">
        <v>7.059027777777778E-2</v>
      </c>
      <c r="F1142">
        <v>101.65</v>
      </c>
    </row>
    <row r="1143" spans="1:6" x14ac:dyDescent="0.25">
      <c r="A1143" s="1">
        <v>38749</v>
      </c>
      <c r="B1143" t="s">
        <v>19</v>
      </c>
      <c r="C1143" t="s">
        <v>7</v>
      </c>
      <c r="D1143">
        <v>44</v>
      </c>
      <c r="E1143" s="2">
        <v>5.5300925925925927E-2</v>
      </c>
      <c r="F1143">
        <v>79.63333333333334</v>
      </c>
    </row>
    <row r="1144" spans="1:6" x14ac:dyDescent="0.25">
      <c r="A1144" s="1">
        <v>38749</v>
      </c>
      <c r="B1144" t="s">
        <v>19</v>
      </c>
      <c r="C1144" t="s">
        <v>8</v>
      </c>
      <c r="D1144">
        <v>27</v>
      </c>
      <c r="E1144" s="2">
        <v>3.8993055555555559E-2</v>
      </c>
      <c r="F1144">
        <v>56.15</v>
      </c>
    </row>
    <row r="1145" spans="1:6" x14ac:dyDescent="0.25">
      <c r="A1145" s="1">
        <v>38749</v>
      </c>
      <c r="B1145" t="s">
        <v>19</v>
      </c>
      <c r="C1145" t="s">
        <v>9</v>
      </c>
      <c r="D1145">
        <v>17</v>
      </c>
      <c r="E1145" s="2">
        <v>1.7337962962962961E-2</v>
      </c>
      <c r="F1145">
        <v>24.966666666666665</v>
      </c>
    </row>
    <row r="1146" spans="1:6" x14ac:dyDescent="0.25">
      <c r="A1146" s="1">
        <v>38749</v>
      </c>
      <c r="B1146" t="s">
        <v>19</v>
      </c>
      <c r="C1146" t="s">
        <v>10</v>
      </c>
      <c r="D1146">
        <v>17</v>
      </c>
      <c r="E1146" s="2">
        <v>1.3923611111111111E-2</v>
      </c>
      <c r="F1146">
        <v>20.05</v>
      </c>
    </row>
    <row r="1147" spans="1:6" x14ac:dyDescent="0.25">
      <c r="A1147" s="1">
        <v>38749</v>
      </c>
      <c r="B1147" t="s">
        <v>19</v>
      </c>
      <c r="C1147" t="s">
        <v>11</v>
      </c>
      <c r="D1147">
        <v>21</v>
      </c>
      <c r="E1147" s="2">
        <v>1.6550925925925927E-2</v>
      </c>
      <c r="F1147">
        <v>23.833333333333332</v>
      </c>
    </row>
    <row r="1148" spans="1:6" x14ac:dyDescent="0.25">
      <c r="A1148" s="1">
        <v>38749</v>
      </c>
      <c r="B1148" t="s">
        <v>20</v>
      </c>
      <c r="C1148" t="s">
        <v>6</v>
      </c>
      <c r="D1148">
        <v>29</v>
      </c>
      <c r="E1148" s="2">
        <v>3.0300925925925926E-2</v>
      </c>
      <c r="F1148">
        <v>43.633333333333333</v>
      </c>
    </row>
    <row r="1149" spans="1:6" x14ac:dyDescent="0.25">
      <c r="A1149" s="1">
        <v>38749</v>
      </c>
      <c r="B1149" t="s">
        <v>20</v>
      </c>
      <c r="C1149" t="s">
        <v>7</v>
      </c>
      <c r="D1149">
        <v>21</v>
      </c>
      <c r="E1149" s="2">
        <v>2.3402777777777779E-2</v>
      </c>
      <c r="F1149">
        <v>33.700000000000003</v>
      </c>
    </row>
    <row r="1150" spans="1:6" x14ac:dyDescent="0.25">
      <c r="A1150" s="1">
        <v>38749</v>
      </c>
      <c r="B1150" t="s">
        <v>20</v>
      </c>
      <c r="C1150" t="s">
        <v>8</v>
      </c>
      <c r="D1150">
        <v>23</v>
      </c>
      <c r="E1150" s="2">
        <v>2.8506944444444446E-2</v>
      </c>
      <c r="F1150">
        <v>41.05</v>
      </c>
    </row>
    <row r="1151" spans="1:6" x14ac:dyDescent="0.25">
      <c r="A1151" s="1">
        <v>38749</v>
      </c>
      <c r="B1151" t="s">
        <v>20</v>
      </c>
      <c r="C1151" t="s">
        <v>9</v>
      </c>
      <c r="D1151">
        <v>9</v>
      </c>
      <c r="E1151" s="2">
        <v>7.3958333333333333E-3</v>
      </c>
      <c r="F1151">
        <v>10.65</v>
      </c>
    </row>
    <row r="1152" spans="1:6" x14ac:dyDescent="0.25">
      <c r="A1152" s="1">
        <v>38749</v>
      </c>
      <c r="B1152" t="s">
        <v>20</v>
      </c>
      <c r="C1152" t="s">
        <v>10</v>
      </c>
      <c r="D1152">
        <v>11</v>
      </c>
      <c r="E1152" s="2">
        <v>9.2245370370370363E-3</v>
      </c>
      <c r="F1152">
        <v>13.283333333333333</v>
      </c>
    </row>
    <row r="1153" spans="1:6" x14ac:dyDescent="0.25">
      <c r="A1153" s="1">
        <v>38749</v>
      </c>
      <c r="B1153" t="s">
        <v>20</v>
      </c>
      <c r="C1153" t="s">
        <v>11</v>
      </c>
      <c r="D1153">
        <v>8</v>
      </c>
      <c r="E1153" s="2">
        <v>6.076388888888889E-3</v>
      </c>
      <c r="F1153">
        <v>8.75</v>
      </c>
    </row>
    <row r="1154" spans="1:6" x14ac:dyDescent="0.25">
      <c r="A1154" s="1">
        <v>38749</v>
      </c>
      <c r="B1154" t="s">
        <v>21</v>
      </c>
      <c r="C1154" t="s">
        <v>6</v>
      </c>
      <c r="D1154">
        <v>99</v>
      </c>
      <c r="E1154" s="2">
        <v>9.9942129629629631E-2</v>
      </c>
      <c r="F1154">
        <v>143.91666666666666</v>
      </c>
    </row>
    <row r="1155" spans="1:6" x14ac:dyDescent="0.25">
      <c r="A1155" s="1">
        <v>38749</v>
      </c>
      <c r="B1155" t="s">
        <v>21</v>
      </c>
      <c r="C1155" t="s">
        <v>7</v>
      </c>
      <c r="D1155">
        <v>94</v>
      </c>
      <c r="E1155" s="2">
        <v>0.10318287037037037</v>
      </c>
      <c r="F1155">
        <v>148.58333333333334</v>
      </c>
    </row>
    <row r="1156" spans="1:6" x14ac:dyDescent="0.25">
      <c r="A1156" s="1">
        <v>38749</v>
      </c>
      <c r="B1156" t="s">
        <v>21</v>
      </c>
      <c r="C1156" t="s">
        <v>8</v>
      </c>
      <c r="D1156">
        <v>54</v>
      </c>
      <c r="E1156" s="2">
        <v>6.4907407407407414E-2</v>
      </c>
      <c r="F1156">
        <v>93.466666666666669</v>
      </c>
    </row>
    <row r="1157" spans="1:6" x14ac:dyDescent="0.25">
      <c r="A1157" s="1">
        <v>38749</v>
      </c>
      <c r="B1157" t="s">
        <v>21</v>
      </c>
      <c r="C1157" t="s">
        <v>9</v>
      </c>
      <c r="D1157">
        <v>29</v>
      </c>
      <c r="E1157" s="2">
        <v>2.4675925925925928E-2</v>
      </c>
      <c r="F1157">
        <v>35.533333333333331</v>
      </c>
    </row>
    <row r="1158" spans="1:6" x14ac:dyDescent="0.25">
      <c r="A1158" s="1">
        <v>38749</v>
      </c>
      <c r="B1158" t="s">
        <v>21</v>
      </c>
      <c r="C1158" t="s">
        <v>10</v>
      </c>
      <c r="D1158">
        <v>38</v>
      </c>
      <c r="E1158" s="2">
        <v>3.9641203703703706E-2</v>
      </c>
      <c r="F1158">
        <v>57.083333333333336</v>
      </c>
    </row>
    <row r="1159" spans="1:6" x14ac:dyDescent="0.25">
      <c r="A1159" s="1">
        <v>38749</v>
      </c>
      <c r="B1159" t="s">
        <v>21</v>
      </c>
      <c r="C1159" t="s">
        <v>11</v>
      </c>
      <c r="D1159">
        <v>36</v>
      </c>
      <c r="E1159" s="2">
        <v>3.5960648148148151E-2</v>
      </c>
      <c r="F1159">
        <v>51.783333333333331</v>
      </c>
    </row>
    <row r="1160" spans="1:6" x14ac:dyDescent="0.25">
      <c r="A1160" s="1">
        <v>38749</v>
      </c>
      <c r="B1160" t="s">
        <v>22</v>
      </c>
      <c r="C1160" t="s">
        <v>6</v>
      </c>
      <c r="D1160">
        <v>19</v>
      </c>
      <c r="E1160" s="2">
        <v>2.4988425925925924E-2</v>
      </c>
      <c r="F1160">
        <v>35.983333333333334</v>
      </c>
    </row>
    <row r="1161" spans="1:6" x14ac:dyDescent="0.25">
      <c r="A1161" s="1">
        <v>38749</v>
      </c>
      <c r="B1161" t="s">
        <v>22</v>
      </c>
      <c r="C1161" t="s">
        <v>7</v>
      </c>
      <c r="D1161">
        <v>12</v>
      </c>
      <c r="E1161" s="2">
        <v>1.4004629629629629E-2</v>
      </c>
      <c r="F1161">
        <v>20.166666666666668</v>
      </c>
    </row>
    <row r="1162" spans="1:6" x14ac:dyDescent="0.25">
      <c r="A1162" s="1">
        <v>38749</v>
      </c>
      <c r="B1162" t="s">
        <v>22</v>
      </c>
      <c r="C1162" t="s">
        <v>8</v>
      </c>
      <c r="D1162">
        <v>11</v>
      </c>
      <c r="E1162" s="2">
        <v>1.3553240740740741E-2</v>
      </c>
      <c r="F1162">
        <v>19.516666666666666</v>
      </c>
    </row>
    <row r="1163" spans="1:6" x14ac:dyDescent="0.25">
      <c r="A1163" s="1">
        <v>38749</v>
      </c>
      <c r="B1163" t="s">
        <v>22</v>
      </c>
      <c r="C1163" t="s">
        <v>9</v>
      </c>
      <c r="D1163">
        <v>5</v>
      </c>
      <c r="E1163" s="2">
        <v>5.1967592592592595E-3</v>
      </c>
      <c r="F1163">
        <v>7.4833333333333334</v>
      </c>
    </row>
    <row r="1164" spans="1:6" x14ac:dyDescent="0.25">
      <c r="A1164" s="1">
        <v>38749</v>
      </c>
      <c r="B1164" t="s">
        <v>22</v>
      </c>
      <c r="C1164" t="s">
        <v>10</v>
      </c>
      <c r="D1164">
        <v>3</v>
      </c>
      <c r="E1164" s="2">
        <v>1.7708333333333332E-3</v>
      </c>
      <c r="F1164">
        <v>2.5499999999999998</v>
      </c>
    </row>
    <row r="1165" spans="1:6" x14ac:dyDescent="0.25">
      <c r="A1165" s="1">
        <v>38749</v>
      </c>
      <c r="B1165" t="s">
        <v>22</v>
      </c>
      <c r="C1165" t="s">
        <v>11</v>
      </c>
      <c r="D1165">
        <v>4</v>
      </c>
      <c r="E1165" s="2">
        <v>1.8402777777777777E-3</v>
      </c>
      <c r="F1165">
        <v>2.65</v>
      </c>
    </row>
    <row r="1166" spans="1:6" x14ac:dyDescent="0.25">
      <c r="A1166" s="1">
        <v>38749</v>
      </c>
      <c r="B1166" t="s">
        <v>23</v>
      </c>
      <c r="C1166" t="s">
        <v>6</v>
      </c>
      <c r="D1166">
        <v>124</v>
      </c>
      <c r="E1166" s="2">
        <v>0.13644675925925925</v>
      </c>
      <c r="F1166">
        <v>196.48333333333332</v>
      </c>
    </row>
    <row r="1167" spans="1:6" x14ac:dyDescent="0.25">
      <c r="A1167" s="1">
        <v>38749</v>
      </c>
      <c r="B1167" t="s">
        <v>23</v>
      </c>
      <c r="C1167" t="s">
        <v>7</v>
      </c>
      <c r="D1167">
        <v>104</v>
      </c>
      <c r="E1167" s="2">
        <v>0.11738425925925926</v>
      </c>
      <c r="F1167">
        <v>169.03333333333333</v>
      </c>
    </row>
    <row r="1168" spans="1:6" x14ac:dyDescent="0.25">
      <c r="A1168" s="1">
        <v>38749</v>
      </c>
      <c r="B1168" t="s">
        <v>23</v>
      </c>
      <c r="C1168" t="s">
        <v>8</v>
      </c>
      <c r="D1168">
        <v>76</v>
      </c>
      <c r="E1168" s="2">
        <v>9.089120370370371E-2</v>
      </c>
      <c r="F1168">
        <v>130.88333333333333</v>
      </c>
    </row>
    <row r="1169" spans="1:6" x14ac:dyDescent="0.25">
      <c r="A1169" s="1">
        <v>38749</v>
      </c>
      <c r="B1169" t="s">
        <v>23</v>
      </c>
      <c r="C1169" t="s">
        <v>9</v>
      </c>
      <c r="D1169">
        <v>40</v>
      </c>
      <c r="E1169" s="2">
        <v>3.7280092592592594E-2</v>
      </c>
      <c r="F1169">
        <v>53.68333333333333</v>
      </c>
    </row>
    <row r="1170" spans="1:6" x14ac:dyDescent="0.25">
      <c r="A1170" s="1">
        <v>38749</v>
      </c>
      <c r="B1170" t="s">
        <v>23</v>
      </c>
      <c r="C1170" t="s">
        <v>10</v>
      </c>
      <c r="D1170">
        <v>55</v>
      </c>
      <c r="E1170" s="2">
        <v>5.5509259259259258E-2</v>
      </c>
      <c r="F1170">
        <v>79.933333333333337</v>
      </c>
    </row>
    <row r="1171" spans="1:6" x14ac:dyDescent="0.25">
      <c r="A1171" s="1">
        <v>38749</v>
      </c>
      <c r="B1171" t="s">
        <v>23</v>
      </c>
      <c r="C1171" t="s">
        <v>11</v>
      </c>
      <c r="D1171">
        <v>58</v>
      </c>
      <c r="E1171" s="2">
        <v>4.9479166666666664E-2</v>
      </c>
      <c r="F1171">
        <v>71.25</v>
      </c>
    </row>
    <row r="1172" spans="1:6" x14ac:dyDescent="0.25">
      <c r="A1172" s="1">
        <v>38749</v>
      </c>
      <c r="B1172" t="s">
        <v>24</v>
      </c>
      <c r="C1172" t="s">
        <v>6</v>
      </c>
      <c r="D1172">
        <v>45</v>
      </c>
      <c r="E1172" s="2">
        <v>4.7233796296296295E-2</v>
      </c>
      <c r="F1172">
        <v>68.016666666666666</v>
      </c>
    </row>
    <row r="1173" spans="1:6" x14ac:dyDescent="0.25">
      <c r="A1173" s="1">
        <v>38749</v>
      </c>
      <c r="B1173" t="s">
        <v>24</v>
      </c>
      <c r="C1173" t="s">
        <v>7</v>
      </c>
      <c r="D1173">
        <v>69</v>
      </c>
      <c r="E1173" s="2">
        <v>6.7199074074074078E-2</v>
      </c>
      <c r="F1173">
        <v>96.766666666666666</v>
      </c>
    </row>
    <row r="1174" spans="1:6" x14ac:dyDescent="0.25">
      <c r="A1174" s="1">
        <v>38749</v>
      </c>
      <c r="B1174" t="s">
        <v>24</v>
      </c>
      <c r="C1174" t="s">
        <v>8</v>
      </c>
      <c r="D1174">
        <v>42</v>
      </c>
      <c r="E1174" s="2">
        <v>4.0300925925925928E-2</v>
      </c>
      <c r="F1174">
        <v>58.033333333333331</v>
      </c>
    </row>
    <row r="1175" spans="1:6" x14ac:dyDescent="0.25">
      <c r="A1175" s="1">
        <v>38749</v>
      </c>
      <c r="B1175" t="s">
        <v>24</v>
      </c>
      <c r="C1175" t="s">
        <v>9</v>
      </c>
      <c r="D1175">
        <v>5</v>
      </c>
      <c r="E1175" s="2">
        <v>3.8888888888888888E-3</v>
      </c>
      <c r="F1175">
        <v>5.6</v>
      </c>
    </row>
    <row r="1176" spans="1:6" x14ac:dyDescent="0.25">
      <c r="A1176" s="1">
        <v>38749</v>
      </c>
      <c r="B1176" t="s">
        <v>24</v>
      </c>
      <c r="C1176" t="s">
        <v>10</v>
      </c>
      <c r="D1176">
        <v>5</v>
      </c>
      <c r="E1176" s="2">
        <v>5.0000000000000001E-3</v>
      </c>
      <c r="F1176">
        <v>7.2</v>
      </c>
    </row>
    <row r="1177" spans="1:6" x14ac:dyDescent="0.25">
      <c r="A1177" s="1">
        <v>38749</v>
      </c>
      <c r="B1177" t="s">
        <v>24</v>
      </c>
      <c r="C1177" t="s">
        <v>11</v>
      </c>
      <c r="D1177">
        <v>42</v>
      </c>
      <c r="E1177" s="2">
        <v>3.3958333333333333E-2</v>
      </c>
      <c r="F1177">
        <v>48.9</v>
      </c>
    </row>
    <row r="1178" spans="1:6" x14ac:dyDescent="0.25">
      <c r="A1178" s="1">
        <v>38777</v>
      </c>
      <c r="B1178" t="s">
        <v>5</v>
      </c>
      <c r="C1178" t="s">
        <v>6</v>
      </c>
      <c r="D1178">
        <v>25</v>
      </c>
      <c r="E1178" s="2">
        <v>2.5023148148148149E-2</v>
      </c>
      <c r="F1178">
        <v>36.033333333333331</v>
      </c>
    </row>
    <row r="1179" spans="1:6" x14ac:dyDescent="0.25">
      <c r="A1179" s="1">
        <v>38777</v>
      </c>
      <c r="B1179" t="s">
        <v>5</v>
      </c>
      <c r="C1179" t="s">
        <v>7</v>
      </c>
      <c r="D1179">
        <v>18</v>
      </c>
      <c r="E1179" s="2">
        <v>1.7152777777777777E-2</v>
      </c>
      <c r="F1179">
        <v>24.7</v>
      </c>
    </row>
    <row r="1180" spans="1:6" x14ac:dyDescent="0.25">
      <c r="A1180" s="1">
        <v>38777</v>
      </c>
      <c r="B1180" t="s">
        <v>5</v>
      </c>
      <c r="C1180" t="s">
        <v>8</v>
      </c>
      <c r="D1180">
        <v>7</v>
      </c>
      <c r="E1180" s="2">
        <v>6.8055555555555551E-3</v>
      </c>
      <c r="F1180">
        <v>9.8000000000000007</v>
      </c>
    </row>
    <row r="1181" spans="1:6" x14ac:dyDescent="0.25">
      <c r="A1181" s="1">
        <v>38777</v>
      </c>
      <c r="B1181" t="s">
        <v>5</v>
      </c>
      <c r="C1181" t="s">
        <v>9</v>
      </c>
      <c r="D1181">
        <v>4</v>
      </c>
      <c r="E1181" s="2">
        <v>3.9120370370370368E-3</v>
      </c>
      <c r="F1181">
        <v>5.6333333333333329</v>
      </c>
    </row>
    <row r="1182" spans="1:6" x14ac:dyDescent="0.25">
      <c r="A1182" s="1">
        <v>38777</v>
      </c>
      <c r="B1182" t="s">
        <v>5</v>
      </c>
      <c r="C1182" t="s">
        <v>10</v>
      </c>
      <c r="D1182">
        <v>3</v>
      </c>
      <c r="E1182" s="2">
        <v>7.5231481481481482E-4</v>
      </c>
      <c r="F1182">
        <v>1.0833333333333333</v>
      </c>
    </row>
    <row r="1183" spans="1:6" x14ac:dyDescent="0.25">
      <c r="A1183" s="1">
        <v>38777</v>
      </c>
      <c r="B1183" t="s">
        <v>5</v>
      </c>
      <c r="C1183" t="s">
        <v>11</v>
      </c>
      <c r="D1183">
        <v>7</v>
      </c>
      <c r="E1183" s="2">
        <v>5.7870370370370367E-3</v>
      </c>
      <c r="F1183">
        <v>8.3333333333333339</v>
      </c>
    </row>
    <row r="1184" spans="1:6" x14ac:dyDescent="0.25">
      <c r="A1184" s="1">
        <v>38777</v>
      </c>
      <c r="B1184" t="s">
        <v>12</v>
      </c>
      <c r="C1184" t="s">
        <v>6</v>
      </c>
      <c r="D1184">
        <v>46</v>
      </c>
      <c r="E1184" s="2">
        <v>6.0543981481481483E-2</v>
      </c>
      <c r="F1184">
        <v>87.183333333333337</v>
      </c>
    </row>
    <row r="1185" spans="1:6" x14ac:dyDescent="0.25">
      <c r="A1185" s="1">
        <v>38777</v>
      </c>
      <c r="B1185" t="s">
        <v>12</v>
      </c>
      <c r="C1185" t="s">
        <v>7</v>
      </c>
      <c r="D1185">
        <v>48</v>
      </c>
      <c r="E1185" s="2">
        <v>5.5428240740740743E-2</v>
      </c>
      <c r="F1185">
        <v>79.816666666666663</v>
      </c>
    </row>
    <row r="1186" spans="1:6" x14ac:dyDescent="0.25">
      <c r="A1186" s="1">
        <v>38777</v>
      </c>
      <c r="B1186" t="s">
        <v>12</v>
      </c>
      <c r="C1186" t="s">
        <v>8</v>
      </c>
      <c r="D1186">
        <v>28</v>
      </c>
      <c r="E1186" s="2">
        <v>3.5833333333333335E-2</v>
      </c>
      <c r="F1186">
        <v>51.6</v>
      </c>
    </row>
    <row r="1187" spans="1:6" x14ac:dyDescent="0.25">
      <c r="A1187" s="1">
        <v>38777</v>
      </c>
      <c r="B1187" t="s">
        <v>12</v>
      </c>
      <c r="C1187" t="s">
        <v>9</v>
      </c>
      <c r="D1187">
        <v>12</v>
      </c>
      <c r="E1187" s="2">
        <v>1.1215277777777777E-2</v>
      </c>
      <c r="F1187">
        <v>16.149999999999999</v>
      </c>
    </row>
    <row r="1188" spans="1:6" x14ac:dyDescent="0.25">
      <c r="A1188" s="1">
        <v>38777</v>
      </c>
      <c r="B1188" t="s">
        <v>12</v>
      </c>
      <c r="C1188" t="s">
        <v>10</v>
      </c>
      <c r="D1188">
        <v>2</v>
      </c>
      <c r="E1188" s="2">
        <v>7.5231481481481482E-4</v>
      </c>
      <c r="F1188">
        <v>1.0833333333333333</v>
      </c>
    </row>
    <row r="1189" spans="1:6" x14ac:dyDescent="0.25">
      <c r="A1189" s="1">
        <v>38777</v>
      </c>
      <c r="B1189" t="s">
        <v>12</v>
      </c>
      <c r="C1189" t="s">
        <v>11</v>
      </c>
      <c r="D1189">
        <v>16</v>
      </c>
      <c r="E1189" s="2">
        <v>1.6053240740740739E-2</v>
      </c>
      <c r="F1189">
        <v>23.116666666666667</v>
      </c>
    </row>
    <row r="1190" spans="1:6" x14ac:dyDescent="0.25">
      <c r="A1190" s="1">
        <v>38777</v>
      </c>
      <c r="B1190" t="s">
        <v>13</v>
      </c>
      <c r="C1190" t="s">
        <v>6</v>
      </c>
      <c r="D1190">
        <v>37</v>
      </c>
      <c r="E1190" s="2">
        <v>3.9120370370370368E-2</v>
      </c>
      <c r="F1190">
        <v>56.333333333333336</v>
      </c>
    </row>
    <row r="1191" spans="1:6" x14ac:dyDescent="0.25">
      <c r="A1191" s="1">
        <v>38777</v>
      </c>
      <c r="B1191" t="s">
        <v>13</v>
      </c>
      <c r="C1191" t="s">
        <v>7</v>
      </c>
      <c r="D1191">
        <v>29</v>
      </c>
      <c r="E1191" s="2">
        <v>4.1111111111111112E-2</v>
      </c>
      <c r="F1191">
        <v>59.2</v>
      </c>
    </row>
    <row r="1192" spans="1:6" x14ac:dyDescent="0.25">
      <c r="A1192" s="1">
        <v>38777</v>
      </c>
      <c r="B1192" t="s">
        <v>13</v>
      </c>
      <c r="C1192" t="s">
        <v>8</v>
      </c>
      <c r="D1192">
        <v>18</v>
      </c>
      <c r="E1192" s="2">
        <v>2.4189814814814813E-2</v>
      </c>
      <c r="F1192">
        <v>34.833333333333336</v>
      </c>
    </row>
    <row r="1193" spans="1:6" x14ac:dyDescent="0.25">
      <c r="A1193" s="1">
        <v>38777</v>
      </c>
      <c r="B1193" t="s">
        <v>13</v>
      </c>
      <c r="C1193" t="s">
        <v>9</v>
      </c>
      <c r="D1193">
        <v>9</v>
      </c>
      <c r="E1193" s="2">
        <v>8.9120370370370378E-3</v>
      </c>
      <c r="F1193">
        <v>12.833333333333334</v>
      </c>
    </row>
    <row r="1194" spans="1:6" x14ac:dyDescent="0.25">
      <c r="A1194" s="1">
        <v>38777</v>
      </c>
      <c r="B1194" t="s">
        <v>13</v>
      </c>
      <c r="C1194" t="s">
        <v>10</v>
      </c>
      <c r="D1194">
        <v>12</v>
      </c>
      <c r="E1194" s="2">
        <v>8.1712962962962963E-3</v>
      </c>
      <c r="F1194">
        <v>11.766666666666667</v>
      </c>
    </row>
    <row r="1195" spans="1:6" x14ac:dyDescent="0.25">
      <c r="A1195" s="1">
        <v>38777</v>
      </c>
      <c r="B1195" t="s">
        <v>13</v>
      </c>
      <c r="C1195" t="s">
        <v>11</v>
      </c>
      <c r="D1195">
        <v>7</v>
      </c>
      <c r="E1195" s="2">
        <v>6.099537037037037E-3</v>
      </c>
      <c r="F1195">
        <v>8.7833333333333332</v>
      </c>
    </row>
    <row r="1196" spans="1:6" x14ac:dyDescent="0.25">
      <c r="A1196" s="1">
        <v>38777</v>
      </c>
      <c r="B1196" t="s">
        <v>14</v>
      </c>
      <c r="C1196" t="s">
        <v>6</v>
      </c>
      <c r="D1196">
        <v>37</v>
      </c>
      <c r="E1196" s="2">
        <v>4.252314814814815E-2</v>
      </c>
      <c r="F1196">
        <v>61.233333333333334</v>
      </c>
    </row>
    <row r="1197" spans="1:6" x14ac:dyDescent="0.25">
      <c r="A1197" s="1">
        <v>38777</v>
      </c>
      <c r="B1197" t="s">
        <v>14</v>
      </c>
      <c r="C1197" t="s">
        <v>7</v>
      </c>
      <c r="D1197">
        <v>46</v>
      </c>
      <c r="E1197" s="2">
        <v>5.047453703703704E-2</v>
      </c>
      <c r="F1197">
        <v>72.683333333333337</v>
      </c>
    </row>
    <row r="1198" spans="1:6" x14ac:dyDescent="0.25">
      <c r="A1198" s="1">
        <v>38777</v>
      </c>
      <c r="B1198" t="s">
        <v>14</v>
      </c>
      <c r="C1198" t="s">
        <v>8</v>
      </c>
      <c r="D1198">
        <v>30</v>
      </c>
      <c r="E1198" s="2">
        <v>3.7592592592592594E-2</v>
      </c>
      <c r="F1198">
        <v>54.133333333333333</v>
      </c>
    </row>
    <row r="1199" spans="1:6" x14ac:dyDescent="0.25">
      <c r="A1199" s="1">
        <v>38777</v>
      </c>
      <c r="B1199" t="s">
        <v>14</v>
      </c>
      <c r="C1199" t="s">
        <v>9</v>
      </c>
      <c r="D1199">
        <v>9</v>
      </c>
      <c r="E1199" s="2">
        <v>7.6736111111111111E-3</v>
      </c>
      <c r="F1199">
        <v>11.05</v>
      </c>
    </row>
    <row r="1200" spans="1:6" x14ac:dyDescent="0.25">
      <c r="A1200" s="1">
        <v>38777</v>
      </c>
      <c r="B1200" t="s">
        <v>14</v>
      </c>
      <c r="C1200" t="s">
        <v>10</v>
      </c>
      <c r="D1200">
        <v>10</v>
      </c>
      <c r="E1200" s="2">
        <v>1.1828703703703704E-2</v>
      </c>
      <c r="F1200">
        <v>17.033333333333335</v>
      </c>
    </row>
    <row r="1201" spans="1:6" x14ac:dyDescent="0.25">
      <c r="A1201" s="1">
        <v>38777</v>
      </c>
      <c r="B1201" t="s">
        <v>14</v>
      </c>
      <c r="C1201" t="s">
        <v>11</v>
      </c>
      <c r="D1201">
        <v>20</v>
      </c>
      <c r="E1201" s="2">
        <v>2.2928240740740742E-2</v>
      </c>
      <c r="F1201">
        <v>33.016666666666666</v>
      </c>
    </row>
    <row r="1202" spans="1:6" x14ac:dyDescent="0.25">
      <c r="A1202" s="1">
        <v>38777</v>
      </c>
      <c r="B1202" t="s">
        <v>15</v>
      </c>
      <c r="C1202" t="s">
        <v>6</v>
      </c>
      <c r="D1202">
        <v>40</v>
      </c>
      <c r="E1202" s="2">
        <v>4.4467592592592593E-2</v>
      </c>
      <c r="F1202">
        <v>64.033333333333331</v>
      </c>
    </row>
    <row r="1203" spans="1:6" x14ac:dyDescent="0.25">
      <c r="A1203" s="1">
        <v>38777</v>
      </c>
      <c r="B1203" t="s">
        <v>15</v>
      </c>
      <c r="C1203" t="s">
        <v>7</v>
      </c>
      <c r="D1203">
        <v>24</v>
      </c>
      <c r="E1203" s="2">
        <v>2.1342592592592594E-2</v>
      </c>
      <c r="F1203">
        <v>30.733333333333334</v>
      </c>
    </row>
    <row r="1204" spans="1:6" x14ac:dyDescent="0.25">
      <c r="A1204" s="1">
        <v>38777</v>
      </c>
      <c r="B1204" t="s">
        <v>15</v>
      </c>
      <c r="C1204" t="s">
        <v>8</v>
      </c>
      <c r="D1204">
        <v>20</v>
      </c>
      <c r="E1204" s="2">
        <v>1.9733796296296298E-2</v>
      </c>
      <c r="F1204">
        <v>28.416666666666668</v>
      </c>
    </row>
    <row r="1205" spans="1:6" x14ac:dyDescent="0.25">
      <c r="A1205" s="1">
        <v>38777</v>
      </c>
      <c r="B1205" t="s">
        <v>15</v>
      </c>
      <c r="C1205" t="s">
        <v>9</v>
      </c>
      <c r="D1205">
        <v>4</v>
      </c>
      <c r="E1205" s="2">
        <v>3.6226851851851854E-3</v>
      </c>
      <c r="F1205">
        <v>5.2166666666666668</v>
      </c>
    </row>
    <row r="1206" spans="1:6" x14ac:dyDescent="0.25">
      <c r="A1206" s="1">
        <v>38777</v>
      </c>
      <c r="B1206" t="s">
        <v>15</v>
      </c>
      <c r="C1206" t="s">
        <v>10</v>
      </c>
      <c r="D1206">
        <v>18</v>
      </c>
      <c r="E1206" s="2">
        <v>2.1030092592592593E-2</v>
      </c>
      <c r="F1206">
        <v>30.283333333333335</v>
      </c>
    </row>
    <row r="1207" spans="1:6" x14ac:dyDescent="0.25">
      <c r="A1207" s="1">
        <v>38777</v>
      </c>
      <c r="B1207" t="s">
        <v>15</v>
      </c>
      <c r="C1207" t="s">
        <v>11</v>
      </c>
      <c r="D1207">
        <v>6</v>
      </c>
      <c r="E1207" s="2">
        <v>4.0509259259259257E-3</v>
      </c>
      <c r="F1207">
        <v>5.833333333333333</v>
      </c>
    </row>
    <row r="1208" spans="1:6" x14ac:dyDescent="0.25">
      <c r="A1208" s="1">
        <v>38777</v>
      </c>
      <c r="B1208" t="s">
        <v>16</v>
      </c>
      <c r="C1208" t="s">
        <v>6</v>
      </c>
      <c r="D1208">
        <v>16</v>
      </c>
      <c r="E1208" s="2">
        <v>1.6307870370370372E-2</v>
      </c>
      <c r="F1208">
        <v>23.483333333333334</v>
      </c>
    </row>
    <row r="1209" spans="1:6" x14ac:dyDescent="0.25">
      <c r="A1209" s="1">
        <v>38777</v>
      </c>
      <c r="B1209" t="s">
        <v>16</v>
      </c>
      <c r="C1209" t="s">
        <v>7</v>
      </c>
      <c r="D1209">
        <v>8</v>
      </c>
      <c r="E1209" s="2">
        <v>1.3726851851851851E-2</v>
      </c>
      <c r="F1209">
        <v>19.766666666666666</v>
      </c>
    </row>
    <row r="1210" spans="1:6" x14ac:dyDescent="0.25">
      <c r="A1210" s="1">
        <v>38777</v>
      </c>
      <c r="B1210" t="s">
        <v>16</v>
      </c>
      <c r="C1210" t="s">
        <v>8</v>
      </c>
      <c r="D1210">
        <v>13</v>
      </c>
      <c r="E1210" s="2">
        <v>1.3668981481481482E-2</v>
      </c>
      <c r="F1210">
        <v>19.683333333333334</v>
      </c>
    </row>
    <row r="1211" spans="1:6" x14ac:dyDescent="0.25">
      <c r="A1211" s="1">
        <v>38777</v>
      </c>
      <c r="B1211" t="s">
        <v>16</v>
      </c>
      <c r="C1211" t="s">
        <v>9</v>
      </c>
      <c r="D1211">
        <v>6</v>
      </c>
      <c r="E1211" s="2">
        <v>4.1666666666666666E-3</v>
      </c>
      <c r="F1211">
        <v>6</v>
      </c>
    </row>
    <row r="1212" spans="1:6" x14ac:dyDescent="0.25">
      <c r="A1212" s="1">
        <v>38777</v>
      </c>
      <c r="B1212" t="s">
        <v>16</v>
      </c>
      <c r="C1212" t="s">
        <v>10</v>
      </c>
      <c r="D1212">
        <v>3</v>
      </c>
      <c r="E1212" s="2">
        <v>3.5995370370370369E-3</v>
      </c>
      <c r="F1212">
        <v>5.1833333333333336</v>
      </c>
    </row>
    <row r="1213" spans="1:6" x14ac:dyDescent="0.25">
      <c r="A1213" s="1">
        <v>38777</v>
      </c>
      <c r="B1213" t="s">
        <v>16</v>
      </c>
      <c r="C1213" t="s">
        <v>11</v>
      </c>
      <c r="D1213">
        <v>12</v>
      </c>
      <c r="E1213" s="2">
        <v>9.7685185185185184E-3</v>
      </c>
      <c r="F1213">
        <v>14.066666666666666</v>
      </c>
    </row>
    <row r="1214" spans="1:6" x14ac:dyDescent="0.25">
      <c r="A1214" s="1">
        <v>38777</v>
      </c>
      <c r="B1214" t="s">
        <v>17</v>
      </c>
      <c r="C1214" t="s">
        <v>6</v>
      </c>
      <c r="D1214">
        <v>6</v>
      </c>
      <c r="E1214" s="2">
        <v>6.0648148148148145E-3</v>
      </c>
      <c r="F1214">
        <v>8.7333333333333325</v>
      </c>
    </row>
    <row r="1215" spans="1:6" x14ac:dyDescent="0.25">
      <c r="A1215" s="1">
        <v>38777</v>
      </c>
      <c r="B1215" t="s">
        <v>17</v>
      </c>
      <c r="C1215" t="s">
        <v>7</v>
      </c>
      <c r="D1215">
        <v>2</v>
      </c>
      <c r="E1215" s="2">
        <v>2.9976851851851853E-3</v>
      </c>
      <c r="F1215">
        <v>4.3166666666666664</v>
      </c>
    </row>
    <row r="1216" spans="1:6" x14ac:dyDescent="0.25">
      <c r="A1216" s="1">
        <v>38777</v>
      </c>
      <c r="B1216" t="s">
        <v>17</v>
      </c>
      <c r="C1216" t="s">
        <v>8</v>
      </c>
      <c r="D1216">
        <v>5</v>
      </c>
      <c r="E1216" s="2">
        <v>6.6203703703703702E-3</v>
      </c>
      <c r="F1216">
        <v>9.5333333333333332</v>
      </c>
    </row>
    <row r="1217" spans="1:6" x14ac:dyDescent="0.25">
      <c r="A1217" s="1">
        <v>38777</v>
      </c>
      <c r="B1217" t="s">
        <v>17</v>
      </c>
      <c r="C1217" t="s">
        <v>9</v>
      </c>
      <c r="D1217">
        <v>0</v>
      </c>
      <c r="E1217" s="2">
        <v>0</v>
      </c>
      <c r="F1217">
        <v>0</v>
      </c>
    </row>
    <row r="1218" spans="1:6" x14ac:dyDescent="0.25">
      <c r="A1218" s="1">
        <v>38777</v>
      </c>
      <c r="B1218" t="s">
        <v>17</v>
      </c>
      <c r="C1218" t="s">
        <v>10</v>
      </c>
      <c r="D1218">
        <v>2</v>
      </c>
      <c r="E1218" s="2">
        <v>1.0185185185185184E-3</v>
      </c>
      <c r="F1218">
        <v>1.4666666666666668</v>
      </c>
    </row>
    <row r="1219" spans="1:6" x14ac:dyDescent="0.25">
      <c r="A1219" s="1">
        <v>38777</v>
      </c>
      <c r="B1219" t="s">
        <v>17</v>
      </c>
      <c r="C1219" t="s">
        <v>11</v>
      </c>
      <c r="D1219">
        <v>1</v>
      </c>
      <c r="E1219" s="2">
        <v>1.3310185185185185E-3</v>
      </c>
      <c r="F1219">
        <v>1.9166666666666665</v>
      </c>
    </row>
    <row r="1220" spans="1:6" x14ac:dyDescent="0.25">
      <c r="A1220" s="1">
        <v>38777</v>
      </c>
      <c r="B1220" t="s">
        <v>18</v>
      </c>
      <c r="C1220" t="s">
        <v>6</v>
      </c>
      <c r="D1220">
        <v>57</v>
      </c>
      <c r="E1220" s="2">
        <v>5.5266203703703706E-2</v>
      </c>
      <c r="F1220">
        <v>79.583333333333329</v>
      </c>
    </row>
    <row r="1221" spans="1:6" x14ac:dyDescent="0.25">
      <c r="A1221" s="1">
        <v>38777</v>
      </c>
      <c r="B1221" t="s">
        <v>18</v>
      </c>
      <c r="C1221" t="s">
        <v>7</v>
      </c>
      <c r="D1221">
        <v>72</v>
      </c>
      <c r="E1221" s="2">
        <v>6.1631944444444448E-2</v>
      </c>
      <c r="F1221">
        <v>88.75</v>
      </c>
    </row>
    <row r="1222" spans="1:6" x14ac:dyDescent="0.25">
      <c r="A1222" s="1">
        <v>38777</v>
      </c>
      <c r="B1222" t="s">
        <v>18</v>
      </c>
      <c r="C1222" t="s">
        <v>8</v>
      </c>
      <c r="D1222">
        <v>41</v>
      </c>
      <c r="E1222" s="2">
        <v>5.0243055555555555E-2</v>
      </c>
      <c r="F1222">
        <v>72.349999999999994</v>
      </c>
    </row>
    <row r="1223" spans="1:6" x14ac:dyDescent="0.25">
      <c r="A1223" s="1">
        <v>38777</v>
      </c>
      <c r="B1223" t="s">
        <v>18</v>
      </c>
      <c r="C1223" t="s">
        <v>9</v>
      </c>
      <c r="D1223">
        <v>46</v>
      </c>
      <c r="E1223" s="2">
        <v>4.476851851851852E-2</v>
      </c>
      <c r="F1223">
        <v>64.466666666666669</v>
      </c>
    </row>
    <row r="1224" spans="1:6" x14ac:dyDescent="0.25">
      <c r="A1224" s="1">
        <v>38777</v>
      </c>
      <c r="B1224" t="s">
        <v>18</v>
      </c>
      <c r="C1224" t="s">
        <v>10</v>
      </c>
      <c r="D1224">
        <v>133</v>
      </c>
      <c r="E1224" s="2">
        <v>0.14177083333333335</v>
      </c>
      <c r="F1224">
        <v>204.15</v>
      </c>
    </row>
    <row r="1225" spans="1:6" x14ac:dyDescent="0.25">
      <c r="A1225" s="1">
        <v>38777</v>
      </c>
      <c r="B1225" t="s">
        <v>18</v>
      </c>
      <c r="C1225" t="s">
        <v>11</v>
      </c>
      <c r="D1225">
        <v>30</v>
      </c>
      <c r="E1225" s="2">
        <v>2.074074074074074E-2</v>
      </c>
      <c r="F1225">
        <v>29.866666666666667</v>
      </c>
    </row>
    <row r="1226" spans="1:6" x14ac:dyDescent="0.25">
      <c r="A1226" s="1">
        <v>38777</v>
      </c>
      <c r="B1226" t="s">
        <v>19</v>
      </c>
      <c r="C1226" t="s">
        <v>6</v>
      </c>
      <c r="D1226">
        <v>45</v>
      </c>
      <c r="E1226" s="2">
        <v>4.4027777777777777E-2</v>
      </c>
      <c r="F1226">
        <v>63.4</v>
      </c>
    </row>
    <row r="1227" spans="1:6" x14ac:dyDescent="0.25">
      <c r="A1227" s="1">
        <v>38777</v>
      </c>
      <c r="B1227" t="s">
        <v>19</v>
      </c>
      <c r="C1227" t="s">
        <v>7</v>
      </c>
      <c r="D1227">
        <v>38</v>
      </c>
      <c r="E1227" s="2">
        <v>4.2453703703703702E-2</v>
      </c>
      <c r="F1227">
        <v>61.133333333333333</v>
      </c>
    </row>
    <row r="1228" spans="1:6" x14ac:dyDescent="0.25">
      <c r="A1228" s="1">
        <v>38777</v>
      </c>
      <c r="B1228" t="s">
        <v>19</v>
      </c>
      <c r="C1228" t="s">
        <v>8</v>
      </c>
      <c r="D1228">
        <v>31</v>
      </c>
      <c r="E1228" s="2">
        <v>3.7800925925925925E-2</v>
      </c>
      <c r="F1228">
        <v>54.43333333333333</v>
      </c>
    </row>
    <row r="1229" spans="1:6" x14ac:dyDescent="0.25">
      <c r="A1229" s="1">
        <v>38777</v>
      </c>
      <c r="B1229" t="s">
        <v>19</v>
      </c>
      <c r="C1229" t="s">
        <v>9</v>
      </c>
      <c r="D1229">
        <v>26</v>
      </c>
      <c r="E1229" s="2">
        <v>2.1863425925925925E-2</v>
      </c>
      <c r="F1229">
        <v>31.483333333333334</v>
      </c>
    </row>
    <row r="1230" spans="1:6" x14ac:dyDescent="0.25">
      <c r="A1230" s="1">
        <v>38777</v>
      </c>
      <c r="B1230" t="s">
        <v>19</v>
      </c>
      <c r="C1230" t="s">
        <v>10</v>
      </c>
      <c r="D1230">
        <v>34</v>
      </c>
      <c r="E1230" s="2">
        <v>3.0011574074074072E-2</v>
      </c>
      <c r="F1230">
        <v>43.216666666666669</v>
      </c>
    </row>
    <row r="1231" spans="1:6" x14ac:dyDescent="0.25">
      <c r="A1231" s="1">
        <v>38777</v>
      </c>
      <c r="B1231" t="s">
        <v>19</v>
      </c>
      <c r="C1231" t="s">
        <v>11</v>
      </c>
      <c r="D1231">
        <v>19</v>
      </c>
      <c r="E1231" s="2">
        <v>1.2025462962962963E-2</v>
      </c>
      <c r="F1231">
        <v>17.316666666666666</v>
      </c>
    </row>
    <row r="1232" spans="1:6" x14ac:dyDescent="0.25">
      <c r="A1232" s="1">
        <v>38777</v>
      </c>
      <c r="B1232" t="s">
        <v>20</v>
      </c>
      <c r="C1232" t="s">
        <v>6</v>
      </c>
      <c r="D1232">
        <v>32</v>
      </c>
      <c r="E1232" s="2">
        <v>3.3344907407407406E-2</v>
      </c>
      <c r="F1232">
        <v>48.016666666666666</v>
      </c>
    </row>
    <row r="1233" spans="1:6" x14ac:dyDescent="0.25">
      <c r="A1233" s="1">
        <v>38777</v>
      </c>
      <c r="B1233" t="s">
        <v>20</v>
      </c>
      <c r="C1233" t="s">
        <v>7</v>
      </c>
      <c r="D1233">
        <v>16</v>
      </c>
      <c r="E1233" s="2">
        <v>1.3703703703703704E-2</v>
      </c>
      <c r="F1233">
        <v>19.733333333333334</v>
      </c>
    </row>
    <row r="1234" spans="1:6" x14ac:dyDescent="0.25">
      <c r="A1234" s="1">
        <v>38777</v>
      </c>
      <c r="B1234" t="s">
        <v>20</v>
      </c>
      <c r="C1234" t="s">
        <v>8</v>
      </c>
      <c r="D1234">
        <v>22</v>
      </c>
      <c r="E1234" s="2">
        <v>3.1782407407407405E-2</v>
      </c>
      <c r="F1234">
        <v>45.766666666666666</v>
      </c>
    </row>
    <row r="1235" spans="1:6" x14ac:dyDescent="0.25">
      <c r="A1235" s="1">
        <v>38777</v>
      </c>
      <c r="B1235" t="s">
        <v>20</v>
      </c>
      <c r="C1235" t="s">
        <v>9</v>
      </c>
      <c r="D1235">
        <v>10</v>
      </c>
      <c r="E1235" s="2">
        <v>7.0717592592592594E-3</v>
      </c>
      <c r="F1235">
        <v>10.183333333333334</v>
      </c>
    </row>
    <row r="1236" spans="1:6" x14ac:dyDescent="0.25">
      <c r="A1236" s="1">
        <v>38777</v>
      </c>
      <c r="B1236" t="s">
        <v>20</v>
      </c>
      <c r="C1236" t="s">
        <v>10</v>
      </c>
      <c r="D1236">
        <v>3</v>
      </c>
      <c r="E1236" s="2">
        <v>1.5509259259259259E-3</v>
      </c>
      <c r="F1236">
        <v>2.2333333333333334</v>
      </c>
    </row>
    <row r="1237" spans="1:6" x14ac:dyDescent="0.25">
      <c r="A1237" s="1">
        <v>38777</v>
      </c>
      <c r="B1237" t="s">
        <v>20</v>
      </c>
      <c r="C1237" t="s">
        <v>11</v>
      </c>
      <c r="D1237">
        <v>8</v>
      </c>
      <c r="E1237" s="2">
        <v>6.5162037037037037E-3</v>
      </c>
      <c r="F1237">
        <v>9.3833333333333329</v>
      </c>
    </row>
    <row r="1238" spans="1:6" x14ac:dyDescent="0.25">
      <c r="A1238" s="1">
        <v>38777</v>
      </c>
      <c r="B1238" t="s">
        <v>21</v>
      </c>
      <c r="C1238" t="s">
        <v>6</v>
      </c>
      <c r="D1238">
        <v>59</v>
      </c>
      <c r="E1238" s="2">
        <v>6.7384259259259255E-2</v>
      </c>
      <c r="F1238">
        <v>97.033333333333331</v>
      </c>
    </row>
    <row r="1239" spans="1:6" x14ac:dyDescent="0.25">
      <c r="A1239" s="1">
        <v>38777</v>
      </c>
      <c r="B1239" t="s">
        <v>21</v>
      </c>
      <c r="C1239" t="s">
        <v>7</v>
      </c>
      <c r="D1239">
        <v>50</v>
      </c>
      <c r="E1239" s="2">
        <v>5.3993055555555558E-2</v>
      </c>
      <c r="F1239">
        <v>77.75</v>
      </c>
    </row>
    <row r="1240" spans="1:6" x14ac:dyDescent="0.25">
      <c r="A1240" s="1">
        <v>38777</v>
      </c>
      <c r="B1240" t="s">
        <v>21</v>
      </c>
      <c r="C1240" t="s">
        <v>8</v>
      </c>
      <c r="D1240">
        <v>21</v>
      </c>
      <c r="E1240" s="2">
        <v>2.5763888888888888E-2</v>
      </c>
      <c r="F1240">
        <v>37.1</v>
      </c>
    </row>
    <row r="1241" spans="1:6" x14ac:dyDescent="0.25">
      <c r="A1241" s="1">
        <v>38777</v>
      </c>
      <c r="B1241" t="s">
        <v>21</v>
      </c>
      <c r="C1241" t="s">
        <v>9</v>
      </c>
      <c r="D1241">
        <v>12</v>
      </c>
      <c r="E1241" s="2">
        <v>9.5601851851851855E-3</v>
      </c>
      <c r="F1241">
        <v>13.766666666666667</v>
      </c>
    </row>
    <row r="1242" spans="1:6" x14ac:dyDescent="0.25">
      <c r="A1242" s="1">
        <v>38777</v>
      </c>
      <c r="B1242" t="s">
        <v>21</v>
      </c>
      <c r="C1242" t="s">
        <v>10</v>
      </c>
      <c r="D1242">
        <v>19</v>
      </c>
      <c r="E1242" s="2">
        <v>2.1736111111111112E-2</v>
      </c>
      <c r="F1242">
        <v>31.3</v>
      </c>
    </row>
    <row r="1243" spans="1:6" x14ac:dyDescent="0.25">
      <c r="A1243" s="1">
        <v>38777</v>
      </c>
      <c r="B1243" t="s">
        <v>21</v>
      </c>
      <c r="C1243" t="s">
        <v>11</v>
      </c>
      <c r="D1243">
        <v>15</v>
      </c>
      <c r="E1243" s="2">
        <v>1.3136574074074075E-2</v>
      </c>
      <c r="F1243">
        <v>18.916666666666668</v>
      </c>
    </row>
    <row r="1244" spans="1:6" x14ac:dyDescent="0.25">
      <c r="A1244" s="1">
        <v>38777</v>
      </c>
      <c r="B1244" t="s">
        <v>22</v>
      </c>
      <c r="C1244" t="s">
        <v>6</v>
      </c>
      <c r="D1244">
        <v>14</v>
      </c>
      <c r="E1244" s="2">
        <v>1.2372685185185184E-2</v>
      </c>
      <c r="F1244">
        <v>17.816666666666666</v>
      </c>
    </row>
    <row r="1245" spans="1:6" x14ac:dyDescent="0.25">
      <c r="A1245" s="1">
        <v>38777</v>
      </c>
      <c r="B1245" t="s">
        <v>22</v>
      </c>
      <c r="C1245" t="s">
        <v>7</v>
      </c>
      <c r="D1245">
        <v>15</v>
      </c>
      <c r="E1245" s="2">
        <v>1.5879629629629629E-2</v>
      </c>
      <c r="F1245">
        <v>22.866666666666667</v>
      </c>
    </row>
    <row r="1246" spans="1:6" x14ac:dyDescent="0.25">
      <c r="A1246" s="1">
        <v>38777</v>
      </c>
      <c r="B1246" t="s">
        <v>22</v>
      </c>
      <c r="C1246" t="s">
        <v>8</v>
      </c>
      <c r="D1246">
        <v>10</v>
      </c>
      <c r="E1246" s="2">
        <v>1.2835648148148148E-2</v>
      </c>
      <c r="F1246">
        <v>18.483333333333334</v>
      </c>
    </row>
    <row r="1247" spans="1:6" x14ac:dyDescent="0.25">
      <c r="A1247" s="1">
        <v>38777</v>
      </c>
      <c r="B1247" t="s">
        <v>22</v>
      </c>
      <c r="C1247" t="s">
        <v>9</v>
      </c>
      <c r="D1247">
        <v>10</v>
      </c>
      <c r="E1247" s="2">
        <v>1.0127314814814815E-2</v>
      </c>
      <c r="F1247">
        <v>14.583333333333334</v>
      </c>
    </row>
    <row r="1248" spans="1:6" x14ac:dyDescent="0.25">
      <c r="A1248" s="1">
        <v>38777</v>
      </c>
      <c r="B1248" t="s">
        <v>22</v>
      </c>
      <c r="C1248" t="s">
        <v>10</v>
      </c>
      <c r="D1248">
        <v>7</v>
      </c>
      <c r="E1248" s="2">
        <v>2.3379629629629631E-3</v>
      </c>
      <c r="F1248">
        <v>3.3666666666666667</v>
      </c>
    </row>
    <row r="1249" spans="1:6" x14ac:dyDescent="0.25">
      <c r="A1249" s="1">
        <v>38777</v>
      </c>
      <c r="B1249" t="s">
        <v>22</v>
      </c>
      <c r="C1249" t="s">
        <v>11</v>
      </c>
      <c r="D1249">
        <v>8</v>
      </c>
      <c r="E1249" s="2">
        <v>4.0740740740740737E-3</v>
      </c>
      <c r="F1249">
        <v>5.8666666666666671</v>
      </c>
    </row>
    <row r="1250" spans="1:6" x14ac:dyDescent="0.25">
      <c r="A1250" s="1">
        <v>38777</v>
      </c>
      <c r="B1250" t="s">
        <v>23</v>
      </c>
      <c r="C1250" t="s">
        <v>6</v>
      </c>
      <c r="D1250">
        <v>211</v>
      </c>
      <c r="E1250" s="2">
        <v>0.24912037037037038</v>
      </c>
      <c r="F1250">
        <v>358.73333333333335</v>
      </c>
    </row>
    <row r="1251" spans="1:6" x14ac:dyDescent="0.25">
      <c r="A1251" s="1">
        <v>38777</v>
      </c>
      <c r="B1251" t="s">
        <v>23</v>
      </c>
      <c r="C1251" t="s">
        <v>7</v>
      </c>
      <c r="D1251">
        <v>230</v>
      </c>
      <c r="E1251" s="2">
        <v>0.26069444444444445</v>
      </c>
      <c r="F1251">
        <v>375.4</v>
      </c>
    </row>
    <row r="1252" spans="1:6" x14ac:dyDescent="0.25">
      <c r="A1252" s="1">
        <v>38777</v>
      </c>
      <c r="B1252" t="s">
        <v>23</v>
      </c>
      <c r="C1252" t="s">
        <v>8</v>
      </c>
      <c r="D1252">
        <v>147</v>
      </c>
      <c r="E1252" s="2">
        <v>0.19609953703703703</v>
      </c>
      <c r="F1252">
        <v>282.38333333333333</v>
      </c>
    </row>
    <row r="1253" spans="1:6" x14ac:dyDescent="0.25">
      <c r="A1253" s="1">
        <v>38777</v>
      </c>
      <c r="B1253" t="s">
        <v>23</v>
      </c>
      <c r="C1253" t="s">
        <v>9</v>
      </c>
      <c r="D1253">
        <v>60</v>
      </c>
      <c r="E1253" s="2">
        <v>5.0949074074074077E-2</v>
      </c>
      <c r="F1253">
        <v>73.36666666666666</v>
      </c>
    </row>
    <row r="1254" spans="1:6" x14ac:dyDescent="0.25">
      <c r="A1254" s="1">
        <v>38777</v>
      </c>
      <c r="B1254" t="s">
        <v>23</v>
      </c>
      <c r="C1254" t="s">
        <v>10</v>
      </c>
      <c r="D1254">
        <v>67</v>
      </c>
      <c r="E1254" s="2">
        <v>7.0358796296296294E-2</v>
      </c>
      <c r="F1254">
        <v>101.31666666666666</v>
      </c>
    </row>
    <row r="1255" spans="1:6" x14ac:dyDescent="0.25">
      <c r="A1255" s="1">
        <v>38777</v>
      </c>
      <c r="B1255" t="s">
        <v>23</v>
      </c>
      <c r="C1255" t="s">
        <v>11</v>
      </c>
      <c r="D1255">
        <v>78</v>
      </c>
      <c r="E1255" s="2">
        <v>8.6180555555555552E-2</v>
      </c>
      <c r="F1255">
        <v>124.1</v>
      </c>
    </row>
    <row r="1256" spans="1:6" x14ac:dyDescent="0.25">
      <c r="A1256" s="1">
        <v>38777</v>
      </c>
      <c r="B1256" t="s">
        <v>24</v>
      </c>
      <c r="C1256" t="s">
        <v>6</v>
      </c>
      <c r="D1256">
        <v>47</v>
      </c>
      <c r="E1256" s="2">
        <v>4.0763888888888891E-2</v>
      </c>
      <c r="F1256">
        <v>58.7</v>
      </c>
    </row>
    <row r="1257" spans="1:6" x14ac:dyDescent="0.25">
      <c r="A1257" s="1">
        <v>38777</v>
      </c>
      <c r="B1257" t="s">
        <v>24</v>
      </c>
      <c r="C1257" t="s">
        <v>7</v>
      </c>
      <c r="D1257">
        <v>42</v>
      </c>
      <c r="E1257" s="2">
        <v>3.5046296296296298E-2</v>
      </c>
      <c r="F1257">
        <v>50.466666666666669</v>
      </c>
    </row>
    <row r="1258" spans="1:6" x14ac:dyDescent="0.25">
      <c r="A1258" s="1">
        <v>38777</v>
      </c>
      <c r="B1258" t="s">
        <v>24</v>
      </c>
      <c r="C1258" t="s">
        <v>8</v>
      </c>
      <c r="D1258">
        <v>23</v>
      </c>
      <c r="E1258" s="2">
        <v>2.3622685185185184E-2</v>
      </c>
      <c r="F1258">
        <v>34.016666666666666</v>
      </c>
    </row>
    <row r="1259" spans="1:6" x14ac:dyDescent="0.25">
      <c r="A1259" s="1">
        <v>38777</v>
      </c>
      <c r="B1259" t="s">
        <v>24</v>
      </c>
      <c r="C1259" t="s">
        <v>9</v>
      </c>
      <c r="D1259">
        <v>7</v>
      </c>
      <c r="E1259" s="2">
        <v>6.9560185185185185E-3</v>
      </c>
      <c r="F1259">
        <v>10.016666666666667</v>
      </c>
    </row>
    <row r="1260" spans="1:6" x14ac:dyDescent="0.25">
      <c r="A1260" s="1">
        <v>38777</v>
      </c>
      <c r="B1260" t="s">
        <v>24</v>
      </c>
      <c r="C1260" t="s">
        <v>10</v>
      </c>
      <c r="D1260">
        <v>2</v>
      </c>
      <c r="E1260" s="2">
        <v>4.0046296296296297E-3</v>
      </c>
      <c r="F1260">
        <v>5.7666666666666666</v>
      </c>
    </row>
    <row r="1261" spans="1:6" x14ac:dyDescent="0.25">
      <c r="A1261" s="1">
        <v>38777</v>
      </c>
      <c r="B1261" t="s">
        <v>24</v>
      </c>
      <c r="C1261" t="s">
        <v>11</v>
      </c>
      <c r="D1261">
        <v>23</v>
      </c>
      <c r="E1261" s="2">
        <v>1.5543981481481482E-2</v>
      </c>
      <c r="F1261">
        <v>22.383333333333333</v>
      </c>
    </row>
    <row r="1262" spans="1:6" x14ac:dyDescent="0.25">
      <c r="A1262" s="1">
        <v>38808</v>
      </c>
      <c r="B1262" t="s">
        <v>5</v>
      </c>
      <c r="C1262" t="s">
        <v>6</v>
      </c>
      <c r="D1262">
        <v>12</v>
      </c>
      <c r="E1262" s="2">
        <v>1.1122685185185185E-2</v>
      </c>
      <c r="F1262">
        <v>16.016666666666666</v>
      </c>
    </row>
    <row r="1263" spans="1:6" x14ac:dyDescent="0.25">
      <c r="A1263" s="1">
        <v>38808</v>
      </c>
      <c r="B1263" t="s">
        <v>5</v>
      </c>
      <c r="C1263" t="s">
        <v>7</v>
      </c>
      <c r="D1263">
        <v>9</v>
      </c>
      <c r="E1263" s="2">
        <v>8.6342592592592599E-3</v>
      </c>
      <c r="F1263">
        <v>12.433333333333334</v>
      </c>
    </row>
    <row r="1264" spans="1:6" x14ac:dyDescent="0.25">
      <c r="A1264" s="1">
        <v>38808</v>
      </c>
      <c r="B1264" t="s">
        <v>5</v>
      </c>
      <c r="C1264" t="s">
        <v>8</v>
      </c>
      <c r="D1264">
        <v>8</v>
      </c>
      <c r="E1264" s="2">
        <v>6.0879629629629626E-3</v>
      </c>
      <c r="F1264">
        <v>8.7666666666666675</v>
      </c>
    </row>
    <row r="1265" spans="1:6" x14ac:dyDescent="0.25">
      <c r="A1265" s="1">
        <v>38808</v>
      </c>
      <c r="B1265" t="s">
        <v>5</v>
      </c>
      <c r="C1265" t="s">
        <v>9</v>
      </c>
      <c r="D1265">
        <v>1</v>
      </c>
      <c r="E1265" s="2">
        <v>9.1435185185185185E-4</v>
      </c>
      <c r="F1265">
        <v>1.3166666666666667</v>
      </c>
    </row>
    <row r="1266" spans="1:6" x14ac:dyDescent="0.25">
      <c r="A1266" s="1">
        <v>38808</v>
      </c>
      <c r="B1266" t="s">
        <v>5</v>
      </c>
      <c r="C1266" t="s">
        <v>10</v>
      </c>
      <c r="D1266">
        <v>13</v>
      </c>
      <c r="E1266" s="2">
        <v>9.1319444444444443E-3</v>
      </c>
      <c r="F1266">
        <v>13.15</v>
      </c>
    </row>
    <row r="1267" spans="1:6" x14ac:dyDescent="0.25">
      <c r="A1267" s="1">
        <v>38808</v>
      </c>
      <c r="B1267" t="s">
        <v>5</v>
      </c>
      <c r="C1267" t="s">
        <v>11</v>
      </c>
      <c r="D1267">
        <v>5</v>
      </c>
      <c r="E1267" s="2">
        <v>2.685185185185185E-3</v>
      </c>
      <c r="F1267">
        <v>3.8666666666666667</v>
      </c>
    </row>
    <row r="1268" spans="1:6" x14ac:dyDescent="0.25">
      <c r="A1268" s="1">
        <v>38808</v>
      </c>
      <c r="B1268" t="s">
        <v>12</v>
      </c>
      <c r="C1268" t="s">
        <v>6</v>
      </c>
      <c r="D1268">
        <v>37</v>
      </c>
      <c r="E1268" s="2">
        <v>4.0937500000000002E-2</v>
      </c>
      <c r="F1268">
        <v>58.95</v>
      </c>
    </row>
    <row r="1269" spans="1:6" x14ac:dyDescent="0.25">
      <c r="A1269" s="1">
        <v>38808</v>
      </c>
      <c r="B1269" t="s">
        <v>12</v>
      </c>
      <c r="C1269" t="s">
        <v>7</v>
      </c>
      <c r="D1269">
        <v>66</v>
      </c>
      <c r="E1269" s="2">
        <v>8.1412037037037033E-2</v>
      </c>
      <c r="F1269">
        <v>117.23333333333333</v>
      </c>
    </row>
    <row r="1270" spans="1:6" x14ac:dyDescent="0.25">
      <c r="A1270" s="1">
        <v>38808</v>
      </c>
      <c r="B1270" t="s">
        <v>12</v>
      </c>
      <c r="C1270" t="s">
        <v>8</v>
      </c>
      <c r="D1270">
        <v>24</v>
      </c>
      <c r="E1270" s="2">
        <v>3.2824074074074075E-2</v>
      </c>
      <c r="F1270">
        <v>47.266666666666666</v>
      </c>
    </row>
    <row r="1271" spans="1:6" x14ac:dyDescent="0.25">
      <c r="A1271" s="1">
        <v>38808</v>
      </c>
      <c r="B1271" t="s">
        <v>12</v>
      </c>
      <c r="C1271" t="s">
        <v>9</v>
      </c>
      <c r="D1271">
        <v>11</v>
      </c>
      <c r="E1271" s="2">
        <v>1.1284722222222222E-2</v>
      </c>
      <c r="F1271">
        <v>16.25</v>
      </c>
    </row>
    <row r="1272" spans="1:6" x14ac:dyDescent="0.25">
      <c r="A1272" s="1">
        <v>38808</v>
      </c>
      <c r="B1272" t="s">
        <v>12</v>
      </c>
      <c r="C1272" t="s">
        <v>10</v>
      </c>
      <c r="D1272">
        <v>2</v>
      </c>
      <c r="E1272" s="2">
        <v>2.8356481481481483E-3</v>
      </c>
      <c r="F1272">
        <v>4.083333333333333</v>
      </c>
    </row>
    <row r="1273" spans="1:6" x14ac:dyDescent="0.25">
      <c r="A1273" s="1">
        <v>38808</v>
      </c>
      <c r="B1273" t="s">
        <v>12</v>
      </c>
      <c r="C1273" t="s">
        <v>11</v>
      </c>
      <c r="D1273">
        <v>16</v>
      </c>
      <c r="E1273" s="2">
        <v>1.6203703703703703E-2</v>
      </c>
      <c r="F1273">
        <v>23.333333333333332</v>
      </c>
    </row>
    <row r="1274" spans="1:6" x14ac:dyDescent="0.25">
      <c r="A1274" s="1">
        <v>38808</v>
      </c>
      <c r="B1274" t="s">
        <v>13</v>
      </c>
      <c r="C1274" t="s">
        <v>6</v>
      </c>
      <c r="D1274">
        <v>53</v>
      </c>
      <c r="E1274" s="2">
        <v>6.0983796296296293E-2</v>
      </c>
      <c r="F1274">
        <v>87.816666666666663</v>
      </c>
    </row>
    <row r="1275" spans="1:6" x14ac:dyDescent="0.25">
      <c r="A1275" s="1">
        <v>38808</v>
      </c>
      <c r="B1275" t="s">
        <v>13</v>
      </c>
      <c r="C1275" t="s">
        <v>7</v>
      </c>
      <c r="D1275">
        <v>51</v>
      </c>
      <c r="E1275" s="2">
        <v>6.2962962962962957E-2</v>
      </c>
      <c r="F1275">
        <v>90.666666666666671</v>
      </c>
    </row>
    <row r="1276" spans="1:6" x14ac:dyDescent="0.25">
      <c r="A1276" s="1">
        <v>38808</v>
      </c>
      <c r="B1276" t="s">
        <v>13</v>
      </c>
      <c r="C1276" t="s">
        <v>8</v>
      </c>
      <c r="D1276">
        <v>37</v>
      </c>
      <c r="E1276" s="2">
        <v>4.5092592592592594E-2</v>
      </c>
      <c r="F1276">
        <v>64.933333333333337</v>
      </c>
    </row>
    <row r="1277" spans="1:6" x14ac:dyDescent="0.25">
      <c r="A1277" s="1">
        <v>38808</v>
      </c>
      <c r="B1277" t="s">
        <v>13</v>
      </c>
      <c r="C1277" t="s">
        <v>9</v>
      </c>
      <c r="D1277">
        <v>15</v>
      </c>
      <c r="E1277" s="2">
        <v>1.4097222222222223E-2</v>
      </c>
      <c r="F1277">
        <v>20.3</v>
      </c>
    </row>
    <row r="1278" spans="1:6" x14ac:dyDescent="0.25">
      <c r="A1278" s="1">
        <v>38808</v>
      </c>
      <c r="B1278" t="s">
        <v>13</v>
      </c>
      <c r="C1278" t="s">
        <v>10</v>
      </c>
      <c r="D1278">
        <v>10</v>
      </c>
      <c r="E1278" s="2">
        <v>1.0208333333333333E-2</v>
      </c>
      <c r="F1278">
        <v>14.7</v>
      </c>
    </row>
    <row r="1279" spans="1:6" x14ac:dyDescent="0.25">
      <c r="A1279" s="1">
        <v>38808</v>
      </c>
      <c r="B1279" t="s">
        <v>13</v>
      </c>
      <c r="C1279" t="s">
        <v>11</v>
      </c>
      <c r="D1279">
        <v>19</v>
      </c>
      <c r="E1279" s="2">
        <v>1.6145833333333335E-2</v>
      </c>
      <c r="F1279">
        <v>23.25</v>
      </c>
    </row>
    <row r="1280" spans="1:6" x14ac:dyDescent="0.25">
      <c r="A1280" s="1">
        <v>38808</v>
      </c>
      <c r="B1280" t="s">
        <v>14</v>
      </c>
      <c r="C1280" t="s">
        <v>6</v>
      </c>
      <c r="D1280">
        <v>22</v>
      </c>
      <c r="E1280" s="2">
        <v>2.6898148148148147E-2</v>
      </c>
      <c r="F1280">
        <v>38.733333333333334</v>
      </c>
    </row>
    <row r="1281" spans="1:6" x14ac:dyDescent="0.25">
      <c r="A1281" s="1">
        <v>38808</v>
      </c>
      <c r="B1281" t="s">
        <v>14</v>
      </c>
      <c r="C1281" t="s">
        <v>7</v>
      </c>
      <c r="D1281">
        <v>24</v>
      </c>
      <c r="E1281" s="2">
        <v>2.6956018518518518E-2</v>
      </c>
      <c r="F1281">
        <v>38.81666666666667</v>
      </c>
    </row>
    <row r="1282" spans="1:6" x14ac:dyDescent="0.25">
      <c r="A1282" s="1">
        <v>38808</v>
      </c>
      <c r="B1282" t="s">
        <v>14</v>
      </c>
      <c r="C1282" t="s">
        <v>8</v>
      </c>
      <c r="D1282">
        <v>16</v>
      </c>
      <c r="E1282" s="2">
        <v>2.0300925925925927E-2</v>
      </c>
      <c r="F1282">
        <v>29.233333333333334</v>
      </c>
    </row>
    <row r="1283" spans="1:6" x14ac:dyDescent="0.25">
      <c r="A1283" s="1">
        <v>38808</v>
      </c>
      <c r="B1283" t="s">
        <v>14</v>
      </c>
      <c r="C1283" t="s">
        <v>9</v>
      </c>
      <c r="D1283">
        <v>4</v>
      </c>
      <c r="E1283" s="2">
        <v>2.7314814814814814E-3</v>
      </c>
      <c r="F1283">
        <v>3.9333333333333336</v>
      </c>
    </row>
    <row r="1284" spans="1:6" x14ac:dyDescent="0.25">
      <c r="A1284" s="1">
        <v>38808</v>
      </c>
      <c r="B1284" t="s">
        <v>14</v>
      </c>
      <c r="C1284" t="s">
        <v>10</v>
      </c>
      <c r="D1284">
        <v>3</v>
      </c>
      <c r="E1284" s="2">
        <v>3.3564814814814816E-3</v>
      </c>
      <c r="F1284">
        <v>4.833333333333333</v>
      </c>
    </row>
    <row r="1285" spans="1:6" x14ac:dyDescent="0.25">
      <c r="A1285" s="1">
        <v>38808</v>
      </c>
      <c r="B1285" t="s">
        <v>14</v>
      </c>
      <c r="C1285" t="s">
        <v>11</v>
      </c>
      <c r="D1285">
        <v>9</v>
      </c>
      <c r="E1285" s="2">
        <v>8.9004629629629625E-3</v>
      </c>
      <c r="F1285">
        <v>12.816666666666666</v>
      </c>
    </row>
    <row r="1286" spans="1:6" x14ac:dyDescent="0.25">
      <c r="A1286" s="1">
        <v>38808</v>
      </c>
      <c r="B1286" t="s">
        <v>15</v>
      </c>
      <c r="C1286" t="s">
        <v>6</v>
      </c>
      <c r="D1286">
        <v>39</v>
      </c>
      <c r="E1286" s="2">
        <v>4.3194444444444445E-2</v>
      </c>
      <c r="F1286">
        <v>62.2</v>
      </c>
    </row>
    <row r="1287" spans="1:6" x14ac:dyDescent="0.25">
      <c r="A1287" s="1">
        <v>38808</v>
      </c>
      <c r="B1287" t="s">
        <v>15</v>
      </c>
      <c r="C1287" t="s">
        <v>7</v>
      </c>
      <c r="D1287">
        <v>26</v>
      </c>
      <c r="E1287" s="2">
        <v>2.5497685185185186E-2</v>
      </c>
      <c r="F1287">
        <v>36.716666666666669</v>
      </c>
    </row>
    <row r="1288" spans="1:6" x14ac:dyDescent="0.25">
      <c r="A1288" s="1">
        <v>38808</v>
      </c>
      <c r="B1288" t="s">
        <v>15</v>
      </c>
      <c r="C1288" t="s">
        <v>8</v>
      </c>
      <c r="D1288">
        <v>13</v>
      </c>
      <c r="E1288" s="2">
        <v>1.357638888888889E-2</v>
      </c>
      <c r="F1288">
        <v>19.55</v>
      </c>
    </row>
    <row r="1289" spans="1:6" x14ac:dyDescent="0.25">
      <c r="A1289" s="1">
        <v>38808</v>
      </c>
      <c r="B1289" t="s">
        <v>15</v>
      </c>
      <c r="C1289" t="s">
        <v>9</v>
      </c>
      <c r="D1289">
        <v>3</v>
      </c>
      <c r="E1289" s="2">
        <v>2.5347222222222221E-3</v>
      </c>
      <c r="F1289">
        <v>3.65</v>
      </c>
    </row>
    <row r="1290" spans="1:6" x14ac:dyDescent="0.25">
      <c r="A1290" s="1">
        <v>38808</v>
      </c>
      <c r="B1290" t="s">
        <v>15</v>
      </c>
      <c r="C1290" t="s">
        <v>10</v>
      </c>
      <c r="D1290">
        <v>8</v>
      </c>
      <c r="E1290" s="2">
        <v>9.1898148148148156E-3</v>
      </c>
      <c r="F1290">
        <v>13.233333333333333</v>
      </c>
    </row>
    <row r="1291" spans="1:6" x14ac:dyDescent="0.25">
      <c r="A1291" s="1">
        <v>38808</v>
      </c>
      <c r="B1291" t="s">
        <v>15</v>
      </c>
      <c r="C1291" t="s">
        <v>11</v>
      </c>
      <c r="D1291">
        <v>9</v>
      </c>
      <c r="E1291" s="2">
        <v>5.7407407407407407E-3</v>
      </c>
      <c r="F1291">
        <v>8.2666666666666675</v>
      </c>
    </row>
    <row r="1292" spans="1:6" x14ac:dyDescent="0.25">
      <c r="A1292" s="1">
        <v>38808</v>
      </c>
      <c r="B1292" t="s">
        <v>16</v>
      </c>
      <c r="C1292" t="s">
        <v>6</v>
      </c>
      <c r="D1292">
        <v>19</v>
      </c>
      <c r="E1292" s="2">
        <v>2.0682870370370369E-2</v>
      </c>
      <c r="F1292">
        <v>29.783333333333335</v>
      </c>
    </row>
    <row r="1293" spans="1:6" x14ac:dyDescent="0.25">
      <c r="A1293" s="1">
        <v>38808</v>
      </c>
      <c r="B1293" t="s">
        <v>16</v>
      </c>
      <c r="C1293" t="s">
        <v>7</v>
      </c>
      <c r="D1293">
        <v>15</v>
      </c>
      <c r="E1293" s="2">
        <v>1.4224537037037037E-2</v>
      </c>
      <c r="F1293">
        <v>20.483333333333334</v>
      </c>
    </row>
    <row r="1294" spans="1:6" x14ac:dyDescent="0.25">
      <c r="A1294" s="1">
        <v>38808</v>
      </c>
      <c r="B1294" t="s">
        <v>16</v>
      </c>
      <c r="C1294" t="s">
        <v>8</v>
      </c>
      <c r="D1294">
        <v>11</v>
      </c>
      <c r="E1294" s="2">
        <v>1.2337962962962964E-2</v>
      </c>
      <c r="F1294">
        <v>17.766666666666666</v>
      </c>
    </row>
    <row r="1295" spans="1:6" x14ac:dyDescent="0.25">
      <c r="A1295" s="1">
        <v>38808</v>
      </c>
      <c r="B1295" t="s">
        <v>16</v>
      </c>
      <c r="C1295" t="s">
        <v>9</v>
      </c>
      <c r="D1295">
        <v>4</v>
      </c>
      <c r="E1295" s="2">
        <v>3.0787037037037037E-3</v>
      </c>
      <c r="F1295">
        <v>4.4333333333333336</v>
      </c>
    </row>
    <row r="1296" spans="1:6" x14ac:dyDescent="0.25">
      <c r="A1296" s="1">
        <v>38808</v>
      </c>
      <c r="B1296" t="s">
        <v>16</v>
      </c>
      <c r="C1296" t="s">
        <v>10</v>
      </c>
      <c r="D1296">
        <v>4</v>
      </c>
      <c r="E1296" s="2">
        <v>5.9953703703703705E-3</v>
      </c>
      <c r="F1296">
        <v>8.6333333333333329</v>
      </c>
    </row>
    <row r="1297" spans="1:6" x14ac:dyDescent="0.25">
      <c r="A1297" s="1">
        <v>38808</v>
      </c>
      <c r="B1297" t="s">
        <v>16</v>
      </c>
      <c r="C1297" t="s">
        <v>11</v>
      </c>
      <c r="D1297">
        <v>16</v>
      </c>
      <c r="E1297" s="2">
        <v>1.1307870370370371E-2</v>
      </c>
      <c r="F1297">
        <v>16.283333333333335</v>
      </c>
    </row>
    <row r="1298" spans="1:6" x14ac:dyDescent="0.25">
      <c r="A1298" s="1">
        <v>38808</v>
      </c>
      <c r="B1298" t="s">
        <v>17</v>
      </c>
      <c r="C1298" t="s">
        <v>6</v>
      </c>
      <c r="D1298">
        <v>5</v>
      </c>
      <c r="E1298" s="2">
        <v>5.115740740740741E-3</v>
      </c>
      <c r="F1298">
        <v>7.3666666666666663</v>
      </c>
    </row>
    <row r="1299" spans="1:6" x14ac:dyDescent="0.25">
      <c r="A1299" s="1">
        <v>38808</v>
      </c>
      <c r="B1299" t="s">
        <v>17</v>
      </c>
      <c r="C1299" t="s">
        <v>7</v>
      </c>
      <c r="D1299">
        <v>9</v>
      </c>
      <c r="E1299" s="2">
        <v>7.7314814814814815E-3</v>
      </c>
      <c r="F1299">
        <v>11.133333333333333</v>
      </c>
    </row>
    <row r="1300" spans="1:6" x14ac:dyDescent="0.25">
      <c r="A1300" s="1">
        <v>38808</v>
      </c>
      <c r="B1300" t="s">
        <v>17</v>
      </c>
      <c r="C1300" t="s">
        <v>8</v>
      </c>
      <c r="D1300">
        <v>6</v>
      </c>
      <c r="E1300" s="2">
        <v>6.8055555555555551E-3</v>
      </c>
      <c r="F1300">
        <v>9.8000000000000007</v>
      </c>
    </row>
    <row r="1301" spans="1:6" x14ac:dyDescent="0.25">
      <c r="A1301" s="1">
        <v>38808</v>
      </c>
      <c r="B1301" t="s">
        <v>17</v>
      </c>
      <c r="C1301" t="s">
        <v>9</v>
      </c>
      <c r="D1301">
        <v>3</v>
      </c>
      <c r="E1301" s="2">
        <v>3.8310185185185183E-3</v>
      </c>
      <c r="F1301">
        <v>5.5166666666666666</v>
      </c>
    </row>
    <row r="1302" spans="1:6" x14ac:dyDescent="0.25">
      <c r="A1302" s="1">
        <v>38808</v>
      </c>
      <c r="B1302" t="s">
        <v>17</v>
      </c>
      <c r="C1302" t="s">
        <v>10</v>
      </c>
      <c r="D1302">
        <v>4</v>
      </c>
      <c r="E1302" s="2">
        <v>3.6111111111111109E-3</v>
      </c>
      <c r="F1302">
        <v>5.2</v>
      </c>
    </row>
    <row r="1303" spans="1:6" x14ac:dyDescent="0.25">
      <c r="A1303" s="1">
        <v>38808</v>
      </c>
      <c r="B1303" t="s">
        <v>17</v>
      </c>
      <c r="C1303" t="s">
        <v>11</v>
      </c>
      <c r="D1303">
        <v>3</v>
      </c>
      <c r="E1303" s="2">
        <v>2.4537037037037036E-3</v>
      </c>
      <c r="F1303">
        <v>3.5333333333333332</v>
      </c>
    </row>
    <row r="1304" spans="1:6" x14ac:dyDescent="0.25">
      <c r="A1304" s="1">
        <v>38808</v>
      </c>
      <c r="B1304" t="s">
        <v>18</v>
      </c>
      <c r="C1304" t="s">
        <v>6</v>
      </c>
      <c r="D1304">
        <v>49</v>
      </c>
      <c r="E1304" s="2">
        <v>5.2569444444444446E-2</v>
      </c>
      <c r="F1304">
        <v>75.7</v>
      </c>
    </row>
    <row r="1305" spans="1:6" x14ac:dyDescent="0.25">
      <c r="A1305" s="1">
        <v>38808</v>
      </c>
      <c r="B1305" t="s">
        <v>18</v>
      </c>
      <c r="C1305" t="s">
        <v>7</v>
      </c>
      <c r="D1305">
        <v>80</v>
      </c>
      <c r="E1305" s="2">
        <v>8.4201388888888895E-2</v>
      </c>
      <c r="F1305">
        <v>121.25</v>
      </c>
    </row>
    <row r="1306" spans="1:6" x14ac:dyDescent="0.25">
      <c r="A1306" s="1">
        <v>38808</v>
      </c>
      <c r="B1306" t="s">
        <v>18</v>
      </c>
      <c r="C1306" t="s">
        <v>8</v>
      </c>
      <c r="D1306">
        <v>61</v>
      </c>
      <c r="E1306" s="2">
        <v>6.5254629629629635E-2</v>
      </c>
      <c r="F1306">
        <v>93.966666666666669</v>
      </c>
    </row>
    <row r="1307" spans="1:6" x14ac:dyDescent="0.25">
      <c r="A1307" s="1">
        <v>38808</v>
      </c>
      <c r="B1307" t="s">
        <v>18</v>
      </c>
      <c r="C1307" t="s">
        <v>9</v>
      </c>
      <c r="D1307">
        <v>48</v>
      </c>
      <c r="E1307" s="2">
        <v>5.019675925925926E-2</v>
      </c>
      <c r="F1307">
        <v>72.283333333333331</v>
      </c>
    </row>
    <row r="1308" spans="1:6" x14ac:dyDescent="0.25">
      <c r="A1308" s="1">
        <v>38808</v>
      </c>
      <c r="B1308" t="s">
        <v>18</v>
      </c>
      <c r="C1308" t="s">
        <v>10</v>
      </c>
      <c r="D1308">
        <v>140</v>
      </c>
      <c r="E1308" s="2">
        <v>0.14400462962962962</v>
      </c>
      <c r="F1308">
        <v>207.36666666666667</v>
      </c>
    </row>
    <row r="1309" spans="1:6" x14ac:dyDescent="0.25">
      <c r="A1309" s="1">
        <v>38808</v>
      </c>
      <c r="B1309" t="s">
        <v>18</v>
      </c>
      <c r="C1309" t="s">
        <v>11</v>
      </c>
      <c r="D1309">
        <v>19</v>
      </c>
      <c r="E1309" s="2">
        <v>1.6979166666666667E-2</v>
      </c>
      <c r="F1309">
        <v>24.45</v>
      </c>
    </row>
    <row r="1310" spans="1:6" x14ac:dyDescent="0.25">
      <c r="A1310" s="1">
        <v>38808</v>
      </c>
      <c r="B1310" t="s">
        <v>19</v>
      </c>
      <c r="C1310" t="s">
        <v>6</v>
      </c>
      <c r="D1310">
        <v>33</v>
      </c>
      <c r="E1310" s="2">
        <v>3.4293981481481481E-2</v>
      </c>
      <c r="F1310">
        <v>49.383333333333333</v>
      </c>
    </row>
    <row r="1311" spans="1:6" x14ac:dyDescent="0.25">
      <c r="A1311" s="1">
        <v>38808</v>
      </c>
      <c r="B1311" t="s">
        <v>19</v>
      </c>
      <c r="C1311" t="s">
        <v>7</v>
      </c>
      <c r="D1311">
        <v>31</v>
      </c>
      <c r="E1311" s="2">
        <v>3.7488425925925925E-2</v>
      </c>
      <c r="F1311">
        <v>53.983333333333334</v>
      </c>
    </row>
    <row r="1312" spans="1:6" x14ac:dyDescent="0.25">
      <c r="A1312" s="1">
        <v>38808</v>
      </c>
      <c r="B1312" t="s">
        <v>19</v>
      </c>
      <c r="C1312" t="s">
        <v>8</v>
      </c>
      <c r="D1312">
        <v>30</v>
      </c>
      <c r="E1312" s="2">
        <v>3.8506944444444448E-2</v>
      </c>
      <c r="F1312">
        <v>55.45</v>
      </c>
    </row>
    <row r="1313" spans="1:6" x14ac:dyDescent="0.25">
      <c r="A1313" s="1">
        <v>38808</v>
      </c>
      <c r="B1313" t="s">
        <v>19</v>
      </c>
      <c r="C1313" t="s">
        <v>9</v>
      </c>
      <c r="D1313">
        <v>15</v>
      </c>
      <c r="E1313" s="2">
        <v>1.4490740740740742E-2</v>
      </c>
      <c r="F1313">
        <v>20.866666666666667</v>
      </c>
    </row>
    <row r="1314" spans="1:6" x14ac:dyDescent="0.25">
      <c r="A1314" s="1">
        <v>38808</v>
      </c>
      <c r="B1314" t="s">
        <v>19</v>
      </c>
      <c r="C1314" t="s">
        <v>10</v>
      </c>
      <c r="D1314">
        <v>13</v>
      </c>
      <c r="E1314" s="2">
        <v>1.2361111111111111E-2</v>
      </c>
      <c r="F1314">
        <v>17.8</v>
      </c>
    </row>
    <row r="1315" spans="1:6" x14ac:dyDescent="0.25">
      <c r="A1315" s="1">
        <v>38808</v>
      </c>
      <c r="B1315" t="s">
        <v>19</v>
      </c>
      <c r="C1315" t="s">
        <v>11</v>
      </c>
      <c r="D1315">
        <v>13</v>
      </c>
      <c r="E1315" s="2">
        <v>1.412037037037037E-2</v>
      </c>
      <c r="F1315">
        <v>20.333333333333332</v>
      </c>
    </row>
    <row r="1316" spans="1:6" x14ac:dyDescent="0.25">
      <c r="A1316" s="1">
        <v>38808</v>
      </c>
      <c r="B1316" t="s">
        <v>20</v>
      </c>
      <c r="C1316" t="s">
        <v>6</v>
      </c>
      <c r="D1316">
        <v>20</v>
      </c>
      <c r="E1316" s="2">
        <v>3.528935185185185E-2</v>
      </c>
      <c r="F1316">
        <v>50.81666666666667</v>
      </c>
    </row>
    <row r="1317" spans="1:6" x14ac:dyDescent="0.25">
      <c r="A1317" s="1">
        <v>38808</v>
      </c>
      <c r="B1317" t="s">
        <v>20</v>
      </c>
      <c r="C1317" t="s">
        <v>7</v>
      </c>
      <c r="D1317">
        <v>27</v>
      </c>
      <c r="E1317" s="2">
        <v>2.5740740740740741E-2</v>
      </c>
      <c r="F1317">
        <v>37.06666666666667</v>
      </c>
    </row>
    <row r="1318" spans="1:6" x14ac:dyDescent="0.25">
      <c r="A1318" s="1">
        <v>38808</v>
      </c>
      <c r="B1318" t="s">
        <v>20</v>
      </c>
      <c r="C1318" t="s">
        <v>8</v>
      </c>
      <c r="D1318">
        <v>26</v>
      </c>
      <c r="E1318" s="2">
        <v>2.4212962962962964E-2</v>
      </c>
      <c r="F1318">
        <v>34.866666666666667</v>
      </c>
    </row>
    <row r="1319" spans="1:6" x14ac:dyDescent="0.25">
      <c r="A1319" s="1">
        <v>38808</v>
      </c>
      <c r="B1319" t="s">
        <v>20</v>
      </c>
      <c r="C1319" t="s">
        <v>9</v>
      </c>
      <c r="D1319">
        <v>6</v>
      </c>
      <c r="E1319" s="2">
        <v>7.1759259259259259E-3</v>
      </c>
      <c r="F1319">
        <v>10.333333333333334</v>
      </c>
    </row>
    <row r="1320" spans="1:6" x14ac:dyDescent="0.25">
      <c r="A1320" s="1">
        <v>38808</v>
      </c>
      <c r="B1320" t="s">
        <v>20</v>
      </c>
      <c r="C1320" t="s">
        <v>10</v>
      </c>
      <c r="D1320">
        <v>13</v>
      </c>
      <c r="E1320" s="2">
        <v>1.074074074074074E-2</v>
      </c>
      <c r="F1320">
        <v>15.466666666666667</v>
      </c>
    </row>
    <row r="1321" spans="1:6" x14ac:dyDescent="0.25">
      <c r="A1321" s="1">
        <v>38808</v>
      </c>
      <c r="B1321" t="s">
        <v>20</v>
      </c>
      <c r="C1321" t="s">
        <v>11</v>
      </c>
      <c r="D1321">
        <v>7</v>
      </c>
      <c r="E1321" s="2">
        <v>7.060185185185185E-3</v>
      </c>
      <c r="F1321">
        <v>10.166666666666666</v>
      </c>
    </row>
    <row r="1322" spans="1:6" x14ac:dyDescent="0.25">
      <c r="A1322" s="1">
        <v>38808</v>
      </c>
      <c r="B1322" t="s">
        <v>21</v>
      </c>
      <c r="C1322" t="s">
        <v>6</v>
      </c>
      <c r="D1322">
        <v>39</v>
      </c>
      <c r="E1322" s="2">
        <v>4.957175925925926E-2</v>
      </c>
      <c r="F1322">
        <v>71.38333333333334</v>
      </c>
    </row>
    <row r="1323" spans="1:6" x14ac:dyDescent="0.25">
      <c r="A1323" s="1">
        <v>38808</v>
      </c>
      <c r="B1323" t="s">
        <v>21</v>
      </c>
      <c r="C1323" t="s">
        <v>7</v>
      </c>
      <c r="D1323">
        <v>31</v>
      </c>
      <c r="E1323" s="2">
        <v>4.2500000000000003E-2</v>
      </c>
      <c r="F1323">
        <v>61.2</v>
      </c>
    </row>
    <row r="1324" spans="1:6" x14ac:dyDescent="0.25">
      <c r="A1324" s="1">
        <v>38808</v>
      </c>
      <c r="B1324" t="s">
        <v>21</v>
      </c>
      <c r="C1324" t="s">
        <v>8</v>
      </c>
      <c r="D1324">
        <v>29</v>
      </c>
      <c r="E1324" s="2">
        <v>4.1597222222222223E-2</v>
      </c>
      <c r="F1324">
        <v>59.9</v>
      </c>
    </row>
    <row r="1325" spans="1:6" x14ac:dyDescent="0.25">
      <c r="A1325" s="1">
        <v>38808</v>
      </c>
      <c r="B1325" t="s">
        <v>21</v>
      </c>
      <c r="C1325" t="s">
        <v>9</v>
      </c>
      <c r="D1325">
        <v>5</v>
      </c>
      <c r="E1325" s="2">
        <v>3.6574074074074074E-3</v>
      </c>
      <c r="F1325">
        <v>5.2666666666666666</v>
      </c>
    </row>
    <row r="1326" spans="1:6" x14ac:dyDescent="0.25">
      <c r="A1326" s="1">
        <v>38808</v>
      </c>
      <c r="B1326" t="s">
        <v>21</v>
      </c>
      <c r="C1326" t="s">
        <v>10</v>
      </c>
      <c r="D1326">
        <v>7</v>
      </c>
      <c r="E1326" s="2">
        <v>6.9328703703703705E-3</v>
      </c>
      <c r="F1326">
        <v>9.9833333333333325</v>
      </c>
    </row>
    <row r="1327" spans="1:6" x14ac:dyDescent="0.25">
      <c r="A1327" s="1">
        <v>38808</v>
      </c>
      <c r="B1327" t="s">
        <v>21</v>
      </c>
      <c r="C1327" t="s">
        <v>11</v>
      </c>
      <c r="D1327">
        <v>12</v>
      </c>
      <c r="E1327" s="2">
        <v>1.2222222222222223E-2</v>
      </c>
      <c r="F1327">
        <v>17.600000000000001</v>
      </c>
    </row>
    <row r="1328" spans="1:6" x14ac:dyDescent="0.25">
      <c r="A1328" s="1">
        <v>38808</v>
      </c>
      <c r="B1328" t="s">
        <v>22</v>
      </c>
      <c r="C1328" t="s">
        <v>6</v>
      </c>
      <c r="D1328">
        <v>25</v>
      </c>
      <c r="E1328" s="2">
        <v>2.7152777777777779E-2</v>
      </c>
      <c r="F1328">
        <v>39.1</v>
      </c>
    </row>
    <row r="1329" spans="1:6" x14ac:dyDescent="0.25">
      <c r="A1329" s="1">
        <v>38808</v>
      </c>
      <c r="B1329" t="s">
        <v>22</v>
      </c>
      <c r="C1329" t="s">
        <v>7</v>
      </c>
      <c r="D1329">
        <v>28</v>
      </c>
      <c r="E1329" s="2">
        <v>3.829861111111111E-2</v>
      </c>
      <c r="F1329">
        <v>55.15</v>
      </c>
    </row>
    <row r="1330" spans="1:6" x14ac:dyDescent="0.25">
      <c r="A1330" s="1">
        <v>38808</v>
      </c>
      <c r="B1330" t="s">
        <v>22</v>
      </c>
      <c r="C1330" t="s">
        <v>8</v>
      </c>
      <c r="D1330">
        <v>12</v>
      </c>
      <c r="E1330" s="2">
        <v>1.7199074074074075E-2</v>
      </c>
      <c r="F1330">
        <v>24.766666666666666</v>
      </c>
    </row>
    <row r="1331" spans="1:6" x14ac:dyDescent="0.25">
      <c r="A1331" s="1">
        <v>38808</v>
      </c>
      <c r="B1331" t="s">
        <v>22</v>
      </c>
      <c r="C1331" t="s">
        <v>9</v>
      </c>
      <c r="D1331">
        <v>9</v>
      </c>
      <c r="E1331" s="2">
        <v>8.86574074074074E-3</v>
      </c>
      <c r="F1331">
        <v>12.766666666666667</v>
      </c>
    </row>
    <row r="1332" spans="1:6" x14ac:dyDescent="0.25">
      <c r="A1332" s="1">
        <v>38808</v>
      </c>
      <c r="B1332" t="s">
        <v>22</v>
      </c>
      <c r="C1332" t="s">
        <v>10</v>
      </c>
      <c r="D1332">
        <v>13</v>
      </c>
      <c r="E1332" s="2">
        <v>1.0601851851851852E-2</v>
      </c>
      <c r="F1332">
        <v>15.266666666666667</v>
      </c>
    </row>
    <row r="1333" spans="1:6" x14ac:dyDescent="0.25">
      <c r="A1333" s="1">
        <v>38808</v>
      </c>
      <c r="B1333" t="s">
        <v>22</v>
      </c>
      <c r="C1333" t="s">
        <v>11</v>
      </c>
      <c r="D1333">
        <v>10</v>
      </c>
      <c r="E1333" s="2">
        <v>1.3020833333333334E-2</v>
      </c>
      <c r="F1333">
        <v>18.75</v>
      </c>
    </row>
    <row r="1334" spans="1:6" x14ac:dyDescent="0.25">
      <c r="A1334" s="1">
        <v>38808</v>
      </c>
      <c r="B1334" t="s">
        <v>23</v>
      </c>
      <c r="C1334" t="s">
        <v>6</v>
      </c>
      <c r="D1334">
        <v>196</v>
      </c>
      <c r="E1334" s="2">
        <v>0.21377314814814816</v>
      </c>
      <c r="F1334">
        <v>307.83333333333331</v>
      </c>
    </row>
    <row r="1335" spans="1:6" x14ac:dyDescent="0.25">
      <c r="A1335" s="1">
        <v>38808</v>
      </c>
      <c r="B1335" t="s">
        <v>23</v>
      </c>
      <c r="C1335" t="s">
        <v>7</v>
      </c>
      <c r="D1335">
        <v>163</v>
      </c>
      <c r="E1335" s="2">
        <v>0.18288194444444444</v>
      </c>
      <c r="F1335">
        <v>263.35000000000002</v>
      </c>
    </row>
    <row r="1336" spans="1:6" x14ac:dyDescent="0.25">
      <c r="A1336" s="1">
        <v>38808</v>
      </c>
      <c r="B1336" t="s">
        <v>23</v>
      </c>
      <c r="C1336" t="s">
        <v>8</v>
      </c>
      <c r="D1336">
        <v>112</v>
      </c>
      <c r="E1336" s="2">
        <v>0.13728009259259261</v>
      </c>
      <c r="F1336">
        <v>197.68333333333334</v>
      </c>
    </row>
    <row r="1337" spans="1:6" x14ac:dyDescent="0.25">
      <c r="A1337" s="1">
        <v>38808</v>
      </c>
      <c r="B1337" t="s">
        <v>23</v>
      </c>
      <c r="C1337" t="s">
        <v>9</v>
      </c>
      <c r="D1337">
        <v>50</v>
      </c>
      <c r="E1337" s="2">
        <v>5.2013888888888887E-2</v>
      </c>
      <c r="F1337">
        <v>74.900000000000006</v>
      </c>
    </row>
    <row r="1338" spans="1:6" x14ac:dyDescent="0.25">
      <c r="A1338" s="1">
        <v>38808</v>
      </c>
      <c r="B1338" t="s">
        <v>23</v>
      </c>
      <c r="C1338" t="s">
        <v>10</v>
      </c>
      <c r="D1338">
        <v>55</v>
      </c>
      <c r="E1338" s="2">
        <v>5.4976851851851853E-2</v>
      </c>
      <c r="F1338">
        <v>79.166666666666671</v>
      </c>
    </row>
    <row r="1339" spans="1:6" x14ac:dyDescent="0.25">
      <c r="A1339" s="1">
        <v>38808</v>
      </c>
      <c r="B1339" t="s">
        <v>23</v>
      </c>
      <c r="C1339" t="s">
        <v>11</v>
      </c>
      <c r="D1339">
        <v>67</v>
      </c>
      <c r="E1339" s="2">
        <v>6.1018518518518521E-2</v>
      </c>
      <c r="F1339">
        <v>87.86666666666666</v>
      </c>
    </row>
    <row r="1340" spans="1:6" x14ac:dyDescent="0.25">
      <c r="A1340" s="1">
        <v>38808</v>
      </c>
      <c r="B1340" t="s">
        <v>24</v>
      </c>
      <c r="C1340" t="s">
        <v>6</v>
      </c>
      <c r="D1340">
        <v>47</v>
      </c>
      <c r="E1340" s="2">
        <v>4.3958333333333335E-2</v>
      </c>
      <c r="F1340">
        <v>63.3</v>
      </c>
    </row>
    <row r="1341" spans="1:6" x14ac:dyDescent="0.25">
      <c r="A1341" s="1">
        <v>38808</v>
      </c>
      <c r="B1341" t="s">
        <v>24</v>
      </c>
      <c r="C1341" t="s">
        <v>7</v>
      </c>
      <c r="D1341">
        <v>53</v>
      </c>
      <c r="E1341" s="2">
        <v>3.740740740740741E-2</v>
      </c>
      <c r="F1341">
        <v>53.866666666666667</v>
      </c>
    </row>
    <row r="1342" spans="1:6" x14ac:dyDescent="0.25">
      <c r="A1342" s="1">
        <v>38808</v>
      </c>
      <c r="B1342" t="s">
        <v>24</v>
      </c>
      <c r="C1342" t="s">
        <v>8</v>
      </c>
      <c r="D1342">
        <v>30</v>
      </c>
      <c r="E1342" s="2">
        <v>2.3680555555555555E-2</v>
      </c>
      <c r="F1342">
        <v>34.1</v>
      </c>
    </row>
    <row r="1343" spans="1:6" x14ac:dyDescent="0.25">
      <c r="A1343" s="1">
        <v>38808</v>
      </c>
      <c r="B1343" t="s">
        <v>24</v>
      </c>
      <c r="C1343" t="s">
        <v>9</v>
      </c>
      <c r="D1343">
        <v>7</v>
      </c>
      <c r="E1343" s="2">
        <v>5.1273148148148146E-3</v>
      </c>
      <c r="F1343">
        <v>7.3833333333333337</v>
      </c>
    </row>
    <row r="1344" spans="1:6" x14ac:dyDescent="0.25">
      <c r="A1344" s="1">
        <v>38808</v>
      </c>
      <c r="B1344" t="s">
        <v>24</v>
      </c>
      <c r="C1344" t="s">
        <v>10</v>
      </c>
      <c r="D1344">
        <v>1</v>
      </c>
      <c r="E1344" s="2">
        <v>1.7592592592592592E-3</v>
      </c>
      <c r="F1344">
        <v>2.5333333333333332</v>
      </c>
    </row>
    <row r="1345" spans="1:6" x14ac:dyDescent="0.25">
      <c r="A1345" s="1">
        <v>38808</v>
      </c>
      <c r="B1345" t="s">
        <v>24</v>
      </c>
      <c r="C1345" t="s">
        <v>11</v>
      </c>
      <c r="D1345">
        <v>32</v>
      </c>
      <c r="E1345" s="2">
        <v>2.2256944444444444E-2</v>
      </c>
      <c r="F1345">
        <v>32.049999999999997</v>
      </c>
    </row>
    <row r="1346" spans="1:6" x14ac:dyDescent="0.25">
      <c r="A1346" s="1">
        <v>38838</v>
      </c>
      <c r="B1346" t="s">
        <v>5</v>
      </c>
      <c r="C1346" t="s">
        <v>6</v>
      </c>
      <c r="D1346">
        <v>35</v>
      </c>
      <c r="E1346" s="2">
        <v>3.3344907407407406E-2</v>
      </c>
      <c r="F1346">
        <v>48.016666666666666</v>
      </c>
    </row>
    <row r="1347" spans="1:6" x14ac:dyDescent="0.25">
      <c r="A1347" s="1">
        <v>38838</v>
      </c>
      <c r="B1347" t="s">
        <v>5</v>
      </c>
      <c r="C1347" t="s">
        <v>7</v>
      </c>
      <c r="D1347">
        <v>29</v>
      </c>
      <c r="E1347" s="2">
        <v>2.6770833333333334E-2</v>
      </c>
      <c r="F1347">
        <v>38.549999999999997</v>
      </c>
    </row>
    <row r="1348" spans="1:6" x14ac:dyDescent="0.25">
      <c r="A1348" s="1">
        <v>38838</v>
      </c>
      <c r="B1348" t="s">
        <v>5</v>
      </c>
      <c r="C1348" t="s">
        <v>8</v>
      </c>
      <c r="D1348">
        <v>17</v>
      </c>
      <c r="E1348" s="2">
        <v>1.5590277777777778E-2</v>
      </c>
      <c r="F1348">
        <v>22.45</v>
      </c>
    </row>
    <row r="1349" spans="1:6" x14ac:dyDescent="0.25">
      <c r="A1349" s="1">
        <v>38838</v>
      </c>
      <c r="B1349" t="s">
        <v>5</v>
      </c>
      <c r="C1349" t="s">
        <v>9</v>
      </c>
      <c r="D1349">
        <v>4</v>
      </c>
      <c r="E1349" s="2">
        <v>3.3101851851851851E-3</v>
      </c>
      <c r="F1349">
        <v>4.7666666666666666</v>
      </c>
    </row>
    <row r="1350" spans="1:6" x14ac:dyDescent="0.25">
      <c r="A1350" s="1">
        <v>38838</v>
      </c>
      <c r="B1350" t="s">
        <v>5</v>
      </c>
      <c r="C1350" t="s">
        <v>10</v>
      </c>
      <c r="D1350">
        <v>9</v>
      </c>
      <c r="E1350" s="2">
        <v>8.4490740740740741E-3</v>
      </c>
      <c r="F1350">
        <v>12.166666666666666</v>
      </c>
    </row>
    <row r="1351" spans="1:6" x14ac:dyDescent="0.25">
      <c r="A1351" s="1">
        <v>38838</v>
      </c>
      <c r="B1351" t="s">
        <v>5</v>
      </c>
      <c r="C1351" t="s">
        <v>11</v>
      </c>
      <c r="D1351">
        <v>11</v>
      </c>
      <c r="E1351" s="2">
        <v>9.6990740740740735E-3</v>
      </c>
      <c r="F1351">
        <v>13.966666666666667</v>
      </c>
    </row>
    <row r="1352" spans="1:6" x14ac:dyDescent="0.25">
      <c r="A1352" s="1">
        <v>38838</v>
      </c>
      <c r="B1352" t="s">
        <v>12</v>
      </c>
      <c r="C1352" t="s">
        <v>6</v>
      </c>
      <c r="D1352">
        <v>63</v>
      </c>
      <c r="E1352" s="2">
        <v>6.8738425925925925E-2</v>
      </c>
      <c r="F1352">
        <v>98.983333333333334</v>
      </c>
    </row>
    <row r="1353" spans="1:6" x14ac:dyDescent="0.25">
      <c r="A1353" s="1">
        <v>38838</v>
      </c>
      <c r="B1353" t="s">
        <v>12</v>
      </c>
      <c r="C1353" t="s">
        <v>7</v>
      </c>
      <c r="D1353">
        <v>60</v>
      </c>
      <c r="E1353" s="2">
        <v>8.1539351851851849E-2</v>
      </c>
      <c r="F1353">
        <v>117.41666666666667</v>
      </c>
    </row>
    <row r="1354" spans="1:6" x14ac:dyDescent="0.25">
      <c r="A1354" s="1">
        <v>38838</v>
      </c>
      <c r="B1354" t="s">
        <v>12</v>
      </c>
      <c r="C1354" t="s">
        <v>8</v>
      </c>
      <c r="D1354">
        <v>43</v>
      </c>
      <c r="E1354" s="2">
        <v>5.8773148148148151E-2</v>
      </c>
      <c r="F1354">
        <v>84.63333333333334</v>
      </c>
    </row>
    <row r="1355" spans="1:6" x14ac:dyDescent="0.25">
      <c r="A1355" s="1">
        <v>38838</v>
      </c>
      <c r="B1355" t="s">
        <v>12</v>
      </c>
      <c r="C1355" t="s">
        <v>9</v>
      </c>
      <c r="D1355">
        <v>6</v>
      </c>
      <c r="E1355" s="2">
        <v>5.4282407407407404E-3</v>
      </c>
      <c r="F1355">
        <v>7.8166666666666664</v>
      </c>
    </row>
    <row r="1356" spans="1:6" x14ac:dyDescent="0.25">
      <c r="A1356" s="1">
        <v>38838</v>
      </c>
      <c r="B1356" t="s">
        <v>12</v>
      </c>
      <c r="C1356" t="s">
        <v>10</v>
      </c>
      <c r="D1356">
        <v>5</v>
      </c>
      <c r="E1356" s="2">
        <v>5.8333333333333336E-3</v>
      </c>
      <c r="F1356">
        <v>8.4</v>
      </c>
    </row>
    <row r="1357" spans="1:6" x14ac:dyDescent="0.25">
      <c r="A1357" s="1">
        <v>38838</v>
      </c>
      <c r="B1357" t="s">
        <v>12</v>
      </c>
      <c r="C1357" t="s">
        <v>11</v>
      </c>
      <c r="D1357">
        <v>23</v>
      </c>
      <c r="E1357" s="2">
        <v>3.5196759259259261E-2</v>
      </c>
      <c r="F1357">
        <v>50.68333333333333</v>
      </c>
    </row>
    <row r="1358" spans="1:6" x14ac:dyDescent="0.25">
      <c r="A1358" s="1">
        <v>38838</v>
      </c>
      <c r="B1358" t="s">
        <v>13</v>
      </c>
      <c r="C1358" t="s">
        <v>6</v>
      </c>
      <c r="D1358">
        <v>64</v>
      </c>
      <c r="E1358" s="2">
        <v>6.8333333333333329E-2</v>
      </c>
      <c r="F1358">
        <v>98.4</v>
      </c>
    </row>
    <row r="1359" spans="1:6" x14ac:dyDescent="0.25">
      <c r="A1359" s="1">
        <v>38838</v>
      </c>
      <c r="B1359" t="s">
        <v>13</v>
      </c>
      <c r="C1359" t="s">
        <v>7</v>
      </c>
      <c r="D1359">
        <v>49</v>
      </c>
      <c r="E1359" s="2">
        <v>5.2870370370370373E-2</v>
      </c>
      <c r="F1359">
        <v>76.13333333333334</v>
      </c>
    </row>
    <row r="1360" spans="1:6" x14ac:dyDescent="0.25">
      <c r="A1360" s="1">
        <v>38838</v>
      </c>
      <c r="B1360" t="s">
        <v>13</v>
      </c>
      <c r="C1360" t="s">
        <v>8</v>
      </c>
      <c r="D1360">
        <v>30</v>
      </c>
      <c r="E1360" s="2">
        <v>3.6238425925925924E-2</v>
      </c>
      <c r="F1360">
        <v>52.18333333333333</v>
      </c>
    </row>
    <row r="1361" spans="1:6" x14ac:dyDescent="0.25">
      <c r="A1361" s="1">
        <v>38838</v>
      </c>
      <c r="B1361" t="s">
        <v>13</v>
      </c>
      <c r="C1361" t="s">
        <v>9</v>
      </c>
      <c r="D1361">
        <v>14</v>
      </c>
      <c r="E1361" s="2">
        <v>1.5185185185185185E-2</v>
      </c>
      <c r="F1361">
        <v>21.866666666666667</v>
      </c>
    </row>
    <row r="1362" spans="1:6" x14ac:dyDescent="0.25">
      <c r="A1362" s="1">
        <v>38838</v>
      </c>
      <c r="B1362" t="s">
        <v>13</v>
      </c>
      <c r="C1362" t="s">
        <v>10</v>
      </c>
      <c r="D1362">
        <v>13</v>
      </c>
      <c r="E1362" s="2">
        <v>1.1840277777777778E-2</v>
      </c>
      <c r="F1362">
        <v>17.05</v>
      </c>
    </row>
    <row r="1363" spans="1:6" x14ac:dyDescent="0.25">
      <c r="A1363" s="1">
        <v>38838</v>
      </c>
      <c r="B1363" t="s">
        <v>13</v>
      </c>
      <c r="C1363" t="s">
        <v>11</v>
      </c>
      <c r="D1363">
        <v>13</v>
      </c>
      <c r="E1363" s="2">
        <v>1.3634259259259259E-2</v>
      </c>
      <c r="F1363">
        <v>19.633333333333333</v>
      </c>
    </row>
    <row r="1364" spans="1:6" x14ac:dyDescent="0.25">
      <c r="A1364" s="1">
        <v>38838</v>
      </c>
      <c r="B1364" t="s">
        <v>14</v>
      </c>
      <c r="C1364" t="s">
        <v>6</v>
      </c>
      <c r="D1364">
        <v>23</v>
      </c>
      <c r="E1364" s="2">
        <v>2.8819444444444446E-2</v>
      </c>
      <c r="F1364">
        <v>41.5</v>
      </c>
    </row>
    <row r="1365" spans="1:6" x14ac:dyDescent="0.25">
      <c r="A1365" s="1">
        <v>38838</v>
      </c>
      <c r="B1365" t="s">
        <v>14</v>
      </c>
      <c r="C1365" t="s">
        <v>7</v>
      </c>
      <c r="D1365">
        <v>17</v>
      </c>
      <c r="E1365" s="2">
        <v>2.5428240740740741E-2</v>
      </c>
      <c r="F1365">
        <v>36.616666666666667</v>
      </c>
    </row>
    <row r="1366" spans="1:6" x14ac:dyDescent="0.25">
      <c r="A1366" s="1">
        <v>38838</v>
      </c>
      <c r="B1366" t="s">
        <v>14</v>
      </c>
      <c r="C1366" t="s">
        <v>8</v>
      </c>
      <c r="D1366">
        <v>5</v>
      </c>
      <c r="E1366" s="2">
        <v>8.0208333333333329E-3</v>
      </c>
      <c r="F1366">
        <v>11.55</v>
      </c>
    </row>
    <row r="1367" spans="1:6" x14ac:dyDescent="0.25">
      <c r="A1367" s="1">
        <v>38838</v>
      </c>
      <c r="B1367" t="s">
        <v>14</v>
      </c>
      <c r="C1367" t="s">
        <v>9</v>
      </c>
      <c r="D1367">
        <v>1</v>
      </c>
      <c r="E1367" s="2">
        <v>1.0879629629629629E-3</v>
      </c>
      <c r="F1367">
        <v>1.5666666666666667</v>
      </c>
    </row>
    <row r="1368" spans="1:6" x14ac:dyDescent="0.25">
      <c r="A1368" s="1">
        <v>38838</v>
      </c>
      <c r="B1368" t="s">
        <v>14</v>
      </c>
      <c r="C1368" t="s">
        <v>10</v>
      </c>
      <c r="D1368">
        <v>2</v>
      </c>
      <c r="E1368" s="2">
        <v>3.5300925925925925E-3</v>
      </c>
      <c r="F1368">
        <v>5.083333333333333</v>
      </c>
    </row>
    <row r="1369" spans="1:6" x14ac:dyDescent="0.25">
      <c r="A1369" s="1">
        <v>38838</v>
      </c>
      <c r="B1369" t="s">
        <v>14</v>
      </c>
      <c r="C1369" t="s">
        <v>11</v>
      </c>
      <c r="D1369">
        <v>6</v>
      </c>
      <c r="E1369" s="2">
        <v>6.053240740740741E-3</v>
      </c>
      <c r="F1369">
        <v>8.7166666666666668</v>
      </c>
    </row>
    <row r="1370" spans="1:6" x14ac:dyDescent="0.25">
      <c r="A1370" s="1">
        <v>38838</v>
      </c>
      <c r="B1370" t="s">
        <v>15</v>
      </c>
      <c r="C1370" t="s">
        <v>6</v>
      </c>
      <c r="D1370">
        <v>34</v>
      </c>
      <c r="E1370" s="2">
        <v>3.8495370370370367E-2</v>
      </c>
      <c r="F1370">
        <v>55.43333333333333</v>
      </c>
    </row>
    <row r="1371" spans="1:6" x14ac:dyDescent="0.25">
      <c r="A1371" s="1">
        <v>38838</v>
      </c>
      <c r="B1371" t="s">
        <v>15</v>
      </c>
      <c r="C1371" t="s">
        <v>7</v>
      </c>
      <c r="D1371">
        <v>33</v>
      </c>
      <c r="E1371" s="2">
        <v>3.5347222222222224E-2</v>
      </c>
      <c r="F1371">
        <v>50.9</v>
      </c>
    </row>
    <row r="1372" spans="1:6" x14ac:dyDescent="0.25">
      <c r="A1372" s="1">
        <v>38838</v>
      </c>
      <c r="B1372" t="s">
        <v>15</v>
      </c>
      <c r="C1372" t="s">
        <v>8</v>
      </c>
      <c r="D1372">
        <v>18</v>
      </c>
      <c r="E1372" s="2">
        <v>2.3067129629629628E-2</v>
      </c>
      <c r="F1372">
        <v>33.216666666666669</v>
      </c>
    </row>
    <row r="1373" spans="1:6" x14ac:dyDescent="0.25">
      <c r="A1373" s="1">
        <v>38838</v>
      </c>
      <c r="B1373" t="s">
        <v>15</v>
      </c>
      <c r="C1373" t="s">
        <v>9</v>
      </c>
      <c r="D1373">
        <v>4</v>
      </c>
      <c r="E1373" s="2">
        <v>3.5995370370370369E-3</v>
      </c>
      <c r="F1373">
        <v>5.1833333333333336</v>
      </c>
    </row>
    <row r="1374" spans="1:6" x14ac:dyDescent="0.25">
      <c r="A1374" s="1">
        <v>38838</v>
      </c>
      <c r="B1374" t="s">
        <v>15</v>
      </c>
      <c r="C1374" t="s">
        <v>10</v>
      </c>
      <c r="D1374">
        <v>9</v>
      </c>
      <c r="E1374" s="2">
        <v>1.1331018518518518E-2</v>
      </c>
      <c r="F1374">
        <v>16.316666666666666</v>
      </c>
    </row>
    <row r="1375" spans="1:6" x14ac:dyDescent="0.25">
      <c r="A1375" s="1">
        <v>38838</v>
      </c>
      <c r="B1375" t="s">
        <v>15</v>
      </c>
      <c r="C1375" t="s">
        <v>11</v>
      </c>
      <c r="D1375">
        <v>11</v>
      </c>
      <c r="E1375" s="2">
        <v>8.9004629629629625E-3</v>
      </c>
      <c r="F1375">
        <v>12.816666666666666</v>
      </c>
    </row>
    <row r="1376" spans="1:6" x14ac:dyDescent="0.25">
      <c r="A1376" s="1">
        <v>38838</v>
      </c>
      <c r="B1376" t="s">
        <v>16</v>
      </c>
      <c r="C1376" t="s">
        <v>6</v>
      </c>
      <c r="D1376">
        <v>20</v>
      </c>
      <c r="E1376" s="2">
        <v>1.923611111111111E-2</v>
      </c>
      <c r="F1376">
        <v>27.7</v>
      </c>
    </row>
    <row r="1377" spans="1:6" x14ac:dyDescent="0.25">
      <c r="A1377" s="1">
        <v>38838</v>
      </c>
      <c r="B1377" t="s">
        <v>16</v>
      </c>
      <c r="C1377" t="s">
        <v>7</v>
      </c>
      <c r="D1377">
        <v>15</v>
      </c>
      <c r="E1377" s="2">
        <v>1.5011574074074075E-2</v>
      </c>
      <c r="F1377">
        <v>21.616666666666667</v>
      </c>
    </row>
    <row r="1378" spans="1:6" x14ac:dyDescent="0.25">
      <c r="A1378" s="1">
        <v>38838</v>
      </c>
      <c r="B1378" t="s">
        <v>16</v>
      </c>
      <c r="C1378" t="s">
        <v>8</v>
      </c>
      <c r="D1378">
        <v>16</v>
      </c>
      <c r="E1378" s="2">
        <v>1.9039351851851852E-2</v>
      </c>
      <c r="F1378">
        <v>27.416666666666668</v>
      </c>
    </row>
    <row r="1379" spans="1:6" x14ac:dyDescent="0.25">
      <c r="A1379" s="1">
        <v>38838</v>
      </c>
      <c r="B1379" t="s">
        <v>16</v>
      </c>
      <c r="C1379" t="s">
        <v>9</v>
      </c>
      <c r="D1379">
        <v>6</v>
      </c>
      <c r="E1379" s="2">
        <v>5.347222222222222E-3</v>
      </c>
      <c r="F1379">
        <v>7.7</v>
      </c>
    </row>
    <row r="1380" spans="1:6" x14ac:dyDescent="0.25">
      <c r="A1380" s="1">
        <v>38838</v>
      </c>
      <c r="B1380" t="s">
        <v>16</v>
      </c>
      <c r="C1380" t="s">
        <v>10</v>
      </c>
      <c r="D1380">
        <v>8</v>
      </c>
      <c r="E1380" s="2">
        <v>6.8634259259259256E-3</v>
      </c>
      <c r="F1380">
        <v>9.8833333333333329</v>
      </c>
    </row>
    <row r="1381" spans="1:6" x14ac:dyDescent="0.25">
      <c r="A1381" s="1">
        <v>38838</v>
      </c>
      <c r="B1381" t="s">
        <v>16</v>
      </c>
      <c r="C1381" t="s">
        <v>11</v>
      </c>
      <c r="D1381">
        <v>16</v>
      </c>
      <c r="E1381" s="2">
        <v>1.7337962962962961E-2</v>
      </c>
      <c r="F1381">
        <v>24.966666666666665</v>
      </c>
    </row>
    <row r="1382" spans="1:6" x14ac:dyDescent="0.25">
      <c r="A1382" s="1">
        <v>38838</v>
      </c>
      <c r="B1382" t="s">
        <v>17</v>
      </c>
      <c r="C1382" t="s">
        <v>6</v>
      </c>
      <c r="D1382">
        <v>12</v>
      </c>
      <c r="E1382" s="2">
        <v>1.2777777777777779E-2</v>
      </c>
      <c r="F1382">
        <v>18.399999999999999</v>
      </c>
    </row>
    <row r="1383" spans="1:6" x14ac:dyDescent="0.25">
      <c r="A1383" s="1">
        <v>38838</v>
      </c>
      <c r="B1383" t="s">
        <v>17</v>
      </c>
      <c r="C1383" t="s">
        <v>7</v>
      </c>
      <c r="D1383">
        <v>7</v>
      </c>
      <c r="E1383" s="2">
        <v>8.5069444444444437E-3</v>
      </c>
      <c r="F1383">
        <v>12.25</v>
      </c>
    </row>
    <row r="1384" spans="1:6" x14ac:dyDescent="0.25">
      <c r="A1384" s="1">
        <v>38838</v>
      </c>
      <c r="B1384" t="s">
        <v>17</v>
      </c>
      <c r="C1384" t="s">
        <v>8</v>
      </c>
      <c r="D1384">
        <v>9</v>
      </c>
      <c r="E1384" s="2">
        <v>1.2314814814814815E-2</v>
      </c>
      <c r="F1384">
        <v>17.733333333333334</v>
      </c>
    </row>
    <row r="1385" spans="1:6" x14ac:dyDescent="0.25">
      <c r="A1385" s="1">
        <v>38838</v>
      </c>
      <c r="B1385" t="s">
        <v>17</v>
      </c>
      <c r="C1385" t="s">
        <v>9</v>
      </c>
      <c r="D1385">
        <v>3</v>
      </c>
      <c r="E1385" s="2">
        <v>2.0949074074074073E-3</v>
      </c>
      <c r="F1385">
        <v>3.0166666666666666</v>
      </c>
    </row>
    <row r="1386" spans="1:6" x14ac:dyDescent="0.25">
      <c r="A1386" s="1">
        <v>38838</v>
      </c>
      <c r="B1386" t="s">
        <v>17</v>
      </c>
      <c r="C1386" t="s">
        <v>10</v>
      </c>
      <c r="D1386">
        <v>6</v>
      </c>
      <c r="E1386" s="2">
        <v>5.9722222222222225E-3</v>
      </c>
      <c r="F1386">
        <v>8.6</v>
      </c>
    </row>
    <row r="1387" spans="1:6" x14ac:dyDescent="0.25">
      <c r="A1387" s="1">
        <v>38838</v>
      </c>
      <c r="B1387" t="s">
        <v>17</v>
      </c>
      <c r="C1387" t="s">
        <v>11</v>
      </c>
      <c r="D1387">
        <v>7</v>
      </c>
      <c r="E1387" s="2">
        <v>7.2800925925925923E-3</v>
      </c>
      <c r="F1387">
        <v>10.483333333333333</v>
      </c>
    </row>
    <row r="1388" spans="1:6" x14ac:dyDescent="0.25">
      <c r="A1388" s="1">
        <v>38838</v>
      </c>
      <c r="B1388" t="s">
        <v>18</v>
      </c>
      <c r="C1388" t="s">
        <v>6</v>
      </c>
      <c r="D1388">
        <v>43</v>
      </c>
      <c r="E1388" s="2">
        <v>4.3171296296296298E-2</v>
      </c>
      <c r="F1388">
        <v>62.166666666666664</v>
      </c>
    </row>
    <row r="1389" spans="1:6" x14ac:dyDescent="0.25">
      <c r="A1389" s="1">
        <v>38838</v>
      </c>
      <c r="B1389" t="s">
        <v>18</v>
      </c>
      <c r="C1389" t="s">
        <v>7</v>
      </c>
      <c r="D1389">
        <v>66</v>
      </c>
      <c r="E1389" s="2">
        <v>6.2384259259259257E-2</v>
      </c>
      <c r="F1389">
        <v>89.833333333333329</v>
      </c>
    </row>
    <row r="1390" spans="1:6" x14ac:dyDescent="0.25">
      <c r="A1390" s="1">
        <v>38838</v>
      </c>
      <c r="B1390" t="s">
        <v>18</v>
      </c>
      <c r="C1390" t="s">
        <v>8</v>
      </c>
      <c r="D1390">
        <v>39</v>
      </c>
      <c r="E1390" s="2">
        <v>4.3124999999999997E-2</v>
      </c>
      <c r="F1390">
        <v>62.1</v>
      </c>
    </row>
    <row r="1391" spans="1:6" x14ac:dyDescent="0.25">
      <c r="A1391" s="1">
        <v>38838</v>
      </c>
      <c r="B1391" t="s">
        <v>18</v>
      </c>
      <c r="C1391" t="s">
        <v>9</v>
      </c>
      <c r="D1391">
        <v>40</v>
      </c>
      <c r="E1391" s="2">
        <v>4.1805555555555554E-2</v>
      </c>
      <c r="F1391">
        <v>60.2</v>
      </c>
    </row>
    <row r="1392" spans="1:6" x14ac:dyDescent="0.25">
      <c r="A1392" s="1">
        <v>38838</v>
      </c>
      <c r="B1392" t="s">
        <v>18</v>
      </c>
      <c r="C1392" t="s">
        <v>10</v>
      </c>
      <c r="D1392">
        <v>146</v>
      </c>
      <c r="E1392" s="2">
        <v>0.13944444444444445</v>
      </c>
      <c r="F1392">
        <v>200.8</v>
      </c>
    </row>
    <row r="1393" spans="1:6" x14ac:dyDescent="0.25">
      <c r="A1393" s="1">
        <v>38838</v>
      </c>
      <c r="B1393" t="s">
        <v>18</v>
      </c>
      <c r="C1393" t="s">
        <v>11</v>
      </c>
      <c r="D1393">
        <v>19</v>
      </c>
      <c r="E1393" s="2">
        <v>7.6388888888888886E-3</v>
      </c>
      <c r="F1393">
        <v>11</v>
      </c>
    </row>
    <row r="1394" spans="1:6" x14ac:dyDescent="0.25">
      <c r="A1394" s="1">
        <v>38838</v>
      </c>
      <c r="B1394" t="s">
        <v>19</v>
      </c>
      <c r="C1394" t="s">
        <v>6</v>
      </c>
      <c r="D1394">
        <v>75</v>
      </c>
      <c r="E1394" s="2">
        <v>8.8749999999999996E-2</v>
      </c>
      <c r="F1394">
        <v>127.8</v>
      </c>
    </row>
    <row r="1395" spans="1:6" x14ac:dyDescent="0.25">
      <c r="A1395" s="1">
        <v>38838</v>
      </c>
      <c r="B1395" t="s">
        <v>19</v>
      </c>
      <c r="C1395" t="s">
        <v>7</v>
      </c>
      <c r="D1395">
        <v>84</v>
      </c>
      <c r="E1395" s="2">
        <v>0.10574074074074075</v>
      </c>
      <c r="F1395">
        <v>152.26666666666668</v>
      </c>
    </row>
    <row r="1396" spans="1:6" x14ac:dyDescent="0.25">
      <c r="A1396" s="1">
        <v>38838</v>
      </c>
      <c r="B1396" t="s">
        <v>19</v>
      </c>
      <c r="C1396" t="s">
        <v>8</v>
      </c>
      <c r="D1396">
        <v>78</v>
      </c>
      <c r="E1396" s="2">
        <v>0.10214120370370371</v>
      </c>
      <c r="F1396">
        <v>147.08333333333334</v>
      </c>
    </row>
    <row r="1397" spans="1:6" x14ac:dyDescent="0.25">
      <c r="A1397" s="1">
        <v>38838</v>
      </c>
      <c r="B1397" t="s">
        <v>19</v>
      </c>
      <c r="C1397" t="s">
        <v>9</v>
      </c>
      <c r="D1397">
        <v>42</v>
      </c>
      <c r="E1397" s="2">
        <v>3.7337962962962962E-2</v>
      </c>
      <c r="F1397">
        <v>53.766666666666666</v>
      </c>
    </row>
    <row r="1398" spans="1:6" x14ac:dyDescent="0.25">
      <c r="A1398" s="1">
        <v>38838</v>
      </c>
      <c r="B1398" t="s">
        <v>19</v>
      </c>
      <c r="C1398" t="s">
        <v>10</v>
      </c>
      <c r="D1398">
        <v>36</v>
      </c>
      <c r="E1398" s="2">
        <v>3.5983796296296298E-2</v>
      </c>
      <c r="F1398">
        <v>51.81666666666667</v>
      </c>
    </row>
    <row r="1399" spans="1:6" x14ac:dyDescent="0.25">
      <c r="A1399" s="1">
        <v>38838</v>
      </c>
      <c r="B1399" t="s">
        <v>19</v>
      </c>
      <c r="C1399" t="s">
        <v>11</v>
      </c>
      <c r="D1399">
        <v>39</v>
      </c>
      <c r="E1399" s="2">
        <v>3.8055555555555558E-2</v>
      </c>
      <c r="F1399">
        <v>54.8</v>
      </c>
    </row>
    <row r="1400" spans="1:6" x14ac:dyDescent="0.25">
      <c r="A1400" s="1">
        <v>38838</v>
      </c>
      <c r="B1400" t="s">
        <v>20</v>
      </c>
      <c r="C1400" t="s">
        <v>6</v>
      </c>
      <c r="D1400">
        <v>37</v>
      </c>
      <c r="E1400" s="2">
        <v>3.5972222222222225E-2</v>
      </c>
      <c r="F1400">
        <v>51.8</v>
      </c>
    </row>
    <row r="1401" spans="1:6" x14ac:dyDescent="0.25">
      <c r="A1401" s="1">
        <v>38838</v>
      </c>
      <c r="B1401" t="s">
        <v>20</v>
      </c>
      <c r="C1401" t="s">
        <v>7</v>
      </c>
      <c r="D1401">
        <v>35</v>
      </c>
      <c r="E1401" s="2">
        <v>3.5092592592592592E-2</v>
      </c>
      <c r="F1401">
        <v>50.533333333333331</v>
      </c>
    </row>
    <row r="1402" spans="1:6" x14ac:dyDescent="0.25">
      <c r="A1402" s="1">
        <v>38838</v>
      </c>
      <c r="B1402" t="s">
        <v>20</v>
      </c>
      <c r="C1402" t="s">
        <v>8</v>
      </c>
      <c r="D1402">
        <v>25</v>
      </c>
      <c r="E1402" s="2">
        <v>2.795138888888889E-2</v>
      </c>
      <c r="F1402">
        <v>40.25</v>
      </c>
    </row>
    <row r="1403" spans="1:6" x14ac:dyDescent="0.25">
      <c r="A1403" s="1">
        <v>38838</v>
      </c>
      <c r="B1403" t="s">
        <v>20</v>
      </c>
      <c r="C1403" t="s">
        <v>9</v>
      </c>
      <c r="D1403">
        <v>15</v>
      </c>
      <c r="E1403" s="2">
        <v>1.2361111111111111E-2</v>
      </c>
      <c r="F1403">
        <v>17.8</v>
      </c>
    </row>
    <row r="1404" spans="1:6" x14ac:dyDescent="0.25">
      <c r="A1404" s="1">
        <v>38838</v>
      </c>
      <c r="B1404" t="s">
        <v>20</v>
      </c>
      <c r="C1404" t="s">
        <v>10</v>
      </c>
      <c r="D1404">
        <v>17</v>
      </c>
      <c r="E1404" s="2">
        <v>2.0902777777777777E-2</v>
      </c>
      <c r="F1404">
        <v>30.1</v>
      </c>
    </row>
    <row r="1405" spans="1:6" x14ac:dyDescent="0.25">
      <c r="A1405" s="1">
        <v>38838</v>
      </c>
      <c r="B1405" t="s">
        <v>20</v>
      </c>
      <c r="C1405" t="s">
        <v>11</v>
      </c>
      <c r="D1405">
        <v>7</v>
      </c>
      <c r="E1405" s="2">
        <v>7.1296296296296299E-3</v>
      </c>
      <c r="F1405">
        <v>10.266666666666667</v>
      </c>
    </row>
    <row r="1406" spans="1:6" x14ac:dyDescent="0.25">
      <c r="A1406" s="1">
        <v>38838</v>
      </c>
      <c r="B1406" t="s">
        <v>21</v>
      </c>
      <c r="C1406" t="s">
        <v>6</v>
      </c>
      <c r="D1406">
        <v>27</v>
      </c>
      <c r="E1406" s="2">
        <v>3.0983796296296297E-2</v>
      </c>
      <c r="F1406">
        <v>44.616666666666667</v>
      </c>
    </row>
    <row r="1407" spans="1:6" x14ac:dyDescent="0.25">
      <c r="A1407" s="1">
        <v>38838</v>
      </c>
      <c r="B1407" t="s">
        <v>21</v>
      </c>
      <c r="C1407" t="s">
        <v>7</v>
      </c>
      <c r="D1407">
        <v>29</v>
      </c>
      <c r="E1407" s="2">
        <v>4.0590277777777781E-2</v>
      </c>
      <c r="F1407">
        <v>58.45</v>
      </c>
    </row>
    <row r="1408" spans="1:6" x14ac:dyDescent="0.25">
      <c r="A1408" s="1">
        <v>38838</v>
      </c>
      <c r="B1408" t="s">
        <v>21</v>
      </c>
      <c r="C1408" t="s">
        <v>8</v>
      </c>
      <c r="D1408">
        <v>19</v>
      </c>
      <c r="E1408" s="2">
        <v>2.6157407407407407E-2</v>
      </c>
      <c r="F1408">
        <v>37.666666666666664</v>
      </c>
    </row>
    <row r="1409" spans="1:6" x14ac:dyDescent="0.25">
      <c r="A1409" s="1">
        <v>38838</v>
      </c>
      <c r="B1409" t="s">
        <v>21</v>
      </c>
      <c r="C1409" t="s">
        <v>9</v>
      </c>
      <c r="D1409">
        <v>3</v>
      </c>
      <c r="E1409" s="2">
        <v>2.5000000000000001E-3</v>
      </c>
      <c r="F1409">
        <v>3.6</v>
      </c>
    </row>
    <row r="1410" spans="1:6" x14ac:dyDescent="0.25">
      <c r="A1410" s="1">
        <v>38838</v>
      </c>
      <c r="B1410" t="s">
        <v>21</v>
      </c>
      <c r="C1410" t="s">
        <v>10</v>
      </c>
      <c r="D1410">
        <v>11</v>
      </c>
      <c r="E1410" s="2">
        <v>7.7199074074074071E-3</v>
      </c>
      <c r="F1410">
        <v>11.116666666666667</v>
      </c>
    </row>
    <row r="1411" spans="1:6" x14ac:dyDescent="0.25">
      <c r="A1411" s="1">
        <v>38838</v>
      </c>
      <c r="B1411" t="s">
        <v>21</v>
      </c>
      <c r="C1411" t="s">
        <v>11</v>
      </c>
      <c r="D1411">
        <v>10</v>
      </c>
      <c r="E1411" s="2">
        <v>7.5925925925925926E-3</v>
      </c>
      <c r="F1411">
        <v>10.933333333333334</v>
      </c>
    </row>
    <row r="1412" spans="1:6" x14ac:dyDescent="0.25">
      <c r="A1412" s="1">
        <v>38838</v>
      </c>
      <c r="B1412" t="s">
        <v>22</v>
      </c>
      <c r="C1412" t="s">
        <v>6</v>
      </c>
      <c r="D1412">
        <v>28</v>
      </c>
      <c r="E1412" s="2">
        <v>2.9178240740740741E-2</v>
      </c>
      <c r="F1412">
        <v>42.016666666666666</v>
      </c>
    </row>
    <row r="1413" spans="1:6" x14ac:dyDescent="0.25">
      <c r="A1413" s="1">
        <v>38838</v>
      </c>
      <c r="B1413" t="s">
        <v>22</v>
      </c>
      <c r="C1413" t="s">
        <v>7</v>
      </c>
      <c r="D1413">
        <v>15</v>
      </c>
      <c r="E1413" s="2">
        <v>1.7326388888888888E-2</v>
      </c>
      <c r="F1413">
        <v>24.95</v>
      </c>
    </row>
    <row r="1414" spans="1:6" x14ac:dyDescent="0.25">
      <c r="A1414" s="1">
        <v>38838</v>
      </c>
      <c r="B1414" t="s">
        <v>22</v>
      </c>
      <c r="C1414" t="s">
        <v>8</v>
      </c>
      <c r="D1414">
        <v>14</v>
      </c>
      <c r="E1414" s="2">
        <v>2.0150462962962964E-2</v>
      </c>
      <c r="F1414">
        <v>29.016666666666666</v>
      </c>
    </row>
    <row r="1415" spans="1:6" x14ac:dyDescent="0.25">
      <c r="A1415" s="1">
        <v>38838</v>
      </c>
      <c r="B1415" t="s">
        <v>22</v>
      </c>
      <c r="C1415" t="s">
        <v>9</v>
      </c>
      <c r="D1415">
        <v>6</v>
      </c>
      <c r="E1415" s="2">
        <v>5.8564814814814816E-3</v>
      </c>
      <c r="F1415">
        <v>8.4333333333333336</v>
      </c>
    </row>
    <row r="1416" spans="1:6" x14ac:dyDescent="0.25">
      <c r="A1416" s="1">
        <v>38838</v>
      </c>
      <c r="B1416" t="s">
        <v>22</v>
      </c>
      <c r="C1416" t="s">
        <v>10</v>
      </c>
      <c r="D1416">
        <v>2</v>
      </c>
      <c r="E1416" s="2">
        <v>1.8865740740740742E-3</v>
      </c>
      <c r="F1416">
        <v>2.7166666666666668</v>
      </c>
    </row>
    <row r="1417" spans="1:6" x14ac:dyDescent="0.25">
      <c r="A1417" s="1">
        <v>38838</v>
      </c>
      <c r="B1417" t="s">
        <v>22</v>
      </c>
      <c r="C1417" t="s">
        <v>11</v>
      </c>
      <c r="D1417">
        <v>5</v>
      </c>
      <c r="E1417" s="2">
        <v>4.1435185185185186E-3</v>
      </c>
      <c r="F1417">
        <v>5.9666666666666668</v>
      </c>
    </row>
    <row r="1418" spans="1:6" x14ac:dyDescent="0.25">
      <c r="A1418" s="1">
        <v>38838</v>
      </c>
      <c r="B1418" t="s">
        <v>23</v>
      </c>
      <c r="C1418" t="s">
        <v>6</v>
      </c>
      <c r="D1418">
        <v>157</v>
      </c>
      <c r="E1418" s="2">
        <v>0.17104166666666668</v>
      </c>
      <c r="F1418">
        <v>246.3</v>
      </c>
    </row>
    <row r="1419" spans="1:6" x14ac:dyDescent="0.25">
      <c r="A1419" s="1">
        <v>38838</v>
      </c>
      <c r="B1419" t="s">
        <v>23</v>
      </c>
      <c r="C1419" t="s">
        <v>7</v>
      </c>
      <c r="D1419">
        <v>127</v>
      </c>
      <c r="E1419" s="2">
        <v>0.15268518518518517</v>
      </c>
      <c r="F1419">
        <v>219.86666666666667</v>
      </c>
    </row>
    <row r="1420" spans="1:6" x14ac:dyDescent="0.25">
      <c r="A1420" s="1">
        <v>38838</v>
      </c>
      <c r="B1420" t="s">
        <v>23</v>
      </c>
      <c r="C1420" t="s">
        <v>8</v>
      </c>
      <c r="D1420">
        <v>70</v>
      </c>
      <c r="E1420" s="2">
        <v>8.6134259259259258E-2</v>
      </c>
      <c r="F1420">
        <v>124.03333333333333</v>
      </c>
    </row>
    <row r="1421" spans="1:6" x14ac:dyDescent="0.25">
      <c r="A1421" s="1">
        <v>38838</v>
      </c>
      <c r="B1421" t="s">
        <v>23</v>
      </c>
      <c r="C1421" t="s">
        <v>9</v>
      </c>
      <c r="D1421">
        <v>52</v>
      </c>
      <c r="E1421" s="2">
        <v>4.50462962962963E-2</v>
      </c>
      <c r="F1421">
        <v>64.86666666666666</v>
      </c>
    </row>
    <row r="1422" spans="1:6" x14ac:dyDescent="0.25">
      <c r="A1422" s="1">
        <v>38838</v>
      </c>
      <c r="B1422" t="s">
        <v>23</v>
      </c>
      <c r="C1422" t="s">
        <v>10</v>
      </c>
      <c r="D1422">
        <v>37</v>
      </c>
      <c r="E1422" s="2">
        <v>3.4722222222222224E-2</v>
      </c>
      <c r="F1422">
        <v>50</v>
      </c>
    </row>
    <row r="1423" spans="1:6" x14ac:dyDescent="0.25">
      <c r="A1423" s="1">
        <v>38838</v>
      </c>
      <c r="B1423" t="s">
        <v>23</v>
      </c>
      <c r="C1423" t="s">
        <v>11</v>
      </c>
      <c r="D1423">
        <v>44</v>
      </c>
      <c r="E1423" s="2">
        <v>3.7199074074074072E-2</v>
      </c>
      <c r="F1423">
        <v>53.56666666666667</v>
      </c>
    </row>
    <row r="1424" spans="1:6" x14ac:dyDescent="0.25">
      <c r="A1424" s="1">
        <v>38838</v>
      </c>
      <c r="B1424" t="s">
        <v>24</v>
      </c>
      <c r="C1424" t="s">
        <v>6</v>
      </c>
      <c r="D1424">
        <v>61</v>
      </c>
      <c r="E1424" s="2">
        <v>5.8206018518518518E-2</v>
      </c>
      <c r="F1424">
        <v>83.816666666666663</v>
      </c>
    </row>
    <row r="1425" spans="1:6" x14ac:dyDescent="0.25">
      <c r="A1425" s="1">
        <v>38838</v>
      </c>
      <c r="B1425" t="s">
        <v>24</v>
      </c>
      <c r="C1425" t="s">
        <v>7</v>
      </c>
      <c r="D1425">
        <v>50</v>
      </c>
      <c r="E1425" s="2">
        <v>4.2488425925925923E-2</v>
      </c>
      <c r="F1425">
        <v>61.18333333333333</v>
      </c>
    </row>
    <row r="1426" spans="1:6" x14ac:dyDescent="0.25">
      <c r="A1426" s="1">
        <v>38838</v>
      </c>
      <c r="B1426" t="s">
        <v>24</v>
      </c>
      <c r="C1426" t="s">
        <v>8</v>
      </c>
      <c r="D1426">
        <v>28</v>
      </c>
      <c r="E1426" s="2">
        <v>3.1053240740740742E-2</v>
      </c>
      <c r="F1426">
        <v>44.716666666666669</v>
      </c>
    </row>
    <row r="1427" spans="1:6" x14ac:dyDescent="0.25">
      <c r="A1427" s="1">
        <v>38838</v>
      </c>
      <c r="B1427" t="s">
        <v>24</v>
      </c>
      <c r="C1427" t="s">
        <v>9</v>
      </c>
      <c r="D1427">
        <v>19</v>
      </c>
      <c r="E1427" s="2">
        <v>1.4421296296296297E-2</v>
      </c>
      <c r="F1427">
        <v>20.766666666666666</v>
      </c>
    </row>
    <row r="1428" spans="1:6" x14ac:dyDescent="0.25">
      <c r="A1428" s="1">
        <v>38838</v>
      </c>
      <c r="B1428" t="s">
        <v>24</v>
      </c>
      <c r="C1428" t="s">
        <v>10</v>
      </c>
      <c r="D1428">
        <v>4</v>
      </c>
      <c r="E1428" s="2">
        <v>6.4699074074074077E-3</v>
      </c>
      <c r="F1428">
        <v>9.3166666666666664</v>
      </c>
    </row>
    <row r="1429" spans="1:6" x14ac:dyDescent="0.25">
      <c r="A1429" s="1">
        <v>38838</v>
      </c>
      <c r="B1429" t="s">
        <v>24</v>
      </c>
      <c r="C1429" t="s">
        <v>11</v>
      </c>
      <c r="D1429">
        <v>23</v>
      </c>
      <c r="E1429" s="2">
        <v>1.9988425925925927E-2</v>
      </c>
      <c r="F1429">
        <v>28.783333333333335</v>
      </c>
    </row>
    <row r="1430" spans="1:6" x14ac:dyDescent="0.25">
      <c r="A1430" s="1">
        <v>38869</v>
      </c>
      <c r="B1430" t="s">
        <v>5</v>
      </c>
      <c r="C1430" t="s">
        <v>6</v>
      </c>
      <c r="D1430">
        <v>10</v>
      </c>
      <c r="E1430" s="2">
        <v>7.4074074074074077E-3</v>
      </c>
      <c r="F1430">
        <v>10.666666666666666</v>
      </c>
    </row>
    <row r="1431" spans="1:6" x14ac:dyDescent="0.25">
      <c r="A1431" s="1">
        <v>38869</v>
      </c>
      <c r="B1431" t="s">
        <v>5</v>
      </c>
      <c r="C1431" t="s">
        <v>7</v>
      </c>
      <c r="D1431">
        <v>11</v>
      </c>
      <c r="E1431" s="2">
        <v>8.819444444444444E-3</v>
      </c>
      <c r="F1431">
        <v>12.7</v>
      </c>
    </row>
    <row r="1432" spans="1:6" x14ac:dyDescent="0.25">
      <c r="A1432" s="1">
        <v>38869</v>
      </c>
      <c r="B1432" t="s">
        <v>5</v>
      </c>
      <c r="C1432" t="s">
        <v>8</v>
      </c>
      <c r="D1432">
        <v>7</v>
      </c>
      <c r="E1432" s="2">
        <v>4.6412037037037038E-3</v>
      </c>
      <c r="F1432">
        <v>6.6833333333333336</v>
      </c>
    </row>
    <row r="1433" spans="1:6" x14ac:dyDescent="0.25">
      <c r="A1433" s="1">
        <v>38869</v>
      </c>
      <c r="B1433" t="s">
        <v>5</v>
      </c>
      <c r="C1433" t="s">
        <v>9</v>
      </c>
      <c r="D1433">
        <v>3</v>
      </c>
      <c r="E1433" s="2">
        <v>2.9398148148148148E-3</v>
      </c>
      <c r="F1433">
        <v>4.2333333333333334</v>
      </c>
    </row>
    <row r="1434" spans="1:6" x14ac:dyDescent="0.25">
      <c r="A1434" s="1">
        <v>38869</v>
      </c>
      <c r="B1434" t="s">
        <v>5</v>
      </c>
      <c r="C1434" t="s">
        <v>10</v>
      </c>
      <c r="D1434">
        <v>6</v>
      </c>
      <c r="E1434" s="2">
        <v>5.4513888888888893E-3</v>
      </c>
      <c r="F1434">
        <v>7.85</v>
      </c>
    </row>
    <row r="1435" spans="1:6" x14ac:dyDescent="0.25">
      <c r="A1435" s="1">
        <v>38869</v>
      </c>
      <c r="B1435" t="s">
        <v>5</v>
      </c>
      <c r="C1435" t="s">
        <v>11</v>
      </c>
      <c r="D1435">
        <v>4</v>
      </c>
      <c r="E1435" s="2">
        <v>8.3333333333333339E-4</v>
      </c>
      <c r="F1435">
        <v>1.2</v>
      </c>
    </row>
    <row r="1436" spans="1:6" x14ac:dyDescent="0.25">
      <c r="A1436" s="1">
        <v>38869</v>
      </c>
      <c r="B1436" t="s">
        <v>12</v>
      </c>
      <c r="C1436" t="s">
        <v>6</v>
      </c>
      <c r="D1436">
        <v>41</v>
      </c>
      <c r="E1436" s="2">
        <v>4.3009259259259261E-2</v>
      </c>
      <c r="F1436">
        <v>61.93333333333333</v>
      </c>
    </row>
    <row r="1437" spans="1:6" x14ac:dyDescent="0.25">
      <c r="A1437" s="1">
        <v>38869</v>
      </c>
      <c r="B1437" t="s">
        <v>12</v>
      </c>
      <c r="C1437" t="s">
        <v>7</v>
      </c>
      <c r="D1437">
        <v>41</v>
      </c>
      <c r="E1437" s="2">
        <v>5.797453703703704E-2</v>
      </c>
      <c r="F1437">
        <v>83.483333333333334</v>
      </c>
    </row>
    <row r="1438" spans="1:6" x14ac:dyDescent="0.25">
      <c r="A1438" s="1">
        <v>38869</v>
      </c>
      <c r="B1438" t="s">
        <v>12</v>
      </c>
      <c r="C1438" t="s">
        <v>8</v>
      </c>
      <c r="D1438">
        <v>31</v>
      </c>
      <c r="E1438" s="2">
        <v>4.1076388888888891E-2</v>
      </c>
      <c r="F1438">
        <v>59.15</v>
      </c>
    </row>
    <row r="1439" spans="1:6" x14ac:dyDescent="0.25">
      <c r="A1439" s="1">
        <v>38869</v>
      </c>
      <c r="B1439" t="s">
        <v>12</v>
      </c>
      <c r="C1439" t="s">
        <v>9</v>
      </c>
      <c r="D1439">
        <v>14</v>
      </c>
      <c r="E1439" s="2">
        <v>1.3981481481481482E-2</v>
      </c>
      <c r="F1439">
        <v>20.133333333333333</v>
      </c>
    </row>
    <row r="1440" spans="1:6" x14ac:dyDescent="0.25">
      <c r="A1440" s="1">
        <v>38869</v>
      </c>
      <c r="B1440" t="s">
        <v>12</v>
      </c>
      <c r="C1440" t="s">
        <v>10</v>
      </c>
      <c r="D1440">
        <v>0</v>
      </c>
      <c r="E1440" s="2">
        <v>0</v>
      </c>
      <c r="F1440">
        <v>0</v>
      </c>
    </row>
    <row r="1441" spans="1:6" x14ac:dyDescent="0.25">
      <c r="A1441" s="1">
        <v>38869</v>
      </c>
      <c r="B1441" t="s">
        <v>12</v>
      </c>
      <c r="C1441" t="s">
        <v>11</v>
      </c>
      <c r="D1441">
        <v>19</v>
      </c>
      <c r="E1441" s="2">
        <v>1.6145833333333335E-2</v>
      </c>
      <c r="F1441">
        <v>23.25</v>
      </c>
    </row>
    <row r="1442" spans="1:6" x14ac:dyDescent="0.25">
      <c r="A1442" s="1">
        <v>38869</v>
      </c>
      <c r="B1442" t="s">
        <v>13</v>
      </c>
      <c r="C1442" t="s">
        <v>6</v>
      </c>
      <c r="D1442">
        <v>33</v>
      </c>
      <c r="E1442" s="2">
        <v>3.2951388888888891E-2</v>
      </c>
      <c r="F1442">
        <v>47.45</v>
      </c>
    </row>
    <row r="1443" spans="1:6" x14ac:dyDescent="0.25">
      <c r="A1443" s="1">
        <v>38869</v>
      </c>
      <c r="B1443" t="s">
        <v>13</v>
      </c>
      <c r="C1443" t="s">
        <v>7</v>
      </c>
      <c r="D1443">
        <v>39</v>
      </c>
      <c r="E1443" s="2">
        <v>4.4594907407407409E-2</v>
      </c>
      <c r="F1443">
        <v>64.216666666666669</v>
      </c>
    </row>
    <row r="1444" spans="1:6" x14ac:dyDescent="0.25">
      <c r="A1444" s="1">
        <v>38869</v>
      </c>
      <c r="B1444" t="s">
        <v>13</v>
      </c>
      <c r="C1444" t="s">
        <v>8</v>
      </c>
      <c r="D1444">
        <v>37</v>
      </c>
      <c r="E1444" s="2">
        <v>4.6712962962962963E-2</v>
      </c>
      <c r="F1444">
        <v>67.266666666666666</v>
      </c>
    </row>
    <row r="1445" spans="1:6" x14ac:dyDescent="0.25">
      <c r="A1445" s="1">
        <v>38869</v>
      </c>
      <c r="B1445" t="s">
        <v>13</v>
      </c>
      <c r="C1445" t="s">
        <v>9</v>
      </c>
      <c r="D1445">
        <v>11</v>
      </c>
      <c r="E1445" s="2">
        <v>1.1574074074074073E-2</v>
      </c>
      <c r="F1445">
        <v>16.666666666666668</v>
      </c>
    </row>
    <row r="1446" spans="1:6" x14ac:dyDescent="0.25">
      <c r="A1446" s="1">
        <v>38869</v>
      </c>
      <c r="B1446" t="s">
        <v>13</v>
      </c>
      <c r="C1446" t="s">
        <v>10</v>
      </c>
      <c r="D1446">
        <v>17</v>
      </c>
      <c r="E1446" s="2">
        <v>2.1956018518518517E-2</v>
      </c>
      <c r="F1446">
        <v>31.616666666666667</v>
      </c>
    </row>
    <row r="1447" spans="1:6" x14ac:dyDescent="0.25">
      <c r="A1447" s="1">
        <v>38869</v>
      </c>
      <c r="B1447" t="s">
        <v>13</v>
      </c>
      <c r="C1447" t="s">
        <v>11</v>
      </c>
      <c r="D1447">
        <v>13</v>
      </c>
      <c r="E1447" s="2">
        <v>8.9004629629629625E-3</v>
      </c>
      <c r="F1447">
        <v>12.816666666666666</v>
      </c>
    </row>
    <row r="1448" spans="1:6" x14ac:dyDescent="0.25">
      <c r="A1448" s="1">
        <v>38869</v>
      </c>
      <c r="B1448" t="s">
        <v>14</v>
      </c>
      <c r="C1448" t="s">
        <v>6</v>
      </c>
      <c r="D1448">
        <v>27</v>
      </c>
      <c r="E1448" s="2">
        <v>3.1574074074074074E-2</v>
      </c>
      <c r="F1448">
        <v>45.466666666666669</v>
      </c>
    </row>
    <row r="1449" spans="1:6" x14ac:dyDescent="0.25">
      <c r="A1449" s="1">
        <v>38869</v>
      </c>
      <c r="B1449" t="s">
        <v>14</v>
      </c>
      <c r="C1449" t="s">
        <v>7</v>
      </c>
      <c r="D1449">
        <v>20</v>
      </c>
      <c r="E1449" s="2">
        <v>2.7152777777777779E-2</v>
      </c>
      <c r="F1449">
        <v>39.1</v>
      </c>
    </row>
    <row r="1450" spans="1:6" x14ac:dyDescent="0.25">
      <c r="A1450" s="1">
        <v>38869</v>
      </c>
      <c r="B1450" t="s">
        <v>14</v>
      </c>
      <c r="C1450" t="s">
        <v>8</v>
      </c>
      <c r="D1450">
        <v>8</v>
      </c>
      <c r="E1450" s="2">
        <v>1.1168981481481481E-2</v>
      </c>
      <c r="F1450">
        <v>16.083333333333332</v>
      </c>
    </row>
    <row r="1451" spans="1:6" x14ac:dyDescent="0.25">
      <c r="A1451" s="1">
        <v>38869</v>
      </c>
      <c r="B1451" t="s">
        <v>14</v>
      </c>
      <c r="C1451" t="s">
        <v>9</v>
      </c>
      <c r="D1451">
        <v>1</v>
      </c>
      <c r="E1451" s="2">
        <v>8.7962962962962962E-4</v>
      </c>
      <c r="F1451">
        <v>1.2666666666666666</v>
      </c>
    </row>
    <row r="1452" spans="1:6" x14ac:dyDescent="0.25">
      <c r="A1452" s="1">
        <v>38869</v>
      </c>
      <c r="B1452" t="s">
        <v>14</v>
      </c>
      <c r="C1452" t="s">
        <v>10</v>
      </c>
      <c r="D1452">
        <v>1</v>
      </c>
      <c r="E1452" s="2">
        <v>1.6550925925925926E-3</v>
      </c>
      <c r="F1452">
        <v>2.3833333333333333</v>
      </c>
    </row>
    <row r="1453" spans="1:6" x14ac:dyDescent="0.25">
      <c r="A1453" s="1">
        <v>38869</v>
      </c>
      <c r="B1453" t="s">
        <v>14</v>
      </c>
      <c r="C1453" t="s">
        <v>11</v>
      </c>
      <c r="D1453">
        <v>10</v>
      </c>
      <c r="E1453" s="2">
        <v>8.7962962962962968E-3</v>
      </c>
      <c r="F1453">
        <v>12.666666666666666</v>
      </c>
    </row>
    <row r="1454" spans="1:6" x14ac:dyDescent="0.25">
      <c r="A1454" s="1">
        <v>38869</v>
      </c>
      <c r="B1454" t="s">
        <v>15</v>
      </c>
      <c r="C1454" t="s">
        <v>6</v>
      </c>
      <c r="D1454">
        <v>32</v>
      </c>
      <c r="E1454" s="2">
        <v>3.0995370370370371E-2</v>
      </c>
      <c r="F1454">
        <v>44.633333333333333</v>
      </c>
    </row>
    <row r="1455" spans="1:6" x14ac:dyDescent="0.25">
      <c r="A1455" s="1">
        <v>38869</v>
      </c>
      <c r="B1455" t="s">
        <v>15</v>
      </c>
      <c r="C1455" t="s">
        <v>7</v>
      </c>
      <c r="D1455">
        <v>23</v>
      </c>
      <c r="E1455" s="2">
        <v>1.9641203703703702E-2</v>
      </c>
      <c r="F1455">
        <v>28.283333333333335</v>
      </c>
    </row>
    <row r="1456" spans="1:6" x14ac:dyDescent="0.25">
      <c r="A1456" s="1">
        <v>38869</v>
      </c>
      <c r="B1456" t="s">
        <v>15</v>
      </c>
      <c r="C1456" t="s">
        <v>8</v>
      </c>
      <c r="D1456">
        <v>9</v>
      </c>
      <c r="E1456" s="2">
        <v>9.8148148148148144E-3</v>
      </c>
      <c r="F1456">
        <v>14.133333333333333</v>
      </c>
    </row>
    <row r="1457" spans="1:6" x14ac:dyDescent="0.25">
      <c r="A1457" s="1">
        <v>38869</v>
      </c>
      <c r="B1457" t="s">
        <v>15</v>
      </c>
      <c r="C1457" t="s">
        <v>9</v>
      </c>
      <c r="D1457">
        <v>4</v>
      </c>
      <c r="E1457" s="2">
        <v>4.1898148148148146E-3</v>
      </c>
      <c r="F1457">
        <v>6.0333333333333332</v>
      </c>
    </row>
    <row r="1458" spans="1:6" x14ac:dyDescent="0.25">
      <c r="A1458" s="1">
        <v>38869</v>
      </c>
      <c r="B1458" t="s">
        <v>15</v>
      </c>
      <c r="C1458" t="s">
        <v>10</v>
      </c>
      <c r="D1458">
        <v>6</v>
      </c>
      <c r="E1458" s="2">
        <v>6.122685185185185E-3</v>
      </c>
      <c r="F1458">
        <v>8.8166666666666664</v>
      </c>
    </row>
    <row r="1459" spans="1:6" x14ac:dyDescent="0.25">
      <c r="A1459" s="1">
        <v>38869</v>
      </c>
      <c r="B1459" t="s">
        <v>15</v>
      </c>
      <c r="C1459" t="s">
        <v>11</v>
      </c>
      <c r="D1459">
        <v>11</v>
      </c>
      <c r="E1459" s="2">
        <v>8.8425925925925929E-3</v>
      </c>
      <c r="F1459">
        <v>12.733333333333333</v>
      </c>
    </row>
    <row r="1460" spans="1:6" x14ac:dyDescent="0.25">
      <c r="A1460" s="1">
        <v>38869</v>
      </c>
      <c r="B1460" t="s">
        <v>16</v>
      </c>
      <c r="C1460" t="s">
        <v>6</v>
      </c>
      <c r="D1460">
        <v>26</v>
      </c>
      <c r="E1460" s="2">
        <v>2.7303240740740739E-2</v>
      </c>
      <c r="F1460">
        <v>39.31666666666667</v>
      </c>
    </row>
    <row r="1461" spans="1:6" x14ac:dyDescent="0.25">
      <c r="A1461" s="1">
        <v>38869</v>
      </c>
      <c r="B1461" t="s">
        <v>16</v>
      </c>
      <c r="C1461" t="s">
        <v>7</v>
      </c>
      <c r="D1461">
        <v>21</v>
      </c>
      <c r="E1461" s="2">
        <v>2.0717592592592593E-2</v>
      </c>
      <c r="F1461">
        <v>29.833333333333332</v>
      </c>
    </row>
    <row r="1462" spans="1:6" x14ac:dyDescent="0.25">
      <c r="A1462" s="1">
        <v>38869</v>
      </c>
      <c r="B1462" t="s">
        <v>16</v>
      </c>
      <c r="C1462" t="s">
        <v>8</v>
      </c>
      <c r="D1462">
        <v>20</v>
      </c>
      <c r="E1462" s="2">
        <v>2.5949074074074076E-2</v>
      </c>
      <c r="F1462">
        <v>37.366666666666667</v>
      </c>
    </row>
    <row r="1463" spans="1:6" x14ac:dyDescent="0.25">
      <c r="A1463" s="1">
        <v>38869</v>
      </c>
      <c r="B1463" t="s">
        <v>16</v>
      </c>
      <c r="C1463" t="s">
        <v>9</v>
      </c>
      <c r="D1463">
        <v>5</v>
      </c>
      <c r="E1463" s="2">
        <v>5.5671296296296293E-3</v>
      </c>
      <c r="F1463">
        <v>8.0166666666666675</v>
      </c>
    </row>
    <row r="1464" spans="1:6" x14ac:dyDescent="0.25">
      <c r="A1464" s="1">
        <v>38869</v>
      </c>
      <c r="B1464" t="s">
        <v>16</v>
      </c>
      <c r="C1464" t="s">
        <v>10</v>
      </c>
      <c r="D1464">
        <v>3</v>
      </c>
      <c r="E1464" s="2">
        <v>2.4189814814814816E-3</v>
      </c>
      <c r="F1464">
        <v>3.4833333333333334</v>
      </c>
    </row>
    <row r="1465" spans="1:6" x14ac:dyDescent="0.25">
      <c r="A1465" s="1">
        <v>38869</v>
      </c>
      <c r="B1465" t="s">
        <v>16</v>
      </c>
      <c r="C1465" t="s">
        <v>11</v>
      </c>
      <c r="D1465">
        <v>13</v>
      </c>
      <c r="E1465" s="2">
        <v>8.7500000000000008E-3</v>
      </c>
      <c r="F1465">
        <v>12.6</v>
      </c>
    </row>
    <row r="1466" spans="1:6" x14ac:dyDescent="0.25">
      <c r="A1466" s="1">
        <v>38869</v>
      </c>
      <c r="B1466" t="s">
        <v>17</v>
      </c>
      <c r="C1466" t="s">
        <v>6</v>
      </c>
      <c r="D1466">
        <v>7</v>
      </c>
      <c r="E1466" s="2">
        <v>7.3379629629629628E-3</v>
      </c>
      <c r="F1466">
        <v>10.566666666666666</v>
      </c>
    </row>
    <row r="1467" spans="1:6" x14ac:dyDescent="0.25">
      <c r="A1467" s="1">
        <v>38869</v>
      </c>
      <c r="B1467" t="s">
        <v>17</v>
      </c>
      <c r="C1467" t="s">
        <v>7</v>
      </c>
      <c r="D1467">
        <v>13</v>
      </c>
      <c r="E1467" s="2">
        <v>1.5636574074074074E-2</v>
      </c>
      <c r="F1467">
        <v>22.516666666666666</v>
      </c>
    </row>
    <row r="1468" spans="1:6" x14ac:dyDescent="0.25">
      <c r="A1468" s="1">
        <v>38869</v>
      </c>
      <c r="B1468" t="s">
        <v>17</v>
      </c>
      <c r="C1468" t="s">
        <v>8</v>
      </c>
      <c r="D1468">
        <v>7</v>
      </c>
      <c r="E1468" s="2">
        <v>7.3148148148148148E-3</v>
      </c>
      <c r="F1468">
        <v>10.533333333333333</v>
      </c>
    </row>
    <row r="1469" spans="1:6" x14ac:dyDescent="0.25">
      <c r="A1469" s="1">
        <v>38869</v>
      </c>
      <c r="B1469" t="s">
        <v>17</v>
      </c>
      <c r="C1469" t="s">
        <v>9</v>
      </c>
      <c r="D1469">
        <v>1</v>
      </c>
      <c r="E1469" s="2">
        <v>5.5555555555555556E-4</v>
      </c>
      <c r="F1469">
        <v>0.8</v>
      </c>
    </row>
    <row r="1470" spans="1:6" x14ac:dyDescent="0.25">
      <c r="A1470" s="1">
        <v>38869</v>
      </c>
      <c r="B1470" t="s">
        <v>17</v>
      </c>
      <c r="C1470" t="s">
        <v>10</v>
      </c>
      <c r="D1470">
        <v>4</v>
      </c>
      <c r="E1470" s="2">
        <v>3.4953703703703705E-3</v>
      </c>
      <c r="F1470">
        <v>5.0333333333333332</v>
      </c>
    </row>
    <row r="1471" spans="1:6" x14ac:dyDescent="0.25">
      <c r="A1471" s="1">
        <v>38869</v>
      </c>
      <c r="B1471" t="s">
        <v>17</v>
      </c>
      <c r="C1471" t="s">
        <v>11</v>
      </c>
      <c r="D1471">
        <v>2</v>
      </c>
      <c r="E1471" s="2">
        <v>9.6064814814814819E-4</v>
      </c>
      <c r="F1471">
        <v>1.3833333333333333</v>
      </c>
    </row>
    <row r="1472" spans="1:6" x14ac:dyDescent="0.25">
      <c r="A1472" s="1">
        <v>38869</v>
      </c>
      <c r="B1472" t="s">
        <v>18</v>
      </c>
      <c r="C1472" t="s">
        <v>6</v>
      </c>
      <c r="D1472">
        <v>41</v>
      </c>
      <c r="E1472" s="2">
        <v>4.4166666666666667E-2</v>
      </c>
      <c r="F1472">
        <v>63.6</v>
      </c>
    </row>
    <row r="1473" spans="1:6" x14ac:dyDescent="0.25">
      <c r="A1473" s="1">
        <v>38869</v>
      </c>
      <c r="B1473" t="s">
        <v>18</v>
      </c>
      <c r="C1473" t="s">
        <v>7</v>
      </c>
      <c r="D1473">
        <v>45</v>
      </c>
      <c r="E1473" s="2">
        <v>4.2372685185185187E-2</v>
      </c>
      <c r="F1473">
        <v>61.016666666666666</v>
      </c>
    </row>
    <row r="1474" spans="1:6" x14ac:dyDescent="0.25">
      <c r="A1474" s="1">
        <v>38869</v>
      </c>
      <c r="B1474" t="s">
        <v>18</v>
      </c>
      <c r="C1474" t="s">
        <v>8</v>
      </c>
      <c r="D1474">
        <v>39</v>
      </c>
      <c r="E1474" s="2">
        <v>4.2534722222222224E-2</v>
      </c>
      <c r="F1474">
        <v>61.25</v>
      </c>
    </row>
    <row r="1475" spans="1:6" x14ac:dyDescent="0.25">
      <c r="A1475" s="1">
        <v>38869</v>
      </c>
      <c r="B1475" t="s">
        <v>18</v>
      </c>
      <c r="C1475" t="s">
        <v>9</v>
      </c>
      <c r="D1475">
        <v>38</v>
      </c>
      <c r="E1475" s="2">
        <v>3.8553240740740742E-2</v>
      </c>
      <c r="F1475">
        <v>55.516666666666666</v>
      </c>
    </row>
    <row r="1476" spans="1:6" x14ac:dyDescent="0.25">
      <c r="A1476" s="1">
        <v>38869</v>
      </c>
      <c r="B1476" t="s">
        <v>18</v>
      </c>
      <c r="C1476" t="s">
        <v>10</v>
      </c>
      <c r="D1476">
        <v>121</v>
      </c>
      <c r="E1476" s="2">
        <v>0.12487268518518518</v>
      </c>
      <c r="F1476">
        <v>179.81666666666666</v>
      </c>
    </row>
    <row r="1477" spans="1:6" x14ac:dyDescent="0.25">
      <c r="A1477" s="1">
        <v>38869</v>
      </c>
      <c r="B1477" t="s">
        <v>18</v>
      </c>
      <c r="C1477" t="s">
        <v>11</v>
      </c>
      <c r="D1477">
        <v>11</v>
      </c>
      <c r="E1477" s="2">
        <v>5.7175925925925927E-3</v>
      </c>
      <c r="F1477">
        <v>8.2333333333333325</v>
      </c>
    </row>
    <row r="1478" spans="1:6" x14ac:dyDescent="0.25">
      <c r="A1478" s="1">
        <v>38869</v>
      </c>
      <c r="B1478" t="s">
        <v>19</v>
      </c>
      <c r="C1478" t="s">
        <v>6</v>
      </c>
      <c r="D1478">
        <v>40</v>
      </c>
      <c r="E1478" s="2">
        <v>3.7453703703703704E-2</v>
      </c>
      <c r="F1478">
        <v>53.93333333333333</v>
      </c>
    </row>
    <row r="1479" spans="1:6" x14ac:dyDescent="0.25">
      <c r="A1479" s="1">
        <v>38869</v>
      </c>
      <c r="B1479" t="s">
        <v>19</v>
      </c>
      <c r="C1479" t="s">
        <v>7</v>
      </c>
      <c r="D1479">
        <v>52</v>
      </c>
      <c r="E1479" s="2">
        <v>5.46875E-2</v>
      </c>
      <c r="F1479">
        <v>78.75</v>
      </c>
    </row>
    <row r="1480" spans="1:6" x14ac:dyDescent="0.25">
      <c r="A1480" s="1">
        <v>38869</v>
      </c>
      <c r="B1480" t="s">
        <v>19</v>
      </c>
      <c r="C1480" t="s">
        <v>8</v>
      </c>
      <c r="D1480">
        <v>38</v>
      </c>
      <c r="E1480" s="2">
        <v>5.1550925925925924E-2</v>
      </c>
      <c r="F1480">
        <v>74.233333333333334</v>
      </c>
    </row>
    <row r="1481" spans="1:6" x14ac:dyDescent="0.25">
      <c r="A1481" s="1">
        <v>38869</v>
      </c>
      <c r="B1481" t="s">
        <v>19</v>
      </c>
      <c r="C1481" t="s">
        <v>9</v>
      </c>
      <c r="D1481">
        <v>19</v>
      </c>
      <c r="E1481" s="2">
        <v>1.9189814814814816E-2</v>
      </c>
      <c r="F1481">
        <v>27.633333333333333</v>
      </c>
    </row>
    <row r="1482" spans="1:6" x14ac:dyDescent="0.25">
      <c r="A1482" s="1">
        <v>38869</v>
      </c>
      <c r="B1482" t="s">
        <v>19</v>
      </c>
      <c r="C1482" t="s">
        <v>10</v>
      </c>
      <c r="D1482">
        <v>23</v>
      </c>
      <c r="E1482" s="2">
        <v>2.6168981481481481E-2</v>
      </c>
      <c r="F1482">
        <v>37.68333333333333</v>
      </c>
    </row>
    <row r="1483" spans="1:6" x14ac:dyDescent="0.25">
      <c r="A1483" s="1">
        <v>38869</v>
      </c>
      <c r="B1483" t="s">
        <v>19</v>
      </c>
      <c r="C1483" t="s">
        <v>11</v>
      </c>
      <c r="D1483">
        <v>23</v>
      </c>
      <c r="E1483" s="2">
        <v>1.7245370370370369E-2</v>
      </c>
      <c r="F1483">
        <v>24.833333333333332</v>
      </c>
    </row>
    <row r="1484" spans="1:6" x14ac:dyDescent="0.25">
      <c r="A1484" s="1">
        <v>38869</v>
      </c>
      <c r="B1484" t="s">
        <v>20</v>
      </c>
      <c r="C1484" t="s">
        <v>6</v>
      </c>
      <c r="D1484">
        <v>29</v>
      </c>
      <c r="E1484" s="2">
        <v>3.5624999999999997E-2</v>
      </c>
      <c r="F1484">
        <v>51.3</v>
      </c>
    </row>
    <row r="1485" spans="1:6" x14ac:dyDescent="0.25">
      <c r="A1485" s="1">
        <v>38869</v>
      </c>
      <c r="B1485" t="s">
        <v>20</v>
      </c>
      <c r="C1485" t="s">
        <v>7</v>
      </c>
      <c r="D1485">
        <v>46</v>
      </c>
      <c r="E1485" s="2">
        <v>7.4027777777777776E-2</v>
      </c>
      <c r="F1485">
        <v>106.6</v>
      </c>
    </row>
    <row r="1486" spans="1:6" x14ac:dyDescent="0.25">
      <c r="A1486" s="1">
        <v>38869</v>
      </c>
      <c r="B1486" t="s">
        <v>20</v>
      </c>
      <c r="C1486" t="s">
        <v>8</v>
      </c>
      <c r="D1486">
        <v>31</v>
      </c>
      <c r="E1486" s="2">
        <v>4.4687499999999998E-2</v>
      </c>
      <c r="F1486">
        <v>64.349999999999994</v>
      </c>
    </row>
    <row r="1487" spans="1:6" x14ac:dyDescent="0.25">
      <c r="A1487" s="1">
        <v>38869</v>
      </c>
      <c r="B1487" t="s">
        <v>20</v>
      </c>
      <c r="C1487" t="s">
        <v>9</v>
      </c>
      <c r="D1487">
        <v>11</v>
      </c>
      <c r="E1487" s="2">
        <v>1.2118055555555556E-2</v>
      </c>
      <c r="F1487">
        <v>17.45</v>
      </c>
    </row>
    <row r="1488" spans="1:6" x14ac:dyDescent="0.25">
      <c r="A1488" s="1">
        <v>38869</v>
      </c>
      <c r="B1488" t="s">
        <v>20</v>
      </c>
      <c r="C1488" t="s">
        <v>10</v>
      </c>
      <c r="D1488">
        <v>11</v>
      </c>
      <c r="E1488" s="2">
        <v>1.1122685185185185E-2</v>
      </c>
      <c r="F1488">
        <v>16.016666666666666</v>
      </c>
    </row>
    <row r="1489" spans="1:6" x14ac:dyDescent="0.25">
      <c r="A1489" s="1">
        <v>38869</v>
      </c>
      <c r="B1489" t="s">
        <v>20</v>
      </c>
      <c r="C1489" t="s">
        <v>11</v>
      </c>
      <c r="D1489">
        <v>16</v>
      </c>
      <c r="E1489" s="2">
        <v>1.1423611111111112E-2</v>
      </c>
      <c r="F1489">
        <v>16.45</v>
      </c>
    </row>
    <row r="1490" spans="1:6" x14ac:dyDescent="0.25">
      <c r="A1490" s="1">
        <v>38869</v>
      </c>
      <c r="B1490" t="s">
        <v>21</v>
      </c>
      <c r="C1490" t="s">
        <v>6</v>
      </c>
      <c r="D1490">
        <v>18</v>
      </c>
      <c r="E1490" s="2">
        <v>2.1550925925925925E-2</v>
      </c>
      <c r="F1490">
        <v>31.033333333333335</v>
      </c>
    </row>
    <row r="1491" spans="1:6" x14ac:dyDescent="0.25">
      <c r="A1491" s="1">
        <v>38869</v>
      </c>
      <c r="B1491" t="s">
        <v>21</v>
      </c>
      <c r="C1491" t="s">
        <v>7</v>
      </c>
      <c r="D1491">
        <v>15</v>
      </c>
      <c r="E1491" s="2">
        <v>1.8668981481481481E-2</v>
      </c>
      <c r="F1491">
        <v>26.883333333333333</v>
      </c>
    </row>
    <row r="1492" spans="1:6" x14ac:dyDescent="0.25">
      <c r="A1492" s="1">
        <v>38869</v>
      </c>
      <c r="B1492" t="s">
        <v>21</v>
      </c>
      <c r="C1492" t="s">
        <v>8</v>
      </c>
      <c r="D1492">
        <v>14</v>
      </c>
      <c r="E1492" s="2">
        <v>2.0682870370370369E-2</v>
      </c>
      <c r="F1492">
        <v>29.783333333333335</v>
      </c>
    </row>
    <row r="1493" spans="1:6" x14ac:dyDescent="0.25">
      <c r="A1493" s="1">
        <v>38869</v>
      </c>
      <c r="B1493" t="s">
        <v>21</v>
      </c>
      <c r="C1493" t="s">
        <v>9</v>
      </c>
      <c r="D1493">
        <v>4</v>
      </c>
      <c r="E1493" s="2">
        <v>3.5532407407407409E-3</v>
      </c>
      <c r="F1493">
        <v>5.1166666666666663</v>
      </c>
    </row>
    <row r="1494" spans="1:6" x14ac:dyDescent="0.25">
      <c r="A1494" s="1">
        <v>38869</v>
      </c>
      <c r="B1494" t="s">
        <v>21</v>
      </c>
      <c r="C1494" t="s">
        <v>10</v>
      </c>
      <c r="D1494">
        <v>5</v>
      </c>
      <c r="E1494" s="2">
        <v>7.060185185185185E-3</v>
      </c>
      <c r="F1494">
        <v>10.166666666666666</v>
      </c>
    </row>
    <row r="1495" spans="1:6" x14ac:dyDescent="0.25">
      <c r="A1495" s="1">
        <v>38869</v>
      </c>
      <c r="B1495" t="s">
        <v>21</v>
      </c>
      <c r="C1495" t="s">
        <v>11</v>
      </c>
      <c r="D1495">
        <v>9</v>
      </c>
      <c r="E1495" s="2">
        <v>6.0185185185185185E-3</v>
      </c>
      <c r="F1495">
        <v>8.6666666666666661</v>
      </c>
    </row>
    <row r="1496" spans="1:6" x14ac:dyDescent="0.25">
      <c r="A1496" s="1">
        <v>38869</v>
      </c>
      <c r="B1496" t="s">
        <v>22</v>
      </c>
      <c r="C1496" t="s">
        <v>6</v>
      </c>
      <c r="D1496">
        <v>13</v>
      </c>
      <c r="E1496" s="2">
        <v>1.1585648148148149E-2</v>
      </c>
      <c r="F1496">
        <v>16.683333333333334</v>
      </c>
    </row>
    <row r="1497" spans="1:6" x14ac:dyDescent="0.25">
      <c r="A1497" s="1">
        <v>38869</v>
      </c>
      <c r="B1497" t="s">
        <v>22</v>
      </c>
      <c r="C1497" t="s">
        <v>7</v>
      </c>
      <c r="D1497">
        <v>16</v>
      </c>
      <c r="E1497" s="2">
        <v>2.2222222222222223E-2</v>
      </c>
      <c r="F1497">
        <v>32</v>
      </c>
    </row>
    <row r="1498" spans="1:6" x14ac:dyDescent="0.25">
      <c r="A1498" s="1">
        <v>38869</v>
      </c>
      <c r="B1498" t="s">
        <v>22</v>
      </c>
      <c r="C1498" t="s">
        <v>8</v>
      </c>
      <c r="D1498">
        <v>12</v>
      </c>
      <c r="E1498" s="2">
        <v>1.2013888888888888E-2</v>
      </c>
      <c r="F1498">
        <v>17.3</v>
      </c>
    </row>
    <row r="1499" spans="1:6" x14ac:dyDescent="0.25">
      <c r="A1499" s="1">
        <v>38869</v>
      </c>
      <c r="B1499" t="s">
        <v>22</v>
      </c>
      <c r="C1499" t="s">
        <v>9</v>
      </c>
      <c r="D1499">
        <v>1</v>
      </c>
      <c r="E1499" s="2">
        <v>9.7222222222222219E-4</v>
      </c>
      <c r="F1499">
        <v>1.4</v>
      </c>
    </row>
    <row r="1500" spans="1:6" x14ac:dyDescent="0.25">
      <c r="A1500" s="1">
        <v>38869</v>
      </c>
      <c r="B1500" t="s">
        <v>22</v>
      </c>
      <c r="C1500" t="s">
        <v>10</v>
      </c>
      <c r="D1500">
        <v>3</v>
      </c>
      <c r="E1500" s="2">
        <v>2.5578703703703705E-3</v>
      </c>
      <c r="F1500">
        <v>3.6833333333333336</v>
      </c>
    </row>
    <row r="1501" spans="1:6" x14ac:dyDescent="0.25">
      <c r="A1501" s="1">
        <v>38869</v>
      </c>
      <c r="B1501" t="s">
        <v>22</v>
      </c>
      <c r="C1501" t="s">
        <v>11</v>
      </c>
      <c r="D1501">
        <v>2</v>
      </c>
      <c r="E1501" s="2">
        <v>1.8749999999999999E-3</v>
      </c>
      <c r="F1501">
        <v>2.7</v>
      </c>
    </row>
    <row r="1502" spans="1:6" x14ac:dyDescent="0.25">
      <c r="A1502" s="1">
        <v>38869</v>
      </c>
      <c r="B1502" t="s">
        <v>23</v>
      </c>
      <c r="C1502" t="s">
        <v>6</v>
      </c>
      <c r="D1502">
        <v>109</v>
      </c>
      <c r="E1502" s="2">
        <v>0.11761574074074074</v>
      </c>
      <c r="F1502">
        <v>169.36666666666667</v>
      </c>
    </row>
    <row r="1503" spans="1:6" x14ac:dyDescent="0.25">
      <c r="A1503" s="1">
        <v>38869</v>
      </c>
      <c r="B1503" t="s">
        <v>23</v>
      </c>
      <c r="C1503" t="s">
        <v>7</v>
      </c>
      <c r="D1503">
        <v>120</v>
      </c>
      <c r="E1503" s="2">
        <v>0.12925925925925927</v>
      </c>
      <c r="F1503">
        <v>186.13333333333333</v>
      </c>
    </row>
    <row r="1504" spans="1:6" x14ac:dyDescent="0.25">
      <c r="A1504" s="1">
        <v>38869</v>
      </c>
      <c r="B1504" t="s">
        <v>23</v>
      </c>
      <c r="C1504" t="s">
        <v>8</v>
      </c>
      <c r="D1504">
        <v>76</v>
      </c>
      <c r="E1504" s="2">
        <v>0.10063657407407407</v>
      </c>
      <c r="F1504">
        <v>144.91666666666666</v>
      </c>
    </row>
    <row r="1505" spans="1:6" x14ac:dyDescent="0.25">
      <c r="A1505" s="1">
        <v>38869</v>
      </c>
      <c r="B1505" t="s">
        <v>23</v>
      </c>
      <c r="C1505" t="s">
        <v>9</v>
      </c>
      <c r="D1505">
        <v>29</v>
      </c>
      <c r="E1505" s="2">
        <v>3.1990740740740743E-2</v>
      </c>
      <c r="F1505">
        <v>46.06666666666667</v>
      </c>
    </row>
    <row r="1506" spans="1:6" x14ac:dyDescent="0.25">
      <c r="A1506" s="1">
        <v>38869</v>
      </c>
      <c r="B1506" t="s">
        <v>23</v>
      </c>
      <c r="C1506" t="s">
        <v>10</v>
      </c>
      <c r="D1506">
        <v>40</v>
      </c>
      <c r="E1506" s="2">
        <v>4.0034722222222222E-2</v>
      </c>
      <c r="F1506">
        <v>57.65</v>
      </c>
    </row>
    <row r="1507" spans="1:6" x14ac:dyDescent="0.25">
      <c r="A1507" s="1">
        <v>38869</v>
      </c>
      <c r="B1507" t="s">
        <v>23</v>
      </c>
      <c r="C1507" t="s">
        <v>11</v>
      </c>
      <c r="D1507">
        <v>34</v>
      </c>
      <c r="E1507" s="2">
        <v>3.0104166666666668E-2</v>
      </c>
      <c r="F1507">
        <v>43.35</v>
      </c>
    </row>
    <row r="1508" spans="1:6" x14ac:dyDescent="0.25">
      <c r="A1508" s="1">
        <v>38869</v>
      </c>
      <c r="B1508" t="s">
        <v>24</v>
      </c>
      <c r="C1508" t="s">
        <v>6</v>
      </c>
      <c r="D1508">
        <v>218</v>
      </c>
      <c r="E1508" s="2">
        <v>0.22417824074074075</v>
      </c>
      <c r="F1508">
        <v>322.81666666666666</v>
      </c>
    </row>
    <row r="1509" spans="1:6" x14ac:dyDescent="0.25">
      <c r="A1509" s="1">
        <v>38869</v>
      </c>
      <c r="B1509" t="s">
        <v>24</v>
      </c>
      <c r="C1509" t="s">
        <v>7</v>
      </c>
      <c r="D1509">
        <v>163</v>
      </c>
      <c r="E1509" s="2">
        <v>0.16686342592592593</v>
      </c>
      <c r="F1509">
        <v>240.28333333333333</v>
      </c>
    </row>
    <row r="1510" spans="1:6" x14ac:dyDescent="0.25">
      <c r="A1510" s="1">
        <v>38869</v>
      </c>
      <c r="B1510" t="s">
        <v>24</v>
      </c>
      <c r="C1510" t="s">
        <v>8</v>
      </c>
      <c r="D1510">
        <v>79</v>
      </c>
      <c r="E1510" s="2">
        <v>7.9548611111111112E-2</v>
      </c>
      <c r="F1510">
        <v>114.55</v>
      </c>
    </row>
    <row r="1511" spans="1:6" x14ac:dyDescent="0.25">
      <c r="A1511" s="1">
        <v>38869</v>
      </c>
      <c r="B1511" t="s">
        <v>24</v>
      </c>
      <c r="C1511" t="s">
        <v>9</v>
      </c>
      <c r="D1511">
        <v>26</v>
      </c>
      <c r="E1511" s="2">
        <v>2.1585648148148149E-2</v>
      </c>
      <c r="F1511">
        <v>31.083333333333332</v>
      </c>
    </row>
    <row r="1512" spans="1:6" x14ac:dyDescent="0.25">
      <c r="A1512" s="1">
        <v>38869</v>
      </c>
      <c r="B1512" t="s">
        <v>24</v>
      </c>
      <c r="C1512" t="s">
        <v>10</v>
      </c>
      <c r="D1512">
        <v>29</v>
      </c>
      <c r="E1512" s="2">
        <v>3.3298611111111112E-2</v>
      </c>
      <c r="F1512">
        <v>47.95</v>
      </c>
    </row>
    <row r="1513" spans="1:6" x14ac:dyDescent="0.25">
      <c r="A1513" s="1">
        <v>38869</v>
      </c>
      <c r="B1513" t="s">
        <v>24</v>
      </c>
      <c r="C1513" t="s">
        <v>11</v>
      </c>
      <c r="D1513">
        <v>75</v>
      </c>
      <c r="E1513" s="2">
        <v>5.3715277777777778E-2</v>
      </c>
      <c r="F1513">
        <v>77.349999999999994</v>
      </c>
    </row>
    <row r="1514" spans="1:6" x14ac:dyDescent="0.25">
      <c r="A1514" s="1">
        <v>38899</v>
      </c>
      <c r="B1514" t="s">
        <v>5</v>
      </c>
      <c r="C1514" t="s">
        <v>6</v>
      </c>
      <c r="D1514">
        <v>22</v>
      </c>
      <c r="E1514" s="2">
        <v>2.224537037037037E-2</v>
      </c>
      <c r="F1514">
        <v>32.033333333333331</v>
      </c>
    </row>
    <row r="1515" spans="1:6" x14ac:dyDescent="0.25">
      <c r="A1515" s="1">
        <v>38899</v>
      </c>
      <c r="B1515" t="s">
        <v>5</v>
      </c>
      <c r="C1515" t="s">
        <v>7</v>
      </c>
      <c r="D1515">
        <v>11</v>
      </c>
      <c r="E1515" s="2">
        <v>9.4560185185185181E-3</v>
      </c>
      <c r="F1515">
        <v>13.616666666666667</v>
      </c>
    </row>
    <row r="1516" spans="1:6" x14ac:dyDescent="0.25">
      <c r="A1516" s="1">
        <v>38899</v>
      </c>
      <c r="B1516" t="s">
        <v>5</v>
      </c>
      <c r="C1516" t="s">
        <v>8</v>
      </c>
      <c r="D1516">
        <v>12</v>
      </c>
      <c r="E1516" s="2">
        <v>1.1296296296296296E-2</v>
      </c>
      <c r="F1516">
        <v>16.266666666666666</v>
      </c>
    </row>
    <row r="1517" spans="1:6" x14ac:dyDescent="0.25">
      <c r="A1517" s="1">
        <v>38899</v>
      </c>
      <c r="B1517" t="s">
        <v>5</v>
      </c>
      <c r="C1517" t="s">
        <v>9</v>
      </c>
      <c r="D1517">
        <v>4</v>
      </c>
      <c r="E1517" s="2">
        <v>3.4375E-3</v>
      </c>
      <c r="F1517">
        <v>4.95</v>
      </c>
    </row>
    <row r="1518" spans="1:6" x14ac:dyDescent="0.25">
      <c r="A1518" s="1">
        <v>38899</v>
      </c>
      <c r="B1518" t="s">
        <v>5</v>
      </c>
      <c r="C1518" t="s">
        <v>10</v>
      </c>
      <c r="D1518">
        <v>5</v>
      </c>
      <c r="E1518" s="2">
        <v>4.6180555555555558E-3</v>
      </c>
      <c r="F1518">
        <v>6.65</v>
      </c>
    </row>
    <row r="1519" spans="1:6" x14ac:dyDescent="0.25">
      <c r="A1519" s="1">
        <v>38899</v>
      </c>
      <c r="B1519" t="s">
        <v>5</v>
      </c>
      <c r="C1519" t="s">
        <v>11</v>
      </c>
      <c r="D1519">
        <v>10</v>
      </c>
      <c r="E1519" s="2">
        <v>4.1666666666666666E-3</v>
      </c>
      <c r="F1519">
        <v>6</v>
      </c>
    </row>
    <row r="1520" spans="1:6" x14ac:dyDescent="0.25">
      <c r="A1520" s="1">
        <v>38899</v>
      </c>
      <c r="B1520" t="s">
        <v>12</v>
      </c>
      <c r="C1520" t="s">
        <v>6</v>
      </c>
      <c r="D1520">
        <v>41</v>
      </c>
      <c r="E1520" s="2">
        <v>4.7962962962962964E-2</v>
      </c>
      <c r="F1520">
        <v>69.066666666666663</v>
      </c>
    </row>
    <row r="1521" spans="1:6" x14ac:dyDescent="0.25">
      <c r="A1521" s="1">
        <v>38899</v>
      </c>
      <c r="B1521" t="s">
        <v>12</v>
      </c>
      <c r="C1521" t="s">
        <v>7</v>
      </c>
      <c r="D1521">
        <v>59</v>
      </c>
      <c r="E1521" s="2">
        <v>8.1238425925925922E-2</v>
      </c>
      <c r="F1521">
        <v>116.98333333333333</v>
      </c>
    </row>
    <row r="1522" spans="1:6" x14ac:dyDescent="0.25">
      <c r="A1522" s="1">
        <v>38899</v>
      </c>
      <c r="B1522" t="s">
        <v>12</v>
      </c>
      <c r="C1522" t="s">
        <v>8</v>
      </c>
      <c r="D1522">
        <v>37</v>
      </c>
      <c r="E1522" s="2">
        <v>5.1828703703703703E-2</v>
      </c>
      <c r="F1522">
        <v>74.63333333333334</v>
      </c>
    </row>
    <row r="1523" spans="1:6" x14ac:dyDescent="0.25">
      <c r="A1523" s="1">
        <v>38899</v>
      </c>
      <c r="B1523" t="s">
        <v>12</v>
      </c>
      <c r="C1523" t="s">
        <v>9</v>
      </c>
      <c r="D1523">
        <v>9</v>
      </c>
      <c r="E1523" s="2">
        <v>7.6851851851851855E-3</v>
      </c>
      <c r="F1523">
        <v>11.066666666666666</v>
      </c>
    </row>
    <row r="1524" spans="1:6" x14ac:dyDescent="0.25">
      <c r="A1524" s="1">
        <v>38899</v>
      </c>
      <c r="B1524" t="s">
        <v>12</v>
      </c>
      <c r="C1524" t="s">
        <v>10</v>
      </c>
      <c r="D1524">
        <v>2</v>
      </c>
      <c r="E1524" s="2">
        <v>2.4421296296296296E-3</v>
      </c>
      <c r="F1524">
        <v>3.5166666666666666</v>
      </c>
    </row>
    <row r="1525" spans="1:6" x14ac:dyDescent="0.25">
      <c r="A1525" s="1">
        <v>38899</v>
      </c>
      <c r="B1525" t="s">
        <v>12</v>
      </c>
      <c r="C1525" t="s">
        <v>11</v>
      </c>
      <c r="D1525">
        <v>18</v>
      </c>
      <c r="E1525" s="2">
        <v>1.6134259259259258E-2</v>
      </c>
      <c r="F1525">
        <v>23.233333333333334</v>
      </c>
    </row>
    <row r="1526" spans="1:6" x14ac:dyDescent="0.25">
      <c r="A1526" s="1">
        <v>38899</v>
      </c>
      <c r="B1526" t="s">
        <v>13</v>
      </c>
      <c r="C1526" t="s">
        <v>6</v>
      </c>
      <c r="D1526">
        <v>31</v>
      </c>
      <c r="E1526" s="2">
        <v>3.4583333333333334E-2</v>
      </c>
      <c r="F1526">
        <v>49.8</v>
      </c>
    </row>
    <row r="1527" spans="1:6" x14ac:dyDescent="0.25">
      <c r="A1527" s="1">
        <v>38899</v>
      </c>
      <c r="B1527" t="s">
        <v>13</v>
      </c>
      <c r="C1527" t="s">
        <v>7</v>
      </c>
      <c r="D1527">
        <v>31</v>
      </c>
      <c r="E1527" s="2">
        <v>3.6249999999999998E-2</v>
      </c>
      <c r="F1527">
        <v>52.2</v>
      </c>
    </row>
    <row r="1528" spans="1:6" x14ac:dyDescent="0.25">
      <c r="A1528" s="1">
        <v>38899</v>
      </c>
      <c r="B1528" t="s">
        <v>13</v>
      </c>
      <c r="C1528" t="s">
        <v>8</v>
      </c>
      <c r="D1528">
        <v>17</v>
      </c>
      <c r="E1528" s="2">
        <v>2.2708333333333334E-2</v>
      </c>
      <c r="F1528">
        <v>32.700000000000003</v>
      </c>
    </row>
    <row r="1529" spans="1:6" x14ac:dyDescent="0.25">
      <c r="A1529" s="1">
        <v>38899</v>
      </c>
      <c r="B1529" t="s">
        <v>13</v>
      </c>
      <c r="C1529" t="s">
        <v>9</v>
      </c>
      <c r="D1529">
        <v>3</v>
      </c>
      <c r="E1529" s="2">
        <v>1.5393518518518519E-3</v>
      </c>
      <c r="F1529">
        <v>2.2166666666666668</v>
      </c>
    </row>
    <row r="1530" spans="1:6" x14ac:dyDescent="0.25">
      <c r="A1530" s="1">
        <v>38899</v>
      </c>
      <c r="B1530" t="s">
        <v>13</v>
      </c>
      <c r="C1530" t="s">
        <v>10</v>
      </c>
      <c r="D1530">
        <v>8</v>
      </c>
      <c r="E1530" s="2">
        <v>9.3981481481481485E-3</v>
      </c>
      <c r="F1530">
        <v>13.533333333333333</v>
      </c>
    </row>
    <row r="1531" spans="1:6" x14ac:dyDescent="0.25">
      <c r="A1531" s="1">
        <v>38899</v>
      </c>
      <c r="B1531" t="s">
        <v>13</v>
      </c>
      <c r="C1531" t="s">
        <v>11</v>
      </c>
      <c r="D1531">
        <v>9</v>
      </c>
      <c r="E1531" s="2">
        <v>5.8680555555555552E-3</v>
      </c>
      <c r="F1531">
        <v>8.4499999999999993</v>
      </c>
    </row>
    <row r="1532" spans="1:6" x14ac:dyDescent="0.25">
      <c r="A1532" s="1">
        <v>38899</v>
      </c>
      <c r="B1532" t="s">
        <v>14</v>
      </c>
      <c r="C1532" t="s">
        <v>6</v>
      </c>
      <c r="D1532">
        <v>9</v>
      </c>
      <c r="E1532" s="2">
        <v>1.2766203703703703E-2</v>
      </c>
      <c r="F1532">
        <v>18.383333333333333</v>
      </c>
    </row>
    <row r="1533" spans="1:6" x14ac:dyDescent="0.25">
      <c r="A1533" s="1">
        <v>38899</v>
      </c>
      <c r="B1533" t="s">
        <v>14</v>
      </c>
      <c r="C1533" t="s">
        <v>7</v>
      </c>
      <c r="D1533">
        <v>10</v>
      </c>
      <c r="E1533" s="2">
        <v>1.4236111111111111E-2</v>
      </c>
      <c r="F1533">
        <v>20.5</v>
      </c>
    </row>
    <row r="1534" spans="1:6" x14ac:dyDescent="0.25">
      <c r="A1534" s="1">
        <v>38899</v>
      </c>
      <c r="B1534" t="s">
        <v>14</v>
      </c>
      <c r="C1534" t="s">
        <v>8</v>
      </c>
      <c r="D1534">
        <v>2</v>
      </c>
      <c r="E1534" s="2">
        <v>2.5115740740740741E-3</v>
      </c>
      <c r="F1534">
        <v>3.6166666666666667</v>
      </c>
    </row>
    <row r="1535" spans="1:6" x14ac:dyDescent="0.25">
      <c r="A1535" s="1">
        <v>38899</v>
      </c>
      <c r="B1535" t="s">
        <v>14</v>
      </c>
      <c r="C1535" t="s">
        <v>9</v>
      </c>
      <c r="D1535">
        <v>2</v>
      </c>
      <c r="E1535" s="2">
        <v>1.3888888888888889E-3</v>
      </c>
      <c r="F1535">
        <v>2</v>
      </c>
    </row>
    <row r="1536" spans="1:6" x14ac:dyDescent="0.25">
      <c r="A1536" s="1">
        <v>38899</v>
      </c>
      <c r="B1536" t="s">
        <v>14</v>
      </c>
      <c r="C1536" t="s">
        <v>10</v>
      </c>
      <c r="D1536">
        <v>2</v>
      </c>
      <c r="E1536" s="2">
        <v>4.5138888888888887E-4</v>
      </c>
      <c r="F1536">
        <v>0.65</v>
      </c>
    </row>
    <row r="1537" spans="1:6" x14ac:dyDescent="0.25">
      <c r="A1537" s="1">
        <v>38899</v>
      </c>
      <c r="B1537" t="s">
        <v>14</v>
      </c>
      <c r="C1537" t="s">
        <v>11</v>
      </c>
      <c r="D1537">
        <v>3</v>
      </c>
      <c r="E1537" s="2">
        <v>2.9629629629629628E-3</v>
      </c>
      <c r="F1537">
        <v>4.2666666666666666</v>
      </c>
    </row>
    <row r="1538" spans="1:6" x14ac:dyDescent="0.25">
      <c r="A1538" s="1">
        <v>38899</v>
      </c>
      <c r="B1538" t="s">
        <v>15</v>
      </c>
      <c r="C1538" t="s">
        <v>6</v>
      </c>
      <c r="D1538">
        <v>46</v>
      </c>
      <c r="E1538" s="2">
        <v>5.3912037037037036E-2</v>
      </c>
      <c r="F1538">
        <v>77.63333333333334</v>
      </c>
    </row>
    <row r="1539" spans="1:6" x14ac:dyDescent="0.25">
      <c r="A1539" s="1">
        <v>38899</v>
      </c>
      <c r="B1539" t="s">
        <v>15</v>
      </c>
      <c r="C1539" t="s">
        <v>7</v>
      </c>
      <c r="D1539">
        <v>42</v>
      </c>
      <c r="E1539" s="2">
        <v>4.1076388888888891E-2</v>
      </c>
      <c r="F1539">
        <v>59.15</v>
      </c>
    </row>
    <row r="1540" spans="1:6" x14ac:dyDescent="0.25">
      <c r="A1540" s="1">
        <v>38899</v>
      </c>
      <c r="B1540" t="s">
        <v>15</v>
      </c>
      <c r="C1540" t="s">
        <v>8</v>
      </c>
      <c r="D1540">
        <v>23</v>
      </c>
      <c r="E1540" s="2">
        <v>2.7442129629629629E-2</v>
      </c>
      <c r="F1540">
        <v>39.516666666666666</v>
      </c>
    </row>
    <row r="1541" spans="1:6" x14ac:dyDescent="0.25">
      <c r="A1541" s="1">
        <v>38899</v>
      </c>
      <c r="B1541" t="s">
        <v>15</v>
      </c>
      <c r="C1541" t="s">
        <v>9</v>
      </c>
      <c r="D1541">
        <v>2</v>
      </c>
      <c r="E1541" s="2">
        <v>7.407407407407407E-4</v>
      </c>
      <c r="F1541">
        <v>1.0666666666666667</v>
      </c>
    </row>
    <row r="1542" spans="1:6" x14ac:dyDescent="0.25">
      <c r="A1542" s="1">
        <v>38899</v>
      </c>
      <c r="B1542" t="s">
        <v>15</v>
      </c>
      <c r="C1542" t="s">
        <v>10</v>
      </c>
      <c r="D1542">
        <v>5</v>
      </c>
      <c r="E1542" s="2">
        <v>6.2268518518518515E-3</v>
      </c>
      <c r="F1542">
        <v>8.9666666666666668</v>
      </c>
    </row>
    <row r="1543" spans="1:6" x14ac:dyDescent="0.25">
      <c r="A1543" s="1">
        <v>38899</v>
      </c>
      <c r="B1543" t="s">
        <v>15</v>
      </c>
      <c r="C1543" t="s">
        <v>11</v>
      </c>
      <c r="D1543">
        <v>14</v>
      </c>
      <c r="E1543" s="2">
        <v>8.4837962962962966E-3</v>
      </c>
      <c r="F1543">
        <v>12.216666666666667</v>
      </c>
    </row>
    <row r="1544" spans="1:6" x14ac:dyDescent="0.25">
      <c r="A1544" s="1">
        <v>38899</v>
      </c>
      <c r="B1544" t="s">
        <v>16</v>
      </c>
      <c r="C1544" t="s">
        <v>6</v>
      </c>
      <c r="D1544">
        <v>9</v>
      </c>
      <c r="E1544" s="2">
        <v>9.8148148148148144E-3</v>
      </c>
      <c r="F1544">
        <v>14.133333333333333</v>
      </c>
    </row>
    <row r="1545" spans="1:6" x14ac:dyDescent="0.25">
      <c r="A1545" s="1">
        <v>38899</v>
      </c>
      <c r="B1545" t="s">
        <v>16</v>
      </c>
      <c r="C1545" t="s">
        <v>7</v>
      </c>
      <c r="D1545">
        <v>17</v>
      </c>
      <c r="E1545" s="2">
        <v>1.6944444444444446E-2</v>
      </c>
      <c r="F1545">
        <v>24.4</v>
      </c>
    </row>
    <row r="1546" spans="1:6" x14ac:dyDescent="0.25">
      <c r="A1546" s="1">
        <v>38899</v>
      </c>
      <c r="B1546" t="s">
        <v>16</v>
      </c>
      <c r="C1546" t="s">
        <v>8</v>
      </c>
      <c r="D1546">
        <v>18</v>
      </c>
      <c r="E1546" s="2">
        <v>1.4675925925925926E-2</v>
      </c>
      <c r="F1546">
        <v>21.133333333333333</v>
      </c>
    </row>
    <row r="1547" spans="1:6" x14ac:dyDescent="0.25">
      <c r="A1547" s="1">
        <v>38899</v>
      </c>
      <c r="B1547" t="s">
        <v>16</v>
      </c>
      <c r="C1547" t="s">
        <v>9</v>
      </c>
      <c r="D1547">
        <v>0</v>
      </c>
      <c r="E1547" s="2">
        <v>0</v>
      </c>
      <c r="F1547">
        <v>0</v>
      </c>
    </row>
    <row r="1548" spans="1:6" x14ac:dyDescent="0.25">
      <c r="A1548" s="1">
        <v>38899</v>
      </c>
      <c r="B1548" t="s">
        <v>16</v>
      </c>
      <c r="C1548" t="s">
        <v>10</v>
      </c>
      <c r="D1548">
        <v>0</v>
      </c>
      <c r="E1548" s="2">
        <v>0</v>
      </c>
      <c r="F1548">
        <v>0</v>
      </c>
    </row>
    <row r="1549" spans="1:6" x14ac:dyDescent="0.25">
      <c r="A1549" s="1">
        <v>38899</v>
      </c>
      <c r="B1549" t="s">
        <v>16</v>
      </c>
      <c r="C1549" t="s">
        <v>11</v>
      </c>
      <c r="D1549">
        <v>7</v>
      </c>
      <c r="E1549" s="2">
        <v>3.1365740740740742E-3</v>
      </c>
      <c r="F1549">
        <v>4.5166666666666666</v>
      </c>
    </row>
    <row r="1550" spans="1:6" x14ac:dyDescent="0.25">
      <c r="A1550" s="1">
        <v>38899</v>
      </c>
      <c r="B1550" t="s">
        <v>17</v>
      </c>
      <c r="C1550" t="s">
        <v>6</v>
      </c>
      <c r="D1550">
        <v>5</v>
      </c>
      <c r="E1550" s="2">
        <v>5.138888888888889E-3</v>
      </c>
      <c r="F1550">
        <v>7.4</v>
      </c>
    </row>
    <row r="1551" spans="1:6" x14ac:dyDescent="0.25">
      <c r="A1551" s="1">
        <v>38899</v>
      </c>
      <c r="B1551" t="s">
        <v>17</v>
      </c>
      <c r="C1551" t="s">
        <v>7</v>
      </c>
      <c r="D1551">
        <v>8</v>
      </c>
      <c r="E1551" s="2">
        <v>8.611111111111111E-3</v>
      </c>
      <c r="F1551">
        <v>12.4</v>
      </c>
    </row>
    <row r="1552" spans="1:6" x14ac:dyDescent="0.25">
      <c r="A1552" s="1">
        <v>38899</v>
      </c>
      <c r="B1552" t="s">
        <v>17</v>
      </c>
      <c r="C1552" t="s">
        <v>8</v>
      </c>
      <c r="D1552">
        <v>6</v>
      </c>
      <c r="E1552" s="2">
        <v>5.2430555555555555E-3</v>
      </c>
      <c r="F1552">
        <v>7.55</v>
      </c>
    </row>
    <row r="1553" spans="1:6" x14ac:dyDescent="0.25">
      <c r="A1553" s="1">
        <v>38899</v>
      </c>
      <c r="B1553" t="s">
        <v>17</v>
      </c>
      <c r="C1553" t="s">
        <v>9</v>
      </c>
      <c r="D1553">
        <v>3</v>
      </c>
      <c r="E1553" s="2">
        <v>3.0324074074074073E-3</v>
      </c>
      <c r="F1553">
        <v>4.3666666666666663</v>
      </c>
    </row>
    <row r="1554" spans="1:6" x14ac:dyDescent="0.25">
      <c r="A1554" s="1">
        <v>38899</v>
      </c>
      <c r="B1554" t="s">
        <v>17</v>
      </c>
      <c r="C1554" t="s">
        <v>10</v>
      </c>
      <c r="D1554">
        <v>3</v>
      </c>
      <c r="E1554" s="2">
        <v>1.9675925925925924E-3</v>
      </c>
      <c r="F1554">
        <v>2.8333333333333335</v>
      </c>
    </row>
    <row r="1555" spans="1:6" x14ac:dyDescent="0.25">
      <c r="A1555" s="1">
        <v>38899</v>
      </c>
      <c r="B1555" t="s">
        <v>17</v>
      </c>
      <c r="C1555" t="s">
        <v>11</v>
      </c>
      <c r="D1555">
        <v>1</v>
      </c>
      <c r="E1555" s="2">
        <v>6.3657407407407413E-4</v>
      </c>
      <c r="F1555">
        <v>0.91666666666666663</v>
      </c>
    </row>
    <row r="1556" spans="1:6" x14ac:dyDescent="0.25">
      <c r="A1556" s="1">
        <v>38899</v>
      </c>
      <c r="B1556" t="s">
        <v>18</v>
      </c>
      <c r="C1556" t="s">
        <v>6</v>
      </c>
      <c r="D1556">
        <v>129</v>
      </c>
      <c r="E1556" s="2">
        <v>0.13754629629629631</v>
      </c>
      <c r="F1556">
        <v>198.06666666666666</v>
      </c>
    </row>
    <row r="1557" spans="1:6" x14ac:dyDescent="0.25">
      <c r="A1557" s="1">
        <v>38899</v>
      </c>
      <c r="B1557" t="s">
        <v>18</v>
      </c>
      <c r="C1557" t="s">
        <v>7</v>
      </c>
      <c r="D1557">
        <v>142</v>
      </c>
      <c r="E1557" s="2">
        <v>0.13872685185185185</v>
      </c>
      <c r="F1557">
        <v>199.76666666666668</v>
      </c>
    </row>
    <row r="1558" spans="1:6" x14ac:dyDescent="0.25">
      <c r="A1558" s="1">
        <v>38899</v>
      </c>
      <c r="B1558" t="s">
        <v>18</v>
      </c>
      <c r="C1558" t="s">
        <v>8</v>
      </c>
      <c r="D1558">
        <v>103</v>
      </c>
      <c r="E1558" s="2">
        <v>0.13310185185185186</v>
      </c>
      <c r="F1558">
        <v>191.66666666666666</v>
      </c>
    </row>
    <row r="1559" spans="1:6" x14ac:dyDescent="0.25">
      <c r="A1559" s="1">
        <v>38899</v>
      </c>
      <c r="B1559" t="s">
        <v>18</v>
      </c>
      <c r="C1559" t="s">
        <v>9</v>
      </c>
      <c r="D1559">
        <v>49</v>
      </c>
      <c r="E1559" s="2">
        <v>4.7233796296296295E-2</v>
      </c>
      <c r="F1559">
        <v>68.016666666666666</v>
      </c>
    </row>
    <row r="1560" spans="1:6" x14ac:dyDescent="0.25">
      <c r="A1560" s="1">
        <v>38899</v>
      </c>
      <c r="B1560" t="s">
        <v>18</v>
      </c>
      <c r="C1560" t="s">
        <v>10</v>
      </c>
      <c r="D1560">
        <v>172</v>
      </c>
      <c r="E1560" s="2">
        <v>0.18496527777777777</v>
      </c>
      <c r="F1560">
        <v>266.35000000000002</v>
      </c>
    </row>
    <row r="1561" spans="1:6" x14ac:dyDescent="0.25">
      <c r="A1561" s="1">
        <v>38899</v>
      </c>
      <c r="B1561" t="s">
        <v>18</v>
      </c>
      <c r="C1561" t="s">
        <v>11</v>
      </c>
      <c r="D1561">
        <v>49</v>
      </c>
      <c r="E1561" s="2">
        <v>4.5810185185185183E-2</v>
      </c>
      <c r="F1561">
        <v>65.966666666666669</v>
      </c>
    </row>
    <row r="1562" spans="1:6" x14ac:dyDescent="0.25">
      <c r="A1562" s="1">
        <v>38899</v>
      </c>
      <c r="B1562" t="s">
        <v>19</v>
      </c>
      <c r="C1562" t="s">
        <v>6</v>
      </c>
      <c r="D1562">
        <v>12</v>
      </c>
      <c r="E1562" s="2">
        <v>1.2372685185185184E-2</v>
      </c>
      <c r="F1562">
        <v>17.816666666666666</v>
      </c>
    </row>
    <row r="1563" spans="1:6" x14ac:dyDescent="0.25">
      <c r="A1563" s="1">
        <v>38899</v>
      </c>
      <c r="B1563" t="s">
        <v>19</v>
      </c>
      <c r="C1563" t="s">
        <v>7</v>
      </c>
      <c r="D1563">
        <v>19</v>
      </c>
      <c r="E1563" s="2">
        <v>1.9166666666666665E-2</v>
      </c>
      <c r="F1563">
        <v>27.6</v>
      </c>
    </row>
    <row r="1564" spans="1:6" x14ac:dyDescent="0.25">
      <c r="A1564" s="1">
        <v>38899</v>
      </c>
      <c r="B1564" t="s">
        <v>19</v>
      </c>
      <c r="C1564" t="s">
        <v>8</v>
      </c>
      <c r="D1564">
        <v>24</v>
      </c>
      <c r="E1564" s="2">
        <v>2.4907407407407406E-2</v>
      </c>
      <c r="F1564">
        <v>35.866666666666667</v>
      </c>
    </row>
    <row r="1565" spans="1:6" x14ac:dyDescent="0.25">
      <c r="A1565" s="1">
        <v>38899</v>
      </c>
      <c r="B1565" t="s">
        <v>19</v>
      </c>
      <c r="C1565" t="s">
        <v>9</v>
      </c>
      <c r="D1565">
        <v>7</v>
      </c>
      <c r="E1565" s="2">
        <v>5.9722222222222225E-3</v>
      </c>
      <c r="F1565">
        <v>8.6</v>
      </c>
    </row>
    <row r="1566" spans="1:6" x14ac:dyDescent="0.25">
      <c r="A1566" s="1">
        <v>38899</v>
      </c>
      <c r="B1566" t="s">
        <v>19</v>
      </c>
      <c r="C1566" t="s">
        <v>10</v>
      </c>
      <c r="D1566">
        <v>8</v>
      </c>
      <c r="E1566" s="2">
        <v>6.3541666666666668E-3</v>
      </c>
      <c r="F1566">
        <v>9.15</v>
      </c>
    </row>
    <row r="1567" spans="1:6" x14ac:dyDescent="0.25">
      <c r="A1567" s="1">
        <v>38899</v>
      </c>
      <c r="B1567" t="s">
        <v>19</v>
      </c>
      <c r="C1567" t="s">
        <v>11</v>
      </c>
      <c r="D1567">
        <v>8</v>
      </c>
      <c r="E1567" s="2">
        <v>6.5277777777777782E-3</v>
      </c>
      <c r="F1567">
        <v>9.4</v>
      </c>
    </row>
    <row r="1568" spans="1:6" x14ac:dyDescent="0.25">
      <c r="A1568" s="1">
        <v>38899</v>
      </c>
      <c r="B1568" t="s">
        <v>20</v>
      </c>
      <c r="C1568" t="s">
        <v>6</v>
      </c>
      <c r="D1568">
        <v>23</v>
      </c>
      <c r="E1568" s="2">
        <v>2.7060185185185184E-2</v>
      </c>
      <c r="F1568">
        <v>38.966666666666669</v>
      </c>
    </row>
    <row r="1569" spans="1:6" x14ac:dyDescent="0.25">
      <c r="A1569" s="1">
        <v>38899</v>
      </c>
      <c r="B1569" t="s">
        <v>20</v>
      </c>
      <c r="C1569" t="s">
        <v>7</v>
      </c>
      <c r="D1569">
        <v>18</v>
      </c>
      <c r="E1569" s="2">
        <v>1.8645833333333334E-2</v>
      </c>
      <c r="F1569">
        <v>26.85</v>
      </c>
    </row>
    <row r="1570" spans="1:6" x14ac:dyDescent="0.25">
      <c r="A1570" s="1">
        <v>38899</v>
      </c>
      <c r="B1570" t="s">
        <v>20</v>
      </c>
      <c r="C1570" t="s">
        <v>8</v>
      </c>
      <c r="D1570">
        <v>19</v>
      </c>
      <c r="E1570" s="2">
        <v>2.2835648148148147E-2</v>
      </c>
      <c r="F1570">
        <v>32.883333333333333</v>
      </c>
    </row>
    <row r="1571" spans="1:6" x14ac:dyDescent="0.25">
      <c r="A1571" s="1">
        <v>38899</v>
      </c>
      <c r="B1571" t="s">
        <v>20</v>
      </c>
      <c r="C1571" t="s">
        <v>9</v>
      </c>
      <c r="D1571">
        <v>10</v>
      </c>
      <c r="E1571" s="2">
        <v>8.1365740740740738E-3</v>
      </c>
      <c r="F1571">
        <v>11.716666666666667</v>
      </c>
    </row>
    <row r="1572" spans="1:6" x14ac:dyDescent="0.25">
      <c r="A1572" s="1">
        <v>38899</v>
      </c>
      <c r="B1572" t="s">
        <v>20</v>
      </c>
      <c r="C1572" t="s">
        <v>10</v>
      </c>
      <c r="D1572">
        <v>6</v>
      </c>
      <c r="E1572" s="2">
        <v>5.6597222222222222E-3</v>
      </c>
      <c r="F1572">
        <v>8.15</v>
      </c>
    </row>
    <row r="1573" spans="1:6" x14ac:dyDescent="0.25">
      <c r="A1573" s="1">
        <v>38899</v>
      </c>
      <c r="B1573" t="s">
        <v>20</v>
      </c>
      <c r="C1573" t="s">
        <v>11</v>
      </c>
      <c r="D1573">
        <v>9</v>
      </c>
      <c r="E1573" s="2">
        <v>7.2916666666666668E-3</v>
      </c>
      <c r="F1573">
        <v>10.5</v>
      </c>
    </row>
    <row r="1574" spans="1:6" x14ac:dyDescent="0.25">
      <c r="A1574" s="1">
        <v>38899</v>
      </c>
      <c r="B1574" t="s">
        <v>21</v>
      </c>
      <c r="C1574" t="s">
        <v>6</v>
      </c>
      <c r="D1574">
        <v>29</v>
      </c>
      <c r="E1574" s="2">
        <v>3.2326388888888891E-2</v>
      </c>
      <c r="F1574">
        <v>46.55</v>
      </c>
    </row>
    <row r="1575" spans="1:6" x14ac:dyDescent="0.25">
      <c r="A1575" s="1">
        <v>38899</v>
      </c>
      <c r="B1575" t="s">
        <v>21</v>
      </c>
      <c r="C1575" t="s">
        <v>7</v>
      </c>
      <c r="D1575">
        <v>32</v>
      </c>
      <c r="E1575" s="2">
        <v>3.0648148148148147E-2</v>
      </c>
      <c r="F1575">
        <v>44.133333333333333</v>
      </c>
    </row>
    <row r="1576" spans="1:6" x14ac:dyDescent="0.25">
      <c r="A1576" s="1">
        <v>38899</v>
      </c>
      <c r="B1576" t="s">
        <v>21</v>
      </c>
      <c r="C1576" t="s">
        <v>8</v>
      </c>
      <c r="D1576">
        <v>23</v>
      </c>
      <c r="E1576" s="2">
        <v>2.9027777777777777E-2</v>
      </c>
      <c r="F1576">
        <v>41.8</v>
      </c>
    </row>
    <row r="1577" spans="1:6" x14ac:dyDescent="0.25">
      <c r="A1577" s="1">
        <v>38899</v>
      </c>
      <c r="B1577" t="s">
        <v>21</v>
      </c>
      <c r="C1577" t="s">
        <v>9</v>
      </c>
      <c r="D1577">
        <v>9</v>
      </c>
      <c r="E1577" s="2">
        <v>7.4305555555555557E-3</v>
      </c>
      <c r="F1577">
        <v>10.7</v>
      </c>
    </row>
    <row r="1578" spans="1:6" x14ac:dyDescent="0.25">
      <c r="A1578" s="1">
        <v>38899</v>
      </c>
      <c r="B1578" t="s">
        <v>21</v>
      </c>
      <c r="C1578" t="s">
        <v>10</v>
      </c>
      <c r="D1578">
        <v>3</v>
      </c>
      <c r="E1578" s="2">
        <v>2.8240740740740739E-3</v>
      </c>
      <c r="F1578">
        <v>4.0666666666666664</v>
      </c>
    </row>
    <row r="1579" spans="1:6" x14ac:dyDescent="0.25">
      <c r="A1579" s="1">
        <v>38899</v>
      </c>
      <c r="B1579" t="s">
        <v>21</v>
      </c>
      <c r="C1579" t="s">
        <v>11</v>
      </c>
      <c r="D1579">
        <v>13</v>
      </c>
      <c r="E1579" s="2">
        <v>1.2152777777777778E-2</v>
      </c>
      <c r="F1579">
        <v>17.5</v>
      </c>
    </row>
    <row r="1580" spans="1:6" x14ac:dyDescent="0.25">
      <c r="A1580" s="1">
        <v>38899</v>
      </c>
      <c r="B1580" t="s">
        <v>22</v>
      </c>
      <c r="C1580" t="s">
        <v>6</v>
      </c>
      <c r="D1580">
        <v>10</v>
      </c>
      <c r="E1580" s="2">
        <v>1.2268518518518519E-2</v>
      </c>
      <c r="F1580">
        <v>17.666666666666668</v>
      </c>
    </row>
    <row r="1581" spans="1:6" x14ac:dyDescent="0.25">
      <c r="A1581" s="1">
        <v>38899</v>
      </c>
      <c r="B1581" t="s">
        <v>22</v>
      </c>
      <c r="C1581" t="s">
        <v>7</v>
      </c>
      <c r="D1581">
        <v>15</v>
      </c>
      <c r="E1581" s="2">
        <v>1.2569444444444444E-2</v>
      </c>
      <c r="F1581">
        <v>18.100000000000001</v>
      </c>
    </row>
    <row r="1582" spans="1:6" x14ac:dyDescent="0.25">
      <c r="A1582" s="1">
        <v>38899</v>
      </c>
      <c r="B1582" t="s">
        <v>22</v>
      </c>
      <c r="C1582" t="s">
        <v>8</v>
      </c>
      <c r="D1582">
        <v>9</v>
      </c>
      <c r="E1582" s="2">
        <v>8.9236111111111113E-3</v>
      </c>
      <c r="F1582">
        <v>12.85</v>
      </c>
    </row>
    <row r="1583" spans="1:6" x14ac:dyDescent="0.25">
      <c r="A1583" s="1">
        <v>38899</v>
      </c>
      <c r="B1583" t="s">
        <v>22</v>
      </c>
      <c r="C1583" t="s">
        <v>9</v>
      </c>
      <c r="D1583">
        <v>2</v>
      </c>
      <c r="E1583" s="2">
        <v>1.3310185185185185E-3</v>
      </c>
      <c r="F1583">
        <v>1.9166666666666665</v>
      </c>
    </row>
    <row r="1584" spans="1:6" x14ac:dyDescent="0.25">
      <c r="A1584" s="1">
        <v>38899</v>
      </c>
      <c r="B1584" t="s">
        <v>22</v>
      </c>
      <c r="C1584" t="s">
        <v>10</v>
      </c>
      <c r="D1584">
        <v>8</v>
      </c>
      <c r="E1584" s="2">
        <v>4.8726851851851848E-3</v>
      </c>
      <c r="F1584">
        <v>7.0166666666666666</v>
      </c>
    </row>
    <row r="1585" spans="1:6" x14ac:dyDescent="0.25">
      <c r="A1585" s="1">
        <v>38899</v>
      </c>
      <c r="B1585" t="s">
        <v>22</v>
      </c>
      <c r="C1585" t="s">
        <v>11</v>
      </c>
      <c r="D1585">
        <v>5</v>
      </c>
      <c r="E1585" s="2">
        <v>4.4212962962962964E-3</v>
      </c>
      <c r="F1585">
        <v>6.3666666666666663</v>
      </c>
    </row>
    <row r="1586" spans="1:6" x14ac:dyDescent="0.25">
      <c r="A1586" s="1">
        <v>38899</v>
      </c>
      <c r="B1586" t="s">
        <v>23</v>
      </c>
      <c r="C1586" t="s">
        <v>6</v>
      </c>
      <c r="D1586">
        <v>82</v>
      </c>
      <c r="E1586" s="2">
        <v>8.9236111111111113E-2</v>
      </c>
      <c r="F1586">
        <v>128.5</v>
      </c>
    </row>
    <row r="1587" spans="1:6" x14ac:dyDescent="0.25">
      <c r="A1587" s="1">
        <v>38899</v>
      </c>
      <c r="B1587" t="s">
        <v>23</v>
      </c>
      <c r="C1587" t="s">
        <v>7</v>
      </c>
      <c r="D1587">
        <v>104</v>
      </c>
      <c r="E1587" s="2">
        <v>0.10805555555555556</v>
      </c>
      <c r="F1587">
        <v>155.6</v>
      </c>
    </row>
    <row r="1588" spans="1:6" x14ac:dyDescent="0.25">
      <c r="A1588" s="1">
        <v>38899</v>
      </c>
      <c r="B1588" t="s">
        <v>23</v>
      </c>
      <c r="C1588" t="s">
        <v>8</v>
      </c>
      <c r="D1588">
        <v>84</v>
      </c>
      <c r="E1588" s="2">
        <v>9.8368055555555556E-2</v>
      </c>
      <c r="F1588">
        <v>141.65</v>
      </c>
    </row>
    <row r="1589" spans="1:6" x14ac:dyDescent="0.25">
      <c r="A1589" s="1">
        <v>38899</v>
      </c>
      <c r="B1589" t="s">
        <v>23</v>
      </c>
      <c r="C1589" t="s">
        <v>9</v>
      </c>
      <c r="D1589">
        <v>29</v>
      </c>
      <c r="E1589" s="2">
        <v>2.6435185185185187E-2</v>
      </c>
      <c r="F1589">
        <v>38.06666666666667</v>
      </c>
    </row>
    <row r="1590" spans="1:6" x14ac:dyDescent="0.25">
      <c r="A1590" s="1">
        <v>38899</v>
      </c>
      <c r="B1590" t="s">
        <v>23</v>
      </c>
      <c r="C1590" t="s">
        <v>10</v>
      </c>
      <c r="D1590">
        <v>36</v>
      </c>
      <c r="E1590" s="2">
        <v>4.3182870370370371E-2</v>
      </c>
      <c r="F1590">
        <v>62.18333333333333</v>
      </c>
    </row>
    <row r="1591" spans="1:6" x14ac:dyDescent="0.25">
      <c r="A1591" s="1">
        <v>38899</v>
      </c>
      <c r="B1591" t="s">
        <v>23</v>
      </c>
      <c r="C1591" t="s">
        <v>11</v>
      </c>
      <c r="D1591">
        <v>42</v>
      </c>
      <c r="E1591" s="2">
        <v>2.9016203703703704E-2</v>
      </c>
      <c r="F1591">
        <v>41.783333333333331</v>
      </c>
    </row>
    <row r="1592" spans="1:6" x14ac:dyDescent="0.25">
      <c r="A1592" s="1">
        <v>38899</v>
      </c>
      <c r="B1592" t="s">
        <v>24</v>
      </c>
      <c r="C1592" t="s">
        <v>6</v>
      </c>
      <c r="D1592">
        <v>174</v>
      </c>
      <c r="E1592" s="2">
        <v>0.19894675925925925</v>
      </c>
      <c r="F1592">
        <v>286.48333333333335</v>
      </c>
    </row>
    <row r="1593" spans="1:6" x14ac:dyDescent="0.25">
      <c r="A1593" s="1">
        <v>38899</v>
      </c>
      <c r="B1593" t="s">
        <v>24</v>
      </c>
      <c r="C1593" t="s">
        <v>7</v>
      </c>
      <c r="D1593">
        <v>161</v>
      </c>
      <c r="E1593" s="2">
        <v>0.17199074074074075</v>
      </c>
      <c r="F1593">
        <v>247.66666666666666</v>
      </c>
    </row>
    <row r="1594" spans="1:6" x14ac:dyDescent="0.25">
      <c r="A1594" s="1">
        <v>38899</v>
      </c>
      <c r="B1594" t="s">
        <v>24</v>
      </c>
      <c r="C1594" t="s">
        <v>8</v>
      </c>
      <c r="D1594">
        <v>96</v>
      </c>
      <c r="E1594" s="2">
        <v>0.11743055555555555</v>
      </c>
      <c r="F1594">
        <v>169.1</v>
      </c>
    </row>
    <row r="1595" spans="1:6" x14ac:dyDescent="0.25">
      <c r="A1595" s="1">
        <v>38899</v>
      </c>
      <c r="B1595" t="s">
        <v>24</v>
      </c>
      <c r="C1595" t="s">
        <v>9</v>
      </c>
      <c r="D1595">
        <v>20</v>
      </c>
      <c r="E1595" s="2">
        <v>1.5925925925925927E-2</v>
      </c>
      <c r="F1595">
        <v>22.933333333333334</v>
      </c>
    </row>
    <row r="1596" spans="1:6" x14ac:dyDescent="0.25">
      <c r="A1596" s="1">
        <v>38899</v>
      </c>
      <c r="B1596" t="s">
        <v>24</v>
      </c>
      <c r="C1596" t="s">
        <v>10</v>
      </c>
      <c r="D1596">
        <v>27</v>
      </c>
      <c r="E1596" s="2">
        <v>2.8020833333333332E-2</v>
      </c>
      <c r="F1596">
        <v>40.35</v>
      </c>
    </row>
    <row r="1597" spans="1:6" x14ac:dyDescent="0.25">
      <c r="A1597" s="1">
        <v>38899</v>
      </c>
      <c r="B1597" t="s">
        <v>24</v>
      </c>
      <c r="C1597" t="s">
        <v>11</v>
      </c>
      <c r="D1597">
        <v>83</v>
      </c>
      <c r="E1597" s="2">
        <v>7.6527777777777778E-2</v>
      </c>
      <c r="F1597">
        <v>110.2</v>
      </c>
    </row>
    <row r="1598" spans="1:6" x14ac:dyDescent="0.25">
      <c r="A1598" s="1">
        <v>38930</v>
      </c>
      <c r="B1598" t="s">
        <v>5</v>
      </c>
      <c r="C1598" t="s">
        <v>6</v>
      </c>
      <c r="D1598">
        <v>37</v>
      </c>
      <c r="E1598" s="2">
        <v>3.8217592592592595E-2</v>
      </c>
      <c r="F1598">
        <v>55.033333333333331</v>
      </c>
    </row>
    <row r="1599" spans="1:6" x14ac:dyDescent="0.25">
      <c r="A1599" s="1">
        <v>38930</v>
      </c>
      <c r="B1599" t="s">
        <v>5</v>
      </c>
      <c r="C1599" t="s">
        <v>7</v>
      </c>
      <c r="D1599">
        <v>42</v>
      </c>
      <c r="E1599" s="2">
        <v>4.7453703703703706E-2</v>
      </c>
      <c r="F1599">
        <v>68.333333333333329</v>
      </c>
    </row>
    <row r="1600" spans="1:6" x14ac:dyDescent="0.25">
      <c r="A1600" s="1">
        <v>38930</v>
      </c>
      <c r="B1600" t="s">
        <v>5</v>
      </c>
      <c r="C1600" t="s">
        <v>8</v>
      </c>
      <c r="D1600">
        <v>29</v>
      </c>
      <c r="E1600" s="2">
        <v>2.5787037037037035E-2</v>
      </c>
      <c r="F1600">
        <v>37.133333333333333</v>
      </c>
    </row>
    <row r="1601" spans="1:6" x14ac:dyDescent="0.25">
      <c r="A1601" s="1">
        <v>38930</v>
      </c>
      <c r="B1601" t="s">
        <v>5</v>
      </c>
      <c r="C1601" t="s">
        <v>9</v>
      </c>
      <c r="D1601">
        <v>5</v>
      </c>
      <c r="E1601" s="2">
        <v>4.3518518518518515E-3</v>
      </c>
      <c r="F1601">
        <v>6.2666666666666666</v>
      </c>
    </row>
    <row r="1602" spans="1:6" x14ac:dyDescent="0.25">
      <c r="A1602" s="1">
        <v>38930</v>
      </c>
      <c r="B1602" t="s">
        <v>5</v>
      </c>
      <c r="C1602" t="s">
        <v>10</v>
      </c>
      <c r="D1602">
        <v>14</v>
      </c>
      <c r="E1602" s="2">
        <v>1.0590277777777778E-2</v>
      </c>
      <c r="F1602">
        <v>15.25</v>
      </c>
    </row>
    <row r="1603" spans="1:6" x14ac:dyDescent="0.25">
      <c r="A1603" s="1">
        <v>38930</v>
      </c>
      <c r="B1603" t="s">
        <v>5</v>
      </c>
      <c r="C1603" t="s">
        <v>11</v>
      </c>
      <c r="D1603">
        <v>29</v>
      </c>
      <c r="E1603" s="2">
        <v>2.7222222222222221E-2</v>
      </c>
      <c r="F1603">
        <v>39.200000000000003</v>
      </c>
    </row>
    <row r="1604" spans="1:6" x14ac:dyDescent="0.25">
      <c r="A1604" s="1">
        <v>38930</v>
      </c>
      <c r="B1604" t="s">
        <v>12</v>
      </c>
      <c r="C1604" t="s">
        <v>6</v>
      </c>
      <c r="D1604">
        <v>37</v>
      </c>
      <c r="E1604" s="2">
        <v>4.3819444444444446E-2</v>
      </c>
      <c r="F1604">
        <v>63.1</v>
      </c>
    </row>
    <row r="1605" spans="1:6" x14ac:dyDescent="0.25">
      <c r="A1605" s="1">
        <v>38930</v>
      </c>
      <c r="B1605" t="s">
        <v>12</v>
      </c>
      <c r="C1605" t="s">
        <v>7</v>
      </c>
      <c r="D1605">
        <v>60</v>
      </c>
      <c r="E1605" s="2">
        <v>8.1793981481481481E-2</v>
      </c>
      <c r="F1605">
        <v>117.78333333333333</v>
      </c>
    </row>
    <row r="1606" spans="1:6" x14ac:dyDescent="0.25">
      <c r="A1606" s="1">
        <v>38930</v>
      </c>
      <c r="B1606" t="s">
        <v>12</v>
      </c>
      <c r="C1606" t="s">
        <v>8</v>
      </c>
      <c r="D1606">
        <v>32</v>
      </c>
      <c r="E1606" s="2">
        <v>4.5474537037037036E-2</v>
      </c>
      <c r="F1606">
        <v>65.483333333333334</v>
      </c>
    </row>
    <row r="1607" spans="1:6" x14ac:dyDescent="0.25">
      <c r="A1607" s="1">
        <v>38930</v>
      </c>
      <c r="B1607" t="s">
        <v>12</v>
      </c>
      <c r="C1607" t="s">
        <v>9</v>
      </c>
      <c r="D1607">
        <v>8</v>
      </c>
      <c r="E1607" s="2">
        <v>6.9097222222222225E-3</v>
      </c>
      <c r="F1607">
        <v>9.9499999999999993</v>
      </c>
    </row>
    <row r="1608" spans="1:6" x14ac:dyDescent="0.25">
      <c r="A1608" s="1">
        <v>38930</v>
      </c>
      <c r="B1608" t="s">
        <v>12</v>
      </c>
      <c r="C1608" t="s">
        <v>10</v>
      </c>
      <c r="D1608">
        <v>3</v>
      </c>
      <c r="E1608" s="2">
        <v>2.8124999999999999E-3</v>
      </c>
      <c r="F1608">
        <v>4.05</v>
      </c>
    </row>
    <row r="1609" spans="1:6" x14ac:dyDescent="0.25">
      <c r="A1609" s="1">
        <v>38930</v>
      </c>
      <c r="B1609" t="s">
        <v>12</v>
      </c>
      <c r="C1609" t="s">
        <v>11</v>
      </c>
      <c r="D1609">
        <v>16</v>
      </c>
      <c r="E1609" s="2">
        <v>1.7002314814814814E-2</v>
      </c>
      <c r="F1609">
        <v>24.483333333333334</v>
      </c>
    </row>
    <row r="1610" spans="1:6" x14ac:dyDescent="0.25">
      <c r="A1610" s="1">
        <v>38930</v>
      </c>
      <c r="B1610" t="s">
        <v>13</v>
      </c>
      <c r="C1610" t="s">
        <v>6</v>
      </c>
      <c r="D1610">
        <v>56</v>
      </c>
      <c r="E1610" s="2">
        <v>6.5335648148148143E-2</v>
      </c>
      <c r="F1610">
        <v>94.083333333333329</v>
      </c>
    </row>
    <row r="1611" spans="1:6" x14ac:dyDescent="0.25">
      <c r="A1611" s="1">
        <v>38930</v>
      </c>
      <c r="B1611" t="s">
        <v>13</v>
      </c>
      <c r="C1611" t="s">
        <v>7</v>
      </c>
      <c r="D1611">
        <v>45</v>
      </c>
      <c r="E1611" s="2">
        <v>5.5509259259259258E-2</v>
      </c>
      <c r="F1611">
        <v>79.933333333333337</v>
      </c>
    </row>
    <row r="1612" spans="1:6" x14ac:dyDescent="0.25">
      <c r="A1612" s="1">
        <v>38930</v>
      </c>
      <c r="B1612" t="s">
        <v>13</v>
      </c>
      <c r="C1612" t="s">
        <v>8</v>
      </c>
      <c r="D1612">
        <v>28</v>
      </c>
      <c r="E1612" s="2">
        <v>3.3402777777777781E-2</v>
      </c>
      <c r="F1612">
        <v>48.1</v>
      </c>
    </row>
    <row r="1613" spans="1:6" x14ac:dyDescent="0.25">
      <c r="A1613" s="1">
        <v>38930</v>
      </c>
      <c r="B1613" t="s">
        <v>13</v>
      </c>
      <c r="C1613" t="s">
        <v>9</v>
      </c>
      <c r="D1613">
        <v>6</v>
      </c>
      <c r="E1613" s="2">
        <v>4.6874999999999998E-3</v>
      </c>
      <c r="F1613">
        <v>6.75</v>
      </c>
    </row>
    <row r="1614" spans="1:6" x14ac:dyDescent="0.25">
      <c r="A1614" s="1">
        <v>38930</v>
      </c>
      <c r="B1614" t="s">
        <v>13</v>
      </c>
      <c r="C1614" t="s">
        <v>10</v>
      </c>
      <c r="D1614">
        <v>8</v>
      </c>
      <c r="E1614" s="2">
        <v>5.9837962962962961E-3</v>
      </c>
      <c r="F1614">
        <v>8.6166666666666671</v>
      </c>
    </row>
    <row r="1615" spans="1:6" x14ac:dyDescent="0.25">
      <c r="A1615" s="1">
        <v>38930</v>
      </c>
      <c r="B1615" t="s">
        <v>13</v>
      </c>
      <c r="C1615" t="s">
        <v>11</v>
      </c>
      <c r="D1615">
        <v>9</v>
      </c>
      <c r="E1615" s="2">
        <v>8.2407407407407412E-3</v>
      </c>
      <c r="F1615">
        <v>11.866666666666667</v>
      </c>
    </row>
    <row r="1616" spans="1:6" x14ac:dyDescent="0.25">
      <c r="A1616" s="1">
        <v>38930</v>
      </c>
      <c r="B1616" t="s">
        <v>14</v>
      </c>
      <c r="C1616" t="s">
        <v>6</v>
      </c>
      <c r="D1616">
        <v>20</v>
      </c>
      <c r="E1616" s="2">
        <v>2.4849537037037038E-2</v>
      </c>
      <c r="F1616">
        <v>35.783333333333331</v>
      </c>
    </row>
    <row r="1617" spans="1:6" x14ac:dyDescent="0.25">
      <c r="A1617" s="1">
        <v>38930</v>
      </c>
      <c r="B1617" t="s">
        <v>14</v>
      </c>
      <c r="C1617" t="s">
        <v>7</v>
      </c>
      <c r="D1617">
        <v>21</v>
      </c>
      <c r="E1617" s="2">
        <v>2.6412037037037036E-2</v>
      </c>
      <c r="F1617">
        <v>38.033333333333331</v>
      </c>
    </row>
    <row r="1618" spans="1:6" x14ac:dyDescent="0.25">
      <c r="A1618" s="1">
        <v>38930</v>
      </c>
      <c r="B1618" t="s">
        <v>14</v>
      </c>
      <c r="C1618" t="s">
        <v>8</v>
      </c>
      <c r="D1618">
        <v>8</v>
      </c>
      <c r="E1618" s="2">
        <v>1.0277777777777778E-2</v>
      </c>
      <c r="F1618">
        <v>14.8</v>
      </c>
    </row>
    <row r="1619" spans="1:6" x14ac:dyDescent="0.25">
      <c r="A1619" s="1">
        <v>38930</v>
      </c>
      <c r="B1619" t="s">
        <v>14</v>
      </c>
      <c r="C1619" t="s">
        <v>9</v>
      </c>
      <c r="D1619">
        <v>3</v>
      </c>
      <c r="E1619" s="2">
        <v>2.7662037037037039E-3</v>
      </c>
      <c r="F1619">
        <v>3.9833333333333334</v>
      </c>
    </row>
    <row r="1620" spans="1:6" x14ac:dyDescent="0.25">
      <c r="A1620" s="1">
        <v>38930</v>
      </c>
      <c r="B1620" t="s">
        <v>14</v>
      </c>
      <c r="C1620" t="s">
        <v>10</v>
      </c>
      <c r="D1620">
        <v>1</v>
      </c>
      <c r="E1620" s="2">
        <v>1.1111111111111111E-3</v>
      </c>
      <c r="F1620">
        <v>1.6</v>
      </c>
    </row>
    <row r="1621" spans="1:6" x14ac:dyDescent="0.25">
      <c r="A1621" s="1">
        <v>38930</v>
      </c>
      <c r="B1621" t="s">
        <v>14</v>
      </c>
      <c r="C1621" t="s">
        <v>11</v>
      </c>
      <c r="D1621">
        <v>8</v>
      </c>
      <c r="E1621" s="2">
        <v>8.6689814814814806E-3</v>
      </c>
      <c r="F1621">
        <v>12.483333333333333</v>
      </c>
    </row>
    <row r="1622" spans="1:6" x14ac:dyDescent="0.25">
      <c r="A1622" s="1">
        <v>38930</v>
      </c>
      <c r="B1622" t="s">
        <v>15</v>
      </c>
      <c r="C1622" t="s">
        <v>6</v>
      </c>
      <c r="D1622">
        <v>57</v>
      </c>
      <c r="E1622" s="2">
        <v>6.6921296296296298E-2</v>
      </c>
      <c r="F1622">
        <v>96.36666666666666</v>
      </c>
    </row>
    <row r="1623" spans="1:6" x14ac:dyDescent="0.25">
      <c r="A1623" s="1">
        <v>38930</v>
      </c>
      <c r="B1623" t="s">
        <v>15</v>
      </c>
      <c r="C1623" t="s">
        <v>7</v>
      </c>
      <c r="D1623">
        <v>33</v>
      </c>
      <c r="E1623" s="2">
        <v>3.6863425925925924E-2</v>
      </c>
      <c r="F1623">
        <v>53.083333333333336</v>
      </c>
    </row>
    <row r="1624" spans="1:6" x14ac:dyDescent="0.25">
      <c r="A1624" s="1">
        <v>38930</v>
      </c>
      <c r="B1624" t="s">
        <v>15</v>
      </c>
      <c r="C1624" t="s">
        <v>8</v>
      </c>
      <c r="D1624">
        <v>35</v>
      </c>
      <c r="E1624" s="2">
        <v>3.8229166666666668E-2</v>
      </c>
      <c r="F1624">
        <v>55.05</v>
      </c>
    </row>
    <row r="1625" spans="1:6" x14ac:dyDescent="0.25">
      <c r="A1625" s="1">
        <v>38930</v>
      </c>
      <c r="B1625" t="s">
        <v>15</v>
      </c>
      <c r="C1625" t="s">
        <v>9</v>
      </c>
      <c r="D1625">
        <v>9</v>
      </c>
      <c r="E1625" s="2">
        <v>9.0277777777777769E-3</v>
      </c>
      <c r="F1625">
        <v>13</v>
      </c>
    </row>
    <row r="1626" spans="1:6" x14ac:dyDescent="0.25">
      <c r="A1626" s="1">
        <v>38930</v>
      </c>
      <c r="B1626" t="s">
        <v>15</v>
      </c>
      <c r="C1626" t="s">
        <v>10</v>
      </c>
      <c r="D1626">
        <v>17</v>
      </c>
      <c r="E1626" s="2">
        <v>1.0844907407407407E-2</v>
      </c>
      <c r="F1626">
        <v>15.616666666666667</v>
      </c>
    </row>
    <row r="1627" spans="1:6" x14ac:dyDescent="0.25">
      <c r="A1627" s="1">
        <v>38930</v>
      </c>
      <c r="B1627" t="s">
        <v>15</v>
      </c>
      <c r="C1627" t="s">
        <v>11</v>
      </c>
      <c r="D1627">
        <v>10</v>
      </c>
      <c r="E1627" s="2">
        <v>5.6944444444444447E-3</v>
      </c>
      <c r="F1627">
        <v>8.1999999999999993</v>
      </c>
    </row>
    <row r="1628" spans="1:6" x14ac:dyDescent="0.25">
      <c r="A1628" s="1">
        <v>38930</v>
      </c>
      <c r="B1628" t="s">
        <v>16</v>
      </c>
      <c r="C1628" t="s">
        <v>6</v>
      </c>
      <c r="D1628">
        <v>22</v>
      </c>
      <c r="E1628" s="2">
        <v>2.494212962962963E-2</v>
      </c>
      <c r="F1628">
        <v>35.916666666666664</v>
      </c>
    </row>
    <row r="1629" spans="1:6" x14ac:dyDescent="0.25">
      <c r="A1629" s="1">
        <v>38930</v>
      </c>
      <c r="B1629" t="s">
        <v>16</v>
      </c>
      <c r="C1629" t="s">
        <v>7</v>
      </c>
      <c r="D1629">
        <v>23</v>
      </c>
      <c r="E1629" s="2">
        <v>2.8900462962962965E-2</v>
      </c>
      <c r="F1629">
        <v>41.616666666666667</v>
      </c>
    </row>
    <row r="1630" spans="1:6" x14ac:dyDescent="0.25">
      <c r="A1630" s="1">
        <v>38930</v>
      </c>
      <c r="B1630" t="s">
        <v>16</v>
      </c>
      <c r="C1630" t="s">
        <v>8</v>
      </c>
      <c r="D1630">
        <v>16</v>
      </c>
      <c r="E1630" s="2">
        <v>1.3923611111111111E-2</v>
      </c>
      <c r="F1630">
        <v>20.05</v>
      </c>
    </row>
    <row r="1631" spans="1:6" x14ac:dyDescent="0.25">
      <c r="A1631" s="1">
        <v>38930</v>
      </c>
      <c r="B1631" t="s">
        <v>16</v>
      </c>
      <c r="C1631" t="s">
        <v>9</v>
      </c>
      <c r="D1631">
        <v>4</v>
      </c>
      <c r="E1631" s="2">
        <v>3.3101851851851851E-3</v>
      </c>
      <c r="F1631">
        <v>4.7666666666666666</v>
      </c>
    </row>
    <row r="1632" spans="1:6" x14ac:dyDescent="0.25">
      <c r="A1632" s="1">
        <v>38930</v>
      </c>
      <c r="B1632" t="s">
        <v>16</v>
      </c>
      <c r="C1632" t="s">
        <v>10</v>
      </c>
      <c r="D1632">
        <v>1</v>
      </c>
      <c r="E1632" s="2">
        <v>1.6898148148148148E-3</v>
      </c>
      <c r="F1632">
        <v>2.4333333333333336</v>
      </c>
    </row>
    <row r="1633" spans="1:6" x14ac:dyDescent="0.25">
      <c r="A1633" s="1">
        <v>38930</v>
      </c>
      <c r="B1633" t="s">
        <v>16</v>
      </c>
      <c r="C1633" t="s">
        <v>11</v>
      </c>
      <c r="D1633">
        <v>11</v>
      </c>
      <c r="E1633" s="2">
        <v>1.0925925925925926E-2</v>
      </c>
      <c r="F1633">
        <v>15.733333333333333</v>
      </c>
    </row>
    <row r="1634" spans="1:6" x14ac:dyDescent="0.25">
      <c r="A1634" s="1">
        <v>38930</v>
      </c>
      <c r="B1634" t="s">
        <v>17</v>
      </c>
      <c r="C1634" t="s">
        <v>6</v>
      </c>
      <c r="D1634">
        <v>4</v>
      </c>
      <c r="E1634" s="2">
        <v>3.472222222222222E-3</v>
      </c>
      <c r="F1634">
        <v>5</v>
      </c>
    </row>
    <row r="1635" spans="1:6" x14ac:dyDescent="0.25">
      <c r="A1635" s="1">
        <v>38930</v>
      </c>
      <c r="B1635" t="s">
        <v>17</v>
      </c>
      <c r="C1635" t="s">
        <v>7</v>
      </c>
      <c r="D1635">
        <v>4</v>
      </c>
      <c r="E1635" s="2">
        <v>3.5069444444444445E-3</v>
      </c>
      <c r="F1635">
        <v>5.05</v>
      </c>
    </row>
    <row r="1636" spans="1:6" x14ac:dyDescent="0.25">
      <c r="A1636" s="1">
        <v>38930</v>
      </c>
      <c r="B1636" t="s">
        <v>17</v>
      </c>
      <c r="C1636" t="s">
        <v>8</v>
      </c>
      <c r="D1636">
        <v>2</v>
      </c>
      <c r="E1636" s="2">
        <v>9.9537037037037042E-4</v>
      </c>
      <c r="F1636">
        <v>1.4333333333333333</v>
      </c>
    </row>
    <row r="1637" spans="1:6" x14ac:dyDescent="0.25">
      <c r="A1637" s="1">
        <v>38930</v>
      </c>
      <c r="B1637" t="s">
        <v>17</v>
      </c>
      <c r="C1637" t="s">
        <v>9</v>
      </c>
      <c r="D1637">
        <v>2</v>
      </c>
      <c r="E1637" s="2">
        <v>1.25E-3</v>
      </c>
      <c r="F1637">
        <v>1.8</v>
      </c>
    </row>
    <row r="1638" spans="1:6" x14ac:dyDescent="0.25">
      <c r="A1638" s="1">
        <v>38930</v>
      </c>
      <c r="B1638" t="s">
        <v>17</v>
      </c>
      <c r="C1638" t="s">
        <v>10</v>
      </c>
      <c r="D1638">
        <v>7</v>
      </c>
      <c r="E1638" s="2">
        <v>7.7777777777777776E-3</v>
      </c>
      <c r="F1638">
        <v>11.2</v>
      </c>
    </row>
    <row r="1639" spans="1:6" x14ac:dyDescent="0.25">
      <c r="A1639" s="1">
        <v>38930</v>
      </c>
      <c r="B1639" t="s">
        <v>17</v>
      </c>
      <c r="C1639" t="s">
        <v>11</v>
      </c>
      <c r="D1639">
        <v>2</v>
      </c>
      <c r="E1639" s="2">
        <v>5.3240740740740744E-4</v>
      </c>
      <c r="F1639">
        <v>0.76666666666666672</v>
      </c>
    </row>
    <row r="1640" spans="1:6" x14ac:dyDescent="0.25">
      <c r="A1640" s="1">
        <v>38930</v>
      </c>
      <c r="B1640" t="s">
        <v>18</v>
      </c>
      <c r="C1640" t="s">
        <v>6</v>
      </c>
      <c r="D1640">
        <v>134</v>
      </c>
      <c r="E1640" s="2">
        <v>0.13903935185185184</v>
      </c>
      <c r="F1640">
        <v>200.21666666666667</v>
      </c>
    </row>
    <row r="1641" spans="1:6" x14ac:dyDescent="0.25">
      <c r="A1641" s="1">
        <v>38930</v>
      </c>
      <c r="B1641" t="s">
        <v>18</v>
      </c>
      <c r="C1641" t="s">
        <v>7</v>
      </c>
      <c r="D1641">
        <v>134</v>
      </c>
      <c r="E1641" s="2">
        <v>0.14114583333333333</v>
      </c>
      <c r="F1641">
        <v>203.25</v>
      </c>
    </row>
    <row r="1642" spans="1:6" x14ac:dyDescent="0.25">
      <c r="A1642" s="1">
        <v>38930</v>
      </c>
      <c r="B1642" t="s">
        <v>18</v>
      </c>
      <c r="C1642" t="s">
        <v>8</v>
      </c>
      <c r="D1642">
        <v>111</v>
      </c>
      <c r="E1642" s="2">
        <v>0.14402777777777778</v>
      </c>
      <c r="F1642">
        <v>207.4</v>
      </c>
    </row>
    <row r="1643" spans="1:6" x14ac:dyDescent="0.25">
      <c r="A1643" s="1">
        <v>38930</v>
      </c>
      <c r="B1643" t="s">
        <v>18</v>
      </c>
      <c r="C1643" t="s">
        <v>9</v>
      </c>
      <c r="D1643">
        <v>59</v>
      </c>
      <c r="E1643" s="2">
        <v>5.2905092592592594E-2</v>
      </c>
      <c r="F1643">
        <v>76.183333333333337</v>
      </c>
    </row>
    <row r="1644" spans="1:6" x14ac:dyDescent="0.25">
      <c r="A1644" s="1">
        <v>38930</v>
      </c>
      <c r="B1644" t="s">
        <v>18</v>
      </c>
      <c r="C1644" t="s">
        <v>10</v>
      </c>
      <c r="D1644">
        <v>172</v>
      </c>
      <c r="E1644" s="2">
        <v>0.18957175925925926</v>
      </c>
      <c r="F1644">
        <v>272.98333333333335</v>
      </c>
    </row>
    <row r="1645" spans="1:6" x14ac:dyDescent="0.25">
      <c r="A1645" s="1">
        <v>38930</v>
      </c>
      <c r="B1645" t="s">
        <v>18</v>
      </c>
      <c r="C1645" t="s">
        <v>11</v>
      </c>
      <c r="D1645">
        <v>44</v>
      </c>
      <c r="E1645" s="2">
        <v>4.7361111111111111E-2</v>
      </c>
      <c r="F1645">
        <v>68.2</v>
      </c>
    </row>
    <row r="1646" spans="1:6" x14ac:dyDescent="0.25">
      <c r="A1646" s="1">
        <v>38930</v>
      </c>
      <c r="B1646" t="s">
        <v>19</v>
      </c>
      <c r="C1646" t="s">
        <v>6</v>
      </c>
      <c r="D1646">
        <v>13</v>
      </c>
      <c r="E1646" s="2">
        <v>1.5150462962962963E-2</v>
      </c>
      <c r="F1646">
        <v>21.816666666666666</v>
      </c>
    </row>
    <row r="1647" spans="1:6" x14ac:dyDescent="0.25">
      <c r="A1647" s="1">
        <v>38930</v>
      </c>
      <c r="B1647" t="s">
        <v>19</v>
      </c>
      <c r="C1647" t="s">
        <v>7</v>
      </c>
      <c r="D1647">
        <v>10</v>
      </c>
      <c r="E1647" s="2">
        <v>9.3865740740740732E-3</v>
      </c>
      <c r="F1647">
        <v>13.516666666666667</v>
      </c>
    </row>
    <row r="1648" spans="1:6" x14ac:dyDescent="0.25">
      <c r="A1648" s="1">
        <v>38930</v>
      </c>
      <c r="B1648" t="s">
        <v>19</v>
      </c>
      <c r="C1648" t="s">
        <v>8</v>
      </c>
      <c r="D1648">
        <v>18</v>
      </c>
      <c r="E1648" s="2">
        <v>1.6666666666666666E-2</v>
      </c>
      <c r="F1648">
        <v>24</v>
      </c>
    </row>
    <row r="1649" spans="1:6" x14ac:dyDescent="0.25">
      <c r="A1649" s="1">
        <v>38930</v>
      </c>
      <c r="B1649" t="s">
        <v>19</v>
      </c>
      <c r="C1649" t="s">
        <v>9</v>
      </c>
      <c r="D1649">
        <v>2</v>
      </c>
      <c r="E1649" s="2">
        <v>1.8634259259259259E-3</v>
      </c>
      <c r="F1649">
        <v>2.6833333333333336</v>
      </c>
    </row>
    <row r="1650" spans="1:6" x14ac:dyDescent="0.25">
      <c r="A1650" s="1">
        <v>38930</v>
      </c>
      <c r="B1650" t="s">
        <v>19</v>
      </c>
      <c r="C1650" t="s">
        <v>10</v>
      </c>
      <c r="D1650">
        <v>10</v>
      </c>
      <c r="E1650" s="2">
        <v>7.6504629629629631E-3</v>
      </c>
      <c r="F1650">
        <v>11.016666666666667</v>
      </c>
    </row>
    <row r="1651" spans="1:6" x14ac:dyDescent="0.25">
      <c r="A1651" s="1">
        <v>38930</v>
      </c>
      <c r="B1651" t="s">
        <v>19</v>
      </c>
      <c r="C1651" t="s">
        <v>11</v>
      </c>
      <c r="D1651">
        <v>6</v>
      </c>
      <c r="E1651" s="2">
        <v>4.5949074074074078E-3</v>
      </c>
      <c r="F1651">
        <v>6.6166666666666671</v>
      </c>
    </row>
    <row r="1652" spans="1:6" x14ac:dyDescent="0.25">
      <c r="A1652" s="1">
        <v>38930</v>
      </c>
      <c r="B1652" t="s">
        <v>20</v>
      </c>
      <c r="C1652" t="s">
        <v>6</v>
      </c>
      <c r="D1652">
        <v>37</v>
      </c>
      <c r="E1652" s="2">
        <v>4.4467592592592593E-2</v>
      </c>
      <c r="F1652">
        <v>64.033333333333331</v>
      </c>
    </row>
    <row r="1653" spans="1:6" x14ac:dyDescent="0.25">
      <c r="A1653" s="1">
        <v>38930</v>
      </c>
      <c r="B1653" t="s">
        <v>20</v>
      </c>
      <c r="C1653" t="s">
        <v>7</v>
      </c>
      <c r="D1653">
        <v>49</v>
      </c>
      <c r="E1653" s="2">
        <v>5.7592592592592591E-2</v>
      </c>
      <c r="F1653">
        <v>82.933333333333337</v>
      </c>
    </row>
    <row r="1654" spans="1:6" x14ac:dyDescent="0.25">
      <c r="A1654" s="1">
        <v>38930</v>
      </c>
      <c r="B1654" t="s">
        <v>20</v>
      </c>
      <c r="C1654" t="s">
        <v>8</v>
      </c>
      <c r="D1654">
        <v>38</v>
      </c>
      <c r="E1654" s="2">
        <v>5.1770833333333335E-2</v>
      </c>
      <c r="F1654">
        <v>74.55</v>
      </c>
    </row>
    <row r="1655" spans="1:6" x14ac:dyDescent="0.25">
      <c r="A1655" s="1">
        <v>38930</v>
      </c>
      <c r="B1655" t="s">
        <v>20</v>
      </c>
      <c r="C1655" t="s">
        <v>9</v>
      </c>
      <c r="D1655">
        <v>21</v>
      </c>
      <c r="E1655" s="2">
        <v>1.5289351851851853E-2</v>
      </c>
      <c r="F1655">
        <v>22.016666666666666</v>
      </c>
    </row>
    <row r="1656" spans="1:6" x14ac:dyDescent="0.25">
      <c r="A1656" s="1">
        <v>38930</v>
      </c>
      <c r="B1656" t="s">
        <v>20</v>
      </c>
      <c r="C1656" t="s">
        <v>10</v>
      </c>
      <c r="D1656">
        <v>14</v>
      </c>
      <c r="E1656" s="2">
        <v>1.3159722222222222E-2</v>
      </c>
      <c r="F1656">
        <v>18.95</v>
      </c>
    </row>
    <row r="1657" spans="1:6" x14ac:dyDescent="0.25">
      <c r="A1657" s="1">
        <v>38930</v>
      </c>
      <c r="B1657" t="s">
        <v>20</v>
      </c>
      <c r="C1657" t="s">
        <v>11</v>
      </c>
      <c r="D1657">
        <v>25</v>
      </c>
      <c r="E1657" s="2">
        <v>2.5312500000000002E-2</v>
      </c>
      <c r="F1657">
        <v>36.450000000000003</v>
      </c>
    </row>
    <row r="1658" spans="1:6" x14ac:dyDescent="0.25">
      <c r="A1658" s="1">
        <v>38930</v>
      </c>
      <c r="B1658" t="s">
        <v>21</v>
      </c>
      <c r="C1658" t="s">
        <v>6</v>
      </c>
      <c r="D1658">
        <v>25</v>
      </c>
      <c r="E1658" s="2">
        <v>2.7777777777777776E-2</v>
      </c>
      <c r="F1658">
        <v>40</v>
      </c>
    </row>
    <row r="1659" spans="1:6" x14ac:dyDescent="0.25">
      <c r="A1659" s="1">
        <v>38930</v>
      </c>
      <c r="B1659" t="s">
        <v>21</v>
      </c>
      <c r="C1659" t="s">
        <v>7</v>
      </c>
      <c r="D1659">
        <v>22</v>
      </c>
      <c r="E1659" s="2">
        <v>2.4594907407407409E-2</v>
      </c>
      <c r="F1659">
        <v>35.416666666666664</v>
      </c>
    </row>
    <row r="1660" spans="1:6" x14ac:dyDescent="0.25">
      <c r="A1660" s="1">
        <v>38930</v>
      </c>
      <c r="B1660" t="s">
        <v>21</v>
      </c>
      <c r="C1660" t="s">
        <v>8</v>
      </c>
      <c r="D1660">
        <v>13</v>
      </c>
      <c r="E1660" s="2">
        <v>1.773148148148148E-2</v>
      </c>
      <c r="F1660">
        <v>25.533333333333335</v>
      </c>
    </row>
    <row r="1661" spans="1:6" x14ac:dyDescent="0.25">
      <c r="A1661" s="1">
        <v>38930</v>
      </c>
      <c r="B1661" t="s">
        <v>21</v>
      </c>
      <c r="C1661" t="s">
        <v>9</v>
      </c>
      <c r="D1661">
        <v>7</v>
      </c>
      <c r="E1661" s="2">
        <v>6.2962962962962964E-3</v>
      </c>
      <c r="F1661">
        <v>9.0666666666666664</v>
      </c>
    </row>
    <row r="1662" spans="1:6" x14ac:dyDescent="0.25">
      <c r="A1662" s="1">
        <v>38930</v>
      </c>
      <c r="B1662" t="s">
        <v>21</v>
      </c>
      <c r="C1662" t="s">
        <v>10</v>
      </c>
      <c r="D1662">
        <v>10</v>
      </c>
      <c r="E1662" s="2">
        <v>7.4652777777777781E-3</v>
      </c>
      <c r="F1662">
        <v>10.75</v>
      </c>
    </row>
    <row r="1663" spans="1:6" x14ac:dyDescent="0.25">
      <c r="A1663" s="1">
        <v>38930</v>
      </c>
      <c r="B1663" t="s">
        <v>21</v>
      </c>
      <c r="C1663" t="s">
        <v>11</v>
      </c>
      <c r="D1663">
        <v>10</v>
      </c>
      <c r="E1663" s="2">
        <v>9.5949074074074079E-3</v>
      </c>
      <c r="F1663">
        <v>13.816666666666666</v>
      </c>
    </row>
    <row r="1664" spans="1:6" x14ac:dyDescent="0.25">
      <c r="A1664" s="1">
        <v>38930</v>
      </c>
      <c r="B1664" t="s">
        <v>22</v>
      </c>
      <c r="C1664" t="s">
        <v>6</v>
      </c>
      <c r="D1664">
        <v>27</v>
      </c>
      <c r="E1664" s="2">
        <v>3.0902777777777779E-2</v>
      </c>
      <c r="F1664">
        <v>44.5</v>
      </c>
    </row>
    <row r="1665" spans="1:6" x14ac:dyDescent="0.25">
      <c r="A1665" s="1">
        <v>38930</v>
      </c>
      <c r="B1665" t="s">
        <v>22</v>
      </c>
      <c r="C1665" t="s">
        <v>7</v>
      </c>
      <c r="D1665">
        <v>30</v>
      </c>
      <c r="E1665" s="2">
        <v>3.6064814814814813E-2</v>
      </c>
      <c r="F1665">
        <v>51.93333333333333</v>
      </c>
    </row>
    <row r="1666" spans="1:6" x14ac:dyDescent="0.25">
      <c r="A1666" s="1">
        <v>38930</v>
      </c>
      <c r="B1666" t="s">
        <v>22</v>
      </c>
      <c r="C1666" t="s">
        <v>8</v>
      </c>
      <c r="D1666">
        <v>14</v>
      </c>
      <c r="E1666" s="2">
        <v>1.681712962962963E-2</v>
      </c>
      <c r="F1666">
        <v>24.216666666666665</v>
      </c>
    </row>
    <row r="1667" spans="1:6" x14ac:dyDescent="0.25">
      <c r="A1667" s="1">
        <v>38930</v>
      </c>
      <c r="B1667" t="s">
        <v>22</v>
      </c>
      <c r="C1667" t="s">
        <v>9</v>
      </c>
      <c r="D1667">
        <v>3</v>
      </c>
      <c r="E1667" s="2">
        <v>2.627314814814815E-3</v>
      </c>
      <c r="F1667">
        <v>3.7833333333333332</v>
      </c>
    </row>
    <row r="1668" spans="1:6" x14ac:dyDescent="0.25">
      <c r="A1668" s="1">
        <v>38930</v>
      </c>
      <c r="B1668" t="s">
        <v>22</v>
      </c>
      <c r="C1668" t="s">
        <v>10</v>
      </c>
      <c r="D1668">
        <v>2</v>
      </c>
      <c r="E1668" s="2">
        <v>1.2268518518518518E-3</v>
      </c>
      <c r="F1668">
        <v>1.7666666666666666</v>
      </c>
    </row>
    <row r="1669" spans="1:6" x14ac:dyDescent="0.25">
      <c r="A1669" s="1">
        <v>38930</v>
      </c>
      <c r="B1669" t="s">
        <v>22</v>
      </c>
      <c r="C1669" t="s">
        <v>11</v>
      </c>
      <c r="D1669">
        <v>13</v>
      </c>
      <c r="E1669" s="2">
        <v>9.0624999999999994E-3</v>
      </c>
      <c r="F1669">
        <v>13.05</v>
      </c>
    </row>
    <row r="1670" spans="1:6" x14ac:dyDescent="0.25">
      <c r="A1670" s="1">
        <v>38930</v>
      </c>
      <c r="B1670" t="s">
        <v>23</v>
      </c>
      <c r="C1670" t="s">
        <v>6</v>
      </c>
      <c r="D1670">
        <v>107</v>
      </c>
      <c r="E1670" s="2">
        <v>0.12457175925925926</v>
      </c>
      <c r="F1670">
        <v>179.38333333333333</v>
      </c>
    </row>
    <row r="1671" spans="1:6" x14ac:dyDescent="0.25">
      <c r="A1671" s="1">
        <v>38930</v>
      </c>
      <c r="B1671" t="s">
        <v>23</v>
      </c>
      <c r="C1671" t="s">
        <v>7</v>
      </c>
      <c r="D1671">
        <v>84</v>
      </c>
      <c r="E1671" s="2">
        <v>9.5520833333333333E-2</v>
      </c>
      <c r="F1671">
        <v>137.55000000000001</v>
      </c>
    </row>
    <row r="1672" spans="1:6" x14ac:dyDescent="0.25">
      <c r="A1672" s="1">
        <v>38930</v>
      </c>
      <c r="B1672" t="s">
        <v>23</v>
      </c>
      <c r="C1672" t="s">
        <v>8</v>
      </c>
      <c r="D1672">
        <v>78</v>
      </c>
      <c r="E1672" s="2">
        <v>9.46412037037037E-2</v>
      </c>
      <c r="F1672">
        <v>136.28333333333333</v>
      </c>
    </row>
    <row r="1673" spans="1:6" x14ac:dyDescent="0.25">
      <c r="A1673" s="1">
        <v>38930</v>
      </c>
      <c r="B1673" t="s">
        <v>23</v>
      </c>
      <c r="C1673" t="s">
        <v>9</v>
      </c>
      <c r="D1673">
        <v>24</v>
      </c>
      <c r="E1673" s="2">
        <v>2.087962962962963E-2</v>
      </c>
      <c r="F1673">
        <v>30.066666666666666</v>
      </c>
    </row>
    <row r="1674" spans="1:6" x14ac:dyDescent="0.25">
      <c r="A1674" s="1">
        <v>38930</v>
      </c>
      <c r="B1674" t="s">
        <v>23</v>
      </c>
      <c r="C1674" t="s">
        <v>10</v>
      </c>
      <c r="D1674">
        <v>42</v>
      </c>
      <c r="E1674" s="2">
        <v>3.8124999999999999E-2</v>
      </c>
      <c r="F1674">
        <v>54.9</v>
      </c>
    </row>
    <row r="1675" spans="1:6" x14ac:dyDescent="0.25">
      <c r="A1675" s="1">
        <v>38930</v>
      </c>
      <c r="B1675" t="s">
        <v>23</v>
      </c>
      <c r="C1675" t="s">
        <v>11</v>
      </c>
      <c r="D1675">
        <v>43</v>
      </c>
      <c r="E1675" s="2">
        <v>3.2060185185185185E-2</v>
      </c>
      <c r="F1675">
        <v>46.166666666666664</v>
      </c>
    </row>
    <row r="1676" spans="1:6" x14ac:dyDescent="0.25">
      <c r="A1676" s="1">
        <v>38930</v>
      </c>
      <c r="B1676" t="s">
        <v>24</v>
      </c>
      <c r="C1676" t="s">
        <v>6</v>
      </c>
      <c r="D1676">
        <v>65</v>
      </c>
      <c r="E1676" s="2">
        <v>5.9594907407407409E-2</v>
      </c>
      <c r="F1676">
        <v>85.816666666666663</v>
      </c>
    </row>
    <row r="1677" spans="1:6" x14ac:dyDescent="0.25">
      <c r="A1677" s="1">
        <v>38930</v>
      </c>
      <c r="B1677" t="s">
        <v>24</v>
      </c>
      <c r="C1677" t="s">
        <v>7</v>
      </c>
      <c r="D1677">
        <v>58</v>
      </c>
      <c r="E1677" s="2">
        <v>5.527777777777778E-2</v>
      </c>
      <c r="F1677">
        <v>79.599999999999994</v>
      </c>
    </row>
    <row r="1678" spans="1:6" x14ac:dyDescent="0.25">
      <c r="A1678" s="1">
        <v>38930</v>
      </c>
      <c r="B1678" t="s">
        <v>24</v>
      </c>
      <c r="C1678" t="s">
        <v>8</v>
      </c>
      <c r="D1678">
        <v>42</v>
      </c>
      <c r="E1678" s="2">
        <v>3.2523148148148148E-2</v>
      </c>
      <c r="F1678">
        <v>46.833333333333336</v>
      </c>
    </row>
    <row r="1679" spans="1:6" x14ac:dyDescent="0.25">
      <c r="A1679" s="1">
        <v>38930</v>
      </c>
      <c r="B1679" t="s">
        <v>24</v>
      </c>
      <c r="C1679" t="s">
        <v>9</v>
      </c>
      <c r="D1679">
        <v>21</v>
      </c>
      <c r="E1679" s="2">
        <v>1.5671296296296298E-2</v>
      </c>
      <c r="F1679">
        <v>22.566666666666666</v>
      </c>
    </row>
    <row r="1680" spans="1:6" x14ac:dyDescent="0.25">
      <c r="A1680" s="1">
        <v>38930</v>
      </c>
      <c r="B1680" t="s">
        <v>24</v>
      </c>
      <c r="C1680" t="s">
        <v>10</v>
      </c>
      <c r="D1680">
        <v>1</v>
      </c>
      <c r="E1680" s="2">
        <v>7.8703703703703705E-4</v>
      </c>
      <c r="F1680">
        <v>1.1333333333333333</v>
      </c>
    </row>
    <row r="1681" spans="1:6" x14ac:dyDescent="0.25">
      <c r="A1681" s="1">
        <v>38930</v>
      </c>
      <c r="B1681" t="s">
        <v>24</v>
      </c>
      <c r="C1681" t="s">
        <v>11</v>
      </c>
      <c r="D1681">
        <v>37</v>
      </c>
      <c r="E1681" s="2">
        <v>1.8032407407407407E-2</v>
      </c>
      <c r="F1681">
        <v>25.966666666666665</v>
      </c>
    </row>
    <row r="1682" spans="1:6" x14ac:dyDescent="0.25">
      <c r="A1682" s="1">
        <v>38961</v>
      </c>
      <c r="B1682" t="s">
        <v>5</v>
      </c>
      <c r="C1682" t="s">
        <v>6</v>
      </c>
      <c r="D1682">
        <v>29</v>
      </c>
      <c r="E1682" s="2">
        <v>2.3877314814814816E-2</v>
      </c>
      <c r="F1682">
        <v>34.383333333333333</v>
      </c>
    </row>
    <row r="1683" spans="1:6" x14ac:dyDescent="0.25">
      <c r="A1683" s="1">
        <v>38961</v>
      </c>
      <c r="B1683" t="s">
        <v>5</v>
      </c>
      <c r="C1683" t="s">
        <v>7</v>
      </c>
      <c r="D1683">
        <v>18</v>
      </c>
      <c r="E1683" s="2">
        <v>1.667824074074074E-2</v>
      </c>
      <c r="F1683">
        <v>24.016666666666666</v>
      </c>
    </row>
    <row r="1684" spans="1:6" x14ac:dyDescent="0.25">
      <c r="A1684" s="1">
        <v>38961</v>
      </c>
      <c r="B1684" t="s">
        <v>5</v>
      </c>
      <c r="C1684" t="s">
        <v>8</v>
      </c>
      <c r="D1684">
        <v>15</v>
      </c>
      <c r="E1684" s="2">
        <v>1.7094907407407406E-2</v>
      </c>
      <c r="F1684">
        <v>24.616666666666667</v>
      </c>
    </row>
    <row r="1685" spans="1:6" x14ac:dyDescent="0.25">
      <c r="A1685" s="1">
        <v>38961</v>
      </c>
      <c r="B1685" t="s">
        <v>5</v>
      </c>
      <c r="C1685" t="s">
        <v>9</v>
      </c>
      <c r="D1685">
        <v>3</v>
      </c>
      <c r="E1685" s="2">
        <v>1.7476851851851852E-3</v>
      </c>
      <c r="F1685">
        <v>2.5166666666666666</v>
      </c>
    </row>
    <row r="1686" spans="1:6" x14ac:dyDescent="0.25">
      <c r="A1686" s="1">
        <v>38961</v>
      </c>
      <c r="B1686" t="s">
        <v>5</v>
      </c>
      <c r="C1686" t="s">
        <v>10</v>
      </c>
      <c r="D1686">
        <v>11</v>
      </c>
      <c r="E1686" s="2">
        <v>7.8356481481481489E-3</v>
      </c>
      <c r="F1686">
        <v>11.283333333333333</v>
      </c>
    </row>
    <row r="1687" spans="1:6" x14ac:dyDescent="0.25">
      <c r="A1687" s="1">
        <v>38961</v>
      </c>
      <c r="B1687" t="s">
        <v>5</v>
      </c>
      <c r="C1687" t="s">
        <v>11</v>
      </c>
      <c r="D1687">
        <v>7</v>
      </c>
      <c r="E1687" s="2">
        <v>4.0509259259259257E-3</v>
      </c>
      <c r="F1687">
        <v>5.833333333333333</v>
      </c>
    </row>
    <row r="1688" spans="1:6" x14ac:dyDescent="0.25">
      <c r="A1688" s="1">
        <v>38961</v>
      </c>
      <c r="B1688" t="s">
        <v>12</v>
      </c>
      <c r="C1688" t="s">
        <v>6</v>
      </c>
      <c r="D1688">
        <v>37</v>
      </c>
      <c r="E1688" s="2">
        <v>4.130787037037037E-2</v>
      </c>
      <c r="F1688">
        <v>59.483333333333334</v>
      </c>
    </row>
    <row r="1689" spans="1:6" x14ac:dyDescent="0.25">
      <c r="A1689" s="1">
        <v>38961</v>
      </c>
      <c r="B1689" t="s">
        <v>12</v>
      </c>
      <c r="C1689" t="s">
        <v>7</v>
      </c>
      <c r="D1689">
        <v>55</v>
      </c>
      <c r="E1689" s="2">
        <v>8.0590277777777775E-2</v>
      </c>
      <c r="F1689">
        <v>116.05</v>
      </c>
    </row>
    <row r="1690" spans="1:6" x14ac:dyDescent="0.25">
      <c r="A1690" s="1">
        <v>38961</v>
      </c>
      <c r="B1690" t="s">
        <v>12</v>
      </c>
      <c r="C1690" t="s">
        <v>8</v>
      </c>
      <c r="D1690">
        <v>38</v>
      </c>
      <c r="E1690" s="2">
        <v>5.1145833333333335E-2</v>
      </c>
      <c r="F1690">
        <v>73.650000000000006</v>
      </c>
    </row>
    <row r="1691" spans="1:6" x14ac:dyDescent="0.25">
      <c r="A1691" s="1">
        <v>38961</v>
      </c>
      <c r="B1691" t="s">
        <v>12</v>
      </c>
      <c r="C1691" t="s">
        <v>9</v>
      </c>
      <c r="D1691">
        <v>15</v>
      </c>
      <c r="E1691" s="2">
        <v>1.4861111111111111E-2</v>
      </c>
      <c r="F1691">
        <v>21.4</v>
      </c>
    </row>
    <row r="1692" spans="1:6" x14ac:dyDescent="0.25">
      <c r="A1692" s="1">
        <v>38961</v>
      </c>
      <c r="B1692" t="s">
        <v>12</v>
      </c>
      <c r="C1692" t="s">
        <v>10</v>
      </c>
      <c r="D1692">
        <v>1</v>
      </c>
      <c r="E1692" s="2">
        <v>7.8703703703703705E-4</v>
      </c>
      <c r="F1692">
        <v>1.1333333333333333</v>
      </c>
    </row>
    <row r="1693" spans="1:6" x14ac:dyDescent="0.25">
      <c r="A1693" s="1">
        <v>38961</v>
      </c>
      <c r="B1693" t="s">
        <v>12</v>
      </c>
      <c r="C1693" t="s">
        <v>11</v>
      </c>
      <c r="D1693">
        <v>13</v>
      </c>
      <c r="E1693" s="2">
        <v>1.3287037037037036E-2</v>
      </c>
      <c r="F1693">
        <v>19.133333333333333</v>
      </c>
    </row>
    <row r="1694" spans="1:6" x14ac:dyDescent="0.25">
      <c r="A1694" s="1">
        <v>38961</v>
      </c>
      <c r="B1694" t="s">
        <v>13</v>
      </c>
      <c r="C1694" t="s">
        <v>6</v>
      </c>
      <c r="D1694">
        <v>49</v>
      </c>
      <c r="E1694" s="2">
        <v>5.2060185185185189E-2</v>
      </c>
      <c r="F1694">
        <v>74.966666666666669</v>
      </c>
    </row>
    <row r="1695" spans="1:6" x14ac:dyDescent="0.25">
      <c r="A1695" s="1">
        <v>38961</v>
      </c>
      <c r="B1695" t="s">
        <v>13</v>
      </c>
      <c r="C1695" t="s">
        <v>7</v>
      </c>
      <c r="D1695">
        <v>48</v>
      </c>
      <c r="E1695" s="2">
        <v>5.6168981481481479E-2</v>
      </c>
      <c r="F1695">
        <v>80.88333333333334</v>
      </c>
    </row>
    <row r="1696" spans="1:6" x14ac:dyDescent="0.25">
      <c r="A1696" s="1">
        <v>38961</v>
      </c>
      <c r="B1696" t="s">
        <v>13</v>
      </c>
      <c r="C1696" t="s">
        <v>8</v>
      </c>
      <c r="D1696">
        <v>25</v>
      </c>
      <c r="E1696" s="2">
        <v>3.771990740740741E-2</v>
      </c>
      <c r="F1696">
        <v>54.31666666666667</v>
      </c>
    </row>
    <row r="1697" spans="1:6" x14ac:dyDescent="0.25">
      <c r="A1697" s="1">
        <v>38961</v>
      </c>
      <c r="B1697" t="s">
        <v>13</v>
      </c>
      <c r="C1697" t="s">
        <v>9</v>
      </c>
      <c r="D1697">
        <v>10</v>
      </c>
      <c r="E1697" s="2">
        <v>8.8310185185185193E-3</v>
      </c>
      <c r="F1697">
        <v>12.716666666666667</v>
      </c>
    </row>
    <row r="1698" spans="1:6" x14ac:dyDescent="0.25">
      <c r="A1698" s="1">
        <v>38961</v>
      </c>
      <c r="B1698" t="s">
        <v>13</v>
      </c>
      <c r="C1698" t="s">
        <v>10</v>
      </c>
      <c r="D1698">
        <v>15</v>
      </c>
      <c r="E1698" s="2">
        <v>1.4293981481481482E-2</v>
      </c>
      <c r="F1698">
        <v>20.583333333333332</v>
      </c>
    </row>
    <row r="1699" spans="1:6" x14ac:dyDescent="0.25">
      <c r="A1699" s="1">
        <v>38961</v>
      </c>
      <c r="B1699" t="s">
        <v>13</v>
      </c>
      <c r="C1699" t="s">
        <v>11</v>
      </c>
      <c r="D1699">
        <v>13</v>
      </c>
      <c r="E1699" s="2">
        <v>1.2476851851851852E-2</v>
      </c>
      <c r="F1699">
        <v>17.966666666666665</v>
      </c>
    </row>
    <row r="1700" spans="1:6" x14ac:dyDescent="0.25">
      <c r="A1700" s="1">
        <v>38961</v>
      </c>
      <c r="B1700" t="s">
        <v>14</v>
      </c>
      <c r="C1700" t="s">
        <v>6</v>
      </c>
      <c r="D1700">
        <v>35</v>
      </c>
      <c r="E1700" s="2">
        <v>4.0752314814814818E-2</v>
      </c>
      <c r="F1700">
        <v>58.68333333333333</v>
      </c>
    </row>
    <row r="1701" spans="1:6" x14ac:dyDescent="0.25">
      <c r="A1701" s="1">
        <v>38961</v>
      </c>
      <c r="B1701" t="s">
        <v>14</v>
      </c>
      <c r="C1701" t="s">
        <v>7</v>
      </c>
      <c r="D1701">
        <v>25</v>
      </c>
      <c r="E1701" s="2">
        <v>3.5324074074074077E-2</v>
      </c>
      <c r="F1701">
        <v>50.866666666666667</v>
      </c>
    </row>
    <row r="1702" spans="1:6" x14ac:dyDescent="0.25">
      <c r="A1702" s="1">
        <v>38961</v>
      </c>
      <c r="B1702" t="s">
        <v>14</v>
      </c>
      <c r="C1702" t="s">
        <v>8</v>
      </c>
      <c r="D1702">
        <v>14</v>
      </c>
      <c r="E1702" s="2">
        <v>1.9097222222222224E-2</v>
      </c>
      <c r="F1702">
        <v>27.5</v>
      </c>
    </row>
    <row r="1703" spans="1:6" x14ac:dyDescent="0.25">
      <c r="A1703" s="1">
        <v>38961</v>
      </c>
      <c r="B1703" t="s">
        <v>14</v>
      </c>
      <c r="C1703" t="s">
        <v>9</v>
      </c>
      <c r="D1703">
        <v>7</v>
      </c>
      <c r="E1703" s="2">
        <v>4.2592592592592595E-3</v>
      </c>
      <c r="F1703">
        <v>6.1333333333333337</v>
      </c>
    </row>
    <row r="1704" spans="1:6" x14ac:dyDescent="0.25">
      <c r="A1704" s="1">
        <v>38961</v>
      </c>
      <c r="B1704" t="s">
        <v>14</v>
      </c>
      <c r="C1704" t="s">
        <v>10</v>
      </c>
      <c r="D1704">
        <v>4</v>
      </c>
      <c r="E1704" s="2">
        <v>4.2245370370370371E-3</v>
      </c>
      <c r="F1704">
        <v>6.083333333333333</v>
      </c>
    </row>
    <row r="1705" spans="1:6" x14ac:dyDescent="0.25">
      <c r="A1705" s="1">
        <v>38961</v>
      </c>
      <c r="B1705" t="s">
        <v>14</v>
      </c>
      <c r="C1705" t="s">
        <v>11</v>
      </c>
      <c r="D1705">
        <v>12</v>
      </c>
      <c r="E1705" s="2">
        <v>1.2951388888888889E-2</v>
      </c>
      <c r="F1705">
        <v>18.649999999999999</v>
      </c>
    </row>
    <row r="1706" spans="1:6" x14ac:dyDescent="0.25">
      <c r="A1706" s="1">
        <v>38961</v>
      </c>
      <c r="B1706" t="s">
        <v>15</v>
      </c>
      <c r="C1706" t="s">
        <v>6</v>
      </c>
      <c r="D1706">
        <v>32</v>
      </c>
      <c r="E1706" s="2">
        <v>3.4305555555555554E-2</v>
      </c>
      <c r="F1706">
        <v>49.4</v>
      </c>
    </row>
    <row r="1707" spans="1:6" x14ac:dyDescent="0.25">
      <c r="A1707" s="1">
        <v>38961</v>
      </c>
      <c r="B1707" t="s">
        <v>15</v>
      </c>
      <c r="C1707" t="s">
        <v>7</v>
      </c>
      <c r="D1707">
        <v>29</v>
      </c>
      <c r="E1707" s="2">
        <v>3.1365740740740743E-2</v>
      </c>
      <c r="F1707">
        <v>45.166666666666664</v>
      </c>
    </row>
    <row r="1708" spans="1:6" x14ac:dyDescent="0.25">
      <c r="A1708" s="1">
        <v>38961</v>
      </c>
      <c r="B1708" t="s">
        <v>15</v>
      </c>
      <c r="C1708" t="s">
        <v>8</v>
      </c>
      <c r="D1708">
        <v>17</v>
      </c>
      <c r="E1708" s="2">
        <v>2.3043981481481481E-2</v>
      </c>
      <c r="F1708">
        <v>33.18333333333333</v>
      </c>
    </row>
    <row r="1709" spans="1:6" x14ac:dyDescent="0.25">
      <c r="A1709" s="1">
        <v>38961</v>
      </c>
      <c r="B1709" t="s">
        <v>15</v>
      </c>
      <c r="C1709" t="s">
        <v>9</v>
      </c>
      <c r="D1709">
        <v>8</v>
      </c>
      <c r="E1709" s="2">
        <v>7.4999999999999997E-3</v>
      </c>
      <c r="F1709">
        <v>10.8</v>
      </c>
    </row>
    <row r="1710" spans="1:6" x14ac:dyDescent="0.25">
      <c r="A1710" s="1">
        <v>38961</v>
      </c>
      <c r="B1710" t="s">
        <v>15</v>
      </c>
      <c r="C1710" t="s">
        <v>10</v>
      </c>
      <c r="D1710">
        <v>10</v>
      </c>
      <c r="E1710" s="2">
        <v>1.0173611111111111E-2</v>
      </c>
      <c r="F1710">
        <v>14.65</v>
      </c>
    </row>
    <row r="1711" spans="1:6" x14ac:dyDescent="0.25">
      <c r="A1711" s="1">
        <v>38961</v>
      </c>
      <c r="B1711" t="s">
        <v>15</v>
      </c>
      <c r="C1711" t="s">
        <v>11</v>
      </c>
      <c r="D1711">
        <v>6</v>
      </c>
      <c r="E1711" s="2">
        <v>5.185185185185185E-3</v>
      </c>
      <c r="F1711">
        <v>7.4666666666666668</v>
      </c>
    </row>
    <row r="1712" spans="1:6" x14ac:dyDescent="0.25">
      <c r="A1712" s="1">
        <v>38961</v>
      </c>
      <c r="B1712" t="s">
        <v>16</v>
      </c>
      <c r="C1712" t="s">
        <v>6</v>
      </c>
      <c r="D1712">
        <v>19</v>
      </c>
      <c r="E1712" s="2">
        <v>2.9965277777777778E-2</v>
      </c>
      <c r="F1712">
        <v>43.15</v>
      </c>
    </row>
    <row r="1713" spans="1:6" x14ac:dyDescent="0.25">
      <c r="A1713" s="1">
        <v>38961</v>
      </c>
      <c r="B1713" t="s">
        <v>16</v>
      </c>
      <c r="C1713" t="s">
        <v>7</v>
      </c>
      <c r="D1713">
        <v>29</v>
      </c>
      <c r="E1713" s="2">
        <v>3.0856481481481481E-2</v>
      </c>
      <c r="F1713">
        <v>44.43333333333333</v>
      </c>
    </row>
    <row r="1714" spans="1:6" x14ac:dyDescent="0.25">
      <c r="A1714" s="1">
        <v>38961</v>
      </c>
      <c r="B1714" t="s">
        <v>16</v>
      </c>
      <c r="C1714" t="s">
        <v>8</v>
      </c>
      <c r="D1714">
        <v>23</v>
      </c>
      <c r="E1714" s="2">
        <v>2.5069444444444443E-2</v>
      </c>
      <c r="F1714">
        <v>36.1</v>
      </c>
    </row>
    <row r="1715" spans="1:6" x14ac:dyDescent="0.25">
      <c r="A1715" s="1">
        <v>38961</v>
      </c>
      <c r="B1715" t="s">
        <v>16</v>
      </c>
      <c r="C1715" t="s">
        <v>9</v>
      </c>
      <c r="D1715">
        <v>13</v>
      </c>
      <c r="E1715" s="2">
        <v>1.0902777777777779E-2</v>
      </c>
      <c r="F1715">
        <v>15.7</v>
      </c>
    </row>
    <row r="1716" spans="1:6" x14ac:dyDescent="0.25">
      <c r="A1716" s="1">
        <v>38961</v>
      </c>
      <c r="B1716" t="s">
        <v>16</v>
      </c>
      <c r="C1716" t="s">
        <v>10</v>
      </c>
      <c r="D1716">
        <v>5</v>
      </c>
      <c r="E1716" s="2">
        <v>1.3657407407407407E-3</v>
      </c>
      <c r="F1716">
        <v>1.9666666666666668</v>
      </c>
    </row>
    <row r="1717" spans="1:6" x14ac:dyDescent="0.25">
      <c r="A1717" s="1">
        <v>38961</v>
      </c>
      <c r="B1717" t="s">
        <v>16</v>
      </c>
      <c r="C1717" t="s">
        <v>11</v>
      </c>
      <c r="D1717">
        <v>14</v>
      </c>
      <c r="E1717" s="2">
        <v>1.2858796296296297E-2</v>
      </c>
      <c r="F1717">
        <v>18.516666666666666</v>
      </c>
    </row>
    <row r="1718" spans="1:6" x14ac:dyDescent="0.25">
      <c r="A1718" s="1">
        <v>38961</v>
      </c>
      <c r="B1718" t="s">
        <v>17</v>
      </c>
      <c r="C1718" t="s">
        <v>6</v>
      </c>
      <c r="D1718">
        <v>10</v>
      </c>
      <c r="E1718" s="2">
        <v>1.8252314814814815E-2</v>
      </c>
      <c r="F1718">
        <v>26.283333333333335</v>
      </c>
    </row>
    <row r="1719" spans="1:6" x14ac:dyDescent="0.25">
      <c r="A1719" s="1">
        <v>38961</v>
      </c>
      <c r="B1719" t="s">
        <v>17</v>
      </c>
      <c r="C1719" t="s">
        <v>7</v>
      </c>
      <c r="D1719">
        <v>13</v>
      </c>
      <c r="E1719" s="2">
        <v>1.6574074074074074E-2</v>
      </c>
      <c r="F1719">
        <v>23.866666666666667</v>
      </c>
    </row>
    <row r="1720" spans="1:6" x14ac:dyDescent="0.25">
      <c r="A1720" s="1">
        <v>38961</v>
      </c>
      <c r="B1720" t="s">
        <v>17</v>
      </c>
      <c r="C1720" t="s">
        <v>8</v>
      </c>
      <c r="D1720">
        <v>10</v>
      </c>
      <c r="E1720" s="2">
        <v>1.2824074074074075E-2</v>
      </c>
      <c r="F1720">
        <v>18.466666666666665</v>
      </c>
    </row>
    <row r="1721" spans="1:6" x14ac:dyDescent="0.25">
      <c r="A1721" s="1">
        <v>38961</v>
      </c>
      <c r="B1721" t="s">
        <v>17</v>
      </c>
      <c r="C1721" t="s">
        <v>9</v>
      </c>
      <c r="D1721">
        <v>0</v>
      </c>
      <c r="E1721" s="2">
        <v>0</v>
      </c>
      <c r="F1721">
        <v>0</v>
      </c>
    </row>
    <row r="1722" spans="1:6" x14ac:dyDescent="0.25">
      <c r="A1722" s="1">
        <v>38961</v>
      </c>
      <c r="B1722" t="s">
        <v>17</v>
      </c>
      <c r="C1722" t="s">
        <v>10</v>
      </c>
      <c r="D1722">
        <v>2</v>
      </c>
      <c r="E1722" s="2">
        <v>1.8402777777777777E-3</v>
      </c>
      <c r="F1722">
        <v>2.65</v>
      </c>
    </row>
    <row r="1723" spans="1:6" x14ac:dyDescent="0.25">
      <c r="A1723" s="1">
        <v>38961</v>
      </c>
      <c r="B1723" t="s">
        <v>17</v>
      </c>
      <c r="C1723" t="s">
        <v>11</v>
      </c>
      <c r="D1723">
        <v>6</v>
      </c>
      <c r="E1723" s="2">
        <v>6.3310185185185188E-3</v>
      </c>
      <c r="F1723">
        <v>9.1166666666666671</v>
      </c>
    </row>
    <row r="1724" spans="1:6" x14ac:dyDescent="0.25">
      <c r="A1724" s="1">
        <v>38961</v>
      </c>
      <c r="B1724" t="s">
        <v>18</v>
      </c>
      <c r="C1724" t="s">
        <v>6</v>
      </c>
      <c r="D1724">
        <v>93</v>
      </c>
      <c r="E1724" s="2">
        <v>8.9479166666666665E-2</v>
      </c>
      <c r="F1724">
        <v>128.85</v>
      </c>
    </row>
    <row r="1725" spans="1:6" x14ac:dyDescent="0.25">
      <c r="A1725" s="1">
        <v>38961</v>
      </c>
      <c r="B1725" t="s">
        <v>18</v>
      </c>
      <c r="C1725" t="s">
        <v>7</v>
      </c>
      <c r="D1725">
        <v>78</v>
      </c>
      <c r="E1725" s="2">
        <v>7.3449074074074069E-2</v>
      </c>
      <c r="F1725">
        <v>105.76666666666667</v>
      </c>
    </row>
    <row r="1726" spans="1:6" x14ac:dyDescent="0.25">
      <c r="A1726" s="1">
        <v>38961</v>
      </c>
      <c r="B1726" t="s">
        <v>18</v>
      </c>
      <c r="C1726" t="s">
        <v>8</v>
      </c>
      <c r="D1726">
        <v>55</v>
      </c>
      <c r="E1726" s="2">
        <v>5.7314814814814811E-2</v>
      </c>
      <c r="F1726">
        <v>82.533333333333331</v>
      </c>
    </row>
    <row r="1727" spans="1:6" x14ac:dyDescent="0.25">
      <c r="A1727" s="1">
        <v>38961</v>
      </c>
      <c r="B1727" t="s">
        <v>18</v>
      </c>
      <c r="C1727" t="s">
        <v>9</v>
      </c>
      <c r="D1727">
        <v>36</v>
      </c>
      <c r="E1727" s="2">
        <v>3.5104166666666665E-2</v>
      </c>
      <c r="F1727">
        <v>50.55</v>
      </c>
    </row>
    <row r="1728" spans="1:6" x14ac:dyDescent="0.25">
      <c r="A1728" s="1">
        <v>38961</v>
      </c>
      <c r="B1728" t="s">
        <v>18</v>
      </c>
      <c r="C1728" t="s">
        <v>10</v>
      </c>
      <c r="D1728">
        <v>169</v>
      </c>
      <c r="E1728" s="2">
        <v>0.16105324074074073</v>
      </c>
      <c r="F1728">
        <v>231.91666666666666</v>
      </c>
    </row>
    <row r="1729" spans="1:6" x14ac:dyDescent="0.25">
      <c r="A1729" s="1">
        <v>38961</v>
      </c>
      <c r="B1729" t="s">
        <v>18</v>
      </c>
      <c r="C1729" t="s">
        <v>11</v>
      </c>
      <c r="D1729">
        <v>18</v>
      </c>
      <c r="E1729" s="2">
        <v>1.5150462962962963E-2</v>
      </c>
      <c r="F1729">
        <v>21.816666666666666</v>
      </c>
    </row>
    <row r="1730" spans="1:6" x14ac:dyDescent="0.25">
      <c r="A1730" s="1">
        <v>38961</v>
      </c>
      <c r="B1730" t="s">
        <v>19</v>
      </c>
      <c r="C1730" t="s">
        <v>6</v>
      </c>
      <c r="D1730">
        <v>39</v>
      </c>
      <c r="E1730" s="2">
        <v>3.6840277777777777E-2</v>
      </c>
      <c r="F1730">
        <v>53.05</v>
      </c>
    </row>
    <row r="1731" spans="1:6" x14ac:dyDescent="0.25">
      <c r="A1731" s="1">
        <v>38961</v>
      </c>
      <c r="B1731" t="s">
        <v>19</v>
      </c>
      <c r="C1731" t="s">
        <v>7</v>
      </c>
      <c r="D1731">
        <v>34</v>
      </c>
      <c r="E1731" s="2">
        <v>3.7962962962962962E-2</v>
      </c>
      <c r="F1731">
        <v>54.666666666666664</v>
      </c>
    </row>
    <row r="1732" spans="1:6" x14ac:dyDescent="0.25">
      <c r="A1732" s="1">
        <v>38961</v>
      </c>
      <c r="B1732" t="s">
        <v>19</v>
      </c>
      <c r="C1732" t="s">
        <v>8</v>
      </c>
      <c r="D1732">
        <v>32</v>
      </c>
      <c r="E1732" s="2">
        <v>4.0648148148148149E-2</v>
      </c>
      <c r="F1732">
        <v>58.533333333333331</v>
      </c>
    </row>
    <row r="1733" spans="1:6" x14ac:dyDescent="0.25">
      <c r="A1733" s="1">
        <v>38961</v>
      </c>
      <c r="B1733" t="s">
        <v>19</v>
      </c>
      <c r="C1733" t="s">
        <v>9</v>
      </c>
      <c r="D1733">
        <v>19</v>
      </c>
      <c r="E1733" s="2">
        <v>1.7141203703703704E-2</v>
      </c>
      <c r="F1733">
        <v>24.683333333333334</v>
      </c>
    </row>
    <row r="1734" spans="1:6" x14ac:dyDescent="0.25">
      <c r="A1734" s="1">
        <v>38961</v>
      </c>
      <c r="B1734" t="s">
        <v>19</v>
      </c>
      <c r="C1734" t="s">
        <v>10</v>
      </c>
      <c r="D1734">
        <v>14</v>
      </c>
      <c r="E1734" s="2">
        <v>9.3171296296296301E-3</v>
      </c>
      <c r="F1734">
        <v>13.416666666666666</v>
      </c>
    </row>
    <row r="1735" spans="1:6" x14ac:dyDescent="0.25">
      <c r="A1735" s="1">
        <v>38961</v>
      </c>
      <c r="B1735" t="s">
        <v>19</v>
      </c>
      <c r="C1735" t="s">
        <v>11</v>
      </c>
      <c r="D1735">
        <v>20</v>
      </c>
      <c r="E1735" s="2">
        <v>2.105324074074074E-2</v>
      </c>
      <c r="F1735">
        <v>30.316666666666666</v>
      </c>
    </row>
    <row r="1736" spans="1:6" x14ac:dyDescent="0.25">
      <c r="A1736" s="1">
        <v>38961</v>
      </c>
      <c r="B1736" t="s">
        <v>20</v>
      </c>
      <c r="C1736" t="s">
        <v>6</v>
      </c>
      <c r="D1736">
        <v>63</v>
      </c>
      <c r="E1736" s="2">
        <v>6.958333333333333E-2</v>
      </c>
      <c r="F1736">
        <v>100.2</v>
      </c>
    </row>
    <row r="1737" spans="1:6" x14ac:dyDescent="0.25">
      <c r="A1737" s="1">
        <v>38961</v>
      </c>
      <c r="B1737" t="s">
        <v>20</v>
      </c>
      <c r="C1737" t="s">
        <v>7</v>
      </c>
      <c r="D1737">
        <v>51</v>
      </c>
      <c r="E1737" s="2">
        <v>5.4282407407407404E-2</v>
      </c>
      <c r="F1737">
        <v>78.166666666666671</v>
      </c>
    </row>
    <row r="1738" spans="1:6" x14ac:dyDescent="0.25">
      <c r="A1738" s="1">
        <v>38961</v>
      </c>
      <c r="B1738" t="s">
        <v>20</v>
      </c>
      <c r="C1738" t="s">
        <v>8</v>
      </c>
      <c r="D1738">
        <v>49</v>
      </c>
      <c r="E1738" s="2">
        <v>7.4305555555555555E-2</v>
      </c>
      <c r="F1738">
        <v>107</v>
      </c>
    </row>
    <row r="1739" spans="1:6" x14ac:dyDescent="0.25">
      <c r="A1739" s="1">
        <v>38961</v>
      </c>
      <c r="B1739" t="s">
        <v>20</v>
      </c>
      <c r="C1739" t="s">
        <v>9</v>
      </c>
      <c r="D1739">
        <v>20</v>
      </c>
      <c r="E1739" s="2">
        <v>1.7280092592592593E-2</v>
      </c>
      <c r="F1739">
        <v>24.883333333333333</v>
      </c>
    </row>
    <row r="1740" spans="1:6" x14ac:dyDescent="0.25">
      <c r="A1740" s="1">
        <v>38961</v>
      </c>
      <c r="B1740" t="s">
        <v>20</v>
      </c>
      <c r="C1740" t="s">
        <v>10</v>
      </c>
      <c r="D1740">
        <v>14</v>
      </c>
      <c r="E1740" s="2">
        <v>1.2766203703703703E-2</v>
      </c>
      <c r="F1740">
        <v>18.383333333333333</v>
      </c>
    </row>
    <row r="1741" spans="1:6" x14ac:dyDescent="0.25">
      <c r="A1741" s="1">
        <v>38961</v>
      </c>
      <c r="B1741" t="s">
        <v>20</v>
      </c>
      <c r="C1741" t="s">
        <v>11</v>
      </c>
      <c r="D1741">
        <v>19</v>
      </c>
      <c r="E1741" s="2">
        <v>1.8854166666666668E-2</v>
      </c>
      <c r="F1741">
        <v>27.15</v>
      </c>
    </row>
    <row r="1742" spans="1:6" x14ac:dyDescent="0.25">
      <c r="A1742" s="1">
        <v>38961</v>
      </c>
      <c r="B1742" t="s">
        <v>21</v>
      </c>
      <c r="C1742" t="s">
        <v>6</v>
      </c>
      <c r="D1742">
        <v>35</v>
      </c>
      <c r="E1742" s="2">
        <v>3.3761574074074076E-2</v>
      </c>
      <c r="F1742">
        <v>48.616666666666667</v>
      </c>
    </row>
    <row r="1743" spans="1:6" x14ac:dyDescent="0.25">
      <c r="A1743" s="1">
        <v>38961</v>
      </c>
      <c r="B1743" t="s">
        <v>21</v>
      </c>
      <c r="C1743" t="s">
        <v>7</v>
      </c>
      <c r="D1743">
        <v>35</v>
      </c>
      <c r="E1743" s="2">
        <v>4.3298611111111114E-2</v>
      </c>
      <c r="F1743">
        <v>62.35</v>
      </c>
    </row>
    <row r="1744" spans="1:6" x14ac:dyDescent="0.25">
      <c r="A1744" s="1">
        <v>38961</v>
      </c>
      <c r="B1744" t="s">
        <v>21</v>
      </c>
      <c r="C1744" t="s">
        <v>8</v>
      </c>
      <c r="D1744">
        <v>24</v>
      </c>
      <c r="E1744" s="2">
        <v>3.0231481481481481E-2</v>
      </c>
      <c r="F1744">
        <v>43.533333333333331</v>
      </c>
    </row>
    <row r="1745" spans="1:6" x14ac:dyDescent="0.25">
      <c r="A1745" s="1">
        <v>38961</v>
      </c>
      <c r="B1745" t="s">
        <v>21</v>
      </c>
      <c r="C1745" t="s">
        <v>9</v>
      </c>
      <c r="D1745">
        <v>9</v>
      </c>
      <c r="E1745" s="2">
        <v>6.6782407407407407E-3</v>
      </c>
      <c r="F1745">
        <v>9.6166666666666671</v>
      </c>
    </row>
    <row r="1746" spans="1:6" x14ac:dyDescent="0.25">
      <c r="A1746" s="1">
        <v>38961</v>
      </c>
      <c r="B1746" t="s">
        <v>21</v>
      </c>
      <c r="C1746" t="s">
        <v>10</v>
      </c>
      <c r="D1746">
        <v>3</v>
      </c>
      <c r="E1746" s="2">
        <v>3.460648148148148E-3</v>
      </c>
      <c r="F1746">
        <v>4.9833333333333334</v>
      </c>
    </row>
    <row r="1747" spans="1:6" x14ac:dyDescent="0.25">
      <c r="A1747" s="1">
        <v>38961</v>
      </c>
      <c r="B1747" t="s">
        <v>21</v>
      </c>
      <c r="C1747" t="s">
        <v>11</v>
      </c>
      <c r="D1747">
        <v>13</v>
      </c>
      <c r="E1747" s="2">
        <v>1.0300925925925925E-2</v>
      </c>
      <c r="F1747">
        <v>14.833333333333334</v>
      </c>
    </row>
    <row r="1748" spans="1:6" x14ac:dyDescent="0.25">
      <c r="A1748" s="1">
        <v>38961</v>
      </c>
      <c r="B1748" t="s">
        <v>22</v>
      </c>
      <c r="C1748" t="s">
        <v>6</v>
      </c>
      <c r="D1748">
        <v>28</v>
      </c>
      <c r="E1748" s="2">
        <v>2.6539351851851852E-2</v>
      </c>
      <c r="F1748">
        <v>38.216666666666669</v>
      </c>
    </row>
    <row r="1749" spans="1:6" x14ac:dyDescent="0.25">
      <c r="A1749" s="1">
        <v>38961</v>
      </c>
      <c r="B1749" t="s">
        <v>22</v>
      </c>
      <c r="C1749" t="s">
        <v>7</v>
      </c>
      <c r="D1749">
        <v>13</v>
      </c>
      <c r="E1749" s="2">
        <v>1.3553240740740741E-2</v>
      </c>
      <c r="F1749">
        <v>19.516666666666666</v>
      </c>
    </row>
    <row r="1750" spans="1:6" x14ac:dyDescent="0.25">
      <c r="A1750" s="1">
        <v>38961</v>
      </c>
      <c r="B1750" t="s">
        <v>22</v>
      </c>
      <c r="C1750" t="s">
        <v>8</v>
      </c>
      <c r="D1750">
        <v>18</v>
      </c>
      <c r="E1750" s="2">
        <v>1.1909722222222223E-2</v>
      </c>
      <c r="F1750">
        <v>17.149999999999999</v>
      </c>
    </row>
    <row r="1751" spans="1:6" x14ac:dyDescent="0.25">
      <c r="A1751" s="1">
        <v>38961</v>
      </c>
      <c r="B1751" t="s">
        <v>22</v>
      </c>
      <c r="C1751" t="s">
        <v>9</v>
      </c>
      <c r="D1751">
        <v>4</v>
      </c>
      <c r="E1751" s="2">
        <v>4.0625000000000001E-3</v>
      </c>
      <c r="F1751">
        <v>5.85</v>
      </c>
    </row>
    <row r="1752" spans="1:6" x14ac:dyDescent="0.25">
      <c r="A1752" s="1">
        <v>38961</v>
      </c>
      <c r="B1752" t="s">
        <v>22</v>
      </c>
      <c r="C1752" t="s">
        <v>10</v>
      </c>
      <c r="D1752">
        <v>7</v>
      </c>
      <c r="E1752" s="2">
        <v>2.9398148148148148E-3</v>
      </c>
      <c r="F1752">
        <v>4.2333333333333334</v>
      </c>
    </row>
    <row r="1753" spans="1:6" x14ac:dyDescent="0.25">
      <c r="A1753" s="1">
        <v>38961</v>
      </c>
      <c r="B1753" t="s">
        <v>22</v>
      </c>
      <c r="C1753" t="s">
        <v>11</v>
      </c>
      <c r="D1753">
        <v>9</v>
      </c>
      <c r="E1753" s="2">
        <v>5.7060185185185183E-3</v>
      </c>
      <c r="F1753">
        <v>8.2166666666666668</v>
      </c>
    </row>
    <row r="1754" spans="1:6" x14ac:dyDescent="0.25">
      <c r="A1754" s="1">
        <v>38961</v>
      </c>
      <c r="B1754" t="s">
        <v>23</v>
      </c>
      <c r="C1754" t="s">
        <v>6</v>
      </c>
      <c r="D1754">
        <v>134</v>
      </c>
      <c r="E1754" s="2">
        <v>0.13442129629629629</v>
      </c>
      <c r="F1754">
        <v>193.56666666666666</v>
      </c>
    </row>
    <row r="1755" spans="1:6" x14ac:dyDescent="0.25">
      <c r="A1755" s="1">
        <v>38961</v>
      </c>
      <c r="B1755" t="s">
        <v>23</v>
      </c>
      <c r="C1755" t="s">
        <v>7</v>
      </c>
      <c r="D1755">
        <v>113</v>
      </c>
      <c r="E1755" s="2">
        <v>0.14020833333333332</v>
      </c>
      <c r="F1755">
        <v>201.9</v>
      </c>
    </row>
    <row r="1756" spans="1:6" x14ac:dyDescent="0.25">
      <c r="A1756" s="1">
        <v>38961</v>
      </c>
      <c r="B1756" t="s">
        <v>23</v>
      </c>
      <c r="C1756" t="s">
        <v>8</v>
      </c>
      <c r="D1756">
        <v>80</v>
      </c>
      <c r="E1756" s="2">
        <v>0.10123842592592593</v>
      </c>
      <c r="F1756">
        <v>145.78333333333333</v>
      </c>
    </row>
    <row r="1757" spans="1:6" x14ac:dyDescent="0.25">
      <c r="A1757" s="1">
        <v>38961</v>
      </c>
      <c r="B1757" t="s">
        <v>23</v>
      </c>
      <c r="C1757" t="s">
        <v>9</v>
      </c>
      <c r="D1757">
        <v>36</v>
      </c>
      <c r="E1757" s="2">
        <v>3.0810185185185184E-2</v>
      </c>
      <c r="F1757">
        <v>44.366666666666667</v>
      </c>
    </row>
    <row r="1758" spans="1:6" x14ac:dyDescent="0.25">
      <c r="A1758" s="1">
        <v>38961</v>
      </c>
      <c r="B1758" t="s">
        <v>23</v>
      </c>
      <c r="C1758" t="s">
        <v>10</v>
      </c>
      <c r="D1758">
        <v>41</v>
      </c>
      <c r="E1758" s="2">
        <v>4.1238425925925928E-2</v>
      </c>
      <c r="F1758">
        <v>59.383333333333333</v>
      </c>
    </row>
    <row r="1759" spans="1:6" x14ac:dyDescent="0.25">
      <c r="A1759" s="1">
        <v>38961</v>
      </c>
      <c r="B1759" t="s">
        <v>23</v>
      </c>
      <c r="C1759" t="s">
        <v>11</v>
      </c>
      <c r="D1759">
        <v>53</v>
      </c>
      <c r="E1759" s="2">
        <v>4.9375000000000002E-2</v>
      </c>
      <c r="F1759">
        <v>71.099999999999994</v>
      </c>
    </row>
    <row r="1760" spans="1:6" x14ac:dyDescent="0.25">
      <c r="A1760" s="1">
        <v>38961</v>
      </c>
      <c r="B1760" t="s">
        <v>24</v>
      </c>
      <c r="C1760" t="s">
        <v>6</v>
      </c>
      <c r="D1760">
        <v>47</v>
      </c>
      <c r="E1760" s="2">
        <v>3.934027777777778E-2</v>
      </c>
      <c r="F1760">
        <v>56.65</v>
      </c>
    </row>
    <row r="1761" spans="1:6" x14ac:dyDescent="0.25">
      <c r="A1761" s="1">
        <v>38961</v>
      </c>
      <c r="B1761" t="s">
        <v>24</v>
      </c>
      <c r="C1761" t="s">
        <v>7</v>
      </c>
      <c r="D1761">
        <v>42</v>
      </c>
      <c r="E1761" s="2">
        <v>3.0682870370370371E-2</v>
      </c>
      <c r="F1761">
        <v>44.18333333333333</v>
      </c>
    </row>
    <row r="1762" spans="1:6" x14ac:dyDescent="0.25">
      <c r="A1762" s="1">
        <v>38961</v>
      </c>
      <c r="B1762" t="s">
        <v>24</v>
      </c>
      <c r="C1762" t="s">
        <v>8</v>
      </c>
      <c r="D1762">
        <v>15</v>
      </c>
      <c r="E1762" s="2">
        <v>1.2048611111111111E-2</v>
      </c>
      <c r="F1762">
        <v>17.350000000000001</v>
      </c>
    </row>
    <row r="1763" spans="1:6" x14ac:dyDescent="0.25">
      <c r="A1763" s="1">
        <v>38961</v>
      </c>
      <c r="B1763" t="s">
        <v>24</v>
      </c>
      <c r="C1763" t="s">
        <v>9</v>
      </c>
      <c r="D1763">
        <v>11</v>
      </c>
      <c r="E1763" s="2">
        <v>7.7777777777777776E-3</v>
      </c>
      <c r="F1763">
        <v>11.2</v>
      </c>
    </row>
    <row r="1764" spans="1:6" x14ac:dyDescent="0.25">
      <c r="A1764" s="1">
        <v>38961</v>
      </c>
      <c r="B1764" t="s">
        <v>24</v>
      </c>
      <c r="C1764" t="s">
        <v>10</v>
      </c>
      <c r="D1764">
        <v>0</v>
      </c>
      <c r="E1764" s="2">
        <v>0</v>
      </c>
      <c r="F1764">
        <v>0</v>
      </c>
    </row>
    <row r="1765" spans="1:6" x14ac:dyDescent="0.25">
      <c r="A1765" s="1">
        <v>38961</v>
      </c>
      <c r="B1765" t="s">
        <v>24</v>
      </c>
      <c r="C1765" t="s">
        <v>11</v>
      </c>
      <c r="D1765">
        <v>28</v>
      </c>
      <c r="E1765" s="2">
        <v>1.9131944444444444E-2</v>
      </c>
      <c r="F1765">
        <v>27.55</v>
      </c>
    </row>
    <row r="1766" spans="1:6" x14ac:dyDescent="0.25">
      <c r="A1766" s="1">
        <v>38991</v>
      </c>
      <c r="B1766" t="s">
        <v>5</v>
      </c>
      <c r="C1766" t="s">
        <v>6</v>
      </c>
      <c r="D1766">
        <v>32</v>
      </c>
      <c r="E1766" s="2">
        <v>3.005787037037037E-2</v>
      </c>
      <c r="F1766">
        <v>43.283333333333331</v>
      </c>
    </row>
    <row r="1767" spans="1:6" x14ac:dyDescent="0.25">
      <c r="A1767" s="1">
        <v>38991</v>
      </c>
      <c r="B1767" t="s">
        <v>5</v>
      </c>
      <c r="C1767" t="s">
        <v>7</v>
      </c>
      <c r="D1767">
        <v>34</v>
      </c>
      <c r="E1767" s="2">
        <v>3.3576388888888892E-2</v>
      </c>
      <c r="F1767">
        <v>48.35</v>
      </c>
    </row>
    <row r="1768" spans="1:6" x14ac:dyDescent="0.25">
      <c r="A1768" s="1">
        <v>38991</v>
      </c>
      <c r="B1768" t="s">
        <v>5</v>
      </c>
      <c r="C1768" t="s">
        <v>8</v>
      </c>
      <c r="D1768">
        <v>19</v>
      </c>
      <c r="E1768" s="2">
        <v>1.8587962962962962E-2</v>
      </c>
      <c r="F1768">
        <v>26.766666666666666</v>
      </c>
    </row>
    <row r="1769" spans="1:6" x14ac:dyDescent="0.25">
      <c r="A1769" s="1">
        <v>38991</v>
      </c>
      <c r="B1769" t="s">
        <v>5</v>
      </c>
      <c r="C1769" t="s">
        <v>9</v>
      </c>
      <c r="D1769">
        <v>7</v>
      </c>
      <c r="E1769" s="2">
        <v>5.4976851851851853E-3</v>
      </c>
      <c r="F1769">
        <v>7.916666666666667</v>
      </c>
    </row>
    <row r="1770" spans="1:6" x14ac:dyDescent="0.25">
      <c r="A1770" s="1">
        <v>38991</v>
      </c>
      <c r="B1770" t="s">
        <v>5</v>
      </c>
      <c r="C1770" t="s">
        <v>10</v>
      </c>
      <c r="D1770">
        <v>6</v>
      </c>
      <c r="E1770" s="2">
        <v>3.2638888888888891E-3</v>
      </c>
      <c r="F1770">
        <v>4.7</v>
      </c>
    </row>
    <row r="1771" spans="1:6" x14ac:dyDescent="0.25">
      <c r="A1771" s="1">
        <v>38991</v>
      </c>
      <c r="B1771" t="s">
        <v>5</v>
      </c>
      <c r="C1771" t="s">
        <v>11</v>
      </c>
      <c r="D1771">
        <v>16</v>
      </c>
      <c r="E1771" s="2">
        <v>1.6770833333333332E-2</v>
      </c>
      <c r="F1771">
        <v>24.15</v>
      </c>
    </row>
    <row r="1772" spans="1:6" x14ac:dyDescent="0.25">
      <c r="A1772" s="1">
        <v>38991</v>
      </c>
      <c r="B1772" t="s">
        <v>12</v>
      </c>
      <c r="C1772" t="s">
        <v>6</v>
      </c>
      <c r="D1772">
        <v>58</v>
      </c>
      <c r="E1772" s="2">
        <v>6.2303240740740742E-2</v>
      </c>
      <c r="F1772">
        <v>89.716666666666669</v>
      </c>
    </row>
    <row r="1773" spans="1:6" x14ac:dyDescent="0.25">
      <c r="A1773" s="1">
        <v>38991</v>
      </c>
      <c r="B1773" t="s">
        <v>12</v>
      </c>
      <c r="C1773" t="s">
        <v>7</v>
      </c>
      <c r="D1773">
        <v>77</v>
      </c>
      <c r="E1773" s="2">
        <v>0.10125000000000001</v>
      </c>
      <c r="F1773">
        <v>145.80000000000001</v>
      </c>
    </row>
    <row r="1774" spans="1:6" x14ac:dyDescent="0.25">
      <c r="A1774" s="1">
        <v>38991</v>
      </c>
      <c r="B1774" t="s">
        <v>12</v>
      </c>
      <c r="C1774" t="s">
        <v>8</v>
      </c>
      <c r="D1774">
        <v>36</v>
      </c>
      <c r="E1774" s="2">
        <v>4.628472222222222E-2</v>
      </c>
      <c r="F1774">
        <v>66.650000000000006</v>
      </c>
    </row>
    <row r="1775" spans="1:6" x14ac:dyDescent="0.25">
      <c r="A1775" s="1">
        <v>38991</v>
      </c>
      <c r="B1775" t="s">
        <v>12</v>
      </c>
      <c r="C1775" t="s">
        <v>9</v>
      </c>
      <c r="D1775">
        <v>13</v>
      </c>
      <c r="E1775" s="2">
        <v>1.2430555555555556E-2</v>
      </c>
      <c r="F1775">
        <v>17.899999999999999</v>
      </c>
    </row>
    <row r="1776" spans="1:6" x14ac:dyDescent="0.25">
      <c r="A1776" s="1">
        <v>38991</v>
      </c>
      <c r="B1776" t="s">
        <v>12</v>
      </c>
      <c r="C1776" t="s">
        <v>10</v>
      </c>
      <c r="D1776">
        <v>7</v>
      </c>
      <c r="E1776" s="2">
        <v>7.3495370370370372E-3</v>
      </c>
      <c r="F1776">
        <v>10.583333333333334</v>
      </c>
    </row>
    <row r="1777" spans="1:6" x14ac:dyDescent="0.25">
      <c r="A1777" s="1">
        <v>38991</v>
      </c>
      <c r="B1777" t="s">
        <v>12</v>
      </c>
      <c r="C1777" t="s">
        <v>11</v>
      </c>
      <c r="D1777">
        <v>18</v>
      </c>
      <c r="E1777" s="2">
        <v>1.7743055555555557E-2</v>
      </c>
      <c r="F1777">
        <v>25.55</v>
      </c>
    </row>
    <row r="1778" spans="1:6" x14ac:dyDescent="0.25">
      <c r="A1778" s="1">
        <v>38991</v>
      </c>
      <c r="B1778" t="s">
        <v>13</v>
      </c>
      <c r="C1778" t="s">
        <v>6</v>
      </c>
      <c r="D1778">
        <v>57</v>
      </c>
      <c r="E1778" s="2">
        <v>6.1851851851851852E-2</v>
      </c>
      <c r="F1778">
        <v>89.066666666666663</v>
      </c>
    </row>
    <row r="1779" spans="1:6" x14ac:dyDescent="0.25">
      <c r="A1779" s="1">
        <v>38991</v>
      </c>
      <c r="B1779" t="s">
        <v>13</v>
      </c>
      <c r="C1779" t="s">
        <v>7</v>
      </c>
      <c r="D1779">
        <v>44</v>
      </c>
      <c r="E1779" s="2">
        <v>5.5150462962962964E-2</v>
      </c>
      <c r="F1779">
        <v>79.416666666666671</v>
      </c>
    </row>
    <row r="1780" spans="1:6" x14ac:dyDescent="0.25">
      <c r="A1780" s="1">
        <v>38991</v>
      </c>
      <c r="B1780" t="s">
        <v>13</v>
      </c>
      <c r="C1780" t="s">
        <v>8</v>
      </c>
      <c r="D1780">
        <v>27</v>
      </c>
      <c r="E1780" s="2">
        <v>3.3333333333333333E-2</v>
      </c>
      <c r="F1780">
        <v>48</v>
      </c>
    </row>
    <row r="1781" spans="1:6" x14ac:dyDescent="0.25">
      <c r="A1781" s="1">
        <v>38991</v>
      </c>
      <c r="B1781" t="s">
        <v>13</v>
      </c>
      <c r="C1781" t="s">
        <v>9</v>
      </c>
      <c r="D1781">
        <v>8</v>
      </c>
      <c r="E1781" s="2">
        <v>6.9444444444444441E-3</v>
      </c>
      <c r="F1781">
        <v>10</v>
      </c>
    </row>
    <row r="1782" spans="1:6" x14ac:dyDescent="0.25">
      <c r="A1782" s="1">
        <v>38991</v>
      </c>
      <c r="B1782" t="s">
        <v>13</v>
      </c>
      <c r="C1782" t="s">
        <v>10</v>
      </c>
      <c r="D1782">
        <v>21</v>
      </c>
      <c r="E1782" s="2">
        <v>2.3240740740740742E-2</v>
      </c>
      <c r="F1782">
        <v>33.466666666666669</v>
      </c>
    </row>
    <row r="1783" spans="1:6" x14ac:dyDescent="0.25">
      <c r="A1783" s="1">
        <v>38991</v>
      </c>
      <c r="B1783" t="s">
        <v>13</v>
      </c>
      <c r="C1783" t="s">
        <v>11</v>
      </c>
      <c r="D1783">
        <v>15</v>
      </c>
      <c r="E1783" s="2">
        <v>1.4976851851851852E-2</v>
      </c>
      <c r="F1783">
        <v>21.566666666666666</v>
      </c>
    </row>
    <row r="1784" spans="1:6" x14ac:dyDescent="0.25">
      <c r="A1784" s="1">
        <v>38991</v>
      </c>
      <c r="B1784" t="s">
        <v>14</v>
      </c>
      <c r="C1784" t="s">
        <v>6</v>
      </c>
      <c r="D1784">
        <v>28</v>
      </c>
      <c r="E1784" s="2">
        <v>3.3449074074074076E-2</v>
      </c>
      <c r="F1784">
        <v>48.166666666666664</v>
      </c>
    </row>
    <row r="1785" spans="1:6" x14ac:dyDescent="0.25">
      <c r="A1785" s="1">
        <v>38991</v>
      </c>
      <c r="B1785" t="s">
        <v>14</v>
      </c>
      <c r="C1785" t="s">
        <v>7</v>
      </c>
      <c r="D1785">
        <v>18</v>
      </c>
      <c r="E1785" s="2">
        <v>2.5844907407407407E-2</v>
      </c>
      <c r="F1785">
        <v>37.216666666666669</v>
      </c>
    </row>
    <row r="1786" spans="1:6" x14ac:dyDescent="0.25">
      <c r="A1786" s="1">
        <v>38991</v>
      </c>
      <c r="B1786" t="s">
        <v>14</v>
      </c>
      <c r="C1786" t="s">
        <v>8</v>
      </c>
      <c r="D1786">
        <v>8</v>
      </c>
      <c r="E1786" s="2">
        <v>1.2002314814814815E-2</v>
      </c>
      <c r="F1786">
        <v>17.283333333333335</v>
      </c>
    </row>
    <row r="1787" spans="1:6" x14ac:dyDescent="0.25">
      <c r="A1787" s="1">
        <v>38991</v>
      </c>
      <c r="B1787" t="s">
        <v>14</v>
      </c>
      <c r="C1787" t="s">
        <v>9</v>
      </c>
      <c r="D1787">
        <v>0</v>
      </c>
      <c r="E1787" s="2">
        <v>0</v>
      </c>
      <c r="F1787">
        <v>0</v>
      </c>
    </row>
    <row r="1788" spans="1:6" x14ac:dyDescent="0.25">
      <c r="A1788" s="1">
        <v>38991</v>
      </c>
      <c r="B1788" t="s">
        <v>14</v>
      </c>
      <c r="C1788" t="s">
        <v>10</v>
      </c>
      <c r="D1788">
        <v>0</v>
      </c>
      <c r="E1788" s="2">
        <v>0</v>
      </c>
      <c r="F1788">
        <v>0</v>
      </c>
    </row>
    <row r="1789" spans="1:6" x14ac:dyDescent="0.25">
      <c r="A1789" s="1">
        <v>38991</v>
      </c>
      <c r="B1789" t="s">
        <v>14</v>
      </c>
      <c r="C1789" t="s">
        <v>11</v>
      </c>
      <c r="D1789">
        <v>2</v>
      </c>
      <c r="E1789" s="2">
        <v>2.3032407407407407E-3</v>
      </c>
      <c r="F1789">
        <v>3.3166666666666664</v>
      </c>
    </row>
    <row r="1790" spans="1:6" x14ac:dyDescent="0.25">
      <c r="A1790" s="1">
        <v>38991</v>
      </c>
      <c r="B1790" t="s">
        <v>15</v>
      </c>
      <c r="C1790" t="s">
        <v>6</v>
      </c>
      <c r="D1790">
        <v>55</v>
      </c>
      <c r="E1790" s="2">
        <v>5.3680555555555558E-2</v>
      </c>
      <c r="F1790">
        <v>77.3</v>
      </c>
    </row>
    <row r="1791" spans="1:6" x14ac:dyDescent="0.25">
      <c r="A1791" s="1">
        <v>38991</v>
      </c>
      <c r="B1791" t="s">
        <v>15</v>
      </c>
      <c r="C1791" t="s">
        <v>7</v>
      </c>
      <c r="D1791">
        <v>32</v>
      </c>
      <c r="E1791" s="2">
        <v>3.2395833333333332E-2</v>
      </c>
      <c r="F1791">
        <v>46.65</v>
      </c>
    </row>
    <row r="1792" spans="1:6" x14ac:dyDescent="0.25">
      <c r="A1792" s="1">
        <v>38991</v>
      </c>
      <c r="B1792" t="s">
        <v>15</v>
      </c>
      <c r="C1792" t="s">
        <v>8</v>
      </c>
      <c r="D1792">
        <v>14</v>
      </c>
      <c r="E1792" s="2">
        <v>1.3287037037037036E-2</v>
      </c>
      <c r="F1792">
        <v>19.133333333333333</v>
      </c>
    </row>
    <row r="1793" spans="1:6" x14ac:dyDescent="0.25">
      <c r="A1793" s="1">
        <v>38991</v>
      </c>
      <c r="B1793" t="s">
        <v>15</v>
      </c>
      <c r="C1793" t="s">
        <v>9</v>
      </c>
      <c r="D1793">
        <v>6</v>
      </c>
      <c r="E1793" s="2">
        <v>4.4560185185185189E-3</v>
      </c>
      <c r="F1793">
        <v>6.416666666666667</v>
      </c>
    </row>
    <row r="1794" spans="1:6" x14ac:dyDescent="0.25">
      <c r="A1794" s="1">
        <v>38991</v>
      </c>
      <c r="B1794" t="s">
        <v>15</v>
      </c>
      <c r="C1794" t="s">
        <v>10</v>
      </c>
      <c r="D1794">
        <v>9</v>
      </c>
      <c r="E1794" s="2">
        <v>8.1134259259259267E-3</v>
      </c>
      <c r="F1794">
        <v>11.683333333333334</v>
      </c>
    </row>
    <row r="1795" spans="1:6" x14ac:dyDescent="0.25">
      <c r="A1795" s="1">
        <v>38991</v>
      </c>
      <c r="B1795" t="s">
        <v>15</v>
      </c>
      <c r="C1795" t="s">
        <v>11</v>
      </c>
      <c r="D1795">
        <v>7</v>
      </c>
      <c r="E1795" s="2">
        <v>5.6134259259259262E-3</v>
      </c>
      <c r="F1795">
        <v>8.0833333333333339</v>
      </c>
    </row>
    <row r="1796" spans="1:6" x14ac:dyDescent="0.25">
      <c r="A1796" s="1">
        <v>38991</v>
      </c>
      <c r="B1796" t="s">
        <v>16</v>
      </c>
      <c r="C1796" t="s">
        <v>6</v>
      </c>
      <c r="D1796">
        <v>16</v>
      </c>
      <c r="E1796" s="2">
        <v>1.681712962962963E-2</v>
      </c>
      <c r="F1796">
        <v>24.216666666666665</v>
      </c>
    </row>
    <row r="1797" spans="1:6" x14ac:dyDescent="0.25">
      <c r="A1797" s="1">
        <v>38991</v>
      </c>
      <c r="B1797" t="s">
        <v>16</v>
      </c>
      <c r="C1797" t="s">
        <v>7</v>
      </c>
      <c r="D1797">
        <v>23</v>
      </c>
      <c r="E1797" s="2">
        <v>2.4872685185185185E-2</v>
      </c>
      <c r="F1797">
        <v>35.81666666666667</v>
      </c>
    </row>
    <row r="1798" spans="1:6" x14ac:dyDescent="0.25">
      <c r="A1798" s="1">
        <v>38991</v>
      </c>
      <c r="B1798" t="s">
        <v>16</v>
      </c>
      <c r="C1798" t="s">
        <v>8</v>
      </c>
      <c r="D1798">
        <v>12</v>
      </c>
      <c r="E1798" s="2">
        <v>1.0949074074074075E-2</v>
      </c>
      <c r="F1798">
        <v>15.766666666666667</v>
      </c>
    </row>
    <row r="1799" spans="1:6" x14ac:dyDescent="0.25">
      <c r="A1799" s="1">
        <v>38991</v>
      </c>
      <c r="B1799" t="s">
        <v>16</v>
      </c>
      <c r="C1799" t="s">
        <v>9</v>
      </c>
      <c r="D1799">
        <v>11</v>
      </c>
      <c r="E1799" s="2">
        <v>1.0034722222222223E-2</v>
      </c>
      <c r="F1799">
        <v>14.45</v>
      </c>
    </row>
    <row r="1800" spans="1:6" x14ac:dyDescent="0.25">
      <c r="A1800" s="1">
        <v>38991</v>
      </c>
      <c r="B1800" t="s">
        <v>16</v>
      </c>
      <c r="C1800" t="s">
        <v>10</v>
      </c>
      <c r="D1800">
        <v>5</v>
      </c>
      <c r="E1800" s="2">
        <v>4.4444444444444444E-3</v>
      </c>
      <c r="F1800">
        <v>6.4</v>
      </c>
    </row>
    <row r="1801" spans="1:6" x14ac:dyDescent="0.25">
      <c r="A1801" s="1">
        <v>38991</v>
      </c>
      <c r="B1801" t="s">
        <v>16</v>
      </c>
      <c r="C1801" t="s">
        <v>11</v>
      </c>
      <c r="D1801">
        <v>20</v>
      </c>
      <c r="E1801" s="2">
        <v>1.8749999999999999E-2</v>
      </c>
      <c r="F1801">
        <v>27</v>
      </c>
    </row>
    <row r="1802" spans="1:6" x14ac:dyDescent="0.25">
      <c r="A1802" s="1">
        <v>38991</v>
      </c>
      <c r="B1802" t="s">
        <v>17</v>
      </c>
      <c r="C1802" t="s">
        <v>6</v>
      </c>
      <c r="D1802">
        <v>6</v>
      </c>
      <c r="E1802" s="2">
        <v>5.6481481481481478E-3</v>
      </c>
      <c r="F1802">
        <v>8.1333333333333329</v>
      </c>
    </row>
    <row r="1803" spans="1:6" x14ac:dyDescent="0.25">
      <c r="A1803" s="1">
        <v>38991</v>
      </c>
      <c r="B1803" t="s">
        <v>17</v>
      </c>
      <c r="C1803" t="s">
        <v>7</v>
      </c>
      <c r="D1803">
        <v>9</v>
      </c>
      <c r="E1803" s="2">
        <v>1.1678240740740741E-2</v>
      </c>
      <c r="F1803">
        <v>16.816666666666666</v>
      </c>
    </row>
    <row r="1804" spans="1:6" x14ac:dyDescent="0.25">
      <c r="A1804" s="1">
        <v>38991</v>
      </c>
      <c r="B1804" t="s">
        <v>17</v>
      </c>
      <c r="C1804" t="s">
        <v>8</v>
      </c>
      <c r="D1804">
        <v>7</v>
      </c>
      <c r="E1804" s="2">
        <v>9.3749999999999997E-3</v>
      </c>
      <c r="F1804">
        <v>13.5</v>
      </c>
    </row>
    <row r="1805" spans="1:6" x14ac:dyDescent="0.25">
      <c r="A1805" s="1">
        <v>38991</v>
      </c>
      <c r="B1805" t="s">
        <v>17</v>
      </c>
      <c r="C1805" t="s">
        <v>9</v>
      </c>
      <c r="D1805">
        <v>0</v>
      </c>
      <c r="E1805" s="2">
        <v>0</v>
      </c>
      <c r="F1805">
        <v>0</v>
      </c>
    </row>
    <row r="1806" spans="1:6" x14ac:dyDescent="0.25">
      <c r="A1806" s="1">
        <v>38991</v>
      </c>
      <c r="B1806" t="s">
        <v>17</v>
      </c>
      <c r="C1806" t="s">
        <v>10</v>
      </c>
      <c r="D1806">
        <v>8</v>
      </c>
      <c r="E1806" s="2">
        <v>7.3958333333333333E-3</v>
      </c>
      <c r="F1806">
        <v>10.65</v>
      </c>
    </row>
    <row r="1807" spans="1:6" x14ac:dyDescent="0.25">
      <c r="A1807" s="1">
        <v>38991</v>
      </c>
      <c r="B1807" t="s">
        <v>17</v>
      </c>
      <c r="C1807" t="s">
        <v>11</v>
      </c>
      <c r="D1807">
        <v>0</v>
      </c>
      <c r="E1807" s="2">
        <v>0</v>
      </c>
      <c r="F1807">
        <v>0</v>
      </c>
    </row>
    <row r="1808" spans="1:6" x14ac:dyDescent="0.25">
      <c r="A1808" s="1">
        <v>38991</v>
      </c>
      <c r="B1808" t="s">
        <v>18</v>
      </c>
      <c r="C1808" t="s">
        <v>6</v>
      </c>
      <c r="D1808">
        <v>59</v>
      </c>
      <c r="E1808" s="2">
        <v>5.7743055555555554E-2</v>
      </c>
      <c r="F1808">
        <v>83.15</v>
      </c>
    </row>
    <row r="1809" spans="1:6" x14ac:dyDescent="0.25">
      <c r="A1809" s="1">
        <v>38991</v>
      </c>
      <c r="B1809" t="s">
        <v>18</v>
      </c>
      <c r="C1809" t="s">
        <v>7</v>
      </c>
      <c r="D1809">
        <v>58</v>
      </c>
      <c r="E1809" s="2">
        <v>6.1469907407407411E-2</v>
      </c>
      <c r="F1809">
        <v>88.516666666666666</v>
      </c>
    </row>
    <row r="1810" spans="1:6" x14ac:dyDescent="0.25">
      <c r="A1810" s="1">
        <v>38991</v>
      </c>
      <c r="B1810" t="s">
        <v>18</v>
      </c>
      <c r="C1810" t="s">
        <v>8</v>
      </c>
      <c r="D1810">
        <v>54</v>
      </c>
      <c r="E1810" s="2">
        <v>6.128472222222222E-2</v>
      </c>
      <c r="F1810">
        <v>88.25</v>
      </c>
    </row>
    <row r="1811" spans="1:6" x14ac:dyDescent="0.25">
      <c r="A1811" s="1">
        <v>38991</v>
      </c>
      <c r="B1811" t="s">
        <v>18</v>
      </c>
      <c r="C1811" t="s">
        <v>9</v>
      </c>
      <c r="D1811">
        <v>35</v>
      </c>
      <c r="E1811" s="2">
        <v>3.5196759259259261E-2</v>
      </c>
      <c r="F1811">
        <v>50.68333333333333</v>
      </c>
    </row>
    <row r="1812" spans="1:6" x14ac:dyDescent="0.25">
      <c r="A1812" s="1">
        <v>38991</v>
      </c>
      <c r="B1812" t="s">
        <v>18</v>
      </c>
      <c r="C1812" t="s">
        <v>10</v>
      </c>
      <c r="D1812">
        <v>153</v>
      </c>
      <c r="E1812" s="2">
        <v>0.13194444444444445</v>
      </c>
      <c r="F1812">
        <v>190</v>
      </c>
    </row>
    <row r="1813" spans="1:6" x14ac:dyDescent="0.25">
      <c r="A1813" s="1">
        <v>38991</v>
      </c>
      <c r="B1813" t="s">
        <v>18</v>
      </c>
      <c r="C1813" t="s">
        <v>11</v>
      </c>
      <c r="D1813">
        <v>13</v>
      </c>
      <c r="E1813" s="2">
        <v>1.1516203703703704E-2</v>
      </c>
      <c r="F1813">
        <v>16.583333333333332</v>
      </c>
    </row>
    <row r="1814" spans="1:6" x14ac:dyDescent="0.25">
      <c r="A1814" s="1">
        <v>38991</v>
      </c>
      <c r="B1814" t="s">
        <v>19</v>
      </c>
      <c r="C1814" t="s">
        <v>6</v>
      </c>
      <c r="D1814">
        <v>54</v>
      </c>
      <c r="E1814" s="2">
        <v>6.2430555555555559E-2</v>
      </c>
      <c r="F1814">
        <v>89.9</v>
      </c>
    </row>
    <row r="1815" spans="1:6" x14ac:dyDescent="0.25">
      <c r="A1815" s="1">
        <v>38991</v>
      </c>
      <c r="B1815" t="s">
        <v>19</v>
      </c>
      <c r="C1815" t="s">
        <v>7</v>
      </c>
      <c r="D1815">
        <v>57</v>
      </c>
      <c r="E1815" s="2">
        <v>6.3194444444444442E-2</v>
      </c>
      <c r="F1815">
        <v>91</v>
      </c>
    </row>
    <row r="1816" spans="1:6" x14ac:dyDescent="0.25">
      <c r="A1816" s="1">
        <v>38991</v>
      </c>
      <c r="B1816" t="s">
        <v>19</v>
      </c>
      <c r="C1816" t="s">
        <v>8</v>
      </c>
      <c r="D1816">
        <v>44</v>
      </c>
      <c r="E1816" s="2">
        <v>4.6249999999999999E-2</v>
      </c>
      <c r="F1816">
        <v>66.599999999999994</v>
      </c>
    </row>
    <row r="1817" spans="1:6" x14ac:dyDescent="0.25">
      <c r="A1817" s="1">
        <v>38991</v>
      </c>
      <c r="B1817" t="s">
        <v>19</v>
      </c>
      <c r="C1817" t="s">
        <v>9</v>
      </c>
      <c r="D1817">
        <v>43</v>
      </c>
      <c r="E1817" s="2">
        <v>3.6099537037037034E-2</v>
      </c>
      <c r="F1817">
        <v>51.983333333333334</v>
      </c>
    </row>
    <row r="1818" spans="1:6" x14ac:dyDescent="0.25">
      <c r="A1818" s="1">
        <v>38991</v>
      </c>
      <c r="B1818" t="s">
        <v>19</v>
      </c>
      <c r="C1818" t="s">
        <v>10</v>
      </c>
      <c r="D1818">
        <v>16</v>
      </c>
      <c r="E1818" s="2">
        <v>9.6643518518518511E-3</v>
      </c>
      <c r="F1818">
        <v>13.916666666666666</v>
      </c>
    </row>
    <row r="1819" spans="1:6" x14ac:dyDescent="0.25">
      <c r="A1819" s="1">
        <v>38991</v>
      </c>
      <c r="B1819" t="s">
        <v>19</v>
      </c>
      <c r="C1819" t="s">
        <v>11</v>
      </c>
      <c r="D1819">
        <v>24</v>
      </c>
      <c r="E1819" s="2">
        <v>2.2638888888888889E-2</v>
      </c>
      <c r="F1819">
        <v>32.6</v>
      </c>
    </row>
    <row r="1820" spans="1:6" x14ac:dyDescent="0.25">
      <c r="A1820" s="1">
        <v>38991</v>
      </c>
      <c r="B1820" t="s">
        <v>20</v>
      </c>
      <c r="C1820" t="s">
        <v>6</v>
      </c>
      <c r="D1820">
        <v>55</v>
      </c>
      <c r="E1820" s="2">
        <v>6.0243055555555557E-2</v>
      </c>
      <c r="F1820">
        <v>86.75</v>
      </c>
    </row>
    <row r="1821" spans="1:6" x14ac:dyDescent="0.25">
      <c r="A1821" s="1">
        <v>38991</v>
      </c>
      <c r="B1821" t="s">
        <v>20</v>
      </c>
      <c r="C1821" t="s">
        <v>7</v>
      </c>
      <c r="D1821">
        <v>54</v>
      </c>
      <c r="E1821" s="2">
        <v>6.0057870370370373E-2</v>
      </c>
      <c r="F1821">
        <v>86.483333333333334</v>
      </c>
    </row>
    <row r="1822" spans="1:6" x14ac:dyDescent="0.25">
      <c r="A1822" s="1">
        <v>38991</v>
      </c>
      <c r="B1822" t="s">
        <v>20</v>
      </c>
      <c r="C1822" t="s">
        <v>8</v>
      </c>
      <c r="D1822">
        <v>50</v>
      </c>
      <c r="E1822" s="2">
        <v>6.0208333333333336E-2</v>
      </c>
      <c r="F1822">
        <v>86.7</v>
      </c>
    </row>
    <row r="1823" spans="1:6" x14ac:dyDescent="0.25">
      <c r="A1823" s="1">
        <v>38991</v>
      </c>
      <c r="B1823" t="s">
        <v>20</v>
      </c>
      <c r="C1823" t="s">
        <v>9</v>
      </c>
      <c r="D1823">
        <v>20</v>
      </c>
      <c r="E1823" s="2">
        <v>1.5277777777777777E-2</v>
      </c>
      <c r="F1823">
        <v>22</v>
      </c>
    </row>
    <row r="1824" spans="1:6" x14ac:dyDescent="0.25">
      <c r="A1824" s="1">
        <v>38991</v>
      </c>
      <c r="B1824" t="s">
        <v>20</v>
      </c>
      <c r="C1824" t="s">
        <v>10</v>
      </c>
      <c r="D1824">
        <v>20</v>
      </c>
      <c r="E1824" s="2">
        <v>2.3321759259259261E-2</v>
      </c>
      <c r="F1824">
        <v>33.583333333333336</v>
      </c>
    </row>
    <row r="1825" spans="1:6" x14ac:dyDescent="0.25">
      <c r="A1825" s="1">
        <v>38991</v>
      </c>
      <c r="B1825" t="s">
        <v>20</v>
      </c>
      <c r="C1825" t="s">
        <v>11</v>
      </c>
      <c r="D1825">
        <v>21</v>
      </c>
      <c r="E1825" s="2">
        <v>1.681712962962963E-2</v>
      </c>
      <c r="F1825">
        <v>24.216666666666665</v>
      </c>
    </row>
    <row r="1826" spans="1:6" x14ac:dyDescent="0.25">
      <c r="A1826" s="1">
        <v>38991</v>
      </c>
      <c r="B1826" t="s">
        <v>21</v>
      </c>
      <c r="C1826" t="s">
        <v>6</v>
      </c>
      <c r="D1826">
        <v>50</v>
      </c>
      <c r="E1826" s="2">
        <v>5.4178240740740742E-2</v>
      </c>
      <c r="F1826">
        <v>78.016666666666666</v>
      </c>
    </row>
    <row r="1827" spans="1:6" x14ac:dyDescent="0.25">
      <c r="A1827" s="1">
        <v>38991</v>
      </c>
      <c r="B1827" t="s">
        <v>21</v>
      </c>
      <c r="C1827" t="s">
        <v>7</v>
      </c>
      <c r="D1827">
        <v>45</v>
      </c>
      <c r="E1827" s="2">
        <v>6.0509259259259263E-2</v>
      </c>
      <c r="F1827">
        <v>87.13333333333334</v>
      </c>
    </row>
    <row r="1828" spans="1:6" x14ac:dyDescent="0.25">
      <c r="A1828" s="1">
        <v>38991</v>
      </c>
      <c r="B1828" t="s">
        <v>21</v>
      </c>
      <c r="C1828" t="s">
        <v>8</v>
      </c>
      <c r="D1828">
        <v>26</v>
      </c>
      <c r="E1828" s="2">
        <v>3.3472222222222223E-2</v>
      </c>
      <c r="F1828">
        <v>48.2</v>
      </c>
    </row>
    <row r="1829" spans="1:6" x14ac:dyDescent="0.25">
      <c r="A1829" s="1">
        <v>38991</v>
      </c>
      <c r="B1829" t="s">
        <v>21</v>
      </c>
      <c r="C1829" t="s">
        <v>9</v>
      </c>
      <c r="D1829">
        <v>1</v>
      </c>
      <c r="E1829" s="2">
        <v>4.0509259259259258E-4</v>
      </c>
      <c r="F1829">
        <v>0.58333333333333337</v>
      </c>
    </row>
    <row r="1830" spans="1:6" x14ac:dyDescent="0.25">
      <c r="A1830" s="1">
        <v>38991</v>
      </c>
      <c r="B1830" t="s">
        <v>21</v>
      </c>
      <c r="C1830" t="s">
        <v>10</v>
      </c>
      <c r="D1830">
        <v>5</v>
      </c>
      <c r="E1830" s="2">
        <v>4.2361111111111115E-3</v>
      </c>
      <c r="F1830">
        <v>6.1</v>
      </c>
    </row>
    <row r="1831" spans="1:6" x14ac:dyDescent="0.25">
      <c r="A1831" s="1">
        <v>38991</v>
      </c>
      <c r="B1831" t="s">
        <v>21</v>
      </c>
      <c r="C1831" t="s">
        <v>11</v>
      </c>
      <c r="D1831">
        <v>10</v>
      </c>
      <c r="E1831" s="2">
        <v>9.6527777777777775E-3</v>
      </c>
      <c r="F1831">
        <v>13.9</v>
      </c>
    </row>
    <row r="1832" spans="1:6" x14ac:dyDescent="0.25">
      <c r="A1832" s="1">
        <v>38991</v>
      </c>
      <c r="B1832" t="s">
        <v>22</v>
      </c>
      <c r="C1832" t="s">
        <v>6</v>
      </c>
      <c r="D1832">
        <v>44</v>
      </c>
      <c r="E1832" s="2">
        <v>4.4143518518518519E-2</v>
      </c>
      <c r="F1832">
        <v>63.56666666666667</v>
      </c>
    </row>
    <row r="1833" spans="1:6" x14ac:dyDescent="0.25">
      <c r="A1833" s="1">
        <v>38991</v>
      </c>
      <c r="B1833" t="s">
        <v>22</v>
      </c>
      <c r="C1833" t="s">
        <v>7</v>
      </c>
      <c r="D1833">
        <v>31</v>
      </c>
      <c r="E1833" s="2">
        <v>3.4548611111111113E-2</v>
      </c>
      <c r="F1833">
        <v>49.75</v>
      </c>
    </row>
    <row r="1834" spans="1:6" x14ac:dyDescent="0.25">
      <c r="A1834" s="1">
        <v>38991</v>
      </c>
      <c r="B1834" t="s">
        <v>22</v>
      </c>
      <c r="C1834" t="s">
        <v>8</v>
      </c>
      <c r="D1834">
        <v>11</v>
      </c>
      <c r="E1834" s="2">
        <v>1.0347222222222223E-2</v>
      </c>
      <c r="F1834">
        <v>14.9</v>
      </c>
    </row>
    <row r="1835" spans="1:6" x14ac:dyDescent="0.25">
      <c r="A1835" s="1">
        <v>38991</v>
      </c>
      <c r="B1835" t="s">
        <v>22</v>
      </c>
      <c r="C1835" t="s">
        <v>9</v>
      </c>
      <c r="D1835">
        <v>11</v>
      </c>
      <c r="E1835" s="2">
        <v>1.0694444444444444E-2</v>
      </c>
      <c r="F1835">
        <v>15.4</v>
      </c>
    </row>
    <row r="1836" spans="1:6" x14ac:dyDescent="0.25">
      <c r="A1836" s="1">
        <v>38991</v>
      </c>
      <c r="B1836" t="s">
        <v>22</v>
      </c>
      <c r="C1836" t="s">
        <v>10</v>
      </c>
      <c r="D1836">
        <v>17</v>
      </c>
      <c r="E1836" s="2">
        <v>1.7604166666666667E-2</v>
      </c>
      <c r="F1836">
        <v>25.35</v>
      </c>
    </row>
    <row r="1837" spans="1:6" x14ac:dyDescent="0.25">
      <c r="A1837" s="1">
        <v>38991</v>
      </c>
      <c r="B1837" t="s">
        <v>22</v>
      </c>
      <c r="C1837" t="s">
        <v>11</v>
      </c>
      <c r="D1837">
        <v>13</v>
      </c>
      <c r="E1837" s="2">
        <v>1.1527777777777777E-2</v>
      </c>
      <c r="F1837">
        <v>16.600000000000001</v>
      </c>
    </row>
    <row r="1838" spans="1:6" x14ac:dyDescent="0.25">
      <c r="A1838" s="1">
        <v>38991</v>
      </c>
      <c r="B1838" t="s">
        <v>23</v>
      </c>
      <c r="C1838" t="s">
        <v>6</v>
      </c>
      <c r="D1838">
        <v>190</v>
      </c>
      <c r="E1838" s="2">
        <v>0.20087962962962963</v>
      </c>
      <c r="F1838">
        <v>289.26666666666665</v>
      </c>
    </row>
    <row r="1839" spans="1:6" x14ac:dyDescent="0.25">
      <c r="A1839" s="1">
        <v>38991</v>
      </c>
      <c r="B1839" t="s">
        <v>23</v>
      </c>
      <c r="C1839" t="s">
        <v>7</v>
      </c>
      <c r="D1839">
        <v>153</v>
      </c>
      <c r="E1839" s="2">
        <v>0.16658564814814814</v>
      </c>
      <c r="F1839">
        <v>239.88333333333333</v>
      </c>
    </row>
    <row r="1840" spans="1:6" x14ac:dyDescent="0.25">
      <c r="A1840" s="1">
        <v>38991</v>
      </c>
      <c r="B1840" t="s">
        <v>23</v>
      </c>
      <c r="C1840" t="s">
        <v>8</v>
      </c>
      <c r="D1840">
        <v>131</v>
      </c>
      <c r="E1840" s="2">
        <v>0.16092592592592592</v>
      </c>
      <c r="F1840">
        <v>231.73333333333332</v>
      </c>
    </row>
    <row r="1841" spans="1:6" x14ac:dyDescent="0.25">
      <c r="A1841" s="1">
        <v>38991</v>
      </c>
      <c r="B1841" t="s">
        <v>23</v>
      </c>
      <c r="C1841" t="s">
        <v>9</v>
      </c>
      <c r="D1841">
        <v>54</v>
      </c>
      <c r="E1841" s="2">
        <v>4.6921296296296294E-2</v>
      </c>
      <c r="F1841">
        <v>67.566666666666663</v>
      </c>
    </row>
    <row r="1842" spans="1:6" x14ac:dyDescent="0.25">
      <c r="A1842" s="1">
        <v>38991</v>
      </c>
      <c r="B1842" t="s">
        <v>23</v>
      </c>
      <c r="C1842" t="s">
        <v>10</v>
      </c>
      <c r="D1842">
        <v>80</v>
      </c>
      <c r="E1842" s="2">
        <v>8.5335648148148147E-2</v>
      </c>
      <c r="F1842">
        <v>122.88333333333334</v>
      </c>
    </row>
    <row r="1843" spans="1:6" x14ac:dyDescent="0.25">
      <c r="A1843" s="1">
        <v>38991</v>
      </c>
      <c r="B1843" t="s">
        <v>23</v>
      </c>
      <c r="C1843" t="s">
        <v>11</v>
      </c>
      <c r="D1843">
        <v>73</v>
      </c>
      <c r="E1843" s="2">
        <v>6.9641203703703705E-2</v>
      </c>
      <c r="F1843">
        <v>100.28333333333333</v>
      </c>
    </row>
    <row r="1844" spans="1:6" x14ac:dyDescent="0.25">
      <c r="A1844" s="1">
        <v>38991</v>
      </c>
      <c r="B1844" t="s">
        <v>24</v>
      </c>
      <c r="C1844" t="s">
        <v>6</v>
      </c>
      <c r="D1844">
        <v>55</v>
      </c>
      <c r="E1844" s="2">
        <v>4.9421296296296297E-2</v>
      </c>
      <c r="F1844">
        <v>71.166666666666671</v>
      </c>
    </row>
    <row r="1845" spans="1:6" x14ac:dyDescent="0.25">
      <c r="A1845" s="1">
        <v>38991</v>
      </c>
      <c r="B1845" t="s">
        <v>24</v>
      </c>
      <c r="C1845" t="s">
        <v>7</v>
      </c>
      <c r="D1845">
        <v>48</v>
      </c>
      <c r="E1845" s="2">
        <v>4.0914351851851855E-2</v>
      </c>
      <c r="F1845">
        <v>58.916666666666664</v>
      </c>
    </row>
    <row r="1846" spans="1:6" x14ac:dyDescent="0.25">
      <c r="A1846" s="1">
        <v>38991</v>
      </c>
      <c r="B1846" t="s">
        <v>24</v>
      </c>
      <c r="C1846" t="s">
        <v>8</v>
      </c>
      <c r="D1846">
        <v>28</v>
      </c>
      <c r="E1846" s="2">
        <v>2.5532407407407406E-2</v>
      </c>
      <c r="F1846">
        <v>36.766666666666666</v>
      </c>
    </row>
    <row r="1847" spans="1:6" x14ac:dyDescent="0.25">
      <c r="A1847" s="1">
        <v>38991</v>
      </c>
      <c r="B1847" t="s">
        <v>24</v>
      </c>
      <c r="C1847" t="s">
        <v>9</v>
      </c>
      <c r="D1847">
        <v>22</v>
      </c>
      <c r="E1847" s="2">
        <v>1.1990740740740741E-2</v>
      </c>
      <c r="F1847">
        <v>17.266666666666666</v>
      </c>
    </row>
    <row r="1848" spans="1:6" x14ac:dyDescent="0.25">
      <c r="A1848" s="1">
        <v>38991</v>
      </c>
      <c r="B1848" t="s">
        <v>24</v>
      </c>
      <c r="C1848" t="s">
        <v>10</v>
      </c>
      <c r="D1848">
        <v>1</v>
      </c>
      <c r="E1848" s="2">
        <v>1.7939814814814815E-3</v>
      </c>
      <c r="F1848">
        <v>2.5833333333333335</v>
      </c>
    </row>
    <row r="1849" spans="1:6" x14ac:dyDescent="0.25">
      <c r="A1849" s="1">
        <v>38991</v>
      </c>
      <c r="B1849" t="s">
        <v>24</v>
      </c>
      <c r="C1849" t="s">
        <v>11</v>
      </c>
      <c r="D1849">
        <v>35</v>
      </c>
      <c r="E1849" s="2">
        <v>2.8067129629629629E-2</v>
      </c>
      <c r="F1849">
        <v>40.416666666666664</v>
      </c>
    </row>
    <row r="1850" spans="1:6" x14ac:dyDescent="0.25">
      <c r="A1850" s="1">
        <v>39022</v>
      </c>
      <c r="B1850" t="s">
        <v>5</v>
      </c>
      <c r="C1850" t="s">
        <v>6</v>
      </c>
      <c r="D1850">
        <v>15</v>
      </c>
      <c r="E1850" s="2">
        <v>1.2002314814814815E-2</v>
      </c>
      <c r="F1850">
        <v>17.283333333333335</v>
      </c>
    </row>
    <row r="1851" spans="1:6" x14ac:dyDescent="0.25">
      <c r="A1851" s="1">
        <v>39022</v>
      </c>
      <c r="B1851" t="s">
        <v>5</v>
      </c>
      <c r="C1851" t="s">
        <v>7</v>
      </c>
      <c r="D1851">
        <v>14</v>
      </c>
      <c r="E1851" s="2">
        <v>9.7222222222222224E-3</v>
      </c>
      <c r="F1851">
        <v>14</v>
      </c>
    </row>
    <row r="1852" spans="1:6" x14ac:dyDescent="0.25">
      <c r="A1852" s="1">
        <v>39022</v>
      </c>
      <c r="B1852" t="s">
        <v>5</v>
      </c>
      <c r="C1852" t="s">
        <v>8</v>
      </c>
      <c r="D1852">
        <v>6</v>
      </c>
      <c r="E1852" s="2">
        <v>6.1921296296296299E-3</v>
      </c>
      <c r="F1852">
        <v>8.9166666666666661</v>
      </c>
    </row>
    <row r="1853" spans="1:6" x14ac:dyDescent="0.25">
      <c r="A1853" s="1">
        <v>39022</v>
      </c>
      <c r="B1853" t="s">
        <v>5</v>
      </c>
      <c r="C1853" t="s">
        <v>9</v>
      </c>
      <c r="D1853">
        <v>1</v>
      </c>
      <c r="E1853" s="2">
        <v>9.0277777777777774E-4</v>
      </c>
      <c r="F1853">
        <v>1.3</v>
      </c>
    </row>
    <row r="1854" spans="1:6" x14ac:dyDescent="0.25">
      <c r="A1854" s="1">
        <v>39022</v>
      </c>
      <c r="B1854" t="s">
        <v>5</v>
      </c>
      <c r="C1854" t="s">
        <v>10</v>
      </c>
      <c r="D1854">
        <v>3</v>
      </c>
      <c r="E1854" s="2">
        <v>3.1134259259259257E-3</v>
      </c>
      <c r="F1854">
        <v>4.4833333333333334</v>
      </c>
    </row>
    <row r="1855" spans="1:6" x14ac:dyDescent="0.25">
      <c r="A1855" s="1">
        <v>39022</v>
      </c>
      <c r="B1855" t="s">
        <v>5</v>
      </c>
      <c r="C1855" t="s">
        <v>11</v>
      </c>
      <c r="D1855">
        <v>3</v>
      </c>
      <c r="E1855" s="2">
        <v>2.9861111111111113E-3</v>
      </c>
      <c r="F1855">
        <v>4.3</v>
      </c>
    </row>
    <row r="1856" spans="1:6" x14ac:dyDescent="0.25">
      <c r="A1856" s="1">
        <v>39022</v>
      </c>
      <c r="B1856" t="s">
        <v>12</v>
      </c>
      <c r="C1856" t="s">
        <v>6</v>
      </c>
      <c r="D1856">
        <v>36</v>
      </c>
      <c r="E1856" s="2">
        <v>3.7789351851851852E-2</v>
      </c>
      <c r="F1856">
        <v>54.416666666666664</v>
      </c>
    </row>
    <row r="1857" spans="1:6" x14ac:dyDescent="0.25">
      <c r="A1857" s="1">
        <v>39022</v>
      </c>
      <c r="B1857" t="s">
        <v>12</v>
      </c>
      <c r="C1857" t="s">
        <v>7</v>
      </c>
      <c r="D1857">
        <v>54</v>
      </c>
      <c r="E1857" s="2">
        <v>6.5625000000000003E-2</v>
      </c>
      <c r="F1857">
        <v>94.5</v>
      </c>
    </row>
    <row r="1858" spans="1:6" x14ac:dyDescent="0.25">
      <c r="A1858" s="1">
        <v>39022</v>
      </c>
      <c r="B1858" t="s">
        <v>12</v>
      </c>
      <c r="C1858" t="s">
        <v>8</v>
      </c>
      <c r="D1858">
        <v>28</v>
      </c>
      <c r="E1858" s="2">
        <v>3.5208333333333335E-2</v>
      </c>
      <c r="F1858">
        <v>50.7</v>
      </c>
    </row>
    <row r="1859" spans="1:6" x14ac:dyDescent="0.25">
      <c r="A1859" s="1">
        <v>39022</v>
      </c>
      <c r="B1859" t="s">
        <v>12</v>
      </c>
      <c r="C1859" t="s">
        <v>9</v>
      </c>
      <c r="D1859">
        <v>19</v>
      </c>
      <c r="E1859" s="2">
        <v>1.8263888888888889E-2</v>
      </c>
      <c r="F1859">
        <v>26.3</v>
      </c>
    </row>
    <row r="1860" spans="1:6" x14ac:dyDescent="0.25">
      <c r="A1860" s="1">
        <v>39022</v>
      </c>
      <c r="B1860" t="s">
        <v>12</v>
      </c>
      <c r="C1860" t="s">
        <v>10</v>
      </c>
      <c r="D1860">
        <v>2</v>
      </c>
      <c r="E1860" s="2">
        <v>3.0787037037037037E-3</v>
      </c>
      <c r="F1860">
        <v>4.4333333333333336</v>
      </c>
    </row>
    <row r="1861" spans="1:6" x14ac:dyDescent="0.25">
      <c r="A1861" s="1">
        <v>39022</v>
      </c>
      <c r="B1861" t="s">
        <v>12</v>
      </c>
      <c r="C1861" t="s">
        <v>11</v>
      </c>
      <c r="D1861">
        <v>17</v>
      </c>
      <c r="E1861" s="2">
        <v>1.5613425925925926E-2</v>
      </c>
      <c r="F1861">
        <v>22.483333333333334</v>
      </c>
    </row>
    <row r="1862" spans="1:6" x14ac:dyDescent="0.25">
      <c r="A1862" s="1">
        <v>39022</v>
      </c>
      <c r="B1862" t="s">
        <v>13</v>
      </c>
      <c r="C1862" t="s">
        <v>6</v>
      </c>
      <c r="D1862">
        <v>53</v>
      </c>
      <c r="E1862" s="2">
        <v>6.0127314814814814E-2</v>
      </c>
      <c r="F1862">
        <v>86.583333333333329</v>
      </c>
    </row>
    <row r="1863" spans="1:6" x14ac:dyDescent="0.25">
      <c r="A1863" s="1">
        <v>39022</v>
      </c>
      <c r="B1863" t="s">
        <v>13</v>
      </c>
      <c r="C1863" t="s">
        <v>7</v>
      </c>
      <c r="D1863">
        <v>47</v>
      </c>
      <c r="E1863" s="2">
        <v>5.527777777777778E-2</v>
      </c>
      <c r="F1863">
        <v>79.599999999999994</v>
      </c>
    </row>
    <row r="1864" spans="1:6" x14ac:dyDescent="0.25">
      <c r="A1864" s="1">
        <v>39022</v>
      </c>
      <c r="B1864" t="s">
        <v>13</v>
      </c>
      <c r="C1864" t="s">
        <v>8</v>
      </c>
      <c r="D1864">
        <v>22</v>
      </c>
      <c r="E1864" s="2">
        <v>2.763888888888889E-2</v>
      </c>
      <c r="F1864">
        <v>39.799999999999997</v>
      </c>
    </row>
    <row r="1865" spans="1:6" x14ac:dyDescent="0.25">
      <c r="A1865" s="1">
        <v>39022</v>
      </c>
      <c r="B1865" t="s">
        <v>13</v>
      </c>
      <c r="C1865" t="s">
        <v>9</v>
      </c>
      <c r="D1865">
        <v>4</v>
      </c>
      <c r="E1865" s="2">
        <v>2.638888888888889E-3</v>
      </c>
      <c r="F1865">
        <v>3.8</v>
      </c>
    </row>
    <row r="1866" spans="1:6" x14ac:dyDescent="0.25">
      <c r="A1866" s="1">
        <v>39022</v>
      </c>
      <c r="B1866" t="s">
        <v>13</v>
      </c>
      <c r="C1866" t="s">
        <v>10</v>
      </c>
      <c r="D1866">
        <v>14</v>
      </c>
      <c r="E1866" s="2">
        <v>6.5856481481481478E-3</v>
      </c>
      <c r="F1866">
        <v>9.4833333333333325</v>
      </c>
    </row>
    <row r="1867" spans="1:6" x14ac:dyDescent="0.25">
      <c r="A1867" s="1">
        <v>39022</v>
      </c>
      <c r="B1867" t="s">
        <v>13</v>
      </c>
      <c r="C1867" t="s">
        <v>11</v>
      </c>
      <c r="D1867">
        <v>14</v>
      </c>
      <c r="E1867" s="2">
        <v>1.0844907407407407E-2</v>
      </c>
      <c r="F1867">
        <v>15.616666666666667</v>
      </c>
    </row>
    <row r="1868" spans="1:6" x14ac:dyDescent="0.25">
      <c r="A1868" s="1">
        <v>39022</v>
      </c>
      <c r="B1868" t="s">
        <v>14</v>
      </c>
      <c r="C1868" t="s">
        <v>6</v>
      </c>
      <c r="D1868">
        <v>22</v>
      </c>
      <c r="E1868" s="2">
        <v>2.704861111111111E-2</v>
      </c>
      <c r="F1868">
        <v>38.950000000000003</v>
      </c>
    </row>
    <row r="1869" spans="1:6" x14ac:dyDescent="0.25">
      <c r="A1869" s="1">
        <v>39022</v>
      </c>
      <c r="B1869" t="s">
        <v>14</v>
      </c>
      <c r="C1869" t="s">
        <v>7</v>
      </c>
      <c r="D1869">
        <v>13</v>
      </c>
      <c r="E1869" s="2">
        <v>1.5925925925925927E-2</v>
      </c>
      <c r="F1869">
        <v>22.933333333333334</v>
      </c>
    </row>
    <row r="1870" spans="1:6" x14ac:dyDescent="0.25">
      <c r="A1870" s="1">
        <v>39022</v>
      </c>
      <c r="B1870" t="s">
        <v>14</v>
      </c>
      <c r="C1870" t="s">
        <v>8</v>
      </c>
      <c r="D1870">
        <v>4</v>
      </c>
      <c r="E1870" s="2">
        <v>3.5763888888888889E-3</v>
      </c>
      <c r="F1870">
        <v>5.15</v>
      </c>
    </row>
    <row r="1871" spans="1:6" x14ac:dyDescent="0.25">
      <c r="A1871" s="1">
        <v>39022</v>
      </c>
      <c r="B1871" t="s">
        <v>14</v>
      </c>
      <c r="C1871" t="s">
        <v>9</v>
      </c>
      <c r="D1871">
        <v>0</v>
      </c>
      <c r="E1871" s="2">
        <v>0</v>
      </c>
      <c r="F1871">
        <v>0</v>
      </c>
    </row>
    <row r="1872" spans="1:6" x14ac:dyDescent="0.25">
      <c r="A1872" s="1">
        <v>39022</v>
      </c>
      <c r="B1872" t="s">
        <v>14</v>
      </c>
      <c r="C1872" t="s">
        <v>10</v>
      </c>
      <c r="D1872">
        <v>1</v>
      </c>
      <c r="E1872" s="2">
        <v>1.6203703703703703E-3</v>
      </c>
      <c r="F1872">
        <v>2.3333333333333335</v>
      </c>
    </row>
    <row r="1873" spans="1:6" x14ac:dyDescent="0.25">
      <c r="A1873" s="1">
        <v>39022</v>
      </c>
      <c r="B1873" t="s">
        <v>14</v>
      </c>
      <c r="C1873" t="s">
        <v>11</v>
      </c>
      <c r="D1873">
        <v>4</v>
      </c>
      <c r="E1873" s="2">
        <v>4.5949074074074078E-3</v>
      </c>
      <c r="F1873">
        <v>6.6166666666666671</v>
      </c>
    </row>
    <row r="1874" spans="1:6" x14ac:dyDescent="0.25">
      <c r="A1874" s="1">
        <v>39022</v>
      </c>
      <c r="B1874" t="s">
        <v>15</v>
      </c>
      <c r="C1874" t="s">
        <v>6</v>
      </c>
      <c r="D1874">
        <v>30</v>
      </c>
      <c r="E1874" s="2">
        <v>3.3726851851851855E-2</v>
      </c>
      <c r="F1874">
        <v>48.56666666666667</v>
      </c>
    </row>
    <row r="1875" spans="1:6" x14ac:dyDescent="0.25">
      <c r="A1875" s="1">
        <v>39022</v>
      </c>
      <c r="B1875" t="s">
        <v>15</v>
      </c>
      <c r="C1875" t="s">
        <v>7</v>
      </c>
      <c r="D1875">
        <v>34</v>
      </c>
      <c r="E1875" s="2">
        <v>3.3877314814814811E-2</v>
      </c>
      <c r="F1875">
        <v>48.783333333333331</v>
      </c>
    </row>
    <row r="1876" spans="1:6" x14ac:dyDescent="0.25">
      <c r="A1876" s="1">
        <v>39022</v>
      </c>
      <c r="B1876" t="s">
        <v>15</v>
      </c>
      <c r="C1876" t="s">
        <v>8</v>
      </c>
      <c r="D1876">
        <v>11</v>
      </c>
      <c r="E1876" s="2">
        <v>1.2766203703703703E-2</v>
      </c>
      <c r="F1876">
        <v>18.383333333333333</v>
      </c>
    </row>
    <row r="1877" spans="1:6" x14ac:dyDescent="0.25">
      <c r="A1877" s="1">
        <v>39022</v>
      </c>
      <c r="B1877" t="s">
        <v>15</v>
      </c>
      <c r="C1877" t="s">
        <v>9</v>
      </c>
      <c r="D1877">
        <v>1</v>
      </c>
      <c r="E1877" s="2">
        <v>1.0532407407407407E-3</v>
      </c>
      <c r="F1877">
        <v>1.5166666666666666</v>
      </c>
    </row>
    <row r="1878" spans="1:6" x14ac:dyDescent="0.25">
      <c r="A1878" s="1">
        <v>39022</v>
      </c>
      <c r="B1878" t="s">
        <v>15</v>
      </c>
      <c r="C1878" t="s">
        <v>10</v>
      </c>
      <c r="D1878">
        <v>8</v>
      </c>
      <c r="E1878" s="2">
        <v>6.9444444444444441E-3</v>
      </c>
      <c r="F1878">
        <v>10</v>
      </c>
    </row>
    <row r="1879" spans="1:6" x14ac:dyDescent="0.25">
      <c r="A1879" s="1">
        <v>39022</v>
      </c>
      <c r="B1879" t="s">
        <v>15</v>
      </c>
      <c r="C1879" t="s">
        <v>11</v>
      </c>
      <c r="D1879">
        <v>8</v>
      </c>
      <c r="E1879" s="2">
        <v>6.1689814814814819E-3</v>
      </c>
      <c r="F1879">
        <v>8.8833333333333329</v>
      </c>
    </row>
    <row r="1880" spans="1:6" x14ac:dyDescent="0.25">
      <c r="A1880" s="1">
        <v>39022</v>
      </c>
      <c r="B1880" t="s">
        <v>16</v>
      </c>
      <c r="C1880" t="s">
        <v>6</v>
      </c>
      <c r="D1880">
        <v>15</v>
      </c>
      <c r="E1880" s="2">
        <v>1.6828703703703703E-2</v>
      </c>
      <c r="F1880">
        <v>24.233333333333334</v>
      </c>
    </row>
    <row r="1881" spans="1:6" x14ac:dyDescent="0.25">
      <c r="A1881" s="1">
        <v>39022</v>
      </c>
      <c r="B1881" t="s">
        <v>16</v>
      </c>
      <c r="C1881" t="s">
        <v>7</v>
      </c>
      <c r="D1881">
        <v>20</v>
      </c>
      <c r="E1881" s="2">
        <v>1.8101851851851852E-2</v>
      </c>
      <c r="F1881">
        <v>26.066666666666666</v>
      </c>
    </row>
    <row r="1882" spans="1:6" x14ac:dyDescent="0.25">
      <c r="A1882" s="1">
        <v>39022</v>
      </c>
      <c r="B1882" t="s">
        <v>16</v>
      </c>
      <c r="C1882" t="s">
        <v>8</v>
      </c>
      <c r="D1882">
        <v>9</v>
      </c>
      <c r="E1882" s="2">
        <v>6.898148148148148E-3</v>
      </c>
      <c r="F1882">
        <v>9.9333333333333336</v>
      </c>
    </row>
    <row r="1883" spans="1:6" x14ac:dyDescent="0.25">
      <c r="A1883" s="1">
        <v>39022</v>
      </c>
      <c r="B1883" t="s">
        <v>16</v>
      </c>
      <c r="C1883" t="s">
        <v>9</v>
      </c>
      <c r="D1883">
        <v>5</v>
      </c>
      <c r="E1883" s="2">
        <v>3.8888888888888888E-3</v>
      </c>
      <c r="F1883">
        <v>5.6</v>
      </c>
    </row>
    <row r="1884" spans="1:6" x14ac:dyDescent="0.25">
      <c r="A1884" s="1">
        <v>39022</v>
      </c>
      <c r="B1884" t="s">
        <v>16</v>
      </c>
      <c r="C1884" t="s">
        <v>10</v>
      </c>
      <c r="D1884">
        <v>1</v>
      </c>
      <c r="E1884" s="2">
        <v>2.3148148148148149E-4</v>
      </c>
      <c r="F1884">
        <v>0.33333333333333331</v>
      </c>
    </row>
    <row r="1885" spans="1:6" x14ac:dyDescent="0.25">
      <c r="A1885" s="1">
        <v>39022</v>
      </c>
      <c r="B1885" t="s">
        <v>16</v>
      </c>
      <c r="C1885" t="s">
        <v>11</v>
      </c>
      <c r="D1885">
        <v>10</v>
      </c>
      <c r="E1885" s="2">
        <v>1.0868055555555556E-2</v>
      </c>
      <c r="F1885">
        <v>15.65</v>
      </c>
    </row>
    <row r="1886" spans="1:6" x14ac:dyDescent="0.25">
      <c r="A1886" s="1">
        <v>39022</v>
      </c>
      <c r="B1886" t="s">
        <v>17</v>
      </c>
      <c r="C1886" t="s">
        <v>6</v>
      </c>
      <c r="D1886">
        <v>13</v>
      </c>
      <c r="E1886" s="2">
        <v>1.8287037037037036E-2</v>
      </c>
      <c r="F1886">
        <v>26.333333333333332</v>
      </c>
    </row>
    <row r="1887" spans="1:6" x14ac:dyDescent="0.25">
      <c r="A1887" s="1">
        <v>39022</v>
      </c>
      <c r="B1887" t="s">
        <v>17</v>
      </c>
      <c r="C1887" t="s">
        <v>7</v>
      </c>
      <c r="D1887">
        <v>13</v>
      </c>
      <c r="E1887" s="2">
        <v>1.2650462962962962E-2</v>
      </c>
      <c r="F1887">
        <v>18.216666666666665</v>
      </c>
    </row>
    <row r="1888" spans="1:6" x14ac:dyDescent="0.25">
      <c r="A1888" s="1">
        <v>39022</v>
      </c>
      <c r="B1888" t="s">
        <v>17</v>
      </c>
      <c r="C1888" t="s">
        <v>8</v>
      </c>
      <c r="D1888">
        <v>6</v>
      </c>
      <c r="E1888" s="2">
        <v>6.5046296296296293E-3</v>
      </c>
      <c r="F1888">
        <v>9.3666666666666671</v>
      </c>
    </row>
    <row r="1889" spans="1:6" x14ac:dyDescent="0.25">
      <c r="A1889" s="1">
        <v>39022</v>
      </c>
      <c r="B1889" t="s">
        <v>17</v>
      </c>
      <c r="C1889" t="s">
        <v>9</v>
      </c>
      <c r="D1889">
        <v>2</v>
      </c>
      <c r="E1889" s="2">
        <v>2.0486111111111113E-3</v>
      </c>
      <c r="F1889">
        <v>2.95</v>
      </c>
    </row>
    <row r="1890" spans="1:6" x14ac:dyDescent="0.25">
      <c r="A1890" s="1">
        <v>39022</v>
      </c>
      <c r="B1890" t="s">
        <v>17</v>
      </c>
      <c r="C1890" t="s">
        <v>10</v>
      </c>
      <c r="D1890">
        <v>6</v>
      </c>
      <c r="E1890" s="2">
        <v>2.7893518518518519E-3</v>
      </c>
      <c r="F1890">
        <v>4.0166666666666666</v>
      </c>
    </row>
    <row r="1891" spans="1:6" x14ac:dyDescent="0.25">
      <c r="A1891" s="1">
        <v>39022</v>
      </c>
      <c r="B1891" t="s">
        <v>17</v>
      </c>
      <c r="C1891" t="s">
        <v>11</v>
      </c>
      <c r="D1891">
        <v>4</v>
      </c>
      <c r="E1891" s="2">
        <v>3.2060185185185186E-3</v>
      </c>
      <c r="F1891">
        <v>4.6166666666666671</v>
      </c>
    </row>
    <row r="1892" spans="1:6" x14ac:dyDescent="0.25">
      <c r="A1892" s="1">
        <v>39022</v>
      </c>
      <c r="B1892" t="s">
        <v>18</v>
      </c>
      <c r="C1892" t="s">
        <v>6</v>
      </c>
      <c r="D1892">
        <v>61</v>
      </c>
      <c r="E1892" s="2">
        <v>6.0104166666666667E-2</v>
      </c>
      <c r="F1892">
        <v>86.55</v>
      </c>
    </row>
    <row r="1893" spans="1:6" x14ac:dyDescent="0.25">
      <c r="A1893" s="1">
        <v>39022</v>
      </c>
      <c r="B1893" t="s">
        <v>18</v>
      </c>
      <c r="C1893" t="s">
        <v>7</v>
      </c>
      <c r="D1893">
        <v>84</v>
      </c>
      <c r="E1893" s="2">
        <v>7.7465277777777772E-2</v>
      </c>
      <c r="F1893">
        <v>111.55</v>
      </c>
    </row>
    <row r="1894" spans="1:6" x14ac:dyDescent="0.25">
      <c r="A1894" s="1">
        <v>39022</v>
      </c>
      <c r="B1894" t="s">
        <v>18</v>
      </c>
      <c r="C1894" t="s">
        <v>8</v>
      </c>
      <c r="D1894">
        <v>54</v>
      </c>
      <c r="E1894" s="2">
        <v>5.9398148148148151E-2</v>
      </c>
      <c r="F1894">
        <v>85.533333333333331</v>
      </c>
    </row>
    <row r="1895" spans="1:6" x14ac:dyDescent="0.25">
      <c r="A1895" s="1">
        <v>39022</v>
      </c>
      <c r="B1895" t="s">
        <v>18</v>
      </c>
      <c r="C1895" t="s">
        <v>9</v>
      </c>
      <c r="D1895">
        <v>32</v>
      </c>
      <c r="E1895" s="2">
        <v>3.0856481481481481E-2</v>
      </c>
      <c r="F1895">
        <v>44.43333333333333</v>
      </c>
    </row>
    <row r="1896" spans="1:6" x14ac:dyDescent="0.25">
      <c r="A1896" s="1">
        <v>39022</v>
      </c>
      <c r="B1896" t="s">
        <v>18</v>
      </c>
      <c r="C1896" t="s">
        <v>10</v>
      </c>
      <c r="D1896">
        <v>145</v>
      </c>
      <c r="E1896" s="2">
        <v>0.14444444444444443</v>
      </c>
      <c r="F1896">
        <v>208</v>
      </c>
    </row>
    <row r="1897" spans="1:6" x14ac:dyDescent="0.25">
      <c r="A1897" s="1">
        <v>39022</v>
      </c>
      <c r="B1897" t="s">
        <v>18</v>
      </c>
      <c r="C1897" t="s">
        <v>11</v>
      </c>
      <c r="D1897">
        <v>19</v>
      </c>
      <c r="E1897" s="2">
        <v>1.8425925925925925E-2</v>
      </c>
      <c r="F1897">
        <v>26.533333333333335</v>
      </c>
    </row>
    <row r="1898" spans="1:6" x14ac:dyDescent="0.25">
      <c r="A1898" s="1">
        <v>39022</v>
      </c>
      <c r="B1898" t="s">
        <v>19</v>
      </c>
      <c r="C1898" t="s">
        <v>6</v>
      </c>
      <c r="D1898">
        <v>48</v>
      </c>
      <c r="E1898" s="2">
        <v>5.4976851851851853E-2</v>
      </c>
      <c r="F1898">
        <v>79.166666666666671</v>
      </c>
    </row>
    <row r="1899" spans="1:6" x14ac:dyDescent="0.25">
      <c r="A1899" s="1">
        <v>39022</v>
      </c>
      <c r="B1899" t="s">
        <v>19</v>
      </c>
      <c r="C1899" t="s">
        <v>7</v>
      </c>
      <c r="D1899">
        <v>54</v>
      </c>
      <c r="E1899" s="2">
        <v>5.7546296296296297E-2</v>
      </c>
      <c r="F1899">
        <v>82.86666666666666</v>
      </c>
    </row>
    <row r="1900" spans="1:6" x14ac:dyDescent="0.25">
      <c r="A1900" s="1">
        <v>39022</v>
      </c>
      <c r="B1900" t="s">
        <v>19</v>
      </c>
      <c r="C1900" t="s">
        <v>8</v>
      </c>
      <c r="D1900">
        <v>45</v>
      </c>
      <c r="E1900" s="2">
        <v>5.136574074074074E-2</v>
      </c>
      <c r="F1900">
        <v>73.966666666666669</v>
      </c>
    </row>
    <row r="1901" spans="1:6" x14ac:dyDescent="0.25">
      <c r="A1901" s="1">
        <v>39022</v>
      </c>
      <c r="B1901" t="s">
        <v>19</v>
      </c>
      <c r="C1901" t="s">
        <v>9</v>
      </c>
      <c r="D1901">
        <v>29</v>
      </c>
      <c r="E1901" s="2">
        <v>2.3101851851851853E-2</v>
      </c>
      <c r="F1901">
        <v>33.266666666666666</v>
      </c>
    </row>
    <row r="1902" spans="1:6" x14ac:dyDescent="0.25">
      <c r="A1902" s="1">
        <v>39022</v>
      </c>
      <c r="B1902" t="s">
        <v>19</v>
      </c>
      <c r="C1902" t="s">
        <v>10</v>
      </c>
      <c r="D1902">
        <v>20</v>
      </c>
      <c r="E1902" s="2">
        <v>1.6851851851851851E-2</v>
      </c>
      <c r="F1902">
        <v>24.266666666666666</v>
      </c>
    </row>
    <row r="1903" spans="1:6" x14ac:dyDescent="0.25">
      <c r="A1903" s="1">
        <v>39022</v>
      </c>
      <c r="B1903" t="s">
        <v>19</v>
      </c>
      <c r="C1903" t="s">
        <v>11</v>
      </c>
      <c r="D1903">
        <v>24</v>
      </c>
      <c r="E1903" s="2">
        <v>2.2349537037037036E-2</v>
      </c>
      <c r="F1903">
        <v>32.18333333333333</v>
      </c>
    </row>
    <row r="1904" spans="1:6" x14ac:dyDescent="0.25">
      <c r="A1904" s="1">
        <v>39022</v>
      </c>
      <c r="B1904" t="s">
        <v>20</v>
      </c>
      <c r="C1904" t="s">
        <v>6</v>
      </c>
      <c r="D1904">
        <v>53</v>
      </c>
      <c r="E1904" s="2">
        <v>7.7696759259259257E-2</v>
      </c>
      <c r="F1904">
        <v>111.88333333333334</v>
      </c>
    </row>
    <row r="1905" spans="1:6" x14ac:dyDescent="0.25">
      <c r="A1905" s="1">
        <v>39022</v>
      </c>
      <c r="B1905" t="s">
        <v>20</v>
      </c>
      <c r="C1905" t="s">
        <v>7</v>
      </c>
      <c r="D1905">
        <v>53</v>
      </c>
      <c r="E1905" s="2">
        <v>6.8877314814814808E-2</v>
      </c>
      <c r="F1905">
        <v>99.183333333333337</v>
      </c>
    </row>
    <row r="1906" spans="1:6" x14ac:dyDescent="0.25">
      <c r="A1906" s="1">
        <v>39022</v>
      </c>
      <c r="B1906" t="s">
        <v>20</v>
      </c>
      <c r="C1906" t="s">
        <v>8</v>
      </c>
      <c r="D1906">
        <v>35</v>
      </c>
      <c r="E1906" s="2">
        <v>3.9548611111111111E-2</v>
      </c>
      <c r="F1906">
        <v>56.95</v>
      </c>
    </row>
    <row r="1907" spans="1:6" x14ac:dyDescent="0.25">
      <c r="A1907" s="1">
        <v>39022</v>
      </c>
      <c r="B1907" t="s">
        <v>20</v>
      </c>
      <c r="C1907" t="s">
        <v>9</v>
      </c>
      <c r="D1907">
        <v>27</v>
      </c>
      <c r="E1907" s="2">
        <v>2.2268518518518517E-2</v>
      </c>
      <c r="F1907">
        <v>32.06666666666667</v>
      </c>
    </row>
    <row r="1908" spans="1:6" x14ac:dyDescent="0.25">
      <c r="A1908" s="1">
        <v>39022</v>
      </c>
      <c r="B1908" t="s">
        <v>20</v>
      </c>
      <c r="C1908" t="s">
        <v>10</v>
      </c>
      <c r="D1908">
        <v>13</v>
      </c>
      <c r="E1908" s="2">
        <v>1.8229166666666668E-2</v>
      </c>
      <c r="F1908">
        <v>26.25</v>
      </c>
    </row>
    <row r="1909" spans="1:6" x14ac:dyDescent="0.25">
      <c r="A1909" s="1">
        <v>39022</v>
      </c>
      <c r="B1909" t="s">
        <v>20</v>
      </c>
      <c r="C1909" t="s">
        <v>11</v>
      </c>
      <c r="D1909">
        <v>20</v>
      </c>
      <c r="E1909" s="2">
        <v>2.0011574074074074E-2</v>
      </c>
      <c r="F1909">
        <v>28.816666666666666</v>
      </c>
    </row>
    <row r="1910" spans="1:6" x14ac:dyDescent="0.25">
      <c r="A1910" s="1">
        <v>39022</v>
      </c>
      <c r="B1910" t="s">
        <v>21</v>
      </c>
      <c r="C1910" t="s">
        <v>6</v>
      </c>
      <c r="D1910">
        <v>23</v>
      </c>
      <c r="E1910" s="2">
        <v>2.5509259259259259E-2</v>
      </c>
      <c r="F1910">
        <v>36.733333333333334</v>
      </c>
    </row>
    <row r="1911" spans="1:6" x14ac:dyDescent="0.25">
      <c r="A1911" s="1">
        <v>39022</v>
      </c>
      <c r="B1911" t="s">
        <v>21</v>
      </c>
      <c r="C1911" t="s">
        <v>7</v>
      </c>
      <c r="D1911">
        <v>22</v>
      </c>
      <c r="E1911" s="2">
        <v>1.8784722222222223E-2</v>
      </c>
      <c r="F1911">
        <v>27.05</v>
      </c>
    </row>
    <row r="1912" spans="1:6" x14ac:dyDescent="0.25">
      <c r="A1912" s="1">
        <v>39022</v>
      </c>
      <c r="B1912" t="s">
        <v>21</v>
      </c>
      <c r="C1912" t="s">
        <v>8</v>
      </c>
      <c r="D1912">
        <v>17</v>
      </c>
      <c r="E1912" s="2">
        <v>1.9930555555555556E-2</v>
      </c>
      <c r="F1912">
        <v>28.7</v>
      </c>
    </row>
    <row r="1913" spans="1:6" x14ac:dyDescent="0.25">
      <c r="A1913" s="1">
        <v>39022</v>
      </c>
      <c r="B1913" t="s">
        <v>21</v>
      </c>
      <c r="C1913" t="s">
        <v>9</v>
      </c>
      <c r="D1913">
        <v>5</v>
      </c>
      <c r="E1913" s="2">
        <v>4.1203703703703706E-3</v>
      </c>
      <c r="F1913">
        <v>5.9333333333333336</v>
      </c>
    </row>
    <row r="1914" spans="1:6" x14ac:dyDescent="0.25">
      <c r="A1914" s="1">
        <v>39022</v>
      </c>
      <c r="B1914" t="s">
        <v>21</v>
      </c>
      <c r="C1914" t="s">
        <v>10</v>
      </c>
      <c r="D1914">
        <v>4</v>
      </c>
      <c r="E1914" s="2">
        <v>3.3449074074074076E-3</v>
      </c>
      <c r="F1914">
        <v>4.8166666666666664</v>
      </c>
    </row>
    <row r="1915" spans="1:6" x14ac:dyDescent="0.25">
      <c r="A1915" s="1">
        <v>39022</v>
      </c>
      <c r="B1915" t="s">
        <v>21</v>
      </c>
      <c r="C1915" t="s">
        <v>11</v>
      </c>
      <c r="D1915">
        <v>5</v>
      </c>
      <c r="E1915" s="2">
        <v>5.5787037037037038E-3</v>
      </c>
      <c r="F1915">
        <v>8.0333333333333332</v>
      </c>
    </row>
    <row r="1916" spans="1:6" x14ac:dyDescent="0.25">
      <c r="A1916" s="1">
        <v>39022</v>
      </c>
      <c r="B1916" t="s">
        <v>22</v>
      </c>
      <c r="C1916" t="s">
        <v>6</v>
      </c>
      <c r="D1916">
        <v>29</v>
      </c>
      <c r="E1916" s="2">
        <v>3.0393518518518518E-2</v>
      </c>
      <c r="F1916">
        <v>43.766666666666666</v>
      </c>
    </row>
    <row r="1917" spans="1:6" x14ac:dyDescent="0.25">
      <c r="A1917" s="1">
        <v>39022</v>
      </c>
      <c r="B1917" t="s">
        <v>22</v>
      </c>
      <c r="C1917" t="s">
        <v>7</v>
      </c>
      <c r="D1917">
        <v>12</v>
      </c>
      <c r="E1917" s="2">
        <v>1.2569444444444444E-2</v>
      </c>
      <c r="F1917">
        <v>18.100000000000001</v>
      </c>
    </row>
    <row r="1918" spans="1:6" x14ac:dyDescent="0.25">
      <c r="A1918" s="1">
        <v>39022</v>
      </c>
      <c r="B1918" t="s">
        <v>22</v>
      </c>
      <c r="C1918" t="s">
        <v>8</v>
      </c>
      <c r="D1918">
        <v>3</v>
      </c>
      <c r="E1918" s="2">
        <v>3.472222222222222E-3</v>
      </c>
      <c r="F1918">
        <v>5</v>
      </c>
    </row>
    <row r="1919" spans="1:6" x14ac:dyDescent="0.25">
      <c r="A1919" s="1">
        <v>39022</v>
      </c>
      <c r="B1919" t="s">
        <v>22</v>
      </c>
      <c r="C1919" t="s">
        <v>9</v>
      </c>
      <c r="D1919">
        <v>4</v>
      </c>
      <c r="E1919" s="2">
        <v>3.5185185185185185E-3</v>
      </c>
      <c r="F1919">
        <v>5.0666666666666664</v>
      </c>
    </row>
    <row r="1920" spans="1:6" x14ac:dyDescent="0.25">
      <c r="A1920" s="1">
        <v>39022</v>
      </c>
      <c r="B1920" t="s">
        <v>22</v>
      </c>
      <c r="C1920" t="s">
        <v>10</v>
      </c>
      <c r="D1920">
        <v>7</v>
      </c>
      <c r="E1920" s="2">
        <v>4.4560185185185189E-3</v>
      </c>
      <c r="F1920">
        <v>6.416666666666667</v>
      </c>
    </row>
    <row r="1921" spans="1:6" x14ac:dyDescent="0.25">
      <c r="A1921" s="1">
        <v>39022</v>
      </c>
      <c r="B1921" t="s">
        <v>22</v>
      </c>
      <c r="C1921" t="s">
        <v>11</v>
      </c>
      <c r="D1921">
        <v>4</v>
      </c>
      <c r="E1921" s="2">
        <v>4.0046296296296297E-3</v>
      </c>
      <c r="F1921">
        <v>5.7666666666666666</v>
      </c>
    </row>
    <row r="1922" spans="1:6" x14ac:dyDescent="0.25">
      <c r="A1922" s="1">
        <v>39022</v>
      </c>
      <c r="B1922" t="s">
        <v>23</v>
      </c>
      <c r="C1922" t="s">
        <v>6</v>
      </c>
      <c r="D1922">
        <v>142</v>
      </c>
      <c r="E1922" s="2">
        <v>0.14041666666666666</v>
      </c>
      <c r="F1922">
        <v>202.2</v>
      </c>
    </row>
    <row r="1923" spans="1:6" x14ac:dyDescent="0.25">
      <c r="A1923" s="1">
        <v>39022</v>
      </c>
      <c r="B1923" t="s">
        <v>23</v>
      </c>
      <c r="C1923" t="s">
        <v>7</v>
      </c>
      <c r="D1923">
        <v>134</v>
      </c>
      <c r="E1923" s="2">
        <v>0.14770833333333333</v>
      </c>
      <c r="F1923">
        <v>212.7</v>
      </c>
    </row>
    <row r="1924" spans="1:6" x14ac:dyDescent="0.25">
      <c r="A1924" s="1">
        <v>39022</v>
      </c>
      <c r="B1924" t="s">
        <v>23</v>
      </c>
      <c r="C1924" t="s">
        <v>8</v>
      </c>
      <c r="D1924">
        <v>95</v>
      </c>
      <c r="E1924" s="2">
        <v>0.11016203703703703</v>
      </c>
      <c r="F1924">
        <v>158.63333333333333</v>
      </c>
    </row>
    <row r="1925" spans="1:6" x14ac:dyDescent="0.25">
      <c r="A1925" s="1">
        <v>39022</v>
      </c>
      <c r="B1925" t="s">
        <v>23</v>
      </c>
      <c r="C1925" t="s">
        <v>9</v>
      </c>
      <c r="D1925">
        <v>30</v>
      </c>
      <c r="E1925" s="2">
        <v>2.3784722222222221E-2</v>
      </c>
      <c r="F1925">
        <v>34.25</v>
      </c>
    </row>
    <row r="1926" spans="1:6" x14ac:dyDescent="0.25">
      <c r="A1926" s="1">
        <v>39022</v>
      </c>
      <c r="B1926" t="s">
        <v>23</v>
      </c>
      <c r="C1926" t="s">
        <v>10</v>
      </c>
      <c r="D1926">
        <v>54</v>
      </c>
      <c r="E1926" s="2">
        <v>5.1192129629629629E-2</v>
      </c>
      <c r="F1926">
        <v>73.716666666666669</v>
      </c>
    </row>
    <row r="1927" spans="1:6" x14ac:dyDescent="0.25">
      <c r="A1927" s="1">
        <v>39022</v>
      </c>
      <c r="B1927" t="s">
        <v>23</v>
      </c>
      <c r="C1927" t="s">
        <v>11</v>
      </c>
      <c r="D1927">
        <v>53</v>
      </c>
      <c r="E1927" s="2">
        <v>4.3576388888888887E-2</v>
      </c>
      <c r="F1927">
        <v>62.75</v>
      </c>
    </row>
    <row r="1928" spans="1:6" x14ac:dyDescent="0.25">
      <c r="A1928" s="1">
        <v>39022</v>
      </c>
      <c r="B1928" t="s">
        <v>24</v>
      </c>
      <c r="C1928" t="s">
        <v>6</v>
      </c>
      <c r="D1928">
        <v>59</v>
      </c>
      <c r="E1928" s="2">
        <v>5.935185185185185E-2</v>
      </c>
      <c r="F1928">
        <v>85.466666666666669</v>
      </c>
    </row>
    <row r="1929" spans="1:6" x14ac:dyDescent="0.25">
      <c r="A1929" s="1">
        <v>39022</v>
      </c>
      <c r="B1929" t="s">
        <v>24</v>
      </c>
      <c r="C1929" t="s">
        <v>7</v>
      </c>
      <c r="D1929">
        <v>60</v>
      </c>
      <c r="E1929" s="2">
        <v>4.7523148148148148E-2</v>
      </c>
      <c r="F1929">
        <v>68.433333333333337</v>
      </c>
    </row>
    <row r="1930" spans="1:6" x14ac:dyDescent="0.25">
      <c r="A1930" s="1">
        <v>39022</v>
      </c>
      <c r="B1930" t="s">
        <v>24</v>
      </c>
      <c r="C1930" t="s">
        <v>8</v>
      </c>
      <c r="D1930">
        <v>33</v>
      </c>
      <c r="E1930" s="2">
        <v>3.037037037037037E-2</v>
      </c>
      <c r="F1930">
        <v>43.733333333333334</v>
      </c>
    </row>
    <row r="1931" spans="1:6" x14ac:dyDescent="0.25">
      <c r="A1931" s="1">
        <v>39022</v>
      </c>
      <c r="B1931" t="s">
        <v>24</v>
      </c>
      <c r="C1931" t="s">
        <v>9</v>
      </c>
      <c r="D1931">
        <v>20</v>
      </c>
      <c r="E1931" s="2">
        <v>1.1458333333333333E-2</v>
      </c>
      <c r="F1931">
        <v>16.5</v>
      </c>
    </row>
    <row r="1932" spans="1:6" x14ac:dyDescent="0.25">
      <c r="A1932" s="1">
        <v>39022</v>
      </c>
      <c r="B1932" t="s">
        <v>24</v>
      </c>
      <c r="C1932" t="s">
        <v>10</v>
      </c>
      <c r="D1932">
        <v>2</v>
      </c>
      <c r="E1932" s="2">
        <v>1.6435185185185185E-3</v>
      </c>
      <c r="F1932">
        <v>2.3666666666666667</v>
      </c>
    </row>
    <row r="1933" spans="1:6" x14ac:dyDescent="0.25">
      <c r="A1933" s="1">
        <v>39022</v>
      </c>
      <c r="B1933" t="s">
        <v>24</v>
      </c>
      <c r="C1933" t="s">
        <v>11</v>
      </c>
      <c r="D1933">
        <v>32</v>
      </c>
      <c r="E1933" s="2">
        <v>2.8854166666666667E-2</v>
      </c>
      <c r="F1933">
        <v>41.55</v>
      </c>
    </row>
    <row r="1934" spans="1:6" x14ac:dyDescent="0.25">
      <c r="A1934" s="1">
        <v>39052</v>
      </c>
      <c r="B1934" t="s">
        <v>5</v>
      </c>
      <c r="C1934" t="s">
        <v>6</v>
      </c>
      <c r="D1934">
        <v>22</v>
      </c>
      <c r="E1934" s="2">
        <v>2.2962962962962963E-2</v>
      </c>
      <c r="F1934">
        <v>33.06666666666667</v>
      </c>
    </row>
    <row r="1935" spans="1:6" x14ac:dyDescent="0.25">
      <c r="A1935" s="1">
        <v>39052</v>
      </c>
      <c r="B1935" t="s">
        <v>5</v>
      </c>
      <c r="C1935" t="s">
        <v>7</v>
      </c>
      <c r="D1935">
        <v>26</v>
      </c>
      <c r="E1935" s="2">
        <v>2.554398148148148E-2</v>
      </c>
      <c r="F1935">
        <v>36.783333333333331</v>
      </c>
    </row>
    <row r="1936" spans="1:6" x14ac:dyDescent="0.25">
      <c r="A1936" s="1">
        <v>39052</v>
      </c>
      <c r="B1936" t="s">
        <v>5</v>
      </c>
      <c r="C1936" t="s">
        <v>8</v>
      </c>
      <c r="D1936">
        <v>10</v>
      </c>
      <c r="E1936" s="2">
        <v>9.0740740740740747E-3</v>
      </c>
      <c r="F1936">
        <v>13.066666666666666</v>
      </c>
    </row>
    <row r="1937" spans="1:6" x14ac:dyDescent="0.25">
      <c r="A1937" s="1">
        <v>39052</v>
      </c>
      <c r="B1937" t="s">
        <v>5</v>
      </c>
      <c r="C1937" t="s">
        <v>9</v>
      </c>
      <c r="D1937">
        <v>3</v>
      </c>
      <c r="E1937" s="2">
        <v>2.0486111111111113E-3</v>
      </c>
      <c r="F1937">
        <v>2.95</v>
      </c>
    </row>
    <row r="1938" spans="1:6" x14ac:dyDescent="0.25">
      <c r="A1938" s="1">
        <v>39052</v>
      </c>
      <c r="B1938" t="s">
        <v>5</v>
      </c>
      <c r="C1938" t="s">
        <v>10</v>
      </c>
      <c r="D1938">
        <v>13</v>
      </c>
      <c r="E1938" s="2">
        <v>8.9930555555555562E-3</v>
      </c>
      <c r="F1938">
        <v>12.95</v>
      </c>
    </row>
    <row r="1939" spans="1:6" x14ac:dyDescent="0.25">
      <c r="A1939" s="1">
        <v>39052</v>
      </c>
      <c r="B1939" t="s">
        <v>5</v>
      </c>
      <c r="C1939" t="s">
        <v>11</v>
      </c>
      <c r="D1939">
        <v>8</v>
      </c>
      <c r="E1939" s="2">
        <v>6.4120370370370373E-3</v>
      </c>
      <c r="F1939">
        <v>9.2333333333333325</v>
      </c>
    </row>
    <row r="1940" spans="1:6" x14ac:dyDescent="0.25">
      <c r="A1940" s="1">
        <v>39052</v>
      </c>
      <c r="B1940" t="s">
        <v>12</v>
      </c>
      <c r="C1940" t="s">
        <v>6</v>
      </c>
      <c r="D1940">
        <v>53</v>
      </c>
      <c r="E1940" s="2">
        <v>6.413194444444445E-2</v>
      </c>
      <c r="F1940">
        <v>92.35</v>
      </c>
    </row>
    <row r="1941" spans="1:6" x14ac:dyDescent="0.25">
      <c r="A1941" s="1">
        <v>39052</v>
      </c>
      <c r="B1941" t="s">
        <v>12</v>
      </c>
      <c r="C1941" t="s">
        <v>7</v>
      </c>
      <c r="D1941">
        <v>70</v>
      </c>
      <c r="E1941" s="2">
        <v>9.0520833333333328E-2</v>
      </c>
      <c r="F1941">
        <v>130.35</v>
      </c>
    </row>
    <row r="1942" spans="1:6" x14ac:dyDescent="0.25">
      <c r="A1942" s="1">
        <v>39052</v>
      </c>
      <c r="B1942" t="s">
        <v>12</v>
      </c>
      <c r="C1942" t="s">
        <v>8</v>
      </c>
      <c r="D1942">
        <v>34</v>
      </c>
      <c r="E1942" s="2">
        <v>4.476851851851852E-2</v>
      </c>
      <c r="F1942">
        <v>64.466666666666669</v>
      </c>
    </row>
    <row r="1943" spans="1:6" x14ac:dyDescent="0.25">
      <c r="A1943" s="1">
        <v>39052</v>
      </c>
      <c r="B1943" t="s">
        <v>12</v>
      </c>
      <c r="C1943" t="s">
        <v>9</v>
      </c>
      <c r="D1943">
        <v>16</v>
      </c>
      <c r="E1943" s="2">
        <v>1.2824074074074075E-2</v>
      </c>
      <c r="F1943">
        <v>18.466666666666665</v>
      </c>
    </row>
    <row r="1944" spans="1:6" x14ac:dyDescent="0.25">
      <c r="A1944" s="1">
        <v>39052</v>
      </c>
      <c r="B1944" t="s">
        <v>12</v>
      </c>
      <c r="C1944" t="s">
        <v>10</v>
      </c>
      <c r="D1944">
        <v>5</v>
      </c>
      <c r="E1944" s="2">
        <v>5.4166666666666669E-3</v>
      </c>
      <c r="F1944">
        <v>7.8</v>
      </c>
    </row>
    <row r="1945" spans="1:6" x14ac:dyDescent="0.25">
      <c r="A1945" s="1">
        <v>39052</v>
      </c>
      <c r="B1945" t="s">
        <v>12</v>
      </c>
      <c r="C1945" t="s">
        <v>11</v>
      </c>
      <c r="D1945">
        <v>16</v>
      </c>
      <c r="E1945" s="2">
        <v>1.6828703703703703E-2</v>
      </c>
      <c r="F1945">
        <v>24.233333333333334</v>
      </c>
    </row>
    <row r="1946" spans="1:6" x14ac:dyDescent="0.25">
      <c r="A1946" s="1">
        <v>39052</v>
      </c>
      <c r="B1946" t="s">
        <v>13</v>
      </c>
      <c r="C1946" t="s">
        <v>6</v>
      </c>
      <c r="D1946">
        <v>58</v>
      </c>
      <c r="E1946" s="2">
        <v>6.2870370370370368E-2</v>
      </c>
      <c r="F1946">
        <v>90.533333333333331</v>
      </c>
    </row>
    <row r="1947" spans="1:6" x14ac:dyDescent="0.25">
      <c r="A1947" s="1">
        <v>39052</v>
      </c>
      <c r="B1947" t="s">
        <v>13</v>
      </c>
      <c r="C1947" t="s">
        <v>7</v>
      </c>
      <c r="D1947">
        <v>45</v>
      </c>
      <c r="E1947" s="2">
        <v>6.0729166666666667E-2</v>
      </c>
      <c r="F1947">
        <v>87.45</v>
      </c>
    </row>
    <row r="1948" spans="1:6" x14ac:dyDescent="0.25">
      <c r="A1948" s="1">
        <v>39052</v>
      </c>
      <c r="B1948" t="s">
        <v>13</v>
      </c>
      <c r="C1948" t="s">
        <v>8</v>
      </c>
      <c r="D1948">
        <v>21</v>
      </c>
      <c r="E1948" s="2">
        <v>2.6944444444444444E-2</v>
      </c>
      <c r="F1948">
        <v>38.799999999999997</v>
      </c>
    </row>
    <row r="1949" spans="1:6" x14ac:dyDescent="0.25">
      <c r="A1949" s="1">
        <v>39052</v>
      </c>
      <c r="B1949" t="s">
        <v>13</v>
      </c>
      <c r="C1949" t="s">
        <v>9</v>
      </c>
      <c r="D1949">
        <v>12</v>
      </c>
      <c r="E1949" s="2">
        <v>1.2233796296296296E-2</v>
      </c>
      <c r="F1949">
        <v>17.616666666666667</v>
      </c>
    </row>
    <row r="1950" spans="1:6" x14ac:dyDescent="0.25">
      <c r="A1950" s="1">
        <v>39052</v>
      </c>
      <c r="B1950" t="s">
        <v>13</v>
      </c>
      <c r="C1950" t="s">
        <v>10</v>
      </c>
      <c r="D1950">
        <v>14</v>
      </c>
      <c r="E1950" s="2">
        <v>1.5439814814814814E-2</v>
      </c>
      <c r="F1950">
        <v>22.233333333333334</v>
      </c>
    </row>
    <row r="1951" spans="1:6" x14ac:dyDescent="0.25">
      <c r="A1951" s="1">
        <v>39052</v>
      </c>
      <c r="B1951" t="s">
        <v>13</v>
      </c>
      <c r="C1951" t="s">
        <v>11</v>
      </c>
      <c r="D1951">
        <v>19</v>
      </c>
      <c r="E1951" s="2">
        <v>2.1782407407407407E-2</v>
      </c>
      <c r="F1951">
        <v>31.366666666666667</v>
      </c>
    </row>
    <row r="1952" spans="1:6" x14ac:dyDescent="0.25">
      <c r="A1952" s="1">
        <v>39052</v>
      </c>
      <c r="B1952" t="s">
        <v>14</v>
      </c>
      <c r="C1952" t="s">
        <v>6</v>
      </c>
      <c r="D1952">
        <v>16</v>
      </c>
      <c r="E1952" s="2">
        <v>1.9976851851851853E-2</v>
      </c>
      <c r="F1952">
        <v>28.766666666666666</v>
      </c>
    </row>
    <row r="1953" spans="1:6" x14ac:dyDescent="0.25">
      <c r="A1953" s="1">
        <v>39052</v>
      </c>
      <c r="B1953" t="s">
        <v>14</v>
      </c>
      <c r="C1953" t="s">
        <v>7</v>
      </c>
      <c r="D1953">
        <v>16</v>
      </c>
      <c r="E1953" s="2">
        <v>1.9502314814814816E-2</v>
      </c>
      <c r="F1953">
        <v>28.083333333333332</v>
      </c>
    </row>
    <row r="1954" spans="1:6" x14ac:dyDescent="0.25">
      <c r="A1954" s="1">
        <v>39052</v>
      </c>
      <c r="B1954" t="s">
        <v>14</v>
      </c>
      <c r="C1954" t="s">
        <v>8</v>
      </c>
      <c r="D1954">
        <v>9</v>
      </c>
      <c r="E1954" s="2">
        <v>1.4189814814814815E-2</v>
      </c>
      <c r="F1954">
        <v>20.433333333333334</v>
      </c>
    </row>
    <row r="1955" spans="1:6" x14ac:dyDescent="0.25">
      <c r="A1955" s="1">
        <v>39052</v>
      </c>
      <c r="B1955" t="s">
        <v>14</v>
      </c>
      <c r="C1955" t="s">
        <v>9</v>
      </c>
      <c r="D1955">
        <v>1</v>
      </c>
      <c r="E1955" s="2">
        <v>9.837962962962962E-4</v>
      </c>
      <c r="F1955">
        <v>1.4166666666666667</v>
      </c>
    </row>
    <row r="1956" spans="1:6" x14ac:dyDescent="0.25">
      <c r="A1956" s="1">
        <v>39052</v>
      </c>
      <c r="B1956" t="s">
        <v>14</v>
      </c>
      <c r="C1956" t="s">
        <v>10</v>
      </c>
      <c r="D1956">
        <v>3</v>
      </c>
      <c r="E1956" s="2">
        <v>2.1296296296296298E-3</v>
      </c>
      <c r="F1956">
        <v>3.0666666666666669</v>
      </c>
    </row>
    <row r="1957" spans="1:6" x14ac:dyDescent="0.25">
      <c r="A1957" s="1">
        <v>39052</v>
      </c>
      <c r="B1957" t="s">
        <v>14</v>
      </c>
      <c r="C1957" t="s">
        <v>11</v>
      </c>
      <c r="D1957">
        <v>6</v>
      </c>
      <c r="E1957" s="2">
        <v>6.030092592592593E-3</v>
      </c>
      <c r="F1957">
        <v>8.6833333333333336</v>
      </c>
    </row>
    <row r="1958" spans="1:6" x14ac:dyDescent="0.25">
      <c r="A1958" s="1">
        <v>39052</v>
      </c>
      <c r="B1958" t="s">
        <v>15</v>
      </c>
      <c r="C1958" t="s">
        <v>6</v>
      </c>
      <c r="D1958">
        <v>31</v>
      </c>
      <c r="E1958" s="2">
        <v>2.7731481481481482E-2</v>
      </c>
      <c r="F1958">
        <v>39.93333333333333</v>
      </c>
    </row>
    <row r="1959" spans="1:6" x14ac:dyDescent="0.25">
      <c r="A1959" s="1">
        <v>39052</v>
      </c>
      <c r="B1959" t="s">
        <v>15</v>
      </c>
      <c r="C1959" t="s">
        <v>7</v>
      </c>
      <c r="D1959">
        <v>27</v>
      </c>
      <c r="E1959" s="2">
        <v>2.4212962962962964E-2</v>
      </c>
      <c r="F1959">
        <v>34.866666666666667</v>
      </c>
    </row>
    <row r="1960" spans="1:6" x14ac:dyDescent="0.25">
      <c r="A1960" s="1">
        <v>39052</v>
      </c>
      <c r="B1960" t="s">
        <v>15</v>
      </c>
      <c r="C1960" t="s">
        <v>8</v>
      </c>
      <c r="D1960">
        <v>14</v>
      </c>
      <c r="E1960" s="2">
        <v>1.6851851851851851E-2</v>
      </c>
      <c r="F1960">
        <v>24.266666666666666</v>
      </c>
    </row>
    <row r="1961" spans="1:6" x14ac:dyDescent="0.25">
      <c r="A1961" s="1">
        <v>39052</v>
      </c>
      <c r="B1961" t="s">
        <v>15</v>
      </c>
      <c r="C1961" t="s">
        <v>9</v>
      </c>
      <c r="D1961">
        <v>3</v>
      </c>
      <c r="E1961" s="2">
        <v>1.724537037037037E-3</v>
      </c>
      <c r="F1961">
        <v>2.4833333333333334</v>
      </c>
    </row>
    <row r="1962" spans="1:6" x14ac:dyDescent="0.25">
      <c r="A1962" s="1">
        <v>39052</v>
      </c>
      <c r="B1962" t="s">
        <v>15</v>
      </c>
      <c r="C1962" t="s">
        <v>10</v>
      </c>
      <c r="D1962">
        <v>6</v>
      </c>
      <c r="E1962" s="2">
        <v>5.3356481481481484E-3</v>
      </c>
      <c r="F1962">
        <v>7.6833333333333336</v>
      </c>
    </row>
    <row r="1963" spans="1:6" x14ac:dyDescent="0.25">
      <c r="A1963" s="1">
        <v>39052</v>
      </c>
      <c r="B1963" t="s">
        <v>15</v>
      </c>
      <c r="C1963" t="s">
        <v>11</v>
      </c>
      <c r="D1963">
        <v>4</v>
      </c>
      <c r="E1963" s="2">
        <v>2.5925925925925925E-3</v>
      </c>
      <c r="F1963">
        <v>3.7333333333333334</v>
      </c>
    </row>
    <row r="1964" spans="1:6" x14ac:dyDescent="0.25">
      <c r="A1964" s="1">
        <v>39052</v>
      </c>
      <c r="B1964" t="s">
        <v>16</v>
      </c>
      <c r="C1964" t="s">
        <v>6</v>
      </c>
      <c r="D1964">
        <v>33</v>
      </c>
      <c r="E1964" s="2">
        <v>3.636574074074074E-2</v>
      </c>
      <c r="F1964">
        <v>52.366666666666667</v>
      </c>
    </row>
    <row r="1965" spans="1:6" x14ac:dyDescent="0.25">
      <c r="A1965" s="1">
        <v>39052</v>
      </c>
      <c r="B1965" t="s">
        <v>16</v>
      </c>
      <c r="C1965" t="s">
        <v>7</v>
      </c>
      <c r="D1965">
        <v>37</v>
      </c>
      <c r="E1965" s="2">
        <v>3.4988425925925923E-2</v>
      </c>
      <c r="F1965">
        <v>50.383333333333333</v>
      </c>
    </row>
    <row r="1966" spans="1:6" x14ac:dyDescent="0.25">
      <c r="A1966" s="1">
        <v>39052</v>
      </c>
      <c r="B1966" t="s">
        <v>16</v>
      </c>
      <c r="C1966" t="s">
        <v>8</v>
      </c>
      <c r="D1966">
        <v>28</v>
      </c>
      <c r="E1966" s="2">
        <v>2.9537037037037039E-2</v>
      </c>
      <c r="F1966">
        <v>42.533333333333331</v>
      </c>
    </row>
    <row r="1967" spans="1:6" x14ac:dyDescent="0.25">
      <c r="A1967" s="1">
        <v>39052</v>
      </c>
      <c r="B1967" t="s">
        <v>16</v>
      </c>
      <c r="C1967" t="s">
        <v>9</v>
      </c>
      <c r="D1967">
        <v>12</v>
      </c>
      <c r="E1967" s="2">
        <v>1.2094907407407407E-2</v>
      </c>
      <c r="F1967">
        <v>17.416666666666668</v>
      </c>
    </row>
    <row r="1968" spans="1:6" x14ac:dyDescent="0.25">
      <c r="A1968" s="1">
        <v>39052</v>
      </c>
      <c r="B1968" t="s">
        <v>16</v>
      </c>
      <c r="C1968" t="s">
        <v>10</v>
      </c>
      <c r="D1968">
        <v>9</v>
      </c>
      <c r="E1968" s="2">
        <v>7.2222222222222219E-3</v>
      </c>
      <c r="F1968">
        <v>10.4</v>
      </c>
    </row>
    <row r="1969" spans="1:6" x14ac:dyDescent="0.25">
      <c r="A1969" s="1">
        <v>39052</v>
      </c>
      <c r="B1969" t="s">
        <v>16</v>
      </c>
      <c r="C1969" t="s">
        <v>11</v>
      </c>
      <c r="D1969">
        <v>20</v>
      </c>
      <c r="E1969" s="2">
        <v>1.5694444444444445E-2</v>
      </c>
      <c r="F1969">
        <v>22.6</v>
      </c>
    </row>
    <row r="1970" spans="1:6" x14ac:dyDescent="0.25">
      <c r="A1970" s="1">
        <v>39052</v>
      </c>
      <c r="B1970" t="s">
        <v>17</v>
      </c>
      <c r="C1970" t="s">
        <v>6</v>
      </c>
      <c r="D1970">
        <v>11</v>
      </c>
      <c r="E1970" s="2">
        <v>1.3009259259259259E-2</v>
      </c>
      <c r="F1970">
        <v>18.733333333333334</v>
      </c>
    </row>
    <row r="1971" spans="1:6" x14ac:dyDescent="0.25">
      <c r="A1971" s="1">
        <v>39052</v>
      </c>
      <c r="B1971" t="s">
        <v>17</v>
      </c>
      <c r="C1971" t="s">
        <v>7</v>
      </c>
      <c r="D1971">
        <v>16</v>
      </c>
      <c r="E1971" s="2">
        <v>1.5196759259259259E-2</v>
      </c>
      <c r="F1971">
        <v>21.883333333333333</v>
      </c>
    </row>
    <row r="1972" spans="1:6" x14ac:dyDescent="0.25">
      <c r="A1972" s="1">
        <v>39052</v>
      </c>
      <c r="B1972" t="s">
        <v>17</v>
      </c>
      <c r="C1972" t="s">
        <v>8</v>
      </c>
      <c r="D1972">
        <v>8</v>
      </c>
      <c r="E1972" s="2">
        <v>1.0266203703703704E-2</v>
      </c>
      <c r="F1972">
        <v>14.783333333333333</v>
      </c>
    </row>
    <row r="1973" spans="1:6" x14ac:dyDescent="0.25">
      <c r="A1973" s="1">
        <v>39052</v>
      </c>
      <c r="B1973" t="s">
        <v>17</v>
      </c>
      <c r="C1973" t="s">
        <v>9</v>
      </c>
      <c r="D1973">
        <v>5</v>
      </c>
      <c r="E1973" s="2">
        <v>4.4791666666666669E-3</v>
      </c>
      <c r="F1973">
        <v>6.45</v>
      </c>
    </row>
    <row r="1974" spans="1:6" x14ac:dyDescent="0.25">
      <c r="A1974" s="1">
        <v>39052</v>
      </c>
      <c r="B1974" t="s">
        <v>17</v>
      </c>
      <c r="C1974" t="s">
        <v>10</v>
      </c>
      <c r="D1974">
        <v>11</v>
      </c>
      <c r="E1974" s="2">
        <v>9.9421296296296289E-3</v>
      </c>
      <c r="F1974">
        <v>14.316666666666666</v>
      </c>
    </row>
    <row r="1975" spans="1:6" x14ac:dyDescent="0.25">
      <c r="A1975" s="1">
        <v>39052</v>
      </c>
      <c r="B1975" t="s">
        <v>17</v>
      </c>
      <c r="C1975" t="s">
        <v>11</v>
      </c>
      <c r="D1975">
        <v>8</v>
      </c>
      <c r="E1975" s="2">
        <v>6.8055555555555551E-3</v>
      </c>
      <c r="F1975">
        <v>9.8000000000000007</v>
      </c>
    </row>
    <row r="1976" spans="1:6" x14ac:dyDescent="0.25">
      <c r="A1976" s="1">
        <v>39052</v>
      </c>
      <c r="B1976" t="s">
        <v>18</v>
      </c>
      <c r="C1976" t="s">
        <v>6</v>
      </c>
      <c r="D1976">
        <v>59</v>
      </c>
      <c r="E1976" s="2">
        <v>5.4490740740740742E-2</v>
      </c>
      <c r="F1976">
        <v>78.466666666666669</v>
      </c>
    </row>
    <row r="1977" spans="1:6" x14ac:dyDescent="0.25">
      <c r="A1977" s="1">
        <v>39052</v>
      </c>
      <c r="B1977" t="s">
        <v>18</v>
      </c>
      <c r="C1977" t="s">
        <v>7</v>
      </c>
      <c r="D1977">
        <v>61</v>
      </c>
      <c r="E1977" s="2">
        <v>4.5636574074074072E-2</v>
      </c>
      <c r="F1977">
        <v>65.716666666666669</v>
      </c>
    </row>
    <row r="1978" spans="1:6" x14ac:dyDescent="0.25">
      <c r="A1978" s="1">
        <v>39052</v>
      </c>
      <c r="B1978" t="s">
        <v>18</v>
      </c>
      <c r="C1978" t="s">
        <v>8</v>
      </c>
      <c r="D1978">
        <v>45</v>
      </c>
      <c r="E1978" s="2">
        <v>4.9004629629629627E-2</v>
      </c>
      <c r="F1978">
        <v>70.566666666666663</v>
      </c>
    </row>
    <row r="1979" spans="1:6" x14ac:dyDescent="0.25">
      <c r="A1979" s="1">
        <v>39052</v>
      </c>
      <c r="B1979" t="s">
        <v>18</v>
      </c>
      <c r="C1979" t="s">
        <v>9</v>
      </c>
      <c r="D1979">
        <v>27</v>
      </c>
      <c r="E1979" s="2">
        <v>2.6215277777777778E-2</v>
      </c>
      <c r="F1979">
        <v>37.75</v>
      </c>
    </row>
    <row r="1980" spans="1:6" x14ac:dyDescent="0.25">
      <c r="A1980" s="1">
        <v>39052</v>
      </c>
      <c r="B1980" t="s">
        <v>18</v>
      </c>
      <c r="C1980" t="s">
        <v>10</v>
      </c>
      <c r="D1980">
        <v>124</v>
      </c>
      <c r="E1980" s="2">
        <v>0.11046296296296296</v>
      </c>
      <c r="F1980">
        <v>159.06666666666666</v>
      </c>
    </row>
    <row r="1981" spans="1:6" x14ac:dyDescent="0.25">
      <c r="A1981" s="1">
        <v>39052</v>
      </c>
      <c r="B1981" t="s">
        <v>18</v>
      </c>
      <c r="C1981" t="s">
        <v>11</v>
      </c>
      <c r="D1981">
        <v>21</v>
      </c>
      <c r="E1981" s="2">
        <v>1.7141203703703704E-2</v>
      </c>
      <c r="F1981">
        <v>24.683333333333334</v>
      </c>
    </row>
    <row r="1982" spans="1:6" x14ac:dyDescent="0.25">
      <c r="A1982" s="1">
        <v>39052</v>
      </c>
      <c r="B1982" t="s">
        <v>19</v>
      </c>
      <c r="C1982" t="s">
        <v>6</v>
      </c>
      <c r="D1982">
        <v>32</v>
      </c>
      <c r="E1982" s="2">
        <v>3.2037037037037037E-2</v>
      </c>
      <c r="F1982">
        <v>46.133333333333333</v>
      </c>
    </row>
    <row r="1983" spans="1:6" x14ac:dyDescent="0.25">
      <c r="A1983" s="1">
        <v>39052</v>
      </c>
      <c r="B1983" t="s">
        <v>19</v>
      </c>
      <c r="C1983" t="s">
        <v>7</v>
      </c>
      <c r="D1983">
        <v>44</v>
      </c>
      <c r="E1983" s="2">
        <v>3.6620370370370373E-2</v>
      </c>
      <c r="F1983">
        <v>52.733333333333334</v>
      </c>
    </row>
    <row r="1984" spans="1:6" x14ac:dyDescent="0.25">
      <c r="A1984" s="1">
        <v>39052</v>
      </c>
      <c r="B1984" t="s">
        <v>19</v>
      </c>
      <c r="C1984" t="s">
        <v>8</v>
      </c>
      <c r="D1984">
        <v>41</v>
      </c>
      <c r="E1984" s="2">
        <v>4.4479166666666667E-2</v>
      </c>
      <c r="F1984">
        <v>64.05</v>
      </c>
    </row>
    <row r="1985" spans="1:6" x14ac:dyDescent="0.25">
      <c r="A1985" s="1">
        <v>39052</v>
      </c>
      <c r="B1985" t="s">
        <v>19</v>
      </c>
      <c r="C1985" t="s">
        <v>9</v>
      </c>
      <c r="D1985">
        <v>14</v>
      </c>
      <c r="E1985" s="2">
        <v>1.3622685185185186E-2</v>
      </c>
      <c r="F1985">
        <v>19.616666666666667</v>
      </c>
    </row>
    <row r="1986" spans="1:6" x14ac:dyDescent="0.25">
      <c r="A1986" s="1">
        <v>39052</v>
      </c>
      <c r="B1986" t="s">
        <v>19</v>
      </c>
      <c r="C1986" t="s">
        <v>10</v>
      </c>
      <c r="D1986">
        <v>27</v>
      </c>
      <c r="E1986" s="2">
        <v>1.8726851851851852E-2</v>
      </c>
      <c r="F1986">
        <v>26.966666666666665</v>
      </c>
    </row>
    <row r="1987" spans="1:6" x14ac:dyDescent="0.25">
      <c r="A1987" s="1">
        <v>39052</v>
      </c>
      <c r="B1987" t="s">
        <v>19</v>
      </c>
      <c r="C1987" t="s">
        <v>11</v>
      </c>
      <c r="D1987">
        <v>27</v>
      </c>
      <c r="E1987" s="2">
        <v>1.9479166666666665E-2</v>
      </c>
      <c r="F1987">
        <v>28.05</v>
      </c>
    </row>
    <row r="1988" spans="1:6" x14ac:dyDescent="0.25">
      <c r="A1988" s="1">
        <v>39052</v>
      </c>
      <c r="B1988" t="s">
        <v>20</v>
      </c>
      <c r="C1988" t="s">
        <v>6</v>
      </c>
      <c r="D1988">
        <v>36</v>
      </c>
      <c r="E1988" s="2">
        <v>4.3217592592592592E-2</v>
      </c>
      <c r="F1988">
        <v>62.233333333333334</v>
      </c>
    </row>
    <row r="1989" spans="1:6" x14ac:dyDescent="0.25">
      <c r="A1989" s="1">
        <v>39052</v>
      </c>
      <c r="B1989" t="s">
        <v>20</v>
      </c>
      <c r="C1989" t="s">
        <v>7</v>
      </c>
      <c r="D1989">
        <v>38</v>
      </c>
      <c r="E1989" s="2">
        <v>3.2361111111111111E-2</v>
      </c>
      <c r="F1989">
        <v>46.6</v>
      </c>
    </row>
    <row r="1990" spans="1:6" x14ac:dyDescent="0.25">
      <c r="A1990" s="1">
        <v>39052</v>
      </c>
      <c r="B1990" t="s">
        <v>20</v>
      </c>
      <c r="C1990" t="s">
        <v>8</v>
      </c>
      <c r="D1990">
        <v>44</v>
      </c>
      <c r="E1990" s="2">
        <v>5.8020833333333334E-2</v>
      </c>
      <c r="F1990">
        <v>83.55</v>
      </c>
    </row>
    <row r="1991" spans="1:6" x14ac:dyDescent="0.25">
      <c r="A1991" s="1">
        <v>39052</v>
      </c>
      <c r="B1991" t="s">
        <v>20</v>
      </c>
      <c r="C1991" t="s">
        <v>9</v>
      </c>
      <c r="D1991">
        <v>17</v>
      </c>
      <c r="E1991" s="2">
        <v>1.3842592592592592E-2</v>
      </c>
      <c r="F1991">
        <v>19.933333333333334</v>
      </c>
    </row>
    <row r="1992" spans="1:6" x14ac:dyDescent="0.25">
      <c r="A1992" s="1">
        <v>39052</v>
      </c>
      <c r="B1992" t="s">
        <v>20</v>
      </c>
      <c r="C1992" t="s">
        <v>10</v>
      </c>
      <c r="D1992">
        <v>13</v>
      </c>
      <c r="E1992" s="2">
        <v>1.1967592592592592E-2</v>
      </c>
      <c r="F1992">
        <v>17.233333333333334</v>
      </c>
    </row>
    <row r="1993" spans="1:6" x14ac:dyDescent="0.25">
      <c r="A1993" s="1">
        <v>39052</v>
      </c>
      <c r="B1993" t="s">
        <v>20</v>
      </c>
      <c r="C1993" t="s">
        <v>11</v>
      </c>
      <c r="D1993">
        <v>11</v>
      </c>
      <c r="E1993" s="2">
        <v>1.0254629629629629E-2</v>
      </c>
      <c r="F1993">
        <v>14.766666666666667</v>
      </c>
    </row>
    <row r="1994" spans="1:6" x14ac:dyDescent="0.25">
      <c r="A1994" s="1">
        <v>39052</v>
      </c>
      <c r="B1994" t="s">
        <v>21</v>
      </c>
      <c r="C1994" t="s">
        <v>6</v>
      </c>
      <c r="D1994">
        <v>23</v>
      </c>
      <c r="E1994" s="2">
        <v>2.3206018518518518E-2</v>
      </c>
      <c r="F1994">
        <v>33.416666666666664</v>
      </c>
    </row>
    <row r="1995" spans="1:6" x14ac:dyDescent="0.25">
      <c r="A1995" s="1">
        <v>39052</v>
      </c>
      <c r="B1995" t="s">
        <v>21</v>
      </c>
      <c r="C1995" t="s">
        <v>7</v>
      </c>
      <c r="D1995">
        <v>21</v>
      </c>
      <c r="E1995" s="2">
        <v>2.431712962962963E-2</v>
      </c>
      <c r="F1995">
        <v>35.016666666666666</v>
      </c>
    </row>
    <row r="1996" spans="1:6" x14ac:dyDescent="0.25">
      <c r="A1996" s="1">
        <v>39052</v>
      </c>
      <c r="B1996" t="s">
        <v>21</v>
      </c>
      <c r="C1996" t="s">
        <v>8</v>
      </c>
      <c r="D1996">
        <v>13</v>
      </c>
      <c r="E1996" s="2">
        <v>1.1574074074074073E-2</v>
      </c>
      <c r="F1996">
        <v>16.666666666666668</v>
      </c>
    </row>
    <row r="1997" spans="1:6" x14ac:dyDescent="0.25">
      <c r="A1997" s="1">
        <v>39052</v>
      </c>
      <c r="B1997" t="s">
        <v>21</v>
      </c>
      <c r="C1997" t="s">
        <v>9</v>
      </c>
      <c r="D1997">
        <v>4</v>
      </c>
      <c r="E1997" s="2">
        <v>3.6226851851851854E-3</v>
      </c>
      <c r="F1997">
        <v>5.2166666666666668</v>
      </c>
    </row>
    <row r="1998" spans="1:6" x14ac:dyDescent="0.25">
      <c r="A1998" s="1">
        <v>39052</v>
      </c>
      <c r="B1998" t="s">
        <v>21</v>
      </c>
      <c r="C1998" t="s">
        <v>10</v>
      </c>
      <c r="D1998">
        <v>6</v>
      </c>
      <c r="E1998" s="2">
        <v>3.5879629629629629E-3</v>
      </c>
      <c r="F1998">
        <v>5.166666666666667</v>
      </c>
    </row>
    <row r="1999" spans="1:6" x14ac:dyDescent="0.25">
      <c r="A1999" s="1">
        <v>39052</v>
      </c>
      <c r="B1999" t="s">
        <v>21</v>
      </c>
      <c r="C1999" t="s">
        <v>11</v>
      </c>
      <c r="D1999">
        <v>6</v>
      </c>
      <c r="E1999" s="2">
        <v>6.030092592592593E-3</v>
      </c>
      <c r="F1999">
        <v>8.6833333333333336</v>
      </c>
    </row>
    <row r="2000" spans="1:6" x14ac:dyDescent="0.25">
      <c r="A2000" s="1">
        <v>39052</v>
      </c>
      <c r="B2000" t="s">
        <v>22</v>
      </c>
      <c r="C2000" t="s">
        <v>6</v>
      </c>
      <c r="D2000">
        <v>19</v>
      </c>
      <c r="E2000" s="2">
        <v>1.8541666666666668E-2</v>
      </c>
      <c r="F2000">
        <v>26.7</v>
      </c>
    </row>
    <row r="2001" spans="1:6" x14ac:dyDescent="0.25">
      <c r="A2001" s="1">
        <v>39052</v>
      </c>
      <c r="B2001" t="s">
        <v>22</v>
      </c>
      <c r="C2001" t="s">
        <v>7</v>
      </c>
      <c r="D2001">
        <v>19</v>
      </c>
      <c r="E2001" s="2">
        <v>1.9074074074074073E-2</v>
      </c>
      <c r="F2001">
        <v>27.466666666666665</v>
      </c>
    </row>
    <row r="2002" spans="1:6" x14ac:dyDescent="0.25">
      <c r="A2002" s="1">
        <v>39052</v>
      </c>
      <c r="B2002" t="s">
        <v>22</v>
      </c>
      <c r="C2002" t="s">
        <v>8</v>
      </c>
      <c r="D2002">
        <v>10</v>
      </c>
      <c r="E2002" s="2">
        <v>9.8495370370370369E-3</v>
      </c>
      <c r="F2002">
        <v>14.183333333333334</v>
      </c>
    </row>
    <row r="2003" spans="1:6" x14ac:dyDescent="0.25">
      <c r="A2003" s="1">
        <v>39052</v>
      </c>
      <c r="B2003" t="s">
        <v>22</v>
      </c>
      <c r="C2003" t="s">
        <v>9</v>
      </c>
      <c r="D2003">
        <v>5</v>
      </c>
      <c r="E2003" s="2">
        <v>4.5138888888888885E-3</v>
      </c>
      <c r="F2003">
        <v>6.5</v>
      </c>
    </row>
    <row r="2004" spans="1:6" x14ac:dyDescent="0.25">
      <c r="A2004" s="1">
        <v>39052</v>
      </c>
      <c r="B2004" t="s">
        <v>22</v>
      </c>
      <c r="C2004" t="s">
        <v>10</v>
      </c>
      <c r="D2004">
        <v>6</v>
      </c>
      <c r="E2004" s="2">
        <v>2.2685185185185187E-3</v>
      </c>
      <c r="F2004">
        <v>3.2666666666666666</v>
      </c>
    </row>
    <row r="2005" spans="1:6" x14ac:dyDescent="0.25">
      <c r="A2005" s="1">
        <v>39052</v>
      </c>
      <c r="B2005" t="s">
        <v>22</v>
      </c>
      <c r="C2005" t="s">
        <v>11</v>
      </c>
      <c r="D2005">
        <v>13</v>
      </c>
      <c r="E2005" s="2">
        <v>1.1631944444444445E-2</v>
      </c>
      <c r="F2005">
        <v>16.75</v>
      </c>
    </row>
    <row r="2006" spans="1:6" x14ac:dyDescent="0.25">
      <c r="A2006" s="1">
        <v>39052</v>
      </c>
      <c r="B2006" t="s">
        <v>23</v>
      </c>
      <c r="C2006" t="s">
        <v>6</v>
      </c>
      <c r="D2006">
        <v>186</v>
      </c>
      <c r="E2006" s="2">
        <v>0.20281250000000001</v>
      </c>
      <c r="F2006">
        <v>292.05</v>
      </c>
    </row>
    <row r="2007" spans="1:6" x14ac:dyDescent="0.25">
      <c r="A2007" s="1">
        <v>39052</v>
      </c>
      <c r="B2007" t="s">
        <v>23</v>
      </c>
      <c r="C2007" t="s">
        <v>7</v>
      </c>
      <c r="D2007">
        <v>166</v>
      </c>
      <c r="E2007" s="2">
        <v>0.18278935185185186</v>
      </c>
      <c r="F2007">
        <v>263.21666666666664</v>
      </c>
    </row>
    <row r="2008" spans="1:6" x14ac:dyDescent="0.25">
      <c r="A2008" s="1">
        <v>39052</v>
      </c>
      <c r="B2008" t="s">
        <v>23</v>
      </c>
      <c r="C2008" t="s">
        <v>8</v>
      </c>
      <c r="D2008">
        <v>116</v>
      </c>
      <c r="E2008" s="2">
        <v>0.12634259259259259</v>
      </c>
      <c r="F2008">
        <v>181.93333333333334</v>
      </c>
    </row>
    <row r="2009" spans="1:6" x14ac:dyDescent="0.25">
      <c r="A2009" s="1">
        <v>39052</v>
      </c>
      <c r="B2009" t="s">
        <v>23</v>
      </c>
      <c r="C2009" t="s">
        <v>9</v>
      </c>
      <c r="D2009">
        <v>36</v>
      </c>
      <c r="E2009" s="2">
        <v>3.0752314814814816E-2</v>
      </c>
      <c r="F2009">
        <v>44.283333333333331</v>
      </c>
    </row>
    <row r="2010" spans="1:6" x14ac:dyDescent="0.25">
      <c r="A2010" s="1">
        <v>39052</v>
      </c>
      <c r="B2010" t="s">
        <v>23</v>
      </c>
      <c r="C2010" t="s">
        <v>10</v>
      </c>
      <c r="D2010">
        <v>37</v>
      </c>
      <c r="E2010" s="2">
        <v>4.4131944444444446E-2</v>
      </c>
      <c r="F2010">
        <v>63.55</v>
      </c>
    </row>
    <row r="2011" spans="1:6" x14ac:dyDescent="0.25">
      <c r="A2011" s="1">
        <v>39052</v>
      </c>
      <c r="B2011" t="s">
        <v>23</v>
      </c>
      <c r="C2011" t="s">
        <v>11</v>
      </c>
      <c r="D2011">
        <v>46</v>
      </c>
      <c r="E2011" s="2">
        <v>4.0925925925925928E-2</v>
      </c>
      <c r="F2011">
        <v>58.93333333333333</v>
      </c>
    </row>
    <row r="2012" spans="1:6" x14ac:dyDescent="0.25">
      <c r="A2012" s="1">
        <v>39052</v>
      </c>
      <c r="B2012" t="s">
        <v>24</v>
      </c>
      <c r="C2012" t="s">
        <v>6</v>
      </c>
      <c r="D2012">
        <v>31</v>
      </c>
      <c r="E2012" s="2">
        <v>2.8333333333333332E-2</v>
      </c>
      <c r="F2012">
        <v>40.799999999999997</v>
      </c>
    </row>
    <row r="2013" spans="1:6" x14ac:dyDescent="0.25">
      <c r="A2013" s="1">
        <v>39052</v>
      </c>
      <c r="B2013" t="s">
        <v>24</v>
      </c>
      <c r="C2013" t="s">
        <v>7</v>
      </c>
      <c r="D2013">
        <v>47</v>
      </c>
      <c r="E2013" s="2">
        <v>2.6840277777777779E-2</v>
      </c>
      <c r="F2013">
        <v>38.65</v>
      </c>
    </row>
    <row r="2014" spans="1:6" x14ac:dyDescent="0.25">
      <c r="A2014" s="1">
        <v>39052</v>
      </c>
      <c r="B2014" t="s">
        <v>24</v>
      </c>
      <c r="C2014" t="s">
        <v>8</v>
      </c>
      <c r="D2014">
        <v>15</v>
      </c>
      <c r="E2014" s="2">
        <v>1.2604166666666666E-2</v>
      </c>
      <c r="F2014">
        <v>18.149999999999999</v>
      </c>
    </row>
    <row r="2015" spans="1:6" x14ac:dyDescent="0.25">
      <c r="A2015" s="1">
        <v>39052</v>
      </c>
      <c r="B2015" t="s">
        <v>24</v>
      </c>
      <c r="C2015" t="s">
        <v>9</v>
      </c>
      <c r="D2015">
        <v>10</v>
      </c>
      <c r="E2015" s="2">
        <v>5.0810185185185186E-3</v>
      </c>
      <c r="F2015">
        <v>7.3166666666666664</v>
      </c>
    </row>
    <row r="2016" spans="1:6" x14ac:dyDescent="0.25">
      <c r="A2016" s="1">
        <v>39052</v>
      </c>
      <c r="B2016" t="s">
        <v>24</v>
      </c>
      <c r="C2016" t="s">
        <v>10</v>
      </c>
      <c r="D2016">
        <v>1</v>
      </c>
      <c r="E2016" s="2">
        <v>2.3148148148148149E-4</v>
      </c>
      <c r="F2016">
        <v>0.33333333333333331</v>
      </c>
    </row>
    <row r="2017" spans="1:6" x14ac:dyDescent="0.25">
      <c r="A2017" s="1">
        <v>39052</v>
      </c>
      <c r="B2017" t="s">
        <v>24</v>
      </c>
      <c r="C2017" t="s">
        <v>11</v>
      </c>
      <c r="D2017">
        <v>16</v>
      </c>
      <c r="E2017" s="2">
        <v>9.7337962962962959E-3</v>
      </c>
      <c r="F2017">
        <v>14.016666666666667</v>
      </c>
    </row>
    <row r="2018" spans="1:6" x14ac:dyDescent="0.25">
      <c r="A2018" s="1">
        <v>39083</v>
      </c>
      <c r="B2018" t="s">
        <v>5</v>
      </c>
      <c r="C2018" t="s">
        <v>6</v>
      </c>
      <c r="D2018">
        <v>55</v>
      </c>
      <c r="E2018" s="2">
        <v>4.9305555555555554E-2</v>
      </c>
      <c r="F2018">
        <v>71</v>
      </c>
    </row>
    <row r="2019" spans="1:6" x14ac:dyDescent="0.25">
      <c r="A2019" s="1">
        <v>39083</v>
      </c>
      <c r="B2019" t="s">
        <v>5</v>
      </c>
      <c r="C2019" t="s">
        <v>7</v>
      </c>
      <c r="D2019">
        <v>31</v>
      </c>
      <c r="E2019" s="2">
        <v>2.5590277777777778E-2</v>
      </c>
      <c r="F2019">
        <v>36.85</v>
      </c>
    </row>
    <row r="2020" spans="1:6" x14ac:dyDescent="0.25">
      <c r="A2020" s="1">
        <v>39083</v>
      </c>
      <c r="B2020" t="s">
        <v>5</v>
      </c>
      <c r="C2020" t="s">
        <v>8</v>
      </c>
      <c r="D2020">
        <v>18</v>
      </c>
      <c r="E2020" s="2">
        <v>1.4479166666666666E-2</v>
      </c>
      <c r="F2020">
        <v>20.85</v>
      </c>
    </row>
    <row r="2021" spans="1:6" x14ac:dyDescent="0.25">
      <c r="A2021" s="1">
        <v>39083</v>
      </c>
      <c r="B2021" t="s">
        <v>5</v>
      </c>
      <c r="C2021" t="s">
        <v>9</v>
      </c>
      <c r="D2021">
        <v>11</v>
      </c>
      <c r="E2021" s="2">
        <v>5.6365740740740742E-3</v>
      </c>
      <c r="F2021">
        <v>8.1166666666666671</v>
      </c>
    </row>
    <row r="2022" spans="1:6" x14ac:dyDescent="0.25">
      <c r="A2022" s="1">
        <v>39083</v>
      </c>
      <c r="B2022" t="s">
        <v>5</v>
      </c>
      <c r="C2022" t="s">
        <v>10</v>
      </c>
      <c r="D2022">
        <v>6</v>
      </c>
      <c r="E2022" s="2">
        <v>4.1435185185185186E-3</v>
      </c>
      <c r="F2022">
        <v>5.9666666666666668</v>
      </c>
    </row>
    <row r="2023" spans="1:6" x14ac:dyDescent="0.25">
      <c r="A2023" s="1">
        <v>39083</v>
      </c>
      <c r="B2023" t="s">
        <v>5</v>
      </c>
      <c r="C2023" t="s">
        <v>11</v>
      </c>
      <c r="D2023">
        <v>12</v>
      </c>
      <c r="E2023" s="2">
        <v>1.1168981481481481E-2</v>
      </c>
      <c r="F2023">
        <v>16.083333333333332</v>
      </c>
    </row>
    <row r="2024" spans="1:6" x14ac:dyDescent="0.25">
      <c r="A2024" s="1">
        <v>39083</v>
      </c>
      <c r="B2024" t="s">
        <v>12</v>
      </c>
      <c r="C2024" t="s">
        <v>6</v>
      </c>
      <c r="D2024">
        <v>68</v>
      </c>
      <c r="E2024" s="2">
        <v>7.1099537037037031E-2</v>
      </c>
      <c r="F2024">
        <v>102.38333333333334</v>
      </c>
    </row>
    <row r="2025" spans="1:6" x14ac:dyDescent="0.25">
      <c r="A2025" s="1">
        <v>39083</v>
      </c>
      <c r="B2025" t="s">
        <v>12</v>
      </c>
      <c r="C2025" t="s">
        <v>7</v>
      </c>
      <c r="D2025">
        <v>80</v>
      </c>
      <c r="E2025" s="2">
        <v>0.10355324074074074</v>
      </c>
      <c r="F2025">
        <v>149.11666666666667</v>
      </c>
    </row>
    <row r="2026" spans="1:6" x14ac:dyDescent="0.25">
      <c r="A2026" s="1">
        <v>39083</v>
      </c>
      <c r="B2026" t="s">
        <v>12</v>
      </c>
      <c r="C2026" t="s">
        <v>8</v>
      </c>
      <c r="D2026">
        <v>45</v>
      </c>
      <c r="E2026" s="2">
        <v>6.0902777777777778E-2</v>
      </c>
      <c r="F2026">
        <v>87.7</v>
      </c>
    </row>
    <row r="2027" spans="1:6" x14ac:dyDescent="0.25">
      <c r="A2027" s="1">
        <v>39083</v>
      </c>
      <c r="B2027" t="s">
        <v>12</v>
      </c>
      <c r="C2027" t="s">
        <v>9</v>
      </c>
      <c r="D2027">
        <v>21</v>
      </c>
      <c r="E2027" s="2">
        <v>1.6111111111111111E-2</v>
      </c>
      <c r="F2027">
        <v>23.2</v>
      </c>
    </row>
    <row r="2028" spans="1:6" x14ac:dyDescent="0.25">
      <c r="A2028" s="1">
        <v>39083</v>
      </c>
      <c r="B2028" t="s">
        <v>12</v>
      </c>
      <c r="C2028" t="s">
        <v>10</v>
      </c>
      <c r="D2028">
        <v>2</v>
      </c>
      <c r="E2028" s="2">
        <v>2.3263888888888887E-3</v>
      </c>
      <c r="F2028">
        <v>3.35</v>
      </c>
    </row>
    <row r="2029" spans="1:6" x14ac:dyDescent="0.25">
      <c r="A2029" s="1">
        <v>39083</v>
      </c>
      <c r="B2029" t="s">
        <v>12</v>
      </c>
      <c r="C2029" t="s">
        <v>11</v>
      </c>
      <c r="D2029">
        <v>27</v>
      </c>
      <c r="E2029" s="2">
        <v>2.5694444444444443E-2</v>
      </c>
      <c r="F2029">
        <v>37</v>
      </c>
    </row>
    <row r="2030" spans="1:6" x14ac:dyDescent="0.25">
      <c r="A2030" s="1">
        <v>39083</v>
      </c>
      <c r="B2030" t="s">
        <v>13</v>
      </c>
      <c r="C2030" t="s">
        <v>6</v>
      </c>
      <c r="D2030">
        <v>49</v>
      </c>
      <c r="E2030" s="2">
        <v>5.0902777777777776E-2</v>
      </c>
      <c r="F2030">
        <v>73.3</v>
      </c>
    </row>
    <row r="2031" spans="1:6" x14ac:dyDescent="0.25">
      <c r="A2031" s="1">
        <v>39083</v>
      </c>
      <c r="B2031" t="s">
        <v>13</v>
      </c>
      <c r="C2031" t="s">
        <v>7</v>
      </c>
      <c r="D2031">
        <v>49</v>
      </c>
      <c r="E2031" s="2">
        <v>6.5625000000000003E-2</v>
      </c>
      <c r="F2031">
        <v>94.5</v>
      </c>
    </row>
    <row r="2032" spans="1:6" x14ac:dyDescent="0.25">
      <c r="A2032" s="1">
        <v>39083</v>
      </c>
      <c r="B2032" t="s">
        <v>13</v>
      </c>
      <c r="C2032" t="s">
        <v>8</v>
      </c>
      <c r="D2032">
        <v>39</v>
      </c>
      <c r="E2032" s="2">
        <v>5.0486111111111114E-2</v>
      </c>
      <c r="F2032">
        <v>72.7</v>
      </c>
    </row>
    <row r="2033" spans="1:6" x14ac:dyDescent="0.25">
      <c r="A2033" s="1">
        <v>39083</v>
      </c>
      <c r="B2033" t="s">
        <v>13</v>
      </c>
      <c r="C2033" t="s">
        <v>9</v>
      </c>
      <c r="D2033">
        <v>11</v>
      </c>
      <c r="E2033" s="2">
        <v>6.9791666666666665E-3</v>
      </c>
      <c r="F2033">
        <v>10.050000000000001</v>
      </c>
    </row>
    <row r="2034" spans="1:6" x14ac:dyDescent="0.25">
      <c r="A2034" s="1">
        <v>39083</v>
      </c>
      <c r="B2034" t="s">
        <v>13</v>
      </c>
      <c r="C2034" t="s">
        <v>10</v>
      </c>
      <c r="D2034">
        <v>12</v>
      </c>
      <c r="E2034" s="2">
        <v>1.4421296296296297E-2</v>
      </c>
      <c r="F2034">
        <v>20.766666666666666</v>
      </c>
    </row>
    <row r="2035" spans="1:6" x14ac:dyDescent="0.25">
      <c r="A2035" s="1">
        <v>39083</v>
      </c>
      <c r="B2035" t="s">
        <v>13</v>
      </c>
      <c r="C2035" t="s">
        <v>11</v>
      </c>
      <c r="D2035">
        <v>15</v>
      </c>
      <c r="E2035" s="2">
        <v>1.6134259259259258E-2</v>
      </c>
      <c r="F2035">
        <v>23.233333333333334</v>
      </c>
    </row>
    <row r="2036" spans="1:6" x14ac:dyDescent="0.25">
      <c r="A2036" s="1">
        <v>39083</v>
      </c>
      <c r="B2036" t="s">
        <v>14</v>
      </c>
      <c r="C2036" t="s">
        <v>6</v>
      </c>
      <c r="D2036">
        <v>20</v>
      </c>
      <c r="E2036" s="2">
        <v>2.3379629629629629E-2</v>
      </c>
      <c r="F2036">
        <v>33.666666666666664</v>
      </c>
    </row>
    <row r="2037" spans="1:6" x14ac:dyDescent="0.25">
      <c r="A2037" s="1">
        <v>39083</v>
      </c>
      <c r="B2037" t="s">
        <v>14</v>
      </c>
      <c r="C2037" t="s">
        <v>7</v>
      </c>
      <c r="D2037">
        <v>7</v>
      </c>
      <c r="E2037" s="2">
        <v>1.1863425925925927E-2</v>
      </c>
      <c r="F2037">
        <v>17.083333333333332</v>
      </c>
    </row>
    <row r="2038" spans="1:6" x14ac:dyDescent="0.25">
      <c r="A2038" s="1">
        <v>39083</v>
      </c>
      <c r="B2038" t="s">
        <v>14</v>
      </c>
      <c r="C2038" t="s">
        <v>8</v>
      </c>
      <c r="D2038">
        <v>2</v>
      </c>
      <c r="E2038" s="2">
        <v>2.7893518518518519E-3</v>
      </c>
      <c r="F2038">
        <v>4.0166666666666666</v>
      </c>
    </row>
    <row r="2039" spans="1:6" x14ac:dyDescent="0.25">
      <c r="A2039" s="1">
        <v>39083</v>
      </c>
      <c r="B2039" t="s">
        <v>14</v>
      </c>
      <c r="C2039" t="s">
        <v>9</v>
      </c>
      <c r="D2039">
        <v>0</v>
      </c>
      <c r="E2039" s="2">
        <v>0</v>
      </c>
      <c r="F2039">
        <v>0</v>
      </c>
    </row>
    <row r="2040" spans="1:6" x14ac:dyDescent="0.25">
      <c r="A2040" s="1">
        <v>39083</v>
      </c>
      <c r="B2040" t="s">
        <v>14</v>
      </c>
      <c r="C2040" t="s">
        <v>10</v>
      </c>
      <c r="D2040">
        <v>2</v>
      </c>
      <c r="E2040" s="2">
        <v>2.0486111111111113E-3</v>
      </c>
      <c r="F2040">
        <v>2.95</v>
      </c>
    </row>
    <row r="2041" spans="1:6" x14ac:dyDescent="0.25">
      <c r="A2041" s="1">
        <v>39083</v>
      </c>
      <c r="B2041" t="s">
        <v>14</v>
      </c>
      <c r="C2041" t="s">
        <v>11</v>
      </c>
      <c r="D2041">
        <v>2</v>
      </c>
      <c r="E2041" s="2">
        <v>1.8865740740740742E-3</v>
      </c>
      <c r="F2041">
        <v>2.7166666666666668</v>
      </c>
    </row>
    <row r="2042" spans="1:6" x14ac:dyDescent="0.25">
      <c r="A2042" s="1">
        <v>39083</v>
      </c>
      <c r="B2042" t="s">
        <v>15</v>
      </c>
      <c r="C2042" t="s">
        <v>6</v>
      </c>
      <c r="D2042">
        <v>80</v>
      </c>
      <c r="E2042" s="2">
        <v>7.497685185185185E-2</v>
      </c>
      <c r="F2042">
        <v>107.96666666666667</v>
      </c>
    </row>
    <row r="2043" spans="1:6" x14ac:dyDescent="0.25">
      <c r="A2043" s="1">
        <v>39083</v>
      </c>
      <c r="B2043" t="s">
        <v>15</v>
      </c>
      <c r="C2043" t="s">
        <v>7</v>
      </c>
      <c r="D2043">
        <v>69</v>
      </c>
      <c r="E2043" s="2">
        <v>7.5358796296296299E-2</v>
      </c>
      <c r="F2043">
        <v>108.51666666666667</v>
      </c>
    </row>
    <row r="2044" spans="1:6" x14ac:dyDescent="0.25">
      <c r="A2044" s="1">
        <v>39083</v>
      </c>
      <c r="B2044" t="s">
        <v>15</v>
      </c>
      <c r="C2044" t="s">
        <v>8</v>
      </c>
      <c r="D2044">
        <v>39</v>
      </c>
      <c r="E2044" s="2">
        <v>3.8738425925925926E-2</v>
      </c>
      <c r="F2044">
        <v>55.783333333333331</v>
      </c>
    </row>
    <row r="2045" spans="1:6" x14ac:dyDescent="0.25">
      <c r="A2045" s="1">
        <v>39083</v>
      </c>
      <c r="B2045" t="s">
        <v>15</v>
      </c>
      <c r="C2045" t="s">
        <v>9</v>
      </c>
      <c r="D2045">
        <v>10</v>
      </c>
      <c r="E2045" s="2">
        <v>6.076388888888889E-3</v>
      </c>
      <c r="F2045">
        <v>8.75</v>
      </c>
    </row>
    <row r="2046" spans="1:6" x14ac:dyDescent="0.25">
      <c r="A2046" s="1">
        <v>39083</v>
      </c>
      <c r="B2046" t="s">
        <v>15</v>
      </c>
      <c r="C2046" t="s">
        <v>10</v>
      </c>
      <c r="D2046">
        <v>14</v>
      </c>
      <c r="E2046" s="2">
        <v>1.7696759259259259E-2</v>
      </c>
      <c r="F2046">
        <v>25.483333333333334</v>
      </c>
    </row>
    <row r="2047" spans="1:6" x14ac:dyDescent="0.25">
      <c r="A2047" s="1">
        <v>39083</v>
      </c>
      <c r="B2047" t="s">
        <v>15</v>
      </c>
      <c r="C2047" t="s">
        <v>11</v>
      </c>
      <c r="D2047">
        <v>21</v>
      </c>
      <c r="E2047" s="2">
        <v>1.5636574074074074E-2</v>
      </c>
      <c r="F2047">
        <v>22.516666666666666</v>
      </c>
    </row>
    <row r="2048" spans="1:6" x14ac:dyDescent="0.25">
      <c r="A2048" s="1">
        <v>39083</v>
      </c>
      <c r="B2048" t="s">
        <v>16</v>
      </c>
      <c r="C2048" t="s">
        <v>6</v>
      </c>
      <c r="D2048">
        <v>33</v>
      </c>
      <c r="E2048" s="2">
        <v>3.2037037037037037E-2</v>
      </c>
      <c r="F2048">
        <v>46.133333333333333</v>
      </c>
    </row>
    <row r="2049" spans="1:6" x14ac:dyDescent="0.25">
      <c r="A2049" s="1">
        <v>39083</v>
      </c>
      <c r="B2049" t="s">
        <v>16</v>
      </c>
      <c r="C2049" t="s">
        <v>7</v>
      </c>
      <c r="D2049">
        <v>32</v>
      </c>
      <c r="E2049" s="2">
        <v>3.3518518518518517E-2</v>
      </c>
      <c r="F2049">
        <v>48.266666666666666</v>
      </c>
    </row>
    <row r="2050" spans="1:6" x14ac:dyDescent="0.25">
      <c r="A2050" s="1">
        <v>39083</v>
      </c>
      <c r="B2050" t="s">
        <v>16</v>
      </c>
      <c r="C2050" t="s">
        <v>8</v>
      </c>
      <c r="D2050">
        <v>34</v>
      </c>
      <c r="E2050" s="2">
        <v>3.259259259259259E-2</v>
      </c>
      <c r="F2050">
        <v>46.93333333333333</v>
      </c>
    </row>
    <row r="2051" spans="1:6" x14ac:dyDescent="0.25">
      <c r="A2051" s="1">
        <v>39083</v>
      </c>
      <c r="B2051" t="s">
        <v>16</v>
      </c>
      <c r="C2051" t="s">
        <v>9</v>
      </c>
      <c r="D2051">
        <v>18</v>
      </c>
      <c r="E2051" s="2">
        <v>1.4675925925925926E-2</v>
      </c>
      <c r="F2051">
        <v>21.133333333333333</v>
      </c>
    </row>
    <row r="2052" spans="1:6" x14ac:dyDescent="0.25">
      <c r="A2052" s="1">
        <v>39083</v>
      </c>
      <c r="B2052" t="s">
        <v>16</v>
      </c>
      <c r="C2052" t="s">
        <v>10</v>
      </c>
      <c r="D2052">
        <v>3</v>
      </c>
      <c r="E2052" s="2">
        <v>1.4467592592592592E-3</v>
      </c>
      <c r="F2052">
        <v>2.0833333333333335</v>
      </c>
    </row>
    <row r="2053" spans="1:6" x14ac:dyDescent="0.25">
      <c r="A2053" s="1">
        <v>39083</v>
      </c>
      <c r="B2053" t="s">
        <v>16</v>
      </c>
      <c r="C2053" t="s">
        <v>11</v>
      </c>
      <c r="D2053">
        <v>26</v>
      </c>
      <c r="E2053" s="2">
        <v>2.5520833333333333E-2</v>
      </c>
      <c r="F2053">
        <v>36.75</v>
      </c>
    </row>
    <row r="2054" spans="1:6" x14ac:dyDescent="0.25">
      <c r="A2054" s="1">
        <v>39083</v>
      </c>
      <c r="B2054" t="s">
        <v>17</v>
      </c>
      <c r="C2054" t="s">
        <v>6</v>
      </c>
      <c r="D2054">
        <v>33</v>
      </c>
      <c r="E2054" s="2">
        <v>3.9861111111111111E-2</v>
      </c>
      <c r="F2054">
        <v>57.4</v>
      </c>
    </row>
    <row r="2055" spans="1:6" x14ac:dyDescent="0.25">
      <c r="A2055" s="1">
        <v>39083</v>
      </c>
      <c r="B2055" t="s">
        <v>17</v>
      </c>
      <c r="C2055" t="s">
        <v>7</v>
      </c>
      <c r="D2055">
        <v>33</v>
      </c>
      <c r="E2055" s="2">
        <v>4.5231481481481484E-2</v>
      </c>
      <c r="F2055">
        <v>65.13333333333334</v>
      </c>
    </row>
    <row r="2056" spans="1:6" x14ac:dyDescent="0.25">
      <c r="A2056" s="1">
        <v>39083</v>
      </c>
      <c r="B2056" t="s">
        <v>17</v>
      </c>
      <c r="C2056" t="s">
        <v>8</v>
      </c>
      <c r="D2056">
        <v>21</v>
      </c>
      <c r="E2056" s="2">
        <v>2.537037037037037E-2</v>
      </c>
      <c r="F2056">
        <v>36.533333333333331</v>
      </c>
    </row>
    <row r="2057" spans="1:6" x14ac:dyDescent="0.25">
      <c r="A2057" s="1">
        <v>39083</v>
      </c>
      <c r="B2057" t="s">
        <v>17</v>
      </c>
      <c r="C2057" t="s">
        <v>9</v>
      </c>
      <c r="D2057">
        <v>5</v>
      </c>
      <c r="E2057" s="2">
        <v>4.9189814814814816E-3</v>
      </c>
      <c r="F2057">
        <v>7.083333333333333</v>
      </c>
    </row>
    <row r="2058" spans="1:6" x14ac:dyDescent="0.25">
      <c r="A2058" s="1">
        <v>39083</v>
      </c>
      <c r="B2058" t="s">
        <v>17</v>
      </c>
      <c r="C2058" t="s">
        <v>10</v>
      </c>
      <c r="D2058">
        <v>15</v>
      </c>
      <c r="E2058" s="2">
        <v>1.4108796296296296E-2</v>
      </c>
      <c r="F2058">
        <v>20.316666666666666</v>
      </c>
    </row>
    <row r="2059" spans="1:6" x14ac:dyDescent="0.25">
      <c r="A2059" s="1">
        <v>39083</v>
      </c>
      <c r="B2059" t="s">
        <v>17</v>
      </c>
      <c r="C2059" t="s">
        <v>11</v>
      </c>
      <c r="D2059">
        <v>11</v>
      </c>
      <c r="E2059" s="2">
        <v>1.1828703703703704E-2</v>
      </c>
      <c r="F2059">
        <v>17.033333333333335</v>
      </c>
    </row>
    <row r="2060" spans="1:6" x14ac:dyDescent="0.25">
      <c r="A2060" s="1">
        <v>39083</v>
      </c>
      <c r="B2060" t="s">
        <v>18</v>
      </c>
      <c r="C2060" t="s">
        <v>6</v>
      </c>
      <c r="D2060">
        <v>86</v>
      </c>
      <c r="E2060" s="2">
        <v>6.0381944444444446E-2</v>
      </c>
      <c r="F2060">
        <v>86.95</v>
      </c>
    </row>
    <row r="2061" spans="1:6" x14ac:dyDescent="0.25">
      <c r="A2061" s="1">
        <v>39083</v>
      </c>
      <c r="B2061" t="s">
        <v>18</v>
      </c>
      <c r="C2061" t="s">
        <v>7</v>
      </c>
      <c r="D2061">
        <v>79</v>
      </c>
      <c r="E2061" s="2">
        <v>6.8298611111111115E-2</v>
      </c>
      <c r="F2061">
        <v>98.35</v>
      </c>
    </row>
    <row r="2062" spans="1:6" x14ac:dyDescent="0.25">
      <c r="A2062" s="1">
        <v>39083</v>
      </c>
      <c r="B2062" t="s">
        <v>18</v>
      </c>
      <c r="C2062" t="s">
        <v>8</v>
      </c>
      <c r="D2062">
        <v>65</v>
      </c>
      <c r="E2062" s="2">
        <v>5.8761574074074077E-2</v>
      </c>
      <c r="F2062">
        <v>84.61666666666666</v>
      </c>
    </row>
    <row r="2063" spans="1:6" x14ac:dyDescent="0.25">
      <c r="A2063" s="1">
        <v>39083</v>
      </c>
      <c r="B2063" t="s">
        <v>18</v>
      </c>
      <c r="C2063" t="s">
        <v>9</v>
      </c>
      <c r="D2063">
        <v>52</v>
      </c>
      <c r="E2063" s="2">
        <v>2.4884259259259259E-2</v>
      </c>
      <c r="F2063">
        <v>35.833333333333336</v>
      </c>
    </row>
    <row r="2064" spans="1:6" x14ac:dyDescent="0.25">
      <c r="A2064" s="1">
        <v>39083</v>
      </c>
      <c r="B2064" t="s">
        <v>18</v>
      </c>
      <c r="C2064" t="s">
        <v>10</v>
      </c>
      <c r="D2064">
        <v>157</v>
      </c>
      <c r="E2064" s="2">
        <v>0.15378472222222223</v>
      </c>
      <c r="F2064">
        <v>221.45</v>
      </c>
    </row>
    <row r="2065" spans="1:6" x14ac:dyDescent="0.25">
      <c r="A2065" s="1">
        <v>39083</v>
      </c>
      <c r="B2065" t="s">
        <v>18</v>
      </c>
      <c r="C2065" t="s">
        <v>11</v>
      </c>
      <c r="D2065">
        <v>25</v>
      </c>
      <c r="E2065" s="2">
        <v>1.9178240740740742E-2</v>
      </c>
      <c r="F2065">
        <v>27.616666666666667</v>
      </c>
    </row>
    <row r="2066" spans="1:6" x14ac:dyDescent="0.25">
      <c r="A2066" s="1">
        <v>39083</v>
      </c>
      <c r="B2066" t="s">
        <v>19</v>
      </c>
      <c r="C2066" t="s">
        <v>6</v>
      </c>
      <c r="D2066">
        <v>45</v>
      </c>
      <c r="E2066" s="2">
        <v>3.951388888888889E-2</v>
      </c>
      <c r="F2066">
        <v>56.9</v>
      </c>
    </row>
    <row r="2067" spans="1:6" x14ac:dyDescent="0.25">
      <c r="A2067" s="1">
        <v>39083</v>
      </c>
      <c r="B2067" t="s">
        <v>19</v>
      </c>
      <c r="C2067" t="s">
        <v>7</v>
      </c>
      <c r="D2067">
        <v>40</v>
      </c>
      <c r="E2067" s="2">
        <v>3.304398148148148E-2</v>
      </c>
      <c r="F2067">
        <v>47.583333333333336</v>
      </c>
    </row>
    <row r="2068" spans="1:6" x14ac:dyDescent="0.25">
      <c r="A2068" s="1">
        <v>39083</v>
      </c>
      <c r="B2068" t="s">
        <v>19</v>
      </c>
      <c r="C2068" t="s">
        <v>8</v>
      </c>
      <c r="D2068">
        <v>27</v>
      </c>
      <c r="E2068" s="2">
        <v>3.2939814814814818E-2</v>
      </c>
      <c r="F2068">
        <v>47.43333333333333</v>
      </c>
    </row>
    <row r="2069" spans="1:6" x14ac:dyDescent="0.25">
      <c r="A2069" s="1">
        <v>39083</v>
      </c>
      <c r="B2069" t="s">
        <v>19</v>
      </c>
      <c r="C2069" t="s">
        <v>9</v>
      </c>
      <c r="D2069">
        <v>16</v>
      </c>
      <c r="E2069" s="2">
        <v>1.207175925925926E-2</v>
      </c>
      <c r="F2069">
        <v>17.383333333333333</v>
      </c>
    </row>
    <row r="2070" spans="1:6" x14ac:dyDescent="0.25">
      <c r="A2070" s="1">
        <v>39083</v>
      </c>
      <c r="B2070" t="s">
        <v>19</v>
      </c>
      <c r="C2070" t="s">
        <v>10</v>
      </c>
      <c r="D2070">
        <v>22</v>
      </c>
      <c r="E2070" s="2">
        <v>2.0578703703703703E-2</v>
      </c>
      <c r="F2070">
        <v>29.633333333333333</v>
      </c>
    </row>
    <row r="2071" spans="1:6" x14ac:dyDescent="0.25">
      <c r="A2071" s="1">
        <v>39083</v>
      </c>
      <c r="B2071" t="s">
        <v>19</v>
      </c>
      <c r="C2071" t="s">
        <v>11</v>
      </c>
      <c r="D2071">
        <v>13</v>
      </c>
      <c r="E2071" s="2">
        <v>1.1157407407407408E-2</v>
      </c>
      <c r="F2071">
        <v>16.066666666666666</v>
      </c>
    </row>
    <row r="2072" spans="1:6" x14ac:dyDescent="0.25">
      <c r="A2072" s="1">
        <v>39083</v>
      </c>
      <c r="B2072" t="s">
        <v>20</v>
      </c>
      <c r="C2072" t="s">
        <v>6</v>
      </c>
      <c r="D2072">
        <v>67</v>
      </c>
      <c r="E2072" s="2">
        <v>7.8090277777777772E-2</v>
      </c>
      <c r="F2072">
        <v>112.45</v>
      </c>
    </row>
    <row r="2073" spans="1:6" x14ac:dyDescent="0.25">
      <c r="A2073" s="1">
        <v>39083</v>
      </c>
      <c r="B2073" t="s">
        <v>20</v>
      </c>
      <c r="C2073" t="s">
        <v>7</v>
      </c>
      <c r="D2073">
        <v>73</v>
      </c>
      <c r="E2073" s="2">
        <v>6.8865740740740741E-2</v>
      </c>
      <c r="F2073">
        <v>99.166666666666671</v>
      </c>
    </row>
    <row r="2074" spans="1:6" x14ac:dyDescent="0.25">
      <c r="A2074" s="1">
        <v>39083</v>
      </c>
      <c r="B2074" t="s">
        <v>20</v>
      </c>
      <c r="C2074" t="s">
        <v>8</v>
      </c>
      <c r="D2074">
        <v>70</v>
      </c>
      <c r="E2074" s="2">
        <v>7.2858796296296297E-2</v>
      </c>
      <c r="F2074">
        <v>104.91666666666667</v>
      </c>
    </row>
    <row r="2075" spans="1:6" x14ac:dyDescent="0.25">
      <c r="A2075" s="1">
        <v>39083</v>
      </c>
      <c r="B2075" t="s">
        <v>20</v>
      </c>
      <c r="C2075" t="s">
        <v>9</v>
      </c>
      <c r="D2075">
        <v>34</v>
      </c>
      <c r="E2075" s="2">
        <v>2.9178240740740741E-2</v>
      </c>
      <c r="F2075">
        <v>42.016666666666666</v>
      </c>
    </row>
    <row r="2076" spans="1:6" x14ac:dyDescent="0.25">
      <c r="A2076" s="1">
        <v>39083</v>
      </c>
      <c r="B2076" t="s">
        <v>20</v>
      </c>
      <c r="C2076" t="s">
        <v>10</v>
      </c>
      <c r="D2076">
        <v>15</v>
      </c>
      <c r="E2076" s="2">
        <v>1.7361111111111112E-2</v>
      </c>
      <c r="F2076">
        <v>25</v>
      </c>
    </row>
    <row r="2077" spans="1:6" x14ac:dyDescent="0.25">
      <c r="A2077" s="1">
        <v>39083</v>
      </c>
      <c r="B2077" t="s">
        <v>20</v>
      </c>
      <c r="C2077" t="s">
        <v>11</v>
      </c>
      <c r="D2077">
        <v>42</v>
      </c>
      <c r="E2077" s="2">
        <v>3.9571759259259258E-2</v>
      </c>
      <c r="F2077">
        <v>56.983333333333334</v>
      </c>
    </row>
    <row r="2078" spans="1:6" x14ac:dyDescent="0.25">
      <c r="A2078" s="1">
        <v>39083</v>
      </c>
      <c r="B2078" t="s">
        <v>21</v>
      </c>
      <c r="C2078" t="s">
        <v>6</v>
      </c>
      <c r="D2078">
        <v>51</v>
      </c>
      <c r="E2078" s="2">
        <v>5.7465277777777775E-2</v>
      </c>
      <c r="F2078">
        <v>82.75</v>
      </c>
    </row>
    <row r="2079" spans="1:6" x14ac:dyDescent="0.25">
      <c r="A2079" s="1">
        <v>39083</v>
      </c>
      <c r="B2079" t="s">
        <v>21</v>
      </c>
      <c r="C2079" t="s">
        <v>7</v>
      </c>
      <c r="D2079">
        <v>39</v>
      </c>
      <c r="E2079" s="2">
        <v>4.5960648148148146E-2</v>
      </c>
      <c r="F2079">
        <v>66.183333333333337</v>
      </c>
    </row>
    <row r="2080" spans="1:6" x14ac:dyDescent="0.25">
      <c r="A2080" s="1">
        <v>39083</v>
      </c>
      <c r="B2080" t="s">
        <v>21</v>
      </c>
      <c r="C2080" t="s">
        <v>8</v>
      </c>
      <c r="D2080">
        <v>21</v>
      </c>
      <c r="E2080" s="2">
        <v>2.6712962962962963E-2</v>
      </c>
      <c r="F2080">
        <v>38.466666666666669</v>
      </c>
    </row>
    <row r="2081" spans="1:6" x14ac:dyDescent="0.25">
      <c r="A2081" s="1">
        <v>39083</v>
      </c>
      <c r="B2081" t="s">
        <v>21</v>
      </c>
      <c r="C2081" t="s">
        <v>9</v>
      </c>
      <c r="D2081">
        <v>8</v>
      </c>
      <c r="E2081" s="2">
        <v>3.5532407407407409E-3</v>
      </c>
      <c r="F2081">
        <v>5.1166666666666663</v>
      </c>
    </row>
    <row r="2082" spans="1:6" x14ac:dyDescent="0.25">
      <c r="A2082" s="1">
        <v>39083</v>
      </c>
      <c r="B2082" t="s">
        <v>21</v>
      </c>
      <c r="C2082" t="s">
        <v>10</v>
      </c>
      <c r="D2082">
        <v>7</v>
      </c>
      <c r="E2082" s="2">
        <v>6.9328703703703705E-3</v>
      </c>
      <c r="F2082">
        <v>9.9833333333333325</v>
      </c>
    </row>
    <row r="2083" spans="1:6" x14ac:dyDescent="0.25">
      <c r="A2083" s="1">
        <v>39083</v>
      </c>
      <c r="B2083" t="s">
        <v>21</v>
      </c>
      <c r="C2083" t="s">
        <v>11</v>
      </c>
      <c r="D2083">
        <v>8</v>
      </c>
      <c r="E2083" s="2">
        <v>9.4560185185185181E-3</v>
      </c>
      <c r="F2083">
        <v>13.616666666666667</v>
      </c>
    </row>
    <row r="2084" spans="1:6" x14ac:dyDescent="0.25">
      <c r="A2084" s="1">
        <v>39083</v>
      </c>
      <c r="B2084" t="s">
        <v>22</v>
      </c>
      <c r="C2084" t="s">
        <v>6</v>
      </c>
      <c r="D2084">
        <v>22</v>
      </c>
      <c r="E2084" s="2">
        <v>1.8703703703703705E-2</v>
      </c>
      <c r="F2084">
        <v>26.933333333333334</v>
      </c>
    </row>
    <row r="2085" spans="1:6" x14ac:dyDescent="0.25">
      <c r="A2085" s="1">
        <v>39083</v>
      </c>
      <c r="B2085" t="s">
        <v>22</v>
      </c>
      <c r="C2085" t="s">
        <v>7</v>
      </c>
      <c r="D2085">
        <v>19</v>
      </c>
      <c r="E2085" s="2">
        <v>1.7962962962962962E-2</v>
      </c>
      <c r="F2085">
        <v>25.866666666666667</v>
      </c>
    </row>
    <row r="2086" spans="1:6" x14ac:dyDescent="0.25">
      <c r="A2086" s="1">
        <v>39083</v>
      </c>
      <c r="B2086" t="s">
        <v>22</v>
      </c>
      <c r="C2086" t="s">
        <v>8</v>
      </c>
      <c r="D2086">
        <v>4</v>
      </c>
      <c r="E2086" s="2">
        <v>4.1898148148148146E-3</v>
      </c>
      <c r="F2086">
        <v>6.0333333333333332</v>
      </c>
    </row>
    <row r="2087" spans="1:6" x14ac:dyDescent="0.25">
      <c r="A2087" s="1">
        <v>39083</v>
      </c>
      <c r="B2087" t="s">
        <v>22</v>
      </c>
      <c r="C2087" t="s">
        <v>9</v>
      </c>
      <c r="D2087">
        <v>4</v>
      </c>
      <c r="E2087" s="2">
        <v>7.9861111111111116E-4</v>
      </c>
      <c r="F2087">
        <v>1.1499999999999999</v>
      </c>
    </row>
    <row r="2088" spans="1:6" x14ac:dyDescent="0.25">
      <c r="A2088" s="1">
        <v>39083</v>
      </c>
      <c r="B2088" t="s">
        <v>22</v>
      </c>
      <c r="C2088" t="s">
        <v>10</v>
      </c>
      <c r="D2088">
        <v>3</v>
      </c>
      <c r="E2088" s="2">
        <v>3.449074074074074E-3</v>
      </c>
      <c r="F2088">
        <v>4.9666666666666668</v>
      </c>
    </row>
    <row r="2089" spans="1:6" x14ac:dyDescent="0.25">
      <c r="A2089" s="1">
        <v>39083</v>
      </c>
      <c r="B2089" t="s">
        <v>22</v>
      </c>
      <c r="C2089" t="s">
        <v>11</v>
      </c>
      <c r="D2089">
        <v>1</v>
      </c>
      <c r="E2089" s="2">
        <v>9.4907407407407408E-4</v>
      </c>
      <c r="F2089">
        <v>1.3666666666666667</v>
      </c>
    </row>
    <row r="2090" spans="1:6" x14ac:dyDescent="0.25">
      <c r="A2090" s="1">
        <v>39083</v>
      </c>
      <c r="B2090" t="s">
        <v>23</v>
      </c>
      <c r="C2090" t="s">
        <v>6</v>
      </c>
      <c r="D2090">
        <v>200</v>
      </c>
      <c r="E2090" s="2">
        <v>0.21773148148148147</v>
      </c>
      <c r="F2090">
        <v>313.53333333333336</v>
      </c>
    </row>
    <row r="2091" spans="1:6" x14ac:dyDescent="0.25">
      <c r="A2091" s="1">
        <v>39083</v>
      </c>
      <c r="B2091" t="s">
        <v>23</v>
      </c>
      <c r="C2091" t="s">
        <v>7</v>
      </c>
      <c r="D2091">
        <v>156</v>
      </c>
      <c r="E2091" s="2">
        <v>0.16950231481481481</v>
      </c>
      <c r="F2091">
        <v>244.08333333333334</v>
      </c>
    </row>
    <row r="2092" spans="1:6" x14ac:dyDescent="0.25">
      <c r="A2092" s="1">
        <v>39083</v>
      </c>
      <c r="B2092" t="s">
        <v>23</v>
      </c>
      <c r="C2092" t="s">
        <v>8</v>
      </c>
      <c r="D2092">
        <v>94</v>
      </c>
      <c r="E2092" s="2">
        <v>0.11194444444444444</v>
      </c>
      <c r="F2092">
        <v>161.19999999999999</v>
      </c>
    </row>
    <row r="2093" spans="1:6" x14ac:dyDescent="0.25">
      <c r="A2093" s="1">
        <v>39083</v>
      </c>
      <c r="B2093" t="s">
        <v>23</v>
      </c>
      <c r="C2093" t="s">
        <v>9</v>
      </c>
      <c r="D2093">
        <v>43</v>
      </c>
      <c r="E2093" s="2">
        <v>2.2615740740740742E-2</v>
      </c>
      <c r="F2093">
        <v>32.56666666666667</v>
      </c>
    </row>
    <row r="2094" spans="1:6" x14ac:dyDescent="0.25">
      <c r="A2094" s="1">
        <v>39083</v>
      </c>
      <c r="B2094" t="s">
        <v>23</v>
      </c>
      <c r="C2094" t="s">
        <v>10</v>
      </c>
      <c r="D2094">
        <v>60</v>
      </c>
      <c r="E2094" s="2">
        <v>6.8460648148148145E-2</v>
      </c>
      <c r="F2094">
        <v>98.583333333333329</v>
      </c>
    </row>
    <row r="2095" spans="1:6" x14ac:dyDescent="0.25">
      <c r="A2095" s="1">
        <v>39083</v>
      </c>
      <c r="B2095" t="s">
        <v>23</v>
      </c>
      <c r="C2095" t="s">
        <v>11</v>
      </c>
      <c r="D2095">
        <v>52</v>
      </c>
      <c r="E2095" s="2">
        <v>4.8113425925925928E-2</v>
      </c>
      <c r="F2095">
        <v>69.283333333333331</v>
      </c>
    </row>
    <row r="2096" spans="1:6" x14ac:dyDescent="0.25">
      <c r="A2096" s="1">
        <v>39083</v>
      </c>
      <c r="B2096" t="s">
        <v>24</v>
      </c>
      <c r="C2096" t="s">
        <v>6</v>
      </c>
      <c r="D2096">
        <v>59</v>
      </c>
      <c r="E2096" s="2">
        <v>3.3819444444444444E-2</v>
      </c>
      <c r="F2096">
        <v>48.7</v>
      </c>
    </row>
    <row r="2097" spans="1:6" x14ac:dyDescent="0.25">
      <c r="A2097" s="1">
        <v>39083</v>
      </c>
      <c r="B2097" t="s">
        <v>24</v>
      </c>
      <c r="C2097" t="s">
        <v>7</v>
      </c>
      <c r="D2097">
        <v>67</v>
      </c>
      <c r="E2097" s="2">
        <v>5.0497685185185187E-2</v>
      </c>
      <c r="F2097">
        <v>72.716666666666669</v>
      </c>
    </row>
    <row r="2098" spans="1:6" x14ac:dyDescent="0.25">
      <c r="A2098" s="1">
        <v>39083</v>
      </c>
      <c r="B2098" t="s">
        <v>24</v>
      </c>
      <c r="C2098" t="s">
        <v>8</v>
      </c>
      <c r="D2098">
        <v>37</v>
      </c>
      <c r="E2098" s="2">
        <v>3.0567129629629628E-2</v>
      </c>
      <c r="F2098">
        <v>44.016666666666666</v>
      </c>
    </row>
    <row r="2099" spans="1:6" x14ac:dyDescent="0.25">
      <c r="A2099" s="1">
        <v>39083</v>
      </c>
      <c r="B2099" t="s">
        <v>24</v>
      </c>
      <c r="C2099" t="s">
        <v>9</v>
      </c>
      <c r="D2099">
        <v>17</v>
      </c>
      <c r="E2099" s="2">
        <v>1.1307870370370371E-2</v>
      </c>
      <c r="F2099">
        <v>16.283333333333335</v>
      </c>
    </row>
    <row r="2100" spans="1:6" x14ac:dyDescent="0.25">
      <c r="A2100" s="1">
        <v>39083</v>
      </c>
      <c r="B2100" t="s">
        <v>24</v>
      </c>
      <c r="C2100" t="s">
        <v>10</v>
      </c>
      <c r="D2100">
        <v>1</v>
      </c>
      <c r="E2100" s="2">
        <v>1.4120370370370369E-3</v>
      </c>
      <c r="F2100">
        <v>2.0333333333333332</v>
      </c>
    </row>
    <row r="2101" spans="1:6" x14ac:dyDescent="0.25">
      <c r="A2101" s="1">
        <v>39083</v>
      </c>
      <c r="B2101" t="s">
        <v>24</v>
      </c>
      <c r="C2101" t="s">
        <v>11</v>
      </c>
      <c r="D2101">
        <v>29</v>
      </c>
      <c r="E2101" s="2">
        <v>1.787037037037037E-2</v>
      </c>
      <c r="F2101">
        <v>25.733333333333334</v>
      </c>
    </row>
    <row r="2102" spans="1:6" x14ac:dyDescent="0.25">
      <c r="A2102" s="1">
        <v>39114</v>
      </c>
      <c r="B2102" t="s">
        <v>5</v>
      </c>
      <c r="C2102" t="s">
        <v>6</v>
      </c>
      <c r="D2102">
        <v>29</v>
      </c>
      <c r="E2102" s="2">
        <v>2.4270833333333332E-2</v>
      </c>
      <c r="F2102">
        <v>34.950000000000003</v>
      </c>
    </row>
    <row r="2103" spans="1:6" x14ac:dyDescent="0.25">
      <c r="A2103" s="1">
        <v>39114</v>
      </c>
      <c r="B2103" t="s">
        <v>5</v>
      </c>
      <c r="C2103" t="s">
        <v>7</v>
      </c>
      <c r="D2103">
        <v>30</v>
      </c>
      <c r="E2103" s="2">
        <v>2.6932870370370371E-2</v>
      </c>
      <c r="F2103">
        <v>38.783333333333331</v>
      </c>
    </row>
    <row r="2104" spans="1:6" x14ac:dyDescent="0.25">
      <c r="A2104" s="1">
        <v>39114</v>
      </c>
      <c r="B2104" t="s">
        <v>5</v>
      </c>
      <c r="C2104" t="s">
        <v>8</v>
      </c>
      <c r="D2104">
        <v>16</v>
      </c>
      <c r="E2104" s="2">
        <v>1.5995370370370372E-2</v>
      </c>
      <c r="F2104">
        <v>23.033333333333335</v>
      </c>
    </row>
    <row r="2105" spans="1:6" x14ac:dyDescent="0.25">
      <c r="A2105" s="1">
        <v>39114</v>
      </c>
      <c r="B2105" t="s">
        <v>5</v>
      </c>
      <c r="C2105" t="s">
        <v>9</v>
      </c>
      <c r="D2105">
        <v>5</v>
      </c>
      <c r="E2105" s="2">
        <v>2.8472222222222223E-3</v>
      </c>
      <c r="F2105">
        <v>4.0999999999999996</v>
      </c>
    </row>
    <row r="2106" spans="1:6" x14ac:dyDescent="0.25">
      <c r="A2106" s="1">
        <v>39114</v>
      </c>
      <c r="B2106" t="s">
        <v>5</v>
      </c>
      <c r="C2106" t="s">
        <v>10</v>
      </c>
      <c r="D2106">
        <v>8</v>
      </c>
      <c r="E2106" s="2">
        <v>4.6064814814814814E-3</v>
      </c>
      <c r="F2106">
        <v>6.6333333333333329</v>
      </c>
    </row>
    <row r="2107" spans="1:6" x14ac:dyDescent="0.25">
      <c r="A2107" s="1">
        <v>39114</v>
      </c>
      <c r="B2107" t="s">
        <v>5</v>
      </c>
      <c r="C2107" t="s">
        <v>11</v>
      </c>
      <c r="D2107">
        <v>12</v>
      </c>
      <c r="E2107" s="2">
        <v>1.1111111111111112E-2</v>
      </c>
      <c r="F2107">
        <v>16</v>
      </c>
    </row>
    <row r="2108" spans="1:6" x14ac:dyDescent="0.25">
      <c r="A2108" s="1">
        <v>39114</v>
      </c>
      <c r="B2108" t="s">
        <v>12</v>
      </c>
      <c r="C2108" t="s">
        <v>6</v>
      </c>
      <c r="D2108">
        <v>59</v>
      </c>
      <c r="E2108" s="2">
        <v>6.3460648148148155E-2</v>
      </c>
      <c r="F2108">
        <v>91.38333333333334</v>
      </c>
    </row>
    <row r="2109" spans="1:6" x14ac:dyDescent="0.25">
      <c r="A2109" s="1">
        <v>39114</v>
      </c>
      <c r="B2109" t="s">
        <v>12</v>
      </c>
      <c r="C2109" t="s">
        <v>7</v>
      </c>
      <c r="D2109">
        <v>68</v>
      </c>
      <c r="E2109" s="2">
        <v>8.638888888888889E-2</v>
      </c>
      <c r="F2109">
        <v>124.4</v>
      </c>
    </row>
    <row r="2110" spans="1:6" x14ac:dyDescent="0.25">
      <c r="A2110" s="1">
        <v>39114</v>
      </c>
      <c r="B2110" t="s">
        <v>12</v>
      </c>
      <c r="C2110" t="s">
        <v>8</v>
      </c>
      <c r="D2110">
        <v>41</v>
      </c>
      <c r="E2110" s="2">
        <v>5.9224537037037034E-2</v>
      </c>
      <c r="F2110">
        <v>85.283333333333331</v>
      </c>
    </row>
    <row r="2111" spans="1:6" x14ac:dyDescent="0.25">
      <c r="A2111" s="1">
        <v>39114</v>
      </c>
      <c r="B2111" t="s">
        <v>12</v>
      </c>
      <c r="C2111" t="s">
        <v>9</v>
      </c>
      <c r="D2111">
        <v>20</v>
      </c>
      <c r="E2111" s="2">
        <v>1.7916666666666668E-2</v>
      </c>
      <c r="F2111">
        <v>25.8</v>
      </c>
    </row>
    <row r="2112" spans="1:6" x14ac:dyDescent="0.25">
      <c r="A2112" s="1">
        <v>39114</v>
      </c>
      <c r="B2112" t="s">
        <v>12</v>
      </c>
      <c r="C2112" t="s">
        <v>10</v>
      </c>
      <c r="D2112">
        <v>6</v>
      </c>
      <c r="E2112" s="2">
        <v>5.9375000000000001E-3</v>
      </c>
      <c r="F2112">
        <v>8.5500000000000007</v>
      </c>
    </row>
    <row r="2113" spans="1:6" x14ac:dyDescent="0.25">
      <c r="A2113" s="1">
        <v>39114</v>
      </c>
      <c r="B2113" t="s">
        <v>12</v>
      </c>
      <c r="C2113" t="s">
        <v>11</v>
      </c>
      <c r="D2113">
        <v>26</v>
      </c>
      <c r="E2113" s="2">
        <v>2.4236111111111111E-2</v>
      </c>
      <c r="F2113">
        <v>34.9</v>
      </c>
    </row>
    <row r="2114" spans="1:6" x14ac:dyDescent="0.25">
      <c r="A2114" s="1">
        <v>39114</v>
      </c>
      <c r="B2114" t="s">
        <v>13</v>
      </c>
      <c r="C2114" t="s">
        <v>6</v>
      </c>
      <c r="D2114">
        <v>71</v>
      </c>
      <c r="E2114" s="2">
        <v>7.1585648148148148E-2</v>
      </c>
      <c r="F2114">
        <v>103.08333333333333</v>
      </c>
    </row>
    <row r="2115" spans="1:6" x14ac:dyDescent="0.25">
      <c r="A2115" s="1">
        <v>39114</v>
      </c>
      <c r="B2115" t="s">
        <v>13</v>
      </c>
      <c r="C2115" t="s">
        <v>7</v>
      </c>
      <c r="D2115">
        <v>47</v>
      </c>
      <c r="E2115" s="2">
        <v>6.1689814814814815E-2</v>
      </c>
      <c r="F2115">
        <v>88.833333333333329</v>
      </c>
    </row>
    <row r="2116" spans="1:6" x14ac:dyDescent="0.25">
      <c r="A2116" s="1">
        <v>39114</v>
      </c>
      <c r="B2116" t="s">
        <v>13</v>
      </c>
      <c r="C2116" t="s">
        <v>8</v>
      </c>
      <c r="D2116">
        <v>43</v>
      </c>
      <c r="E2116" s="2">
        <v>5.2499999999999998E-2</v>
      </c>
      <c r="F2116">
        <v>75.599999999999994</v>
      </c>
    </row>
    <row r="2117" spans="1:6" x14ac:dyDescent="0.25">
      <c r="A2117" s="1">
        <v>39114</v>
      </c>
      <c r="B2117" t="s">
        <v>13</v>
      </c>
      <c r="C2117" t="s">
        <v>9</v>
      </c>
      <c r="D2117">
        <v>17</v>
      </c>
      <c r="E2117" s="2">
        <v>1.3796296296296296E-2</v>
      </c>
      <c r="F2117">
        <v>19.866666666666667</v>
      </c>
    </row>
    <row r="2118" spans="1:6" x14ac:dyDescent="0.25">
      <c r="A2118" s="1">
        <v>39114</v>
      </c>
      <c r="B2118" t="s">
        <v>13</v>
      </c>
      <c r="C2118" t="s">
        <v>10</v>
      </c>
      <c r="D2118">
        <v>28</v>
      </c>
      <c r="E2118" s="2">
        <v>3.1122685185185184E-2</v>
      </c>
      <c r="F2118">
        <v>44.81666666666667</v>
      </c>
    </row>
    <row r="2119" spans="1:6" x14ac:dyDescent="0.25">
      <c r="A2119" s="1">
        <v>39114</v>
      </c>
      <c r="B2119" t="s">
        <v>13</v>
      </c>
      <c r="C2119" t="s">
        <v>11</v>
      </c>
      <c r="D2119">
        <v>18</v>
      </c>
      <c r="E2119" s="2">
        <v>1.6655092592592593E-2</v>
      </c>
      <c r="F2119">
        <v>23.983333333333334</v>
      </c>
    </row>
    <row r="2120" spans="1:6" x14ac:dyDescent="0.25">
      <c r="A2120" s="1">
        <v>39114</v>
      </c>
      <c r="B2120" t="s">
        <v>14</v>
      </c>
      <c r="C2120" t="s">
        <v>6</v>
      </c>
      <c r="D2120">
        <v>20</v>
      </c>
      <c r="E2120" s="2">
        <v>2.4155092592592593E-2</v>
      </c>
      <c r="F2120">
        <v>34.783333333333331</v>
      </c>
    </row>
    <row r="2121" spans="1:6" x14ac:dyDescent="0.25">
      <c r="A2121" s="1">
        <v>39114</v>
      </c>
      <c r="B2121" t="s">
        <v>14</v>
      </c>
      <c r="C2121" t="s">
        <v>7</v>
      </c>
      <c r="D2121">
        <v>11</v>
      </c>
      <c r="E2121" s="2">
        <v>1.361111111111111E-2</v>
      </c>
      <c r="F2121">
        <v>19.600000000000001</v>
      </c>
    </row>
    <row r="2122" spans="1:6" x14ac:dyDescent="0.25">
      <c r="A2122" s="1">
        <v>39114</v>
      </c>
      <c r="B2122" t="s">
        <v>14</v>
      </c>
      <c r="C2122" t="s">
        <v>8</v>
      </c>
      <c r="D2122">
        <v>3</v>
      </c>
      <c r="E2122" s="2">
        <v>4.2013888888888891E-3</v>
      </c>
      <c r="F2122">
        <v>6.05</v>
      </c>
    </row>
    <row r="2123" spans="1:6" x14ac:dyDescent="0.25">
      <c r="A2123" s="1">
        <v>39114</v>
      </c>
      <c r="B2123" t="s">
        <v>14</v>
      </c>
      <c r="C2123" t="s">
        <v>9</v>
      </c>
      <c r="D2123">
        <v>0</v>
      </c>
      <c r="E2123" s="2">
        <v>0</v>
      </c>
      <c r="F2123">
        <v>0</v>
      </c>
    </row>
    <row r="2124" spans="1:6" x14ac:dyDescent="0.25">
      <c r="A2124" s="1">
        <v>39114</v>
      </c>
      <c r="B2124" t="s">
        <v>14</v>
      </c>
      <c r="C2124" t="s">
        <v>10</v>
      </c>
      <c r="D2124">
        <v>0</v>
      </c>
      <c r="E2124" s="2">
        <v>0</v>
      </c>
      <c r="F2124">
        <v>0</v>
      </c>
    </row>
    <row r="2125" spans="1:6" x14ac:dyDescent="0.25">
      <c r="A2125" s="1">
        <v>39114</v>
      </c>
      <c r="B2125" t="s">
        <v>14</v>
      </c>
      <c r="C2125" t="s">
        <v>11</v>
      </c>
      <c r="D2125">
        <v>5</v>
      </c>
      <c r="E2125" s="2">
        <v>5.6018518518518518E-3</v>
      </c>
      <c r="F2125">
        <v>8.0666666666666664</v>
      </c>
    </row>
    <row r="2126" spans="1:6" x14ac:dyDescent="0.25">
      <c r="A2126" s="1">
        <v>39114</v>
      </c>
      <c r="B2126" t="s">
        <v>15</v>
      </c>
      <c r="C2126" t="s">
        <v>6</v>
      </c>
      <c r="D2126">
        <v>61</v>
      </c>
      <c r="E2126" s="2">
        <v>6.2511574074074081E-2</v>
      </c>
      <c r="F2126">
        <v>90.016666666666666</v>
      </c>
    </row>
    <row r="2127" spans="1:6" x14ac:dyDescent="0.25">
      <c r="A2127" s="1">
        <v>39114</v>
      </c>
      <c r="B2127" t="s">
        <v>15</v>
      </c>
      <c r="C2127" t="s">
        <v>7</v>
      </c>
      <c r="D2127">
        <v>29</v>
      </c>
      <c r="E2127" s="2">
        <v>3.259259259259259E-2</v>
      </c>
      <c r="F2127">
        <v>46.93333333333333</v>
      </c>
    </row>
    <row r="2128" spans="1:6" x14ac:dyDescent="0.25">
      <c r="A2128" s="1">
        <v>39114</v>
      </c>
      <c r="B2128" t="s">
        <v>15</v>
      </c>
      <c r="C2128" t="s">
        <v>8</v>
      </c>
      <c r="D2128">
        <v>22</v>
      </c>
      <c r="E2128" s="2">
        <v>2.6886574074074073E-2</v>
      </c>
      <c r="F2128">
        <v>38.716666666666669</v>
      </c>
    </row>
    <row r="2129" spans="1:6" x14ac:dyDescent="0.25">
      <c r="A2129" s="1">
        <v>39114</v>
      </c>
      <c r="B2129" t="s">
        <v>15</v>
      </c>
      <c r="C2129" t="s">
        <v>9</v>
      </c>
      <c r="D2129">
        <v>8</v>
      </c>
      <c r="E2129" s="2">
        <v>3.3796296296296296E-3</v>
      </c>
      <c r="F2129">
        <v>4.8666666666666671</v>
      </c>
    </row>
    <row r="2130" spans="1:6" x14ac:dyDescent="0.25">
      <c r="A2130" s="1">
        <v>39114</v>
      </c>
      <c r="B2130" t="s">
        <v>15</v>
      </c>
      <c r="C2130" t="s">
        <v>10</v>
      </c>
      <c r="D2130">
        <v>10</v>
      </c>
      <c r="E2130" s="2">
        <v>1.1817129629629629E-2</v>
      </c>
      <c r="F2130">
        <v>17.016666666666666</v>
      </c>
    </row>
    <row r="2131" spans="1:6" x14ac:dyDescent="0.25">
      <c r="A2131" s="1">
        <v>39114</v>
      </c>
      <c r="B2131" t="s">
        <v>15</v>
      </c>
      <c r="C2131" t="s">
        <v>11</v>
      </c>
      <c r="D2131">
        <v>12</v>
      </c>
      <c r="E2131" s="2">
        <v>8.2291666666666659E-3</v>
      </c>
      <c r="F2131">
        <v>11.85</v>
      </c>
    </row>
    <row r="2132" spans="1:6" x14ac:dyDescent="0.25">
      <c r="A2132" s="1">
        <v>39114</v>
      </c>
      <c r="B2132" t="s">
        <v>16</v>
      </c>
      <c r="C2132" t="s">
        <v>6</v>
      </c>
      <c r="D2132">
        <v>30</v>
      </c>
      <c r="E2132" s="2">
        <v>2.4780092592592593E-2</v>
      </c>
      <c r="F2132">
        <v>35.68333333333333</v>
      </c>
    </row>
    <row r="2133" spans="1:6" x14ac:dyDescent="0.25">
      <c r="A2133" s="1">
        <v>39114</v>
      </c>
      <c r="B2133" t="s">
        <v>16</v>
      </c>
      <c r="C2133" t="s">
        <v>7</v>
      </c>
      <c r="D2133">
        <v>15</v>
      </c>
      <c r="E2133" s="2">
        <v>1.2858796296296297E-2</v>
      </c>
      <c r="F2133">
        <v>18.516666666666666</v>
      </c>
    </row>
    <row r="2134" spans="1:6" x14ac:dyDescent="0.25">
      <c r="A2134" s="1">
        <v>39114</v>
      </c>
      <c r="B2134" t="s">
        <v>16</v>
      </c>
      <c r="C2134" t="s">
        <v>8</v>
      </c>
      <c r="D2134">
        <v>20</v>
      </c>
      <c r="E2134" s="2">
        <v>1.7002314814814814E-2</v>
      </c>
      <c r="F2134">
        <v>24.483333333333334</v>
      </c>
    </row>
    <row r="2135" spans="1:6" x14ac:dyDescent="0.25">
      <c r="A2135" s="1">
        <v>39114</v>
      </c>
      <c r="B2135" t="s">
        <v>16</v>
      </c>
      <c r="C2135" t="s">
        <v>9</v>
      </c>
      <c r="D2135">
        <v>12</v>
      </c>
      <c r="E2135" s="2">
        <v>5.7870370370370367E-3</v>
      </c>
      <c r="F2135">
        <v>8.3333333333333339</v>
      </c>
    </row>
    <row r="2136" spans="1:6" x14ac:dyDescent="0.25">
      <c r="A2136" s="1">
        <v>39114</v>
      </c>
      <c r="B2136" t="s">
        <v>16</v>
      </c>
      <c r="C2136" t="s">
        <v>10</v>
      </c>
      <c r="D2136">
        <v>3</v>
      </c>
      <c r="E2136" s="2">
        <v>2.3842592592592591E-3</v>
      </c>
      <c r="F2136">
        <v>3.4333333333333336</v>
      </c>
    </row>
    <row r="2137" spans="1:6" x14ac:dyDescent="0.25">
      <c r="A2137" s="1">
        <v>39114</v>
      </c>
      <c r="B2137" t="s">
        <v>16</v>
      </c>
      <c r="C2137" t="s">
        <v>11</v>
      </c>
      <c r="D2137">
        <v>14</v>
      </c>
      <c r="E2137" s="2">
        <v>1.03125E-2</v>
      </c>
      <c r="F2137">
        <v>14.85</v>
      </c>
    </row>
    <row r="2138" spans="1:6" x14ac:dyDescent="0.25">
      <c r="A2138" s="1">
        <v>39114</v>
      </c>
      <c r="B2138" t="s">
        <v>17</v>
      </c>
      <c r="C2138" t="s">
        <v>6</v>
      </c>
      <c r="D2138">
        <v>15</v>
      </c>
      <c r="E2138" s="2">
        <v>1.2835648148148148E-2</v>
      </c>
      <c r="F2138">
        <v>18.483333333333334</v>
      </c>
    </row>
    <row r="2139" spans="1:6" x14ac:dyDescent="0.25">
      <c r="A2139" s="1">
        <v>39114</v>
      </c>
      <c r="B2139" t="s">
        <v>17</v>
      </c>
      <c r="C2139" t="s">
        <v>7</v>
      </c>
      <c r="D2139">
        <v>6</v>
      </c>
      <c r="E2139" s="2">
        <v>6.030092592592593E-3</v>
      </c>
      <c r="F2139">
        <v>8.6833333333333336</v>
      </c>
    </row>
    <row r="2140" spans="1:6" x14ac:dyDescent="0.25">
      <c r="A2140" s="1">
        <v>39114</v>
      </c>
      <c r="B2140" t="s">
        <v>17</v>
      </c>
      <c r="C2140" t="s">
        <v>8</v>
      </c>
      <c r="D2140">
        <v>6</v>
      </c>
      <c r="E2140" s="2">
        <v>8.2175925925925923E-3</v>
      </c>
      <c r="F2140">
        <v>11.833333333333334</v>
      </c>
    </row>
    <row r="2141" spans="1:6" x14ac:dyDescent="0.25">
      <c r="A2141" s="1">
        <v>39114</v>
      </c>
      <c r="B2141" t="s">
        <v>17</v>
      </c>
      <c r="C2141" t="s">
        <v>9</v>
      </c>
      <c r="D2141">
        <v>5</v>
      </c>
      <c r="E2141" s="2">
        <v>3.0092592592592593E-3</v>
      </c>
      <c r="F2141">
        <v>4.333333333333333</v>
      </c>
    </row>
    <row r="2142" spans="1:6" x14ac:dyDescent="0.25">
      <c r="A2142" s="1">
        <v>39114</v>
      </c>
      <c r="B2142" t="s">
        <v>17</v>
      </c>
      <c r="C2142" t="s">
        <v>10</v>
      </c>
      <c r="D2142">
        <v>3</v>
      </c>
      <c r="E2142" s="2">
        <v>3.2175925925925926E-3</v>
      </c>
      <c r="F2142">
        <v>4.6333333333333329</v>
      </c>
    </row>
    <row r="2143" spans="1:6" x14ac:dyDescent="0.25">
      <c r="A2143" s="1">
        <v>39114</v>
      </c>
      <c r="B2143" t="s">
        <v>17</v>
      </c>
      <c r="C2143" t="s">
        <v>11</v>
      </c>
      <c r="D2143">
        <v>5</v>
      </c>
      <c r="E2143" s="2">
        <v>4.3055555555555555E-3</v>
      </c>
      <c r="F2143">
        <v>6.2</v>
      </c>
    </row>
    <row r="2144" spans="1:6" x14ac:dyDescent="0.25">
      <c r="A2144" s="1">
        <v>39114</v>
      </c>
      <c r="B2144" t="s">
        <v>18</v>
      </c>
      <c r="C2144" t="s">
        <v>6</v>
      </c>
      <c r="D2144">
        <v>72</v>
      </c>
      <c r="E2144" s="2">
        <v>5.0625000000000003E-2</v>
      </c>
      <c r="F2144">
        <v>72.900000000000006</v>
      </c>
    </row>
    <row r="2145" spans="1:6" x14ac:dyDescent="0.25">
      <c r="A2145" s="1">
        <v>39114</v>
      </c>
      <c r="B2145" t="s">
        <v>18</v>
      </c>
      <c r="C2145" t="s">
        <v>7</v>
      </c>
      <c r="D2145">
        <v>70</v>
      </c>
      <c r="E2145" s="2">
        <v>6.7858796296296292E-2</v>
      </c>
      <c r="F2145">
        <v>97.716666666666669</v>
      </c>
    </row>
    <row r="2146" spans="1:6" x14ac:dyDescent="0.25">
      <c r="A2146" s="1">
        <v>39114</v>
      </c>
      <c r="B2146" t="s">
        <v>18</v>
      </c>
      <c r="C2146" t="s">
        <v>8</v>
      </c>
      <c r="D2146">
        <v>38</v>
      </c>
      <c r="E2146" s="2">
        <v>4.221064814814815E-2</v>
      </c>
      <c r="F2146">
        <v>60.783333333333331</v>
      </c>
    </row>
    <row r="2147" spans="1:6" x14ac:dyDescent="0.25">
      <c r="A2147" s="1">
        <v>39114</v>
      </c>
      <c r="B2147" t="s">
        <v>18</v>
      </c>
      <c r="C2147" t="s">
        <v>9</v>
      </c>
      <c r="D2147">
        <v>39</v>
      </c>
      <c r="E2147" s="2">
        <v>1.9988425925925927E-2</v>
      </c>
      <c r="F2147">
        <v>28.783333333333335</v>
      </c>
    </row>
    <row r="2148" spans="1:6" x14ac:dyDescent="0.25">
      <c r="A2148" s="1">
        <v>39114</v>
      </c>
      <c r="B2148" t="s">
        <v>18</v>
      </c>
      <c r="C2148" t="s">
        <v>10</v>
      </c>
      <c r="D2148">
        <v>130</v>
      </c>
      <c r="E2148" s="2">
        <v>9.8923611111111115E-2</v>
      </c>
      <c r="F2148">
        <v>142.44999999999999</v>
      </c>
    </row>
    <row r="2149" spans="1:6" x14ac:dyDescent="0.25">
      <c r="A2149" s="1">
        <v>39114</v>
      </c>
      <c r="B2149" t="s">
        <v>18</v>
      </c>
      <c r="C2149" t="s">
        <v>11</v>
      </c>
      <c r="D2149">
        <v>26</v>
      </c>
      <c r="E2149" s="2">
        <v>1.6597222222222222E-2</v>
      </c>
      <c r="F2149">
        <v>23.9</v>
      </c>
    </row>
    <row r="2150" spans="1:6" x14ac:dyDescent="0.25">
      <c r="A2150" s="1">
        <v>39114</v>
      </c>
      <c r="B2150" t="s">
        <v>19</v>
      </c>
      <c r="C2150" t="s">
        <v>6</v>
      </c>
      <c r="D2150">
        <v>41</v>
      </c>
      <c r="E2150" s="2">
        <v>3.6307870370370372E-2</v>
      </c>
      <c r="F2150">
        <v>52.283333333333331</v>
      </c>
    </row>
    <row r="2151" spans="1:6" x14ac:dyDescent="0.25">
      <c r="A2151" s="1">
        <v>39114</v>
      </c>
      <c r="B2151" t="s">
        <v>19</v>
      </c>
      <c r="C2151" t="s">
        <v>7</v>
      </c>
      <c r="D2151">
        <v>31</v>
      </c>
      <c r="E2151" s="2">
        <v>3.4155092592592591E-2</v>
      </c>
      <c r="F2151">
        <v>49.18333333333333</v>
      </c>
    </row>
    <row r="2152" spans="1:6" x14ac:dyDescent="0.25">
      <c r="A2152" s="1">
        <v>39114</v>
      </c>
      <c r="B2152" t="s">
        <v>19</v>
      </c>
      <c r="C2152" t="s">
        <v>8</v>
      </c>
      <c r="D2152">
        <v>28</v>
      </c>
      <c r="E2152" s="2">
        <v>3.4768518518518518E-2</v>
      </c>
      <c r="F2152">
        <v>50.06666666666667</v>
      </c>
    </row>
    <row r="2153" spans="1:6" x14ac:dyDescent="0.25">
      <c r="A2153" s="1">
        <v>39114</v>
      </c>
      <c r="B2153" t="s">
        <v>19</v>
      </c>
      <c r="C2153" t="s">
        <v>9</v>
      </c>
      <c r="D2153">
        <v>19</v>
      </c>
      <c r="E2153" s="2">
        <v>1.2129629629629629E-2</v>
      </c>
      <c r="F2153">
        <v>17.466666666666665</v>
      </c>
    </row>
    <row r="2154" spans="1:6" x14ac:dyDescent="0.25">
      <c r="A2154" s="1">
        <v>39114</v>
      </c>
      <c r="B2154" t="s">
        <v>19</v>
      </c>
      <c r="C2154" t="s">
        <v>10</v>
      </c>
      <c r="D2154">
        <v>26</v>
      </c>
      <c r="E2154" s="2">
        <v>2.2349537037037036E-2</v>
      </c>
      <c r="F2154">
        <v>32.18333333333333</v>
      </c>
    </row>
    <row r="2155" spans="1:6" x14ac:dyDescent="0.25">
      <c r="A2155" s="1">
        <v>39114</v>
      </c>
      <c r="B2155" t="s">
        <v>19</v>
      </c>
      <c r="C2155" t="s">
        <v>11</v>
      </c>
      <c r="D2155">
        <v>14</v>
      </c>
      <c r="E2155" s="2">
        <v>1.2812499999999999E-2</v>
      </c>
      <c r="F2155">
        <v>18.45</v>
      </c>
    </row>
    <row r="2156" spans="1:6" x14ac:dyDescent="0.25">
      <c r="A2156" s="1">
        <v>39114</v>
      </c>
      <c r="B2156" t="s">
        <v>20</v>
      </c>
      <c r="C2156" t="s">
        <v>6</v>
      </c>
      <c r="D2156">
        <v>79</v>
      </c>
      <c r="E2156" s="2">
        <v>6.025462962962963E-2</v>
      </c>
      <c r="F2156">
        <v>86.766666666666666</v>
      </c>
    </row>
    <row r="2157" spans="1:6" x14ac:dyDescent="0.25">
      <c r="A2157" s="1">
        <v>39114</v>
      </c>
      <c r="B2157" t="s">
        <v>20</v>
      </c>
      <c r="C2157" t="s">
        <v>7</v>
      </c>
      <c r="D2157">
        <v>79</v>
      </c>
      <c r="E2157" s="2">
        <v>8.2418981481481482E-2</v>
      </c>
      <c r="F2157">
        <v>118.68333333333334</v>
      </c>
    </row>
    <row r="2158" spans="1:6" x14ac:dyDescent="0.25">
      <c r="A2158" s="1">
        <v>39114</v>
      </c>
      <c r="B2158" t="s">
        <v>20</v>
      </c>
      <c r="C2158" t="s">
        <v>8</v>
      </c>
      <c r="D2158">
        <v>70</v>
      </c>
      <c r="E2158" s="2">
        <v>8.4560185185185183E-2</v>
      </c>
      <c r="F2158">
        <v>121.76666666666667</v>
      </c>
    </row>
    <row r="2159" spans="1:6" x14ac:dyDescent="0.25">
      <c r="A2159" s="1">
        <v>39114</v>
      </c>
      <c r="B2159" t="s">
        <v>20</v>
      </c>
      <c r="C2159" t="s">
        <v>9</v>
      </c>
      <c r="D2159">
        <v>34</v>
      </c>
      <c r="E2159" s="2">
        <v>2.480324074074074E-2</v>
      </c>
      <c r="F2159">
        <v>35.716666666666669</v>
      </c>
    </row>
    <row r="2160" spans="1:6" x14ac:dyDescent="0.25">
      <c r="A2160" s="1">
        <v>39114</v>
      </c>
      <c r="B2160" t="s">
        <v>20</v>
      </c>
      <c r="C2160" t="s">
        <v>10</v>
      </c>
      <c r="D2160">
        <v>16</v>
      </c>
      <c r="E2160" s="2">
        <v>1.7824074074074076E-2</v>
      </c>
      <c r="F2160">
        <v>25.666666666666668</v>
      </c>
    </row>
    <row r="2161" spans="1:6" x14ac:dyDescent="0.25">
      <c r="A2161" s="1">
        <v>39114</v>
      </c>
      <c r="B2161" t="s">
        <v>20</v>
      </c>
      <c r="C2161" t="s">
        <v>11</v>
      </c>
      <c r="D2161">
        <v>40</v>
      </c>
      <c r="E2161" s="2">
        <v>3.8287037037037036E-2</v>
      </c>
      <c r="F2161">
        <v>55.133333333333333</v>
      </c>
    </row>
    <row r="2162" spans="1:6" x14ac:dyDescent="0.25">
      <c r="A2162" s="1">
        <v>39114</v>
      </c>
      <c r="B2162" t="s">
        <v>21</v>
      </c>
      <c r="C2162" t="s">
        <v>6</v>
      </c>
      <c r="D2162">
        <v>39</v>
      </c>
      <c r="E2162" s="2">
        <v>4.4444444444444446E-2</v>
      </c>
      <c r="F2162">
        <v>64</v>
      </c>
    </row>
    <row r="2163" spans="1:6" x14ac:dyDescent="0.25">
      <c r="A2163" s="1">
        <v>39114</v>
      </c>
      <c r="B2163" t="s">
        <v>21</v>
      </c>
      <c r="C2163" t="s">
        <v>7</v>
      </c>
      <c r="D2163">
        <v>39</v>
      </c>
      <c r="E2163" s="2">
        <v>4.5636574074074072E-2</v>
      </c>
      <c r="F2163">
        <v>65.716666666666669</v>
      </c>
    </row>
    <row r="2164" spans="1:6" x14ac:dyDescent="0.25">
      <c r="A2164" s="1">
        <v>39114</v>
      </c>
      <c r="B2164" t="s">
        <v>21</v>
      </c>
      <c r="C2164" t="s">
        <v>8</v>
      </c>
      <c r="D2164">
        <v>14</v>
      </c>
      <c r="E2164" s="2">
        <v>1.699074074074074E-2</v>
      </c>
      <c r="F2164">
        <v>24.466666666666665</v>
      </c>
    </row>
    <row r="2165" spans="1:6" x14ac:dyDescent="0.25">
      <c r="A2165" s="1">
        <v>39114</v>
      </c>
      <c r="B2165" t="s">
        <v>21</v>
      </c>
      <c r="C2165" t="s">
        <v>9</v>
      </c>
      <c r="D2165">
        <v>6</v>
      </c>
      <c r="E2165" s="2">
        <v>4.6527777777777774E-3</v>
      </c>
      <c r="F2165">
        <v>6.7</v>
      </c>
    </row>
    <row r="2166" spans="1:6" x14ac:dyDescent="0.25">
      <c r="A2166" s="1">
        <v>39114</v>
      </c>
      <c r="B2166" t="s">
        <v>21</v>
      </c>
      <c r="C2166" t="s">
        <v>10</v>
      </c>
      <c r="D2166">
        <v>16</v>
      </c>
      <c r="E2166" s="2">
        <v>1.3194444444444444E-2</v>
      </c>
      <c r="F2166">
        <v>19</v>
      </c>
    </row>
    <row r="2167" spans="1:6" x14ac:dyDescent="0.25">
      <c r="A2167" s="1">
        <v>39114</v>
      </c>
      <c r="B2167" t="s">
        <v>21</v>
      </c>
      <c r="C2167" t="s">
        <v>11</v>
      </c>
      <c r="D2167">
        <v>13</v>
      </c>
      <c r="E2167" s="2">
        <v>1.2083333333333333E-2</v>
      </c>
      <c r="F2167">
        <v>17.399999999999999</v>
      </c>
    </row>
    <row r="2168" spans="1:6" x14ac:dyDescent="0.25">
      <c r="A2168" s="1">
        <v>39114</v>
      </c>
      <c r="B2168" t="s">
        <v>22</v>
      </c>
      <c r="C2168" t="s">
        <v>6</v>
      </c>
      <c r="D2168">
        <v>15</v>
      </c>
      <c r="E2168" s="2">
        <v>1.4618055555555556E-2</v>
      </c>
      <c r="F2168">
        <v>21.05</v>
      </c>
    </row>
    <row r="2169" spans="1:6" x14ac:dyDescent="0.25">
      <c r="A2169" s="1">
        <v>39114</v>
      </c>
      <c r="B2169" t="s">
        <v>22</v>
      </c>
      <c r="C2169" t="s">
        <v>7</v>
      </c>
      <c r="D2169">
        <v>17</v>
      </c>
      <c r="E2169" s="2">
        <v>1.8715277777777779E-2</v>
      </c>
      <c r="F2169">
        <v>26.95</v>
      </c>
    </row>
    <row r="2170" spans="1:6" x14ac:dyDescent="0.25">
      <c r="A2170" s="1">
        <v>39114</v>
      </c>
      <c r="B2170" t="s">
        <v>22</v>
      </c>
      <c r="C2170" t="s">
        <v>8</v>
      </c>
      <c r="D2170">
        <v>8</v>
      </c>
      <c r="E2170" s="2">
        <v>9.9537037037037042E-3</v>
      </c>
      <c r="F2170">
        <v>14.333333333333334</v>
      </c>
    </row>
    <row r="2171" spans="1:6" x14ac:dyDescent="0.25">
      <c r="A2171" s="1">
        <v>39114</v>
      </c>
      <c r="B2171" t="s">
        <v>22</v>
      </c>
      <c r="C2171" t="s">
        <v>9</v>
      </c>
      <c r="D2171">
        <v>1</v>
      </c>
      <c r="E2171" s="2">
        <v>2.8935185185185184E-4</v>
      </c>
      <c r="F2171">
        <v>0.41666666666666669</v>
      </c>
    </row>
    <row r="2172" spans="1:6" x14ac:dyDescent="0.25">
      <c r="A2172" s="1">
        <v>39114</v>
      </c>
      <c r="B2172" t="s">
        <v>22</v>
      </c>
      <c r="C2172" t="s">
        <v>10</v>
      </c>
      <c r="D2172">
        <v>1</v>
      </c>
      <c r="E2172" s="2">
        <v>5.2083333333333333E-4</v>
      </c>
      <c r="F2172">
        <v>0.75</v>
      </c>
    </row>
    <row r="2173" spans="1:6" x14ac:dyDescent="0.25">
      <c r="A2173" s="1">
        <v>39114</v>
      </c>
      <c r="B2173" t="s">
        <v>22</v>
      </c>
      <c r="C2173" t="s">
        <v>11</v>
      </c>
      <c r="D2173">
        <v>5</v>
      </c>
      <c r="E2173" s="2">
        <v>3.7384259259259259E-3</v>
      </c>
      <c r="F2173">
        <v>5.3833333333333337</v>
      </c>
    </row>
    <row r="2174" spans="1:6" x14ac:dyDescent="0.25">
      <c r="A2174" s="1">
        <v>39114</v>
      </c>
      <c r="B2174" t="s">
        <v>23</v>
      </c>
      <c r="C2174" t="s">
        <v>6</v>
      </c>
      <c r="D2174">
        <v>128</v>
      </c>
      <c r="E2174" s="2">
        <v>0.12880787037037036</v>
      </c>
      <c r="F2174">
        <v>185.48333333333332</v>
      </c>
    </row>
    <row r="2175" spans="1:6" x14ac:dyDescent="0.25">
      <c r="A2175" s="1">
        <v>39114</v>
      </c>
      <c r="B2175" t="s">
        <v>23</v>
      </c>
      <c r="C2175" t="s">
        <v>7</v>
      </c>
      <c r="D2175">
        <v>102</v>
      </c>
      <c r="E2175" s="2">
        <v>0.10836805555555555</v>
      </c>
      <c r="F2175">
        <v>156.05000000000001</v>
      </c>
    </row>
    <row r="2176" spans="1:6" x14ac:dyDescent="0.25">
      <c r="A2176" s="1">
        <v>39114</v>
      </c>
      <c r="B2176" t="s">
        <v>23</v>
      </c>
      <c r="C2176" t="s">
        <v>8</v>
      </c>
      <c r="D2176">
        <v>69</v>
      </c>
      <c r="E2176" s="2">
        <v>7.6354166666666667E-2</v>
      </c>
      <c r="F2176">
        <v>109.95</v>
      </c>
    </row>
    <row r="2177" spans="1:6" x14ac:dyDescent="0.25">
      <c r="A2177" s="1">
        <v>39114</v>
      </c>
      <c r="B2177" t="s">
        <v>23</v>
      </c>
      <c r="C2177" t="s">
        <v>9</v>
      </c>
      <c r="D2177">
        <v>24</v>
      </c>
      <c r="E2177" s="2">
        <v>1.357638888888889E-2</v>
      </c>
      <c r="F2177">
        <v>19.55</v>
      </c>
    </row>
    <row r="2178" spans="1:6" x14ac:dyDescent="0.25">
      <c r="A2178" s="1">
        <v>39114</v>
      </c>
      <c r="B2178" t="s">
        <v>23</v>
      </c>
      <c r="C2178" t="s">
        <v>10</v>
      </c>
      <c r="D2178">
        <v>43</v>
      </c>
      <c r="E2178" s="2">
        <v>5.6388888888888891E-2</v>
      </c>
      <c r="F2178">
        <v>81.2</v>
      </c>
    </row>
    <row r="2179" spans="1:6" x14ac:dyDescent="0.25">
      <c r="A2179" s="1">
        <v>39114</v>
      </c>
      <c r="B2179" t="s">
        <v>23</v>
      </c>
      <c r="C2179" t="s">
        <v>11</v>
      </c>
      <c r="D2179">
        <v>32</v>
      </c>
      <c r="E2179" s="2">
        <v>2.8472222222222222E-2</v>
      </c>
      <c r="F2179">
        <v>41</v>
      </c>
    </row>
    <row r="2180" spans="1:6" x14ac:dyDescent="0.25">
      <c r="A2180" s="1">
        <v>39114</v>
      </c>
      <c r="B2180" t="s">
        <v>24</v>
      </c>
      <c r="C2180" t="s">
        <v>6</v>
      </c>
      <c r="D2180">
        <v>50</v>
      </c>
      <c r="E2180" s="2">
        <v>3.3344907407407406E-2</v>
      </c>
      <c r="F2180">
        <v>48.016666666666666</v>
      </c>
    </row>
    <row r="2181" spans="1:6" x14ac:dyDescent="0.25">
      <c r="A2181" s="1">
        <v>39114</v>
      </c>
      <c r="B2181" t="s">
        <v>24</v>
      </c>
      <c r="C2181" t="s">
        <v>7</v>
      </c>
      <c r="D2181">
        <v>60</v>
      </c>
      <c r="E2181" s="2">
        <v>3.408564814814815E-2</v>
      </c>
      <c r="F2181">
        <v>49.083333333333336</v>
      </c>
    </row>
    <row r="2182" spans="1:6" x14ac:dyDescent="0.25">
      <c r="A2182" s="1">
        <v>39114</v>
      </c>
      <c r="B2182" t="s">
        <v>24</v>
      </c>
      <c r="C2182" t="s">
        <v>8</v>
      </c>
      <c r="D2182">
        <v>34</v>
      </c>
      <c r="E2182" s="2">
        <v>2.6377314814814815E-2</v>
      </c>
      <c r="F2182">
        <v>37.983333333333334</v>
      </c>
    </row>
    <row r="2183" spans="1:6" x14ac:dyDescent="0.25">
      <c r="A2183" s="1">
        <v>39114</v>
      </c>
      <c r="B2183" t="s">
        <v>24</v>
      </c>
      <c r="C2183" t="s">
        <v>9</v>
      </c>
      <c r="D2183">
        <v>8</v>
      </c>
      <c r="E2183" s="2">
        <v>5.8333333333333336E-3</v>
      </c>
      <c r="F2183">
        <v>8.4</v>
      </c>
    </row>
    <row r="2184" spans="1:6" x14ac:dyDescent="0.25">
      <c r="A2184" s="1">
        <v>39114</v>
      </c>
      <c r="B2184" t="s">
        <v>24</v>
      </c>
      <c r="C2184" t="s">
        <v>10</v>
      </c>
      <c r="D2184">
        <v>6</v>
      </c>
      <c r="E2184" s="2">
        <v>6.0069444444444441E-3</v>
      </c>
      <c r="F2184">
        <v>8.65</v>
      </c>
    </row>
    <row r="2185" spans="1:6" x14ac:dyDescent="0.25">
      <c r="A2185" s="1">
        <v>39114</v>
      </c>
      <c r="B2185" t="s">
        <v>24</v>
      </c>
      <c r="C2185" t="s">
        <v>11</v>
      </c>
      <c r="D2185">
        <v>20</v>
      </c>
      <c r="E2185" s="2">
        <v>1.3148148148148148E-2</v>
      </c>
      <c r="F2185">
        <v>18.933333333333334</v>
      </c>
    </row>
    <row r="2186" spans="1:6" x14ac:dyDescent="0.25">
      <c r="A2186" s="1">
        <v>39142</v>
      </c>
      <c r="B2186" t="s">
        <v>5</v>
      </c>
      <c r="C2186" t="s">
        <v>6</v>
      </c>
      <c r="D2186">
        <v>23</v>
      </c>
      <c r="E2186" s="2">
        <v>1.5370370370370371E-2</v>
      </c>
      <c r="F2186">
        <v>22.133333333333333</v>
      </c>
    </row>
    <row r="2187" spans="1:6" x14ac:dyDescent="0.25">
      <c r="A2187" s="1">
        <v>39142</v>
      </c>
      <c r="B2187" t="s">
        <v>5</v>
      </c>
      <c r="C2187" t="s">
        <v>7</v>
      </c>
      <c r="D2187">
        <v>18</v>
      </c>
      <c r="E2187" s="2">
        <v>1.3402777777777777E-2</v>
      </c>
      <c r="F2187">
        <v>19.3</v>
      </c>
    </row>
    <row r="2188" spans="1:6" x14ac:dyDescent="0.25">
      <c r="A2188" s="1">
        <v>39142</v>
      </c>
      <c r="B2188" t="s">
        <v>5</v>
      </c>
      <c r="C2188" t="s">
        <v>8</v>
      </c>
      <c r="D2188">
        <v>8</v>
      </c>
      <c r="E2188" s="2">
        <v>5.4398148148148149E-3</v>
      </c>
      <c r="F2188">
        <v>7.833333333333333</v>
      </c>
    </row>
    <row r="2189" spans="1:6" x14ac:dyDescent="0.25">
      <c r="A2189" s="1">
        <v>39142</v>
      </c>
      <c r="B2189" t="s">
        <v>5</v>
      </c>
      <c r="C2189" t="s">
        <v>9</v>
      </c>
      <c r="D2189">
        <v>5</v>
      </c>
      <c r="E2189" s="2">
        <v>1.1226851851851851E-3</v>
      </c>
      <c r="F2189">
        <v>1.6166666666666667</v>
      </c>
    </row>
    <row r="2190" spans="1:6" x14ac:dyDescent="0.25">
      <c r="A2190" s="1">
        <v>39142</v>
      </c>
      <c r="B2190" t="s">
        <v>5</v>
      </c>
      <c r="C2190" t="s">
        <v>10</v>
      </c>
      <c r="D2190">
        <v>6</v>
      </c>
      <c r="E2190" s="2">
        <v>1.8634259259259259E-3</v>
      </c>
      <c r="F2190">
        <v>2.6833333333333336</v>
      </c>
    </row>
    <row r="2191" spans="1:6" x14ac:dyDescent="0.25">
      <c r="A2191" s="1">
        <v>39142</v>
      </c>
      <c r="B2191" t="s">
        <v>5</v>
      </c>
      <c r="C2191" t="s">
        <v>11</v>
      </c>
      <c r="D2191">
        <v>9</v>
      </c>
      <c r="E2191" s="2">
        <v>5.8680555555555552E-3</v>
      </c>
      <c r="F2191">
        <v>8.4499999999999993</v>
      </c>
    </row>
    <row r="2192" spans="1:6" x14ac:dyDescent="0.25">
      <c r="A2192" s="1">
        <v>39142</v>
      </c>
      <c r="B2192" t="s">
        <v>12</v>
      </c>
      <c r="C2192" t="s">
        <v>6</v>
      </c>
      <c r="D2192">
        <v>53</v>
      </c>
      <c r="E2192" s="2">
        <v>5.0324074074074077E-2</v>
      </c>
      <c r="F2192">
        <v>72.466666666666669</v>
      </c>
    </row>
    <row r="2193" spans="1:6" x14ac:dyDescent="0.25">
      <c r="A2193" s="1">
        <v>39142</v>
      </c>
      <c r="B2193" t="s">
        <v>12</v>
      </c>
      <c r="C2193" t="s">
        <v>7</v>
      </c>
      <c r="D2193">
        <v>56</v>
      </c>
      <c r="E2193" s="2">
        <v>6.9513888888888889E-2</v>
      </c>
      <c r="F2193">
        <v>100.1</v>
      </c>
    </row>
    <row r="2194" spans="1:6" x14ac:dyDescent="0.25">
      <c r="A2194" s="1">
        <v>39142</v>
      </c>
      <c r="B2194" t="s">
        <v>12</v>
      </c>
      <c r="C2194" t="s">
        <v>8</v>
      </c>
      <c r="D2194">
        <v>27</v>
      </c>
      <c r="E2194" s="2">
        <v>3.8553240740740742E-2</v>
      </c>
      <c r="F2194">
        <v>55.516666666666666</v>
      </c>
    </row>
    <row r="2195" spans="1:6" x14ac:dyDescent="0.25">
      <c r="A2195" s="1">
        <v>39142</v>
      </c>
      <c r="B2195" t="s">
        <v>12</v>
      </c>
      <c r="C2195" t="s">
        <v>9</v>
      </c>
      <c r="D2195">
        <v>7</v>
      </c>
      <c r="E2195" s="2">
        <v>5.5208333333333333E-3</v>
      </c>
      <c r="F2195">
        <v>7.95</v>
      </c>
    </row>
    <row r="2196" spans="1:6" x14ac:dyDescent="0.25">
      <c r="A2196" s="1">
        <v>39142</v>
      </c>
      <c r="B2196" t="s">
        <v>12</v>
      </c>
      <c r="C2196" t="s">
        <v>10</v>
      </c>
      <c r="D2196">
        <v>2</v>
      </c>
      <c r="E2196" s="2">
        <v>7.407407407407407E-4</v>
      </c>
      <c r="F2196">
        <v>1.0666666666666667</v>
      </c>
    </row>
    <row r="2197" spans="1:6" x14ac:dyDescent="0.25">
      <c r="A2197" s="1">
        <v>39142</v>
      </c>
      <c r="B2197" t="s">
        <v>12</v>
      </c>
      <c r="C2197" t="s">
        <v>11</v>
      </c>
      <c r="D2197">
        <v>12</v>
      </c>
      <c r="E2197" s="2">
        <v>1.3368055555555555E-2</v>
      </c>
      <c r="F2197">
        <v>19.25</v>
      </c>
    </row>
    <row r="2198" spans="1:6" x14ac:dyDescent="0.25">
      <c r="A2198" s="1">
        <v>39142</v>
      </c>
      <c r="B2198" t="s">
        <v>13</v>
      </c>
      <c r="C2198" t="s">
        <v>6</v>
      </c>
      <c r="D2198">
        <v>72</v>
      </c>
      <c r="E2198" s="2">
        <v>7.3067129629629635E-2</v>
      </c>
      <c r="F2198">
        <v>105.21666666666667</v>
      </c>
    </row>
    <row r="2199" spans="1:6" x14ac:dyDescent="0.25">
      <c r="A2199" s="1">
        <v>39142</v>
      </c>
      <c r="B2199" t="s">
        <v>13</v>
      </c>
      <c r="C2199" t="s">
        <v>7</v>
      </c>
      <c r="D2199">
        <v>34</v>
      </c>
      <c r="E2199" s="2">
        <v>4.2557870370370371E-2</v>
      </c>
      <c r="F2199">
        <v>61.283333333333331</v>
      </c>
    </row>
    <row r="2200" spans="1:6" x14ac:dyDescent="0.25">
      <c r="A2200" s="1">
        <v>39142</v>
      </c>
      <c r="B2200" t="s">
        <v>13</v>
      </c>
      <c r="C2200" t="s">
        <v>8</v>
      </c>
      <c r="D2200">
        <v>28</v>
      </c>
      <c r="E2200" s="2">
        <v>3.4224537037037039E-2</v>
      </c>
      <c r="F2200">
        <v>49.283333333333331</v>
      </c>
    </row>
    <row r="2201" spans="1:6" x14ac:dyDescent="0.25">
      <c r="A2201" s="1">
        <v>39142</v>
      </c>
      <c r="B2201" t="s">
        <v>13</v>
      </c>
      <c r="C2201" t="s">
        <v>9</v>
      </c>
      <c r="D2201">
        <v>11</v>
      </c>
      <c r="E2201" s="2">
        <v>6.4236111111111108E-3</v>
      </c>
      <c r="F2201">
        <v>9.25</v>
      </c>
    </row>
    <row r="2202" spans="1:6" x14ac:dyDescent="0.25">
      <c r="A2202" s="1">
        <v>39142</v>
      </c>
      <c r="B2202" t="s">
        <v>13</v>
      </c>
      <c r="C2202" t="s">
        <v>10</v>
      </c>
      <c r="D2202">
        <v>16</v>
      </c>
      <c r="E2202" s="2">
        <v>1.9583333333333335E-2</v>
      </c>
      <c r="F2202">
        <v>28.2</v>
      </c>
    </row>
    <row r="2203" spans="1:6" x14ac:dyDescent="0.25">
      <c r="A2203" s="1">
        <v>39142</v>
      </c>
      <c r="B2203" t="s">
        <v>13</v>
      </c>
      <c r="C2203" t="s">
        <v>11</v>
      </c>
      <c r="D2203">
        <v>13</v>
      </c>
      <c r="E2203" s="2">
        <v>1.2974537037037038E-2</v>
      </c>
      <c r="F2203">
        <v>18.683333333333334</v>
      </c>
    </row>
    <row r="2204" spans="1:6" x14ac:dyDescent="0.25">
      <c r="A2204" s="1">
        <v>39142</v>
      </c>
      <c r="B2204" t="s">
        <v>14</v>
      </c>
      <c r="C2204" t="s">
        <v>6</v>
      </c>
      <c r="D2204">
        <v>25</v>
      </c>
      <c r="E2204" s="2">
        <v>2.3761574074074074E-2</v>
      </c>
      <c r="F2204">
        <v>34.216666666666669</v>
      </c>
    </row>
    <row r="2205" spans="1:6" x14ac:dyDescent="0.25">
      <c r="A2205" s="1">
        <v>39142</v>
      </c>
      <c r="B2205" t="s">
        <v>14</v>
      </c>
      <c r="C2205" t="s">
        <v>7</v>
      </c>
      <c r="D2205">
        <v>17</v>
      </c>
      <c r="E2205" s="2">
        <v>1.8518518518518517E-2</v>
      </c>
      <c r="F2205">
        <v>26.666666666666668</v>
      </c>
    </row>
    <row r="2206" spans="1:6" x14ac:dyDescent="0.25">
      <c r="A2206" s="1">
        <v>39142</v>
      </c>
      <c r="B2206" t="s">
        <v>14</v>
      </c>
      <c r="C2206" t="s">
        <v>8</v>
      </c>
      <c r="D2206">
        <v>6</v>
      </c>
      <c r="E2206" s="2">
        <v>7.1064814814814819E-3</v>
      </c>
      <c r="F2206">
        <v>10.233333333333333</v>
      </c>
    </row>
    <row r="2207" spans="1:6" x14ac:dyDescent="0.25">
      <c r="A2207" s="1">
        <v>39142</v>
      </c>
      <c r="B2207" t="s">
        <v>14</v>
      </c>
      <c r="C2207" t="s">
        <v>9</v>
      </c>
      <c r="D2207">
        <v>3</v>
      </c>
      <c r="E2207" s="2">
        <v>2.3263888888888887E-3</v>
      </c>
      <c r="F2207">
        <v>3.35</v>
      </c>
    </row>
    <row r="2208" spans="1:6" x14ac:dyDescent="0.25">
      <c r="A2208" s="1">
        <v>39142</v>
      </c>
      <c r="B2208" t="s">
        <v>14</v>
      </c>
      <c r="C2208" t="s">
        <v>10</v>
      </c>
      <c r="D2208">
        <v>4</v>
      </c>
      <c r="E2208" s="2">
        <v>7.0023148148148145E-3</v>
      </c>
      <c r="F2208">
        <v>10.083333333333334</v>
      </c>
    </row>
    <row r="2209" spans="1:6" x14ac:dyDescent="0.25">
      <c r="A2209" s="1">
        <v>39142</v>
      </c>
      <c r="B2209" t="s">
        <v>14</v>
      </c>
      <c r="C2209" t="s">
        <v>11</v>
      </c>
      <c r="D2209">
        <v>3</v>
      </c>
      <c r="E2209" s="2">
        <v>2.9166666666666668E-3</v>
      </c>
      <c r="F2209">
        <v>4.2</v>
      </c>
    </row>
    <row r="2210" spans="1:6" x14ac:dyDescent="0.25">
      <c r="A2210" s="1">
        <v>39142</v>
      </c>
      <c r="B2210" t="s">
        <v>15</v>
      </c>
      <c r="C2210" t="s">
        <v>6</v>
      </c>
      <c r="D2210">
        <v>44</v>
      </c>
      <c r="E2210" s="2">
        <v>3.5555555555555556E-2</v>
      </c>
      <c r="F2210">
        <v>51.2</v>
      </c>
    </row>
    <row r="2211" spans="1:6" x14ac:dyDescent="0.25">
      <c r="A2211" s="1">
        <v>39142</v>
      </c>
      <c r="B2211" t="s">
        <v>15</v>
      </c>
      <c r="C2211" t="s">
        <v>7</v>
      </c>
      <c r="D2211">
        <v>30</v>
      </c>
      <c r="E2211" s="2">
        <v>2.6631944444444444E-2</v>
      </c>
      <c r="F2211">
        <v>38.35</v>
      </c>
    </row>
    <row r="2212" spans="1:6" x14ac:dyDescent="0.25">
      <c r="A2212" s="1">
        <v>39142</v>
      </c>
      <c r="B2212" t="s">
        <v>15</v>
      </c>
      <c r="C2212" t="s">
        <v>8</v>
      </c>
      <c r="D2212">
        <v>10</v>
      </c>
      <c r="E2212" s="2">
        <v>9.9305555555555553E-3</v>
      </c>
      <c r="F2212">
        <v>14.3</v>
      </c>
    </row>
    <row r="2213" spans="1:6" x14ac:dyDescent="0.25">
      <c r="A2213" s="1">
        <v>39142</v>
      </c>
      <c r="B2213" t="s">
        <v>15</v>
      </c>
      <c r="C2213" t="s">
        <v>9</v>
      </c>
      <c r="D2213">
        <v>5</v>
      </c>
      <c r="E2213" s="2">
        <v>2.2569444444444442E-3</v>
      </c>
      <c r="F2213">
        <v>3.25</v>
      </c>
    </row>
    <row r="2214" spans="1:6" x14ac:dyDescent="0.25">
      <c r="A2214" s="1">
        <v>39142</v>
      </c>
      <c r="B2214" t="s">
        <v>15</v>
      </c>
      <c r="C2214" t="s">
        <v>10</v>
      </c>
      <c r="D2214">
        <v>12</v>
      </c>
      <c r="E2214" s="2">
        <v>1.2002314814814815E-2</v>
      </c>
      <c r="F2214">
        <v>17.283333333333335</v>
      </c>
    </row>
    <row r="2215" spans="1:6" x14ac:dyDescent="0.25">
      <c r="A2215" s="1">
        <v>39142</v>
      </c>
      <c r="B2215" t="s">
        <v>15</v>
      </c>
      <c r="C2215" t="s">
        <v>11</v>
      </c>
      <c r="D2215">
        <v>8</v>
      </c>
      <c r="E2215" s="2">
        <v>5.0231481481481481E-3</v>
      </c>
      <c r="F2215">
        <v>7.2333333333333334</v>
      </c>
    </row>
    <row r="2216" spans="1:6" x14ac:dyDescent="0.25">
      <c r="A2216" s="1">
        <v>39142</v>
      </c>
      <c r="B2216" t="s">
        <v>16</v>
      </c>
      <c r="C2216" t="s">
        <v>6</v>
      </c>
      <c r="D2216">
        <v>25</v>
      </c>
      <c r="E2216" s="2">
        <v>1.7303240740740741E-2</v>
      </c>
      <c r="F2216">
        <v>24.916666666666668</v>
      </c>
    </row>
    <row r="2217" spans="1:6" x14ac:dyDescent="0.25">
      <c r="A2217" s="1">
        <v>39142</v>
      </c>
      <c r="B2217" t="s">
        <v>16</v>
      </c>
      <c r="C2217" t="s">
        <v>7</v>
      </c>
      <c r="D2217">
        <v>19</v>
      </c>
      <c r="E2217" s="2">
        <v>1.3865740740740741E-2</v>
      </c>
      <c r="F2217">
        <v>19.966666666666665</v>
      </c>
    </row>
    <row r="2218" spans="1:6" x14ac:dyDescent="0.25">
      <c r="A2218" s="1">
        <v>39142</v>
      </c>
      <c r="B2218" t="s">
        <v>16</v>
      </c>
      <c r="C2218" t="s">
        <v>8</v>
      </c>
      <c r="D2218">
        <v>17</v>
      </c>
      <c r="E2218" s="2">
        <v>1.7615740740740741E-2</v>
      </c>
      <c r="F2218">
        <v>25.366666666666667</v>
      </c>
    </row>
    <row r="2219" spans="1:6" x14ac:dyDescent="0.25">
      <c r="A2219" s="1">
        <v>39142</v>
      </c>
      <c r="B2219" t="s">
        <v>16</v>
      </c>
      <c r="C2219" t="s">
        <v>9</v>
      </c>
      <c r="D2219">
        <v>6</v>
      </c>
      <c r="E2219" s="2">
        <v>3.5995370370370369E-3</v>
      </c>
      <c r="F2219">
        <v>5.1833333333333336</v>
      </c>
    </row>
    <row r="2220" spans="1:6" x14ac:dyDescent="0.25">
      <c r="A2220" s="1">
        <v>39142</v>
      </c>
      <c r="B2220" t="s">
        <v>16</v>
      </c>
      <c r="C2220" t="s">
        <v>10</v>
      </c>
      <c r="D2220">
        <v>3</v>
      </c>
      <c r="E2220" s="2">
        <v>3.6342592592592594E-3</v>
      </c>
      <c r="F2220">
        <v>5.2333333333333334</v>
      </c>
    </row>
    <row r="2221" spans="1:6" x14ac:dyDescent="0.25">
      <c r="A2221" s="1">
        <v>39142</v>
      </c>
      <c r="B2221" t="s">
        <v>16</v>
      </c>
      <c r="C2221" t="s">
        <v>11</v>
      </c>
      <c r="D2221">
        <v>19</v>
      </c>
      <c r="E2221" s="2">
        <v>1.3217592592592593E-2</v>
      </c>
      <c r="F2221">
        <v>19.033333333333335</v>
      </c>
    </row>
    <row r="2222" spans="1:6" x14ac:dyDescent="0.25">
      <c r="A2222" s="1">
        <v>39142</v>
      </c>
      <c r="B2222" t="s">
        <v>17</v>
      </c>
      <c r="C2222" t="s">
        <v>6</v>
      </c>
      <c r="D2222">
        <v>7</v>
      </c>
      <c r="E2222" s="2">
        <v>5.4976851851851853E-3</v>
      </c>
      <c r="F2222">
        <v>7.916666666666667</v>
      </c>
    </row>
    <row r="2223" spans="1:6" x14ac:dyDescent="0.25">
      <c r="A2223" s="1">
        <v>39142</v>
      </c>
      <c r="B2223" t="s">
        <v>17</v>
      </c>
      <c r="C2223" t="s">
        <v>7</v>
      </c>
      <c r="D2223">
        <v>4</v>
      </c>
      <c r="E2223" s="2">
        <v>4.1550925925925922E-3</v>
      </c>
      <c r="F2223">
        <v>5.9833333333333334</v>
      </c>
    </row>
    <row r="2224" spans="1:6" x14ac:dyDescent="0.25">
      <c r="A2224" s="1">
        <v>39142</v>
      </c>
      <c r="B2224" t="s">
        <v>17</v>
      </c>
      <c r="C2224" t="s">
        <v>8</v>
      </c>
      <c r="D2224">
        <v>4</v>
      </c>
      <c r="E2224" s="2">
        <v>6.4004629629629628E-3</v>
      </c>
      <c r="F2224">
        <v>9.2166666666666668</v>
      </c>
    </row>
    <row r="2225" spans="1:6" x14ac:dyDescent="0.25">
      <c r="A2225" s="1">
        <v>39142</v>
      </c>
      <c r="B2225" t="s">
        <v>17</v>
      </c>
      <c r="C2225" t="s">
        <v>9</v>
      </c>
      <c r="D2225">
        <v>2</v>
      </c>
      <c r="E2225" s="2">
        <v>1.2268518518518518E-3</v>
      </c>
      <c r="F2225">
        <v>1.7666666666666666</v>
      </c>
    </row>
    <row r="2226" spans="1:6" x14ac:dyDescent="0.25">
      <c r="A2226" s="1">
        <v>39142</v>
      </c>
      <c r="B2226" t="s">
        <v>17</v>
      </c>
      <c r="C2226" t="s">
        <v>10</v>
      </c>
      <c r="D2226">
        <v>1</v>
      </c>
      <c r="E2226" s="2">
        <v>1.3657407407407407E-3</v>
      </c>
      <c r="F2226">
        <v>1.9666666666666668</v>
      </c>
    </row>
    <row r="2227" spans="1:6" x14ac:dyDescent="0.25">
      <c r="A2227" s="1">
        <v>39142</v>
      </c>
      <c r="B2227" t="s">
        <v>17</v>
      </c>
      <c r="C2227" t="s">
        <v>11</v>
      </c>
      <c r="D2227">
        <v>2</v>
      </c>
      <c r="E2227" s="2">
        <v>2.3958333333333331E-3</v>
      </c>
      <c r="F2227">
        <v>3.45</v>
      </c>
    </row>
    <row r="2228" spans="1:6" x14ac:dyDescent="0.25">
      <c r="A2228" s="1">
        <v>39142</v>
      </c>
      <c r="B2228" t="s">
        <v>18</v>
      </c>
      <c r="C2228" t="s">
        <v>6</v>
      </c>
      <c r="D2228">
        <v>68</v>
      </c>
      <c r="E2228" s="2">
        <v>4.6875E-2</v>
      </c>
      <c r="F2228">
        <v>67.5</v>
      </c>
    </row>
    <row r="2229" spans="1:6" x14ac:dyDescent="0.25">
      <c r="A2229" s="1">
        <v>39142</v>
      </c>
      <c r="B2229" t="s">
        <v>18</v>
      </c>
      <c r="C2229" t="s">
        <v>7</v>
      </c>
      <c r="D2229">
        <v>66</v>
      </c>
      <c r="E2229" s="2">
        <v>6.0138888888888888E-2</v>
      </c>
      <c r="F2229">
        <v>86.6</v>
      </c>
    </row>
    <row r="2230" spans="1:6" x14ac:dyDescent="0.25">
      <c r="A2230" s="1">
        <v>39142</v>
      </c>
      <c r="B2230" t="s">
        <v>18</v>
      </c>
      <c r="C2230" t="s">
        <v>8</v>
      </c>
      <c r="D2230">
        <v>47</v>
      </c>
      <c r="E2230" s="2">
        <v>5.2673611111111109E-2</v>
      </c>
      <c r="F2230">
        <v>75.849999999999994</v>
      </c>
    </row>
    <row r="2231" spans="1:6" x14ac:dyDescent="0.25">
      <c r="A2231" s="1">
        <v>39142</v>
      </c>
      <c r="B2231" t="s">
        <v>18</v>
      </c>
      <c r="C2231" t="s">
        <v>9</v>
      </c>
      <c r="D2231">
        <v>49</v>
      </c>
      <c r="E2231" s="2">
        <v>2.375E-2</v>
      </c>
      <c r="F2231">
        <v>34.200000000000003</v>
      </c>
    </row>
    <row r="2232" spans="1:6" x14ac:dyDescent="0.25">
      <c r="A2232" s="1">
        <v>39142</v>
      </c>
      <c r="B2232" t="s">
        <v>18</v>
      </c>
      <c r="C2232" t="s">
        <v>10</v>
      </c>
      <c r="D2232">
        <v>123</v>
      </c>
      <c r="E2232" s="2">
        <v>0.11109953703703704</v>
      </c>
      <c r="F2232">
        <v>159.98333333333332</v>
      </c>
    </row>
    <row r="2233" spans="1:6" x14ac:dyDescent="0.25">
      <c r="A2233" s="1">
        <v>39142</v>
      </c>
      <c r="B2233" t="s">
        <v>18</v>
      </c>
      <c r="C2233" t="s">
        <v>11</v>
      </c>
      <c r="D2233">
        <v>17</v>
      </c>
      <c r="E2233" s="2">
        <v>9.3981481481481485E-3</v>
      </c>
      <c r="F2233">
        <v>13.533333333333333</v>
      </c>
    </row>
    <row r="2234" spans="1:6" x14ac:dyDescent="0.25">
      <c r="A2234" s="1">
        <v>39142</v>
      </c>
      <c r="B2234" t="s">
        <v>19</v>
      </c>
      <c r="C2234" t="s">
        <v>6</v>
      </c>
      <c r="D2234">
        <v>44</v>
      </c>
      <c r="E2234" s="2">
        <v>2.8101851851851854E-2</v>
      </c>
      <c r="F2234">
        <v>40.466666666666669</v>
      </c>
    </row>
    <row r="2235" spans="1:6" x14ac:dyDescent="0.25">
      <c r="A2235" s="1">
        <v>39142</v>
      </c>
      <c r="B2235" t="s">
        <v>19</v>
      </c>
      <c r="C2235" t="s">
        <v>7</v>
      </c>
      <c r="D2235">
        <v>24</v>
      </c>
      <c r="E2235" s="2">
        <v>2.3090277777777779E-2</v>
      </c>
      <c r="F2235">
        <v>33.25</v>
      </c>
    </row>
    <row r="2236" spans="1:6" x14ac:dyDescent="0.25">
      <c r="A2236" s="1">
        <v>39142</v>
      </c>
      <c r="B2236" t="s">
        <v>19</v>
      </c>
      <c r="C2236" t="s">
        <v>8</v>
      </c>
      <c r="D2236">
        <v>30</v>
      </c>
      <c r="E2236" s="2">
        <v>3.7106481481481483E-2</v>
      </c>
      <c r="F2236">
        <v>53.43333333333333</v>
      </c>
    </row>
    <row r="2237" spans="1:6" x14ac:dyDescent="0.25">
      <c r="A2237" s="1">
        <v>39142</v>
      </c>
      <c r="B2237" t="s">
        <v>19</v>
      </c>
      <c r="C2237" t="s">
        <v>9</v>
      </c>
      <c r="D2237">
        <v>24</v>
      </c>
      <c r="E2237" s="2">
        <v>1.7141203703703704E-2</v>
      </c>
      <c r="F2237">
        <v>24.683333333333334</v>
      </c>
    </row>
    <row r="2238" spans="1:6" x14ac:dyDescent="0.25">
      <c r="A2238" s="1">
        <v>39142</v>
      </c>
      <c r="B2238" t="s">
        <v>19</v>
      </c>
      <c r="C2238" t="s">
        <v>10</v>
      </c>
      <c r="D2238">
        <v>19</v>
      </c>
      <c r="E2238" s="2">
        <v>1.4780092592592593E-2</v>
      </c>
      <c r="F2238">
        <v>21.283333333333335</v>
      </c>
    </row>
    <row r="2239" spans="1:6" x14ac:dyDescent="0.25">
      <c r="A2239" s="1">
        <v>39142</v>
      </c>
      <c r="B2239" t="s">
        <v>19</v>
      </c>
      <c r="C2239" t="s">
        <v>11</v>
      </c>
      <c r="D2239">
        <v>15</v>
      </c>
      <c r="E2239" s="2">
        <v>1.3159722222222222E-2</v>
      </c>
      <c r="F2239">
        <v>18.95</v>
      </c>
    </row>
    <row r="2240" spans="1:6" x14ac:dyDescent="0.25">
      <c r="A2240" s="1">
        <v>39142</v>
      </c>
      <c r="B2240" t="s">
        <v>20</v>
      </c>
      <c r="C2240" t="s">
        <v>6</v>
      </c>
      <c r="D2240">
        <v>96</v>
      </c>
      <c r="E2240" s="2">
        <v>0.11874999999999999</v>
      </c>
      <c r="F2240">
        <v>171</v>
      </c>
    </row>
    <row r="2241" spans="1:6" x14ac:dyDescent="0.25">
      <c r="A2241" s="1">
        <v>39142</v>
      </c>
      <c r="B2241" t="s">
        <v>20</v>
      </c>
      <c r="C2241" t="s">
        <v>7</v>
      </c>
      <c r="D2241">
        <v>119</v>
      </c>
      <c r="E2241" s="2">
        <v>0.14885416666666668</v>
      </c>
      <c r="F2241">
        <v>214.35</v>
      </c>
    </row>
    <row r="2242" spans="1:6" x14ac:dyDescent="0.25">
      <c r="A2242" s="1">
        <v>39142</v>
      </c>
      <c r="B2242" t="s">
        <v>20</v>
      </c>
      <c r="C2242" t="s">
        <v>8</v>
      </c>
      <c r="D2242">
        <v>75</v>
      </c>
      <c r="E2242" s="2">
        <v>0.1144212962962963</v>
      </c>
      <c r="F2242">
        <v>164.76666666666668</v>
      </c>
    </row>
    <row r="2243" spans="1:6" x14ac:dyDescent="0.25">
      <c r="A2243" s="1">
        <v>39142</v>
      </c>
      <c r="B2243" t="s">
        <v>20</v>
      </c>
      <c r="C2243" t="s">
        <v>9</v>
      </c>
      <c r="D2243">
        <v>49</v>
      </c>
      <c r="E2243" s="2">
        <v>3.0127314814814815E-2</v>
      </c>
      <c r="F2243">
        <v>43.383333333333333</v>
      </c>
    </row>
    <row r="2244" spans="1:6" x14ac:dyDescent="0.25">
      <c r="A2244" s="1">
        <v>39142</v>
      </c>
      <c r="B2244" t="s">
        <v>20</v>
      </c>
      <c r="C2244" t="s">
        <v>10</v>
      </c>
      <c r="D2244">
        <v>29</v>
      </c>
      <c r="E2244" s="2">
        <v>3.3657407407407407E-2</v>
      </c>
      <c r="F2244">
        <v>48.466666666666669</v>
      </c>
    </row>
    <row r="2245" spans="1:6" x14ac:dyDescent="0.25">
      <c r="A2245" s="1">
        <v>39142</v>
      </c>
      <c r="B2245" t="s">
        <v>20</v>
      </c>
      <c r="C2245" t="s">
        <v>11</v>
      </c>
      <c r="D2245">
        <v>51</v>
      </c>
      <c r="E2245" s="2">
        <v>4.5567129629629631E-2</v>
      </c>
      <c r="F2245">
        <v>65.61666666666666</v>
      </c>
    </row>
    <row r="2246" spans="1:6" x14ac:dyDescent="0.25">
      <c r="A2246" s="1">
        <v>39142</v>
      </c>
      <c r="B2246" t="s">
        <v>21</v>
      </c>
      <c r="C2246" t="s">
        <v>6</v>
      </c>
      <c r="D2246">
        <v>31</v>
      </c>
      <c r="E2246" s="2">
        <v>3.1574074074074074E-2</v>
      </c>
      <c r="F2246">
        <v>45.466666666666669</v>
      </c>
    </row>
    <row r="2247" spans="1:6" x14ac:dyDescent="0.25">
      <c r="A2247" s="1">
        <v>39142</v>
      </c>
      <c r="B2247" t="s">
        <v>21</v>
      </c>
      <c r="C2247" t="s">
        <v>7</v>
      </c>
      <c r="D2247">
        <v>25</v>
      </c>
      <c r="E2247" s="2">
        <v>2.763888888888889E-2</v>
      </c>
      <c r="F2247">
        <v>39.799999999999997</v>
      </c>
    </row>
    <row r="2248" spans="1:6" x14ac:dyDescent="0.25">
      <c r="A2248" s="1">
        <v>39142</v>
      </c>
      <c r="B2248" t="s">
        <v>21</v>
      </c>
      <c r="C2248" t="s">
        <v>8</v>
      </c>
      <c r="D2248">
        <v>14</v>
      </c>
      <c r="E2248" s="2">
        <v>1.9398148148148147E-2</v>
      </c>
      <c r="F2248">
        <v>27.933333333333334</v>
      </c>
    </row>
    <row r="2249" spans="1:6" x14ac:dyDescent="0.25">
      <c r="A2249" s="1">
        <v>39142</v>
      </c>
      <c r="B2249" t="s">
        <v>21</v>
      </c>
      <c r="C2249" t="s">
        <v>9</v>
      </c>
      <c r="D2249">
        <v>6</v>
      </c>
      <c r="E2249" s="2">
        <v>3.2407407407407406E-3</v>
      </c>
      <c r="F2249">
        <v>4.666666666666667</v>
      </c>
    </row>
    <row r="2250" spans="1:6" x14ac:dyDescent="0.25">
      <c r="A2250" s="1">
        <v>39142</v>
      </c>
      <c r="B2250" t="s">
        <v>21</v>
      </c>
      <c r="C2250" t="s">
        <v>10</v>
      </c>
      <c r="D2250">
        <v>3</v>
      </c>
      <c r="E2250" s="2">
        <v>4.1319444444444442E-3</v>
      </c>
      <c r="F2250">
        <v>5.95</v>
      </c>
    </row>
    <row r="2251" spans="1:6" x14ac:dyDescent="0.25">
      <c r="A2251" s="1">
        <v>39142</v>
      </c>
      <c r="B2251" t="s">
        <v>21</v>
      </c>
      <c r="C2251" t="s">
        <v>11</v>
      </c>
      <c r="D2251">
        <v>6</v>
      </c>
      <c r="E2251" s="2">
        <v>5.0694444444444441E-3</v>
      </c>
      <c r="F2251">
        <v>7.3</v>
      </c>
    </row>
    <row r="2252" spans="1:6" x14ac:dyDescent="0.25">
      <c r="A2252" s="1">
        <v>39142</v>
      </c>
      <c r="B2252" t="s">
        <v>22</v>
      </c>
      <c r="C2252" t="s">
        <v>6</v>
      </c>
      <c r="D2252">
        <v>33</v>
      </c>
      <c r="E2252" s="2">
        <v>2.6990740740740742E-2</v>
      </c>
      <c r="F2252">
        <v>38.866666666666667</v>
      </c>
    </row>
    <row r="2253" spans="1:6" x14ac:dyDescent="0.25">
      <c r="A2253" s="1">
        <v>39142</v>
      </c>
      <c r="B2253" t="s">
        <v>22</v>
      </c>
      <c r="C2253" t="s">
        <v>7</v>
      </c>
      <c r="D2253">
        <v>12</v>
      </c>
      <c r="E2253" s="2">
        <v>1.2326388888888888E-2</v>
      </c>
      <c r="F2253">
        <v>17.75</v>
      </c>
    </row>
    <row r="2254" spans="1:6" x14ac:dyDescent="0.25">
      <c r="A2254" s="1">
        <v>39142</v>
      </c>
      <c r="B2254" t="s">
        <v>22</v>
      </c>
      <c r="C2254" t="s">
        <v>8</v>
      </c>
      <c r="D2254">
        <v>2</v>
      </c>
      <c r="E2254" s="2">
        <v>6.2500000000000001E-4</v>
      </c>
      <c r="F2254">
        <v>0.9</v>
      </c>
    </row>
    <row r="2255" spans="1:6" x14ac:dyDescent="0.25">
      <c r="A2255" s="1">
        <v>39142</v>
      </c>
      <c r="B2255" t="s">
        <v>22</v>
      </c>
      <c r="C2255" t="s">
        <v>9</v>
      </c>
      <c r="D2255">
        <v>5</v>
      </c>
      <c r="E2255" s="2">
        <v>1.7708333333333332E-3</v>
      </c>
      <c r="F2255">
        <v>2.5499999999999998</v>
      </c>
    </row>
    <row r="2256" spans="1:6" x14ac:dyDescent="0.25">
      <c r="A2256" s="1">
        <v>39142</v>
      </c>
      <c r="B2256" t="s">
        <v>22</v>
      </c>
      <c r="C2256" t="s">
        <v>10</v>
      </c>
      <c r="D2256">
        <v>3</v>
      </c>
      <c r="E2256" s="2">
        <v>2.0486111111111113E-3</v>
      </c>
      <c r="F2256">
        <v>2.95</v>
      </c>
    </row>
    <row r="2257" spans="1:6" x14ac:dyDescent="0.25">
      <c r="A2257" s="1">
        <v>39142</v>
      </c>
      <c r="B2257" t="s">
        <v>22</v>
      </c>
      <c r="C2257" t="s">
        <v>11</v>
      </c>
      <c r="D2257">
        <v>10</v>
      </c>
      <c r="E2257" s="2">
        <v>7.743055555555556E-3</v>
      </c>
      <c r="F2257">
        <v>11.15</v>
      </c>
    </row>
    <row r="2258" spans="1:6" x14ac:dyDescent="0.25">
      <c r="A2258" s="1">
        <v>39142</v>
      </c>
      <c r="B2258" t="s">
        <v>23</v>
      </c>
      <c r="C2258" t="s">
        <v>6</v>
      </c>
      <c r="D2258">
        <v>155</v>
      </c>
      <c r="E2258" s="2">
        <v>0.14689814814814814</v>
      </c>
      <c r="F2258">
        <v>211.53333333333333</v>
      </c>
    </row>
    <row r="2259" spans="1:6" x14ac:dyDescent="0.25">
      <c r="A2259" s="1">
        <v>39142</v>
      </c>
      <c r="B2259" t="s">
        <v>23</v>
      </c>
      <c r="C2259" t="s">
        <v>7</v>
      </c>
      <c r="D2259">
        <v>115</v>
      </c>
      <c r="E2259" s="2">
        <v>0.12449074074074074</v>
      </c>
      <c r="F2259">
        <v>179.26666666666668</v>
      </c>
    </row>
    <row r="2260" spans="1:6" x14ac:dyDescent="0.25">
      <c r="A2260" s="1">
        <v>39142</v>
      </c>
      <c r="B2260" t="s">
        <v>23</v>
      </c>
      <c r="C2260" t="s">
        <v>8</v>
      </c>
      <c r="D2260">
        <v>80</v>
      </c>
      <c r="E2260" s="2">
        <v>9.7997685185185188E-2</v>
      </c>
      <c r="F2260">
        <v>141.11666666666667</v>
      </c>
    </row>
    <row r="2261" spans="1:6" x14ac:dyDescent="0.25">
      <c r="A2261" s="1">
        <v>39142</v>
      </c>
      <c r="B2261" t="s">
        <v>23</v>
      </c>
      <c r="C2261" t="s">
        <v>9</v>
      </c>
      <c r="D2261">
        <v>44</v>
      </c>
      <c r="E2261" s="2">
        <v>2.6041666666666668E-2</v>
      </c>
      <c r="F2261">
        <v>37.5</v>
      </c>
    </row>
    <row r="2262" spans="1:6" x14ac:dyDescent="0.25">
      <c r="A2262" s="1">
        <v>39142</v>
      </c>
      <c r="B2262" t="s">
        <v>23</v>
      </c>
      <c r="C2262" t="s">
        <v>10</v>
      </c>
      <c r="D2262">
        <v>46</v>
      </c>
      <c r="E2262" s="2">
        <v>4.7025462962962963E-2</v>
      </c>
      <c r="F2262">
        <v>67.716666666666669</v>
      </c>
    </row>
    <row r="2263" spans="1:6" x14ac:dyDescent="0.25">
      <c r="A2263" s="1">
        <v>39142</v>
      </c>
      <c r="B2263" t="s">
        <v>23</v>
      </c>
      <c r="C2263" t="s">
        <v>11</v>
      </c>
      <c r="D2263">
        <v>47</v>
      </c>
      <c r="E2263" s="2">
        <v>3.7743055555555557E-2</v>
      </c>
      <c r="F2263">
        <v>54.35</v>
      </c>
    </row>
    <row r="2264" spans="1:6" x14ac:dyDescent="0.25">
      <c r="A2264" s="1">
        <v>39142</v>
      </c>
      <c r="B2264" t="s">
        <v>24</v>
      </c>
      <c r="C2264" t="s">
        <v>6</v>
      </c>
      <c r="D2264">
        <v>53</v>
      </c>
      <c r="E2264" s="2">
        <v>4.4618055555555557E-2</v>
      </c>
      <c r="F2264">
        <v>64.25</v>
      </c>
    </row>
    <row r="2265" spans="1:6" x14ac:dyDescent="0.25">
      <c r="A2265" s="1">
        <v>39142</v>
      </c>
      <c r="B2265" t="s">
        <v>24</v>
      </c>
      <c r="C2265" t="s">
        <v>7</v>
      </c>
      <c r="D2265">
        <v>63</v>
      </c>
      <c r="E2265" s="2">
        <v>4.5335648148148146E-2</v>
      </c>
      <c r="F2265">
        <v>65.283333333333331</v>
      </c>
    </row>
    <row r="2266" spans="1:6" x14ac:dyDescent="0.25">
      <c r="A2266" s="1">
        <v>39142</v>
      </c>
      <c r="B2266" t="s">
        <v>24</v>
      </c>
      <c r="C2266" t="s">
        <v>8</v>
      </c>
      <c r="D2266">
        <v>29</v>
      </c>
      <c r="E2266" s="2">
        <v>3.2638888888888891E-2</v>
      </c>
      <c r="F2266">
        <v>47</v>
      </c>
    </row>
    <row r="2267" spans="1:6" x14ac:dyDescent="0.25">
      <c r="A2267" s="1">
        <v>39142</v>
      </c>
      <c r="B2267" t="s">
        <v>24</v>
      </c>
      <c r="C2267" t="s">
        <v>9</v>
      </c>
      <c r="D2267">
        <v>20</v>
      </c>
      <c r="E2267" s="2">
        <v>1.0787037037037038E-2</v>
      </c>
      <c r="F2267">
        <v>15.533333333333333</v>
      </c>
    </row>
    <row r="2268" spans="1:6" x14ac:dyDescent="0.25">
      <c r="A2268" s="1">
        <v>39142</v>
      </c>
      <c r="B2268" t="s">
        <v>24</v>
      </c>
      <c r="C2268" t="s">
        <v>10</v>
      </c>
      <c r="D2268">
        <v>0</v>
      </c>
      <c r="E2268" s="2">
        <v>0</v>
      </c>
      <c r="F2268">
        <v>0</v>
      </c>
    </row>
    <row r="2269" spans="1:6" x14ac:dyDescent="0.25">
      <c r="A2269" s="1">
        <v>39142</v>
      </c>
      <c r="B2269" t="s">
        <v>24</v>
      </c>
      <c r="C2269" t="s">
        <v>11</v>
      </c>
      <c r="D2269">
        <v>26</v>
      </c>
      <c r="E2269" s="2">
        <v>2.0509259259259258E-2</v>
      </c>
      <c r="F2269">
        <v>29.533333333333335</v>
      </c>
    </row>
    <row r="2270" spans="1:6" x14ac:dyDescent="0.25">
      <c r="A2270" s="1">
        <v>39173</v>
      </c>
      <c r="B2270" t="s">
        <v>5</v>
      </c>
      <c r="C2270" t="s">
        <v>6</v>
      </c>
      <c r="D2270">
        <v>19</v>
      </c>
      <c r="E2270" s="2">
        <v>1.1608796296296296E-2</v>
      </c>
      <c r="F2270">
        <v>16.716666666666665</v>
      </c>
    </row>
    <row r="2271" spans="1:6" x14ac:dyDescent="0.25">
      <c r="A2271" s="1">
        <v>39173</v>
      </c>
      <c r="B2271" t="s">
        <v>5</v>
      </c>
      <c r="C2271" t="s">
        <v>7</v>
      </c>
      <c r="D2271">
        <v>20</v>
      </c>
      <c r="E2271" s="2">
        <v>1.5266203703703704E-2</v>
      </c>
      <c r="F2271">
        <v>21.983333333333334</v>
      </c>
    </row>
    <row r="2272" spans="1:6" x14ac:dyDescent="0.25">
      <c r="A2272" s="1">
        <v>39173</v>
      </c>
      <c r="B2272" t="s">
        <v>5</v>
      </c>
      <c r="C2272" t="s">
        <v>8</v>
      </c>
      <c r="D2272">
        <v>5</v>
      </c>
      <c r="E2272" s="2">
        <v>3.3564814814814816E-3</v>
      </c>
      <c r="F2272">
        <v>4.833333333333333</v>
      </c>
    </row>
    <row r="2273" spans="1:6" x14ac:dyDescent="0.25">
      <c r="A2273" s="1">
        <v>39173</v>
      </c>
      <c r="B2273" t="s">
        <v>5</v>
      </c>
      <c r="C2273" t="s">
        <v>9</v>
      </c>
      <c r="D2273">
        <v>6</v>
      </c>
      <c r="E2273" s="2">
        <v>2.0254629629629629E-3</v>
      </c>
      <c r="F2273">
        <v>2.9166666666666665</v>
      </c>
    </row>
    <row r="2274" spans="1:6" x14ac:dyDescent="0.25">
      <c r="A2274" s="1">
        <v>39173</v>
      </c>
      <c r="B2274" t="s">
        <v>5</v>
      </c>
      <c r="C2274" t="s">
        <v>10</v>
      </c>
      <c r="D2274">
        <v>6</v>
      </c>
      <c r="E2274" s="2">
        <v>2.6157407407407405E-3</v>
      </c>
      <c r="F2274">
        <v>3.7666666666666666</v>
      </c>
    </row>
    <row r="2275" spans="1:6" x14ac:dyDescent="0.25">
      <c r="A2275" s="1">
        <v>39173</v>
      </c>
      <c r="B2275" t="s">
        <v>5</v>
      </c>
      <c r="C2275" t="s">
        <v>11</v>
      </c>
      <c r="D2275">
        <v>9</v>
      </c>
      <c r="E2275" s="2">
        <v>4.9768518518518521E-3</v>
      </c>
      <c r="F2275">
        <v>7.166666666666667</v>
      </c>
    </row>
    <row r="2276" spans="1:6" x14ac:dyDescent="0.25">
      <c r="A2276" s="1">
        <v>39173</v>
      </c>
      <c r="B2276" t="s">
        <v>12</v>
      </c>
      <c r="C2276" t="s">
        <v>6</v>
      </c>
      <c r="D2276">
        <v>30</v>
      </c>
      <c r="E2276" s="2">
        <v>3.1909722222222221E-2</v>
      </c>
      <c r="F2276">
        <v>45.95</v>
      </c>
    </row>
    <row r="2277" spans="1:6" x14ac:dyDescent="0.25">
      <c r="A2277" s="1">
        <v>39173</v>
      </c>
      <c r="B2277" t="s">
        <v>12</v>
      </c>
      <c r="C2277" t="s">
        <v>7</v>
      </c>
      <c r="D2277">
        <v>30</v>
      </c>
      <c r="E2277" s="2">
        <v>4.0740740740740744E-2</v>
      </c>
      <c r="F2277">
        <v>58.666666666666664</v>
      </c>
    </row>
    <row r="2278" spans="1:6" x14ac:dyDescent="0.25">
      <c r="A2278" s="1">
        <v>39173</v>
      </c>
      <c r="B2278" t="s">
        <v>12</v>
      </c>
      <c r="C2278" t="s">
        <v>8</v>
      </c>
      <c r="D2278">
        <v>25</v>
      </c>
      <c r="E2278" s="2">
        <v>3.7291666666666667E-2</v>
      </c>
      <c r="F2278">
        <v>53.7</v>
      </c>
    </row>
    <row r="2279" spans="1:6" x14ac:dyDescent="0.25">
      <c r="A2279" s="1">
        <v>39173</v>
      </c>
      <c r="B2279" t="s">
        <v>12</v>
      </c>
      <c r="C2279" t="s">
        <v>9</v>
      </c>
      <c r="D2279">
        <v>6</v>
      </c>
      <c r="E2279" s="2">
        <v>4.0509259259259257E-3</v>
      </c>
      <c r="F2279">
        <v>5.833333333333333</v>
      </c>
    </row>
    <row r="2280" spans="1:6" x14ac:dyDescent="0.25">
      <c r="A2280" s="1">
        <v>39173</v>
      </c>
      <c r="B2280" t="s">
        <v>12</v>
      </c>
      <c r="C2280" t="s">
        <v>10</v>
      </c>
      <c r="D2280">
        <v>0</v>
      </c>
      <c r="E2280" s="2">
        <v>0</v>
      </c>
      <c r="F2280">
        <v>0</v>
      </c>
    </row>
    <row r="2281" spans="1:6" x14ac:dyDescent="0.25">
      <c r="A2281" s="1">
        <v>39173</v>
      </c>
      <c r="B2281" t="s">
        <v>12</v>
      </c>
      <c r="C2281" t="s">
        <v>11</v>
      </c>
      <c r="D2281">
        <v>14</v>
      </c>
      <c r="E2281" s="2">
        <v>1.6145833333333335E-2</v>
      </c>
      <c r="F2281">
        <v>23.25</v>
      </c>
    </row>
    <row r="2282" spans="1:6" x14ac:dyDescent="0.25">
      <c r="A2282" s="1">
        <v>39173</v>
      </c>
      <c r="B2282" t="s">
        <v>13</v>
      </c>
      <c r="C2282" t="s">
        <v>6</v>
      </c>
      <c r="D2282">
        <v>37</v>
      </c>
      <c r="E2282" s="2">
        <v>3.4583333333333334E-2</v>
      </c>
      <c r="F2282">
        <v>49.8</v>
      </c>
    </row>
    <row r="2283" spans="1:6" x14ac:dyDescent="0.25">
      <c r="A2283" s="1">
        <v>39173</v>
      </c>
      <c r="B2283" t="s">
        <v>13</v>
      </c>
      <c r="C2283" t="s">
        <v>7</v>
      </c>
      <c r="D2283">
        <v>19</v>
      </c>
      <c r="E2283" s="2">
        <v>2.1238425925925924E-2</v>
      </c>
      <c r="F2283">
        <v>30.583333333333332</v>
      </c>
    </row>
    <row r="2284" spans="1:6" x14ac:dyDescent="0.25">
      <c r="A2284" s="1">
        <v>39173</v>
      </c>
      <c r="B2284" t="s">
        <v>13</v>
      </c>
      <c r="C2284" t="s">
        <v>8</v>
      </c>
      <c r="D2284">
        <v>10</v>
      </c>
      <c r="E2284" s="2">
        <v>1.2847222222222222E-2</v>
      </c>
      <c r="F2284">
        <v>18.5</v>
      </c>
    </row>
    <row r="2285" spans="1:6" x14ac:dyDescent="0.25">
      <c r="A2285" s="1">
        <v>39173</v>
      </c>
      <c r="B2285" t="s">
        <v>13</v>
      </c>
      <c r="C2285" t="s">
        <v>9</v>
      </c>
      <c r="D2285">
        <v>5</v>
      </c>
      <c r="E2285" s="2">
        <v>3.0787037037037037E-3</v>
      </c>
      <c r="F2285">
        <v>4.4333333333333336</v>
      </c>
    </row>
    <row r="2286" spans="1:6" x14ac:dyDescent="0.25">
      <c r="A2286" s="1">
        <v>39173</v>
      </c>
      <c r="B2286" t="s">
        <v>13</v>
      </c>
      <c r="C2286" t="s">
        <v>10</v>
      </c>
      <c r="D2286">
        <v>11</v>
      </c>
      <c r="E2286" s="2">
        <v>4.3055555555555555E-3</v>
      </c>
      <c r="F2286">
        <v>6.2</v>
      </c>
    </row>
    <row r="2287" spans="1:6" x14ac:dyDescent="0.25">
      <c r="A2287" s="1">
        <v>39173</v>
      </c>
      <c r="B2287" t="s">
        <v>13</v>
      </c>
      <c r="C2287" t="s">
        <v>11</v>
      </c>
      <c r="D2287">
        <v>5</v>
      </c>
      <c r="E2287" s="2">
        <v>3.7847222222222223E-3</v>
      </c>
      <c r="F2287">
        <v>5.45</v>
      </c>
    </row>
    <row r="2288" spans="1:6" x14ac:dyDescent="0.25">
      <c r="A2288" s="1">
        <v>39173</v>
      </c>
      <c r="B2288" t="s">
        <v>14</v>
      </c>
      <c r="C2288" t="s">
        <v>6</v>
      </c>
      <c r="D2288">
        <v>7</v>
      </c>
      <c r="E2288" s="2">
        <v>7.9166666666666673E-3</v>
      </c>
      <c r="F2288">
        <v>11.4</v>
      </c>
    </row>
    <row r="2289" spans="1:6" x14ac:dyDescent="0.25">
      <c r="A2289" s="1">
        <v>39173</v>
      </c>
      <c r="B2289" t="s">
        <v>14</v>
      </c>
      <c r="C2289" t="s">
        <v>7</v>
      </c>
      <c r="D2289">
        <v>6</v>
      </c>
      <c r="E2289" s="2">
        <v>7.8935185185185185E-3</v>
      </c>
      <c r="F2289">
        <v>11.366666666666667</v>
      </c>
    </row>
    <row r="2290" spans="1:6" x14ac:dyDescent="0.25">
      <c r="A2290" s="1">
        <v>39173</v>
      </c>
      <c r="B2290" t="s">
        <v>14</v>
      </c>
      <c r="C2290" t="s">
        <v>8</v>
      </c>
      <c r="D2290">
        <v>1</v>
      </c>
      <c r="E2290" s="2">
        <v>1.2962962962962963E-3</v>
      </c>
      <c r="F2290">
        <v>1.8666666666666667</v>
      </c>
    </row>
    <row r="2291" spans="1:6" x14ac:dyDescent="0.25">
      <c r="A2291" s="1">
        <v>39173</v>
      </c>
      <c r="B2291" t="s">
        <v>14</v>
      </c>
      <c r="C2291" t="s">
        <v>9</v>
      </c>
      <c r="D2291">
        <v>1</v>
      </c>
      <c r="E2291" s="2">
        <v>4.3981481481481481E-4</v>
      </c>
      <c r="F2291">
        <v>0.6333333333333333</v>
      </c>
    </row>
    <row r="2292" spans="1:6" x14ac:dyDescent="0.25">
      <c r="A2292" s="1">
        <v>39173</v>
      </c>
      <c r="B2292" t="s">
        <v>14</v>
      </c>
      <c r="C2292" t="s">
        <v>10</v>
      </c>
      <c r="D2292">
        <v>2</v>
      </c>
      <c r="E2292" s="2">
        <v>2.2800925925925927E-3</v>
      </c>
      <c r="F2292">
        <v>3.2833333333333332</v>
      </c>
    </row>
    <row r="2293" spans="1:6" x14ac:dyDescent="0.25">
      <c r="A2293" s="1">
        <v>39173</v>
      </c>
      <c r="B2293" t="s">
        <v>14</v>
      </c>
      <c r="C2293" t="s">
        <v>11</v>
      </c>
      <c r="D2293">
        <v>0</v>
      </c>
      <c r="E2293" s="2">
        <v>0</v>
      </c>
      <c r="F2293">
        <v>0</v>
      </c>
    </row>
    <row r="2294" spans="1:6" x14ac:dyDescent="0.25">
      <c r="A2294" s="1">
        <v>39173</v>
      </c>
      <c r="B2294" t="s">
        <v>15</v>
      </c>
      <c r="C2294" t="s">
        <v>6</v>
      </c>
      <c r="D2294">
        <v>37</v>
      </c>
      <c r="E2294" s="2">
        <v>3.5208333333333335E-2</v>
      </c>
      <c r="F2294">
        <v>50.7</v>
      </c>
    </row>
    <row r="2295" spans="1:6" x14ac:dyDescent="0.25">
      <c r="A2295" s="1">
        <v>39173</v>
      </c>
      <c r="B2295" t="s">
        <v>15</v>
      </c>
      <c r="C2295" t="s">
        <v>7</v>
      </c>
      <c r="D2295">
        <v>24</v>
      </c>
      <c r="E2295" s="2">
        <v>2.361111111111111E-2</v>
      </c>
      <c r="F2295">
        <v>34</v>
      </c>
    </row>
    <row r="2296" spans="1:6" x14ac:dyDescent="0.25">
      <c r="A2296" s="1">
        <v>39173</v>
      </c>
      <c r="B2296" t="s">
        <v>15</v>
      </c>
      <c r="C2296" t="s">
        <v>8</v>
      </c>
      <c r="D2296">
        <v>8</v>
      </c>
      <c r="E2296" s="2">
        <v>1.1041666666666667E-2</v>
      </c>
      <c r="F2296">
        <v>15.9</v>
      </c>
    </row>
    <row r="2297" spans="1:6" x14ac:dyDescent="0.25">
      <c r="A2297" s="1">
        <v>39173</v>
      </c>
      <c r="B2297" t="s">
        <v>15</v>
      </c>
      <c r="C2297" t="s">
        <v>9</v>
      </c>
      <c r="D2297">
        <v>6</v>
      </c>
      <c r="E2297" s="2">
        <v>3.4027777777777776E-3</v>
      </c>
      <c r="F2297">
        <v>4.9000000000000004</v>
      </c>
    </row>
    <row r="2298" spans="1:6" x14ac:dyDescent="0.25">
      <c r="A2298" s="1">
        <v>39173</v>
      </c>
      <c r="B2298" t="s">
        <v>15</v>
      </c>
      <c r="C2298" t="s">
        <v>10</v>
      </c>
      <c r="D2298">
        <v>9</v>
      </c>
      <c r="E2298" s="2">
        <v>1.0324074074074074E-2</v>
      </c>
      <c r="F2298">
        <v>14.866666666666667</v>
      </c>
    </row>
    <row r="2299" spans="1:6" x14ac:dyDescent="0.25">
      <c r="A2299" s="1">
        <v>39173</v>
      </c>
      <c r="B2299" t="s">
        <v>15</v>
      </c>
      <c r="C2299" t="s">
        <v>11</v>
      </c>
      <c r="D2299">
        <v>8</v>
      </c>
      <c r="E2299" s="2">
        <v>6.5393518518518517E-3</v>
      </c>
      <c r="F2299">
        <v>9.4166666666666661</v>
      </c>
    </row>
    <row r="2300" spans="1:6" x14ac:dyDescent="0.25">
      <c r="A2300" s="1">
        <v>39173</v>
      </c>
      <c r="B2300" t="s">
        <v>16</v>
      </c>
      <c r="C2300" t="s">
        <v>6</v>
      </c>
      <c r="D2300">
        <v>42</v>
      </c>
      <c r="E2300" s="2">
        <v>3.6689814814814814E-2</v>
      </c>
      <c r="F2300">
        <v>52.833333333333336</v>
      </c>
    </row>
    <row r="2301" spans="1:6" x14ac:dyDescent="0.25">
      <c r="A2301" s="1">
        <v>39173</v>
      </c>
      <c r="B2301" t="s">
        <v>16</v>
      </c>
      <c r="C2301" t="s">
        <v>7</v>
      </c>
      <c r="D2301">
        <v>50</v>
      </c>
      <c r="E2301" s="2">
        <v>3.9467592592592596E-2</v>
      </c>
      <c r="F2301">
        <v>56.833333333333336</v>
      </c>
    </row>
    <row r="2302" spans="1:6" x14ac:dyDescent="0.25">
      <c r="A2302" s="1">
        <v>39173</v>
      </c>
      <c r="B2302" t="s">
        <v>16</v>
      </c>
      <c r="C2302" t="s">
        <v>8</v>
      </c>
      <c r="D2302">
        <v>40</v>
      </c>
      <c r="E2302" s="2">
        <v>3.7164351851851851E-2</v>
      </c>
      <c r="F2302">
        <v>53.516666666666666</v>
      </c>
    </row>
    <row r="2303" spans="1:6" x14ac:dyDescent="0.25">
      <c r="A2303" s="1">
        <v>39173</v>
      </c>
      <c r="B2303" t="s">
        <v>16</v>
      </c>
      <c r="C2303" t="s">
        <v>9</v>
      </c>
      <c r="D2303">
        <v>21</v>
      </c>
      <c r="E2303" s="2">
        <v>1.3043981481481481E-2</v>
      </c>
      <c r="F2303">
        <v>18.783333333333335</v>
      </c>
    </row>
    <row r="2304" spans="1:6" x14ac:dyDescent="0.25">
      <c r="A2304" s="1">
        <v>39173</v>
      </c>
      <c r="B2304" t="s">
        <v>16</v>
      </c>
      <c r="C2304" t="s">
        <v>10</v>
      </c>
      <c r="D2304">
        <v>6</v>
      </c>
      <c r="E2304" s="2">
        <v>5.6365740740740742E-3</v>
      </c>
      <c r="F2304">
        <v>8.1166666666666671</v>
      </c>
    </row>
    <row r="2305" spans="1:6" x14ac:dyDescent="0.25">
      <c r="A2305" s="1">
        <v>39173</v>
      </c>
      <c r="B2305" t="s">
        <v>16</v>
      </c>
      <c r="C2305" t="s">
        <v>11</v>
      </c>
      <c r="D2305">
        <v>27</v>
      </c>
      <c r="E2305" s="2">
        <v>2.252314814814815E-2</v>
      </c>
      <c r="F2305">
        <v>32.43333333333333</v>
      </c>
    </row>
    <row r="2306" spans="1:6" x14ac:dyDescent="0.25">
      <c r="A2306" s="1">
        <v>39173</v>
      </c>
      <c r="B2306" t="s">
        <v>17</v>
      </c>
      <c r="C2306" t="s">
        <v>6</v>
      </c>
      <c r="D2306">
        <v>15</v>
      </c>
      <c r="E2306" s="2">
        <v>1.1087962962962963E-2</v>
      </c>
      <c r="F2306">
        <v>15.966666666666667</v>
      </c>
    </row>
    <row r="2307" spans="1:6" x14ac:dyDescent="0.25">
      <c r="A2307" s="1">
        <v>39173</v>
      </c>
      <c r="B2307" t="s">
        <v>17</v>
      </c>
      <c r="C2307" t="s">
        <v>7</v>
      </c>
      <c r="D2307">
        <v>10</v>
      </c>
      <c r="E2307" s="2">
        <v>1.0138888888888888E-2</v>
      </c>
      <c r="F2307">
        <v>14.6</v>
      </c>
    </row>
    <row r="2308" spans="1:6" x14ac:dyDescent="0.25">
      <c r="A2308" s="1">
        <v>39173</v>
      </c>
      <c r="B2308" t="s">
        <v>17</v>
      </c>
      <c r="C2308" t="s">
        <v>8</v>
      </c>
      <c r="D2308">
        <v>10</v>
      </c>
      <c r="E2308" s="2">
        <v>1.0451388888888889E-2</v>
      </c>
      <c r="F2308">
        <v>15.05</v>
      </c>
    </row>
    <row r="2309" spans="1:6" x14ac:dyDescent="0.25">
      <c r="A2309" s="1">
        <v>39173</v>
      </c>
      <c r="B2309" t="s">
        <v>17</v>
      </c>
      <c r="C2309" t="s">
        <v>9</v>
      </c>
      <c r="D2309">
        <v>6</v>
      </c>
      <c r="E2309" s="2">
        <v>3.7384259259259259E-3</v>
      </c>
      <c r="F2309">
        <v>5.3833333333333337</v>
      </c>
    </row>
    <row r="2310" spans="1:6" x14ac:dyDescent="0.25">
      <c r="A2310" s="1">
        <v>39173</v>
      </c>
      <c r="B2310" t="s">
        <v>17</v>
      </c>
      <c r="C2310" t="s">
        <v>10</v>
      </c>
      <c r="D2310">
        <v>9</v>
      </c>
      <c r="E2310" s="2">
        <v>8.3796296296296292E-3</v>
      </c>
      <c r="F2310">
        <v>12.066666666666666</v>
      </c>
    </row>
    <row r="2311" spans="1:6" x14ac:dyDescent="0.25">
      <c r="A2311" s="1">
        <v>39173</v>
      </c>
      <c r="B2311" t="s">
        <v>17</v>
      </c>
      <c r="C2311" t="s">
        <v>11</v>
      </c>
      <c r="D2311">
        <v>7</v>
      </c>
      <c r="E2311" s="2">
        <v>5.2199074074074075E-3</v>
      </c>
      <c r="F2311">
        <v>7.5166666666666666</v>
      </c>
    </row>
    <row r="2312" spans="1:6" x14ac:dyDescent="0.25">
      <c r="A2312" s="1">
        <v>39173</v>
      </c>
      <c r="B2312" t="s">
        <v>18</v>
      </c>
      <c r="C2312" t="s">
        <v>6</v>
      </c>
      <c r="D2312">
        <v>62</v>
      </c>
      <c r="E2312" s="2">
        <v>4.476851851851852E-2</v>
      </c>
      <c r="F2312">
        <v>64.466666666666669</v>
      </c>
    </row>
    <row r="2313" spans="1:6" x14ac:dyDescent="0.25">
      <c r="A2313" s="1">
        <v>39173</v>
      </c>
      <c r="B2313" t="s">
        <v>18</v>
      </c>
      <c r="C2313" t="s">
        <v>7</v>
      </c>
      <c r="D2313">
        <v>53</v>
      </c>
      <c r="E2313" s="2">
        <v>4.3043981481481482E-2</v>
      </c>
      <c r="F2313">
        <v>61.983333333333334</v>
      </c>
    </row>
    <row r="2314" spans="1:6" x14ac:dyDescent="0.25">
      <c r="A2314" s="1">
        <v>39173</v>
      </c>
      <c r="B2314" t="s">
        <v>18</v>
      </c>
      <c r="C2314" t="s">
        <v>8</v>
      </c>
      <c r="D2314">
        <v>38</v>
      </c>
      <c r="E2314" s="2">
        <v>3.9120370370370368E-2</v>
      </c>
      <c r="F2314">
        <v>56.333333333333336</v>
      </c>
    </row>
    <row r="2315" spans="1:6" x14ac:dyDescent="0.25">
      <c r="A2315" s="1">
        <v>39173</v>
      </c>
      <c r="B2315" t="s">
        <v>18</v>
      </c>
      <c r="C2315" t="s">
        <v>9</v>
      </c>
      <c r="D2315">
        <v>52</v>
      </c>
      <c r="E2315" s="2">
        <v>2.3217592592592592E-2</v>
      </c>
      <c r="F2315">
        <v>33.43333333333333</v>
      </c>
    </row>
    <row r="2316" spans="1:6" x14ac:dyDescent="0.25">
      <c r="A2316" s="1">
        <v>39173</v>
      </c>
      <c r="B2316" t="s">
        <v>18</v>
      </c>
      <c r="C2316" t="s">
        <v>10</v>
      </c>
      <c r="D2316">
        <v>149</v>
      </c>
      <c r="E2316" s="2">
        <v>0.1308101851851852</v>
      </c>
      <c r="F2316">
        <v>188.36666666666667</v>
      </c>
    </row>
    <row r="2317" spans="1:6" x14ac:dyDescent="0.25">
      <c r="A2317" s="1">
        <v>39173</v>
      </c>
      <c r="B2317" t="s">
        <v>18</v>
      </c>
      <c r="C2317" t="s">
        <v>11</v>
      </c>
      <c r="D2317">
        <v>16</v>
      </c>
      <c r="E2317" s="2">
        <v>9.3981481481481485E-3</v>
      </c>
      <c r="F2317">
        <v>13.533333333333333</v>
      </c>
    </row>
    <row r="2318" spans="1:6" x14ac:dyDescent="0.25">
      <c r="A2318" s="1">
        <v>39173</v>
      </c>
      <c r="B2318" t="s">
        <v>19</v>
      </c>
      <c r="C2318" t="s">
        <v>6</v>
      </c>
      <c r="D2318">
        <v>34</v>
      </c>
      <c r="E2318" s="2">
        <v>2.5891203703703704E-2</v>
      </c>
      <c r="F2318">
        <v>37.283333333333331</v>
      </c>
    </row>
    <row r="2319" spans="1:6" x14ac:dyDescent="0.25">
      <c r="A2319" s="1">
        <v>39173</v>
      </c>
      <c r="B2319" t="s">
        <v>19</v>
      </c>
      <c r="C2319" t="s">
        <v>7</v>
      </c>
      <c r="D2319">
        <v>22</v>
      </c>
      <c r="E2319" s="2">
        <v>1.9571759259259261E-2</v>
      </c>
      <c r="F2319">
        <v>28.183333333333334</v>
      </c>
    </row>
    <row r="2320" spans="1:6" x14ac:dyDescent="0.25">
      <c r="A2320" s="1">
        <v>39173</v>
      </c>
      <c r="B2320" t="s">
        <v>19</v>
      </c>
      <c r="C2320" t="s">
        <v>8</v>
      </c>
      <c r="D2320">
        <v>22</v>
      </c>
      <c r="E2320" s="2">
        <v>2.7581018518518519E-2</v>
      </c>
      <c r="F2320">
        <v>39.716666666666669</v>
      </c>
    </row>
    <row r="2321" spans="1:6" x14ac:dyDescent="0.25">
      <c r="A2321" s="1">
        <v>39173</v>
      </c>
      <c r="B2321" t="s">
        <v>19</v>
      </c>
      <c r="C2321" t="s">
        <v>9</v>
      </c>
      <c r="D2321">
        <v>18</v>
      </c>
      <c r="E2321" s="2">
        <v>1.2280092592592592E-2</v>
      </c>
      <c r="F2321">
        <v>17.683333333333334</v>
      </c>
    </row>
    <row r="2322" spans="1:6" x14ac:dyDescent="0.25">
      <c r="A2322" s="1">
        <v>39173</v>
      </c>
      <c r="B2322" t="s">
        <v>19</v>
      </c>
      <c r="C2322" t="s">
        <v>10</v>
      </c>
      <c r="D2322">
        <v>15</v>
      </c>
      <c r="E2322" s="2">
        <v>7.8935185185185185E-3</v>
      </c>
      <c r="F2322">
        <v>11.366666666666667</v>
      </c>
    </row>
    <row r="2323" spans="1:6" x14ac:dyDescent="0.25">
      <c r="A2323" s="1">
        <v>39173</v>
      </c>
      <c r="B2323" t="s">
        <v>19</v>
      </c>
      <c r="C2323" t="s">
        <v>11</v>
      </c>
      <c r="D2323">
        <v>14</v>
      </c>
      <c r="E2323" s="2">
        <v>1.2222222222222223E-2</v>
      </c>
      <c r="F2323">
        <v>17.600000000000001</v>
      </c>
    </row>
    <row r="2324" spans="1:6" x14ac:dyDescent="0.25">
      <c r="A2324" s="1">
        <v>39173</v>
      </c>
      <c r="B2324" t="s">
        <v>20</v>
      </c>
      <c r="C2324" t="s">
        <v>6</v>
      </c>
      <c r="D2324">
        <v>133</v>
      </c>
      <c r="E2324" s="2">
        <v>0.15869212962962964</v>
      </c>
      <c r="F2324">
        <v>228.51666666666668</v>
      </c>
    </row>
    <row r="2325" spans="1:6" x14ac:dyDescent="0.25">
      <c r="A2325" s="1">
        <v>39173</v>
      </c>
      <c r="B2325" t="s">
        <v>20</v>
      </c>
      <c r="C2325" t="s">
        <v>7</v>
      </c>
      <c r="D2325">
        <v>148</v>
      </c>
      <c r="E2325" s="2">
        <v>0.16438657407407409</v>
      </c>
      <c r="F2325">
        <v>236.71666666666667</v>
      </c>
    </row>
    <row r="2326" spans="1:6" x14ac:dyDescent="0.25">
      <c r="A2326" s="1">
        <v>39173</v>
      </c>
      <c r="B2326" t="s">
        <v>20</v>
      </c>
      <c r="C2326" t="s">
        <v>8</v>
      </c>
      <c r="D2326">
        <v>118</v>
      </c>
      <c r="E2326" s="2">
        <v>0.17604166666666668</v>
      </c>
      <c r="F2326">
        <v>253.5</v>
      </c>
    </row>
    <row r="2327" spans="1:6" x14ac:dyDescent="0.25">
      <c r="A2327" s="1">
        <v>39173</v>
      </c>
      <c r="B2327" t="s">
        <v>20</v>
      </c>
      <c r="C2327" t="s">
        <v>9</v>
      </c>
      <c r="D2327">
        <v>49</v>
      </c>
      <c r="E2327" s="2">
        <v>3.5671296296296298E-2</v>
      </c>
      <c r="F2327">
        <v>51.366666666666667</v>
      </c>
    </row>
    <row r="2328" spans="1:6" x14ac:dyDescent="0.25">
      <c r="A2328" s="1">
        <v>39173</v>
      </c>
      <c r="B2328" t="s">
        <v>20</v>
      </c>
      <c r="C2328" t="s">
        <v>10</v>
      </c>
      <c r="D2328">
        <v>39</v>
      </c>
      <c r="E2328" s="2">
        <v>5.8333333333333334E-2</v>
      </c>
      <c r="F2328">
        <v>84</v>
      </c>
    </row>
    <row r="2329" spans="1:6" x14ac:dyDescent="0.25">
      <c r="A2329" s="1">
        <v>39173</v>
      </c>
      <c r="B2329" t="s">
        <v>20</v>
      </c>
      <c r="C2329" t="s">
        <v>11</v>
      </c>
      <c r="D2329">
        <v>74</v>
      </c>
      <c r="E2329" s="2">
        <v>6.222222222222222E-2</v>
      </c>
      <c r="F2329">
        <v>89.6</v>
      </c>
    </row>
    <row r="2330" spans="1:6" x14ac:dyDescent="0.25">
      <c r="A2330" s="1">
        <v>39173</v>
      </c>
      <c r="B2330" t="s">
        <v>21</v>
      </c>
      <c r="C2330" t="s">
        <v>6</v>
      </c>
      <c r="D2330">
        <v>26</v>
      </c>
      <c r="E2330" s="2">
        <v>2.8495370370370369E-2</v>
      </c>
      <c r="F2330">
        <v>41.033333333333331</v>
      </c>
    </row>
    <row r="2331" spans="1:6" x14ac:dyDescent="0.25">
      <c r="A2331" s="1">
        <v>39173</v>
      </c>
      <c r="B2331" t="s">
        <v>21</v>
      </c>
      <c r="C2331" t="s">
        <v>7</v>
      </c>
      <c r="D2331">
        <v>23</v>
      </c>
      <c r="E2331" s="2">
        <v>2.4293981481481482E-2</v>
      </c>
      <c r="F2331">
        <v>34.983333333333334</v>
      </c>
    </row>
    <row r="2332" spans="1:6" x14ac:dyDescent="0.25">
      <c r="A2332" s="1">
        <v>39173</v>
      </c>
      <c r="B2332" t="s">
        <v>21</v>
      </c>
      <c r="C2332" t="s">
        <v>8</v>
      </c>
      <c r="D2332">
        <v>11</v>
      </c>
      <c r="E2332" s="2">
        <v>1.2199074074074074E-2</v>
      </c>
      <c r="F2332">
        <v>17.566666666666666</v>
      </c>
    </row>
    <row r="2333" spans="1:6" x14ac:dyDescent="0.25">
      <c r="A2333" s="1">
        <v>39173</v>
      </c>
      <c r="B2333" t="s">
        <v>21</v>
      </c>
      <c r="C2333" t="s">
        <v>9</v>
      </c>
      <c r="D2333">
        <v>7</v>
      </c>
      <c r="E2333" s="2">
        <v>4.0856481481481481E-3</v>
      </c>
      <c r="F2333">
        <v>5.8833333333333329</v>
      </c>
    </row>
    <row r="2334" spans="1:6" x14ac:dyDescent="0.25">
      <c r="A2334" s="1">
        <v>39173</v>
      </c>
      <c r="B2334" t="s">
        <v>21</v>
      </c>
      <c r="C2334" t="s">
        <v>10</v>
      </c>
      <c r="D2334">
        <v>0</v>
      </c>
      <c r="E2334" s="2">
        <v>0</v>
      </c>
      <c r="F2334">
        <v>0</v>
      </c>
    </row>
    <row r="2335" spans="1:6" x14ac:dyDescent="0.25">
      <c r="A2335" s="1">
        <v>39173</v>
      </c>
      <c r="B2335" t="s">
        <v>21</v>
      </c>
      <c r="C2335" t="s">
        <v>11</v>
      </c>
      <c r="D2335">
        <v>9</v>
      </c>
      <c r="E2335" s="2">
        <v>6.875E-3</v>
      </c>
      <c r="F2335">
        <v>9.9</v>
      </c>
    </row>
    <row r="2336" spans="1:6" x14ac:dyDescent="0.25">
      <c r="A2336" s="1">
        <v>39173</v>
      </c>
      <c r="B2336" t="s">
        <v>22</v>
      </c>
      <c r="C2336" t="s">
        <v>6</v>
      </c>
      <c r="D2336">
        <v>19</v>
      </c>
      <c r="E2336" s="2">
        <v>1.170138888888889E-2</v>
      </c>
      <c r="F2336">
        <v>16.850000000000001</v>
      </c>
    </row>
    <row r="2337" spans="1:6" x14ac:dyDescent="0.25">
      <c r="A2337" s="1">
        <v>39173</v>
      </c>
      <c r="B2337" t="s">
        <v>22</v>
      </c>
      <c r="C2337" t="s">
        <v>7</v>
      </c>
      <c r="D2337">
        <v>22</v>
      </c>
      <c r="E2337" s="2">
        <v>1.9803240740740739E-2</v>
      </c>
      <c r="F2337">
        <v>28.516666666666666</v>
      </c>
    </row>
    <row r="2338" spans="1:6" x14ac:dyDescent="0.25">
      <c r="A2338" s="1">
        <v>39173</v>
      </c>
      <c r="B2338" t="s">
        <v>22</v>
      </c>
      <c r="C2338" t="s">
        <v>8</v>
      </c>
      <c r="D2338">
        <v>13</v>
      </c>
      <c r="E2338" s="2">
        <v>1.5636574074074074E-2</v>
      </c>
      <c r="F2338">
        <v>22.516666666666666</v>
      </c>
    </row>
    <row r="2339" spans="1:6" x14ac:dyDescent="0.25">
      <c r="A2339" s="1">
        <v>39173</v>
      </c>
      <c r="B2339" t="s">
        <v>22</v>
      </c>
      <c r="C2339" t="s">
        <v>9</v>
      </c>
      <c r="D2339">
        <v>11</v>
      </c>
      <c r="E2339" s="2">
        <v>4.6759259259259263E-3</v>
      </c>
      <c r="F2339">
        <v>6.7333333333333334</v>
      </c>
    </row>
    <row r="2340" spans="1:6" x14ac:dyDescent="0.25">
      <c r="A2340" s="1">
        <v>39173</v>
      </c>
      <c r="B2340" t="s">
        <v>22</v>
      </c>
      <c r="C2340" t="s">
        <v>10</v>
      </c>
      <c r="D2340">
        <v>2</v>
      </c>
      <c r="E2340" s="2">
        <v>1.5393518518518519E-3</v>
      </c>
      <c r="F2340">
        <v>2.2166666666666668</v>
      </c>
    </row>
    <row r="2341" spans="1:6" x14ac:dyDescent="0.25">
      <c r="A2341" s="1">
        <v>39173</v>
      </c>
      <c r="B2341" t="s">
        <v>22</v>
      </c>
      <c r="C2341" t="s">
        <v>11</v>
      </c>
      <c r="D2341">
        <v>6</v>
      </c>
      <c r="E2341" s="2">
        <v>5.4629629629629629E-3</v>
      </c>
      <c r="F2341">
        <v>7.8666666666666671</v>
      </c>
    </row>
    <row r="2342" spans="1:6" x14ac:dyDescent="0.25">
      <c r="A2342" s="1">
        <v>39173</v>
      </c>
      <c r="B2342" t="s">
        <v>23</v>
      </c>
      <c r="C2342" t="s">
        <v>6</v>
      </c>
      <c r="D2342">
        <v>127</v>
      </c>
      <c r="E2342" s="2">
        <v>0.10364583333333334</v>
      </c>
      <c r="F2342">
        <v>149.25</v>
      </c>
    </row>
    <row r="2343" spans="1:6" x14ac:dyDescent="0.25">
      <c r="A2343" s="1">
        <v>39173</v>
      </c>
      <c r="B2343" t="s">
        <v>23</v>
      </c>
      <c r="C2343" t="s">
        <v>7</v>
      </c>
      <c r="D2343">
        <v>107</v>
      </c>
      <c r="E2343" s="2">
        <v>0.11099537037037037</v>
      </c>
      <c r="F2343">
        <v>159.83333333333334</v>
      </c>
    </row>
    <row r="2344" spans="1:6" x14ac:dyDescent="0.25">
      <c r="A2344" s="1">
        <v>39173</v>
      </c>
      <c r="B2344" t="s">
        <v>23</v>
      </c>
      <c r="C2344" t="s">
        <v>8</v>
      </c>
      <c r="D2344">
        <v>51</v>
      </c>
      <c r="E2344" s="2">
        <v>6.6863425925925923E-2</v>
      </c>
      <c r="F2344">
        <v>96.283333333333331</v>
      </c>
    </row>
    <row r="2345" spans="1:6" x14ac:dyDescent="0.25">
      <c r="A2345" s="1">
        <v>39173</v>
      </c>
      <c r="B2345" t="s">
        <v>23</v>
      </c>
      <c r="C2345" t="s">
        <v>9</v>
      </c>
      <c r="D2345">
        <v>33</v>
      </c>
      <c r="E2345" s="2">
        <v>1.8530092592592591E-2</v>
      </c>
      <c r="F2345">
        <v>26.683333333333334</v>
      </c>
    </row>
    <row r="2346" spans="1:6" x14ac:dyDescent="0.25">
      <c r="A2346" s="1">
        <v>39173</v>
      </c>
      <c r="B2346" t="s">
        <v>23</v>
      </c>
      <c r="C2346" t="s">
        <v>10</v>
      </c>
      <c r="D2346">
        <v>32</v>
      </c>
      <c r="E2346" s="2">
        <v>2.991898148148148E-2</v>
      </c>
      <c r="F2346">
        <v>43.083333333333336</v>
      </c>
    </row>
    <row r="2347" spans="1:6" x14ac:dyDescent="0.25">
      <c r="A2347" s="1">
        <v>39173</v>
      </c>
      <c r="B2347" t="s">
        <v>23</v>
      </c>
      <c r="C2347" t="s">
        <v>11</v>
      </c>
      <c r="D2347">
        <v>36</v>
      </c>
      <c r="E2347" s="2">
        <v>2.8946759259259259E-2</v>
      </c>
      <c r="F2347">
        <v>41.68333333333333</v>
      </c>
    </row>
    <row r="2348" spans="1:6" x14ac:dyDescent="0.25">
      <c r="A2348" s="1">
        <v>39173</v>
      </c>
      <c r="B2348" t="s">
        <v>24</v>
      </c>
      <c r="C2348" t="s">
        <v>6</v>
      </c>
      <c r="D2348">
        <v>46</v>
      </c>
      <c r="E2348" s="2">
        <v>2.9872685185185186E-2</v>
      </c>
      <c r="F2348">
        <v>43.016666666666666</v>
      </c>
    </row>
    <row r="2349" spans="1:6" x14ac:dyDescent="0.25">
      <c r="A2349" s="1">
        <v>39173</v>
      </c>
      <c r="B2349" t="s">
        <v>24</v>
      </c>
      <c r="C2349" t="s">
        <v>7</v>
      </c>
      <c r="D2349">
        <v>40</v>
      </c>
      <c r="E2349" s="2">
        <v>2.7141203703703702E-2</v>
      </c>
      <c r="F2349">
        <v>39.083333333333336</v>
      </c>
    </row>
    <row r="2350" spans="1:6" x14ac:dyDescent="0.25">
      <c r="A2350" s="1">
        <v>39173</v>
      </c>
      <c r="B2350" t="s">
        <v>24</v>
      </c>
      <c r="C2350" t="s">
        <v>8</v>
      </c>
      <c r="D2350">
        <v>20</v>
      </c>
      <c r="E2350" s="2">
        <v>1.9328703703703702E-2</v>
      </c>
      <c r="F2350">
        <v>27.833333333333332</v>
      </c>
    </row>
    <row r="2351" spans="1:6" x14ac:dyDescent="0.25">
      <c r="A2351" s="1">
        <v>39173</v>
      </c>
      <c r="B2351" t="s">
        <v>24</v>
      </c>
      <c r="C2351" t="s">
        <v>9</v>
      </c>
      <c r="D2351">
        <v>13</v>
      </c>
      <c r="E2351" s="2">
        <v>8.6458333333333335E-3</v>
      </c>
      <c r="F2351">
        <v>12.45</v>
      </c>
    </row>
    <row r="2352" spans="1:6" x14ac:dyDescent="0.25">
      <c r="A2352" s="1">
        <v>39173</v>
      </c>
      <c r="B2352" t="s">
        <v>24</v>
      </c>
      <c r="C2352" t="s">
        <v>10</v>
      </c>
      <c r="D2352">
        <v>0</v>
      </c>
      <c r="E2352" s="2">
        <v>0</v>
      </c>
      <c r="F2352">
        <v>0</v>
      </c>
    </row>
    <row r="2353" spans="1:6" x14ac:dyDescent="0.25">
      <c r="A2353" s="1">
        <v>39173</v>
      </c>
      <c r="B2353" t="s">
        <v>24</v>
      </c>
      <c r="C2353" t="s">
        <v>11</v>
      </c>
      <c r="D2353">
        <v>28</v>
      </c>
      <c r="E2353" s="2">
        <v>1.4513888888888889E-2</v>
      </c>
      <c r="F2353">
        <v>20.9</v>
      </c>
    </row>
    <row r="2354" spans="1:6" x14ac:dyDescent="0.25">
      <c r="A2354" s="1">
        <v>39203</v>
      </c>
      <c r="B2354" t="s">
        <v>5</v>
      </c>
      <c r="C2354" t="s">
        <v>6</v>
      </c>
      <c r="D2354">
        <v>25</v>
      </c>
      <c r="E2354" s="2">
        <v>1.9571759259259261E-2</v>
      </c>
      <c r="F2354">
        <v>28.183333333333334</v>
      </c>
    </row>
    <row r="2355" spans="1:6" x14ac:dyDescent="0.25">
      <c r="A2355" s="1">
        <v>39203</v>
      </c>
      <c r="B2355" t="s">
        <v>5</v>
      </c>
      <c r="C2355" t="s">
        <v>7</v>
      </c>
      <c r="D2355">
        <v>21</v>
      </c>
      <c r="E2355" s="2">
        <v>1.8298611111111113E-2</v>
      </c>
      <c r="F2355">
        <v>26.35</v>
      </c>
    </row>
    <row r="2356" spans="1:6" x14ac:dyDescent="0.25">
      <c r="A2356" s="1">
        <v>39203</v>
      </c>
      <c r="B2356" t="s">
        <v>5</v>
      </c>
      <c r="C2356" t="s">
        <v>8</v>
      </c>
      <c r="D2356">
        <v>16</v>
      </c>
      <c r="E2356" s="2">
        <v>1.2476851851851852E-2</v>
      </c>
      <c r="F2356">
        <v>17.966666666666665</v>
      </c>
    </row>
    <row r="2357" spans="1:6" x14ac:dyDescent="0.25">
      <c r="A2357" s="1">
        <v>39203</v>
      </c>
      <c r="B2357" t="s">
        <v>5</v>
      </c>
      <c r="C2357" t="s">
        <v>9</v>
      </c>
      <c r="D2357">
        <v>4</v>
      </c>
      <c r="E2357" s="2">
        <v>2.5000000000000001E-3</v>
      </c>
      <c r="F2357">
        <v>3.6</v>
      </c>
    </row>
    <row r="2358" spans="1:6" x14ac:dyDescent="0.25">
      <c r="A2358" s="1">
        <v>39203</v>
      </c>
      <c r="B2358" t="s">
        <v>5</v>
      </c>
      <c r="C2358" t="s">
        <v>10</v>
      </c>
      <c r="D2358">
        <v>1</v>
      </c>
      <c r="E2358" s="2">
        <v>7.407407407407407E-4</v>
      </c>
      <c r="F2358">
        <v>1.0666666666666667</v>
      </c>
    </row>
    <row r="2359" spans="1:6" x14ac:dyDescent="0.25">
      <c r="A2359" s="1">
        <v>39203</v>
      </c>
      <c r="B2359" t="s">
        <v>5</v>
      </c>
      <c r="C2359" t="s">
        <v>11</v>
      </c>
      <c r="D2359">
        <v>12</v>
      </c>
      <c r="E2359" s="2">
        <v>8.4375000000000006E-3</v>
      </c>
      <c r="F2359">
        <v>12.15</v>
      </c>
    </row>
    <row r="2360" spans="1:6" x14ac:dyDescent="0.25">
      <c r="A2360" s="1">
        <v>39203</v>
      </c>
      <c r="B2360" t="s">
        <v>12</v>
      </c>
      <c r="C2360" t="s">
        <v>6</v>
      </c>
      <c r="D2360">
        <v>61</v>
      </c>
      <c r="E2360" s="2">
        <v>6.0104166666666667E-2</v>
      </c>
      <c r="F2360">
        <v>86.55</v>
      </c>
    </row>
    <row r="2361" spans="1:6" x14ac:dyDescent="0.25">
      <c r="A2361" s="1">
        <v>39203</v>
      </c>
      <c r="B2361" t="s">
        <v>12</v>
      </c>
      <c r="C2361" t="s">
        <v>7</v>
      </c>
      <c r="D2361">
        <v>73</v>
      </c>
      <c r="E2361" s="2">
        <v>8.9374999999999996E-2</v>
      </c>
      <c r="F2361">
        <v>128.69999999999999</v>
      </c>
    </row>
    <row r="2362" spans="1:6" x14ac:dyDescent="0.25">
      <c r="A2362" s="1">
        <v>39203</v>
      </c>
      <c r="B2362" t="s">
        <v>12</v>
      </c>
      <c r="C2362" t="s">
        <v>8</v>
      </c>
      <c r="D2362">
        <v>52</v>
      </c>
      <c r="E2362" s="2">
        <v>6.8356481481481476E-2</v>
      </c>
      <c r="F2362">
        <v>98.433333333333337</v>
      </c>
    </row>
    <row r="2363" spans="1:6" x14ac:dyDescent="0.25">
      <c r="A2363" s="1">
        <v>39203</v>
      </c>
      <c r="B2363" t="s">
        <v>12</v>
      </c>
      <c r="C2363" t="s">
        <v>9</v>
      </c>
      <c r="D2363">
        <v>9</v>
      </c>
      <c r="E2363" s="2">
        <v>5.8101851851851856E-3</v>
      </c>
      <c r="F2363">
        <v>8.3666666666666671</v>
      </c>
    </row>
    <row r="2364" spans="1:6" x14ac:dyDescent="0.25">
      <c r="A2364" s="1">
        <v>39203</v>
      </c>
      <c r="B2364" t="s">
        <v>12</v>
      </c>
      <c r="C2364" t="s">
        <v>10</v>
      </c>
      <c r="D2364">
        <v>4</v>
      </c>
      <c r="E2364" s="2">
        <v>4.9305555555555552E-3</v>
      </c>
      <c r="F2364">
        <v>7.1</v>
      </c>
    </row>
    <row r="2365" spans="1:6" x14ac:dyDescent="0.25">
      <c r="A2365" s="1">
        <v>39203</v>
      </c>
      <c r="B2365" t="s">
        <v>12</v>
      </c>
      <c r="C2365" t="s">
        <v>11</v>
      </c>
      <c r="D2365">
        <v>27</v>
      </c>
      <c r="E2365" s="2">
        <v>3.6284722222222225E-2</v>
      </c>
      <c r="F2365">
        <v>52.25</v>
      </c>
    </row>
    <row r="2366" spans="1:6" x14ac:dyDescent="0.25">
      <c r="A2366" s="1">
        <v>39203</v>
      </c>
      <c r="B2366" t="s">
        <v>13</v>
      </c>
      <c r="C2366" t="s">
        <v>6</v>
      </c>
      <c r="D2366">
        <v>45</v>
      </c>
      <c r="E2366" s="2">
        <v>4.4988425925925925E-2</v>
      </c>
      <c r="F2366">
        <v>64.783333333333331</v>
      </c>
    </row>
    <row r="2367" spans="1:6" x14ac:dyDescent="0.25">
      <c r="A2367" s="1">
        <v>39203</v>
      </c>
      <c r="B2367" t="s">
        <v>13</v>
      </c>
      <c r="C2367" t="s">
        <v>7</v>
      </c>
      <c r="D2367">
        <v>37</v>
      </c>
      <c r="E2367" s="2">
        <v>4.6064814814814815E-2</v>
      </c>
      <c r="F2367">
        <v>66.333333333333329</v>
      </c>
    </row>
    <row r="2368" spans="1:6" x14ac:dyDescent="0.25">
      <c r="A2368" s="1">
        <v>39203</v>
      </c>
      <c r="B2368" t="s">
        <v>13</v>
      </c>
      <c r="C2368" t="s">
        <v>8</v>
      </c>
      <c r="D2368">
        <v>16</v>
      </c>
      <c r="E2368" s="2">
        <v>1.9525462962962963E-2</v>
      </c>
      <c r="F2368">
        <v>28.116666666666667</v>
      </c>
    </row>
    <row r="2369" spans="1:6" x14ac:dyDescent="0.25">
      <c r="A2369" s="1">
        <v>39203</v>
      </c>
      <c r="B2369" t="s">
        <v>13</v>
      </c>
      <c r="C2369" t="s">
        <v>9</v>
      </c>
      <c r="D2369">
        <v>16</v>
      </c>
      <c r="E2369" s="2">
        <v>1.068287037037037E-2</v>
      </c>
      <c r="F2369">
        <v>15.383333333333333</v>
      </c>
    </row>
    <row r="2370" spans="1:6" x14ac:dyDescent="0.25">
      <c r="A2370" s="1">
        <v>39203</v>
      </c>
      <c r="B2370" t="s">
        <v>13</v>
      </c>
      <c r="C2370" t="s">
        <v>10</v>
      </c>
      <c r="D2370">
        <v>19</v>
      </c>
      <c r="E2370" s="2">
        <v>1.3958333333333333E-2</v>
      </c>
      <c r="F2370">
        <v>20.100000000000001</v>
      </c>
    </row>
    <row r="2371" spans="1:6" x14ac:dyDescent="0.25">
      <c r="A2371" s="1">
        <v>39203</v>
      </c>
      <c r="B2371" t="s">
        <v>13</v>
      </c>
      <c r="C2371" t="s">
        <v>11</v>
      </c>
      <c r="D2371">
        <v>14</v>
      </c>
      <c r="E2371" s="2">
        <v>1.0243055555555556E-2</v>
      </c>
      <c r="F2371">
        <v>14.75</v>
      </c>
    </row>
    <row r="2372" spans="1:6" x14ac:dyDescent="0.25">
      <c r="A2372" s="1">
        <v>39203</v>
      </c>
      <c r="B2372" t="s">
        <v>14</v>
      </c>
      <c r="C2372" t="s">
        <v>6</v>
      </c>
      <c r="D2372">
        <v>22</v>
      </c>
      <c r="E2372" s="2">
        <v>2.1851851851851851E-2</v>
      </c>
      <c r="F2372">
        <v>31.466666666666665</v>
      </c>
    </row>
    <row r="2373" spans="1:6" x14ac:dyDescent="0.25">
      <c r="A2373" s="1">
        <v>39203</v>
      </c>
      <c r="B2373" t="s">
        <v>14</v>
      </c>
      <c r="C2373" t="s">
        <v>7</v>
      </c>
      <c r="D2373">
        <v>18</v>
      </c>
      <c r="E2373" s="2">
        <v>2.1655092592592594E-2</v>
      </c>
      <c r="F2373">
        <v>31.183333333333334</v>
      </c>
    </row>
    <row r="2374" spans="1:6" x14ac:dyDescent="0.25">
      <c r="A2374" s="1">
        <v>39203</v>
      </c>
      <c r="B2374" t="s">
        <v>14</v>
      </c>
      <c r="C2374" t="s">
        <v>8</v>
      </c>
      <c r="D2374">
        <v>6</v>
      </c>
      <c r="E2374" s="2">
        <v>7.4074074074074077E-3</v>
      </c>
      <c r="F2374">
        <v>10.666666666666666</v>
      </c>
    </row>
    <row r="2375" spans="1:6" x14ac:dyDescent="0.25">
      <c r="A2375" s="1">
        <v>39203</v>
      </c>
      <c r="B2375" t="s">
        <v>14</v>
      </c>
      <c r="C2375" t="s">
        <v>9</v>
      </c>
      <c r="D2375">
        <v>1</v>
      </c>
      <c r="E2375" s="2">
        <v>8.3333333333333339E-4</v>
      </c>
      <c r="F2375">
        <v>1.2</v>
      </c>
    </row>
    <row r="2376" spans="1:6" x14ac:dyDescent="0.25">
      <c r="A2376" s="1">
        <v>39203</v>
      </c>
      <c r="B2376" t="s">
        <v>14</v>
      </c>
      <c r="C2376" t="s">
        <v>10</v>
      </c>
      <c r="D2376">
        <v>0</v>
      </c>
      <c r="E2376" s="2">
        <v>0</v>
      </c>
      <c r="F2376">
        <v>0</v>
      </c>
    </row>
    <row r="2377" spans="1:6" x14ac:dyDescent="0.25">
      <c r="A2377" s="1">
        <v>39203</v>
      </c>
      <c r="B2377" t="s">
        <v>14</v>
      </c>
      <c r="C2377" t="s">
        <v>11</v>
      </c>
      <c r="D2377">
        <v>3</v>
      </c>
      <c r="E2377" s="2">
        <v>2.3958333333333331E-3</v>
      </c>
      <c r="F2377">
        <v>3.45</v>
      </c>
    </row>
    <row r="2378" spans="1:6" x14ac:dyDescent="0.25">
      <c r="A2378" s="1">
        <v>39203</v>
      </c>
      <c r="B2378" t="s">
        <v>15</v>
      </c>
      <c r="C2378" t="s">
        <v>6</v>
      </c>
      <c r="D2378">
        <v>60</v>
      </c>
      <c r="E2378" s="2">
        <v>5.6238425925925928E-2</v>
      </c>
      <c r="F2378">
        <v>80.983333333333334</v>
      </c>
    </row>
    <row r="2379" spans="1:6" x14ac:dyDescent="0.25">
      <c r="A2379" s="1">
        <v>39203</v>
      </c>
      <c r="B2379" t="s">
        <v>15</v>
      </c>
      <c r="C2379" t="s">
        <v>7</v>
      </c>
      <c r="D2379">
        <v>52</v>
      </c>
      <c r="E2379" s="2">
        <v>5.5601851851851854E-2</v>
      </c>
      <c r="F2379">
        <v>80.066666666666663</v>
      </c>
    </row>
    <row r="2380" spans="1:6" x14ac:dyDescent="0.25">
      <c r="A2380" s="1">
        <v>39203</v>
      </c>
      <c r="B2380" t="s">
        <v>15</v>
      </c>
      <c r="C2380" t="s">
        <v>8</v>
      </c>
      <c r="D2380">
        <v>14</v>
      </c>
      <c r="E2380" s="2">
        <v>1.4398148148148148E-2</v>
      </c>
      <c r="F2380">
        <v>20.733333333333334</v>
      </c>
    </row>
    <row r="2381" spans="1:6" x14ac:dyDescent="0.25">
      <c r="A2381" s="1">
        <v>39203</v>
      </c>
      <c r="B2381" t="s">
        <v>15</v>
      </c>
      <c r="C2381" t="s">
        <v>9</v>
      </c>
      <c r="D2381">
        <v>9</v>
      </c>
      <c r="E2381" s="2">
        <v>5.3819444444444444E-3</v>
      </c>
      <c r="F2381">
        <v>7.75</v>
      </c>
    </row>
    <row r="2382" spans="1:6" x14ac:dyDescent="0.25">
      <c r="A2382" s="1">
        <v>39203</v>
      </c>
      <c r="B2382" t="s">
        <v>15</v>
      </c>
      <c r="C2382" t="s">
        <v>10</v>
      </c>
      <c r="D2382">
        <v>10</v>
      </c>
      <c r="E2382" s="2">
        <v>1.2013888888888888E-2</v>
      </c>
      <c r="F2382">
        <v>17.3</v>
      </c>
    </row>
    <row r="2383" spans="1:6" x14ac:dyDescent="0.25">
      <c r="A2383" s="1">
        <v>39203</v>
      </c>
      <c r="B2383" t="s">
        <v>15</v>
      </c>
      <c r="C2383" t="s">
        <v>11</v>
      </c>
      <c r="D2383">
        <v>11</v>
      </c>
      <c r="E2383" s="2">
        <v>8.3217592592592596E-3</v>
      </c>
      <c r="F2383">
        <v>11.983333333333333</v>
      </c>
    </row>
    <row r="2384" spans="1:6" x14ac:dyDescent="0.25">
      <c r="A2384" s="1">
        <v>39203</v>
      </c>
      <c r="B2384" t="s">
        <v>16</v>
      </c>
      <c r="C2384" t="s">
        <v>6</v>
      </c>
      <c r="D2384">
        <v>26</v>
      </c>
      <c r="E2384" s="2">
        <v>2.1064814814814814E-2</v>
      </c>
      <c r="F2384">
        <v>30.333333333333332</v>
      </c>
    </row>
    <row r="2385" spans="1:6" x14ac:dyDescent="0.25">
      <c r="A2385" s="1">
        <v>39203</v>
      </c>
      <c r="B2385" t="s">
        <v>16</v>
      </c>
      <c r="C2385" t="s">
        <v>7</v>
      </c>
      <c r="D2385">
        <v>19</v>
      </c>
      <c r="E2385" s="2">
        <v>1.8159722222222223E-2</v>
      </c>
      <c r="F2385">
        <v>26.15</v>
      </c>
    </row>
    <row r="2386" spans="1:6" x14ac:dyDescent="0.25">
      <c r="A2386" s="1">
        <v>39203</v>
      </c>
      <c r="B2386" t="s">
        <v>16</v>
      </c>
      <c r="C2386" t="s">
        <v>8</v>
      </c>
      <c r="D2386">
        <v>18</v>
      </c>
      <c r="E2386" s="2">
        <v>1.7627314814814814E-2</v>
      </c>
      <c r="F2386">
        <v>25.383333333333333</v>
      </c>
    </row>
    <row r="2387" spans="1:6" x14ac:dyDescent="0.25">
      <c r="A2387" s="1">
        <v>39203</v>
      </c>
      <c r="B2387" t="s">
        <v>16</v>
      </c>
      <c r="C2387" t="s">
        <v>9</v>
      </c>
      <c r="D2387">
        <v>10</v>
      </c>
      <c r="E2387" s="2">
        <v>4.9652777777777777E-3</v>
      </c>
      <c r="F2387">
        <v>7.15</v>
      </c>
    </row>
    <row r="2388" spans="1:6" x14ac:dyDescent="0.25">
      <c r="A2388" s="1">
        <v>39203</v>
      </c>
      <c r="B2388" t="s">
        <v>16</v>
      </c>
      <c r="C2388" t="s">
        <v>10</v>
      </c>
      <c r="D2388">
        <v>0</v>
      </c>
      <c r="E2388" s="2">
        <v>0</v>
      </c>
      <c r="F2388">
        <v>0</v>
      </c>
    </row>
    <row r="2389" spans="1:6" x14ac:dyDescent="0.25">
      <c r="A2389" s="1">
        <v>39203</v>
      </c>
      <c r="B2389" t="s">
        <v>16</v>
      </c>
      <c r="C2389" t="s">
        <v>11</v>
      </c>
      <c r="D2389">
        <v>12</v>
      </c>
      <c r="E2389" s="2">
        <v>7.743055555555556E-3</v>
      </c>
      <c r="F2389">
        <v>11.15</v>
      </c>
    </row>
    <row r="2390" spans="1:6" x14ac:dyDescent="0.25">
      <c r="A2390" s="1">
        <v>39203</v>
      </c>
      <c r="B2390" t="s">
        <v>17</v>
      </c>
      <c r="C2390" t="s">
        <v>6</v>
      </c>
      <c r="D2390">
        <v>16</v>
      </c>
      <c r="E2390" s="2">
        <v>2.0393518518518519E-2</v>
      </c>
      <c r="F2390">
        <v>29.366666666666667</v>
      </c>
    </row>
    <row r="2391" spans="1:6" x14ac:dyDescent="0.25">
      <c r="A2391" s="1">
        <v>39203</v>
      </c>
      <c r="B2391" t="s">
        <v>17</v>
      </c>
      <c r="C2391" t="s">
        <v>7</v>
      </c>
      <c r="D2391">
        <v>8</v>
      </c>
      <c r="E2391" s="2">
        <v>9.2013888888888892E-3</v>
      </c>
      <c r="F2391">
        <v>13.25</v>
      </c>
    </row>
    <row r="2392" spans="1:6" x14ac:dyDescent="0.25">
      <c r="A2392" s="1">
        <v>39203</v>
      </c>
      <c r="B2392" t="s">
        <v>17</v>
      </c>
      <c r="C2392" t="s">
        <v>8</v>
      </c>
      <c r="D2392">
        <v>14</v>
      </c>
      <c r="E2392" s="2">
        <v>1.8483796296296297E-2</v>
      </c>
      <c r="F2392">
        <v>26.616666666666667</v>
      </c>
    </row>
    <row r="2393" spans="1:6" x14ac:dyDescent="0.25">
      <c r="A2393" s="1">
        <v>39203</v>
      </c>
      <c r="B2393" t="s">
        <v>17</v>
      </c>
      <c r="C2393" t="s">
        <v>9</v>
      </c>
      <c r="D2393">
        <v>4</v>
      </c>
      <c r="E2393" s="2">
        <v>2.488425925925926E-3</v>
      </c>
      <c r="F2393">
        <v>3.5833333333333335</v>
      </c>
    </row>
    <row r="2394" spans="1:6" x14ac:dyDescent="0.25">
      <c r="A2394" s="1">
        <v>39203</v>
      </c>
      <c r="B2394" t="s">
        <v>17</v>
      </c>
      <c r="C2394" t="s">
        <v>10</v>
      </c>
      <c r="D2394">
        <v>10</v>
      </c>
      <c r="E2394" s="2">
        <v>5.4745370370370373E-3</v>
      </c>
      <c r="F2394">
        <v>7.8833333333333329</v>
      </c>
    </row>
    <row r="2395" spans="1:6" x14ac:dyDescent="0.25">
      <c r="A2395" s="1">
        <v>39203</v>
      </c>
      <c r="B2395" t="s">
        <v>17</v>
      </c>
      <c r="C2395" t="s">
        <v>11</v>
      </c>
      <c r="D2395">
        <v>6</v>
      </c>
      <c r="E2395" s="2">
        <v>6.0416666666666665E-3</v>
      </c>
      <c r="F2395">
        <v>8.6999999999999993</v>
      </c>
    </row>
    <row r="2396" spans="1:6" x14ac:dyDescent="0.25">
      <c r="A2396" s="1">
        <v>39203</v>
      </c>
      <c r="B2396" t="s">
        <v>18</v>
      </c>
      <c r="C2396" t="s">
        <v>6</v>
      </c>
      <c r="D2396">
        <v>108</v>
      </c>
      <c r="E2396" s="2">
        <v>7.9733796296296303E-2</v>
      </c>
      <c r="F2396">
        <v>114.81666666666666</v>
      </c>
    </row>
    <row r="2397" spans="1:6" x14ac:dyDescent="0.25">
      <c r="A2397" s="1">
        <v>39203</v>
      </c>
      <c r="B2397" t="s">
        <v>18</v>
      </c>
      <c r="C2397" t="s">
        <v>7</v>
      </c>
      <c r="D2397">
        <v>90</v>
      </c>
      <c r="E2397" s="2">
        <v>8.3229166666666674E-2</v>
      </c>
      <c r="F2397">
        <v>119.85</v>
      </c>
    </row>
    <row r="2398" spans="1:6" x14ac:dyDescent="0.25">
      <c r="A2398" s="1">
        <v>39203</v>
      </c>
      <c r="B2398" t="s">
        <v>18</v>
      </c>
      <c r="C2398" t="s">
        <v>8</v>
      </c>
      <c r="D2398">
        <v>82</v>
      </c>
      <c r="E2398" s="2">
        <v>7.6736111111111116E-2</v>
      </c>
      <c r="F2398">
        <v>110.5</v>
      </c>
    </row>
    <row r="2399" spans="1:6" x14ac:dyDescent="0.25">
      <c r="A2399" s="1">
        <v>39203</v>
      </c>
      <c r="B2399" t="s">
        <v>18</v>
      </c>
      <c r="C2399" t="s">
        <v>9</v>
      </c>
      <c r="D2399">
        <v>55</v>
      </c>
      <c r="E2399" s="2">
        <v>3.2893518518518516E-2</v>
      </c>
      <c r="F2399">
        <v>47.366666666666667</v>
      </c>
    </row>
    <row r="2400" spans="1:6" x14ac:dyDescent="0.25">
      <c r="A2400" s="1">
        <v>39203</v>
      </c>
      <c r="B2400" t="s">
        <v>18</v>
      </c>
      <c r="C2400" t="s">
        <v>10</v>
      </c>
      <c r="D2400">
        <v>182</v>
      </c>
      <c r="E2400" s="2">
        <v>0.17628472222222222</v>
      </c>
      <c r="F2400">
        <v>253.85</v>
      </c>
    </row>
    <row r="2401" spans="1:6" x14ac:dyDescent="0.25">
      <c r="A2401" s="1">
        <v>39203</v>
      </c>
      <c r="B2401" t="s">
        <v>18</v>
      </c>
      <c r="C2401" t="s">
        <v>11</v>
      </c>
      <c r="D2401">
        <v>38</v>
      </c>
      <c r="E2401" s="2">
        <v>2.4247685185185185E-2</v>
      </c>
      <c r="F2401">
        <v>34.916666666666664</v>
      </c>
    </row>
    <row r="2402" spans="1:6" x14ac:dyDescent="0.25">
      <c r="A2402" s="1">
        <v>39203</v>
      </c>
      <c r="B2402" t="s">
        <v>19</v>
      </c>
      <c r="C2402" t="s">
        <v>6</v>
      </c>
      <c r="D2402">
        <v>27</v>
      </c>
      <c r="E2402" s="2">
        <v>3.0416666666666668E-2</v>
      </c>
      <c r="F2402">
        <v>43.8</v>
      </c>
    </row>
    <row r="2403" spans="1:6" x14ac:dyDescent="0.25">
      <c r="A2403" s="1">
        <v>39203</v>
      </c>
      <c r="B2403" t="s">
        <v>19</v>
      </c>
      <c r="C2403" t="s">
        <v>7</v>
      </c>
      <c r="D2403">
        <v>29</v>
      </c>
      <c r="E2403" s="2">
        <v>3.0219907407407407E-2</v>
      </c>
      <c r="F2403">
        <v>43.516666666666666</v>
      </c>
    </row>
    <row r="2404" spans="1:6" x14ac:dyDescent="0.25">
      <c r="A2404" s="1">
        <v>39203</v>
      </c>
      <c r="B2404" t="s">
        <v>19</v>
      </c>
      <c r="C2404" t="s">
        <v>8</v>
      </c>
      <c r="D2404">
        <v>21</v>
      </c>
      <c r="E2404" s="2">
        <v>2.3483796296296298E-2</v>
      </c>
      <c r="F2404">
        <v>33.81666666666667</v>
      </c>
    </row>
    <row r="2405" spans="1:6" x14ac:dyDescent="0.25">
      <c r="A2405" s="1">
        <v>39203</v>
      </c>
      <c r="B2405" t="s">
        <v>19</v>
      </c>
      <c r="C2405" t="s">
        <v>9</v>
      </c>
      <c r="D2405">
        <v>19</v>
      </c>
      <c r="E2405" s="2">
        <v>1.474537037037037E-2</v>
      </c>
      <c r="F2405">
        <v>21.233333333333334</v>
      </c>
    </row>
    <row r="2406" spans="1:6" x14ac:dyDescent="0.25">
      <c r="A2406" s="1">
        <v>39203</v>
      </c>
      <c r="B2406" t="s">
        <v>19</v>
      </c>
      <c r="C2406" t="s">
        <v>10</v>
      </c>
      <c r="D2406">
        <v>21</v>
      </c>
      <c r="E2406" s="2">
        <v>2.011574074074074E-2</v>
      </c>
      <c r="F2406">
        <v>28.966666666666665</v>
      </c>
    </row>
    <row r="2407" spans="1:6" x14ac:dyDescent="0.25">
      <c r="A2407" s="1">
        <v>39203</v>
      </c>
      <c r="B2407" t="s">
        <v>19</v>
      </c>
      <c r="C2407" t="s">
        <v>11</v>
      </c>
      <c r="D2407">
        <v>19</v>
      </c>
      <c r="E2407" s="2">
        <v>1.2766203703703703E-2</v>
      </c>
      <c r="F2407">
        <v>18.383333333333333</v>
      </c>
    </row>
    <row r="2408" spans="1:6" x14ac:dyDescent="0.25">
      <c r="A2408" s="1">
        <v>39203</v>
      </c>
      <c r="B2408" t="s">
        <v>20</v>
      </c>
      <c r="C2408" t="s">
        <v>6</v>
      </c>
      <c r="D2408">
        <v>148</v>
      </c>
      <c r="E2408" s="2">
        <v>0.18150462962962963</v>
      </c>
      <c r="F2408">
        <v>261.36666666666667</v>
      </c>
    </row>
    <row r="2409" spans="1:6" x14ac:dyDescent="0.25">
      <c r="A2409" s="1">
        <v>39203</v>
      </c>
      <c r="B2409" t="s">
        <v>20</v>
      </c>
      <c r="C2409" t="s">
        <v>7</v>
      </c>
      <c r="D2409">
        <v>168</v>
      </c>
      <c r="E2409" s="2">
        <v>0.20846064814814816</v>
      </c>
      <c r="F2409">
        <v>300.18333333333334</v>
      </c>
    </row>
    <row r="2410" spans="1:6" x14ac:dyDescent="0.25">
      <c r="A2410" s="1">
        <v>39203</v>
      </c>
      <c r="B2410" t="s">
        <v>20</v>
      </c>
      <c r="C2410" t="s">
        <v>8</v>
      </c>
      <c r="D2410">
        <v>126</v>
      </c>
      <c r="E2410" s="2">
        <v>0.17686342592592594</v>
      </c>
      <c r="F2410">
        <v>254.68333333333334</v>
      </c>
    </row>
    <row r="2411" spans="1:6" x14ac:dyDescent="0.25">
      <c r="A2411" s="1">
        <v>39203</v>
      </c>
      <c r="B2411" t="s">
        <v>20</v>
      </c>
      <c r="C2411" t="s">
        <v>9</v>
      </c>
      <c r="D2411">
        <v>49</v>
      </c>
      <c r="E2411" s="2">
        <v>4.3298611111111114E-2</v>
      </c>
      <c r="F2411">
        <v>62.35</v>
      </c>
    </row>
    <row r="2412" spans="1:6" x14ac:dyDescent="0.25">
      <c r="A2412" s="1">
        <v>39203</v>
      </c>
      <c r="B2412" t="s">
        <v>20</v>
      </c>
      <c r="C2412" t="s">
        <v>10</v>
      </c>
      <c r="D2412">
        <v>38</v>
      </c>
      <c r="E2412" s="2">
        <v>4.791666666666667E-2</v>
      </c>
      <c r="F2412">
        <v>69</v>
      </c>
    </row>
    <row r="2413" spans="1:6" x14ac:dyDescent="0.25">
      <c r="A2413" s="1">
        <v>39203</v>
      </c>
      <c r="B2413" t="s">
        <v>20</v>
      </c>
      <c r="C2413" t="s">
        <v>11</v>
      </c>
      <c r="D2413">
        <v>83</v>
      </c>
      <c r="E2413" s="2">
        <v>7.840277777777778E-2</v>
      </c>
      <c r="F2413">
        <v>112.9</v>
      </c>
    </row>
    <row r="2414" spans="1:6" x14ac:dyDescent="0.25">
      <c r="A2414" s="1">
        <v>39203</v>
      </c>
      <c r="B2414" t="s">
        <v>21</v>
      </c>
      <c r="C2414" t="s">
        <v>6</v>
      </c>
      <c r="D2414">
        <v>32</v>
      </c>
      <c r="E2414" s="2">
        <v>3.8275462962962963E-2</v>
      </c>
      <c r="F2414">
        <v>55.116666666666667</v>
      </c>
    </row>
    <row r="2415" spans="1:6" x14ac:dyDescent="0.25">
      <c r="A2415" s="1">
        <v>39203</v>
      </c>
      <c r="B2415" t="s">
        <v>21</v>
      </c>
      <c r="C2415" t="s">
        <v>7</v>
      </c>
      <c r="D2415">
        <v>14</v>
      </c>
      <c r="E2415" s="2">
        <v>1.6736111111111111E-2</v>
      </c>
      <c r="F2415">
        <v>24.1</v>
      </c>
    </row>
    <row r="2416" spans="1:6" x14ac:dyDescent="0.25">
      <c r="A2416" s="1">
        <v>39203</v>
      </c>
      <c r="B2416" t="s">
        <v>21</v>
      </c>
      <c r="C2416" t="s">
        <v>8</v>
      </c>
      <c r="D2416">
        <v>10</v>
      </c>
      <c r="E2416" s="2">
        <v>1.2256944444444445E-2</v>
      </c>
      <c r="F2416">
        <v>17.649999999999999</v>
      </c>
    </row>
    <row r="2417" spans="1:6" x14ac:dyDescent="0.25">
      <c r="A2417" s="1">
        <v>39203</v>
      </c>
      <c r="B2417" t="s">
        <v>21</v>
      </c>
      <c r="C2417" t="s">
        <v>9</v>
      </c>
      <c r="D2417">
        <v>4</v>
      </c>
      <c r="E2417" s="2">
        <v>1.7708333333333332E-3</v>
      </c>
      <c r="F2417">
        <v>2.5499999999999998</v>
      </c>
    </row>
    <row r="2418" spans="1:6" x14ac:dyDescent="0.25">
      <c r="A2418" s="1">
        <v>39203</v>
      </c>
      <c r="B2418" t="s">
        <v>21</v>
      </c>
      <c r="C2418" t="s">
        <v>10</v>
      </c>
      <c r="D2418">
        <v>1</v>
      </c>
      <c r="E2418" s="2">
        <v>1.1342592592592593E-3</v>
      </c>
      <c r="F2418">
        <v>1.6333333333333333</v>
      </c>
    </row>
    <row r="2419" spans="1:6" x14ac:dyDescent="0.25">
      <c r="A2419" s="1">
        <v>39203</v>
      </c>
      <c r="B2419" t="s">
        <v>21</v>
      </c>
      <c r="C2419" t="s">
        <v>11</v>
      </c>
      <c r="D2419">
        <v>5</v>
      </c>
      <c r="E2419" s="2">
        <v>4.2129629629629626E-3</v>
      </c>
      <c r="F2419">
        <v>6.0666666666666664</v>
      </c>
    </row>
    <row r="2420" spans="1:6" x14ac:dyDescent="0.25">
      <c r="A2420" s="1">
        <v>39203</v>
      </c>
      <c r="B2420" t="s">
        <v>22</v>
      </c>
      <c r="C2420" t="s">
        <v>6</v>
      </c>
      <c r="D2420">
        <v>33</v>
      </c>
      <c r="E2420" s="2">
        <v>3.7060185185185182E-2</v>
      </c>
      <c r="F2420">
        <v>53.366666666666667</v>
      </c>
    </row>
    <row r="2421" spans="1:6" x14ac:dyDescent="0.25">
      <c r="A2421" s="1">
        <v>39203</v>
      </c>
      <c r="B2421" t="s">
        <v>22</v>
      </c>
      <c r="C2421" t="s">
        <v>7</v>
      </c>
      <c r="D2421">
        <v>12</v>
      </c>
      <c r="E2421" s="2">
        <v>1.4016203703703704E-2</v>
      </c>
      <c r="F2421">
        <v>20.183333333333334</v>
      </c>
    </row>
    <row r="2422" spans="1:6" x14ac:dyDescent="0.25">
      <c r="A2422" s="1">
        <v>39203</v>
      </c>
      <c r="B2422" t="s">
        <v>22</v>
      </c>
      <c r="C2422" t="s">
        <v>8</v>
      </c>
      <c r="D2422">
        <v>2</v>
      </c>
      <c r="E2422" s="2">
        <v>2.9861111111111113E-3</v>
      </c>
      <c r="F2422">
        <v>4.3</v>
      </c>
    </row>
    <row r="2423" spans="1:6" x14ac:dyDescent="0.25">
      <c r="A2423" s="1">
        <v>39203</v>
      </c>
      <c r="B2423" t="s">
        <v>22</v>
      </c>
      <c r="C2423" t="s">
        <v>9</v>
      </c>
      <c r="D2423">
        <v>6</v>
      </c>
      <c r="E2423" s="2">
        <v>1.8055555555555555E-3</v>
      </c>
      <c r="F2423">
        <v>2.6</v>
      </c>
    </row>
    <row r="2424" spans="1:6" x14ac:dyDescent="0.25">
      <c r="A2424" s="1">
        <v>39203</v>
      </c>
      <c r="B2424" t="s">
        <v>22</v>
      </c>
      <c r="C2424" t="s">
        <v>10</v>
      </c>
      <c r="D2424">
        <v>7</v>
      </c>
      <c r="E2424" s="2">
        <v>8.6458333333333335E-3</v>
      </c>
      <c r="F2424">
        <v>12.45</v>
      </c>
    </row>
    <row r="2425" spans="1:6" x14ac:dyDescent="0.25">
      <c r="A2425" s="1">
        <v>39203</v>
      </c>
      <c r="B2425" t="s">
        <v>22</v>
      </c>
      <c r="C2425" t="s">
        <v>11</v>
      </c>
      <c r="D2425">
        <v>6</v>
      </c>
      <c r="E2425" s="2">
        <v>3.0439814814814813E-3</v>
      </c>
      <c r="F2425">
        <v>4.3833333333333337</v>
      </c>
    </row>
    <row r="2426" spans="1:6" x14ac:dyDescent="0.25">
      <c r="A2426" s="1">
        <v>39203</v>
      </c>
      <c r="B2426" t="s">
        <v>23</v>
      </c>
      <c r="C2426" t="s">
        <v>6</v>
      </c>
      <c r="D2426">
        <v>167</v>
      </c>
      <c r="E2426" s="2">
        <v>0.16341435185185185</v>
      </c>
      <c r="F2426">
        <v>235.31666666666666</v>
      </c>
    </row>
    <row r="2427" spans="1:6" x14ac:dyDescent="0.25">
      <c r="A2427" s="1">
        <v>39203</v>
      </c>
      <c r="B2427" t="s">
        <v>23</v>
      </c>
      <c r="C2427" t="s">
        <v>7</v>
      </c>
      <c r="D2427">
        <v>114</v>
      </c>
      <c r="E2427" s="2">
        <v>0.12180555555555556</v>
      </c>
      <c r="F2427">
        <v>175.4</v>
      </c>
    </row>
    <row r="2428" spans="1:6" x14ac:dyDescent="0.25">
      <c r="A2428" s="1">
        <v>39203</v>
      </c>
      <c r="B2428" t="s">
        <v>23</v>
      </c>
      <c r="C2428" t="s">
        <v>8</v>
      </c>
      <c r="D2428">
        <v>89</v>
      </c>
      <c r="E2428" s="2">
        <v>0.1047337962962963</v>
      </c>
      <c r="F2428">
        <v>150.81666666666666</v>
      </c>
    </row>
    <row r="2429" spans="1:6" x14ac:dyDescent="0.25">
      <c r="A2429" s="1">
        <v>39203</v>
      </c>
      <c r="B2429" t="s">
        <v>23</v>
      </c>
      <c r="C2429" t="s">
        <v>9</v>
      </c>
      <c r="D2429">
        <v>41</v>
      </c>
      <c r="E2429" s="2">
        <v>2.5891203703703704E-2</v>
      </c>
      <c r="F2429">
        <v>37.283333333333331</v>
      </c>
    </row>
    <row r="2430" spans="1:6" x14ac:dyDescent="0.25">
      <c r="A2430" s="1">
        <v>39203</v>
      </c>
      <c r="B2430" t="s">
        <v>23</v>
      </c>
      <c r="C2430" t="s">
        <v>10</v>
      </c>
      <c r="D2430">
        <v>49</v>
      </c>
      <c r="E2430" s="2">
        <v>4.1550925925925929E-2</v>
      </c>
      <c r="F2430">
        <v>59.833333333333336</v>
      </c>
    </row>
    <row r="2431" spans="1:6" x14ac:dyDescent="0.25">
      <c r="A2431" s="1">
        <v>39203</v>
      </c>
      <c r="B2431" t="s">
        <v>23</v>
      </c>
      <c r="C2431" t="s">
        <v>11</v>
      </c>
      <c r="D2431">
        <v>58</v>
      </c>
      <c r="E2431" s="2">
        <v>3.7314814814814815E-2</v>
      </c>
      <c r="F2431">
        <v>53.733333333333334</v>
      </c>
    </row>
    <row r="2432" spans="1:6" x14ac:dyDescent="0.25">
      <c r="A2432" s="1">
        <v>39203</v>
      </c>
      <c r="B2432" t="s">
        <v>24</v>
      </c>
      <c r="C2432" t="s">
        <v>6</v>
      </c>
      <c r="D2432">
        <v>58</v>
      </c>
      <c r="E2432" s="2">
        <v>4.3252314814814813E-2</v>
      </c>
      <c r="F2432">
        <v>62.283333333333331</v>
      </c>
    </row>
    <row r="2433" spans="1:6" x14ac:dyDescent="0.25">
      <c r="A2433" s="1">
        <v>39203</v>
      </c>
      <c r="B2433" t="s">
        <v>24</v>
      </c>
      <c r="C2433" t="s">
        <v>7</v>
      </c>
      <c r="D2433">
        <v>53</v>
      </c>
      <c r="E2433" s="2">
        <v>3.9432870370370368E-2</v>
      </c>
      <c r="F2433">
        <v>56.783333333333331</v>
      </c>
    </row>
    <row r="2434" spans="1:6" x14ac:dyDescent="0.25">
      <c r="A2434" s="1">
        <v>39203</v>
      </c>
      <c r="B2434" t="s">
        <v>24</v>
      </c>
      <c r="C2434" t="s">
        <v>8</v>
      </c>
      <c r="D2434">
        <v>29</v>
      </c>
      <c r="E2434" s="2">
        <v>2.4502314814814814E-2</v>
      </c>
      <c r="F2434">
        <v>35.283333333333331</v>
      </c>
    </row>
    <row r="2435" spans="1:6" x14ac:dyDescent="0.25">
      <c r="A2435" s="1">
        <v>39203</v>
      </c>
      <c r="B2435" t="s">
        <v>24</v>
      </c>
      <c r="C2435" t="s">
        <v>9</v>
      </c>
      <c r="D2435">
        <v>24</v>
      </c>
      <c r="E2435" s="2">
        <v>1.7615740740740741E-2</v>
      </c>
      <c r="F2435">
        <v>25.366666666666667</v>
      </c>
    </row>
    <row r="2436" spans="1:6" x14ac:dyDescent="0.25">
      <c r="A2436" s="1">
        <v>39203</v>
      </c>
      <c r="B2436" t="s">
        <v>24</v>
      </c>
      <c r="C2436" t="s">
        <v>10</v>
      </c>
      <c r="D2436">
        <v>3</v>
      </c>
      <c r="E2436" s="2">
        <v>3.2060185185185186E-3</v>
      </c>
      <c r="F2436">
        <v>4.6166666666666671</v>
      </c>
    </row>
    <row r="2437" spans="1:6" x14ac:dyDescent="0.25">
      <c r="A2437" s="1">
        <v>39203</v>
      </c>
      <c r="B2437" t="s">
        <v>24</v>
      </c>
      <c r="C2437" t="s">
        <v>11</v>
      </c>
      <c r="D2437">
        <v>27</v>
      </c>
      <c r="E2437" s="2">
        <v>1.5590277777777778E-2</v>
      </c>
      <c r="F2437">
        <v>22.45</v>
      </c>
    </row>
    <row r="2438" spans="1:6" x14ac:dyDescent="0.25">
      <c r="A2438" s="1">
        <v>39234</v>
      </c>
      <c r="B2438" t="s">
        <v>5</v>
      </c>
      <c r="C2438" t="s">
        <v>6</v>
      </c>
      <c r="D2438">
        <v>32</v>
      </c>
      <c r="E2438" s="2">
        <v>2.7881944444444445E-2</v>
      </c>
      <c r="F2438">
        <v>40.15</v>
      </c>
    </row>
    <row r="2439" spans="1:6" x14ac:dyDescent="0.25">
      <c r="A2439" s="1">
        <v>39234</v>
      </c>
      <c r="B2439" t="s">
        <v>5</v>
      </c>
      <c r="C2439" t="s">
        <v>7</v>
      </c>
      <c r="D2439">
        <v>19</v>
      </c>
      <c r="E2439" s="2">
        <v>2.0891203703703703E-2</v>
      </c>
      <c r="F2439">
        <v>30.083333333333332</v>
      </c>
    </row>
    <row r="2440" spans="1:6" x14ac:dyDescent="0.25">
      <c r="A2440" s="1">
        <v>39234</v>
      </c>
      <c r="B2440" t="s">
        <v>5</v>
      </c>
      <c r="C2440" t="s">
        <v>8</v>
      </c>
      <c r="D2440">
        <v>8</v>
      </c>
      <c r="E2440" s="2">
        <v>7.6041666666666671E-3</v>
      </c>
      <c r="F2440">
        <v>10.95</v>
      </c>
    </row>
    <row r="2441" spans="1:6" x14ac:dyDescent="0.25">
      <c r="A2441" s="1">
        <v>39234</v>
      </c>
      <c r="B2441" t="s">
        <v>5</v>
      </c>
      <c r="C2441" t="s">
        <v>9</v>
      </c>
      <c r="D2441">
        <v>2</v>
      </c>
      <c r="E2441" s="2">
        <v>1.4351851851851852E-3</v>
      </c>
      <c r="F2441">
        <v>2.0666666666666669</v>
      </c>
    </row>
    <row r="2442" spans="1:6" x14ac:dyDescent="0.25">
      <c r="A2442" s="1">
        <v>39234</v>
      </c>
      <c r="B2442" t="s">
        <v>5</v>
      </c>
      <c r="C2442" t="s">
        <v>10</v>
      </c>
      <c r="D2442">
        <v>2</v>
      </c>
      <c r="E2442" s="2">
        <v>5.3240740740740744E-4</v>
      </c>
      <c r="F2442">
        <v>0.76666666666666672</v>
      </c>
    </row>
    <row r="2443" spans="1:6" x14ac:dyDescent="0.25">
      <c r="A2443" s="1">
        <v>39234</v>
      </c>
      <c r="B2443" t="s">
        <v>5</v>
      </c>
      <c r="C2443" t="s">
        <v>11</v>
      </c>
      <c r="D2443">
        <v>4</v>
      </c>
      <c r="E2443" s="2">
        <v>2.9166666666666668E-3</v>
      </c>
      <c r="F2443">
        <v>4.2</v>
      </c>
    </row>
    <row r="2444" spans="1:6" x14ac:dyDescent="0.25">
      <c r="A2444" s="1">
        <v>39234</v>
      </c>
      <c r="B2444" t="s">
        <v>12</v>
      </c>
      <c r="C2444" t="s">
        <v>6</v>
      </c>
      <c r="D2444">
        <v>38</v>
      </c>
      <c r="E2444" s="2">
        <v>4.040509259259259E-2</v>
      </c>
      <c r="F2444">
        <v>58.18333333333333</v>
      </c>
    </row>
    <row r="2445" spans="1:6" x14ac:dyDescent="0.25">
      <c r="A2445" s="1">
        <v>39234</v>
      </c>
      <c r="B2445" t="s">
        <v>12</v>
      </c>
      <c r="C2445" t="s">
        <v>7</v>
      </c>
      <c r="D2445">
        <v>43</v>
      </c>
      <c r="E2445" s="2">
        <v>5.7546296296296297E-2</v>
      </c>
      <c r="F2445">
        <v>82.86666666666666</v>
      </c>
    </row>
    <row r="2446" spans="1:6" x14ac:dyDescent="0.25">
      <c r="A2446" s="1">
        <v>39234</v>
      </c>
      <c r="B2446" t="s">
        <v>12</v>
      </c>
      <c r="C2446" t="s">
        <v>8</v>
      </c>
      <c r="D2446">
        <v>25</v>
      </c>
      <c r="E2446" s="2">
        <v>3.6319444444444446E-2</v>
      </c>
      <c r="F2446">
        <v>52.3</v>
      </c>
    </row>
    <row r="2447" spans="1:6" x14ac:dyDescent="0.25">
      <c r="A2447" s="1">
        <v>39234</v>
      </c>
      <c r="B2447" t="s">
        <v>12</v>
      </c>
      <c r="C2447" t="s">
        <v>9</v>
      </c>
      <c r="D2447">
        <v>20</v>
      </c>
      <c r="E2447" s="2">
        <v>1.2881944444444444E-2</v>
      </c>
      <c r="F2447">
        <v>18.55</v>
      </c>
    </row>
    <row r="2448" spans="1:6" x14ac:dyDescent="0.25">
      <c r="A2448" s="1">
        <v>39234</v>
      </c>
      <c r="B2448" t="s">
        <v>12</v>
      </c>
      <c r="C2448" t="s">
        <v>10</v>
      </c>
      <c r="D2448">
        <v>7</v>
      </c>
      <c r="E2448" s="2">
        <v>4.6412037037037038E-3</v>
      </c>
      <c r="F2448">
        <v>6.6833333333333336</v>
      </c>
    </row>
    <row r="2449" spans="1:6" x14ac:dyDescent="0.25">
      <c r="A2449" s="1">
        <v>39234</v>
      </c>
      <c r="B2449" t="s">
        <v>12</v>
      </c>
      <c r="C2449" t="s">
        <v>11</v>
      </c>
      <c r="D2449">
        <v>11</v>
      </c>
      <c r="E2449" s="2">
        <v>9.525462962962963E-3</v>
      </c>
      <c r="F2449">
        <v>13.716666666666667</v>
      </c>
    </row>
    <row r="2450" spans="1:6" x14ac:dyDescent="0.25">
      <c r="A2450" s="1">
        <v>39234</v>
      </c>
      <c r="B2450" t="s">
        <v>13</v>
      </c>
      <c r="C2450" t="s">
        <v>6</v>
      </c>
      <c r="D2450">
        <v>46</v>
      </c>
      <c r="E2450" s="2">
        <v>4.2129629629629628E-2</v>
      </c>
      <c r="F2450">
        <v>60.666666666666664</v>
      </c>
    </row>
    <row r="2451" spans="1:6" x14ac:dyDescent="0.25">
      <c r="A2451" s="1">
        <v>39234</v>
      </c>
      <c r="B2451" t="s">
        <v>13</v>
      </c>
      <c r="C2451" t="s">
        <v>7</v>
      </c>
      <c r="D2451">
        <v>38</v>
      </c>
      <c r="E2451" s="2">
        <v>5.2615740740740741E-2</v>
      </c>
      <c r="F2451">
        <v>75.766666666666666</v>
      </c>
    </row>
    <row r="2452" spans="1:6" x14ac:dyDescent="0.25">
      <c r="A2452" s="1">
        <v>39234</v>
      </c>
      <c r="B2452" t="s">
        <v>13</v>
      </c>
      <c r="C2452" t="s">
        <v>8</v>
      </c>
      <c r="D2452">
        <v>24</v>
      </c>
      <c r="E2452" s="2">
        <v>3.5254629629629629E-2</v>
      </c>
      <c r="F2452">
        <v>50.766666666666666</v>
      </c>
    </row>
    <row r="2453" spans="1:6" x14ac:dyDescent="0.25">
      <c r="A2453" s="1">
        <v>39234</v>
      </c>
      <c r="B2453" t="s">
        <v>13</v>
      </c>
      <c r="C2453" t="s">
        <v>9</v>
      </c>
      <c r="D2453">
        <v>11</v>
      </c>
      <c r="E2453" s="2">
        <v>9.1898148148148156E-3</v>
      </c>
      <c r="F2453">
        <v>13.233333333333333</v>
      </c>
    </row>
    <row r="2454" spans="1:6" x14ac:dyDescent="0.25">
      <c r="A2454" s="1">
        <v>39234</v>
      </c>
      <c r="B2454" t="s">
        <v>13</v>
      </c>
      <c r="C2454" t="s">
        <v>10</v>
      </c>
      <c r="D2454">
        <v>8</v>
      </c>
      <c r="E2454" s="2">
        <v>8.4953703703703701E-3</v>
      </c>
      <c r="F2454">
        <v>12.233333333333333</v>
      </c>
    </row>
    <row r="2455" spans="1:6" x14ac:dyDescent="0.25">
      <c r="A2455" s="1">
        <v>39234</v>
      </c>
      <c r="B2455" t="s">
        <v>13</v>
      </c>
      <c r="C2455" t="s">
        <v>11</v>
      </c>
      <c r="D2455">
        <v>5</v>
      </c>
      <c r="E2455" s="2">
        <v>4.4675925925925924E-3</v>
      </c>
      <c r="F2455">
        <v>6.4333333333333336</v>
      </c>
    </row>
    <row r="2456" spans="1:6" x14ac:dyDescent="0.25">
      <c r="A2456" s="1">
        <v>39234</v>
      </c>
      <c r="B2456" t="s">
        <v>14</v>
      </c>
      <c r="C2456" t="s">
        <v>6</v>
      </c>
      <c r="D2456">
        <v>27</v>
      </c>
      <c r="E2456" s="2">
        <v>2.9699074074074076E-2</v>
      </c>
      <c r="F2456">
        <v>42.766666666666666</v>
      </c>
    </row>
    <row r="2457" spans="1:6" x14ac:dyDescent="0.25">
      <c r="A2457" s="1">
        <v>39234</v>
      </c>
      <c r="B2457" t="s">
        <v>14</v>
      </c>
      <c r="C2457" t="s">
        <v>7</v>
      </c>
      <c r="D2457">
        <v>27</v>
      </c>
      <c r="E2457" s="2">
        <v>3.3090277777777781E-2</v>
      </c>
      <c r="F2457">
        <v>47.65</v>
      </c>
    </row>
    <row r="2458" spans="1:6" x14ac:dyDescent="0.25">
      <c r="A2458" s="1">
        <v>39234</v>
      </c>
      <c r="B2458" t="s">
        <v>14</v>
      </c>
      <c r="C2458" t="s">
        <v>8</v>
      </c>
      <c r="D2458">
        <v>16</v>
      </c>
      <c r="E2458" s="2">
        <v>1.8981481481481481E-2</v>
      </c>
      <c r="F2458">
        <v>27.333333333333332</v>
      </c>
    </row>
    <row r="2459" spans="1:6" x14ac:dyDescent="0.25">
      <c r="A2459" s="1">
        <v>39234</v>
      </c>
      <c r="B2459" t="s">
        <v>14</v>
      </c>
      <c r="C2459" t="s">
        <v>9</v>
      </c>
      <c r="D2459">
        <v>8</v>
      </c>
      <c r="E2459" s="2">
        <v>7.4421296296296293E-3</v>
      </c>
      <c r="F2459">
        <v>10.716666666666667</v>
      </c>
    </row>
    <row r="2460" spans="1:6" x14ac:dyDescent="0.25">
      <c r="A2460" s="1">
        <v>39234</v>
      </c>
      <c r="B2460" t="s">
        <v>14</v>
      </c>
      <c r="C2460" t="s">
        <v>10</v>
      </c>
      <c r="D2460">
        <v>2</v>
      </c>
      <c r="E2460" s="2">
        <v>3.4027777777777776E-3</v>
      </c>
      <c r="F2460">
        <v>4.9000000000000004</v>
      </c>
    </row>
    <row r="2461" spans="1:6" x14ac:dyDescent="0.25">
      <c r="A2461" s="1">
        <v>39234</v>
      </c>
      <c r="B2461" t="s">
        <v>14</v>
      </c>
      <c r="C2461" t="s">
        <v>11</v>
      </c>
      <c r="D2461">
        <v>10</v>
      </c>
      <c r="E2461" s="2">
        <v>7.7199074074074071E-3</v>
      </c>
      <c r="F2461">
        <v>11.116666666666667</v>
      </c>
    </row>
    <row r="2462" spans="1:6" x14ac:dyDescent="0.25">
      <c r="A2462" s="1">
        <v>39234</v>
      </c>
      <c r="B2462" t="s">
        <v>15</v>
      </c>
      <c r="C2462" t="s">
        <v>6</v>
      </c>
      <c r="D2462">
        <v>38</v>
      </c>
      <c r="E2462" s="2">
        <v>3.6180555555555556E-2</v>
      </c>
      <c r="F2462">
        <v>52.1</v>
      </c>
    </row>
    <row r="2463" spans="1:6" x14ac:dyDescent="0.25">
      <c r="A2463" s="1">
        <v>39234</v>
      </c>
      <c r="B2463" t="s">
        <v>15</v>
      </c>
      <c r="C2463" t="s">
        <v>7</v>
      </c>
      <c r="D2463">
        <v>39</v>
      </c>
      <c r="E2463" s="2">
        <v>3.4305555555555554E-2</v>
      </c>
      <c r="F2463">
        <v>49.4</v>
      </c>
    </row>
    <row r="2464" spans="1:6" x14ac:dyDescent="0.25">
      <c r="A2464" s="1">
        <v>39234</v>
      </c>
      <c r="B2464" t="s">
        <v>15</v>
      </c>
      <c r="C2464" t="s">
        <v>8</v>
      </c>
      <c r="D2464">
        <v>25</v>
      </c>
      <c r="E2464" s="2">
        <v>2.7835648148148148E-2</v>
      </c>
      <c r="F2464">
        <v>40.083333333333336</v>
      </c>
    </row>
    <row r="2465" spans="1:6" x14ac:dyDescent="0.25">
      <c r="A2465" s="1">
        <v>39234</v>
      </c>
      <c r="B2465" t="s">
        <v>15</v>
      </c>
      <c r="C2465" t="s">
        <v>9</v>
      </c>
      <c r="D2465">
        <v>12</v>
      </c>
      <c r="E2465" s="2">
        <v>4.4907407407407405E-3</v>
      </c>
      <c r="F2465">
        <v>6.4666666666666668</v>
      </c>
    </row>
    <row r="2466" spans="1:6" x14ac:dyDescent="0.25">
      <c r="A2466" s="1">
        <v>39234</v>
      </c>
      <c r="B2466" t="s">
        <v>15</v>
      </c>
      <c r="C2466" t="s">
        <v>10</v>
      </c>
      <c r="D2466">
        <v>9</v>
      </c>
      <c r="E2466" s="2">
        <v>8.9351851851851849E-3</v>
      </c>
      <c r="F2466">
        <v>12.866666666666667</v>
      </c>
    </row>
    <row r="2467" spans="1:6" x14ac:dyDescent="0.25">
      <c r="A2467" s="1">
        <v>39234</v>
      </c>
      <c r="B2467" t="s">
        <v>15</v>
      </c>
      <c r="C2467" t="s">
        <v>11</v>
      </c>
      <c r="D2467">
        <v>10</v>
      </c>
      <c r="E2467" s="2">
        <v>7.1064814814814819E-3</v>
      </c>
      <c r="F2467">
        <v>10.233333333333333</v>
      </c>
    </row>
    <row r="2468" spans="1:6" x14ac:dyDescent="0.25">
      <c r="A2468" s="1">
        <v>39234</v>
      </c>
      <c r="B2468" t="s">
        <v>16</v>
      </c>
      <c r="C2468" t="s">
        <v>6</v>
      </c>
      <c r="D2468">
        <v>23</v>
      </c>
      <c r="E2468" s="2">
        <v>2.0497685185185185E-2</v>
      </c>
      <c r="F2468">
        <v>29.516666666666666</v>
      </c>
    </row>
    <row r="2469" spans="1:6" x14ac:dyDescent="0.25">
      <c r="A2469" s="1">
        <v>39234</v>
      </c>
      <c r="B2469" t="s">
        <v>16</v>
      </c>
      <c r="C2469" t="s">
        <v>7</v>
      </c>
      <c r="D2469">
        <v>14</v>
      </c>
      <c r="E2469" s="2">
        <v>1.3206018518518518E-2</v>
      </c>
      <c r="F2469">
        <v>19.016666666666666</v>
      </c>
    </row>
    <row r="2470" spans="1:6" x14ac:dyDescent="0.25">
      <c r="A2470" s="1">
        <v>39234</v>
      </c>
      <c r="B2470" t="s">
        <v>16</v>
      </c>
      <c r="C2470" t="s">
        <v>8</v>
      </c>
      <c r="D2470">
        <v>15</v>
      </c>
      <c r="E2470" s="2">
        <v>1.3356481481481481E-2</v>
      </c>
      <c r="F2470">
        <v>19.233333333333334</v>
      </c>
    </row>
    <row r="2471" spans="1:6" x14ac:dyDescent="0.25">
      <c r="A2471" s="1">
        <v>39234</v>
      </c>
      <c r="B2471" t="s">
        <v>16</v>
      </c>
      <c r="C2471" t="s">
        <v>9</v>
      </c>
      <c r="D2471">
        <v>13</v>
      </c>
      <c r="E2471" s="2">
        <v>8.1712962962962963E-3</v>
      </c>
      <c r="F2471">
        <v>11.766666666666667</v>
      </c>
    </row>
    <row r="2472" spans="1:6" x14ac:dyDescent="0.25">
      <c r="A2472" s="1">
        <v>39234</v>
      </c>
      <c r="B2472" t="s">
        <v>16</v>
      </c>
      <c r="C2472" t="s">
        <v>10</v>
      </c>
      <c r="D2472">
        <v>0</v>
      </c>
      <c r="E2472" s="2">
        <v>0</v>
      </c>
      <c r="F2472">
        <v>0</v>
      </c>
    </row>
    <row r="2473" spans="1:6" x14ac:dyDescent="0.25">
      <c r="A2473" s="1">
        <v>39234</v>
      </c>
      <c r="B2473" t="s">
        <v>16</v>
      </c>
      <c r="C2473" t="s">
        <v>11</v>
      </c>
      <c r="D2473">
        <v>12</v>
      </c>
      <c r="E2473" s="2">
        <v>1.1215277777777777E-2</v>
      </c>
      <c r="F2473">
        <v>16.149999999999999</v>
      </c>
    </row>
    <row r="2474" spans="1:6" x14ac:dyDescent="0.25">
      <c r="A2474" s="1">
        <v>39234</v>
      </c>
      <c r="B2474" t="s">
        <v>17</v>
      </c>
      <c r="C2474" t="s">
        <v>6</v>
      </c>
      <c r="D2474">
        <v>6</v>
      </c>
      <c r="E2474" s="2">
        <v>4.0046296296296297E-3</v>
      </c>
      <c r="F2474">
        <v>5.7666666666666666</v>
      </c>
    </row>
    <row r="2475" spans="1:6" x14ac:dyDescent="0.25">
      <c r="A2475" s="1">
        <v>39234</v>
      </c>
      <c r="B2475" t="s">
        <v>17</v>
      </c>
      <c r="C2475" t="s">
        <v>7</v>
      </c>
      <c r="D2475">
        <v>10</v>
      </c>
      <c r="E2475" s="2">
        <v>1.1273148148148148E-2</v>
      </c>
      <c r="F2475">
        <v>16.233333333333334</v>
      </c>
    </row>
    <row r="2476" spans="1:6" x14ac:dyDescent="0.25">
      <c r="A2476" s="1">
        <v>39234</v>
      </c>
      <c r="B2476" t="s">
        <v>17</v>
      </c>
      <c r="C2476" t="s">
        <v>8</v>
      </c>
      <c r="D2476">
        <v>4</v>
      </c>
      <c r="E2476" s="2">
        <v>2.5462962962962965E-3</v>
      </c>
      <c r="F2476">
        <v>3.6666666666666665</v>
      </c>
    </row>
    <row r="2477" spans="1:6" x14ac:dyDescent="0.25">
      <c r="A2477" s="1">
        <v>39234</v>
      </c>
      <c r="B2477" t="s">
        <v>17</v>
      </c>
      <c r="C2477" t="s">
        <v>9</v>
      </c>
      <c r="D2477">
        <v>3</v>
      </c>
      <c r="E2477" s="2">
        <v>1.1111111111111111E-3</v>
      </c>
      <c r="F2477">
        <v>1.6</v>
      </c>
    </row>
    <row r="2478" spans="1:6" x14ac:dyDescent="0.25">
      <c r="A2478" s="1">
        <v>39234</v>
      </c>
      <c r="B2478" t="s">
        <v>17</v>
      </c>
      <c r="C2478" t="s">
        <v>10</v>
      </c>
      <c r="D2478">
        <v>3</v>
      </c>
      <c r="E2478" s="2">
        <v>4.7685185185185183E-3</v>
      </c>
      <c r="F2478">
        <v>6.8666666666666671</v>
      </c>
    </row>
    <row r="2479" spans="1:6" x14ac:dyDescent="0.25">
      <c r="A2479" s="1">
        <v>39234</v>
      </c>
      <c r="B2479" t="s">
        <v>17</v>
      </c>
      <c r="C2479" t="s">
        <v>11</v>
      </c>
      <c r="D2479">
        <v>2</v>
      </c>
      <c r="E2479" s="2">
        <v>1.9328703703703704E-3</v>
      </c>
      <c r="F2479">
        <v>2.7833333333333332</v>
      </c>
    </row>
    <row r="2480" spans="1:6" x14ac:dyDescent="0.25">
      <c r="A2480" s="1">
        <v>39234</v>
      </c>
      <c r="B2480" t="s">
        <v>18</v>
      </c>
      <c r="C2480" t="s">
        <v>6</v>
      </c>
      <c r="D2480">
        <v>95</v>
      </c>
      <c r="E2480" s="2">
        <v>8.1782407407407401E-2</v>
      </c>
      <c r="F2480">
        <v>117.76666666666667</v>
      </c>
    </row>
    <row r="2481" spans="1:6" x14ac:dyDescent="0.25">
      <c r="A2481" s="1">
        <v>39234</v>
      </c>
      <c r="B2481" t="s">
        <v>18</v>
      </c>
      <c r="C2481" t="s">
        <v>7</v>
      </c>
      <c r="D2481">
        <v>76</v>
      </c>
      <c r="E2481" s="2">
        <v>6.8703703703703697E-2</v>
      </c>
      <c r="F2481">
        <v>98.933333333333337</v>
      </c>
    </row>
    <row r="2482" spans="1:6" x14ac:dyDescent="0.25">
      <c r="A2482" s="1">
        <v>39234</v>
      </c>
      <c r="B2482" t="s">
        <v>18</v>
      </c>
      <c r="C2482" t="s">
        <v>8</v>
      </c>
      <c r="D2482">
        <v>68</v>
      </c>
      <c r="E2482" s="2">
        <v>7.7523148148148147E-2</v>
      </c>
      <c r="F2482">
        <v>111.63333333333334</v>
      </c>
    </row>
    <row r="2483" spans="1:6" x14ac:dyDescent="0.25">
      <c r="A2483" s="1">
        <v>39234</v>
      </c>
      <c r="B2483" t="s">
        <v>18</v>
      </c>
      <c r="C2483" t="s">
        <v>9</v>
      </c>
      <c r="D2483">
        <v>48</v>
      </c>
      <c r="E2483" s="2">
        <v>2.841435185185185E-2</v>
      </c>
      <c r="F2483">
        <v>40.916666666666664</v>
      </c>
    </row>
    <row r="2484" spans="1:6" x14ac:dyDescent="0.25">
      <c r="A2484" s="1">
        <v>39234</v>
      </c>
      <c r="B2484" t="s">
        <v>18</v>
      </c>
      <c r="C2484" t="s">
        <v>10</v>
      </c>
      <c r="D2484">
        <v>123</v>
      </c>
      <c r="E2484" s="2">
        <v>0.13550925925925925</v>
      </c>
      <c r="F2484">
        <v>195.13333333333333</v>
      </c>
    </row>
    <row r="2485" spans="1:6" x14ac:dyDescent="0.25">
      <c r="A2485" s="1">
        <v>39234</v>
      </c>
      <c r="B2485" t="s">
        <v>18</v>
      </c>
      <c r="C2485" t="s">
        <v>11</v>
      </c>
      <c r="D2485">
        <v>30</v>
      </c>
      <c r="E2485" s="2">
        <v>2.8055555555555556E-2</v>
      </c>
      <c r="F2485">
        <v>40.4</v>
      </c>
    </row>
    <row r="2486" spans="1:6" x14ac:dyDescent="0.25">
      <c r="A2486" s="1">
        <v>39234</v>
      </c>
      <c r="B2486" t="s">
        <v>19</v>
      </c>
      <c r="C2486" t="s">
        <v>6</v>
      </c>
      <c r="D2486">
        <v>42</v>
      </c>
      <c r="E2486" s="2">
        <v>3.2210648148148148E-2</v>
      </c>
      <c r="F2486">
        <v>46.383333333333333</v>
      </c>
    </row>
    <row r="2487" spans="1:6" x14ac:dyDescent="0.25">
      <c r="A2487" s="1">
        <v>39234</v>
      </c>
      <c r="B2487" t="s">
        <v>19</v>
      </c>
      <c r="C2487" t="s">
        <v>7</v>
      </c>
      <c r="D2487">
        <v>47</v>
      </c>
      <c r="E2487" s="2">
        <v>4.6006944444444448E-2</v>
      </c>
      <c r="F2487">
        <v>66.25</v>
      </c>
    </row>
    <row r="2488" spans="1:6" x14ac:dyDescent="0.25">
      <c r="A2488" s="1">
        <v>39234</v>
      </c>
      <c r="B2488" t="s">
        <v>19</v>
      </c>
      <c r="C2488" t="s">
        <v>8</v>
      </c>
      <c r="D2488">
        <v>30</v>
      </c>
      <c r="E2488" s="2">
        <v>3.2002314814814817E-2</v>
      </c>
      <c r="F2488">
        <v>46.083333333333336</v>
      </c>
    </row>
    <row r="2489" spans="1:6" x14ac:dyDescent="0.25">
      <c r="A2489" s="1">
        <v>39234</v>
      </c>
      <c r="B2489" t="s">
        <v>19</v>
      </c>
      <c r="C2489" t="s">
        <v>9</v>
      </c>
      <c r="D2489">
        <v>29</v>
      </c>
      <c r="E2489" s="2">
        <v>2.0648148148148148E-2</v>
      </c>
      <c r="F2489">
        <v>29.733333333333334</v>
      </c>
    </row>
    <row r="2490" spans="1:6" x14ac:dyDescent="0.25">
      <c r="A2490" s="1">
        <v>39234</v>
      </c>
      <c r="B2490" t="s">
        <v>19</v>
      </c>
      <c r="C2490" t="s">
        <v>10</v>
      </c>
      <c r="D2490">
        <v>17</v>
      </c>
      <c r="E2490" s="2">
        <v>1.2835648148148148E-2</v>
      </c>
      <c r="F2490">
        <v>18.483333333333334</v>
      </c>
    </row>
    <row r="2491" spans="1:6" x14ac:dyDescent="0.25">
      <c r="A2491" s="1">
        <v>39234</v>
      </c>
      <c r="B2491" t="s">
        <v>19</v>
      </c>
      <c r="C2491" t="s">
        <v>11</v>
      </c>
      <c r="D2491">
        <v>22</v>
      </c>
      <c r="E2491" s="2">
        <v>1.4861111111111111E-2</v>
      </c>
      <c r="F2491">
        <v>21.4</v>
      </c>
    </row>
    <row r="2492" spans="1:6" x14ac:dyDescent="0.25">
      <c r="A2492" s="1">
        <v>39234</v>
      </c>
      <c r="B2492" t="s">
        <v>20</v>
      </c>
      <c r="C2492" t="s">
        <v>6</v>
      </c>
      <c r="D2492">
        <v>96</v>
      </c>
      <c r="E2492" s="2">
        <v>0.12304398148148148</v>
      </c>
      <c r="F2492">
        <v>177.18333333333334</v>
      </c>
    </row>
    <row r="2493" spans="1:6" x14ac:dyDescent="0.25">
      <c r="A2493" s="1">
        <v>39234</v>
      </c>
      <c r="B2493" t="s">
        <v>20</v>
      </c>
      <c r="C2493" t="s">
        <v>7</v>
      </c>
      <c r="D2493">
        <v>97</v>
      </c>
      <c r="E2493" s="2">
        <v>0.11158564814814814</v>
      </c>
      <c r="F2493">
        <v>160.68333333333334</v>
      </c>
    </row>
    <row r="2494" spans="1:6" x14ac:dyDescent="0.25">
      <c r="A2494" s="1">
        <v>39234</v>
      </c>
      <c r="B2494" t="s">
        <v>20</v>
      </c>
      <c r="C2494" t="s">
        <v>8</v>
      </c>
      <c r="D2494">
        <v>64</v>
      </c>
      <c r="E2494" s="2">
        <v>8.6655092592592589E-2</v>
      </c>
      <c r="F2494">
        <v>124.78333333333333</v>
      </c>
    </row>
    <row r="2495" spans="1:6" x14ac:dyDescent="0.25">
      <c r="A2495" s="1">
        <v>39234</v>
      </c>
      <c r="B2495" t="s">
        <v>20</v>
      </c>
      <c r="C2495" t="s">
        <v>9</v>
      </c>
      <c r="D2495">
        <v>34</v>
      </c>
      <c r="E2495" s="2">
        <v>2.7754629629629629E-2</v>
      </c>
      <c r="F2495">
        <v>39.966666666666669</v>
      </c>
    </row>
    <row r="2496" spans="1:6" x14ac:dyDescent="0.25">
      <c r="A2496" s="1">
        <v>39234</v>
      </c>
      <c r="B2496" t="s">
        <v>20</v>
      </c>
      <c r="C2496" t="s">
        <v>10</v>
      </c>
      <c r="D2496">
        <v>18</v>
      </c>
      <c r="E2496" s="2">
        <v>2.3344907407407408E-2</v>
      </c>
      <c r="F2496">
        <v>33.616666666666667</v>
      </c>
    </row>
    <row r="2497" spans="1:6" x14ac:dyDescent="0.25">
      <c r="A2497" s="1">
        <v>39234</v>
      </c>
      <c r="B2497" t="s">
        <v>20</v>
      </c>
      <c r="C2497" t="s">
        <v>11</v>
      </c>
      <c r="D2497">
        <v>43</v>
      </c>
      <c r="E2497" s="2">
        <v>3.9849537037037037E-2</v>
      </c>
      <c r="F2497">
        <v>57.383333333333333</v>
      </c>
    </row>
    <row r="2498" spans="1:6" x14ac:dyDescent="0.25">
      <c r="A2498" s="1">
        <v>39234</v>
      </c>
      <c r="B2498" t="s">
        <v>21</v>
      </c>
      <c r="C2498" t="s">
        <v>6</v>
      </c>
      <c r="D2498">
        <v>27</v>
      </c>
      <c r="E2498" s="2">
        <v>3.1307870370370368E-2</v>
      </c>
      <c r="F2498">
        <v>45.083333333333336</v>
      </c>
    </row>
    <row r="2499" spans="1:6" x14ac:dyDescent="0.25">
      <c r="A2499" s="1">
        <v>39234</v>
      </c>
      <c r="B2499" t="s">
        <v>21</v>
      </c>
      <c r="C2499" t="s">
        <v>7</v>
      </c>
      <c r="D2499">
        <v>15</v>
      </c>
      <c r="E2499" s="2">
        <v>2.087962962962963E-2</v>
      </c>
      <c r="F2499">
        <v>30.066666666666666</v>
      </c>
    </row>
    <row r="2500" spans="1:6" x14ac:dyDescent="0.25">
      <c r="A2500" s="1">
        <v>39234</v>
      </c>
      <c r="B2500" t="s">
        <v>21</v>
      </c>
      <c r="C2500" t="s">
        <v>8</v>
      </c>
      <c r="D2500">
        <v>8</v>
      </c>
      <c r="E2500" s="2">
        <v>8.8425925925925929E-3</v>
      </c>
      <c r="F2500">
        <v>12.733333333333333</v>
      </c>
    </row>
    <row r="2501" spans="1:6" x14ac:dyDescent="0.25">
      <c r="A2501" s="1">
        <v>39234</v>
      </c>
      <c r="B2501" t="s">
        <v>21</v>
      </c>
      <c r="C2501" t="s">
        <v>9</v>
      </c>
      <c r="D2501">
        <v>8</v>
      </c>
      <c r="E2501" s="2">
        <v>6.076388888888889E-3</v>
      </c>
      <c r="F2501">
        <v>8.75</v>
      </c>
    </row>
    <row r="2502" spans="1:6" x14ac:dyDescent="0.25">
      <c r="A2502" s="1">
        <v>39234</v>
      </c>
      <c r="B2502" t="s">
        <v>21</v>
      </c>
      <c r="C2502" t="s">
        <v>10</v>
      </c>
      <c r="D2502">
        <v>5</v>
      </c>
      <c r="E2502" s="2">
        <v>3.9930555555555552E-3</v>
      </c>
      <c r="F2502">
        <v>5.75</v>
      </c>
    </row>
    <row r="2503" spans="1:6" x14ac:dyDescent="0.25">
      <c r="A2503" s="1">
        <v>39234</v>
      </c>
      <c r="B2503" t="s">
        <v>21</v>
      </c>
      <c r="C2503" t="s">
        <v>11</v>
      </c>
      <c r="D2503">
        <v>5</v>
      </c>
      <c r="E2503" s="2">
        <v>4.9189814814814816E-3</v>
      </c>
      <c r="F2503">
        <v>7.083333333333333</v>
      </c>
    </row>
    <row r="2504" spans="1:6" x14ac:dyDescent="0.25">
      <c r="A2504" s="1">
        <v>39234</v>
      </c>
      <c r="B2504" t="s">
        <v>22</v>
      </c>
      <c r="C2504" t="s">
        <v>6</v>
      </c>
      <c r="D2504">
        <v>19</v>
      </c>
      <c r="E2504" s="2">
        <v>1.6099537037037037E-2</v>
      </c>
      <c r="F2504">
        <v>23.183333333333334</v>
      </c>
    </row>
    <row r="2505" spans="1:6" x14ac:dyDescent="0.25">
      <c r="A2505" s="1">
        <v>39234</v>
      </c>
      <c r="B2505" t="s">
        <v>22</v>
      </c>
      <c r="C2505" t="s">
        <v>7</v>
      </c>
      <c r="D2505">
        <v>11</v>
      </c>
      <c r="E2505" s="2">
        <v>8.3449074074074068E-3</v>
      </c>
      <c r="F2505">
        <v>12.016666666666667</v>
      </c>
    </row>
    <row r="2506" spans="1:6" x14ac:dyDescent="0.25">
      <c r="A2506" s="1">
        <v>39234</v>
      </c>
      <c r="B2506" t="s">
        <v>22</v>
      </c>
      <c r="C2506" t="s">
        <v>8</v>
      </c>
      <c r="D2506">
        <v>4</v>
      </c>
      <c r="E2506" s="2">
        <v>5.162037037037037E-3</v>
      </c>
      <c r="F2506">
        <v>7.4333333333333336</v>
      </c>
    </row>
    <row r="2507" spans="1:6" x14ac:dyDescent="0.25">
      <c r="A2507" s="1">
        <v>39234</v>
      </c>
      <c r="B2507" t="s">
        <v>22</v>
      </c>
      <c r="C2507" t="s">
        <v>9</v>
      </c>
      <c r="D2507">
        <v>7</v>
      </c>
      <c r="E2507" s="2">
        <v>3.2754629629629631E-3</v>
      </c>
      <c r="F2507">
        <v>4.7166666666666668</v>
      </c>
    </row>
    <row r="2508" spans="1:6" x14ac:dyDescent="0.25">
      <c r="A2508" s="1">
        <v>39234</v>
      </c>
      <c r="B2508" t="s">
        <v>22</v>
      </c>
      <c r="C2508" t="s">
        <v>10</v>
      </c>
      <c r="D2508">
        <v>4</v>
      </c>
      <c r="E2508" s="2">
        <v>3.2175925925925926E-3</v>
      </c>
      <c r="F2508">
        <v>4.6333333333333329</v>
      </c>
    </row>
    <row r="2509" spans="1:6" x14ac:dyDescent="0.25">
      <c r="A2509" s="1">
        <v>39234</v>
      </c>
      <c r="B2509" t="s">
        <v>22</v>
      </c>
      <c r="C2509" t="s">
        <v>11</v>
      </c>
      <c r="D2509">
        <v>6</v>
      </c>
      <c r="E2509" s="2">
        <v>3.1365740740740742E-3</v>
      </c>
      <c r="F2509">
        <v>4.5166666666666666</v>
      </c>
    </row>
    <row r="2510" spans="1:6" x14ac:dyDescent="0.25">
      <c r="A2510" s="1">
        <v>39234</v>
      </c>
      <c r="B2510" t="s">
        <v>23</v>
      </c>
      <c r="C2510" t="s">
        <v>6</v>
      </c>
      <c r="D2510">
        <v>137</v>
      </c>
      <c r="E2510" s="2">
        <v>0.13189814814814815</v>
      </c>
      <c r="F2510">
        <v>189.93333333333334</v>
      </c>
    </row>
    <row r="2511" spans="1:6" x14ac:dyDescent="0.25">
      <c r="A2511" s="1">
        <v>39234</v>
      </c>
      <c r="B2511" t="s">
        <v>23</v>
      </c>
      <c r="C2511" t="s">
        <v>7</v>
      </c>
      <c r="D2511">
        <v>93</v>
      </c>
      <c r="E2511" s="2">
        <v>0.10177083333333334</v>
      </c>
      <c r="F2511">
        <v>146.55000000000001</v>
      </c>
    </row>
    <row r="2512" spans="1:6" x14ac:dyDescent="0.25">
      <c r="A2512" s="1">
        <v>39234</v>
      </c>
      <c r="B2512" t="s">
        <v>23</v>
      </c>
      <c r="C2512" t="s">
        <v>8</v>
      </c>
      <c r="D2512">
        <v>60</v>
      </c>
      <c r="E2512" s="2">
        <v>7.1284722222222222E-2</v>
      </c>
      <c r="F2512">
        <v>102.65</v>
      </c>
    </row>
    <row r="2513" spans="1:6" x14ac:dyDescent="0.25">
      <c r="A2513" s="1">
        <v>39234</v>
      </c>
      <c r="B2513" t="s">
        <v>23</v>
      </c>
      <c r="C2513" t="s">
        <v>9</v>
      </c>
      <c r="D2513">
        <v>55</v>
      </c>
      <c r="E2513" s="2">
        <v>3.2708333333333332E-2</v>
      </c>
      <c r="F2513">
        <v>47.1</v>
      </c>
    </row>
    <row r="2514" spans="1:6" x14ac:dyDescent="0.25">
      <c r="A2514" s="1">
        <v>39234</v>
      </c>
      <c r="B2514" t="s">
        <v>23</v>
      </c>
      <c r="C2514" t="s">
        <v>10</v>
      </c>
      <c r="D2514">
        <v>33</v>
      </c>
      <c r="E2514" s="2">
        <v>3.1412037037037037E-2</v>
      </c>
      <c r="F2514">
        <v>45.233333333333334</v>
      </c>
    </row>
    <row r="2515" spans="1:6" x14ac:dyDescent="0.25">
      <c r="A2515" s="1">
        <v>39234</v>
      </c>
      <c r="B2515" t="s">
        <v>23</v>
      </c>
      <c r="C2515" t="s">
        <v>11</v>
      </c>
      <c r="D2515">
        <v>51</v>
      </c>
      <c r="E2515" s="2">
        <v>3.9745370370370368E-2</v>
      </c>
      <c r="F2515">
        <v>57.233333333333334</v>
      </c>
    </row>
    <row r="2516" spans="1:6" x14ac:dyDescent="0.25">
      <c r="A2516" s="1">
        <v>39234</v>
      </c>
      <c r="B2516" t="s">
        <v>24</v>
      </c>
      <c r="C2516" t="s">
        <v>6</v>
      </c>
      <c r="D2516">
        <v>69</v>
      </c>
      <c r="E2516" s="2">
        <v>4.3506944444444445E-2</v>
      </c>
      <c r="F2516">
        <v>62.65</v>
      </c>
    </row>
    <row r="2517" spans="1:6" x14ac:dyDescent="0.25">
      <c r="A2517" s="1">
        <v>39234</v>
      </c>
      <c r="B2517" t="s">
        <v>24</v>
      </c>
      <c r="C2517" t="s">
        <v>7</v>
      </c>
      <c r="D2517">
        <v>59</v>
      </c>
      <c r="E2517" s="2">
        <v>4.3657407407407409E-2</v>
      </c>
      <c r="F2517">
        <v>62.866666666666667</v>
      </c>
    </row>
    <row r="2518" spans="1:6" x14ac:dyDescent="0.25">
      <c r="A2518" s="1">
        <v>39234</v>
      </c>
      <c r="B2518" t="s">
        <v>24</v>
      </c>
      <c r="C2518" t="s">
        <v>8</v>
      </c>
      <c r="D2518">
        <v>34</v>
      </c>
      <c r="E2518" s="2">
        <v>2.4456018518518519E-2</v>
      </c>
      <c r="F2518">
        <v>35.216666666666669</v>
      </c>
    </row>
    <row r="2519" spans="1:6" x14ac:dyDescent="0.25">
      <c r="A2519" s="1">
        <v>39234</v>
      </c>
      <c r="B2519" t="s">
        <v>24</v>
      </c>
      <c r="C2519" t="s">
        <v>9</v>
      </c>
      <c r="D2519">
        <v>27</v>
      </c>
      <c r="E2519" s="2">
        <v>1.6435185185185185E-2</v>
      </c>
      <c r="F2519">
        <v>23.666666666666668</v>
      </c>
    </row>
    <row r="2520" spans="1:6" x14ac:dyDescent="0.25">
      <c r="A2520" s="1">
        <v>39234</v>
      </c>
      <c r="B2520" t="s">
        <v>24</v>
      </c>
      <c r="C2520" t="s">
        <v>10</v>
      </c>
      <c r="D2520">
        <v>2</v>
      </c>
      <c r="E2520" s="2">
        <v>4.7453703703703704E-4</v>
      </c>
      <c r="F2520">
        <v>0.68333333333333335</v>
      </c>
    </row>
    <row r="2521" spans="1:6" x14ac:dyDescent="0.25">
      <c r="A2521" s="1">
        <v>39234</v>
      </c>
      <c r="B2521" t="s">
        <v>24</v>
      </c>
      <c r="C2521" t="s">
        <v>11</v>
      </c>
      <c r="D2521">
        <v>28</v>
      </c>
      <c r="E2521" s="2">
        <v>1.5486111111111112E-2</v>
      </c>
      <c r="F2521">
        <v>22.3</v>
      </c>
    </row>
    <row r="2522" spans="1:6" x14ac:dyDescent="0.25">
      <c r="A2522" s="1">
        <v>39264</v>
      </c>
      <c r="B2522" t="s">
        <v>5</v>
      </c>
      <c r="C2522" t="s">
        <v>6</v>
      </c>
      <c r="D2522">
        <v>65</v>
      </c>
      <c r="E2522" s="2">
        <v>5.8229166666666665E-2</v>
      </c>
      <c r="F2522">
        <v>83.85</v>
      </c>
    </row>
    <row r="2523" spans="1:6" x14ac:dyDescent="0.25">
      <c r="A2523" s="1">
        <v>39264</v>
      </c>
      <c r="B2523" t="s">
        <v>5</v>
      </c>
      <c r="C2523" t="s">
        <v>7</v>
      </c>
      <c r="D2523">
        <v>59</v>
      </c>
      <c r="E2523" s="2">
        <v>5.3391203703703705E-2</v>
      </c>
      <c r="F2523">
        <v>76.88333333333334</v>
      </c>
    </row>
    <row r="2524" spans="1:6" x14ac:dyDescent="0.25">
      <c r="A2524" s="1">
        <v>39264</v>
      </c>
      <c r="B2524" t="s">
        <v>5</v>
      </c>
      <c r="C2524" t="s">
        <v>8</v>
      </c>
      <c r="D2524">
        <v>36</v>
      </c>
      <c r="E2524" s="2">
        <v>3.7280092592592594E-2</v>
      </c>
      <c r="F2524">
        <v>53.68333333333333</v>
      </c>
    </row>
    <row r="2525" spans="1:6" x14ac:dyDescent="0.25">
      <c r="A2525" s="1">
        <v>39264</v>
      </c>
      <c r="B2525" t="s">
        <v>5</v>
      </c>
      <c r="C2525" t="s">
        <v>9</v>
      </c>
      <c r="D2525">
        <v>16</v>
      </c>
      <c r="E2525" s="2">
        <v>8.0208333333333329E-3</v>
      </c>
      <c r="F2525">
        <v>11.55</v>
      </c>
    </row>
    <row r="2526" spans="1:6" x14ac:dyDescent="0.25">
      <c r="A2526" s="1">
        <v>39264</v>
      </c>
      <c r="B2526" t="s">
        <v>5</v>
      </c>
      <c r="C2526" t="s">
        <v>10</v>
      </c>
      <c r="D2526">
        <v>20</v>
      </c>
      <c r="E2526" s="2">
        <v>1.0543981481481482E-2</v>
      </c>
      <c r="F2526">
        <v>15.183333333333334</v>
      </c>
    </row>
    <row r="2527" spans="1:6" x14ac:dyDescent="0.25">
      <c r="A2527" s="1">
        <v>39264</v>
      </c>
      <c r="B2527" t="s">
        <v>5</v>
      </c>
      <c r="C2527" t="s">
        <v>11</v>
      </c>
      <c r="D2527">
        <v>26</v>
      </c>
      <c r="E2527" s="2">
        <v>2.0671296296296295E-2</v>
      </c>
      <c r="F2527">
        <v>29.766666666666666</v>
      </c>
    </row>
    <row r="2528" spans="1:6" x14ac:dyDescent="0.25">
      <c r="A2528" s="1">
        <v>39264</v>
      </c>
      <c r="B2528" t="s">
        <v>12</v>
      </c>
      <c r="C2528" t="s">
        <v>6</v>
      </c>
      <c r="D2528">
        <v>53</v>
      </c>
      <c r="E2528" s="2">
        <v>6.3715277777777773E-2</v>
      </c>
      <c r="F2528">
        <v>91.75</v>
      </c>
    </row>
    <row r="2529" spans="1:6" x14ac:dyDescent="0.25">
      <c r="A2529" s="1">
        <v>39264</v>
      </c>
      <c r="B2529" t="s">
        <v>12</v>
      </c>
      <c r="C2529" t="s">
        <v>7</v>
      </c>
      <c r="D2529">
        <v>84</v>
      </c>
      <c r="E2529" s="2">
        <v>0.11115740740740741</v>
      </c>
      <c r="F2529">
        <v>160.06666666666666</v>
      </c>
    </row>
    <row r="2530" spans="1:6" x14ac:dyDescent="0.25">
      <c r="A2530" s="1">
        <v>39264</v>
      </c>
      <c r="B2530" t="s">
        <v>12</v>
      </c>
      <c r="C2530" t="s">
        <v>8</v>
      </c>
      <c r="D2530">
        <v>55</v>
      </c>
      <c r="E2530" s="2">
        <v>7.3252314814814812E-2</v>
      </c>
      <c r="F2530">
        <v>105.48333333333333</v>
      </c>
    </row>
    <row r="2531" spans="1:6" x14ac:dyDescent="0.25">
      <c r="A2531" s="1">
        <v>39264</v>
      </c>
      <c r="B2531" t="s">
        <v>12</v>
      </c>
      <c r="C2531" t="s">
        <v>9</v>
      </c>
      <c r="D2531">
        <v>15</v>
      </c>
      <c r="E2531" s="2">
        <v>9.0509259259259258E-3</v>
      </c>
      <c r="F2531">
        <v>13.033333333333333</v>
      </c>
    </row>
    <row r="2532" spans="1:6" x14ac:dyDescent="0.25">
      <c r="A2532" s="1">
        <v>39264</v>
      </c>
      <c r="B2532" t="s">
        <v>12</v>
      </c>
      <c r="C2532" t="s">
        <v>10</v>
      </c>
      <c r="D2532">
        <v>1</v>
      </c>
      <c r="E2532" s="2">
        <v>2.4305555555555555E-4</v>
      </c>
      <c r="F2532">
        <v>0.35</v>
      </c>
    </row>
    <row r="2533" spans="1:6" x14ac:dyDescent="0.25">
      <c r="A2533" s="1">
        <v>39264</v>
      </c>
      <c r="B2533" t="s">
        <v>12</v>
      </c>
      <c r="C2533" t="s">
        <v>11</v>
      </c>
      <c r="D2533">
        <v>24</v>
      </c>
      <c r="E2533" s="2">
        <v>2.1828703703703704E-2</v>
      </c>
      <c r="F2533">
        <v>31.433333333333334</v>
      </c>
    </row>
    <row r="2534" spans="1:6" x14ac:dyDescent="0.25">
      <c r="A2534" s="1">
        <v>39264</v>
      </c>
      <c r="B2534" t="s">
        <v>13</v>
      </c>
      <c r="C2534" t="s">
        <v>6</v>
      </c>
      <c r="D2534">
        <v>65</v>
      </c>
      <c r="E2534" s="2">
        <v>6.8923611111111116E-2</v>
      </c>
      <c r="F2534">
        <v>99.25</v>
      </c>
    </row>
    <row r="2535" spans="1:6" x14ac:dyDescent="0.25">
      <c r="A2535" s="1">
        <v>39264</v>
      </c>
      <c r="B2535" t="s">
        <v>13</v>
      </c>
      <c r="C2535" t="s">
        <v>7</v>
      </c>
      <c r="D2535">
        <v>49</v>
      </c>
      <c r="E2535" s="2">
        <v>5.4201388888888889E-2</v>
      </c>
      <c r="F2535">
        <v>78.05</v>
      </c>
    </row>
    <row r="2536" spans="1:6" x14ac:dyDescent="0.25">
      <c r="A2536" s="1">
        <v>39264</v>
      </c>
      <c r="B2536" t="s">
        <v>13</v>
      </c>
      <c r="C2536" t="s">
        <v>8</v>
      </c>
      <c r="D2536">
        <v>47</v>
      </c>
      <c r="E2536" s="2">
        <v>5.6944444444444443E-2</v>
      </c>
      <c r="F2536">
        <v>82</v>
      </c>
    </row>
    <row r="2537" spans="1:6" x14ac:dyDescent="0.25">
      <c r="A2537" s="1">
        <v>39264</v>
      </c>
      <c r="B2537" t="s">
        <v>13</v>
      </c>
      <c r="C2537" t="s">
        <v>9</v>
      </c>
      <c r="D2537">
        <v>14</v>
      </c>
      <c r="E2537" s="2">
        <v>8.3912037037037045E-3</v>
      </c>
      <c r="F2537">
        <v>12.083333333333334</v>
      </c>
    </row>
    <row r="2538" spans="1:6" x14ac:dyDescent="0.25">
      <c r="A2538" s="1">
        <v>39264</v>
      </c>
      <c r="B2538" t="s">
        <v>13</v>
      </c>
      <c r="C2538" t="s">
        <v>10</v>
      </c>
      <c r="D2538">
        <v>29</v>
      </c>
      <c r="E2538" s="2">
        <v>3.7835648148148146E-2</v>
      </c>
      <c r="F2538">
        <v>54.483333333333334</v>
      </c>
    </row>
    <row r="2539" spans="1:6" x14ac:dyDescent="0.25">
      <c r="A2539" s="1">
        <v>39264</v>
      </c>
      <c r="B2539" t="s">
        <v>13</v>
      </c>
      <c r="C2539" t="s">
        <v>11</v>
      </c>
      <c r="D2539">
        <v>16</v>
      </c>
      <c r="E2539" s="2">
        <v>1.3761574074074074E-2</v>
      </c>
      <c r="F2539">
        <v>19.816666666666666</v>
      </c>
    </row>
    <row r="2540" spans="1:6" x14ac:dyDescent="0.25">
      <c r="A2540" s="1">
        <v>39264</v>
      </c>
      <c r="B2540" t="s">
        <v>14</v>
      </c>
      <c r="C2540" t="s">
        <v>6</v>
      </c>
      <c r="D2540">
        <v>16</v>
      </c>
      <c r="E2540" s="2">
        <v>1.6851851851851851E-2</v>
      </c>
      <c r="F2540">
        <v>24.266666666666666</v>
      </c>
    </row>
    <row r="2541" spans="1:6" x14ac:dyDescent="0.25">
      <c r="A2541" s="1">
        <v>39264</v>
      </c>
      <c r="B2541" t="s">
        <v>14</v>
      </c>
      <c r="C2541" t="s">
        <v>7</v>
      </c>
      <c r="D2541">
        <v>9</v>
      </c>
      <c r="E2541" s="2">
        <v>1.2777777777777779E-2</v>
      </c>
      <c r="F2541">
        <v>18.399999999999999</v>
      </c>
    </row>
    <row r="2542" spans="1:6" x14ac:dyDescent="0.25">
      <c r="A2542" s="1">
        <v>39264</v>
      </c>
      <c r="B2542" t="s">
        <v>14</v>
      </c>
      <c r="C2542" t="s">
        <v>8</v>
      </c>
      <c r="D2542">
        <v>7</v>
      </c>
      <c r="E2542" s="2">
        <v>9.3171296296296301E-3</v>
      </c>
      <c r="F2542">
        <v>13.416666666666666</v>
      </c>
    </row>
    <row r="2543" spans="1:6" x14ac:dyDescent="0.25">
      <c r="A2543" s="1">
        <v>39264</v>
      </c>
      <c r="B2543" t="s">
        <v>14</v>
      </c>
      <c r="C2543" t="s">
        <v>9</v>
      </c>
      <c r="D2543">
        <v>2</v>
      </c>
      <c r="E2543" s="2">
        <v>1.5625000000000001E-3</v>
      </c>
      <c r="F2543">
        <v>2.25</v>
      </c>
    </row>
    <row r="2544" spans="1:6" x14ac:dyDescent="0.25">
      <c r="A2544" s="1">
        <v>39264</v>
      </c>
      <c r="B2544" t="s">
        <v>14</v>
      </c>
      <c r="C2544" t="s">
        <v>10</v>
      </c>
      <c r="D2544">
        <v>3</v>
      </c>
      <c r="E2544" s="2">
        <v>6.1805555555555555E-3</v>
      </c>
      <c r="F2544">
        <v>8.9</v>
      </c>
    </row>
    <row r="2545" spans="1:6" x14ac:dyDescent="0.25">
      <c r="A2545" s="1">
        <v>39264</v>
      </c>
      <c r="B2545" t="s">
        <v>14</v>
      </c>
      <c r="C2545" t="s">
        <v>11</v>
      </c>
      <c r="D2545">
        <v>5</v>
      </c>
      <c r="E2545" s="2">
        <v>3.9236111111111112E-3</v>
      </c>
      <c r="F2545">
        <v>5.65</v>
      </c>
    </row>
    <row r="2546" spans="1:6" x14ac:dyDescent="0.25">
      <c r="A2546" s="1">
        <v>39264</v>
      </c>
      <c r="B2546" t="s">
        <v>15</v>
      </c>
      <c r="C2546" t="s">
        <v>6</v>
      </c>
      <c r="D2546">
        <v>62</v>
      </c>
      <c r="E2546" s="2">
        <v>5.9652777777777777E-2</v>
      </c>
      <c r="F2546">
        <v>85.9</v>
      </c>
    </row>
    <row r="2547" spans="1:6" x14ac:dyDescent="0.25">
      <c r="A2547" s="1">
        <v>39264</v>
      </c>
      <c r="B2547" t="s">
        <v>15</v>
      </c>
      <c r="C2547" t="s">
        <v>7</v>
      </c>
      <c r="D2547">
        <v>55</v>
      </c>
      <c r="E2547" s="2">
        <v>5.707175925925926E-2</v>
      </c>
      <c r="F2547">
        <v>82.183333333333337</v>
      </c>
    </row>
    <row r="2548" spans="1:6" x14ac:dyDescent="0.25">
      <c r="A2548" s="1">
        <v>39264</v>
      </c>
      <c r="B2548" t="s">
        <v>15</v>
      </c>
      <c r="C2548" t="s">
        <v>8</v>
      </c>
      <c r="D2548">
        <v>24</v>
      </c>
      <c r="E2548" s="2">
        <v>2.4710648148148148E-2</v>
      </c>
      <c r="F2548">
        <v>35.583333333333336</v>
      </c>
    </row>
    <row r="2549" spans="1:6" x14ac:dyDescent="0.25">
      <c r="A2549" s="1">
        <v>39264</v>
      </c>
      <c r="B2549" t="s">
        <v>15</v>
      </c>
      <c r="C2549" t="s">
        <v>9</v>
      </c>
      <c r="D2549">
        <v>7</v>
      </c>
      <c r="E2549" s="2">
        <v>2.673611111111111E-3</v>
      </c>
      <c r="F2549">
        <v>3.85</v>
      </c>
    </row>
    <row r="2550" spans="1:6" x14ac:dyDescent="0.25">
      <c r="A2550" s="1">
        <v>39264</v>
      </c>
      <c r="B2550" t="s">
        <v>15</v>
      </c>
      <c r="C2550" t="s">
        <v>10</v>
      </c>
      <c r="D2550">
        <v>17</v>
      </c>
      <c r="E2550" s="2">
        <v>1.5219907407407408E-2</v>
      </c>
      <c r="F2550">
        <v>21.916666666666668</v>
      </c>
    </row>
    <row r="2551" spans="1:6" x14ac:dyDescent="0.25">
      <c r="A2551" s="1">
        <v>39264</v>
      </c>
      <c r="B2551" t="s">
        <v>15</v>
      </c>
      <c r="C2551" t="s">
        <v>11</v>
      </c>
      <c r="D2551">
        <v>27</v>
      </c>
      <c r="E2551" s="2">
        <v>2.0682870370370369E-2</v>
      </c>
      <c r="F2551">
        <v>29.783333333333335</v>
      </c>
    </row>
    <row r="2552" spans="1:6" x14ac:dyDescent="0.25">
      <c r="A2552" s="1">
        <v>39264</v>
      </c>
      <c r="B2552" t="s">
        <v>16</v>
      </c>
      <c r="C2552" t="s">
        <v>6</v>
      </c>
      <c r="D2552">
        <v>28</v>
      </c>
      <c r="E2552" s="2">
        <v>2.3067129629629628E-2</v>
      </c>
      <c r="F2552">
        <v>33.216666666666669</v>
      </c>
    </row>
    <row r="2553" spans="1:6" x14ac:dyDescent="0.25">
      <c r="A2553" s="1">
        <v>39264</v>
      </c>
      <c r="B2553" t="s">
        <v>16</v>
      </c>
      <c r="C2553" t="s">
        <v>7</v>
      </c>
      <c r="D2553">
        <v>18</v>
      </c>
      <c r="E2553" s="2">
        <v>1.6793981481481483E-2</v>
      </c>
      <c r="F2553">
        <v>24.183333333333334</v>
      </c>
    </row>
    <row r="2554" spans="1:6" x14ac:dyDescent="0.25">
      <c r="A2554" s="1">
        <v>39264</v>
      </c>
      <c r="B2554" t="s">
        <v>16</v>
      </c>
      <c r="C2554" t="s">
        <v>8</v>
      </c>
      <c r="D2554">
        <v>19</v>
      </c>
      <c r="E2554" s="2">
        <v>1.787037037037037E-2</v>
      </c>
      <c r="F2554">
        <v>25.733333333333334</v>
      </c>
    </row>
    <row r="2555" spans="1:6" x14ac:dyDescent="0.25">
      <c r="A2555" s="1">
        <v>39264</v>
      </c>
      <c r="B2555" t="s">
        <v>16</v>
      </c>
      <c r="C2555" t="s">
        <v>9</v>
      </c>
      <c r="D2555">
        <v>10</v>
      </c>
      <c r="E2555" s="2">
        <v>6.7013888888888887E-3</v>
      </c>
      <c r="F2555">
        <v>9.65</v>
      </c>
    </row>
    <row r="2556" spans="1:6" x14ac:dyDescent="0.25">
      <c r="A2556" s="1">
        <v>39264</v>
      </c>
      <c r="B2556" t="s">
        <v>16</v>
      </c>
      <c r="C2556" t="s">
        <v>10</v>
      </c>
      <c r="D2556">
        <v>4</v>
      </c>
      <c r="E2556" s="2">
        <v>2.1296296296296298E-3</v>
      </c>
      <c r="F2556">
        <v>3.0666666666666669</v>
      </c>
    </row>
    <row r="2557" spans="1:6" x14ac:dyDescent="0.25">
      <c r="A2557" s="1">
        <v>39264</v>
      </c>
      <c r="B2557" t="s">
        <v>16</v>
      </c>
      <c r="C2557" t="s">
        <v>11</v>
      </c>
      <c r="D2557">
        <v>9</v>
      </c>
      <c r="E2557" s="2">
        <v>5.0115740740740737E-3</v>
      </c>
      <c r="F2557">
        <v>7.2166666666666668</v>
      </c>
    </row>
    <row r="2558" spans="1:6" x14ac:dyDescent="0.25">
      <c r="A2558" s="1">
        <v>39264</v>
      </c>
      <c r="B2558" t="s">
        <v>17</v>
      </c>
      <c r="C2558" t="s">
        <v>6</v>
      </c>
      <c r="D2558">
        <v>13</v>
      </c>
      <c r="E2558" s="2">
        <v>1.4004629629629629E-2</v>
      </c>
      <c r="F2558">
        <v>20.166666666666668</v>
      </c>
    </row>
    <row r="2559" spans="1:6" x14ac:dyDescent="0.25">
      <c r="A2559" s="1">
        <v>39264</v>
      </c>
      <c r="B2559" t="s">
        <v>17</v>
      </c>
      <c r="C2559" t="s">
        <v>7</v>
      </c>
      <c r="D2559">
        <v>8</v>
      </c>
      <c r="E2559" s="2">
        <v>9.2129629629629627E-3</v>
      </c>
      <c r="F2559">
        <v>13.266666666666667</v>
      </c>
    </row>
    <row r="2560" spans="1:6" x14ac:dyDescent="0.25">
      <c r="A2560" s="1">
        <v>39264</v>
      </c>
      <c r="B2560" t="s">
        <v>17</v>
      </c>
      <c r="C2560" t="s">
        <v>8</v>
      </c>
      <c r="D2560">
        <v>6</v>
      </c>
      <c r="E2560" s="2">
        <v>5.3819444444444444E-3</v>
      </c>
      <c r="F2560">
        <v>7.75</v>
      </c>
    </row>
    <row r="2561" spans="1:6" x14ac:dyDescent="0.25">
      <c r="A2561" s="1">
        <v>39264</v>
      </c>
      <c r="B2561" t="s">
        <v>17</v>
      </c>
      <c r="C2561" t="s">
        <v>9</v>
      </c>
      <c r="D2561">
        <v>4</v>
      </c>
      <c r="E2561" s="2">
        <v>3.7731481481481483E-3</v>
      </c>
      <c r="F2561">
        <v>5.4333333333333336</v>
      </c>
    </row>
    <row r="2562" spans="1:6" x14ac:dyDescent="0.25">
      <c r="A2562" s="1">
        <v>39264</v>
      </c>
      <c r="B2562" t="s">
        <v>17</v>
      </c>
      <c r="C2562" t="s">
        <v>10</v>
      </c>
      <c r="D2562">
        <v>4</v>
      </c>
      <c r="E2562" s="2">
        <v>1.8055555555555555E-3</v>
      </c>
      <c r="F2562">
        <v>2.6</v>
      </c>
    </row>
    <row r="2563" spans="1:6" x14ac:dyDescent="0.25">
      <c r="A2563" s="1">
        <v>39264</v>
      </c>
      <c r="B2563" t="s">
        <v>17</v>
      </c>
      <c r="C2563" t="s">
        <v>11</v>
      </c>
      <c r="D2563">
        <v>4</v>
      </c>
      <c r="E2563" s="2">
        <v>2.4652777777777776E-3</v>
      </c>
      <c r="F2563">
        <v>3.55</v>
      </c>
    </row>
    <row r="2564" spans="1:6" x14ac:dyDescent="0.25">
      <c r="A2564" s="1">
        <v>39264</v>
      </c>
      <c r="B2564" t="s">
        <v>18</v>
      </c>
      <c r="C2564" t="s">
        <v>6</v>
      </c>
      <c r="D2564">
        <v>101</v>
      </c>
      <c r="E2564" s="2">
        <v>8.8587962962962966E-2</v>
      </c>
      <c r="F2564">
        <v>127.56666666666666</v>
      </c>
    </row>
    <row r="2565" spans="1:6" x14ac:dyDescent="0.25">
      <c r="A2565" s="1">
        <v>39264</v>
      </c>
      <c r="B2565" t="s">
        <v>18</v>
      </c>
      <c r="C2565" t="s">
        <v>7</v>
      </c>
      <c r="D2565">
        <v>75</v>
      </c>
      <c r="E2565" s="2">
        <v>6.9375000000000006E-2</v>
      </c>
      <c r="F2565">
        <v>99.9</v>
      </c>
    </row>
    <row r="2566" spans="1:6" x14ac:dyDescent="0.25">
      <c r="A2566" s="1">
        <v>39264</v>
      </c>
      <c r="B2566" t="s">
        <v>18</v>
      </c>
      <c r="C2566" t="s">
        <v>8</v>
      </c>
      <c r="D2566">
        <v>84</v>
      </c>
      <c r="E2566" s="2">
        <v>9.9849537037037042E-2</v>
      </c>
      <c r="F2566">
        <v>143.78333333333333</v>
      </c>
    </row>
    <row r="2567" spans="1:6" x14ac:dyDescent="0.25">
      <c r="A2567" s="1">
        <v>39264</v>
      </c>
      <c r="B2567" t="s">
        <v>18</v>
      </c>
      <c r="C2567" t="s">
        <v>9</v>
      </c>
      <c r="D2567">
        <v>49</v>
      </c>
      <c r="E2567" s="2">
        <v>2.525462962962963E-2</v>
      </c>
      <c r="F2567">
        <v>36.366666666666667</v>
      </c>
    </row>
    <row r="2568" spans="1:6" x14ac:dyDescent="0.25">
      <c r="A2568" s="1">
        <v>39264</v>
      </c>
      <c r="B2568" t="s">
        <v>18</v>
      </c>
      <c r="C2568" t="s">
        <v>10</v>
      </c>
      <c r="D2568">
        <v>168</v>
      </c>
      <c r="E2568" s="2">
        <v>0.14454861111111111</v>
      </c>
      <c r="F2568">
        <v>208.15</v>
      </c>
    </row>
    <row r="2569" spans="1:6" x14ac:dyDescent="0.25">
      <c r="A2569" s="1">
        <v>39264</v>
      </c>
      <c r="B2569" t="s">
        <v>18</v>
      </c>
      <c r="C2569" t="s">
        <v>11</v>
      </c>
      <c r="D2569">
        <v>26</v>
      </c>
      <c r="E2569" s="2">
        <v>2.210648148148148E-2</v>
      </c>
      <c r="F2569">
        <v>31.833333333333332</v>
      </c>
    </row>
    <row r="2570" spans="1:6" x14ac:dyDescent="0.25">
      <c r="A2570" s="1">
        <v>39264</v>
      </c>
      <c r="B2570" t="s">
        <v>19</v>
      </c>
      <c r="C2570" t="s">
        <v>6</v>
      </c>
      <c r="D2570">
        <v>58</v>
      </c>
      <c r="E2570" s="2">
        <v>5.603009259259259E-2</v>
      </c>
      <c r="F2570">
        <v>80.683333333333337</v>
      </c>
    </row>
    <row r="2571" spans="1:6" x14ac:dyDescent="0.25">
      <c r="A2571" s="1">
        <v>39264</v>
      </c>
      <c r="B2571" t="s">
        <v>19</v>
      </c>
      <c r="C2571" t="s">
        <v>7</v>
      </c>
      <c r="D2571">
        <v>62</v>
      </c>
      <c r="E2571" s="2">
        <v>6.8750000000000006E-2</v>
      </c>
      <c r="F2571">
        <v>99</v>
      </c>
    </row>
    <row r="2572" spans="1:6" x14ac:dyDescent="0.25">
      <c r="A2572" s="1">
        <v>39264</v>
      </c>
      <c r="B2572" t="s">
        <v>19</v>
      </c>
      <c r="C2572" t="s">
        <v>8</v>
      </c>
      <c r="D2572">
        <v>48</v>
      </c>
      <c r="E2572" s="2">
        <v>5.8275462962962966E-2</v>
      </c>
      <c r="F2572">
        <v>83.916666666666671</v>
      </c>
    </row>
    <row r="2573" spans="1:6" x14ac:dyDescent="0.25">
      <c r="A2573" s="1">
        <v>39264</v>
      </c>
      <c r="B2573" t="s">
        <v>19</v>
      </c>
      <c r="C2573" t="s">
        <v>9</v>
      </c>
      <c r="D2573">
        <v>37</v>
      </c>
      <c r="E2573" s="2">
        <v>2.6898148148148147E-2</v>
      </c>
      <c r="F2573">
        <v>38.733333333333334</v>
      </c>
    </row>
    <row r="2574" spans="1:6" x14ac:dyDescent="0.25">
      <c r="A2574" s="1">
        <v>39264</v>
      </c>
      <c r="B2574" t="s">
        <v>19</v>
      </c>
      <c r="C2574" t="s">
        <v>10</v>
      </c>
      <c r="D2574">
        <v>22</v>
      </c>
      <c r="E2574" s="2">
        <v>2.150462962962963E-2</v>
      </c>
      <c r="F2574">
        <v>30.966666666666665</v>
      </c>
    </row>
    <row r="2575" spans="1:6" x14ac:dyDescent="0.25">
      <c r="A2575" s="1">
        <v>39264</v>
      </c>
      <c r="B2575" t="s">
        <v>19</v>
      </c>
      <c r="C2575" t="s">
        <v>11</v>
      </c>
      <c r="D2575">
        <v>30</v>
      </c>
      <c r="E2575" s="2">
        <v>2.4826388888888887E-2</v>
      </c>
      <c r="F2575">
        <v>35.75</v>
      </c>
    </row>
    <row r="2576" spans="1:6" x14ac:dyDescent="0.25">
      <c r="A2576" s="1">
        <v>39264</v>
      </c>
      <c r="B2576" t="s">
        <v>20</v>
      </c>
      <c r="C2576" t="s">
        <v>6</v>
      </c>
      <c r="D2576">
        <v>48</v>
      </c>
      <c r="E2576" s="2">
        <v>5.244212962962963E-2</v>
      </c>
      <c r="F2576">
        <v>75.516666666666666</v>
      </c>
    </row>
    <row r="2577" spans="1:6" x14ac:dyDescent="0.25">
      <c r="A2577" s="1">
        <v>39264</v>
      </c>
      <c r="B2577" t="s">
        <v>20</v>
      </c>
      <c r="C2577" t="s">
        <v>7</v>
      </c>
      <c r="D2577">
        <v>37</v>
      </c>
      <c r="E2577" s="2">
        <v>4.2407407407407408E-2</v>
      </c>
      <c r="F2577">
        <v>61.06666666666667</v>
      </c>
    </row>
    <row r="2578" spans="1:6" x14ac:dyDescent="0.25">
      <c r="A2578" s="1">
        <v>39264</v>
      </c>
      <c r="B2578" t="s">
        <v>20</v>
      </c>
      <c r="C2578" t="s">
        <v>8</v>
      </c>
      <c r="D2578">
        <v>32</v>
      </c>
      <c r="E2578" s="2">
        <v>4.2881944444444445E-2</v>
      </c>
      <c r="F2578">
        <v>61.75</v>
      </c>
    </row>
    <row r="2579" spans="1:6" x14ac:dyDescent="0.25">
      <c r="A2579" s="1">
        <v>39264</v>
      </c>
      <c r="B2579" t="s">
        <v>20</v>
      </c>
      <c r="C2579" t="s">
        <v>9</v>
      </c>
      <c r="D2579">
        <v>7</v>
      </c>
      <c r="E2579" s="2">
        <v>6.828703703703704E-3</v>
      </c>
      <c r="F2579">
        <v>9.8333333333333339</v>
      </c>
    </row>
    <row r="2580" spans="1:6" x14ac:dyDescent="0.25">
      <c r="A2580" s="1">
        <v>39264</v>
      </c>
      <c r="B2580" t="s">
        <v>20</v>
      </c>
      <c r="C2580" t="s">
        <v>10</v>
      </c>
      <c r="D2580">
        <v>10</v>
      </c>
      <c r="E2580" s="2">
        <v>8.1944444444444452E-3</v>
      </c>
      <c r="F2580">
        <v>11.8</v>
      </c>
    </row>
    <row r="2581" spans="1:6" x14ac:dyDescent="0.25">
      <c r="A2581" s="1">
        <v>39264</v>
      </c>
      <c r="B2581" t="s">
        <v>20</v>
      </c>
      <c r="C2581" t="s">
        <v>11</v>
      </c>
      <c r="D2581">
        <v>16</v>
      </c>
      <c r="E2581" s="2">
        <v>1.2708333333333334E-2</v>
      </c>
      <c r="F2581">
        <v>18.3</v>
      </c>
    </row>
    <row r="2582" spans="1:6" x14ac:dyDescent="0.25">
      <c r="A2582" s="1">
        <v>39264</v>
      </c>
      <c r="B2582" t="s">
        <v>21</v>
      </c>
      <c r="C2582" t="s">
        <v>6</v>
      </c>
      <c r="D2582">
        <v>22</v>
      </c>
      <c r="E2582" s="2">
        <v>2.2650462962962963E-2</v>
      </c>
      <c r="F2582">
        <v>32.616666666666667</v>
      </c>
    </row>
    <row r="2583" spans="1:6" x14ac:dyDescent="0.25">
      <c r="A2583" s="1">
        <v>39264</v>
      </c>
      <c r="B2583" t="s">
        <v>21</v>
      </c>
      <c r="C2583" t="s">
        <v>7</v>
      </c>
      <c r="D2583">
        <v>18</v>
      </c>
      <c r="E2583" s="2">
        <v>2.1817129629629631E-2</v>
      </c>
      <c r="F2583">
        <v>31.416666666666668</v>
      </c>
    </row>
    <row r="2584" spans="1:6" x14ac:dyDescent="0.25">
      <c r="A2584" s="1">
        <v>39264</v>
      </c>
      <c r="B2584" t="s">
        <v>21</v>
      </c>
      <c r="C2584" t="s">
        <v>8</v>
      </c>
      <c r="D2584">
        <v>15</v>
      </c>
      <c r="E2584" s="2">
        <v>2.0613425925925927E-2</v>
      </c>
      <c r="F2584">
        <v>29.683333333333334</v>
      </c>
    </row>
    <row r="2585" spans="1:6" x14ac:dyDescent="0.25">
      <c r="A2585" s="1">
        <v>39264</v>
      </c>
      <c r="B2585" t="s">
        <v>21</v>
      </c>
      <c r="C2585" t="s">
        <v>9</v>
      </c>
      <c r="D2585">
        <v>8</v>
      </c>
      <c r="E2585" s="2">
        <v>5.9375000000000001E-3</v>
      </c>
      <c r="F2585">
        <v>8.5500000000000007</v>
      </c>
    </row>
    <row r="2586" spans="1:6" x14ac:dyDescent="0.25">
      <c r="A2586" s="1">
        <v>39264</v>
      </c>
      <c r="B2586" t="s">
        <v>21</v>
      </c>
      <c r="C2586" t="s">
        <v>10</v>
      </c>
      <c r="D2586">
        <v>5</v>
      </c>
      <c r="E2586" s="2">
        <v>5.6365740740740742E-3</v>
      </c>
      <c r="F2586">
        <v>8.1166666666666671</v>
      </c>
    </row>
    <row r="2587" spans="1:6" x14ac:dyDescent="0.25">
      <c r="A2587" s="1">
        <v>39264</v>
      </c>
      <c r="B2587" t="s">
        <v>21</v>
      </c>
      <c r="C2587" t="s">
        <v>11</v>
      </c>
      <c r="D2587">
        <v>14</v>
      </c>
      <c r="E2587" s="2">
        <v>1.0752314814814815E-2</v>
      </c>
      <c r="F2587">
        <v>15.483333333333333</v>
      </c>
    </row>
    <row r="2588" spans="1:6" x14ac:dyDescent="0.25">
      <c r="A2588" s="1">
        <v>39264</v>
      </c>
      <c r="B2588" t="s">
        <v>22</v>
      </c>
      <c r="C2588" t="s">
        <v>6</v>
      </c>
      <c r="D2588">
        <v>23</v>
      </c>
      <c r="E2588" s="2">
        <v>2.5300925925925925E-2</v>
      </c>
      <c r="F2588">
        <v>36.43333333333333</v>
      </c>
    </row>
    <row r="2589" spans="1:6" x14ac:dyDescent="0.25">
      <c r="A2589" s="1">
        <v>39264</v>
      </c>
      <c r="B2589" t="s">
        <v>22</v>
      </c>
      <c r="C2589" t="s">
        <v>7</v>
      </c>
      <c r="D2589">
        <v>24</v>
      </c>
      <c r="E2589" s="2">
        <v>2.8495370370370369E-2</v>
      </c>
      <c r="F2589">
        <v>41.033333333333331</v>
      </c>
    </row>
    <row r="2590" spans="1:6" x14ac:dyDescent="0.25">
      <c r="A2590" s="1">
        <v>39264</v>
      </c>
      <c r="B2590" t="s">
        <v>22</v>
      </c>
      <c r="C2590" t="s">
        <v>8</v>
      </c>
      <c r="D2590">
        <v>4</v>
      </c>
      <c r="E2590" s="2">
        <v>2.2453703703703702E-3</v>
      </c>
      <c r="F2590">
        <v>3.2333333333333334</v>
      </c>
    </row>
    <row r="2591" spans="1:6" x14ac:dyDescent="0.25">
      <c r="A2591" s="1">
        <v>39264</v>
      </c>
      <c r="B2591" t="s">
        <v>22</v>
      </c>
      <c r="C2591" t="s">
        <v>9</v>
      </c>
      <c r="D2591">
        <v>10</v>
      </c>
      <c r="E2591" s="2">
        <v>2.1064814814814813E-3</v>
      </c>
      <c r="F2591">
        <v>3.0333333333333332</v>
      </c>
    </row>
    <row r="2592" spans="1:6" x14ac:dyDescent="0.25">
      <c r="A2592" s="1">
        <v>39264</v>
      </c>
      <c r="B2592" t="s">
        <v>22</v>
      </c>
      <c r="C2592" t="s">
        <v>10</v>
      </c>
      <c r="D2592">
        <v>8</v>
      </c>
      <c r="E2592" s="2">
        <v>4.7337962962962967E-3</v>
      </c>
      <c r="F2592">
        <v>6.8166666666666664</v>
      </c>
    </row>
    <row r="2593" spans="1:6" x14ac:dyDescent="0.25">
      <c r="A2593" s="1">
        <v>39264</v>
      </c>
      <c r="B2593" t="s">
        <v>22</v>
      </c>
      <c r="C2593" t="s">
        <v>11</v>
      </c>
      <c r="D2593">
        <v>9</v>
      </c>
      <c r="E2593" s="2">
        <v>7.5810185185185182E-3</v>
      </c>
      <c r="F2593">
        <v>10.916666666666666</v>
      </c>
    </row>
    <row r="2594" spans="1:6" x14ac:dyDescent="0.25">
      <c r="A2594" s="1">
        <v>39264</v>
      </c>
      <c r="B2594" t="s">
        <v>23</v>
      </c>
      <c r="C2594" t="s">
        <v>6</v>
      </c>
      <c r="D2594">
        <v>169</v>
      </c>
      <c r="E2594" s="2">
        <v>0.16465277777777779</v>
      </c>
      <c r="F2594">
        <v>237.1</v>
      </c>
    </row>
    <row r="2595" spans="1:6" x14ac:dyDescent="0.25">
      <c r="A2595" s="1">
        <v>39264</v>
      </c>
      <c r="B2595" t="s">
        <v>23</v>
      </c>
      <c r="C2595" t="s">
        <v>7</v>
      </c>
      <c r="D2595">
        <v>146</v>
      </c>
      <c r="E2595" s="2">
        <v>0.14241898148148149</v>
      </c>
      <c r="F2595">
        <v>205.08333333333334</v>
      </c>
    </row>
    <row r="2596" spans="1:6" x14ac:dyDescent="0.25">
      <c r="A2596" s="1">
        <v>39264</v>
      </c>
      <c r="B2596" t="s">
        <v>23</v>
      </c>
      <c r="C2596" t="s">
        <v>8</v>
      </c>
      <c r="D2596">
        <v>90</v>
      </c>
      <c r="E2596" s="2">
        <v>0.10202546296296296</v>
      </c>
      <c r="F2596">
        <v>146.91666666666666</v>
      </c>
    </row>
    <row r="2597" spans="1:6" x14ac:dyDescent="0.25">
      <c r="A2597" s="1">
        <v>39264</v>
      </c>
      <c r="B2597" t="s">
        <v>23</v>
      </c>
      <c r="C2597" t="s">
        <v>9</v>
      </c>
      <c r="D2597">
        <v>42</v>
      </c>
      <c r="E2597" s="2">
        <v>2.4895833333333332E-2</v>
      </c>
      <c r="F2597">
        <v>35.85</v>
      </c>
    </row>
    <row r="2598" spans="1:6" x14ac:dyDescent="0.25">
      <c r="A2598" s="1">
        <v>39264</v>
      </c>
      <c r="B2598" t="s">
        <v>23</v>
      </c>
      <c r="C2598" t="s">
        <v>10</v>
      </c>
      <c r="D2598">
        <v>43</v>
      </c>
      <c r="E2598" s="2">
        <v>5.3275462962962962E-2</v>
      </c>
      <c r="F2598">
        <v>76.716666666666669</v>
      </c>
    </row>
    <row r="2599" spans="1:6" x14ac:dyDescent="0.25">
      <c r="A2599" s="1">
        <v>39264</v>
      </c>
      <c r="B2599" t="s">
        <v>23</v>
      </c>
      <c r="C2599" t="s">
        <v>11</v>
      </c>
      <c r="D2599">
        <v>69</v>
      </c>
      <c r="E2599" s="2">
        <v>5.9976851851851851E-2</v>
      </c>
      <c r="F2599">
        <v>86.36666666666666</v>
      </c>
    </row>
    <row r="2600" spans="1:6" x14ac:dyDescent="0.25">
      <c r="A2600" s="1">
        <v>39264</v>
      </c>
      <c r="B2600" t="s">
        <v>24</v>
      </c>
      <c r="C2600" t="s">
        <v>6</v>
      </c>
      <c r="D2600">
        <v>105</v>
      </c>
      <c r="E2600" s="2">
        <v>8.8483796296296297E-2</v>
      </c>
      <c r="F2600">
        <v>127.41666666666667</v>
      </c>
    </row>
    <row r="2601" spans="1:6" x14ac:dyDescent="0.25">
      <c r="A2601" s="1">
        <v>39264</v>
      </c>
      <c r="B2601" t="s">
        <v>24</v>
      </c>
      <c r="C2601" t="s">
        <v>7</v>
      </c>
      <c r="D2601">
        <v>112</v>
      </c>
      <c r="E2601" s="2">
        <v>0.11723379629629629</v>
      </c>
      <c r="F2601">
        <v>168.81666666666666</v>
      </c>
    </row>
    <row r="2602" spans="1:6" x14ac:dyDescent="0.25">
      <c r="A2602" s="1">
        <v>39264</v>
      </c>
      <c r="B2602" t="s">
        <v>24</v>
      </c>
      <c r="C2602" t="s">
        <v>8</v>
      </c>
      <c r="D2602">
        <v>76</v>
      </c>
      <c r="E2602" s="2">
        <v>7.6342592592592587E-2</v>
      </c>
      <c r="F2602">
        <v>109.93333333333334</v>
      </c>
    </row>
    <row r="2603" spans="1:6" x14ac:dyDescent="0.25">
      <c r="A2603" s="1">
        <v>39264</v>
      </c>
      <c r="B2603" t="s">
        <v>24</v>
      </c>
      <c r="C2603" t="s">
        <v>9</v>
      </c>
      <c r="D2603">
        <v>33</v>
      </c>
      <c r="E2603" s="2">
        <v>1.7893518518518517E-2</v>
      </c>
      <c r="F2603">
        <v>25.766666666666666</v>
      </c>
    </row>
    <row r="2604" spans="1:6" x14ac:dyDescent="0.25">
      <c r="A2604" s="1">
        <v>39264</v>
      </c>
      <c r="B2604" t="s">
        <v>24</v>
      </c>
      <c r="C2604" t="s">
        <v>10</v>
      </c>
      <c r="D2604">
        <v>10</v>
      </c>
      <c r="E2604" s="2">
        <v>1.3206018518518518E-2</v>
      </c>
      <c r="F2604">
        <v>19.016666666666666</v>
      </c>
    </row>
    <row r="2605" spans="1:6" x14ac:dyDescent="0.25">
      <c r="A2605" s="1">
        <v>39264</v>
      </c>
      <c r="B2605" t="s">
        <v>24</v>
      </c>
      <c r="C2605" t="s">
        <v>11</v>
      </c>
      <c r="D2605">
        <v>43</v>
      </c>
      <c r="E2605" s="2">
        <v>2.5150462962962961E-2</v>
      </c>
      <c r="F2605">
        <v>36.216666666666669</v>
      </c>
    </row>
    <row r="2606" spans="1:6" x14ac:dyDescent="0.25">
      <c r="A2606" s="1">
        <v>39295</v>
      </c>
      <c r="B2606" t="s">
        <v>5</v>
      </c>
      <c r="C2606" t="s">
        <v>6</v>
      </c>
      <c r="D2606">
        <v>69</v>
      </c>
      <c r="E2606" s="2">
        <v>6.4560185185185179E-2</v>
      </c>
      <c r="F2606">
        <v>92.966666666666669</v>
      </c>
    </row>
    <row r="2607" spans="1:6" x14ac:dyDescent="0.25">
      <c r="A2607" s="1">
        <v>39295</v>
      </c>
      <c r="B2607" t="s">
        <v>5</v>
      </c>
      <c r="C2607" t="s">
        <v>7</v>
      </c>
      <c r="D2607">
        <v>65</v>
      </c>
      <c r="E2607" s="2">
        <v>6.33912037037037E-2</v>
      </c>
      <c r="F2607">
        <v>91.283333333333331</v>
      </c>
    </row>
    <row r="2608" spans="1:6" x14ac:dyDescent="0.25">
      <c r="A2608" s="1">
        <v>39295</v>
      </c>
      <c r="B2608" t="s">
        <v>5</v>
      </c>
      <c r="C2608" t="s">
        <v>8</v>
      </c>
      <c r="D2608">
        <v>42</v>
      </c>
      <c r="E2608" s="2">
        <v>5.1331018518518519E-2</v>
      </c>
      <c r="F2608">
        <v>73.916666666666671</v>
      </c>
    </row>
    <row r="2609" spans="1:6" x14ac:dyDescent="0.25">
      <c r="A2609" s="1">
        <v>39295</v>
      </c>
      <c r="B2609" t="s">
        <v>5</v>
      </c>
      <c r="C2609" t="s">
        <v>9</v>
      </c>
      <c r="D2609">
        <v>17</v>
      </c>
      <c r="E2609" s="2">
        <v>1.087962962962963E-2</v>
      </c>
      <c r="F2609">
        <v>15.666666666666666</v>
      </c>
    </row>
    <row r="2610" spans="1:6" x14ac:dyDescent="0.25">
      <c r="A2610" s="1">
        <v>39295</v>
      </c>
      <c r="B2610" t="s">
        <v>5</v>
      </c>
      <c r="C2610" t="s">
        <v>10</v>
      </c>
      <c r="D2610">
        <v>32</v>
      </c>
      <c r="E2610" s="2">
        <v>2.5729166666666668E-2</v>
      </c>
      <c r="F2610">
        <v>37.049999999999997</v>
      </c>
    </row>
    <row r="2611" spans="1:6" x14ac:dyDescent="0.25">
      <c r="A2611" s="1">
        <v>39295</v>
      </c>
      <c r="B2611" t="s">
        <v>5</v>
      </c>
      <c r="C2611" t="s">
        <v>11</v>
      </c>
      <c r="D2611">
        <v>39</v>
      </c>
      <c r="E2611" s="2">
        <v>3.2233796296296295E-2</v>
      </c>
      <c r="F2611">
        <v>46.416666666666664</v>
      </c>
    </row>
    <row r="2612" spans="1:6" x14ac:dyDescent="0.25">
      <c r="A2612" s="1">
        <v>39295</v>
      </c>
      <c r="B2612" t="s">
        <v>12</v>
      </c>
      <c r="C2612" t="s">
        <v>6</v>
      </c>
      <c r="D2612">
        <v>52</v>
      </c>
      <c r="E2612" s="2">
        <v>5.9699074074074071E-2</v>
      </c>
      <c r="F2612">
        <v>85.966666666666669</v>
      </c>
    </row>
    <row r="2613" spans="1:6" x14ac:dyDescent="0.25">
      <c r="A2613" s="1">
        <v>39295</v>
      </c>
      <c r="B2613" t="s">
        <v>12</v>
      </c>
      <c r="C2613" t="s">
        <v>7</v>
      </c>
      <c r="D2613">
        <v>45</v>
      </c>
      <c r="E2613" s="2">
        <v>6.4282407407407413E-2</v>
      </c>
      <c r="F2613">
        <v>92.566666666666663</v>
      </c>
    </row>
    <row r="2614" spans="1:6" x14ac:dyDescent="0.25">
      <c r="A2614" s="1">
        <v>39295</v>
      </c>
      <c r="B2614" t="s">
        <v>12</v>
      </c>
      <c r="C2614" t="s">
        <v>8</v>
      </c>
      <c r="D2614">
        <v>22</v>
      </c>
      <c r="E2614" s="2">
        <v>2.9444444444444443E-2</v>
      </c>
      <c r="F2614">
        <v>42.4</v>
      </c>
    </row>
    <row r="2615" spans="1:6" x14ac:dyDescent="0.25">
      <c r="A2615" s="1">
        <v>39295</v>
      </c>
      <c r="B2615" t="s">
        <v>12</v>
      </c>
      <c r="C2615" t="s">
        <v>9</v>
      </c>
      <c r="D2615">
        <v>6</v>
      </c>
      <c r="E2615" s="2">
        <v>3.5300925925925925E-3</v>
      </c>
      <c r="F2615">
        <v>5.083333333333333</v>
      </c>
    </row>
    <row r="2616" spans="1:6" x14ac:dyDescent="0.25">
      <c r="A2616" s="1">
        <v>39295</v>
      </c>
      <c r="B2616" t="s">
        <v>12</v>
      </c>
      <c r="C2616" t="s">
        <v>10</v>
      </c>
      <c r="D2616">
        <v>7</v>
      </c>
      <c r="E2616" s="2">
        <v>3.9351851851851848E-3</v>
      </c>
      <c r="F2616">
        <v>5.666666666666667</v>
      </c>
    </row>
    <row r="2617" spans="1:6" x14ac:dyDescent="0.25">
      <c r="A2617" s="1">
        <v>39295</v>
      </c>
      <c r="B2617" t="s">
        <v>12</v>
      </c>
      <c r="C2617" t="s">
        <v>11</v>
      </c>
      <c r="D2617">
        <v>12</v>
      </c>
      <c r="E2617" s="2">
        <v>1.3541666666666667E-2</v>
      </c>
      <c r="F2617">
        <v>19.5</v>
      </c>
    </row>
    <row r="2618" spans="1:6" x14ac:dyDescent="0.25">
      <c r="A2618" s="1">
        <v>39295</v>
      </c>
      <c r="B2618" t="s">
        <v>13</v>
      </c>
      <c r="C2618" t="s">
        <v>6</v>
      </c>
      <c r="D2618">
        <v>57</v>
      </c>
      <c r="E2618" s="2">
        <v>6.236111111111111E-2</v>
      </c>
      <c r="F2618">
        <v>89.8</v>
      </c>
    </row>
    <row r="2619" spans="1:6" x14ac:dyDescent="0.25">
      <c r="A2619" s="1">
        <v>39295</v>
      </c>
      <c r="B2619" t="s">
        <v>13</v>
      </c>
      <c r="C2619" t="s">
        <v>7</v>
      </c>
      <c r="D2619">
        <v>55</v>
      </c>
      <c r="E2619" s="2">
        <v>7.4143518518518525E-2</v>
      </c>
      <c r="F2619">
        <v>106.76666666666667</v>
      </c>
    </row>
    <row r="2620" spans="1:6" x14ac:dyDescent="0.25">
      <c r="A2620" s="1">
        <v>39295</v>
      </c>
      <c r="B2620" t="s">
        <v>13</v>
      </c>
      <c r="C2620" t="s">
        <v>8</v>
      </c>
      <c r="D2620">
        <v>42</v>
      </c>
      <c r="E2620" s="2">
        <v>5.4953703703703706E-2</v>
      </c>
      <c r="F2620">
        <v>79.13333333333334</v>
      </c>
    </row>
    <row r="2621" spans="1:6" x14ac:dyDescent="0.25">
      <c r="A2621" s="1">
        <v>39295</v>
      </c>
      <c r="B2621" t="s">
        <v>13</v>
      </c>
      <c r="C2621" t="s">
        <v>9</v>
      </c>
      <c r="D2621">
        <v>15</v>
      </c>
      <c r="E2621" s="2">
        <v>1.2627314814814815E-2</v>
      </c>
      <c r="F2621">
        <v>18.183333333333334</v>
      </c>
    </row>
    <row r="2622" spans="1:6" x14ac:dyDescent="0.25">
      <c r="A2622" s="1">
        <v>39295</v>
      </c>
      <c r="B2622" t="s">
        <v>13</v>
      </c>
      <c r="C2622" t="s">
        <v>10</v>
      </c>
      <c r="D2622">
        <v>23</v>
      </c>
      <c r="E2622" s="2">
        <v>2.5312500000000002E-2</v>
      </c>
      <c r="F2622">
        <v>36.450000000000003</v>
      </c>
    </row>
    <row r="2623" spans="1:6" x14ac:dyDescent="0.25">
      <c r="A2623" s="1">
        <v>39295</v>
      </c>
      <c r="B2623" t="s">
        <v>13</v>
      </c>
      <c r="C2623" t="s">
        <v>11</v>
      </c>
      <c r="D2623">
        <v>12</v>
      </c>
      <c r="E2623" s="2">
        <v>1.1990740740740741E-2</v>
      </c>
      <c r="F2623">
        <v>17.266666666666666</v>
      </c>
    </row>
    <row r="2624" spans="1:6" x14ac:dyDescent="0.25">
      <c r="A2624" s="1">
        <v>39295</v>
      </c>
      <c r="B2624" t="s">
        <v>14</v>
      </c>
      <c r="C2624" t="s">
        <v>6</v>
      </c>
      <c r="D2624">
        <v>24</v>
      </c>
      <c r="E2624" s="2">
        <v>2.5185185185185185E-2</v>
      </c>
      <c r="F2624">
        <v>36.266666666666666</v>
      </c>
    </row>
    <row r="2625" spans="1:6" x14ac:dyDescent="0.25">
      <c r="A2625" s="1">
        <v>39295</v>
      </c>
      <c r="B2625" t="s">
        <v>14</v>
      </c>
      <c r="C2625" t="s">
        <v>7</v>
      </c>
      <c r="D2625">
        <v>21</v>
      </c>
      <c r="E2625" s="2">
        <v>2.3472222222222221E-2</v>
      </c>
      <c r="F2625">
        <v>33.799999999999997</v>
      </c>
    </row>
    <row r="2626" spans="1:6" x14ac:dyDescent="0.25">
      <c r="A2626" s="1">
        <v>39295</v>
      </c>
      <c r="B2626" t="s">
        <v>14</v>
      </c>
      <c r="C2626" t="s">
        <v>8</v>
      </c>
      <c r="D2626">
        <v>9</v>
      </c>
      <c r="E2626" s="2">
        <v>9.4097222222222221E-3</v>
      </c>
      <c r="F2626">
        <v>13.55</v>
      </c>
    </row>
    <row r="2627" spans="1:6" x14ac:dyDescent="0.25">
      <c r="A2627" s="1">
        <v>39295</v>
      </c>
      <c r="B2627" t="s">
        <v>14</v>
      </c>
      <c r="C2627" t="s">
        <v>9</v>
      </c>
      <c r="D2627">
        <v>2</v>
      </c>
      <c r="E2627" s="2">
        <v>1.6435185185185185E-3</v>
      </c>
      <c r="F2627">
        <v>2.3666666666666667</v>
      </c>
    </row>
    <row r="2628" spans="1:6" x14ac:dyDescent="0.25">
      <c r="A2628" s="1">
        <v>39295</v>
      </c>
      <c r="B2628" t="s">
        <v>14</v>
      </c>
      <c r="C2628" t="s">
        <v>10</v>
      </c>
      <c r="D2628">
        <v>1</v>
      </c>
      <c r="E2628" s="2">
        <v>2.1990740740740742E-3</v>
      </c>
      <c r="F2628">
        <v>3.1666666666666665</v>
      </c>
    </row>
    <row r="2629" spans="1:6" x14ac:dyDescent="0.25">
      <c r="A2629" s="1">
        <v>39295</v>
      </c>
      <c r="B2629" t="s">
        <v>14</v>
      </c>
      <c r="C2629" t="s">
        <v>11</v>
      </c>
      <c r="D2629">
        <v>7</v>
      </c>
      <c r="E2629" s="2">
        <v>5.9490740740740745E-3</v>
      </c>
      <c r="F2629">
        <v>8.5666666666666664</v>
      </c>
    </row>
    <row r="2630" spans="1:6" x14ac:dyDescent="0.25">
      <c r="A2630" s="1">
        <v>39295</v>
      </c>
      <c r="B2630" t="s">
        <v>15</v>
      </c>
      <c r="C2630" t="s">
        <v>6</v>
      </c>
      <c r="D2630">
        <v>53</v>
      </c>
      <c r="E2630" s="2">
        <v>4.9861111111111113E-2</v>
      </c>
      <c r="F2630">
        <v>71.8</v>
      </c>
    </row>
    <row r="2631" spans="1:6" x14ac:dyDescent="0.25">
      <c r="A2631" s="1">
        <v>39295</v>
      </c>
      <c r="B2631" t="s">
        <v>15</v>
      </c>
      <c r="C2631" t="s">
        <v>7</v>
      </c>
      <c r="D2631">
        <v>36</v>
      </c>
      <c r="E2631" s="2">
        <v>3.5034722222222224E-2</v>
      </c>
      <c r="F2631">
        <v>50.45</v>
      </c>
    </row>
    <row r="2632" spans="1:6" x14ac:dyDescent="0.25">
      <c r="A2632" s="1">
        <v>39295</v>
      </c>
      <c r="B2632" t="s">
        <v>15</v>
      </c>
      <c r="C2632" t="s">
        <v>8</v>
      </c>
      <c r="D2632">
        <v>15</v>
      </c>
      <c r="E2632" s="2">
        <v>1.4976851851851852E-2</v>
      </c>
      <c r="F2632">
        <v>21.566666666666666</v>
      </c>
    </row>
    <row r="2633" spans="1:6" x14ac:dyDescent="0.25">
      <c r="A2633" s="1">
        <v>39295</v>
      </c>
      <c r="B2633" t="s">
        <v>15</v>
      </c>
      <c r="C2633" t="s">
        <v>9</v>
      </c>
      <c r="D2633">
        <v>5</v>
      </c>
      <c r="E2633" s="2">
        <v>2.2685185185185187E-3</v>
      </c>
      <c r="F2633">
        <v>3.2666666666666666</v>
      </c>
    </row>
    <row r="2634" spans="1:6" x14ac:dyDescent="0.25">
      <c r="A2634" s="1">
        <v>39295</v>
      </c>
      <c r="B2634" t="s">
        <v>15</v>
      </c>
      <c r="C2634" t="s">
        <v>10</v>
      </c>
      <c r="D2634">
        <v>8</v>
      </c>
      <c r="E2634" s="2">
        <v>1.0671296296296297E-2</v>
      </c>
      <c r="F2634">
        <v>15.366666666666667</v>
      </c>
    </row>
    <row r="2635" spans="1:6" x14ac:dyDescent="0.25">
      <c r="A2635" s="1">
        <v>39295</v>
      </c>
      <c r="B2635" t="s">
        <v>15</v>
      </c>
      <c r="C2635" t="s">
        <v>11</v>
      </c>
      <c r="D2635">
        <v>8</v>
      </c>
      <c r="E2635" s="2">
        <v>5.7407407407407407E-3</v>
      </c>
      <c r="F2635">
        <v>8.2666666666666675</v>
      </c>
    </row>
    <row r="2636" spans="1:6" x14ac:dyDescent="0.25">
      <c r="A2636" s="1">
        <v>39295</v>
      </c>
      <c r="B2636" t="s">
        <v>16</v>
      </c>
      <c r="C2636" t="s">
        <v>6</v>
      </c>
      <c r="D2636">
        <v>22</v>
      </c>
      <c r="E2636" s="2">
        <v>2.1770833333333333E-2</v>
      </c>
      <c r="F2636">
        <v>31.35</v>
      </c>
    </row>
    <row r="2637" spans="1:6" x14ac:dyDescent="0.25">
      <c r="A2637" s="1">
        <v>39295</v>
      </c>
      <c r="B2637" t="s">
        <v>16</v>
      </c>
      <c r="C2637" t="s">
        <v>7</v>
      </c>
      <c r="D2637">
        <v>30</v>
      </c>
      <c r="E2637" s="2">
        <v>3.3738425925925929E-2</v>
      </c>
      <c r="F2637">
        <v>48.583333333333336</v>
      </c>
    </row>
    <row r="2638" spans="1:6" x14ac:dyDescent="0.25">
      <c r="A2638" s="1">
        <v>39295</v>
      </c>
      <c r="B2638" t="s">
        <v>16</v>
      </c>
      <c r="C2638" t="s">
        <v>8</v>
      </c>
      <c r="D2638">
        <v>22</v>
      </c>
      <c r="E2638" s="2">
        <v>2.1909722222222223E-2</v>
      </c>
      <c r="F2638">
        <v>31.55</v>
      </c>
    </row>
    <row r="2639" spans="1:6" x14ac:dyDescent="0.25">
      <c r="A2639" s="1">
        <v>39295</v>
      </c>
      <c r="B2639" t="s">
        <v>16</v>
      </c>
      <c r="C2639" t="s">
        <v>9</v>
      </c>
      <c r="D2639">
        <v>11</v>
      </c>
      <c r="E2639" s="2">
        <v>6.1689814814814819E-3</v>
      </c>
      <c r="F2639">
        <v>8.8833333333333329</v>
      </c>
    </row>
    <row r="2640" spans="1:6" x14ac:dyDescent="0.25">
      <c r="A2640" s="1">
        <v>39295</v>
      </c>
      <c r="B2640" t="s">
        <v>16</v>
      </c>
      <c r="C2640" t="s">
        <v>10</v>
      </c>
      <c r="D2640">
        <v>6</v>
      </c>
      <c r="E2640" s="2">
        <v>6.8865740740740745E-3</v>
      </c>
      <c r="F2640">
        <v>9.9166666666666661</v>
      </c>
    </row>
    <row r="2641" spans="1:6" x14ac:dyDescent="0.25">
      <c r="A2641" s="1">
        <v>39295</v>
      </c>
      <c r="B2641" t="s">
        <v>16</v>
      </c>
      <c r="C2641" t="s">
        <v>11</v>
      </c>
      <c r="D2641">
        <v>16</v>
      </c>
      <c r="E2641" s="2">
        <v>1.4247685185185184E-2</v>
      </c>
      <c r="F2641">
        <v>20.516666666666666</v>
      </c>
    </row>
    <row r="2642" spans="1:6" x14ac:dyDescent="0.25">
      <c r="A2642" s="1">
        <v>39295</v>
      </c>
      <c r="B2642" t="s">
        <v>17</v>
      </c>
      <c r="C2642" t="s">
        <v>6</v>
      </c>
      <c r="D2642">
        <v>15</v>
      </c>
      <c r="E2642" s="2">
        <v>1.7939814814814815E-2</v>
      </c>
      <c r="F2642">
        <v>25.833333333333332</v>
      </c>
    </row>
    <row r="2643" spans="1:6" x14ac:dyDescent="0.25">
      <c r="A2643" s="1">
        <v>39295</v>
      </c>
      <c r="B2643" t="s">
        <v>17</v>
      </c>
      <c r="C2643" t="s">
        <v>7</v>
      </c>
      <c r="D2643">
        <v>11</v>
      </c>
      <c r="E2643" s="2">
        <v>1.3773148148148149E-2</v>
      </c>
      <c r="F2643">
        <v>19.833333333333332</v>
      </c>
    </row>
    <row r="2644" spans="1:6" x14ac:dyDescent="0.25">
      <c r="A2644" s="1">
        <v>39295</v>
      </c>
      <c r="B2644" t="s">
        <v>17</v>
      </c>
      <c r="C2644" t="s">
        <v>8</v>
      </c>
      <c r="D2644">
        <v>10</v>
      </c>
      <c r="E2644" s="2">
        <v>8.9004629629629625E-3</v>
      </c>
      <c r="F2644">
        <v>12.816666666666666</v>
      </c>
    </row>
    <row r="2645" spans="1:6" x14ac:dyDescent="0.25">
      <c r="A2645" s="1">
        <v>39295</v>
      </c>
      <c r="B2645" t="s">
        <v>17</v>
      </c>
      <c r="C2645" t="s">
        <v>9</v>
      </c>
      <c r="D2645">
        <v>4</v>
      </c>
      <c r="E2645" s="2">
        <v>2.9282407407407408E-3</v>
      </c>
      <c r="F2645">
        <v>4.2166666666666668</v>
      </c>
    </row>
    <row r="2646" spans="1:6" x14ac:dyDescent="0.25">
      <c r="A2646" s="1">
        <v>39295</v>
      </c>
      <c r="B2646" t="s">
        <v>17</v>
      </c>
      <c r="C2646" t="s">
        <v>10</v>
      </c>
      <c r="D2646">
        <v>7</v>
      </c>
      <c r="E2646" s="2">
        <v>6.1111111111111114E-3</v>
      </c>
      <c r="F2646">
        <v>8.8000000000000007</v>
      </c>
    </row>
    <row r="2647" spans="1:6" x14ac:dyDescent="0.25">
      <c r="A2647" s="1">
        <v>39295</v>
      </c>
      <c r="B2647" t="s">
        <v>17</v>
      </c>
      <c r="C2647" t="s">
        <v>11</v>
      </c>
      <c r="D2647">
        <v>11</v>
      </c>
      <c r="E2647" s="2">
        <v>8.2175925925925923E-3</v>
      </c>
      <c r="F2647">
        <v>11.833333333333334</v>
      </c>
    </row>
    <row r="2648" spans="1:6" x14ac:dyDescent="0.25">
      <c r="A2648" s="1">
        <v>39295</v>
      </c>
      <c r="B2648" t="s">
        <v>18</v>
      </c>
      <c r="C2648" t="s">
        <v>6</v>
      </c>
      <c r="D2648">
        <v>52</v>
      </c>
      <c r="E2648" s="2">
        <v>4.6550925925925926E-2</v>
      </c>
      <c r="F2648">
        <v>67.033333333333331</v>
      </c>
    </row>
    <row r="2649" spans="1:6" x14ac:dyDescent="0.25">
      <c r="A2649" s="1">
        <v>39295</v>
      </c>
      <c r="B2649" t="s">
        <v>18</v>
      </c>
      <c r="C2649" t="s">
        <v>7</v>
      </c>
      <c r="D2649">
        <v>31</v>
      </c>
      <c r="E2649" s="2">
        <v>2.9942129629629631E-2</v>
      </c>
      <c r="F2649">
        <v>43.116666666666667</v>
      </c>
    </row>
    <row r="2650" spans="1:6" x14ac:dyDescent="0.25">
      <c r="A2650" s="1">
        <v>39295</v>
      </c>
      <c r="B2650" t="s">
        <v>18</v>
      </c>
      <c r="C2650" t="s">
        <v>8</v>
      </c>
      <c r="D2650">
        <v>38</v>
      </c>
      <c r="E2650" s="2">
        <v>3.7060185185185182E-2</v>
      </c>
      <c r="F2650">
        <v>53.366666666666667</v>
      </c>
    </row>
    <row r="2651" spans="1:6" x14ac:dyDescent="0.25">
      <c r="A2651" s="1">
        <v>39295</v>
      </c>
      <c r="B2651" t="s">
        <v>18</v>
      </c>
      <c r="C2651" t="s">
        <v>9</v>
      </c>
      <c r="D2651">
        <v>37</v>
      </c>
      <c r="E2651" s="2">
        <v>1.5787037037037037E-2</v>
      </c>
      <c r="F2651">
        <v>22.733333333333334</v>
      </c>
    </row>
    <row r="2652" spans="1:6" x14ac:dyDescent="0.25">
      <c r="A2652" s="1">
        <v>39295</v>
      </c>
      <c r="B2652" t="s">
        <v>18</v>
      </c>
      <c r="C2652" t="s">
        <v>10</v>
      </c>
      <c r="D2652">
        <v>117</v>
      </c>
      <c r="E2652" s="2">
        <v>9.4456018518518522E-2</v>
      </c>
      <c r="F2652">
        <v>136.01666666666668</v>
      </c>
    </row>
    <row r="2653" spans="1:6" x14ac:dyDescent="0.25">
      <c r="A2653" s="1">
        <v>39295</v>
      </c>
      <c r="B2653" t="s">
        <v>18</v>
      </c>
      <c r="C2653" t="s">
        <v>11</v>
      </c>
      <c r="D2653">
        <v>13</v>
      </c>
      <c r="E2653" s="2">
        <v>5.8680555555555552E-3</v>
      </c>
      <c r="F2653">
        <v>8.4499999999999993</v>
      </c>
    </row>
    <row r="2654" spans="1:6" x14ac:dyDescent="0.25">
      <c r="A2654" s="1">
        <v>39295</v>
      </c>
      <c r="B2654" t="s">
        <v>19</v>
      </c>
      <c r="C2654" t="s">
        <v>6</v>
      </c>
      <c r="D2654">
        <v>32</v>
      </c>
      <c r="E2654" s="2">
        <v>3.9895833333333332E-2</v>
      </c>
      <c r="F2654">
        <v>57.45</v>
      </c>
    </row>
    <row r="2655" spans="1:6" x14ac:dyDescent="0.25">
      <c r="A2655" s="1">
        <v>39295</v>
      </c>
      <c r="B2655" t="s">
        <v>19</v>
      </c>
      <c r="C2655" t="s">
        <v>7</v>
      </c>
      <c r="D2655">
        <v>26</v>
      </c>
      <c r="E2655" s="2">
        <v>3.5636574074074077E-2</v>
      </c>
      <c r="F2655">
        <v>51.31666666666667</v>
      </c>
    </row>
    <row r="2656" spans="1:6" x14ac:dyDescent="0.25">
      <c r="A2656" s="1">
        <v>39295</v>
      </c>
      <c r="B2656" t="s">
        <v>19</v>
      </c>
      <c r="C2656" t="s">
        <v>8</v>
      </c>
      <c r="D2656">
        <v>19</v>
      </c>
      <c r="E2656" s="2">
        <v>2.2199074074074072E-2</v>
      </c>
      <c r="F2656">
        <v>31.966666666666665</v>
      </c>
    </row>
    <row r="2657" spans="1:6" x14ac:dyDescent="0.25">
      <c r="A2657" s="1">
        <v>39295</v>
      </c>
      <c r="B2657" t="s">
        <v>19</v>
      </c>
      <c r="C2657" t="s">
        <v>9</v>
      </c>
      <c r="D2657">
        <v>15</v>
      </c>
      <c r="E2657" s="2">
        <v>1.0115740740740741E-2</v>
      </c>
      <c r="F2657">
        <v>14.566666666666666</v>
      </c>
    </row>
    <row r="2658" spans="1:6" x14ac:dyDescent="0.25">
      <c r="A2658" s="1">
        <v>39295</v>
      </c>
      <c r="B2658" t="s">
        <v>19</v>
      </c>
      <c r="C2658" t="s">
        <v>10</v>
      </c>
      <c r="D2658">
        <v>10</v>
      </c>
      <c r="E2658" s="2">
        <v>8.9236111111111113E-3</v>
      </c>
      <c r="F2658">
        <v>12.85</v>
      </c>
    </row>
    <row r="2659" spans="1:6" x14ac:dyDescent="0.25">
      <c r="A2659" s="1">
        <v>39295</v>
      </c>
      <c r="B2659" t="s">
        <v>19</v>
      </c>
      <c r="C2659" t="s">
        <v>11</v>
      </c>
      <c r="D2659">
        <v>8</v>
      </c>
      <c r="E2659" s="2">
        <v>9.432870370370371E-3</v>
      </c>
      <c r="F2659">
        <v>13.583333333333334</v>
      </c>
    </row>
    <row r="2660" spans="1:6" x14ac:dyDescent="0.25">
      <c r="A2660" s="1">
        <v>39295</v>
      </c>
      <c r="B2660" t="s">
        <v>20</v>
      </c>
      <c r="C2660" t="s">
        <v>6</v>
      </c>
      <c r="D2660">
        <v>33</v>
      </c>
      <c r="E2660" s="2">
        <v>2.9201388888888888E-2</v>
      </c>
      <c r="F2660">
        <v>42.05</v>
      </c>
    </row>
    <row r="2661" spans="1:6" x14ac:dyDescent="0.25">
      <c r="A2661" s="1">
        <v>39295</v>
      </c>
      <c r="B2661" t="s">
        <v>20</v>
      </c>
      <c r="C2661" t="s">
        <v>7</v>
      </c>
      <c r="D2661">
        <v>25</v>
      </c>
      <c r="E2661" s="2">
        <v>3.484953703703704E-2</v>
      </c>
      <c r="F2661">
        <v>50.18333333333333</v>
      </c>
    </row>
    <row r="2662" spans="1:6" x14ac:dyDescent="0.25">
      <c r="A2662" s="1">
        <v>39295</v>
      </c>
      <c r="B2662" t="s">
        <v>20</v>
      </c>
      <c r="C2662" t="s">
        <v>8</v>
      </c>
      <c r="D2662">
        <v>27</v>
      </c>
      <c r="E2662" s="2">
        <v>3.667824074074074E-2</v>
      </c>
      <c r="F2662">
        <v>52.81666666666667</v>
      </c>
    </row>
    <row r="2663" spans="1:6" x14ac:dyDescent="0.25">
      <c r="A2663" s="1">
        <v>39295</v>
      </c>
      <c r="B2663" t="s">
        <v>20</v>
      </c>
      <c r="C2663" t="s">
        <v>9</v>
      </c>
      <c r="D2663">
        <v>8</v>
      </c>
      <c r="E2663" s="2">
        <v>6.2615740740740739E-3</v>
      </c>
      <c r="F2663">
        <v>9.0166666666666675</v>
      </c>
    </row>
    <row r="2664" spans="1:6" x14ac:dyDescent="0.25">
      <c r="A2664" s="1">
        <v>39295</v>
      </c>
      <c r="B2664" t="s">
        <v>20</v>
      </c>
      <c r="C2664" t="s">
        <v>10</v>
      </c>
      <c r="D2664">
        <v>8</v>
      </c>
      <c r="E2664" s="2">
        <v>9.3287037037037036E-3</v>
      </c>
      <c r="F2664">
        <v>13.433333333333334</v>
      </c>
    </row>
    <row r="2665" spans="1:6" x14ac:dyDescent="0.25">
      <c r="A2665" s="1">
        <v>39295</v>
      </c>
      <c r="B2665" t="s">
        <v>20</v>
      </c>
      <c r="C2665" t="s">
        <v>11</v>
      </c>
      <c r="D2665">
        <v>13</v>
      </c>
      <c r="E2665" s="2">
        <v>1.15625E-2</v>
      </c>
      <c r="F2665">
        <v>16.649999999999999</v>
      </c>
    </row>
    <row r="2666" spans="1:6" x14ac:dyDescent="0.25">
      <c r="A2666" s="1">
        <v>39295</v>
      </c>
      <c r="B2666" t="s">
        <v>21</v>
      </c>
      <c r="C2666" t="s">
        <v>6</v>
      </c>
      <c r="D2666">
        <v>15</v>
      </c>
      <c r="E2666" s="2">
        <v>1.6296296296296295E-2</v>
      </c>
      <c r="F2666">
        <v>23.466666666666665</v>
      </c>
    </row>
    <row r="2667" spans="1:6" x14ac:dyDescent="0.25">
      <c r="A2667" s="1">
        <v>39295</v>
      </c>
      <c r="B2667" t="s">
        <v>21</v>
      </c>
      <c r="C2667" t="s">
        <v>7</v>
      </c>
      <c r="D2667">
        <v>7</v>
      </c>
      <c r="E2667" s="2">
        <v>9.9652777777777778E-3</v>
      </c>
      <c r="F2667">
        <v>14.35</v>
      </c>
    </row>
    <row r="2668" spans="1:6" x14ac:dyDescent="0.25">
      <c r="A2668" s="1">
        <v>39295</v>
      </c>
      <c r="B2668" t="s">
        <v>21</v>
      </c>
      <c r="C2668" t="s">
        <v>8</v>
      </c>
      <c r="D2668">
        <v>3</v>
      </c>
      <c r="E2668" s="2">
        <v>3.9004629629629628E-3</v>
      </c>
      <c r="F2668">
        <v>5.6166666666666671</v>
      </c>
    </row>
    <row r="2669" spans="1:6" x14ac:dyDescent="0.25">
      <c r="A2669" s="1">
        <v>39295</v>
      </c>
      <c r="B2669" t="s">
        <v>21</v>
      </c>
      <c r="C2669" t="s">
        <v>9</v>
      </c>
      <c r="D2669">
        <v>5</v>
      </c>
      <c r="E2669" s="2">
        <v>2.4305555555555556E-3</v>
      </c>
      <c r="F2669">
        <v>3.5</v>
      </c>
    </row>
    <row r="2670" spans="1:6" x14ac:dyDescent="0.25">
      <c r="A2670" s="1">
        <v>39295</v>
      </c>
      <c r="B2670" t="s">
        <v>21</v>
      </c>
      <c r="C2670" t="s">
        <v>10</v>
      </c>
      <c r="D2670">
        <v>8</v>
      </c>
      <c r="E2670" s="2">
        <v>9.780092592592592E-3</v>
      </c>
      <c r="F2670">
        <v>14.083333333333334</v>
      </c>
    </row>
    <row r="2671" spans="1:6" x14ac:dyDescent="0.25">
      <c r="A2671" s="1">
        <v>39295</v>
      </c>
      <c r="B2671" t="s">
        <v>21</v>
      </c>
      <c r="C2671" t="s">
        <v>11</v>
      </c>
      <c r="D2671">
        <v>5</v>
      </c>
      <c r="E2671" s="2">
        <v>4.5601851851851853E-3</v>
      </c>
      <c r="F2671">
        <v>6.5666666666666664</v>
      </c>
    </row>
    <row r="2672" spans="1:6" x14ac:dyDescent="0.25">
      <c r="A2672" s="1">
        <v>39295</v>
      </c>
      <c r="B2672" t="s">
        <v>22</v>
      </c>
      <c r="C2672" t="s">
        <v>6</v>
      </c>
      <c r="D2672">
        <v>27</v>
      </c>
      <c r="E2672" s="2">
        <v>2.6689814814814816E-2</v>
      </c>
      <c r="F2672">
        <v>38.43333333333333</v>
      </c>
    </row>
    <row r="2673" spans="1:6" x14ac:dyDescent="0.25">
      <c r="A2673" s="1">
        <v>39295</v>
      </c>
      <c r="B2673" t="s">
        <v>22</v>
      </c>
      <c r="C2673" t="s">
        <v>7</v>
      </c>
      <c r="D2673">
        <v>19</v>
      </c>
      <c r="E2673" s="2">
        <v>2.0231481481481482E-2</v>
      </c>
      <c r="F2673">
        <v>29.133333333333333</v>
      </c>
    </row>
    <row r="2674" spans="1:6" x14ac:dyDescent="0.25">
      <c r="A2674" s="1">
        <v>39295</v>
      </c>
      <c r="B2674" t="s">
        <v>22</v>
      </c>
      <c r="C2674" t="s">
        <v>8</v>
      </c>
      <c r="D2674">
        <v>18</v>
      </c>
      <c r="E2674" s="2">
        <v>2.1215277777777777E-2</v>
      </c>
      <c r="F2674">
        <v>30.55</v>
      </c>
    </row>
    <row r="2675" spans="1:6" x14ac:dyDescent="0.25">
      <c r="A2675" s="1">
        <v>39295</v>
      </c>
      <c r="B2675" t="s">
        <v>22</v>
      </c>
      <c r="C2675" t="s">
        <v>9</v>
      </c>
      <c r="D2675">
        <v>5</v>
      </c>
      <c r="E2675" s="2">
        <v>1.8634259259259259E-3</v>
      </c>
      <c r="F2675">
        <v>2.6833333333333336</v>
      </c>
    </row>
    <row r="2676" spans="1:6" x14ac:dyDescent="0.25">
      <c r="A2676" s="1">
        <v>39295</v>
      </c>
      <c r="B2676" t="s">
        <v>22</v>
      </c>
      <c r="C2676" t="s">
        <v>10</v>
      </c>
      <c r="D2676">
        <v>5</v>
      </c>
      <c r="E2676" s="2">
        <v>2.5115740740740741E-3</v>
      </c>
      <c r="F2676">
        <v>3.6166666666666667</v>
      </c>
    </row>
    <row r="2677" spans="1:6" x14ac:dyDescent="0.25">
      <c r="A2677" s="1">
        <v>39295</v>
      </c>
      <c r="B2677" t="s">
        <v>22</v>
      </c>
      <c r="C2677" t="s">
        <v>11</v>
      </c>
      <c r="D2677">
        <v>9</v>
      </c>
      <c r="E2677" s="2">
        <v>7.013888888888889E-3</v>
      </c>
      <c r="F2677">
        <v>10.1</v>
      </c>
    </row>
    <row r="2678" spans="1:6" x14ac:dyDescent="0.25">
      <c r="A2678" s="1">
        <v>39295</v>
      </c>
      <c r="B2678" t="s">
        <v>23</v>
      </c>
      <c r="C2678" t="s">
        <v>6</v>
      </c>
      <c r="D2678">
        <v>129</v>
      </c>
      <c r="E2678" s="2">
        <v>0.12217592592592592</v>
      </c>
      <c r="F2678">
        <v>175.93333333333334</v>
      </c>
    </row>
    <row r="2679" spans="1:6" x14ac:dyDescent="0.25">
      <c r="A2679" s="1">
        <v>39295</v>
      </c>
      <c r="B2679" t="s">
        <v>23</v>
      </c>
      <c r="C2679" t="s">
        <v>7</v>
      </c>
      <c r="D2679">
        <v>127</v>
      </c>
      <c r="E2679" s="2">
        <v>0.14114583333333333</v>
      </c>
      <c r="F2679">
        <v>203.25</v>
      </c>
    </row>
    <row r="2680" spans="1:6" x14ac:dyDescent="0.25">
      <c r="A2680" s="1">
        <v>39295</v>
      </c>
      <c r="B2680" t="s">
        <v>23</v>
      </c>
      <c r="C2680" t="s">
        <v>8</v>
      </c>
      <c r="D2680">
        <v>88</v>
      </c>
      <c r="E2680" s="2">
        <v>0.10130787037037037</v>
      </c>
      <c r="F2680">
        <v>145.88333333333333</v>
      </c>
    </row>
    <row r="2681" spans="1:6" x14ac:dyDescent="0.25">
      <c r="A2681" s="1">
        <v>39295</v>
      </c>
      <c r="B2681" t="s">
        <v>23</v>
      </c>
      <c r="C2681" t="s">
        <v>9</v>
      </c>
      <c r="D2681">
        <v>34</v>
      </c>
      <c r="E2681" s="2">
        <v>2.0833333333333332E-2</v>
      </c>
      <c r="F2681">
        <v>30</v>
      </c>
    </row>
    <row r="2682" spans="1:6" x14ac:dyDescent="0.25">
      <c r="A2682" s="1">
        <v>39295</v>
      </c>
      <c r="B2682" t="s">
        <v>23</v>
      </c>
      <c r="C2682" t="s">
        <v>10</v>
      </c>
      <c r="D2682">
        <v>53</v>
      </c>
      <c r="E2682" s="2">
        <v>5.0462962962962966E-2</v>
      </c>
      <c r="F2682">
        <v>72.666666666666671</v>
      </c>
    </row>
    <row r="2683" spans="1:6" x14ac:dyDescent="0.25">
      <c r="A2683" s="1">
        <v>39295</v>
      </c>
      <c r="B2683" t="s">
        <v>23</v>
      </c>
      <c r="C2683" t="s">
        <v>11</v>
      </c>
      <c r="D2683">
        <v>54</v>
      </c>
      <c r="E2683" s="2">
        <v>4.8946759259259259E-2</v>
      </c>
      <c r="F2683">
        <v>70.483333333333334</v>
      </c>
    </row>
    <row r="2684" spans="1:6" x14ac:dyDescent="0.25">
      <c r="A2684" s="1">
        <v>39295</v>
      </c>
      <c r="B2684" t="s">
        <v>24</v>
      </c>
      <c r="C2684" t="s">
        <v>6</v>
      </c>
      <c r="D2684">
        <v>89</v>
      </c>
      <c r="E2684" s="2">
        <v>6.3831018518518523E-2</v>
      </c>
      <c r="F2684">
        <v>91.916666666666671</v>
      </c>
    </row>
    <row r="2685" spans="1:6" x14ac:dyDescent="0.25">
      <c r="A2685" s="1">
        <v>39295</v>
      </c>
      <c r="B2685" t="s">
        <v>24</v>
      </c>
      <c r="C2685" t="s">
        <v>7</v>
      </c>
      <c r="D2685">
        <v>74</v>
      </c>
      <c r="E2685" s="2">
        <v>6.4108796296296303E-2</v>
      </c>
      <c r="F2685">
        <v>92.316666666666663</v>
      </c>
    </row>
    <row r="2686" spans="1:6" x14ac:dyDescent="0.25">
      <c r="A2686" s="1">
        <v>39295</v>
      </c>
      <c r="B2686" t="s">
        <v>24</v>
      </c>
      <c r="C2686" t="s">
        <v>8</v>
      </c>
      <c r="D2686">
        <v>43</v>
      </c>
      <c r="E2686" s="2">
        <v>3.9583333333333331E-2</v>
      </c>
      <c r="F2686">
        <v>57</v>
      </c>
    </row>
    <row r="2687" spans="1:6" x14ac:dyDescent="0.25">
      <c r="A2687" s="1">
        <v>39295</v>
      </c>
      <c r="B2687" t="s">
        <v>24</v>
      </c>
      <c r="C2687" t="s">
        <v>9</v>
      </c>
      <c r="D2687">
        <v>27</v>
      </c>
      <c r="E2687" s="2">
        <v>1.8888888888888889E-2</v>
      </c>
      <c r="F2687">
        <v>27.2</v>
      </c>
    </row>
    <row r="2688" spans="1:6" x14ac:dyDescent="0.25">
      <c r="A2688" s="1">
        <v>39295</v>
      </c>
      <c r="B2688" t="s">
        <v>24</v>
      </c>
      <c r="C2688" t="s">
        <v>10</v>
      </c>
      <c r="D2688">
        <v>5</v>
      </c>
      <c r="E2688" s="2">
        <v>6.9791666666666665E-3</v>
      </c>
      <c r="F2688">
        <v>10.050000000000001</v>
      </c>
    </row>
    <row r="2689" spans="1:6" x14ac:dyDescent="0.25">
      <c r="A2689" s="1">
        <v>39295</v>
      </c>
      <c r="B2689" t="s">
        <v>24</v>
      </c>
      <c r="C2689" t="s">
        <v>11</v>
      </c>
      <c r="D2689">
        <v>36</v>
      </c>
      <c r="E2689" s="2">
        <v>2.1458333333333333E-2</v>
      </c>
      <c r="F2689">
        <v>30.9</v>
      </c>
    </row>
    <row r="2690" spans="1:6" x14ac:dyDescent="0.25">
      <c r="A2690" s="1">
        <v>39326</v>
      </c>
      <c r="B2690" t="s">
        <v>5</v>
      </c>
      <c r="C2690" t="s">
        <v>6</v>
      </c>
      <c r="D2690">
        <v>23</v>
      </c>
      <c r="E2690" s="2">
        <v>1.4618055555555556E-2</v>
      </c>
      <c r="F2690">
        <v>21.05</v>
      </c>
    </row>
    <row r="2691" spans="1:6" x14ac:dyDescent="0.25">
      <c r="A2691" s="1">
        <v>39326</v>
      </c>
      <c r="B2691" t="s">
        <v>5</v>
      </c>
      <c r="C2691" t="s">
        <v>7</v>
      </c>
      <c r="D2691">
        <v>20</v>
      </c>
      <c r="E2691" s="2">
        <v>1.2361111111111111E-2</v>
      </c>
      <c r="F2691">
        <v>17.8</v>
      </c>
    </row>
    <row r="2692" spans="1:6" x14ac:dyDescent="0.25">
      <c r="A2692" s="1">
        <v>39326</v>
      </c>
      <c r="B2692" t="s">
        <v>5</v>
      </c>
      <c r="C2692" t="s">
        <v>8</v>
      </c>
      <c r="D2692">
        <v>13</v>
      </c>
      <c r="E2692" s="2">
        <v>1.443287037037037E-2</v>
      </c>
      <c r="F2692">
        <v>20.783333333333335</v>
      </c>
    </row>
    <row r="2693" spans="1:6" x14ac:dyDescent="0.25">
      <c r="A2693" s="1">
        <v>39326</v>
      </c>
      <c r="B2693" t="s">
        <v>5</v>
      </c>
      <c r="C2693" t="s">
        <v>9</v>
      </c>
      <c r="D2693">
        <v>5</v>
      </c>
      <c r="E2693" s="2">
        <v>2.3958333333333331E-3</v>
      </c>
      <c r="F2693">
        <v>3.45</v>
      </c>
    </row>
    <row r="2694" spans="1:6" x14ac:dyDescent="0.25">
      <c r="A2694" s="1">
        <v>39326</v>
      </c>
      <c r="B2694" t="s">
        <v>5</v>
      </c>
      <c r="C2694" t="s">
        <v>10</v>
      </c>
      <c r="D2694">
        <v>13</v>
      </c>
      <c r="E2694" s="2">
        <v>1.0856481481481481E-2</v>
      </c>
      <c r="F2694">
        <v>15.633333333333333</v>
      </c>
    </row>
    <row r="2695" spans="1:6" x14ac:dyDescent="0.25">
      <c r="A2695" s="1">
        <v>39326</v>
      </c>
      <c r="B2695" t="s">
        <v>5</v>
      </c>
      <c r="C2695" t="s">
        <v>11</v>
      </c>
      <c r="D2695">
        <v>7</v>
      </c>
      <c r="E2695" s="2">
        <v>4.0509259259259257E-3</v>
      </c>
      <c r="F2695">
        <v>5.833333333333333</v>
      </c>
    </row>
    <row r="2696" spans="1:6" x14ac:dyDescent="0.25">
      <c r="A2696" s="1">
        <v>39326</v>
      </c>
      <c r="B2696" t="s">
        <v>12</v>
      </c>
      <c r="C2696" t="s">
        <v>6</v>
      </c>
      <c r="D2696">
        <v>46</v>
      </c>
      <c r="E2696" s="2">
        <v>5.2824074074074072E-2</v>
      </c>
      <c r="F2696">
        <v>76.066666666666663</v>
      </c>
    </row>
    <row r="2697" spans="1:6" x14ac:dyDescent="0.25">
      <c r="A2697" s="1">
        <v>39326</v>
      </c>
      <c r="B2697" t="s">
        <v>12</v>
      </c>
      <c r="C2697" t="s">
        <v>7</v>
      </c>
      <c r="D2697">
        <v>54</v>
      </c>
      <c r="E2697" s="2">
        <v>7.7916666666666662E-2</v>
      </c>
      <c r="F2697">
        <v>112.2</v>
      </c>
    </row>
    <row r="2698" spans="1:6" x14ac:dyDescent="0.25">
      <c r="A2698" s="1">
        <v>39326</v>
      </c>
      <c r="B2698" t="s">
        <v>12</v>
      </c>
      <c r="C2698" t="s">
        <v>8</v>
      </c>
      <c r="D2698">
        <v>31</v>
      </c>
      <c r="E2698" s="2">
        <v>4.449074074074074E-2</v>
      </c>
      <c r="F2698">
        <v>64.066666666666663</v>
      </c>
    </row>
    <row r="2699" spans="1:6" x14ac:dyDescent="0.25">
      <c r="A2699" s="1">
        <v>39326</v>
      </c>
      <c r="B2699" t="s">
        <v>12</v>
      </c>
      <c r="C2699" t="s">
        <v>9</v>
      </c>
      <c r="D2699">
        <v>18</v>
      </c>
      <c r="E2699" s="2">
        <v>1.4513888888888889E-2</v>
      </c>
      <c r="F2699">
        <v>20.9</v>
      </c>
    </row>
    <row r="2700" spans="1:6" x14ac:dyDescent="0.25">
      <c r="A2700" s="1">
        <v>39326</v>
      </c>
      <c r="B2700" t="s">
        <v>12</v>
      </c>
      <c r="C2700" t="s">
        <v>10</v>
      </c>
      <c r="D2700">
        <v>5</v>
      </c>
      <c r="E2700" s="2">
        <v>2.3495370370370371E-3</v>
      </c>
      <c r="F2700">
        <v>3.3833333333333333</v>
      </c>
    </row>
    <row r="2701" spans="1:6" x14ac:dyDescent="0.25">
      <c r="A2701" s="1">
        <v>39326</v>
      </c>
      <c r="B2701" t="s">
        <v>12</v>
      </c>
      <c r="C2701" t="s">
        <v>11</v>
      </c>
      <c r="D2701">
        <v>26</v>
      </c>
      <c r="E2701" s="2">
        <v>2.4432870370370369E-2</v>
      </c>
      <c r="F2701">
        <v>35.18333333333333</v>
      </c>
    </row>
    <row r="2702" spans="1:6" x14ac:dyDescent="0.25">
      <c r="A2702" s="1">
        <v>39326</v>
      </c>
      <c r="B2702" t="s">
        <v>13</v>
      </c>
      <c r="C2702" t="s">
        <v>6</v>
      </c>
      <c r="D2702">
        <v>52</v>
      </c>
      <c r="E2702" s="2">
        <v>5.3449074074074072E-2</v>
      </c>
      <c r="F2702">
        <v>76.966666666666669</v>
      </c>
    </row>
    <row r="2703" spans="1:6" x14ac:dyDescent="0.25">
      <c r="A2703" s="1">
        <v>39326</v>
      </c>
      <c r="B2703" t="s">
        <v>13</v>
      </c>
      <c r="C2703" t="s">
        <v>7</v>
      </c>
      <c r="D2703">
        <v>45</v>
      </c>
      <c r="E2703" s="2">
        <v>4.9988425925925929E-2</v>
      </c>
      <c r="F2703">
        <v>71.983333333333334</v>
      </c>
    </row>
    <row r="2704" spans="1:6" x14ac:dyDescent="0.25">
      <c r="A2704" s="1">
        <v>39326</v>
      </c>
      <c r="B2704" t="s">
        <v>13</v>
      </c>
      <c r="C2704" t="s">
        <v>8</v>
      </c>
      <c r="D2704">
        <v>29</v>
      </c>
      <c r="E2704" s="2">
        <v>4.2858796296296298E-2</v>
      </c>
      <c r="F2704">
        <v>61.716666666666669</v>
      </c>
    </row>
    <row r="2705" spans="1:6" x14ac:dyDescent="0.25">
      <c r="A2705" s="1">
        <v>39326</v>
      </c>
      <c r="B2705" t="s">
        <v>13</v>
      </c>
      <c r="C2705" t="s">
        <v>9</v>
      </c>
      <c r="D2705">
        <v>23</v>
      </c>
      <c r="E2705" s="2">
        <v>1.7453703703703704E-2</v>
      </c>
      <c r="F2705">
        <v>25.133333333333333</v>
      </c>
    </row>
    <row r="2706" spans="1:6" x14ac:dyDescent="0.25">
      <c r="A2706" s="1">
        <v>39326</v>
      </c>
      <c r="B2706" t="s">
        <v>13</v>
      </c>
      <c r="C2706" t="s">
        <v>10</v>
      </c>
      <c r="D2706">
        <v>20</v>
      </c>
      <c r="E2706" s="2">
        <v>2.0775462962962964E-2</v>
      </c>
      <c r="F2706">
        <v>29.916666666666668</v>
      </c>
    </row>
    <row r="2707" spans="1:6" x14ac:dyDescent="0.25">
      <c r="A2707" s="1">
        <v>39326</v>
      </c>
      <c r="B2707" t="s">
        <v>13</v>
      </c>
      <c r="C2707" t="s">
        <v>11</v>
      </c>
      <c r="D2707">
        <v>11</v>
      </c>
      <c r="E2707" s="2">
        <v>1.0266203703703704E-2</v>
      </c>
      <c r="F2707">
        <v>14.783333333333333</v>
      </c>
    </row>
    <row r="2708" spans="1:6" x14ac:dyDescent="0.25">
      <c r="A2708" s="1">
        <v>39326</v>
      </c>
      <c r="B2708" t="s">
        <v>14</v>
      </c>
      <c r="C2708" t="s">
        <v>6</v>
      </c>
      <c r="D2708">
        <v>21</v>
      </c>
      <c r="E2708" s="2">
        <v>2.4780092592592593E-2</v>
      </c>
      <c r="F2708">
        <v>35.68333333333333</v>
      </c>
    </row>
    <row r="2709" spans="1:6" x14ac:dyDescent="0.25">
      <c r="A2709" s="1">
        <v>39326</v>
      </c>
      <c r="B2709" t="s">
        <v>14</v>
      </c>
      <c r="C2709" t="s">
        <v>7</v>
      </c>
      <c r="D2709">
        <v>27</v>
      </c>
      <c r="E2709" s="2">
        <v>3.5300925925925923E-2</v>
      </c>
      <c r="F2709">
        <v>50.833333333333336</v>
      </c>
    </row>
    <row r="2710" spans="1:6" x14ac:dyDescent="0.25">
      <c r="A2710" s="1">
        <v>39326</v>
      </c>
      <c r="B2710" t="s">
        <v>14</v>
      </c>
      <c r="C2710" t="s">
        <v>8</v>
      </c>
      <c r="D2710">
        <v>11</v>
      </c>
      <c r="E2710" s="2">
        <v>1.7233796296296296E-2</v>
      </c>
      <c r="F2710">
        <v>24.816666666666666</v>
      </c>
    </row>
    <row r="2711" spans="1:6" x14ac:dyDescent="0.25">
      <c r="A2711" s="1">
        <v>39326</v>
      </c>
      <c r="B2711" t="s">
        <v>14</v>
      </c>
      <c r="C2711" t="s">
        <v>9</v>
      </c>
      <c r="D2711">
        <v>7</v>
      </c>
      <c r="E2711" s="2">
        <v>6.0069444444444441E-3</v>
      </c>
      <c r="F2711">
        <v>8.65</v>
      </c>
    </row>
    <row r="2712" spans="1:6" x14ac:dyDescent="0.25">
      <c r="A2712" s="1">
        <v>39326</v>
      </c>
      <c r="B2712" t="s">
        <v>14</v>
      </c>
      <c r="C2712" t="s">
        <v>10</v>
      </c>
      <c r="D2712">
        <v>4</v>
      </c>
      <c r="E2712" s="2">
        <v>5.4050925925925924E-3</v>
      </c>
      <c r="F2712">
        <v>7.7833333333333332</v>
      </c>
    </row>
    <row r="2713" spans="1:6" x14ac:dyDescent="0.25">
      <c r="A2713" s="1">
        <v>39326</v>
      </c>
      <c r="B2713" t="s">
        <v>14</v>
      </c>
      <c r="C2713" t="s">
        <v>11</v>
      </c>
      <c r="D2713">
        <v>6</v>
      </c>
      <c r="E2713" s="2">
        <v>5.9375000000000001E-3</v>
      </c>
      <c r="F2713">
        <v>8.5500000000000007</v>
      </c>
    </row>
    <row r="2714" spans="1:6" x14ac:dyDescent="0.25">
      <c r="A2714" s="1">
        <v>39326</v>
      </c>
      <c r="B2714" t="s">
        <v>15</v>
      </c>
      <c r="C2714" t="s">
        <v>6</v>
      </c>
      <c r="D2714">
        <v>34</v>
      </c>
      <c r="E2714" s="2">
        <v>3.4027777777777775E-2</v>
      </c>
      <c r="F2714">
        <v>49</v>
      </c>
    </row>
    <row r="2715" spans="1:6" x14ac:dyDescent="0.25">
      <c r="A2715" s="1">
        <v>39326</v>
      </c>
      <c r="B2715" t="s">
        <v>15</v>
      </c>
      <c r="C2715" t="s">
        <v>7</v>
      </c>
      <c r="D2715">
        <v>28</v>
      </c>
      <c r="E2715" s="2">
        <v>2.7858796296296295E-2</v>
      </c>
      <c r="F2715">
        <v>40.116666666666667</v>
      </c>
    </row>
    <row r="2716" spans="1:6" x14ac:dyDescent="0.25">
      <c r="A2716" s="1">
        <v>39326</v>
      </c>
      <c r="B2716" t="s">
        <v>15</v>
      </c>
      <c r="C2716" t="s">
        <v>8</v>
      </c>
      <c r="D2716">
        <v>5</v>
      </c>
      <c r="E2716" s="2">
        <v>6.2962962962962964E-3</v>
      </c>
      <c r="F2716">
        <v>9.0666666666666664</v>
      </c>
    </row>
    <row r="2717" spans="1:6" x14ac:dyDescent="0.25">
      <c r="A2717" s="1">
        <v>39326</v>
      </c>
      <c r="B2717" t="s">
        <v>15</v>
      </c>
      <c r="C2717" t="s">
        <v>9</v>
      </c>
      <c r="D2717">
        <v>5</v>
      </c>
      <c r="E2717" s="2">
        <v>3.9236111111111112E-3</v>
      </c>
      <c r="F2717">
        <v>5.65</v>
      </c>
    </row>
    <row r="2718" spans="1:6" x14ac:dyDescent="0.25">
      <c r="A2718" s="1">
        <v>39326</v>
      </c>
      <c r="B2718" t="s">
        <v>15</v>
      </c>
      <c r="C2718" t="s">
        <v>10</v>
      </c>
      <c r="D2718">
        <v>16</v>
      </c>
      <c r="E2718" s="2">
        <v>1.3784722222222223E-2</v>
      </c>
      <c r="F2718">
        <v>19.850000000000001</v>
      </c>
    </row>
    <row r="2719" spans="1:6" x14ac:dyDescent="0.25">
      <c r="A2719" s="1">
        <v>39326</v>
      </c>
      <c r="B2719" t="s">
        <v>15</v>
      </c>
      <c r="C2719" t="s">
        <v>11</v>
      </c>
      <c r="D2719">
        <v>4</v>
      </c>
      <c r="E2719" s="2">
        <v>4.178240740740741E-3</v>
      </c>
      <c r="F2719">
        <v>6.0166666666666666</v>
      </c>
    </row>
    <row r="2720" spans="1:6" x14ac:dyDescent="0.25">
      <c r="A2720" s="1">
        <v>39326</v>
      </c>
      <c r="B2720" t="s">
        <v>16</v>
      </c>
      <c r="C2720" t="s">
        <v>6</v>
      </c>
      <c r="D2720">
        <v>26</v>
      </c>
      <c r="E2720" s="2">
        <v>2.119212962962963E-2</v>
      </c>
      <c r="F2720">
        <v>30.516666666666666</v>
      </c>
    </row>
    <row r="2721" spans="1:6" x14ac:dyDescent="0.25">
      <c r="A2721" s="1">
        <v>39326</v>
      </c>
      <c r="B2721" t="s">
        <v>16</v>
      </c>
      <c r="C2721" t="s">
        <v>7</v>
      </c>
      <c r="D2721">
        <v>28</v>
      </c>
      <c r="E2721" s="2">
        <v>2.8159722222222221E-2</v>
      </c>
      <c r="F2721">
        <v>40.549999999999997</v>
      </c>
    </row>
    <row r="2722" spans="1:6" x14ac:dyDescent="0.25">
      <c r="A2722" s="1">
        <v>39326</v>
      </c>
      <c r="B2722" t="s">
        <v>16</v>
      </c>
      <c r="C2722" t="s">
        <v>8</v>
      </c>
      <c r="D2722">
        <v>12</v>
      </c>
      <c r="E2722" s="2">
        <v>1.2719907407407407E-2</v>
      </c>
      <c r="F2722">
        <v>18.316666666666666</v>
      </c>
    </row>
    <row r="2723" spans="1:6" x14ac:dyDescent="0.25">
      <c r="A2723" s="1">
        <v>39326</v>
      </c>
      <c r="B2723" t="s">
        <v>16</v>
      </c>
      <c r="C2723" t="s">
        <v>9</v>
      </c>
      <c r="D2723">
        <v>12</v>
      </c>
      <c r="E2723" s="2">
        <v>6.2962962962962964E-3</v>
      </c>
      <c r="F2723">
        <v>9.0666666666666664</v>
      </c>
    </row>
    <row r="2724" spans="1:6" x14ac:dyDescent="0.25">
      <c r="A2724" s="1">
        <v>39326</v>
      </c>
      <c r="B2724" t="s">
        <v>16</v>
      </c>
      <c r="C2724" t="s">
        <v>10</v>
      </c>
      <c r="D2724">
        <v>4</v>
      </c>
      <c r="E2724" s="2">
        <v>3.5300925925925925E-3</v>
      </c>
      <c r="F2724">
        <v>5.083333333333333</v>
      </c>
    </row>
    <row r="2725" spans="1:6" x14ac:dyDescent="0.25">
      <c r="A2725" s="1">
        <v>39326</v>
      </c>
      <c r="B2725" t="s">
        <v>16</v>
      </c>
      <c r="C2725" t="s">
        <v>11</v>
      </c>
      <c r="D2725">
        <v>25</v>
      </c>
      <c r="E2725" s="2">
        <v>1.8761574074074073E-2</v>
      </c>
      <c r="F2725">
        <v>27.016666666666666</v>
      </c>
    </row>
    <row r="2726" spans="1:6" x14ac:dyDescent="0.25">
      <c r="A2726" s="1">
        <v>39326</v>
      </c>
      <c r="B2726" t="s">
        <v>17</v>
      </c>
      <c r="C2726" t="s">
        <v>6</v>
      </c>
      <c r="D2726">
        <v>12</v>
      </c>
      <c r="E2726" s="2">
        <v>1.2233796296296296E-2</v>
      </c>
      <c r="F2726">
        <v>17.616666666666667</v>
      </c>
    </row>
    <row r="2727" spans="1:6" x14ac:dyDescent="0.25">
      <c r="A2727" s="1">
        <v>39326</v>
      </c>
      <c r="B2727" t="s">
        <v>17</v>
      </c>
      <c r="C2727" t="s">
        <v>7</v>
      </c>
      <c r="D2727">
        <v>11</v>
      </c>
      <c r="E2727" s="2">
        <v>1.3125E-2</v>
      </c>
      <c r="F2727">
        <v>18.899999999999999</v>
      </c>
    </row>
    <row r="2728" spans="1:6" x14ac:dyDescent="0.25">
      <c r="A2728" s="1">
        <v>39326</v>
      </c>
      <c r="B2728" t="s">
        <v>17</v>
      </c>
      <c r="C2728" t="s">
        <v>8</v>
      </c>
      <c r="D2728">
        <v>10</v>
      </c>
      <c r="E2728" s="2">
        <v>1.4143518518518519E-2</v>
      </c>
      <c r="F2728">
        <v>20.366666666666667</v>
      </c>
    </row>
    <row r="2729" spans="1:6" x14ac:dyDescent="0.25">
      <c r="A2729" s="1">
        <v>39326</v>
      </c>
      <c r="B2729" t="s">
        <v>17</v>
      </c>
      <c r="C2729" t="s">
        <v>9</v>
      </c>
      <c r="D2729">
        <v>6</v>
      </c>
      <c r="E2729" s="2">
        <v>4.0162037037037041E-3</v>
      </c>
      <c r="F2729">
        <v>5.7833333333333332</v>
      </c>
    </row>
    <row r="2730" spans="1:6" x14ac:dyDescent="0.25">
      <c r="A2730" s="1">
        <v>39326</v>
      </c>
      <c r="B2730" t="s">
        <v>17</v>
      </c>
      <c r="C2730" t="s">
        <v>10</v>
      </c>
      <c r="D2730">
        <v>3</v>
      </c>
      <c r="E2730" s="2">
        <v>2.1527777777777778E-3</v>
      </c>
      <c r="F2730">
        <v>3.1</v>
      </c>
    </row>
    <row r="2731" spans="1:6" x14ac:dyDescent="0.25">
      <c r="A2731" s="1">
        <v>39326</v>
      </c>
      <c r="B2731" t="s">
        <v>17</v>
      </c>
      <c r="C2731" t="s">
        <v>11</v>
      </c>
      <c r="D2731">
        <v>6</v>
      </c>
      <c r="E2731" s="2">
        <v>5.0231481481481481E-3</v>
      </c>
      <c r="F2731">
        <v>7.2333333333333334</v>
      </c>
    </row>
    <row r="2732" spans="1:6" x14ac:dyDescent="0.25">
      <c r="A2732" s="1">
        <v>39326</v>
      </c>
      <c r="B2732" t="s">
        <v>18</v>
      </c>
      <c r="C2732" t="s">
        <v>6</v>
      </c>
      <c r="D2732">
        <v>78</v>
      </c>
      <c r="E2732" s="2">
        <v>6.8101851851851858E-2</v>
      </c>
      <c r="F2732">
        <v>98.066666666666663</v>
      </c>
    </row>
    <row r="2733" spans="1:6" x14ac:dyDescent="0.25">
      <c r="A2733" s="1">
        <v>39326</v>
      </c>
      <c r="B2733" t="s">
        <v>18</v>
      </c>
      <c r="C2733" t="s">
        <v>7</v>
      </c>
      <c r="D2733">
        <v>78</v>
      </c>
      <c r="E2733" s="2">
        <v>7.3321759259259253E-2</v>
      </c>
      <c r="F2733">
        <v>105.58333333333333</v>
      </c>
    </row>
    <row r="2734" spans="1:6" x14ac:dyDescent="0.25">
      <c r="A2734" s="1">
        <v>39326</v>
      </c>
      <c r="B2734" t="s">
        <v>18</v>
      </c>
      <c r="C2734" t="s">
        <v>8</v>
      </c>
      <c r="D2734">
        <v>37</v>
      </c>
      <c r="E2734" s="2">
        <v>4.6099537037037036E-2</v>
      </c>
      <c r="F2734">
        <v>66.38333333333334</v>
      </c>
    </row>
    <row r="2735" spans="1:6" x14ac:dyDescent="0.25">
      <c r="A2735" s="1">
        <v>39326</v>
      </c>
      <c r="B2735" t="s">
        <v>18</v>
      </c>
      <c r="C2735" t="s">
        <v>9</v>
      </c>
      <c r="D2735">
        <v>52</v>
      </c>
      <c r="E2735" s="2">
        <v>3.7812499999999999E-2</v>
      </c>
      <c r="F2735">
        <v>54.45</v>
      </c>
    </row>
    <row r="2736" spans="1:6" x14ac:dyDescent="0.25">
      <c r="A2736" s="1">
        <v>39326</v>
      </c>
      <c r="B2736" t="s">
        <v>18</v>
      </c>
      <c r="C2736" t="s">
        <v>10</v>
      </c>
      <c r="D2736">
        <v>135</v>
      </c>
      <c r="E2736" s="2">
        <v>0.1197337962962963</v>
      </c>
      <c r="F2736">
        <v>172.41666666666666</v>
      </c>
    </row>
    <row r="2737" spans="1:6" x14ac:dyDescent="0.25">
      <c r="A2737" s="1">
        <v>39326</v>
      </c>
      <c r="B2737" t="s">
        <v>18</v>
      </c>
      <c r="C2737" t="s">
        <v>11</v>
      </c>
      <c r="D2737">
        <v>23</v>
      </c>
      <c r="E2737" s="2">
        <v>1.292824074074074E-2</v>
      </c>
      <c r="F2737">
        <v>18.616666666666667</v>
      </c>
    </row>
    <row r="2738" spans="1:6" x14ac:dyDescent="0.25">
      <c r="A2738" s="1">
        <v>39326</v>
      </c>
      <c r="B2738" t="s">
        <v>19</v>
      </c>
      <c r="C2738" t="s">
        <v>6</v>
      </c>
      <c r="D2738">
        <v>39</v>
      </c>
      <c r="E2738" s="2">
        <v>3.3275462962962965E-2</v>
      </c>
      <c r="F2738">
        <v>47.916666666666664</v>
      </c>
    </row>
    <row r="2739" spans="1:6" x14ac:dyDescent="0.25">
      <c r="A2739" s="1">
        <v>39326</v>
      </c>
      <c r="B2739" t="s">
        <v>19</v>
      </c>
      <c r="C2739" t="s">
        <v>7</v>
      </c>
      <c r="D2739">
        <v>30</v>
      </c>
      <c r="E2739" s="2">
        <v>2.4479166666666666E-2</v>
      </c>
      <c r="F2739">
        <v>35.25</v>
      </c>
    </row>
    <row r="2740" spans="1:6" x14ac:dyDescent="0.25">
      <c r="A2740" s="1">
        <v>39326</v>
      </c>
      <c r="B2740" t="s">
        <v>19</v>
      </c>
      <c r="C2740" t="s">
        <v>8</v>
      </c>
      <c r="D2740">
        <v>25</v>
      </c>
      <c r="E2740" s="2">
        <v>3.0763888888888889E-2</v>
      </c>
      <c r="F2740">
        <v>44.3</v>
      </c>
    </row>
    <row r="2741" spans="1:6" x14ac:dyDescent="0.25">
      <c r="A2741" s="1">
        <v>39326</v>
      </c>
      <c r="B2741" t="s">
        <v>19</v>
      </c>
      <c r="C2741" t="s">
        <v>9</v>
      </c>
      <c r="D2741">
        <v>35</v>
      </c>
      <c r="E2741" s="2">
        <v>2.5787037037037035E-2</v>
      </c>
      <c r="F2741">
        <v>37.133333333333333</v>
      </c>
    </row>
    <row r="2742" spans="1:6" x14ac:dyDescent="0.25">
      <c r="A2742" s="1">
        <v>39326</v>
      </c>
      <c r="B2742" t="s">
        <v>19</v>
      </c>
      <c r="C2742" t="s">
        <v>10</v>
      </c>
      <c r="D2742">
        <v>13</v>
      </c>
      <c r="E2742" s="2">
        <v>7.951388888888888E-3</v>
      </c>
      <c r="F2742">
        <v>11.45</v>
      </c>
    </row>
    <row r="2743" spans="1:6" x14ac:dyDescent="0.25">
      <c r="A2743" s="1">
        <v>39326</v>
      </c>
      <c r="B2743" t="s">
        <v>19</v>
      </c>
      <c r="C2743" t="s">
        <v>11</v>
      </c>
      <c r="D2743">
        <v>22</v>
      </c>
      <c r="E2743" s="2">
        <v>1.6932870370370369E-2</v>
      </c>
      <c r="F2743">
        <v>24.383333333333333</v>
      </c>
    </row>
    <row r="2744" spans="1:6" x14ac:dyDescent="0.25">
      <c r="A2744" s="1">
        <v>39326</v>
      </c>
      <c r="B2744" t="s">
        <v>20</v>
      </c>
      <c r="C2744" t="s">
        <v>6</v>
      </c>
      <c r="D2744">
        <v>55</v>
      </c>
      <c r="E2744" s="2">
        <v>4.6666666666666669E-2</v>
      </c>
      <c r="F2744">
        <v>67.2</v>
      </c>
    </row>
    <row r="2745" spans="1:6" x14ac:dyDescent="0.25">
      <c r="A2745" s="1">
        <v>39326</v>
      </c>
      <c r="B2745" t="s">
        <v>20</v>
      </c>
      <c r="C2745" t="s">
        <v>7</v>
      </c>
      <c r="D2745">
        <v>42</v>
      </c>
      <c r="E2745" s="2">
        <v>7.5069444444444439E-2</v>
      </c>
      <c r="F2745">
        <v>108.1</v>
      </c>
    </row>
    <row r="2746" spans="1:6" x14ac:dyDescent="0.25">
      <c r="A2746" s="1">
        <v>39326</v>
      </c>
      <c r="B2746" t="s">
        <v>20</v>
      </c>
      <c r="C2746" t="s">
        <v>8</v>
      </c>
      <c r="D2746">
        <v>40</v>
      </c>
      <c r="E2746" s="2">
        <v>5.3159722222222219E-2</v>
      </c>
      <c r="F2746">
        <v>76.55</v>
      </c>
    </row>
    <row r="2747" spans="1:6" x14ac:dyDescent="0.25">
      <c r="A2747" s="1">
        <v>39326</v>
      </c>
      <c r="B2747" t="s">
        <v>20</v>
      </c>
      <c r="C2747" t="s">
        <v>9</v>
      </c>
      <c r="D2747">
        <v>23</v>
      </c>
      <c r="E2747" s="2">
        <v>2.0625000000000001E-2</v>
      </c>
      <c r="F2747">
        <v>29.7</v>
      </c>
    </row>
    <row r="2748" spans="1:6" x14ac:dyDescent="0.25">
      <c r="A2748" s="1">
        <v>39326</v>
      </c>
      <c r="B2748" t="s">
        <v>20</v>
      </c>
      <c r="C2748" t="s">
        <v>10</v>
      </c>
      <c r="D2748">
        <v>14</v>
      </c>
      <c r="E2748" s="2">
        <v>1.2013888888888888E-2</v>
      </c>
      <c r="F2748">
        <v>17.3</v>
      </c>
    </row>
    <row r="2749" spans="1:6" x14ac:dyDescent="0.25">
      <c r="A2749" s="1">
        <v>39326</v>
      </c>
      <c r="B2749" t="s">
        <v>20</v>
      </c>
      <c r="C2749" t="s">
        <v>11</v>
      </c>
      <c r="D2749">
        <v>23</v>
      </c>
      <c r="E2749" s="2">
        <v>1.9965277777777776E-2</v>
      </c>
      <c r="F2749">
        <v>28.75</v>
      </c>
    </row>
    <row r="2750" spans="1:6" x14ac:dyDescent="0.25">
      <c r="A2750" s="1">
        <v>39326</v>
      </c>
      <c r="B2750" t="s">
        <v>21</v>
      </c>
      <c r="C2750" t="s">
        <v>6</v>
      </c>
      <c r="D2750">
        <v>25</v>
      </c>
      <c r="E2750" s="2">
        <v>2.4108796296296295E-2</v>
      </c>
      <c r="F2750">
        <v>34.716666666666669</v>
      </c>
    </row>
    <row r="2751" spans="1:6" x14ac:dyDescent="0.25">
      <c r="A2751" s="1">
        <v>39326</v>
      </c>
      <c r="B2751" t="s">
        <v>21</v>
      </c>
      <c r="C2751" t="s">
        <v>7</v>
      </c>
      <c r="D2751">
        <v>21</v>
      </c>
      <c r="E2751" s="2">
        <v>2.2627314814814815E-2</v>
      </c>
      <c r="F2751">
        <v>32.583333333333336</v>
      </c>
    </row>
    <row r="2752" spans="1:6" x14ac:dyDescent="0.25">
      <c r="A2752" s="1">
        <v>39326</v>
      </c>
      <c r="B2752" t="s">
        <v>21</v>
      </c>
      <c r="C2752" t="s">
        <v>8</v>
      </c>
      <c r="D2752">
        <v>19</v>
      </c>
      <c r="E2752" s="2">
        <v>2.8506944444444446E-2</v>
      </c>
      <c r="F2752">
        <v>41.05</v>
      </c>
    </row>
    <row r="2753" spans="1:6" x14ac:dyDescent="0.25">
      <c r="A2753" s="1">
        <v>39326</v>
      </c>
      <c r="B2753" t="s">
        <v>21</v>
      </c>
      <c r="C2753" t="s">
        <v>9</v>
      </c>
      <c r="D2753">
        <v>7</v>
      </c>
      <c r="E2753" s="2">
        <v>3.1712962962962962E-3</v>
      </c>
      <c r="F2753">
        <v>4.5666666666666664</v>
      </c>
    </row>
    <row r="2754" spans="1:6" x14ac:dyDescent="0.25">
      <c r="A2754" s="1">
        <v>39326</v>
      </c>
      <c r="B2754" t="s">
        <v>21</v>
      </c>
      <c r="C2754" t="s">
        <v>10</v>
      </c>
      <c r="D2754">
        <v>2</v>
      </c>
      <c r="E2754" s="2">
        <v>1.7013888888888888E-3</v>
      </c>
      <c r="F2754">
        <v>2.4500000000000002</v>
      </c>
    </row>
    <row r="2755" spans="1:6" x14ac:dyDescent="0.25">
      <c r="A2755" s="1">
        <v>39326</v>
      </c>
      <c r="B2755" t="s">
        <v>21</v>
      </c>
      <c r="C2755" t="s">
        <v>11</v>
      </c>
      <c r="D2755">
        <v>8</v>
      </c>
      <c r="E2755" s="2">
        <v>6.2962962962962964E-3</v>
      </c>
      <c r="F2755">
        <v>9.0666666666666664</v>
      </c>
    </row>
    <row r="2756" spans="1:6" x14ac:dyDescent="0.25">
      <c r="A2756" s="1">
        <v>39326</v>
      </c>
      <c r="B2756" t="s">
        <v>22</v>
      </c>
      <c r="C2756" t="s">
        <v>6</v>
      </c>
      <c r="D2756">
        <v>17</v>
      </c>
      <c r="E2756" s="2">
        <v>1.6111111111111111E-2</v>
      </c>
      <c r="F2756">
        <v>23.2</v>
      </c>
    </row>
    <row r="2757" spans="1:6" x14ac:dyDescent="0.25">
      <c r="A2757" s="1">
        <v>39326</v>
      </c>
      <c r="B2757" t="s">
        <v>22</v>
      </c>
      <c r="C2757" t="s">
        <v>7</v>
      </c>
      <c r="D2757">
        <v>11</v>
      </c>
      <c r="E2757" s="2">
        <v>1.53125E-2</v>
      </c>
      <c r="F2757">
        <v>22.05</v>
      </c>
    </row>
    <row r="2758" spans="1:6" x14ac:dyDescent="0.25">
      <c r="A2758" s="1">
        <v>39326</v>
      </c>
      <c r="B2758" t="s">
        <v>22</v>
      </c>
      <c r="C2758" t="s">
        <v>8</v>
      </c>
      <c r="D2758">
        <v>2</v>
      </c>
      <c r="E2758" s="2">
        <v>3.5532407407407409E-3</v>
      </c>
      <c r="F2758">
        <v>5.1166666666666663</v>
      </c>
    </row>
    <row r="2759" spans="1:6" x14ac:dyDescent="0.25">
      <c r="A2759" s="1">
        <v>39326</v>
      </c>
      <c r="B2759" t="s">
        <v>22</v>
      </c>
      <c r="C2759" t="s">
        <v>9</v>
      </c>
      <c r="D2759">
        <v>4</v>
      </c>
      <c r="E2759" s="2">
        <v>2.4189814814814816E-3</v>
      </c>
      <c r="F2759">
        <v>3.4833333333333334</v>
      </c>
    </row>
    <row r="2760" spans="1:6" x14ac:dyDescent="0.25">
      <c r="A2760" s="1">
        <v>39326</v>
      </c>
      <c r="B2760" t="s">
        <v>22</v>
      </c>
      <c r="C2760" t="s">
        <v>10</v>
      </c>
      <c r="D2760">
        <v>1</v>
      </c>
      <c r="E2760" s="2">
        <v>2.3148148148148149E-4</v>
      </c>
      <c r="F2760">
        <v>0.33333333333333331</v>
      </c>
    </row>
    <row r="2761" spans="1:6" x14ac:dyDescent="0.25">
      <c r="A2761" s="1">
        <v>39326</v>
      </c>
      <c r="B2761" t="s">
        <v>22</v>
      </c>
      <c r="C2761" t="s">
        <v>11</v>
      </c>
      <c r="D2761">
        <v>4</v>
      </c>
      <c r="E2761" s="2">
        <v>3.8194444444444443E-3</v>
      </c>
      <c r="F2761">
        <v>5.5</v>
      </c>
    </row>
    <row r="2762" spans="1:6" x14ac:dyDescent="0.25">
      <c r="A2762" s="1">
        <v>39326</v>
      </c>
      <c r="B2762" t="s">
        <v>23</v>
      </c>
      <c r="C2762" t="s">
        <v>6</v>
      </c>
      <c r="D2762">
        <v>123</v>
      </c>
      <c r="E2762" s="2">
        <v>0.14486111111111111</v>
      </c>
      <c r="F2762">
        <v>208.6</v>
      </c>
    </row>
    <row r="2763" spans="1:6" x14ac:dyDescent="0.25">
      <c r="A2763" s="1">
        <v>39326</v>
      </c>
      <c r="B2763" t="s">
        <v>23</v>
      </c>
      <c r="C2763" t="s">
        <v>7</v>
      </c>
      <c r="D2763">
        <v>133</v>
      </c>
      <c r="E2763" s="2">
        <v>0.14962962962962964</v>
      </c>
      <c r="F2763">
        <v>215.46666666666667</v>
      </c>
    </row>
    <row r="2764" spans="1:6" x14ac:dyDescent="0.25">
      <c r="A2764" s="1">
        <v>39326</v>
      </c>
      <c r="B2764" t="s">
        <v>23</v>
      </c>
      <c r="C2764" t="s">
        <v>8</v>
      </c>
      <c r="D2764">
        <v>70</v>
      </c>
      <c r="E2764" s="2">
        <v>9.2141203703703697E-2</v>
      </c>
      <c r="F2764">
        <v>132.68333333333334</v>
      </c>
    </row>
    <row r="2765" spans="1:6" x14ac:dyDescent="0.25">
      <c r="A2765" s="1">
        <v>39326</v>
      </c>
      <c r="B2765" t="s">
        <v>23</v>
      </c>
      <c r="C2765" t="s">
        <v>9</v>
      </c>
      <c r="D2765">
        <v>52</v>
      </c>
      <c r="E2765" s="2">
        <v>3.4155092592592591E-2</v>
      </c>
      <c r="F2765">
        <v>49.18333333333333</v>
      </c>
    </row>
    <row r="2766" spans="1:6" x14ac:dyDescent="0.25">
      <c r="A2766" s="1">
        <v>39326</v>
      </c>
      <c r="B2766" t="s">
        <v>23</v>
      </c>
      <c r="C2766" t="s">
        <v>10</v>
      </c>
      <c r="D2766">
        <v>41</v>
      </c>
      <c r="E2766" s="2">
        <v>4.4166666666666667E-2</v>
      </c>
      <c r="F2766">
        <v>63.6</v>
      </c>
    </row>
    <row r="2767" spans="1:6" x14ac:dyDescent="0.25">
      <c r="A2767" s="1">
        <v>39326</v>
      </c>
      <c r="B2767" t="s">
        <v>23</v>
      </c>
      <c r="C2767" t="s">
        <v>11</v>
      </c>
      <c r="D2767">
        <v>38</v>
      </c>
      <c r="E2767" s="2">
        <v>3.2384259259259258E-2</v>
      </c>
      <c r="F2767">
        <v>46.633333333333333</v>
      </c>
    </row>
    <row r="2768" spans="1:6" x14ac:dyDescent="0.25">
      <c r="A2768" s="1">
        <v>39326</v>
      </c>
      <c r="B2768" t="s">
        <v>24</v>
      </c>
      <c r="C2768" t="s">
        <v>6</v>
      </c>
      <c r="D2768">
        <v>131</v>
      </c>
      <c r="E2768" s="2">
        <v>0.10002314814814815</v>
      </c>
      <c r="F2768">
        <v>144.03333333333333</v>
      </c>
    </row>
    <row r="2769" spans="1:6" x14ac:dyDescent="0.25">
      <c r="A2769" s="1">
        <v>39326</v>
      </c>
      <c r="B2769" t="s">
        <v>24</v>
      </c>
      <c r="C2769" t="s">
        <v>7</v>
      </c>
      <c r="D2769">
        <v>78</v>
      </c>
      <c r="E2769" s="2">
        <v>5.6759259259259259E-2</v>
      </c>
      <c r="F2769">
        <v>81.733333333333334</v>
      </c>
    </row>
    <row r="2770" spans="1:6" x14ac:dyDescent="0.25">
      <c r="A2770" s="1">
        <v>39326</v>
      </c>
      <c r="B2770" t="s">
        <v>24</v>
      </c>
      <c r="C2770" t="s">
        <v>8</v>
      </c>
      <c r="D2770">
        <v>47</v>
      </c>
      <c r="E2770" s="2">
        <v>5.0752314814814813E-2</v>
      </c>
      <c r="F2770">
        <v>73.083333333333329</v>
      </c>
    </row>
    <row r="2771" spans="1:6" x14ac:dyDescent="0.25">
      <c r="A2771" s="1">
        <v>39326</v>
      </c>
      <c r="B2771" t="s">
        <v>24</v>
      </c>
      <c r="C2771" t="s">
        <v>9</v>
      </c>
      <c r="D2771">
        <v>14</v>
      </c>
      <c r="E2771" s="2">
        <v>1.0902777777777779E-2</v>
      </c>
      <c r="F2771">
        <v>15.7</v>
      </c>
    </row>
    <row r="2772" spans="1:6" x14ac:dyDescent="0.25">
      <c r="A2772" s="1">
        <v>39326</v>
      </c>
      <c r="B2772" t="s">
        <v>24</v>
      </c>
      <c r="C2772" t="s">
        <v>10</v>
      </c>
      <c r="D2772">
        <v>9</v>
      </c>
      <c r="E2772" s="2">
        <v>1.0925925925925926E-2</v>
      </c>
      <c r="F2772">
        <v>15.733333333333333</v>
      </c>
    </row>
    <row r="2773" spans="1:6" x14ac:dyDescent="0.25">
      <c r="A2773" s="1">
        <v>39326</v>
      </c>
      <c r="B2773" t="s">
        <v>24</v>
      </c>
      <c r="C2773" t="s">
        <v>11</v>
      </c>
      <c r="D2773">
        <v>39</v>
      </c>
      <c r="E2773" s="2">
        <v>3.2800925925925928E-2</v>
      </c>
      <c r="F2773">
        <v>47.233333333333334</v>
      </c>
    </row>
    <row r="2774" spans="1:6" x14ac:dyDescent="0.25">
      <c r="A2774" s="1">
        <v>39356</v>
      </c>
      <c r="B2774" t="s">
        <v>5</v>
      </c>
      <c r="C2774" t="s">
        <v>6</v>
      </c>
      <c r="D2774">
        <v>37</v>
      </c>
      <c r="E2774" s="2">
        <v>2.3541666666666666E-2</v>
      </c>
      <c r="F2774">
        <v>33.9</v>
      </c>
    </row>
    <row r="2775" spans="1:6" x14ac:dyDescent="0.25">
      <c r="A2775" s="1">
        <v>39356</v>
      </c>
      <c r="B2775" t="s">
        <v>5</v>
      </c>
      <c r="C2775" t="s">
        <v>7</v>
      </c>
      <c r="D2775">
        <v>26</v>
      </c>
      <c r="E2775" s="2">
        <v>1.9178240740740742E-2</v>
      </c>
      <c r="F2775">
        <v>27.616666666666667</v>
      </c>
    </row>
    <row r="2776" spans="1:6" x14ac:dyDescent="0.25">
      <c r="A2776" s="1">
        <v>39356</v>
      </c>
      <c r="B2776" t="s">
        <v>5</v>
      </c>
      <c r="C2776" t="s">
        <v>8</v>
      </c>
      <c r="D2776">
        <v>21</v>
      </c>
      <c r="E2776" s="2">
        <v>1.8738425925925926E-2</v>
      </c>
      <c r="F2776">
        <v>26.983333333333334</v>
      </c>
    </row>
    <row r="2777" spans="1:6" x14ac:dyDescent="0.25">
      <c r="A2777" s="1">
        <v>39356</v>
      </c>
      <c r="B2777" t="s">
        <v>5</v>
      </c>
      <c r="C2777" t="s">
        <v>9</v>
      </c>
      <c r="D2777">
        <v>11</v>
      </c>
      <c r="E2777" s="2">
        <v>7.4999999999999997E-3</v>
      </c>
      <c r="F2777">
        <v>10.8</v>
      </c>
    </row>
    <row r="2778" spans="1:6" x14ac:dyDescent="0.25">
      <c r="A2778" s="1">
        <v>39356</v>
      </c>
      <c r="B2778" t="s">
        <v>5</v>
      </c>
      <c r="C2778" t="s">
        <v>10</v>
      </c>
      <c r="D2778">
        <v>11</v>
      </c>
      <c r="E2778" s="2">
        <v>4.5254629629629629E-3</v>
      </c>
      <c r="F2778">
        <v>6.5166666666666666</v>
      </c>
    </row>
    <row r="2779" spans="1:6" x14ac:dyDescent="0.25">
      <c r="A2779" s="1">
        <v>39356</v>
      </c>
      <c r="B2779" t="s">
        <v>5</v>
      </c>
      <c r="C2779" t="s">
        <v>11</v>
      </c>
      <c r="D2779">
        <v>13</v>
      </c>
      <c r="E2779" s="2">
        <v>9.0277777777777769E-3</v>
      </c>
      <c r="F2779">
        <v>13</v>
      </c>
    </row>
    <row r="2780" spans="1:6" x14ac:dyDescent="0.25">
      <c r="A2780" s="1">
        <v>39356</v>
      </c>
      <c r="B2780" t="s">
        <v>12</v>
      </c>
      <c r="C2780" t="s">
        <v>6</v>
      </c>
      <c r="D2780">
        <v>60</v>
      </c>
      <c r="E2780" s="2">
        <v>6.9780092592592588E-2</v>
      </c>
      <c r="F2780">
        <v>100.48333333333333</v>
      </c>
    </row>
    <row r="2781" spans="1:6" x14ac:dyDescent="0.25">
      <c r="A2781" s="1">
        <v>39356</v>
      </c>
      <c r="B2781" t="s">
        <v>12</v>
      </c>
      <c r="C2781" t="s">
        <v>7</v>
      </c>
      <c r="D2781">
        <v>61</v>
      </c>
      <c r="E2781" s="2">
        <v>7.9814814814814811E-2</v>
      </c>
      <c r="F2781">
        <v>114.93333333333334</v>
      </c>
    </row>
    <row r="2782" spans="1:6" x14ac:dyDescent="0.25">
      <c r="A2782" s="1">
        <v>39356</v>
      </c>
      <c r="B2782" t="s">
        <v>12</v>
      </c>
      <c r="C2782" t="s">
        <v>8</v>
      </c>
      <c r="D2782">
        <v>42</v>
      </c>
      <c r="E2782" s="2">
        <v>6.4155092592592597E-2</v>
      </c>
      <c r="F2782">
        <v>92.38333333333334</v>
      </c>
    </row>
    <row r="2783" spans="1:6" x14ac:dyDescent="0.25">
      <c r="A2783" s="1">
        <v>39356</v>
      </c>
      <c r="B2783" t="s">
        <v>12</v>
      </c>
      <c r="C2783" t="s">
        <v>9</v>
      </c>
      <c r="D2783">
        <v>33</v>
      </c>
      <c r="E2783" s="2">
        <v>2.5289351851851851E-2</v>
      </c>
      <c r="F2783">
        <v>36.416666666666664</v>
      </c>
    </row>
    <row r="2784" spans="1:6" x14ac:dyDescent="0.25">
      <c r="A2784" s="1">
        <v>39356</v>
      </c>
      <c r="B2784" t="s">
        <v>12</v>
      </c>
      <c r="C2784" t="s">
        <v>10</v>
      </c>
      <c r="D2784">
        <v>6</v>
      </c>
      <c r="E2784" s="2">
        <v>7.0949074074074074E-3</v>
      </c>
      <c r="F2784">
        <v>10.216666666666667</v>
      </c>
    </row>
    <row r="2785" spans="1:6" x14ac:dyDescent="0.25">
      <c r="A2785" s="1">
        <v>39356</v>
      </c>
      <c r="B2785" t="s">
        <v>12</v>
      </c>
      <c r="C2785" t="s">
        <v>11</v>
      </c>
      <c r="D2785">
        <v>32</v>
      </c>
      <c r="E2785" s="2">
        <v>2.8321759259259258E-2</v>
      </c>
      <c r="F2785">
        <v>40.783333333333331</v>
      </c>
    </row>
    <row r="2786" spans="1:6" x14ac:dyDescent="0.25">
      <c r="A2786" s="1">
        <v>39356</v>
      </c>
      <c r="B2786" t="s">
        <v>13</v>
      </c>
      <c r="C2786" t="s">
        <v>6</v>
      </c>
      <c r="D2786">
        <v>54</v>
      </c>
      <c r="E2786" s="2">
        <v>5.244212962962963E-2</v>
      </c>
      <c r="F2786">
        <v>75.516666666666666</v>
      </c>
    </row>
    <row r="2787" spans="1:6" x14ac:dyDescent="0.25">
      <c r="A2787" s="1">
        <v>39356</v>
      </c>
      <c r="B2787" t="s">
        <v>13</v>
      </c>
      <c r="C2787" t="s">
        <v>7</v>
      </c>
      <c r="D2787">
        <v>46</v>
      </c>
      <c r="E2787" s="2">
        <v>5.1932870370370372E-2</v>
      </c>
      <c r="F2787">
        <v>74.783333333333331</v>
      </c>
    </row>
    <row r="2788" spans="1:6" x14ac:dyDescent="0.25">
      <c r="A2788" s="1">
        <v>39356</v>
      </c>
      <c r="B2788" t="s">
        <v>13</v>
      </c>
      <c r="C2788" t="s">
        <v>8</v>
      </c>
      <c r="D2788">
        <v>20</v>
      </c>
      <c r="E2788" s="2">
        <v>2.8136574074074074E-2</v>
      </c>
      <c r="F2788">
        <v>40.516666666666666</v>
      </c>
    </row>
    <row r="2789" spans="1:6" x14ac:dyDescent="0.25">
      <c r="A2789" s="1">
        <v>39356</v>
      </c>
      <c r="B2789" t="s">
        <v>13</v>
      </c>
      <c r="C2789" t="s">
        <v>9</v>
      </c>
      <c r="D2789">
        <v>21</v>
      </c>
      <c r="E2789" s="2">
        <v>1.6458333333333332E-2</v>
      </c>
      <c r="F2789">
        <v>23.7</v>
      </c>
    </row>
    <row r="2790" spans="1:6" x14ac:dyDescent="0.25">
      <c r="A2790" s="1">
        <v>39356</v>
      </c>
      <c r="B2790" t="s">
        <v>13</v>
      </c>
      <c r="C2790" t="s">
        <v>10</v>
      </c>
      <c r="D2790">
        <v>13</v>
      </c>
      <c r="E2790" s="2">
        <v>1.1006944444444444E-2</v>
      </c>
      <c r="F2790">
        <v>15.85</v>
      </c>
    </row>
    <row r="2791" spans="1:6" x14ac:dyDescent="0.25">
      <c r="A2791" s="1">
        <v>39356</v>
      </c>
      <c r="B2791" t="s">
        <v>13</v>
      </c>
      <c r="C2791" t="s">
        <v>11</v>
      </c>
      <c r="D2791">
        <v>11</v>
      </c>
      <c r="E2791" s="2">
        <v>9.2592592592592587E-3</v>
      </c>
      <c r="F2791">
        <v>13.333333333333334</v>
      </c>
    </row>
    <row r="2792" spans="1:6" x14ac:dyDescent="0.25">
      <c r="A2792" s="1">
        <v>39356</v>
      </c>
      <c r="B2792" t="s">
        <v>14</v>
      </c>
      <c r="C2792" t="s">
        <v>6</v>
      </c>
      <c r="D2792">
        <v>21</v>
      </c>
      <c r="E2792" s="2">
        <v>2.3738425925925927E-2</v>
      </c>
      <c r="F2792">
        <v>34.18333333333333</v>
      </c>
    </row>
    <row r="2793" spans="1:6" x14ac:dyDescent="0.25">
      <c r="A2793" s="1">
        <v>39356</v>
      </c>
      <c r="B2793" t="s">
        <v>14</v>
      </c>
      <c r="C2793" t="s">
        <v>7</v>
      </c>
      <c r="D2793">
        <v>18</v>
      </c>
      <c r="E2793" s="2">
        <v>2.6967592592592592E-2</v>
      </c>
      <c r="F2793">
        <v>38.833333333333336</v>
      </c>
    </row>
    <row r="2794" spans="1:6" x14ac:dyDescent="0.25">
      <c r="A2794" s="1">
        <v>39356</v>
      </c>
      <c r="B2794" t="s">
        <v>14</v>
      </c>
      <c r="C2794" t="s">
        <v>8</v>
      </c>
      <c r="D2794">
        <v>8</v>
      </c>
      <c r="E2794" s="2">
        <v>1.0474537037037037E-2</v>
      </c>
      <c r="F2794">
        <v>15.083333333333334</v>
      </c>
    </row>
    <row r="2795" spans="1:6" x14ac:dyDescent="0.25">
      <c r="A2795" s="1">
        <v>39356</v>
      </c>
      <c r="B2795" t="s">
        <v>14</v>
      </c>
      <c r="C2795" t="s">
        <v>9</v>
      </c>
      <c r="D2795">
        <v>3</v>
      </c>
      <c r="E2795" s="2">
        <v>2.476851851851852E-3</v>
      </c>
      <c r="F2795">
        <v>3.5666666666666664</v>
      </c>
    </row>
    <row r="2796" spans="1:6" x14ac:dyDescent="0.25">
      <c r="A2796" s="1">
        <v>39356</v>
      </c>
      <c r="B2796" t="s">
        <v>14</v>
      </c>
      <c r="C2796" t="s">
        <v>10</v>
      </c>
      <c r="D2796">
        <v>2</v>
      </c>
      <c r="E2796" s="2">
        <v>3.7384259259259259E-3</v>
      </c>
      <c r="F2796">
        <v>5.3833333333333337</v>
      </c>
    </row>
    <row r="2797" spans="1:6" x14ac:dyDescent="0.25">
      <c r="A2797" s="1">
        <v>39356</v>
      </c>
      <c r="B2797" t="s">
        <v>14</v>
      </c>
      <c r="C2797" t="s">
        <v>11</v>
      </c>
      <c r="D2797">
        <v>7</v>
      </c>
      <c r="E2797" s="2">
        <v>8.8425925925925929E-3</v>
      </c>
      <c r="F2797">
        <v>12.733333333333333</v>
      </c>
    </row>
    <row r="2798" spans="1:6" x14ac:dyDescent="0.25">
      <c r="A2798" s="1">
        <v>39356</v>
      </c>
      <c r="B2798" t="s">
        <v>15</v>
      </c>
      <c r="C2798" t="s">
        <v>6</v>
      </c>
      <c r="D2798">
        <v>40</v>
      </c>
      <c r="E2798" s="2">
        <v>4.0798611111111112E-2</v>
      </c>
      <c r="F2798">
        <v>58.75</v>
      </c>
    </row>
    <row r="2799" spans="1:6" x14ac:dyDescent="0.25">
      <c r="A2799" s="1">
        <v>39356</v>
      </c>
      <c r="B2799" t="s">
        <v>15</v>
      </c>
      <c r="C2799" t="s">
        <v>7</v>
      </c>
      <c r="D2799">
        <v>53</v>
      </c>
      <c r="E2799" s="2">
        <v>6.627314814814815E-2</v>
      </c>
      <c r="F2799">
        <v>95.433333333333337</v>
      </c>
    </row>
    <row r="2800" spans="1:6" x14ac:dyDescent="0.25">
      <c r="A2800" s="1">
        <v>39356</v>
      </c>
      <c r="B2800" t="s">
        <v>15</v>
      </c>
      <c r="C2800" t="s">
        <v>8</v>
      </c>
      <c r="D2800">
        <v>20</v>
      </c>
      <c r="E2800" s="2">
        <v>3.3425925925925928E-2</v>
      </c>
      <c r="F2800">
        <v>48.133333333333333</v>
      </c>
    </row>
    <row r="2801" spans="1:6" x14ac:dyDescent="0.25">
      <c r="A2801" s="1">
        <v>39356</v>
      </c>
      <c r="B2801" t="s">
        <v>15</v>
      </c>
      <c r="C2801" t="s">
        <v>9</v>
      </c>
      <c r="D2801">
        <v>11</v>
      </c>
      <c r="E2801" s="2">
        <v>6.7013888888888887E-3</v>
      </c>
      <c r="F2801">
        <v>9.65</v>
      </c>
    </row>
    <row r="2802" spans="1:6" x14ac:dyDescent="0.25">
      <c r="A2802" s="1">
        <v>39356</v>
      </c>
      <c r="B2802" t="s">
        <v>15</v>
      </c>
      <c r="C2802" t="s">
        <v>10</v>
      </c>
      <c r="D2802">
        <v>9</v>
      </c>
      <c r="E2802" s="2">
        <v>1.6666666666666666E-2</v>
      </c>
      <c r="F2802">
        <v>24</v>
      </c>
    </row>
    <row r="2803" spans="1:6" x14ac:dyDescent="0.25">
      <c r="A2803" s="1">
        <v>39356</v>
      </c>
      <c r="B2803" t="s">
        <v>15</v>
      </c>
      <c r="C2803" t="s">
        <v>11</v>
      </c>
      <c r="D2803">
        <v>9</v>
      </c>
      <c r="E2803" s="2">
        <v>8.726851851851852E-3</v>
      </c>
      <c r="F2803">
        <v>12.566666666666666</v>
      </c>
    </row>
    <row r="2804" spans="1:6" x14ac:dyDescent="0.25">
      <c r="A2804" s="1">
        <v>39356</v>
      </c>
      <c r="B2804" t="s">
        <v>16</v>
      </c>
      <c r="C2804" t="s">
        <v>6</v>
      </c>
      <c r="D2804">
        <v>37</v>
      </c>
      <c r="E2804" s="2">
        <v>2.673611111111111E-2</v>
      </c>
      <c r="F2804">
        <v>38.5</v>
      </c>
    </row>
    <row r="2805" spans="1:6" x14ac:dyDescent="0.25">
      <c r="A2805" s="1">
        <v>39356</v>
      </c>
      <c r="B2805" t="s">
        <v>16</v>
      </c>
      <c r="C2805" t="s">
        <v>7</v>
      </c>
      <c r="D2805">
        <v>25</v>
      </c>
      <c r="E2805" s="2">
        <v>2.3206018518518518E-2</v>
      </c>
      <c r="F2805">
        <v>33.416666666666664</v>
      </c>
    </row>
    <row r="2806" spans="1:6" x14ac:dyDescent="0.25">
      <c r="A2806" s="1">
        <v>39356</v>
      </c>
      <c r="B2806" t="s">
        <v>16</v>
      </c>
      <c r="C2806" t="s">
        <v>8</v>
      </c>
      <c r="D2806">
        <v>11</v>
      </c>
      <c r="E2806" s="2">
        <v>1.0810185185185185E-2</v>
      </c>
      <c r="F2806">
        <v>15.566666666666666</v>
      </c>
    </row>
    <row r="2807" spans="1:6" x14ac:dyDescent="0.25">
      <c r="A2807" s="1">
        <v>39356</v>
      </c>
      <c r="B2807" t="s">
        <v>16</v>
      </c>
      <c r="C2807" t="s">
        <v>9</v>
      </c>
      <c r="D2807">
        <v>12</v>
      </c>
      <c r="E2807" s="2">
        <v>7.9976851851851858E-3</v>
      </c>
      <c r="F2807">
        <v>11.516666666666667</v>
      </c>
    </row>
    <row r="2808" spans="1:6" x14ac:dyDescent="0.25">
      <c r="A2808" s="1">
        <v>39356</v>
      </c>
      <c r="B2808" t="s">
        <v>16</v>
      </c>
      <c r="C2808" t="s">
        <v>10</v>
      </c>
      <c r="D2808">
        <v>4</v>
      </c>
      <c r="E2808" s="2">
        <v>4.5486111111111109E-3</v>
      </c>
      <c r="F2808">
        <v>6.55</v>
      </c>
    </row>
    <row r="2809" spans="1:6" x14ac:dyDescent="0.25">
      <c r="A2809" s="1">
        <v>39356</v>
      </c>
      <c r="B2809" t="s">
        <v>16</v>
      </c>
      <c r="C2809" t="s">
        <v>11</v>
      </c>
      <c r="D2809">
        <v>16</v>
      </c>
      <c r="E2809" s="2">
        <v>1.1643518518518518E-2</v>
      </c>
      <c r="F2809">
        <v>16.766666666666666</v>
      </c>
    </row>
    <row r="2810" spans="1:6" x14ac:dyDescent="0.25">
      <c r="A2810" s="1">
        <v>39356</v>
      </c>
      <c r="B2810" t="s">
        <v>17</v>
      </c>
      <c r="C2810" t="s">
        <v>6</v>
      </c>
      <c r="D2810">
        <v>8</v>
      </c>
      <c r="E2810" s="2">
        <v>6.2037037037037035E-3</v>
      </c>
      <c r="F2810">
        <v>8.9333333333333336</v>
      </c>
    </row>
    <row r="2811" spans="1:6" x14ac:dyDescent="0.25">
      <c r="A2811" s="1">
        <v>39356</v>
      </c>
      <c r="B2811" t="s">
        <v>17</v>
      </c>
      <c r="C2811" t="s">
        <v>7</v>
      </c>
      <c r="D2811">
        <v>5</v>
      </c>
      <c r="E2811" s="2">
        <v>5.3125000000000004E-3</v>
      </c>
      <c r="F2811">
        <v>7.65</v>
      </c>
    </row>
    <row r="2812" spans="1:6" x14ac:dyDescent="0.25">
      <c r="A2812" s="1">
        <v>39356</v>
      </c>
      <c r="B2812" t="s">
        <v>17</v>
      </c>
      <c r="C2812" t="s">
        <v>8</v>
      </c>
      <c r="D2812">
        <v>7</v>
      </c>
      <c r="E2812" s="2">
        <v>7.766203703703704E-3</v>
      </c>
      <c r="F2812">
        <v>11.183333333333334</v>
      </c>
    </row>
    <row r="2813" spans="1:6" x14ac:dyDescent="0.25">
      <c r="A2813" s="1">
        <v>39356</v>
      </c>
      <c r="B2813" t="s">
        <v>17</v>
      </c>
      <c r="C2813" t="s">
        <v>9</v>
      </c>
      <c r="D2813">
        <v>4</v>
      </c>
      <c r="E2813" s="2">
        <v>1.9212962962962964E-3</v>
      </c>
      <c r="F2813">
        <v>2.7666666666666666</v>
      </c>
    </row>
    <row r="2814" spans="1:6" x14ac:dyDescent="0.25">
      <c r="A2814" s="1">
        <v>39356</v>
      </c>
      <c r="B2814" t="s">
        <v>17</v>
      </c>
      <c r="C2814" t="s">
        <v>10</v>
      </c>
      <c r="D2814">
        <v>8</v>
      </c>
      <c r="E2814" s="2">
        <v>1.0543981481481482E-2</v>
      </c>
      <c r="F2814">
        <v>15.183333333333334</v>
      </c>
    </row>
    <row r="2815" spans="1:6" x14ac:dyDescent="0.25">
      <c r="A2815" s="1">
        <v>39356</v>
      </c>
      <c r="B2815" t="s">
        <v>17</v>
      </c>
      <c r="C2815" t="s">
        <v>11</v>
      </c>
      <c r="D2815">
        <v>2</v>
      </c>
      <c r="E2815" s="2">
        <v>1.2268518518518518E-3</v>
      </c>
      <c r="F2815">
        <v>1.7666666666666666</v>
      </c>
    </row>
    <row r="2816" spans="1:6" x14ac:dyDescent="0.25">
      <c r="A2816" s="1">
        <v>39356</v>
      </c>
      <c r="B2816" t="s">
        <v>18</v>
      </c>
      <c r="C2816" t="s">
        <v>6</v>
      </c>
      <c r="D2816">
        <v>114</v>
      </c>
      <c r="E2816" s="2">
        <v>8.4629629629629624E-2</v>
      </c>
      <c r="F2816">
        <v>121.86666666666666</v>
      </c>
    </row>
    <row r="2817" spans="1:6" x14ac:dyDescent="0.25">
      <c r="A2817" s="1">
        <v>39356</v>
      </c>
      <c r="B2817" t="s">
        <v>18</v>
      </c>
      <c r="C2817" t="s">
        <v>7</v>
      </c>
      <c r="D2817">
        <v>114</v>
      </c>
      <c r="E2817" s="2">
        <v>0.10961805555555555</v>
      </c>
      <c r="F2817">
        <v>157.85</v>
      </c>
    </row>
    <row r="2818" spans="1:6" x14ac:dyDescent="0.25">
      <c r="A2818" s="1">
        <v>39356</v>
      </c>
      <c r="B2818" t="s">
        <v>18</v>
      </c>
      <c r="C2818" t="s">
        <v>8</v>
      </c>
      <c r="D2818">
        <v>64</v>
      </c>
      <c r="E2818" s="2">
        <v>7.5555555555555556E-2</v>
      </c>
      <c r="F2818">
        <v>108.8</v>
      </c>
    </row>
    <row r="2819" spans="1:6" x14ac:dyDescent="0.25">
      <c r="A2819" s="1">
        <v>39356</v>
      </c>
      <c r="B2819" t="s">
        <v>18</v>
      </c>
      <c r="C2819" t="s">
        <v>9</v>
      </c>
      <c r="D2819">
        <v>71</v>
      </c>
      <c r="E2819" s="2">
        <v>4.7291666666666669E-2</v>
      </c>
      <c r="F2819">
        <v>68.099999999999994</v>
      </c>
    </row>
    <row r="2820" spans="1:6" x14ac:dyDescent="0.25">
      <c r="A2820" s="1">
        <v>39356</v>
      </c>
      <c r="B2820" t="s">
        <v>18</v>
      </c>
      <c r="C2820" t="s">
        <v>10</v>
      </c>
      <c r="D2820">
        <v>178</v>
      </c>
      <c r="E2820" s="2">
        <v>0.17964120370370371</v>
      </c>
      <c r="F2820">
        <v>258.68333333333334</v>
      </c>
    </row>
    <row r="2821" spans="1:6" x14ac:dyDescent="0.25">
      <c r="A2821" s="1">
        <v>39356</v>
      </c>
      <c r="B2821" t="s">
        <v>18</v>
      </c>
      <c r="C2821" t="s">
        <v>11</v>
      </c>
      <c r="D2821">
        <v>28</v>
      </c>
      <c r="E2821" s="2">
        <v>2.613425925925926E-2</v>
      </c>
      <c r="F2821">
        <v>37.633333333333333</v>
      </c>
    </row>
    <row r="2822" spans="1:6" x14ac:dyDescent="0.25">
      <c r="A2822" s="1">
        <v>39356</v>
      </c>
      <c r="B2822" t="s">
        <v>19</v>
      </c>
      <c r="C2822" t="s">
        <v>6</v>
      </c>
      <c r="D2822">
        <v>68</v>
      </c>
      <c r="E2822" s="2">
        <v>5.4479166666666669E-2</v>
      </c>
      <c r="F2822">
        <v>78.45</v>
      </c>
    </row>
    <row r="2823" spans="1:6" x14ac:dyDescent="0.25">
      <c r="A2823" s="1">
        <v>39356</v>
      </c>
      <c r="B2823" t="s">
        <v>19</v>
      </c>
      <c r="C2823" t="s">
        <v>7</v>
      </c>
      <c r="D2823">
        <v>51</v>
      </c>
      <c r="E2823" s="2">
        <v>4.7812500000000001E-2</v>
      </c>
      <c r="F2823">
        <v>68.849999999999994</v>
      </c>
    </row>
    <row r="2824" spans="1:6" x14ac:dyDescent="0.25">
      <c r="A2824" s="1">
        <v>39356</v>
      </c>
      <c r="B2824" t="s">
        <v>19</v>
      </c>
      <c r="C2824" t="s">
        <v>8</v>
      </c>
      <c r="D2824">
        <v>56</v>
      </c>
      <c r="E2824" s="2">
        <v>6.761574074074074E-2</v>
      </c>
      <c r="F2824">
        <v>97.36666666666666</v>
      </c>
    </row>
    <row r="2825" spans="1:6" x14ac:dyDescent="0.25">
      <c r="A2825" s="1">
        <v>39356</v>
      </c>
      <c r="B2825" t="s">
        <v>19</v>
      </c>
      <c r="C2825" t="s">
        <v>9</v>
      </c>
      <c r="D2825">
        <v>52</v>
      </c>
      <c r="E2825" s="2">
        <v>4.0497685185185185E-2</v>
      </c>
      <c r="F2825">
        <v>58.31666666666667</v>
      </c>
    </row>
    <row r="2826" spans="1:6" x14ac:dyDescent="0.25">
      <c r="A2826" s="1">
        <v>39356</v>
      </c>
      <c r="B2826" t="s">
        <v>19</v>
      </c>
      <c r="C2826" t="s">
        <v>10</v>
      </c>
      <c r="D2826">
        <v>17</v>
      </c>
      <c r="E2826" s="2">
        <v>1.7534722222222222E-2</v>
      </c>
      <c r="F2826">
        <v>25.25</v>
      </c>
    </row>
    <row r="2827" spans="1:6" x14ac:dyDescent="0.25">
      <c r="A2827" s="1">
        <v>39356</v>
      </c>
      <c r="B2827" t="s">
        <v>19</v>
      </c>
      <c r="C2827" t="s">
        <v>11</v>
      </c>
      <c r="D2827">
        <v>29</v>
      </c>
      <c r="E2827" s="2">
        <v>2.3900462962962964E-2</v>
      </c>
      <c r="F2827">
        <v>34.416666666666664</v>
      </c>
    </row>
    <row r="2828" spans="1:6" x14ac:dyDescent="0.25">
      <c r="A2828" s="1">
        <v>39356</v>
      </c>
      <c r="B2828" t="s">
        <v>20</v>
      </c>
      <c r="C2828" t="s">
        <v>6</v>
      </c>
      <c r="D2828">
        <v>50</v>
      </c>
      <c r="E2828" s="2">
        <v>4.7766203703703707E-2</v>
      </c>
      <c r="F2828">
        <v>68.783333333333331</v>
      </c>
    </row>
    <row r="2829" spans="1:6" x14ac:dyDescent="0.25">
      <c r="A2829" s="1">
        <v>39356</v>
      </c>
      <c r="B2829" t="s">
        <v>20</v>
      </c>
      <c r="C2829" t="s">
        <v>7</v>
      </c>
      <c r="D2829">
        <v>44</v>
      </c>
      <c r="E2829" s="2">
        <v>4.3912037037037034E-2</v>
      </c>
      <c r="F2829">
        <v>63.233333333333334</v>
      </c>
    </row>
    <row r="2830" spans="1:6" x14ac:dyDescent="0.25">
      <c r="A2830" s="1">
        <v>39356</v>
      </c>
      <c r="B2830" t="s">
        <v>20</v>
      </c>
      <c r="C2830" t="s">
        <v>8</v>
      </c>
      <c r="D2830">
        <v>39</v>
      </c>
      <c r="E2830" s="2">
        <v>5.0150462962962966E-2</v>
      </c>
      <c r="F2830">
        <v>72.216666666666669</v>
      </c>
    </row>
    <row r="2831" spans="1:6" x14ac:dyDescent="0.25">
      <c r="A2831" s="1">
        <v>39356</v>
      </c>
      <c r="B2831" t="s">
        <v>20</v>
      </c>
      <c r="C2831" t="s">
        <v>9</v>
      </c>
      <c r="D2831">
        <v>19</v>
      </c>
      <c r="E2831" s="2">
        <v>1.6851851851851851E-2</v>
      </c>
      <c r="F2831">
        <v>24.266666666666666</v>
      </c>
    </row>
    <row r="2832" spans="1:6" x14ac:dyDescent="0.25">
      <c r="A2832" s="1">
        <v>39356</v>
      </c>
      <c r="B2832" t="s">
        <v>20</v>
      </c>
      <c r="C2832" t="s">
        <v>10</v>
      </c>
      <c r="D2832">
        <v>12</v>
      </c>
      <c r="E2832" s="2">
        <v>1.4386574074074074E-2</v>
      </c>
      <c r="F2832">
        <v>20.716666666666665</v>
      </c>
    </row>
    <row r="2833" spans="1:6" x14ac:dyDescent="0.25">
      <c r="A2833" s="1">
        <v>39356</v>
      </c>
      <c r="B2833" t="s">
        <v>20</v>
      </c>
      <c r="C2833" t="s">
        <v>11</v>
      </c>
      <c r="D2833">
        <v>16</v>
      </c>
      <c r="E2833" s="2">
        <v>1.1006944444444444E-2</v>
      </c>
      <c r="F2833">
        <v>15.85</v>
      </c>
    </row>
    <row r="2834" spans="1:6" x14ac:dyDescent="0.25">
      <c r="A2834" s="1">
        <v>39356</v>
      </c>
      <c r="B2834" t="s">
        <v>21</v>
      </c>
      <c r="C2834" t="s">
        <v>6</v>
      </c>
      <c r="D2834">
        <v>30</v>
      </c>
      <c r="E2834" s="2">
        <v>2.6284722222222223E-2</v>
      </c>
      <c r="F2834">
        <v>37.85</v>
      </c>
    </row>
    <row r="2835" spans="1:6" x14ac:dyDescent="0.25">
      <c r="A2835" s="1">
        <v>39356</v>
      </c>
      <c r="B2835" t="s">
        <v>21</v>
      </c>
      <c r="C2835" t="s">
        <v>7</v>
      </c>
      <c r="D2835">
        <v>36</v>
      </c>
      <c r="E2835" s="2">
        <v>3.8449074074074073E-2</v>
      </c>
      <c r="F2835">
        <v>55.366666666666667</v>
      </c>
    </row>
    <row r="2836" spans="1:6" x14ac:dyDescent="0.25">
      <c r="A2836" s="1">
        <v>39356</v>
      </c>
      <c r="B2836" t="s">
        <v>21</v>
      </c>
      <c r="C2836" t="s">
        <v>8</v>
      </c>
      <c r="D2836">
        <v>9</v>
      </c>
      <c r="E2836" s="2">
        <v>9.6874999999999999E-3</v>
      </c>
      <c r="F2836">
        <v>13.95</v>
      </c>
    </row>
    <row r="2837" spans="1:6" x14ac:dyDescent="0.25">
      <c r="A2837" s="1">
        <v>39356</v>
      </c>
      <c r="B2837" t="s">
        <v>21</v>
      </c>
      <c r="C2837" t="s">
        <v>9</v>
      </c>
      <c r="D2837">
        <v>9</v>
      </c>
      <c r="E2837" s="2">
        <v>7.2222222222222219E-3</v>
      </c>
      <c r="F2837">
        <v>10.4</v>
      </c>
    </row>
    <row r="2838" spans="1:6" x14ac:dyDescent="0.25">
      <c r="A2838" s="1">
        <v>39356</v>
      </c>
      <c r="B2838" t="s">
        <v>21</v>
      </c>
      <c r="C2838" t="s">
        <v>10</v>
      </c>
      <c r="D2838">
        <v>1</v>
      </c>
      <c r="E2838" s="2">
        <v>1.5509259259259259E-3</v>
      </c>
      <c r="F2838">
        <v>2.2333333333333334</v>
      </c>
    </row>
    <row r="2839" spans="1:6" x14ac:dyDescent="0.25">
      <c r="A2839" s="1">
        <v>39356</v>
      </c>
      <c r="B2839" t="s">
        <v>21</v>
      </c>
      <c r="C2839" t="s">
        <v>11</v>
      </c>
      <c r="D2839">
        <v>9</v>
      </c>
      <c r="E2839" s="2">
        <v>8.726851851851852E-3</v>
      </c>
      <c r="F2839">
        <v>12.566666666666666</v>
      </c>
    </row>
    <row r="2840" spans="1:6" x14ac:dyDescent="0.25">
      <c r="A2840" s="1">
        <v>39356</v>
      </c>
      <c r="B2840" t="s">
        <v>22</v>
      </c>
      <c r="C2840" t="s">
        <v>6</v>
      </c>
      <c r="D2840">
        <v>22</v>
      </c>
      <c r="E2840" s="2">
        <v>2.255787037037037E-2</v>
      </c>
      <c r="F2840">
        <v>32.483333333333334</v>
      </c>
    </row>
    <row r="2841" spans="1:6" x14ac:dyDescent="0.25">
      <c r="A2841" s="1">
        <v>39356</v>
      </c>
      <c r="B2841" t="s">
        <v>22</v>
      </c>
      <c r="C2841" t="s">
        <v>7</v>
      </c>
      <c r="D2841">
        <v>10</v>
      </c>
      <c r="E2841" s="2">
        <v>1.2002314814814815E-2</v>
      </c>
      <c r="F2841">
        <v>17.283333333333335</v>
      </c>
    </row>
    <row r="2842" spans="1:6" x14ac:dyDescent="0.25">
      <c r="A2842" s="1">
        <v>39356</v>
      </c>
      <c r="B2842" t="s">
        <v>22</v>
      </c>
      <c r="C2842" t="s">
        <v>8</v>
      </c>
      <c r="D2842">
        <v>10</v>
      </c>
      <c r="E2842" s="2">
        <v>1.474537037037037E-2</v>
      </c>
      <c r="F2842">
        <v>21.233333333333334</v>
      </c>
    </row>
    <row r="2843" spans="1:6" x14ac:dyDescent="0.25">
      <c r="A2843" s="1">
        <v>39356</v>
      </c>
      <c r="B2843" t="s">
        <v>22</v>
      </c>
      <c r="C2843" t="s">
        <v>9</v>
      </c>
      <c r="D2843">
        <v>1</v>
      </c>
      <c r="E2843" s="2">
        <v>5.5555555555555556E-4</v>
      </c>
      <c r="F2843">
        <v>0.8</v>
      </c>
    </row>
    <row r="2844" spans="1:6" x14ac:dyDescent="0.25">
      <c r="A2844" s="1">
        <v>39356</v>
      </c>
      <c r="B2844" t="s">
        <v>22</v>
      </c>
      <c r="C2844" t="s">
        <v>10</v>
      </c>
      <c r="D2844">
        <v>2</v>
      </c>
      <c r="E2844" s="2">
        <v>9.4907407407407408E-4</v>
      </c>
      <c r="F2844">
        <v>1.3666666666666667</v>
      </c>
    </row>
    <row r="2845" spans="1:6" x14ac:dyDescent="0.25">
      <c r="A2845" s="1">
        <v>39356</v>
      </c>
      <c r="B2845" t="s">
        <v>22</v>
      </c>
      <c r="C2845" t="s">
        <v>11</v>
      </c>
      <c r="D2845">
        <v>8</v>
      </c>
      <c r="E2845" s="2">
        <v>6.2962962962962964E-3</v>
      </c>
      <c r="F2845">
        <v>9.0666666666666664</v>
      </c>
    </row>
    <row r="2846" spans="1:6" x14ac:dyDescent="0.25">
      <c r="A2846" s="1">
        <v>39356</v>
      </c>
      <c r="B2846" t="s">
        <v>23</v>
      </c>
      <c r="C2846" t="s">
        <v>6</v>
      </c>
      <c r="D2846">
        <v>176</v>
      </c>
      <c r="E2846" s="2">
        <v>0.1705787037037037</v>
      </c>
      <c r="F2846">
        <v>245.63333333333333</v>
      </c>
    </row>
    <row r="2847" spans="1:6" x14ac:dyDescent="0.25">
      <c r="A2847" s="1">
        <v>39356</v>
      </c>
      <c r="B2847" t="s">
        <v>23</v>
      </c>
      <c r="C2847" t="s">
        <v>7</v>
      </c>
      <c r="D2847">
        <v>179</v>
      </c>
      <c r="E2847" s="2">
        <v>0.1840162037037037</v>
      </c>
      <c r="F2847">
        <v>264.98333333333335</v>
      </c>
    </row>
    <row r="2848" spans="1:6" x14ac:dyDescent="0.25">
      <c r="A2848" s="1">
        <v>39356</v>
      </c>
      <c r="B2848" t="s">
        <v>23</v>
      </c>
      <c r="C2848" t="s">
        <v>8</v>
      </c>
      <c r="D2848">
        <v>88</v>
      </c>
      <c r="E2848" s="2">
        <v>0.11424768518518519</v>
      </c>
      <c r="F2848">
        <v>164.51666666666668</v>
      </c>
    </row>
    <row r="2849" spans="1:6" x14ac:dyDescent="0.25">
      <c r="A2849" s="1">
        <v>39356</v>
      </c>
      <c r="B2849" t="s">
        <v>23</v>
      </c>
      <c r="C2849" t="s">
        <v>9</v>
      </c>
      <c r="D2849">
        <v>69</v>
      </c>
      <c r="E2849" s="2">
        <v>5.4479166666666669E-2</v>
      </c>
      <c r="F2849">
        <v>78.45</v>
      </c>
    </row>
    <row r="2850" spans="1:6" x14ac:dyDescent="0.25">
      <c r="A2850" s="1">
        <v>39356</v>
      </c>
      <c r="B2850" t="s">
        <v>23</v>
      </c>
      <c r="C2850" t="s">
        <v>10</v>
      </c>
      <c r="D2850">
        <v>54</v>
      </c>
      <c r="E2850" s="2">
        <v>5.6284722222222222E-2</v>
      </c>
      <c r="F2850">
        <v>81.05</v>
      </c>
    </row>
    <row r="2851" spans="1:6" x14ac:dyDescent="0.25">
      <c r="A2851" s="1">
        <v>39356</v>
      </c>
      <c r="B2851" t="s">
        <v>23</v>
      </c>
      <c r="C2851" t="s">
        <v>11</v>
      </c>
      <c r="D2851">
        <v>61</v>
      </c>
      <c r="E2851" s="2">
        <v>5.3159722222222219E-2</v>
      </c>
      <c r="F2851">
        <v>76.55</v>
      </c>
    </row>
    <row r="2852" spans="1:6" x14ac:dyDescent="0.25">
      <c r="A2852" s="1">
        <v>39356</v>
      </c>
      <c r="B2852" t="s">
        <v>24</v>
      </c>
      <c r="C2852" t="s">
        <v>6</v>
      </c>
      <c r="D2852">
        <v>146</v>
      </c>
      <c r="E2852" s="2">
        <v>0.14023148148148148</v>
      </c>
      <c r="F2852">
        <v>201.93333333333334</v>
      </c>
    </row>
    <row r="2853" spans="1:6" x14ac:dyDescent="0.25">
      <c r="A2853" s="1">
        <v>39356</v>
      </c>
      <c r="B2853" t="s">
        <v>24</v>
      </c>
      <c r="C2853" t="s">
        <v>7</v>
      </c>
      <c r="D2853">
        <v>118</v>
      </c>
      <c r="E2853" s="2">
        <v>0.10276620370370371</v>
      </c>
      <c r="F2853">
        <v>147.98333333333332</v>
      </c>
    </row>
    <row r="2854" spans="1:6" x14ac:dyDescent="0.25">
      <c r="A2854" s="1">
        <v>39356</v>
      </c>
      <c r="B2854" t="s">
        <v>24</v>
      </c>
      <c r="C2854" t="s">
        <v>8</v>
      </c>
      <c r="D2854">
        <v>69</v>
      </c>
      <c r="E2854" s="2">
        <v>7.6064814814814821E-2</v>
      </c>
      <c r="F2854">
        <v>109.53333333333333</v>
      </c>
    </row>
    <row r="2855" spans="1:6" x14ac:dyDescent="0.25">
      <c r="A2855" s="1">
        <v>39356</v>
      </c>
      <c r="B2855" t="s">
        <v>24</v>
      </c>
      <c r="C2855" t="s">
        <v>9</v>
      </c>
      <c r="D2855">
        <v>30</v>
      </c>
      <c r="E2855" s="2">
        <v>2.4328703703703703E-2</v>
      </c>
      <c r="F2855">
        <v>35.033333333333331</v>
      </c>
    </row>
    <row r="2856" spans="1:6" x14ac:dyDescent="0.25">
      <c r="A2856" s="1">
        <v>39356</v>
      </c>
      <c r="B2856" t="s">
        <v>24</v>
      </c>
      <c r="C2856" t="s">
        <v>10</v>
      </c>
      <c r="D2856">
        <v>7</v>
      </c>
      <c r="E2856" s="2">
        <v>5.5671296296296293E-3</v>
      </c>
      <c r="F2856">
        <v>8.0166666666666675</v>
      </c>
    </row>
    <row r="2857" spans="1:6" x14ac:dyDescent="0.25">
      <c r="A2857" s="1">
        <v>39356</v>
      </c>
      <c r="B2857" t="s">
        <v>24</v>
      </c>
      <c r="C2857" t="s">
        <v>11</v>
      </c>
      <c r="D2857">
        <v>53</v>
      </c>
      <c r="E2857" s="2">
        <v>4.5486111111111109E-2</v>
      </c>
      <c r="F2857">
        <v>65.5</v>
      </c>
    </row>
    <row r="2858" spans="1:6" x14ac:dyDescent="0.25">
      <c r="A2858" s="1">
        <v>39387</v>
      </c>
      <c r="B2858" t="s">
        <v>5</v>
      </c>
      <c r="C2858" t="s">
        <v>6</v>
      </c>
      <c r="D2858">
        <v>29</v>
      </c>
      <c r="E2858" s="2">
        <v>2.1099537037037038E-2</v>
      </c>
      <c r="F2858">
        <v>30.383333333333333</v>
      </c>
    </row>
    <row r="2859" spans="1:6" x14ac:dyDescent="0.25">
      <c r="A2859" s="1">
        <v>39387</v>
      </c>
      <c r="B2859" t="s">
        <v>5</v>
      </c>
      <c r="C2859" t="s">
        <v>7</v>
      </c>
      <c r="D2859">
        <v>28</v>
      </c>
      <c r="E2859" s="2">
        <v>2.1874999999999999E-2</v>
      </c>
      <c r="F2859">
        <v>31.5</v>
      </c>
    </row>
    <row r="2860" spans="1:6" x14ac:dyDescent="0.25">
      <c r="A2860" s="1">
        <v>39387</v>
      </c>
      <c r="B2860" t="s">
        <v>5</v>
      </c>
      <c r="C2860" t="s">
        <v>8</v>
      </c>
      <c r="D2860">
        <v>12</v>
      </c>
      <c r="E2860" s="2">
        <v>1.2465277777777778E-2</v>
      </c>
      <c r="F2860">
        <v>17.95</v>
      </c>
    </row>
    <row r="2861" spans="1:6" x14ac:dyDescent="0.25">
      <c r="A2861" s="1">
        <v>39387</v>
      </c>
      <c r="B2861" t="s">
        <v>5</v>
      </c>
      <c r="C2861" t="s">
        <v>9</v>
      </c>
      <c r="D2861">
        <v>10</v>
      </c>
      <c r="E2861" s="2">
        <v>3.2986111111111111E-3</v>
      </c>
      <c r="F2861">
        <v>4.75</v>
      </c>
    </row>
    <row r="2862" spans="1:6" x14ac:dyDescent="0.25">
      <c r="A2862" s="1">
        <v>39387</v>
      </c>
      <c r="B2862" t="s">
        <v>5</v>
      </c>
      <c r="C2862" t="s">
        <v>10</v>
      </c>
      <c r="D2862">
        <v>12</v>
      </c>
      <c r="E2862" s="2">
        <v>8.3449074074074068E-3</v>
      </c>
      <c r="F2862">
        <v>12.016666666666667</v>
      </c>
    </row>
    <row r="2863" spans="1:6" x14ac:dyDescent="0.25">
      <c r="A2863" s="1">
        <v>39387</v>
      </c>
      <c r="B2863" t="s">
        <v>5</v>
      </c>
      <c r="C2863" t="s">
        <v>11</v>
      </c>
      <c r="D2863">
        <v>10</v>
      </c>
      <c r="E2863" s="2">
        <v>5.0462962962962961E-3</v>
      </c>
      <c r="F2863">
        <v>7.2666666666666666</v>
      </c>
    </row>
    <row r="2864" spans="1:6" x14ac:dyDescent="0.25">
      <c r="A2864" s="1">
        <v>39387</v>
      </c>
      <c r="B2864" t="s">
        <v>12</v>
      </c>
      <c r="C2864" t="s">
        <v>6</v>
      </c>
      <c r="D2864">
        <v>43</v>
      </c>
      <c r="E2864" s="2">
        <v>4.5995370370370367E-2</v>
      </c>
      <c r="F2864">
        <v>66.233333333333334</v>
      </c>
    </row>
    <row r="2865" spans="1:6" x14ac:dyDescent="0.25">
      <c r="A2865" s="1">
        <v>39387</v>
      </c>
      <c r="B2865" t="s">
        <v>12</v>
      </c>
      <c r="C2865" t="s">
        <v>7</v>
      </c>
      <c r="D2865">
        <v>41</v>
      </c>
      <c r="E2865" s="2">
        <v>6.3483796296296302E-2</v>
      </c>
      <c r="F2865">
        <v>91.416666666666671</v>
      </c>
    </row>
    <row r="2866" spans="1:6" x14ac:dyDescent="0.25">
      <c r="A2866" s="1">
        <v>39387</v>
      </c>
      <c r="B2866" t="s">
        <v>12</v>
      </c>
      <c r="C2866" t="s">
        <v>8</v>
      </c>
      <c r="D2866">
        <v>27</v>
      </c>
      <c r="E2866" s="2">
        <v>4.341435185185185E-2</v>
      </c>
      <c r="F2866">
        <v>62.516666666666666</v>
      </c>
    </row>
    <row r="2867" spans="1:6" x14ac:dyDescent="0.25">
      <c r="A2867" s="1">
        <v>39387</v>
      </c>
      <c r="B2867" t="s">
        <v>12</v>
      </c>
      <c r="C2867" t="s">
        <v>9</v>
      </c>
      <c r="D2867">
        <v>16</v>
      </c>
      <c r="E2867" s="2">
        <v>1.0810185185185185E-2</v>
      </c>
      <c r="F2867">
        <v>15.566666666666666</v>
      </c>
    </row>
    <row r="2868" spans="1:6" x14ac:dyDescent="0.25">
      <c r="A2868" s="1">
        <v>39387</v>
      </c>
      <c r="B2868" t="s">
        <v>12</v>
      </c>
      <c r="C2868" t="s">
        <v>10</v>
      </c>
      <c r="D2868">
        <v>3</v>
      </c>
      <c r="E2868" s="2">
        <v>3.5416666666666665E-3</v>
      </c>
      <c r="F2868">
        <v>5.0999999999999996</v>
      </c>
    </row>
    <row r="2869" spans="1:6" x14ac:dyDescent="0.25">
      <c r="A2869" s="1">
        <v>39387</v>
      </c>
      <c r="B2869" t="s">
        <v>12</v>
      </c>
      <c r="C2869" t="s">
        <v>11</v>
      </c>
      <c r="D2869">
        <v>16</v>
      </c>
      <c r="E2869" s="2">
        <v>1.3831018518518519E-2</v>
      </c>
      <c r="F2869">
        <v>19.916666666666668</v>
      </c>
    </row>
    <row r="2870" spans="1:6" x14ac:dyDescent="0.25">
      <c r="A2870" s="1">
        <v>39387</v>
      </c>
      <c r="B2870" t="s">
        <v>13</v>
      </c>
      <c r="C2870" t="s">
        <v>6</v>
      </c>
      <c r="D2870">
        <v>44</v>
      </c>
      <c r="E2870" s="2">
        <v>4.5613425925925925E-2</v>
      </c>
      <c r="F2870">
        <v>65.683333333333337</v>
      </c>
    </row>
    <row r="2871" spans="1:6" x14ac:dyDescent="0.25">
      <c r="A2871" s="1">
        <v>39387</v>
      </c>
      <c r="B2871" t="s">
        <v>13</v>
      </c>
      <c r="C2871" t="s">
        <v>7</v>
      </c>
      <c r="D2871">
        <v>51</v>
      </c>
      <c r="E2871" s="2">
        <v>5.2314814814814814E-2</v>
      </c>
      <c r="F2871">
        <v>75.333333333333329</v>
      </c>
    </row>
    <row r="2872" spans="1:6" x14ac:dyDescent="0.25">
      <c r="A2872" s="1">
        <v>39387</v>
      </c>
      <c r="B2872" t="s">
        <v>13</v>
      </c>
      <c r="C2872" t="s">
        <v>8</v>
      </c>
      <c r="D2872">
        <v>26</v>
      </c>
      <c r="E2872" s="2">
        <v>3.5902777777777777E-2</v>
      </c>
      <c r="F2872">
        <v>51.7</v>
      </c>
    </row>
    <row r="2873" spans="1:6" x14ac:dyDescent="0.25">
      <c r="A2873" s="1">
        <v>39387</v>
      </c>
      <c r="B2873" t="s">
        <v>13</v>
      </c>
      <c r="C2873" t="s">
        <v>9</v>
      </c>
      <c r="D2873">
        <v>29</v>
      </c>
      <c r="E2873" s="2">
        <v>1.863425925925926E-2</v>
      </c>
      <c r="F2873">
        <v>26.833333333333332</v>
      </c>
    </row>
    <row r="2874" spans="1:6" x14ac:dyDescent="0.25">
      <c r="A2874" s="1">
        <v>39387</v>
      </c>
      <c r="B2874" t="s">
        <v>13</v>
      </c>
      <c r="C2874" t="s">
        <v>10</v>
      </c>
      <c r="D2874">
        <v>17</v>
      </c>
      <c r="E2874" s="2">
        <v>1.8530092592592591E-2</v>
      </c>
      <c r="F2874">
        <v>26.683333333333334</v>
      </c>
    </row>
    <row r="2875" spans="1:6" x14ac:dyDescent="0.25">
      <c r="A2875" s="1">
        <v>39387</v>
      </c>
      <c r="B2875" t="s">
        <v>13</v>
      </c>
      <c r="C2875" t="s">
        <v>11</v>
      </c>
      <c r="D2875">
        <v>15</v>
      </c>
      <c r="E2875" s="2">
        <v>1.2615740740740742E-2</v>
      </c>
      <c r="F2875">
        <v>18.166666666666668</v>
      </c>
    </row>
    <row r="2876" spans="1:6" x14ac:dyDescent="0.25">
      <c r="A2876" s="1">
        <v>39387</v>
      </c>
      <c r="B2876" t="s">
        <v>14</v>
      </c>
      <c r="C2876" t="s">
        <v>6</v>
      </c>
      <c r="D2876">
        <v>41</v>
      </c>
      <c r="E2876" s="2">
        <v>2.9930555555555554E-2</v>
      </c>
      <c r="F2876">
        <v>43.1</v>
      </c>
    </row>
    <row r="2877" spans="1:6" x14ac:dyDescent="0.25">
      <c r="A2877" s="1">
        <v>39387</v>
      </c>
      <c r="B2877" t="s">
        <v>14</v>
      </c>
      <c r="C2877" t="s">
        <v>7</v>
      </c>
      <c r="D2877">
        <v>40</v>
      </c>
      <c r="E2877" s="2">
        <v>3.3877314814814811E-2</v>
      </c>
      <c r="F2877">
        <v>48.783333333333331</v>
      </c>
    </row>
    <row r="2878" spans="1:6" x14ac:dyDescent="0.25">
      <c r="A2878" s="1">
        <v>39387</v>
      </c>
      <c r="B2878" t="s">
        <v>14</v>
      </c>
      <c r="C2878" t="s">
        <v>8</v>
      </c>
      <c r="D2878">
        <v>18</v>
      </c>
      <c r="E2878" s="2">
        <v>2.1747685185185186E-2</v>
      </c>
      <c r="F2878">
        <v>31.316666666666666</v>
      </c>
    </row>
    <row r="2879" spans="1:6" x14ac:dyDescent="0.25">
      <c r="A2879" s="1">
        <v>39387</v>
      </c>
      <c r="B2879" t="s">
        <v>14</v>
      </c>
      <c r="C2879" t="s">
        <v>9</v>
      </c>
      <c r="D2879">
        <v>14</v>
      </c>
      <c r="E2879" s="2">
        <v>1.1273148148148148E-2</v>
      </c>
      <c r="F2879">
        <v>16.233333333333334</v>
      </c>
    </row>
    <row r="2880" spans="1:6" x14ac:dyDescent="0.25">
      <c r="A2880" s="1">
        <v>39387</v>
      </c>
      <c r="B2880" t="s">
        <v>14</v>
      </c>
      <c r="C2880" t="s">
        <v>10</v>
      </c>
      <c r="D2880">
        <v>8</v>
      </c>
      <c r="E2880" s="2">
        <v>7.9976851851851858E-3</v>
      </c>
      <c r="F2880">
        <v>11.516666666666667</v>
      </c>
    </row>
    <row r="2881" spans="1:6" x14ac:dyDescent="0.25">
      <c r="A2881" s="1">
        <v>39387</v>
      </c>
      <c r="B2881" t="s">
        <v>14</v>
      </c>
      <c r="C2881" t="s">
        <v>11</v>
      </c>
      <c r="D2881">
        <v>13</v>
      </c>
      <c r="E2881" s="2">
        <v>1.1539351851851851E-2</v>
      </c>
      <c r="F2881">
        <v>16.616666666666667</v>
      </c>
    </row>
    <row r="2882" spans="1:6" x14ac:dyDescent="0.25">
      <c r="A2882" s="1">
        <v>39387</v>
      </c>
      <c r="B2882" t="s">
        <v>15</v>
      </c>
      <c r="C2882" t="s">
        <v>6</v>
      </c>
      <c r="D2882">
        <v>26</v>
      </c>
      <c r="E2882" s="2">
        <v>2.6493055555555554E-2</v>
      </c>
      <c r="F2882">
        <v>38.15</v>
      </c>
    </row>
    <row r="2883" spans="1:6" x14ac:dyDescent="0.25">
      <c r="A2883" s="1">
        <v>39387</v>
      </c>
      <c r="B2883" t="s">
        <v>15</v>
      </c>
      <c r="C2883" t="s">
        <v>7</v>
      </c>
      <c r="D2883">
        <v>24</v>
      </c>
      <c r="E2883" s="2">
        <v>2.3252314814814816E-2</v>
      </c>
      <c r="F2883">
        <v>33.483333333333334</v>
      </c>
    </row>
    <row r="2884" spans="1:6" x14ac:dyDescent="0.25">
      <c r="A2884" s="1">
        <v>39387</v>
      </c>
      <c r="B2884" t="s">
        <v>15</v>
      </c>
      <c r="C2884" t="s">
        <v>8</v>
      </c>
      <c r="D2884">
        <v>8</v>
      </c>
      <c r="E2884" s="2">
        <v>7.4074074074074077E-3</v>
      </c>
      <c r="F2884">
        <v>10.666666666666666</v>
      </c>
    </row>
    <row r="2885" spans="1:6" x14ac:dyDescent="0.25">
      <c r="A2885" s="1">
        <v>39387</v>
      </c>
      <c r="B2885" t="s">
        <v>15</v>
      </c>
      <c r="C2885" t="s">
        <v>9</v>
      </c>
      <c r="D2885">
        <v>5</v>
      </c>
      <c r="E2885" s="2">
        <v>1.5509259259259259E-3</v>
      </c>
      <c r="F2885">
        <v>2.2333333333333334</v>
      </c>
    </row>
    <row r="2886" spans="1:6" x14ac:dyDescent="0.25">
      <c r="A2886" s="1">
        <v>39387</v>
      </c>
      <c r="B2886" t="s">
        <v>15</v>
      </c>
      <c r="C2886" t="s">
        <v>10</v>
      </c>
      <c r="D2886">
        <v>9</v>
      </c>
      <c r="E2886" s="2">
        <v>1.0960648148148148E-2</v>
      </c>
      <c r="F2886">
        <v>15.783333333333333</v>
      </c>
    </row>
    <row r="2887" spans="1:6" x14ac:dyDescent="0.25">
      <c r="A2887" s="1">
        <v>39387</v>
      </c>
      <c r="B2887" t="s">
        <v>15</v>
      </c>
      <c r="C2887" t="s">
        <v>11</v>
      </c>
      <c r="D2887">
        <v>7</v>
      </c>
      <c r="E2887" s="2">
        <v>5.7986111111111112E-3</v>
      </c>
      <c r="F2887">
        <v>8.35</v>
      </c>
    </row>
    <row r="2888" spans="1:6" x14ac:dyDescent="0.25">
      <c r="A2888" s="1">
        <v>39387</v>
      </c>
      <c r="B2888" t="s">
        <v>16</v>
      </c>
      <c r="C2888" t="s">
        <v>6</v>
      </c>
      <c r="D2888">
        <v>21</v>
      </c>
      <c r="E2888" s="2">
        <v>1.8680555555555554E-2</v>
      </c>
      <c r="F2888">
        <v>26.9</v>
      </c>
    </row>
    <row r="2889" spans="1:6" x14ac:dyDescent="0.25">
      <c r="A2889" s="1">
        <v>39387</v>
      </c>
      <c r="B2889" t="s">
        <v>16</v>
      </c>
      <c r="C2889" t="s">
        <v>7</v>
      </c>
      <c r="D2889">
        <v>17</v>
      </c>
      <c r="E2889" s="2">
        <v>1.3368055555555555E-2</v>
      </c>
      <c r="F2889">
        <v>19.25</v>
      </c>
    </row>
    <row r="2890" spans="1:6" x14ac:dyDescent="0.25">
      <c r="A2890" s="1">
        <v>39387</v>
      </c>
      <c r="B2890" t="s">
        <v>16</v>
      </c>
      <c r="C2890" t="s">
        <v>8</v>
      </c>
      <c r="D2890">
        <v>20</v>
      </c>
      <c r="E2890" s="2">
        <v>1.9050925925925926E-2</v>
      </c>
      <c r="F2890">
        <v>27.433333333333334</v>
      </c>
    </row>
    <row r="2891" spans="1:6" x14ac:dyDescent="0.25">
      <c r="A2891" s="1">
        <v>39387</v>
      </c>
      <c r="B2891" t="s">
        <v>16</v>
      </c>
      <c r="C2891" t="s">
        <v>9</v>
      </c>
      <c r="D2891">
        <v>14</v>
      </c>
      <c r="E2891" s="2">
        <v>9.9652777777777778E-3</v>
      </c>
      <c r="F2891">
        <v>14.35</v>
      </c>
    </row>
    <row r="2892" spans="1:6" x14ac:dyDescent="0.25">
      <c r="A2892" s="1">
        <v>39387</v>
      </c>
      <c r="B2892" t="s">
        <v>16</v>
      </c>
      <c r="C2892" t="s">
        <v>10</v>
      </c>
      <c r="D2892">
        <v>1</v>
      </c>
      <c r="E2892" s="2">
        <v>1.8055555555555555E-3</v>
      </c>
      <c r="F2892">
        <v>2.6</v>
      </c>
    </row>
    <row r="2893" spans="1:6" x14ac:dyDescent="0.25">
      <c r="A2893" s="1">
        <v>39387</v>
      </c>
      <c r="B2893" t="s">
        <v>16</v>
      </c>
      <c r="C2893" t="s">
        <v>11</v>
      </c>
      <c r="D2893">
        <v>14</v>
      </c>
      <c r="E2893" s="2">
        <v>1.1585648148148149E-2</v>
      </c>
      <c r="F2893">
        <v>16.683333333333334</v>
      </c>
    </row>
    <row r="2894" spans="1:6" x14ac:dyDescent="0.25">
      <c r="A2894" s="1">
        <v>39387</v>
      </c>
      <c r="B2894" t="s">
        <v>17</v>
      </c>
      <c r="C2894" t="s">
        <v>6</v>
      </c>
      <c r="D2894">
        <v>16</v>
      </c>
      <c r="E2894" s="2">
        <v>1.2916666666666667E-2</v>
      </c>
      <c r="F2894">
        <v>18.600000000000001</v>
      </c>
    </row>
    <row r="2895" spans="1:6" x14ac:dyDescent="0.25">
      <c r="A2895" s="1">
        <v>39387</v>
      </c>
      <c r="B2895" t="s">
        <v>17</v>
      </c>
      <c r="C2895" t="s">
        <v>7</v>
      </c>
      <c r="D2895">
        <v>14</v>
      </c>
      <c r="E2895" s="2">
        <v>1.3553240740740741E-2</v>
      </c>
      <c r="F2895">
        <v>19.516666666666666</v>
      </c>
    </row>
    <row r="2896" spans="1:6" x14ac:dyDescent="0.25">
      <c r="A2896" s="1">
        <v>39387</v>
      </c>
      <c r="B2896" t="s">
        <v>17</v>
      </c>
      <c r="C2896" t="s">
        <v>8</v>
      </c>
      <c r="D2896">
        <v>10</v>
      </c>
      <c r="E2896" s="2">
        <v>1.3148148148148148E-2</v>
      </c>
      <c r="F2896">
        <v>18.933333333333334</v>
      </c>
    </row>
    <row r="2897" spans="1:6" x14ac:dyDescent="0.25">
      <c r="A2897" s="1">
        <v>39387</v>
      </c>
      <c r="B2897" t="s">
        <v>17</v>
      </c>
      <c r="C2897" t="s">
        <v>9</v>
      </c>
      <c r="D2897">
        <v>5</v>
      </c>
      <c r="E2897" s="2">
        <v>4.2476851851851851E-3</v>
      </c>
      <c r="F2897">
        <v>6.1166666666666663</v>
      </c>
    </row>
    <row r="2898" spans="1:6" x14ac:dyDescent="0.25">
      <c r="A2898" s="1">
        <v>39387</v>
      </c>
      <c r="B2898" t="s">
        <v>17</v>
      </c>
      <c r="C2898" t="s">
        <v>10</v>
      </c>
      <c r="D2898">
        <v>5</v>
      </c>
      <c r="E2898" s="2">
        <v>4.9421296296296297E-3</v>
      </c>
      <c r="F2898">
        <v>7.1166666666666663</v>
      </c>
    </row>
    <row r="2899" spans="1:6" x14ac:dyDescent="0.25">
      <c r="A2899" s="1">
        <v>39387</v>
      </c>
      <c r="B2899" t="s">
        <v>17</v>
      </c>
      <c r="C2899" t="s">
        <v>11</v>
      </c>
      <c r="D2899">
        <v>3</v>
      </c>
      <c r="E2899" s="2">
        <v>2.673611111111111E-3</v>
      </c>
      <c r="F2899">
        <v>3.85</v>
      </c>
    </row>
    <row r="2900" spans="1:6" x14ac:dyDescent="0.25">
      <c r="A2900" s="1">
        <v>39387</v>
      </c>
      <c r="B2900" t="s">
        <v>18</v>
      </c>
      <c r="C2900" t="s">
        <v>6</v>
      </c>
      <c r="D2900">
        <v>103</v>
      </c>
      <c r="E2900" s="2">
        <v>9.5914351851851848E-2</v>
      </c>
      <c r="F2900">
        <v>138.11666666666667</v>
      </c>
    </row>
    <row r="2901" spans="1:6" x14ac:dyDescent="0.25">
      <c r="A2901" s="1">
        <v>39387</v>
      </c>
      <c r="B2901" t="s">
        <v>18</v>
      </c>
      <c r="C2901" t="s">
        <v>7</v>
      </c>
      <c r="D2901">
        <v>91</v>
      </c>
      <c r="E2901" s="2">
        <v>9.0752314814814813E-2</v>
      </c>
      <c r="F2901">
        <v>130.68333333333334</v>
      </c>
    </row>
    <row r="2902" spans="1:6" x14ac:dyDescent="0.25">
      <c r="A2902" s="1">
        <v>39387</v>
      </c>
      <c r="B2902" t="s">
        <v>18</v>
      </c>
      <c r="C2902" t="s">
        <v>8</v>
      </c>
      <c r="D2902">
        <v>55</v>
      </c>
      <c r="E2902" s="2">
        <v>6.3298611111111111E-2</v>
      </c>
      <c r="F2902">
        <v>91.15</v>
      </c>
    </row>
    <row r="2903" spans="1:6" x14ac:dyDescent="0.25">
      <c r="A2903" s="1">
        <v>39387</v>
      </c>
      <c r="B2903" t="s">
        <v>18</v>
      </c>
      <c r="C2903" t="s">
        <v>9</v>
      </c>
      <c r="D2903">
        <v>56</v>
      </c>
      <c r="E2903" s="2">
        <v>3.9432870370370368E-2</v>
      </c>
      <c r="F2903">
        <v>56.783333333333331</v>
      </c>
    </row>
    <row r="2904" spans="1:6" x14ac:dyDescent="0.25">
      <c r="A2904" s="1">
        <v>39387</v>
      </c>
      <c r="B2904" t="s">
        <v>18</v>
      </c>
      <c r="C2904" t="s">
        <v>10</v>
      </c>
      <c r="D2904">
        <v>142</v>
      </c>
      <c r="E2904" s="2">
        <v>0.12855324074074073</v>
      </c>
      <c r="F2904">
        <v>185.11666666666667</v>
      </c>
    </row>
    <row r="2905" spans="1:6" x14ac:dyDescent="0.25">
      <c r="A2905" s="1">
        <v>39387</v>
      </c>
      <c r="B2905" t="s">
        <v>18</v>
      </c>
      <c r="C2905" t="s">
        <v>11</v>
      </c>
      <c r="D2905">
        <v>38</v>
      </c>
      <c r="E2905" s="2">
        <v>3.3379629629629627E-2</v>
      </c>
      <c r="F2905">
        <v>48.06666666666667</v>
      </c>
    </row>
    <row r="2906" spans="1:6" x14ac:dyDescent="0.25">
      <c r="A2906" s="1">
        <v>39387</v>
      </c>
      <c r="B2906" t="s">
        <v>19</v>
      </c>
      <c r="C2906" t="s">
        <v>6</v>
      </c>
      <c r="D2906">
        <v>52</v>
      </c>
      <c r="E2906" s="2">
        <v>4.0590277777777781E-2</v>
      </c>
      <c r="F2906">
        <v>58.45</v>
      </c>
    </row>
    <row r="2907" spans="1:6" x14ac:dyDescent="0.25">
      <c r="A2907" s="1">
        <v>39387</v>
      </c>
      <c r="B2907" t="s">
        <v>19</v>
      </c>
      <c r="C2907" t="s">
        <v>7</v>
      </c>
      <c r="D2907">
        <v>45</v>
      </c>
      <c r="E2907" s="2">
        <v>4.7881944444444442E-2</v>
      </c>
      <c r="F2907">
        <v>68.95</v>
      </c>
    </row>
    <row r="2908" spans="1:6" x14ac:dyDescent="0.25">
      <c r="A2908" s="1">
        <v>39387</v>
      </c>
      <c r="B2908" t="s">
        <v>19</v>
      </c>
      <c r="C2908" t="s">
        <v>8</v>
      </c>
      <c r="D2908">
        <v>43</v>
      </c>
      <c r="E2908" s="2">
        <v>4.7233796296296295E-2</v>
      </c>
      <c r="F2908">
        <v>68.016666666666666</v>
      </c>
    </row>
    <row r="2909" spans="1:6" x14ac:dyDescent="0.25">
      <c r="A2909" s="1">
        <v>39387</v>
      </c>
      <c r="B2909" t="s">
        <v>19</v>
      </c>
      <c r="C2909" t="s">
        <v>9</v>
      </c>
      <c r="D2909">
        <v>30</v>
      </c>
      <c r="E2909" s="2">
        <v>2.4953703703703704E-2</v>
      </c>
      <c r="F2909">
        <v>35.93333333333333</v>
      </c>
    </row>
    <row r="2910" spans="1:6" x14ac:dyDescent="0.25">
      <c r="A2910" s="1">
        <v>39387</v>
      </c>
      <c r="B2910" t="s">
        <v>19</v>
      </c>
      <c r="C2910" t="s">
        <v>10</v>
      </c>
      <c r="D2910">
        <v>12</v>
      </c>
      <c r="E2910" s="2">
        <v>1.3182870370370371E-2</v>
      </c>
      <c r="F2910">
        <v>18.983333333333334</v>
      </c>
    </row>
    <row r="2911" spans="1:6" x14ac:dyDescent="0.25">
      <c r="A2911" s="1">
        <v>39387</v>
      </c>
      <c r="B2911" t="s">
        <v>19</v>
      </c>
      <c r="C2911" t="s">
        <v>11</v>
      </c>
      <c r="D2911">
        <v>28</v>
      </c>
      <c r="E2911" s="2">
        <v>2.5231481481481483E-2</v>
      </c>
      <c r="F2911">
        <v>36.333333333333336</v>
      </c>
    </row>
    <row r="2912" spans="1:6" x14ac:dyDescent="0.25">
      <c r="A2912" s="1">
        <v>39387</v>
      </c>
      <c r="B2912" t="s">
        <v>20</v>
      </c>
      <c r="C2912" t="s">
        <v>6</v>
      </c>
      <c r="D2912">
        <v>33</v>
      </c>
      <c r="E2912" s="2">
        <v>2.5474537037037039E-2</v>
      </c>
      <c r="F2912">
        <v>36.68333333333333</v>
      </c>
    </row>
    <row r="2913" spans="1:6" x14ac:dyDescent="0.25">
      <c r="A2913" s="1">
        <v>39387</v>
      </c>
      <c r="B2913" t="s">
        <v>20</v>
      </c>
      <c r="C2913" t="s">
        <v>7</v>
      </c>
      <c r="D2913">
        <v>21</v>
      </c>
      <c r="E2913" s="2">
        <v>2.0162037037037037E-2</v>
      </c>
      <c r="F2913">
        <v>29.033333333333335</v>
      </c>
    </row>
    <row r="2914" spans="1:6" x14ac:dyDescent="0.25">
      <c r="A2914" s="1">
        <v>39387</v>
      </c>
      <c r="B2914" t="s">
        <v>20</v>
      </c>
      <c r="C2914" t="s">
        <v>8</v>
      </c>
      <c r="D2914">
        <v>15</v>
      </c>
      <c r="E2914" s="2">
        <v>2.013888888888889E-2</v>
      </c>
      <c r="F2914">
        <v>29</v>
      </c>
    </row>
    <row r="2915" spans="1:6" x14ac:dyDescent="0.25">
      <c r="A2915" s="1">
        <v>39387</v>
      </c>
      <c r="B2915" t="s">
        <v>20</v>
      </c>
      <c r="C2915" t="s">
        <v>9</v>
      </c>
      <c r="D2915">
        <v>11</v>
      </c>
      <c r="E2915" s="2">
        <v>8.472222222222223E-3</v>
      </c>
      <c r="F2915">
        <v>12.2</v>
      </c>
    </row>
    <row r="2916" spans="1:6" x14ac:dyDescent="0.25">
      <c r="A2916" s="1">
        <v>39387</v>
      </c>
      <c r="B2916" t="s">
        <v>20</v>
      </c>
      <c r="C2916" t="s">
        <v>10</v>
      </c>
      <c r="D2916">
        <v>5</v>
      </c>
      <c r="E2916" s="2">
        <v>4.9305555555555552E-3</v>
      </c>
      <c r="F2916">
        <v>7.1</v>
      </c>
    </row>
    <row r="2917" spans="1:6" x14ac:dyDescent="0.25">
      <c r="A2917" s="1">
        <v>39387</v>
      </c>
      <c r="B2917" t="s">
        <v>20</v>
      </c>
      <c r="C2917" t="s">
        <v>11</v>
      </c>
      <c r="D2917">
        <v>3</v>
      </c>
      <c r="E2917" s="2">
        <v>1.6087962962962963E-3</v>
      </c>
      <c r="F2917">
        <v>2.3166666666666664</v>
      </c>
    </row>
    <row r="2918" spans="1:6" x14ac:dyDescent="0.25">
      <c r="A2918" s="1">
        <v>39387</v>
      </c>
      <c r="B2918" t="s">
        <v>21</v>
      </c>
      <c r="C2918" t="s">
        <v>6</v>
      </c>
      <c r="D2918">
        <v>21</v>
      </c>
      <c r="E2918" s="2">
        <v>2.3344907407407408E-2</v>
      </c>
      <c r="F2918">
        <v>33.616666666666667</v>
      </c>
    </row>
    <row r="2919" spans="1:6" x14ac:dyDescent="0.25">
      <c r="A2919" s="1">
        <v>39387</v>
      </c>
      <c r="B2919" t="s">
        <v>21</v>
      </c>
      <c r="C2919" t="s">
        <v>7</v>
      </c>
      <c r="D2919">
        <v>6</v>
      </c>
      <c r="E2919" s="2">
        <v>5.0000000000000001E-3</v>
      </c>
      <c r="F2919">
        <v>7.2</v>
      </c>
    </row>
    <row r="2920" spans="1:6" x14ac:dyDescent="0.25">
      <c r="A2920" s="1">
        <v>39387</v>
      </c>
      <c r="B2920" t="s">
        <v>21</v>
      </c>
      <c r="C2920" t="s">
        <v>8</v>
      </c>
      <c r="D2920">
        <v>8</v>
      </c>
      <c r="E2920" s="2">
        <v>9.0162037037037034E-3</v>
      </c>
      <c r="F2920">
        <v>12.983333333333333</v>
      </c>
    </row>
    <row r="2921" spans="1:6" x14ac:dyDescent="0.25">
      <c r="A2921" s="1">
        <v>39387</v>
      </c>
      <c r="B2921" t="s">
        <v>21</v>
      </c>
      <c r="C2921" t="s">
        <v>9</v>
      </c>
      <c r="D2921">
        <v>5</v>
      </c>
      <c r="E2921" s="2">
        <v>2.1527777777777778E-3</v>
      </c>
      <c r="F2921">
        <v>3.1</v>
      </c>
    </row>
    <row r="2922" spans="1:6" x14ac:dyDescent="0.25">
      <c r="A2922" s="1">
        <v>39387</v>
      </c>
      <c r="B2922" t="s">
        <v>21</v>
      </c>
      <c r="C2922" t="s">
        <v>10</v>
      </c>
      <c r="D2922">
        <v>2</v>
      </c>
      <c r="E2922" s="2">
        <v>4.5138888888888887E-4</v>
      </c>
      <c r="F2922">
        <v>0.65</v>
      </c>
    </row>
    <row r="2923" spans="1:6" x14ac:dyDescent="0.25">
      <c r="A2923" s="1">
        <v>39387</v>
      </c>
      <c r="B2923" t="s">
        <v>21</v>
      </c>
      <c r="C2923" t="s">
        <v>11</v>
      </c>
      <c r="D2923">
        <v>8</v>
      </c>
      <c r="E2923" s="2">
        <v>7.6273148148148151E-3</v>
      </c>
      <c r="F2923">
        <v>10.983333333333333</v>
      </c>
    </row>
    <row r="2924" spans="1:6" x14ac:dyDescent="0.25">
      <c r="A2924" s="1">
        <v>39387</v>
      </c>
      <c r="B2924" t="s">
        <v>22</v>
      </c>
      <c r="C2924" t="s">
        <v>6</v>
      </c>
      <c r="D2924">
        <v>13</v>
      </c>
      <c r="E2924" s="2">
        <v>1.2268518518518519E-2</v>
      </c>
      <c r="F2924">
        <v>17.666666666666668</v>
      </c>
    </row>
    <row r="2925" spans="1:6" x14ac:dyDescent="0.25">
      <c r="A2925" s="1">
        <v>39387</v>
      </c>
      <c r="B2925" t="s">
        <v>22</v>
      </c>
      <c r="C2925" t="s">
        <v>7</v>
      </c>
      <c r="D2925">
        <v>5</v>
      </c>
      <c r="E2925" s="2">
        <v>4.4560185185185189E-3</v>
      </c>
      <c r="F2925">
        <v>6.416666666666667</v>
      </c>
    </row>
    <row r="2926" spans="1:6" x14ac:dyDescent="0.25">
      <c r="A2926" s="1">
        <v>39387</v>
      </c>
      <c r="B2926" t="s">
        <v>22</v>
      </c>
      <c r="C2926" t="s">
        <v>8</v>
      </c>
      <c r="D2926">
        <v>6</v>
      </c>
      <c r="E2926" s="2">
        <v>7.3379629629629628E-3</v>
      </c>
      <c r="F2926">
        <v>10.566666666666666</v>
      </c>
    </row>
    <row r="2927" spans="1:6" x14ac:dyDescent="0.25">
      <c r="A2927" s="1">
        <v>39387</v>
      </c>
      <c r="B2927" t="s">
        <v>22</v>
      </c>
      <c r="C2927" t="s">
        <v>9</v>
      </c>
      <c r="D2927">
        <v>2</v>
      </c>
      <c r="E2927" s="2">
        <v>1.238425925925926E-3</v>
      </c>
      <c r="F2927">
        <v>1.7833333333333332</v>
      </c>
    </row>
    <row r="2928" spans="1:6" x14ac:dyDescent="0.25">
      <c r="A2928" s="1">
        <v>39387</v>
      </c>
      <c r="B2928" t="s">
        <v>22</v>
      </c>
      <c r="C2928" t="s">
        <v>10</v>
      </c>
      <c r="D2928">
        <v>4</v>
      </c>
      <c r="E2928" s="2">
        <v>2.5347222222222221E-3</v>
      </c>
      <c r="F2928">
        <v>3.65</v>
      </c>
    </row>
    <row r="2929" spans="1:6" x14ac:dyDescent="0.25">
      <c r="A2929" s="1">
        <v>39387</v>
      </c>
      <c r="B2929" t="s">
        <v>22</v>
      </c>
      <c r="C2929" t="s">
        <v>11</v>
      </c>
      <c r="D2929">
        <v>4</v>
      </c>
      <c r="E2929" s="2">
        <v>1.8749999999999999E-3</v>
      </c>
      <c r="F2929">
        <v>2.7</v>
      </c>
    </row>
    <row r="2930" spans="1:6" x14ac:dyDescent="0.25">
      <c r="A2930" s="1">
        <v>39387</v>
      </c>
      <c r="B2930" t="s">
        <v>23</v>
      </c>
      <c r="C2930" t="s">
        <v>6</v>
      </c>
      <c r="D2930">
        <v>203</v>
      </c>
      <c r="E2930" s="2">
        <v>0.23783564814814814</v>
      </c>
      <c r="F2930">
        <v>342.48333333333335</v>
      </c>
    </row>
    <row r="2931" spans="1:6" x14ac:dyDescent="0.25">
      <c r="A2931" s="1">
        <v>39387</v>
      </c>
      <c r="B2931" t="s">
        <v>23</v>
      </c>
      <c r="C2931" t="s">
        <v>7</v>
      </c>
      <c r="D2931">
        <v>192</v>
      </c>
      <c r="E2931" s="2">
        <v>0.23163194444444443</v>
      </c>
      <c r="F2931">
        <v>333.55</v>
      </c>
    </row>
    <row r="2932" spans="1:6" x14ac:dyDescent="0.25">
      <c r="A2932" s="1">
        <v>39387</v>
      </c>
      <c r="B2932" t="s">
        <v>23</v>
      </c>
      <c r="C2932" t="s">
        <v>8</v>
      </c>
      <c r="D2932">
        <v>109</v>
      </c>
      <c r="E2932" s="2">
        <v>0.12123842592592593</v>
      </c>
      <c r="F2932">
        <v>174.58333333333334</v>
      </c>
    </row>
    <row r="2933" spans="1:6" x14ac:dyDescent="0.25">
      <c r="A2933" s="1">
        <v>39387</v>
      </c>
      <c r="B2933" t="s">
        <v>23</v>
      </c>
      <c r="C2933" t="s">
        <v>9</v>
      </c>
      <c r="D2933">
        <v>81</v>
      </c>
      <c r="E2933" s="2">
        <v>6.2407407407407404E-2</v>
      </c>
      <c r="F2933">
        <v>89.86666666666666</v>
      </c>
    </row>
    <row r="2934" spans="1:6" x14ac:dyDescent="0.25">
      <c r="A2934" s="1">
        <v>39387</v>
      </c>
      <c r="B2934" t="s">
        <v>23</v>
      </c>
      <c r="C2934" t="s">
        <v>10</v>
      </c>
      <c r="D2934">
        <v>50</v>
      </c>
      <c r="E2934" s="2">
        <v>5.6736111111111112E-2</v>
      </c>
      <c r="F2934">
        <v>81.7</v>
      </c>
    </row>
    <row r="2935" spans="1:6" x14ac:dyDescent="0.25">
      <c r="A2935" s="1">
        <v>39387</v>
      </c>
      <c r="B2935" t="s">
        <v>23</v>
      </c>
      <c r="C2935" t="s">
        <v>11</v>
      </c>
      <c r="D2935">
        <v>70</v>
      </c>
      <c r="E2935" s="2">
        <v>6.2893518518518515E-2</v>
      </c>
      <c r="F2935">
        <v>90.566666666666663</v>
      </c>
    </row>
    <row r="2936" spans="1:6" x14ac:dyDescent="0.25">
      <c r="A2936" s="1">
        <v>39387</v>
      </c>
      <c r="B2936" t="s">
        <v>24</v>
      </c>
      <c r="C2936" t="s">
        <v>6</v>
      </c>
      <c r="D2936">
        <v>51</v>
      </c>
      <c r="E2936" s="2">
        <v>3.0520833333333334E-2</v>
      </c>
      <c r="F2936">
        <v>43.95</v>
      </c>
    </row>
    <row r="2937" spans="1:6" x14ac:dyDescent="0.25">
      <c r="A2937" s="1">
        <v>39387</v>
      </c>
      <c r="B2937" t="s">
        <v>24</v>
      </c>
      <c r="C2937" t="s">
        <v>7</v>
      </c>
      <c r="D2937">
        <v>36</v>
      </c>
      <c r="E2937" s="2">
        <v>3.0219907407407407E-2</v>
      </c>
      <c r="F2937">
        <v>43.516666666666666</v>
      </c>
    </row>
    <row r="2938" spans="1:6" x14ac:dyDescent="0.25">
      <c r="A2938" s="1">
        <v>39387</v>
      </c>
      <c r="B2938" t="s">
        <v>24</v>
      </c>
      <c r="C2938" t="s">
        <v>8</v>
      </c>
      <c r="D2938">
        <v>20</v>
      </c>
      <c r="E2938" s="2">
        <v>1.9131944444444444E-2</v>
      </c>
      <c r="F2938">
        <v>27.55</v>
      </c>
    </row>
    <row r="2939" spans="1:6" x14ac:dyDescent="0.25">
      <c r="A2939" s="1">
        <v>39387</v>
      </c>
      <c r="B2939" t="s">
        <v>24</v>
      </c>
      <c r="C2939" t="s">
        <v>9</v>
      </c>
      <c r="D2939">
        <v>13</v>
      </c>
      <c r="E2939" s="2">
        <v>9.1203703703703707E-3</v>
      </c>
      <c r="F2939">
        <v>13.133333333333333</v>
      </c>
    </row>
    <row r="2940" spans="1:6" x14ac:dyDescent="0.25">
      <c r="A2940" s="1">
        <v>39387</v>
      </c>
      <c r="B2940" t="s">
        <v>24</v>
      </c>
      <c r="C2940" t="s">
        <v>10</v>
      </c>
      <c r="D2940">
        <v>2</v>
      </c>
      <c r="E2940" s="2">
        <v>4.2824074074074075E-4</v>
      </c>
      <c r="F2940">
        <v>0.6166666666666667</v>
      </c>
    </row>
    <row r="2941" spans="1:6" x14ac:dyDescent="0.25">
      <c r="A2941" s="1">
        <v>39387</v>
      </c>
      <c r="B2941" t="s">
        <v>24</v>
      </c>
      <c r="C2941" t="s">
        <v>11</v>
      </c>
      <c r="D2941">
        <v>18</v>
      </c>
      <c r="E2941" s="2">
        <v>9.1898148148148156E-3</v>
      </c>
      <c r="F2941">
        <v>13.233333333333333</v>
      </c>
    </row>
    <row r="2942" spans="1:6" x14ac:dyDescent="0.25">
      <c r="A2942" s="1">
        <v>39417</v>
      </c>
      <c r="B2942" t="s">
        <v>5</v>
      </c>
      <c r="C2942" t="s">
        <v>6</v>
      </c>
      <c r="D2942">
        <v>23</v>
      </c>
      <c r="E2942" s="2">
        <v>1.6203703703703703E-2</v>
      </c>
      <c r="F2942">
        <v>23.333333333333332</v>
      </c>
    </row>
    <row r="2943" spans="1:6" x14ac:dyDescent="0.25">
      <c r="A2943" s="1">
        <v>39417</v>
      </c>
      <c r="B2943" t="s">
        <v>5</v>
      </c>
      <c r="C2943" t="s">
        <v>7</v>
      </c>
      <c r="D2943">
        <v>17</v>
      </c>
      <c r="E2943" s="2">
        <v>1.5138888888888889E-2</v>
      </c>
      <c r="F2943">
        <v>21.8</v>
      </c>
    </row>
    <row r="2944" spans="1:6" x14ac:dyDescent="0.25">
      <c r="A2944" s="1">
        <v>39417</v>
      </c>
      <c r="B2944" t="s">
        <v>5</v>
      </c>
      <c r="C2944" t="s">
        <v>8</v>
      </c>
      <c r="D2944">
        <v>14</v>
      </c>
      <c r="E2944" s="2">
        <v>2.3877314814814816E-2</v>
      </c>
      <c r="F2944">
        <v>34.383333333333333</v>
      </c>
    </row>
    <row r="2945" spans="1:6" x14ac:dyDescent="0.25">
      <c r="A2945" s="1">
        <v>39417</v>
      </c>
      <c r="B2945" t="s">
        <v>5</v>
      </c>
      <c r="C2945" t="s">
        <v>9</v>
      </c>
      <c r="D2945">
        <v>5</v>
      </c>
      <c r="E2945" s="2">
        <v>2.3495370370370371E-3</v>
      </c>
      <c r="F2945">
        <v>3.3833333333333333</v>
      </c>
    </row>
    <row r="2946" spans="1:6" x14ac:dyDescent="0.25">
      <c r="A2946" s="1">
        <v>39417</v>
      </c>
      <c r="B2946" t="s">
        <v>5</v>
      </c>
      <c r="C2946" t="s">
        <v>10</v>
      </c>
      <c r="D2946">
        <v>3</v>
      </c>
      <c r="E2946" s="2">
        <v>1.8981481481481482E-3</v>
      </c>
      <c r="F2946">
        <v>2.7333333333333334</v>
      </c>
    </row>
    <row r="2947" spans="1:6" x14ac:dyDescent="0.25">
      <c r="A2947" s="1">
        <v>39417</v>
      </c>
      <c r="B2947" t="s">
        <v>5</v>
      </c>
      <c r="C2947" t="s">
        <v>11</v>
      </c>
      <c r="D2947">
        <v>2</v>
      </c>
      <c r="E2947" s="2">
        <v>1.5856481481481481E-3</v>
      </c>
      <c r="F2947">
        <v>2.2833333333333332</v>
      </c>
    </row>
    <row r="2948" spans="1:6" x14ac:dyDescent="0.25">
      <c r="A2948" s="1">
        <v>39417</v>
      </c>
      <c r="B2948" t="s">
        <v>12</v>
      </c>
      <c r="C2948" t="s">
        <v>6</v>
      </c>
      <c r="D2948">
        <v>68</v>
      </c>
      <c r="E2948" s="2">
        <v>7.0150462962962956E-2</v>
      </c>
      <c r="F2948">
        <v>101.01666666666667</v>
      </c>
    </row>
    <row r="2949" spans="1:6" x14ac:dyDescent="0.25">
      <c r="A2949" s="1">
        <v>39417</v>
      </c>
      <c r="B2949" t="s">
        <v>12</v>
      </c>
      <c r="C2949" t="s">
        <v>7</v>
      </c>
      <c r="D2949">
        <v>57</v>
      </c>
      <c r="E2949" s="2">
        <v>8.2546296296296298E-2</v>
      </c>
      <c r="F2949">
        <v>118.86666666666666</v>
      </c>
    </row>
    <row r="2950" spans="1:6" x14ac:dyDescent="0.25">
      <c r="A2950" s="1">
        <v>39417</v>
      </c>
      <c r="B2950" t="s">
        <v>12</v>
      </c>
      <c r="C2950" t="s">
        <v>8</v>
      </c>
      <c r="D2950">
        <v>35</v>
      </c>
      <c r="E2950" s="2">
        <v>4.6886574074074074E-2</v>
      </c>
      <c r="F2950">
        <v>67.516666666666666</v>
      </c>
    </row>
    <row r="2951" spans="1:6" x14ac:dyDescent="0.25">
      <c r="A2951" s="1">
        <v>39417</v>
      </c>
      <c r="B2951" t="s">
        <v>12</v>
      </c>
      <c r="C2951" t="s">
        <v>9</v>
      </c>
      <c r="D2951">
        <v>17</v>
      </c>
      <c r="E2951" s="2">
        <v>1.1608796296296296E-2</v>
      </c>
      <c r="F2951">
        <v>16.716666666666665</v>
      </c>
    </row>
    <row r="2952" spans="1:6" x14ac:dyDescent="0.25">
      <c r="A2952" s="1">
        <v>39417</v>
      </c>
      <c r="B2952" t="s">
        <v>12</v>
      </c>
      <c r="C2952" t="s">
        <v>10</v>
      </c>
      <c r="D2952">
        <v>8</v>
      </c>
      <c r="E2952" s="2">
        <v>1.2812499999999999E-2</v>
      </c>
      <c r="F2952">
        <v>18.45</v>
      </c>
    </row>
    <row r="2953" spans="1:6" x14ac:dyDescent="0.25">
      <c r="A2953" s="1">
        <v>39417</v>
      </c>
      <c r="B2953" t="s">
        <v>12</v>
      </c>
      <c r="C2953" t="s">
        <v>11</v>
      </c>
      <c r="D2953">
        <v>25</v>
      </c>
      <c r="E2953" s="2">
        <v>2.3101851851851853E-2</v>
      </c>
      <c r="F2953">
        <v>33.266666666666666</v>
      </c>
    </row>
    <row r="2954" spans="1:6" x14ac:dyDescent="0.25">
      <c r="A2954" s="1">
        <v>39417</v>
      </c>
      <c r="B2954" t="s">
        <v>13</v>
      </c>
      <c r="C2954" t="s">
        <v>6</v>
      </c>
      <c r="D2954">
        <v>61</v>
      </c>
      <c r="E2954" s="2">
        <v>5.5925925925925928E-2</v>
      </c>
      <c r="F2954">
        <v>80.533333333333331</v>
      </c>
    </row>
    <row r="2955" spans="1:6" x14ac:dyDescent="0.25">
      <c r="A2955" s="1">
        <v>39417</v>
      </c>
      <c r="B2955" t="s">
        <v>13</v>
      </c>
      <c r="C2955" t="s">
        <v>7</v>
      </c>
      <c r="D2955">
        <v>49</v>
      </c>
      <c r="E2955" s="2">
        <v>5.8032407407407408E-2</v>
      </c>
      <c r="F2955">
        <v>83.566666666666663</v>
      </c>
    </row>
    <row r="2956" spans="1:6" x14ac:dyDescent="0.25">
      <c r="A2956" s="1">
        <v>39417</v>
      </c>
      <c r="B2956" t="s">
        <v>13</v>
      </c>
      <c r="C2956" t="s">
        <v>8</v>
      </c>
      <c r="D2956">
        <v>38</v>
      </c>
      <c r="E2956" s="2">
        <v>4.5370370370370373E-2</v>
      </c>
      <c r="F2956">
        <v>65.333333333333329</v>
      </c>
    </row>
    <row r="2957" spans="1:6" x14ac:dyDescent="0.25">
      <c r="A2957" s="1">
        <v>39417</v>
      </c>
      <c r="B2957" t="s">
        <v>13</v>
      </c>
      <c r="C2957" t="s">
        <v>9</v>
      </c>
      <c r="D2957">
        <v>20</v>
      </c>
      <c r="E2957" s="2">
        <v>1.607638888888889E-2</v>
      </c>
      <c r="F2957">
        <v>23.15</v>
      </c>
    </row>
    <row r="2958" spans="1:6" x14ac:dyDescent="0.25">
      <c r="A2958" s="1">
        <v>39417</v>
      </c>
      <c r="B2958" t="s">
        <v>13</v>
      </c>
      <c r="C2958" t="s">
        <v>10</v>
      </c>
      <c r="D2958">
        <v>13</v>
      </c>
      <c r="E2958" s="2">
        <v>1.53125E-2</v>
      </c>
      <c r="F2958">
        <v>22.05</v>
      </c>
    </row>
    <row r="2959" spans="1:6" x14ac:dyDescent="0.25">
      <c r="A2959" s="1">
        <v>39417</v>
      </c>
      <c r="B2959" t="s">
        <v>13</v>
      </c>
      <c r="C2959" t="s">
        <v>11</v>
      </c>
      <c r="D2959">
        <v>18</v>
      </c>
      <c r="E2959" s="2">
        <v>1.3784722222222223E-2</v>
      </c>
      <c r="F2959">
        <v>19.850000000000001</v>
      </c>
    </row>
    <row r="2960" spans="1:6" x14ac:dyDescent="0.25">
      <c r="A2960" s="1">
        <v>39417</v>
      </c>
      <c r="B2960" t="s">
        <v>14</v>
      </c>
      <c r="C2960" t="s">
        <v>6</v>
      </c>
      <c r="D2960">
        <v>17</v>
      </c>
      <c r="E2960" s="2">
        <v>1.2627314814814815E-2</v>
      </c>
      <c r="F2960">
        <v>18.183333333333334</v>
      </c>
    </row>
    <row r="2961" spans="1:6" x14ac:dyDescent="0.25">
      <c r="A2961" s="1">
        <v>39417</v>
      </c>
      <c r="B2961" t="s">
        <v>14</v>
      </c>
      <c r="C2961" t="s">
        <v>7</v>
      </c>
      <c r="D2961">
        <v>9</v>
      </c>
      <c r="E2961" s="2">
        <v>1.1493055555555555E-2</v>
      </c>
      <c r="F2961">
        <v>16.55</v>
      </c>
    </row>
    <row r="2962" spans="1:6" x14ac:dyDescent="0.25">
      <c r="A2962" s="1">
        <v>39417</v>
      </c>
      <c r="B2962" t="s">
        <v>14</v>
      </c>
      <c r="C2962" t="s">
        <v>8</v>
      </c>
      <c r="D2962">
        <v>5</v>
      </c>
      <c r="E2962" s="2">
        <v>6.122685185185185E-3</v>
      </c>
      <c r="F2962">
        <v>8.8166666666666664</v>
      </c>
    </row>
    <row r="2963" spans="1:6" x14ac:dyDescent="0.25">
      <c r="A2963" s="1">
        <v>39417</v>
      </c>
      <c r="B2963" t="s">
        <v>14</v>
      </c>
      <c r="C2963" t="s">
        <v>9</v>
      </c>
      <c r="D2963">
        <v>1</v>
      </c>
      <c r="E2963" s="2">
        <v>1.0416666666666667E-3</v>
      </c>
      <c r="F2963">
        <v>1.5</v>
      </c>
    </row>
    <row r="2964" spans="1:6" x14ac:dyDescent="0.25">
      <c r="A2964" s="1">
        <v>39417</v>
      </c>
      <c r="B2964" t="s">
        <v>14</v>
      </c>
      <c r="C2964" t="s">
        <v>10</v>
      </c>
      <c r="D2964">
        <v>0</v>
      </c>
      <c r="E2964" s="2">
        <v>0</v>
      </c>
      <c r="F2964">
        <v>0</v>
      </c>
    </row>
    <row r="2965" spans="1:6" x14ac:dyDescent="0.25">
      <c r="A2965" s="1">
        <v>39417</v>
      </c>
      <c r="B2965" t="s">
        <v>14</v>
      </c>
      <c r="C2965" t="s">
        <v>11</v>
      </c>
      <c r="D2965">
        <v>1</v>
      </c>
      <c r="E2965" s="2">
        <v>1.1921296296296296E-3</v>
      </c>
      <c r="F2965">
        <v>1.7166666666666668</v>
      </c>
    </row>
    <row r="2966" spans="1:6" x14ac:dyDescent="0.25">
      <c r="A2966" s="1">
        <v>39417</v>
      </c>
      <c r="B2966" t="s">
        <v>15</v>
      </c>
      <c r="C2966" t="s">
        <v>6</v>
      </c>
      <c r="D2966">
        <v>56</v>
      </c>
      <c r="E2966" s="2">
        <v>5.2256944444444446E-2</v>
      </c>
      <c r="F2966">
        <v>75.25</v>
      </c>
    </row>
    <row r="2967" spans="1:6" x14ac:dyDescent="0.25">
      <c r="A2967" s="1">
        <v>39417</v>
      </c>
      <c r="B2967" t="s">
        <v>15</v>
      </c>
      <c r="C2967" t="s">
        <v>7</v>
      </c>
      <c r="D2967">
        <v>36</v>
      </c>
      <c r="E2967" s="2">
        <v>3.4918981481481481E-2</v>
      </c>
      <c r="F2967">
        <v>50.283333333333331</v>
      </c>
    </row>
    <row r="2968" spans="1:6" x14ac:dyDescent="0.25">
      <c r="A2968" s="1">
        <v>39417</v>
      </c>
      <c r="B2968" t="s">
        <v>15</v>
      </c>
      <c r="C2968" t="s">
        <v>8</v>
      </c>
      <c r="D2968">
        <v>18</v>
      </c>
      <c r="E2968" s="2">
        <v>1.6863425925925928E-2</v>
      </c>
      <c r="F2968">
        <v>24.283333333333335</v>
      </c>
    </row>
    <row r="2969" spans="1:6" x14ac:dyDescent="0.25">
      <c r="A2969" s="1">
        <v>39417</v>
      </c>
      <c r="B2969" t="s">
        <v>15</v>
      </c>
      <c r="C2969" t="s">
        <v>9</v>
      </c>
      <c r="D2969">
        <v>10</v>
      </c>
      <c r="E2969" s="2">
        <v>7.1643518518518514E-3</v>
      </c>
      <c r="F2969">
        <v>10.316666666666666</v>
      </c>
    </row>
    <row r="2970" spans="1:6" x14ac:dyDescent="0.25">
      <c r="A2970" s="1">
        <v>39417</v>
      </c>
      <c r="B2970" t="s">
        <v>15</v>
      </c>
      <c r="C2970" t="s">
        <v>10</v>
      </c>
      <c r="D2970">
        <v>16</v>
      </c>
      <c r="E2970" s="2">
        <v>1.7858796296296296E-2</v>
      </c>
      <c r="F2970">
        <v>25.716666666666665</v>
      </c>
    </row>
    <row r="2971" spans="1:6" x14ac:dyDescent="0.25">
      <c r="A2971" s="1">
        <v>39417</v>
      </c>
      <c r="B2971" t="s">
        <v>15</v>
      </c>
      <c r="C2971" t="s">
        <v>11</v>
      </c>
      <c r="D2971">
        <v>9</v>
      </c>
      <c r="E2971" s="2">
        <v>7.3148148148148148E-3</v>
      </c>
      <c r="F2971">
        <v>10.533333333333333</v>
      </c>
    </row>
    <row r="2972" spans="1:6" x14ac:dyDescent="0.25">
      <c r="A2972" s="1">
        <v>39417</v>
      </c>
      <c r="B2972" t="s">
        <v>16</v>
      </c>
      <c r="C2972" t="s">
        <v>6</v>
      </c>
      <c r="D2972">
        <v>38</v>
      </c>
      <c r="E2972" s="2">
        <v>3.2534722222222222E-2</v>
      </c>
      <c r="F2972">
        <v>46.85</v>
      </c>
    </row>
    <row r="2973" spans="1:6" x14ac:dyDescent="0.25">
      <c r="A2973" s="1">
        <v>39417</v>
      </c>
      <c r="B2973" t="s">
        <v>16</v>
      </c>
      <c r="C2973" t="s">
        <v>7</v>
      </c>
      <c r="D2973">
        <v>33</v>
      </c>
      <c r="E2973" s="2">
        <v>3.3645833333333333E-2</v>
      </c>
      <c r="F2973">
        <v>48.45</v>
      </c>
    </row>
    <row r="2974" spans="1:6" x14ac:dyDescent="0.25">
      <c r="A2974" s="1">
        <v>39417</v>
      </c>
      <c r="B2974" t="s">
        <v>16</v>
      </c>
      <c r="C2974" t="s">
        <v>8</v>
      </c>
      <c r="D2974">
        <v>16</v>
      </c>
      <c r="E2974" s="2">
        <v>1.7152777777777777E-2</v>
      </c>
      <c r="F2974">
        <v>24.7</v>
      </c>
    </row>
    <row r="2975" spans="1:6" x14ac:dyDescent="0.25">
      <c r="A2975" s="1">
        <v>39417</v>
      </c>
      <c r="B2975" t="s">
        <v>16</v>
      </c>
      <c r="C2975" t="s">
        <v>9</v>
      </c>
      <c r="D2975">
        <v>15</v>
      </c>
      <c r="E2975" s="2">
        <v>1.1620370370370371E-2</v>
      </c>
      <c r="F2975">
        <v>16.733333333333334</v>
      </c>
    </row>
    <row r="2976" spans="1:6" x14ac:dyDescent="0.25">
      <c r="A2976" s="1">
        <v>39417</v>
      </c>
      <c r="B2976" t="s">
        <v>16</v>
      </c>
      <c r="C2976" t="s">
        <v>10</v>
      </c>
      <c r="D2976">
        <v>4</v>
      </c>
      <c r="E2976" s="2">
        <v>2.1296296296296298E-3</v>
      </c>
      <c r="F2976">
        <v>3.0666666666666669</v>
      </c>
    </row>
    <row r="2977" spans="1:6" x14ac:dyDescent="0.25">
      <c r="A2977" s="1">
        <v>39417</v>
      </c>
      <c r="B2977" t="s">
        <v>16</v>
      </c>
      <c r="C2977" t="s">
        <v>11</v>
      </c>
      <c r="D2977">
        <v>23</v>
      </c>
      <c r="E2977" s="2">
        <v>1.9050925925925926E-2</v>
      </c>
      <c r="F2977">
        <v>27.433333333333334</v>
      </c>
    </row>
    <row r="2978" spans="1:6" x14ac:dyDescent="0.25">
      <c r="A2978" s="1">
        <v>39417</v>
      </c>
      <c r="B2978" t="s">
        <v>17</v>
      </c>
      <c r="C2978" t="s">
        <v>6</v>
      </c>
      <c r="D2978">
        <v>10</v>
      </c>
      <c r="E2978" s="2">
        <v>5.0115740740740737E-3</v>
      </c>
      <c r="F2978">
        <v>7.2166666666666668</v>
      </c>
    </row>
    <row r="2979" spans="1:6" x14ac:dyDescent="0.25">
      <c r="A2979" s="1">
        <v>39417</v>
      </c>
      <c r="B2979" t="s">
        <v>17</v>
      </c>
      <c r="C2979" t="s">
        <v>7</v>
      </c>
      <c r="D2979">
        <v>7</v>
      </c>
      <c r="E2979" s="2">
        <v>4.0046296296296297E-3</v>
      </c>
      <c r="F2979">
        <v>5.7666666666666666</v>
      </c>
    </row>
    <row r="2980" spans="1:6" x14ac:dyDescent="0.25">
      <c r="A2980" s="1">
        <v>39417</v>
      </c>
      <c r="B2980" t="s">
        <v>17</v>
      </c>
      <c r="C2980" t="s">
        <v>8</v>
      </c>
      <c r="D2980">
        <v>4</v>
      </c>
      <c r="E2980" s="2">
        <v>4.5833333333333334E-3</v>
      </c>
      <c r="F2980">
        <v>6.6</v>
      </c>
    </row>
    <row r="2981" spans="1:6" x14ac:dyDescent="0.25">
      <c r="A2981" s="1">
        <v>39417</v>
      </c>
      <c r="B2981" t="s">
        <v>17</v>
      </c>
      <c r="C2981" t="s">
        <v>9</v>
      </c>
      <c r="D2981">
        <v>5</v>
      </c>
      <c r="E2981" s="2">
        <v>3.3796296296296296E-3</v>
      </c>
      <c r="F2981">
        <v>4.8666666666666671</v>
      </c>
    </row>
    <row r="2982" spans="1:6" x14ac:dyDescent="0.25">
      <c r="A2982" s="1">
        <v>39417</v>
      </c>
      <c r="B2982" t="s">
        <v>17</v>
      </c>
      <c r="C2982" t="s">
        <v>10</v>
      </c>
      <c r="D2982">
        <v>2</v>
      </c>
      <c r="E2982" s="2">
        <v>7.8703703703703705E-4</v>
      </c>
      <c r="F2982">
        <v>1.1333333333333333</v>
      </c>
    </row>
    <row r="2983" spans="1:6" x14ac:dyDescent="0.25">
      <c r="A2983" s="1">
        <v>39417</v>
      </c>
      <c r="B2983" t="s">
        <v>17</v>
      </c>
      <c r="C2983" t="s">
        <v>11</v>
      </c>
      <c r="D2983">
        <v>2</v>
      </c>
      <c r="E2983" s="2">
        <v>1.4699074074074074E-3</v>
      </c>
      <c r="F2983">
        <v>2.1166666666666667</v>
      </c>
    </row>
    <row r="2984" spans="1:6" x14ac:dyDescent="0.25">
      <c r="A2984" s="1">
        <v>39417</v>
      </c>
      <c r="B2984" t="s">
        <v>18</v>
      </c>
      <c r="C2984" t="s">
        <v>6</v>
      </c>
      <c r="D2984">
        <v>109</v>
      </c>
      <c r="E2984" s="2">
        <v>9.3460648148148154E-2</v>
      </c>
      <c r="F2984">
        <v>134.58333333333334</v>
      </c>
    </row>
    <row r="2985" spans="1:6" x14ac:dyDescent="0.25">
      <c r="A2985" s="1">
        <v>39417</v>
      </c>
      <c r="B2985" t="s">
        <v>18</v>
      </c>
      <c r="C2985" t="s">
        <v>7</v>
      </c>
      <c r="D2985">
        <v>117</v>
      </c>
      <c r="E2985" s="2">
        <v>0.10969907407407407</v>
      </c>
      <c r="F2985">
        <v>157.96666666666667</v>
      </c>
    </row>
    <row r="2986" spans="1:6" x14ac:dyDescent="0.25">
      <c r="A2986" s="1">
        <v>39417</v>
      </c>
      <c r="B2986" t="s">
        <v>18</v>
      </c>
      <c r="C2986" t="s">
        <v>8</v>
      </c>
      <c r="D2986">
        <v>69</v>
      </c>
      <c r="E2986" s="2">
        <v>7.4212962962962967E-2</v>
      </c>
      <c r="F2986">
        <v>106.86666666666666</v>
      </c>
    </row>
    <row r="2987" spans="1:6" x14ac:dyDescent="0.25">
      <c r="A2987" s="1">
        <v>39417</v>
      </c>
      <c r="B2987" t="s">
        <v>18</v>
      </c>
      <c r="C2987" t="s">
        <v>9</v>
      </c>
      <c r="D2987">
        <v>72</v>
      </c>
      <c r="E2987" s="2">
        <v>5.0509259259259261E-2</v>
      </c>
      <c r="F2987">
        <v>72.733333333333334</v>
      </c>
    </row>
    <row r="2988" spans="1:6" x14ac:dyDescent="0.25">
      <c r="A2988" s="1">
        <v>39417</v>
      </c>
      <c r="B2988" t="s">
        <v>18</v>
      </c>
      <c r="C2988" t="s">
        <v>10</v>
      </c>
      <c r="D2988">
        <v>149</v>
      </c>
      <c r="E2988" s="2">
        <v>0.15304398148148149</v>
      </c>
      <c r="F2988">
        <v>220.38333333333333</v>
      </c>
    </row>
    <row r="2989" spans="1:6" x14ac:dyDescent="0.25">
      <c r="A2989" s="1">
        <v>39417</v>
      </c>
      <c r="B2989" t="s">
        <v>18</v>
      </c>
      <c r="C2989" t="s">
        <v>11</v>
      </c>
      <c r="D2989">
        <v>48</v>
      </c>
      <c r="E2989" s="2">
        <v>3.2337962962962964E-2</v>
      </c>
      <c r="F2989">
        <v>46.56666666666667</v>
      </c>
    </row>
    <row r="2990" spans="1:6" x14ac:dyDescent="0.25">
      <c r="A2990" s="1">
        <v>39417</v>
      </c>
      <c r="B2990" t="s">
        <v>19</v>
      </c>
      <c r="C2990" t="s">
        <v>6</v>
      </c>
      <c r="D2990">
        <v>65</v>
      </c>
      <c r="E2990" s="2">
        <v>6.2025462962962963E-2</v>
      </c>
      <c r="F2990">
        <v>89.316666666666663</v>
      </c>
    </row>
    <row r="2991" spans="1:6" x14ac:dyDescent="0.25">
      <c r="A2991" s="1">
        <v>39417</v>
      </c>
      <c r="B2991" t="s">
        <v>19</v>
      </c>
      <c r="C2991" t="s">
        <v>7</v>
      </c>
      <c r="D2991">
        <v>51</v>
      </c>
      <c r="E2991" s="2">
        <v>5.0821759259259261E-2</v>
      </c>
      <c r="F2991">
        <v>73.183333333333337</v>
      </c>
    </row>
    <row r="2992" spans="1:6" x14ac:dyDescent="0.25">
      <c r="A2992" s="1">
        <v>39417</v>
      </c>
      <c r="B2992" t="s">
        <v>19</v>
      </c>
      <c r="C2992" t="s">
        <v>8</v>
      </c>
      <c r="D2992">
        <v>45</v>
      </c>
      <c r="E2992" s="2">
        <v>5.3182870370370373E-2</v>
      </c>
      <c r="F2992">
        <v>76.583333333333329</v>
      </c>
    </row>
    <row r="2993" spans="1:6" x14ac:dyDescent="0.25">
      <c r="A2993" s="1">
        <v>39417</v>
      </c>
      <c r="B2993" t="s">
        <v>19</v>
      </c>
      <c r="C2993" t="s">
        <v>9</v>
      </c>
      <c r="D2993">
        <v>36</v>
      </c>
      <c r="E2993" s="2">
        <v>3.0520833333333334E-2</v>
      </c>
      <c r="F2993">
        <v>43.95</v>
      </c>
    </row>
    <row r="2994" spans="1:6" x14ac:dyDescent="0.25">
      <c r="A2994" s="1">
        <v>39417</v>
      </c>
      <c r="B2994" t="s">
        <v>19</v>
      </c>
      <c r="C2994" t="s">
        <v>10</v>
      </c>
      <c r="D2994">
        <v>16</v>
      </c>
      <c r="E2994" s="2">
        <v>1.4861111111111111E-2</v>
      </c>
      <c r="F2994">
        <v>21.4</v>
      </c>
    </row>
    <row r="2995" spans="1:6" x14ac:dyDescent="0.25">
      <c r="A2995" s="1">
        <v>39417</v>
      </c>
      <c r="B2995" t="s">
        <v>19</v>
      </c>
      <c r="C2995" t="s">
        <v>11</v>
      </c>
      <c r="D2995">
        <v>37</v>
      </c>
      <c r="E2995" s="2">
        <v>3.335648148148148E-2</v>
      </c>
      <c r="F2995">
        <v>48.033333333333331</v>
      </c>
    </row>
    <row r="2996" spans="1:6" x14ac:dyDescent="0.25">
      <c r="A2996" s="1">
        <v>39417</v>
      </c>
      <c r="B2996" t="s">
        <v>20</v>
      </c>
      <c r="C2996" t="s">
        <v>6</v>
      </c>
      <c r="D2996">
        <v>46</v>
      </c>
      <c r="E2996" s="2">
        <v>4.4467592592592593E-2</v>
      </c>
      <c r="F2996">
        <v>64.033333333333331</v>
      </c>
    </row>
    <row r="2997" spans="1:6" x14ac:dyDescent="0.25">
      <c r="A2997" s="1">
        <v>39417</v>
      </c>
      <c r="B2997" t="s">
        <v>20</v>
      </c>
      <c r="C2997" t="s">
        <v>7</v>
      </c>
      <c r="D2997">
        <v>35</v>
      </c>
      <c r="E2997" s="2">
        <v>4.7071759259259258E-2</v>
      </c>
      <c r="F2997">
        <v>67.783333333333331</v>
      </c>
    </row>
    <row r="2998" spans="1:6" x14ac:dyDescent="0.25">
      <c r="A2998" s="1">
        <v>39417</v>
      </c>
      <c r="B2998" t="s">
        <v>20</v>
      </c>
      <c r="C2998" t="s">
        <v>8</v>
      </c>
      <c r="D2998">
        <v>30</v>
      </c>
      <c r="E2998" s="2">
        <v>3.7025462962962961E-2</v>
      </c>
      <c r="F2998">
        <v>53.31666666666667</v>
      </c>
    </row>
    <row r="2999" spans="1:6" x14ac:dyDescent="0.25">
      <c r="A2999" s="1">
        <v>39417</v>
      </c>
      <c r="B2999" t="s">
        <v>20</v>
      </c>
      <c r="C2999" t="s">
        <v>9</v>
      </c>
      <c r="D2999">
        <v>13</v>
      </c>
      <c r="E2999" s="2">
        <v>1.2997685185185185E-2</v>
      </c>
      <c r="F2999">
        <v>18.716666666666665</v>
      </c>
    </row>
    <row r="3000" spans="1:6" x14ac:dyDescent="0.25">
      <c r="A3000" s="1">
        <v>39417</v>
      </c>
      <c r="B3000" t="s">
        <v>20</v>
      </c>
      <c r="C3000" t="s">
        <v>10</v>
      </c>
      <c r="D3000">
        <v>10</v>
      </c>
      <c r="E3000" s="2">
        <v>8.4490740740740741E-3</v>
      </c>
      <c r="F3000">
        <v>12.166666666666666</v>
      </c>
    </row>
    <row r="3001" spans="1:6" x14ac:dyDescent="0.25">
      <c r="A3001" s="1">
        <v>39417</v>
      </c>
      <c r="B3001" t="s">
        <v>20</v>
      </c>
      <c r="C3001" t="s">
        <v>11</v>
      </c>
      <c r="D3001">
        <v>16</v>
      </c>
      <c r="E3001" s="2">
        <v>1.2986111111111111E-2</v>
      </c>
      <c r="F3001">
        <v>18.7</v>
      </c>
    </row>
    <row r="3002" spans="1:6" x14ac:dyDescent="0.25">
      <c r="A3002" s="1">
        <v>39417</v>
      </c>
      <c r="B3002" t="s">
        <v>21</v>
      </c>
      <c r="C3002" t="s">
        <v>6</v>
      </c>
      <c r="D3002">
        <v>24</v>
      </c>
      <c r="E3002" s="2">
        <v>2.6979166666666665E-2</v>
      </c>
      <c r="F3002">
        <v>38.85</v>
      </c>
    </row>
    <row r="3003" spans="1:6" x14ac:dyDescent="0.25">
      <c r="A3003" s="1">
        <v>39417</v>
      </c>
      <c r="B3003" t="s">
        <v>21</v>
      </c>
      <c r="C3003" t="s">
        <v>7</v>
      </c>
      <c r="D3003">
        <v>20</v>
      </c>
      <c r="E3003" s="2">
        <v>2.6111111111111113E-2</v>
      </c>
      <c r="F3003">
        <v>37.6</v>
      </c>
    </row>
    <row r="3004" spans="1:6" x14ac:dyDescent="0.25">
      <c r="A3004" s="1">
        <v>39417</v>
      </c>
      <c r="B3004" t="s">
        <v>21</v>
      </c>
      <c r="C3004" t="s">
        <v>8</v>
      </c>
      <c r="D3004">
        <v>19</v>
      </c>
      <c r="E3004" s="2">
        <v>2.4606481481481483E-2</v>
      </c>
      <c r="F3004">
        <v>35.43333333333333</v>
      </c>
    </row>
    <row r="3005" spans="1:6" x14ac:dyDescent="0.25">
      <c r="A3005" s="1">
        <v>39417</v>
      </c>
      <c r="B3005" t="s">
        <v>21</v>
      </c>
      <c r="C3005" t="s">
        <v>9</v>
      </c>
      <c r="D3005">
        <v>8</v>
      </c>
      <c r="E3005" s="2">
        <v>5.7060185185185183E-3</v>
      </c>
      <c r="F3005">
        <v>8.2166666666666668</v>
      </c>
    </row>
    <row r="3006" spans="1:6" x14ac:dyDescent="0.25">
      <c r="A3006" s="1">
        <v>39417</v>
      </c>
      <c r="B3006" t="s">
        <v>21</v>
      </c>
      <c r="C3006" t="s">
        <v>10</v>
      </c>
      <c r="D3006">
        <v>5</v>
      </c>
      <c r="E3006" s="2">
        <v>4.7800925925925927E-3</v>
      </c>
      <c r="F3006">
        <v>6.8833333333333329</v>
      </c>
    </row>
    <row r="3007" spans="1:6" x14ac:dyDescent="0.25">
      <c r="A3007" s="1">
        <v>39417</v>
      </c>
      <c r="B3007" t="s">
        <v>21</v>
      </c>
      <c r="C3007" t="s">
        <v>11</v>
      </c>
      <c r="D3007">
        <v>11</v>
      </c>
      <c r="E3007" s="2">
        <v>1.1631944444444445E-2</v>
      </c>
      <c r="F3007">
        <v>16.75</v>
      </c>
    </row>
    <row r="3008" spans="1:6" x14ac:dyDescent="0.25">
      <c r="A3008" s="1">
        <v>39417</v>
      </c>
      <c r="B3008" t="s">
        <v>22</v>
      </c>
      <c r="C3008" t="s">
        <v>6</v>
      </c>
      <c r="D3008">
        <v>18</v>
      </c>
      <c r="E3008" s="2">
        <v>1.5023148148148148E-2</v>
      </c>
      <c r="F3008">
        <v>21.633333333333333</v>
      </c>
    </row>
    <row r="3009" spans="1:6" x14ac:dyDescent="0.25">
      <c r="A3009" s="1">
        <v>39417</v>
      </c>
      <c r="B3009" t="s">
        <v>22</v>
      </c>
      <c r="C3009" t="s">
        <v>7</v>
      </c>
      <c r="D3009">
        <v>12</v>
      </c>
      <c r="E3009" s="2">
        <v>1.7037037037037038E-2</v>
      </c>
      <c r="F3009">
        <v>24.533333333333335</v>
      </c>
    </row>
    <row r="3010" spans="1:6" x14ac:dyDescent="0.25">
      <c r="A3010" s="1">
        <v>39417</v>
      </c>
      <c r="B3010" t="s">
        <v>22</v>
      </c>
      <c r="C3010" t="s">
        <v>8</v>
      </c>
      <c r="D3010">
        <v>3</v>
      </c>
      <c r="E3010" s="2">
        <v>4.178240740740741E-3</v>
      </c>
      <c r="F3010">
        <v>6.0166666666666666</v>
      </c>
    </row>
    <row r="3011" spans="1:6" x14ac:dyDescent="0.25">
      <c r="A3011" s="1">
        <v>39417</v>
      </c>
      <c r="B3011" t="s">
        <v>22</v>
      </c>
      <c r="C3011" t="s">
        <v>9</v>
      </c>
      <c r="D3011">
        <v>7</v>
      </c>
      <c r="E3011" s="2">
        <v>3.3912037037037036E-3</v>
      </c>
      <c r="F3011">
        <v>4.8833333333333329</v>
      </c>
    </row>
    <row r="3012" spans="1:6" x14ac:dyDescent="0.25">
      <c r="A3012" s="1">
        <v>39417</v>
      </c>
      <c r="B3012" t="s">
        <v>22</v>
      </c>
      <c r="C3012" t="s">
        <v>10</v>
      </c>
      <c r="D3012">
        <v>5</v>
      </c>
      <c r="E3012" s="2">
        <v>4.1666666666666666E-3</v>
      </c>
      <c r="F3012">
        <v>6</v>
      </c>
    </row>
    <row r="3013" spans="1:6" x14ac:dyDescent="0.25">
      <c r="A3013" s="1">
        <v>39417</v>
      </c>
      <c r="B3013" t="s">
        <v>22</v>
      </c>
      <c r="C3013" t="s">
        <v>11</v>
      </c>
      <c r="D3013">
        <v>6</v>
      </c>
      <c r="E3013" s="2">
        <v>3.5532407407407409E-3</v>
      </c>
      <c r="F3013">
        <v>5.1166666666666663</v>
      </c>
    </row>
    <row r="3014" spans="1:6" x14ac:dyDescent="0.25">
      <c r="A3014" s="1">
        <v>39417</v>
      </c>
      <c r="B3014" t="s">
        <v>23</v>
      </c>
      <c r="C3014" t="s">
        <v>6</v>
      </c>
      <c r="D3014">
        <v>159</v>
      </c>
      <c r="E3014" s="2">
        <v>0.15039351851851851</v>
      </c>
      <c r="F3014">
        <v>216.56666666666666</v>
      </c>
    </row>
    <row r="3015" spans="1:6" x14ac:dyDescent="0.25">
      <c r="A3015" s="1">
        <v>39417</v>
      </c>
      <c r="B3015" t="s">
        <v>23</v>
      </c>
      <c r="C3015" t="s">
        <v>7</v>
      </c>
      <c r="D3015">
        <v>149</v>
      </c>
      <c r="E3015" s="2">
        <v>0.15510416666666665</v>
      </c>
      <c r="F3015">
        <v>223.35</v>
      </c>
    </row>
    <row r="3016" spans="1:6" x14ac:dyDescent="0.25">
      <c r="A3016" s="1">
        <v>39417</v>
      </c>
      <c r="B3016" t="s">
        <v>23</v>
      </c>
      <c r="C3016" t="s">
        <v>8</v>
      </c>
      <c r="D3016">
        <v>81</v>
      </c>
      <c r="E3016" s="2">
        <v>9.0694444444444439E-2</v>
      </c>
      <c r="F3016">
        <v>130.6</v>
      </c>
    </row>
    <row r="3017" spans="1:6" x14ac:dyDescent="0.25">
      <c r="A3017" s="1">
        <v>39417</v>
      </c>
      <c r="B3017" t="s">
        <v>23</v>
      </c>
      <c r="C3017" t="s">
        <v>9</v>
      </c>
      <c r="D3017">
        <v>63</v>
      </c>
      <c r="E3017" s="2">
        <v>4.5057870370370373E-2</v>
      </c>
      <c r="F3017">
        <v>64.88333333333334</v>
      </c>
    </row>
    <row r="3018" spans="1:6" x14ac:dyDescent="0.25">
      <c r="A3018" s="1">
        <v>39417</v>
      </c>
      <c r="B3018" t="s">
        <v>23</v>
      </c>
      <c r="C3018" t="s">
        <v>10</v>
      </c>
      <c r="D3018">
        <v>52</v>
      </c>
      <c r="E3018" s="2">
        <v>5.1122685185185188E-2</v>
      </c>
      <c r="F3018">
        <v>73.61666666666666</v>
      </c>
    </row>
    <row r="3019" spans="1:6" x14ac:dyDescent="0.25">
      <c r="A3019" s="1">
        <v>39417</v>
      </c>
      <c r="B3019" t="s">
        <v>23</v>
      </c>
      <c r="C3019" t="s">
        <v>11</v>
      </c>
      <c r="D3019">
        <v>46</v>
      </c>
      <c r="E3019" s="2">
        <v>3.3379629629629627E-2</v>
      </c>
      <c r="F3019">
        <v>48.06666666666667</v>
      </c>
    </row>
    <row r="3020" spans="1:6" x14ac:dyDescent="0.25">
      <c r="A3020" s="1">
        <v>39417</v>
      </c>
      <c r="B3020" t="s">
        <v>24</v>
      </c>
      <c r="C3020" t="s">
        <v>6</v>
      </c>
      <c r="D3020">
        <v>50</v>
      </c>
      <c r="E3020" s="2">
        <v>3.1238425925925926E-2</v>
      </c>
      <c r="F3020">
        <v>44.983333333333334</v>
      </c>
    </row>
    <row r="3021" spans="1:6" x14ac:dyDescent="0.25">
      <c r="A3021" s="1">
        <v>39417</v>
      </c>
      <c r="B3021" t="s">
        <v>24</v>
      </c>
      <c r="C3021" t="s">
        <v>7</v>
      </c>
      <c r="D3021">
        <v>40</v>
      </c>
      <c r="E3021" s="2">
        <v>2.420138888888889E-2</v>
      </c>
      <c r="F3021">
        <v>34.85</v>
      </c>
    </row>
    <row r="3022" spans="1:6" x14ac:dyDescent="0.25">
      <c r="A3022" s="1">
        <v>39417</v>
      </c>
      <c r="B3022" t="s">
        <v>24</v>
      </c>
      <c r="C3022" t="s">
        <v>8</v>
      </c>
      <c r="D3022">
        <v>19</v>
      </c>
      <c r="E3022" s="2">
        <v>1.0752314814814815E-2</v>
      </c>
      <c r="F3022">
        <v>15.483333333333333</v>
      </c>
    </row>
    <row r="3023" spans="1:6" x14ac:dyDescent="0.25">
      <c r="A3023" s="1">
        <v>39417</v>
      </c>
      <c r="B3023" t="s">
        <v>24</v>
      </c>
      <c r="C3023" t="s">
        <v>9</v>
      </c>
      <c r="D3023">
        <v>7</v>
      </c>
      <c r="E3023" s="2">
        <v>4.8379629629629632E-3</v>
      </c>
      <c r="F3023">
        <v>6.9666666666666668</v>
      </c>
    </row>
    <row r="3024" spans="1:6" x14ac:dyDescent="0.25">
      <c r="A3024" s="1">
        <v>39417</v>
      </c>
      <c r="B3024" t="s">
        <v>24</v>
      </c>
      <c r="C3024" t="s">
        <v>10</v>
      </c>
      <c r="D3024">
        <v>0</v>
      </c>
      <c r="E3024" s="2">
        <v>0</v>
      </c>
      <c r="F3024">
        <v>0</v>
      </c>
    </row>
    <row r="3025" spans="1:6" x14ac:dyDescent="0.25">
      <c r="A3025" s="1">
        <v>39417</v>
      </c>
      <c r="B3025" t="s">
        <v>24</v>
      </c>
      <c r="C3025" t="s">
        <v>11</v>
      </c>
      <c r="D3025">
        <v>17</v>
      </c>
      <c r="E3025" s="2">
        <v>8.518518518518519E-3</v>
      </c>
      <c r="F3025">
        <v>12.266666666666667</v>
      </c>
    </row>
    <row r="3026" spans="1:6" x14ac:dyDescent="0.25">
      <c r="A3026" s="1">
        <v>39448</v>
      </c>
      <c r="B3026" t="s">
        <v>5</v>
      </c>
      <c r="C3026" t="s">
        <v>6</v>
      </c>
      <c r="D3026">
        <v>24</v>
      </c>
      <c r="E3026" s="2">
        <v>1.7025462962962964E-2</v>
      </c>
      <c r="F3026">
        <v>24.516666666666666</v>
      </c>
    </row>
    <row r="3027" spans="1:6" x14ac:dyDescent="0.25">
      <c r="A3027" s="1">
        <v>39448</v>
      </c>
      <c r="B3027" t="s">
        <v>5</v>
      </c>
      <c r="C3027" t="s">
        <v>7</v>
      </c>
      <c r="D3027">
        <v>14</v>
      </c>
      <c r="E3027" s="2">
        <v>1.0127314814814815E-2</v>
      </c>
      <c r="F3027">
        <v>14.583333333333334</v>
      </c>
    </row>
    <row r="3028" spans="1:6" x14ac:dyDescent="0.25">
      <c r="A3028" s="1">
        <v>39448</v>
      </c>
      <c r="B3028" t="s">
        <v>5</v>
      </c>
      <c r="C3028" t="s">
        <v>8</v>
      </c>
      <c r="D3028">
        <v>10</v>
      </c>
      <c r="E3028" s="2">
        <v>8.9120370370370378E-3</v>
      </c>
      <c r="F3028">
        <v>12.833333333333334</v>
      </c>
    </row>
    <row r="3029" spans="1:6" x14ac:dyDescent="0.25">
      <c r="A3029" s="1">
        <v>39448</v>
      </c>
      <c r="B3029" t="s">
        <v>5</v>
      </c>
      <c r="C3029" t="s">
        <v>9</v>
      </c>
      <c r="D3029">
        <v>3</v>
      </c>
      <c r="E3029" s="2">
        <v>1.6782407407407408E-3</v>
      </c>
      <c r="F3029">
        <v>2.4166666666666665</v>
      </c>
    </row>
    <row r="3030" spans="1:6" x14ac:dyDescent="0.25">
      <c r="A3030" s="1">
        <v>39448</v>
      </c>
      <c r="B3030" t="s">
        <v>5</v>
      </c>
      <c r="C3030" t="s">
        <v>10</v>
      </c>
      <c r="D3030">
        <v>2</v>
      </c>
      <c r="E3030" s="2">
        <v>1.1111111111111111E-3</v>
      </c>
      <c r="F3030">
        <v>1.6</v>
      </c>
    </row>
    <row r="3031" spans="1:6" x14ac:dyDescent="0.25">
      <c r="A3031" s="1">
        <v>39448</v>
      </c>
      <c r="B3031" t="s">
        <v>5</v>
      </c>
      <c r="C3031" t="s">
        <v>11</v>
      </c>
      <c r="D3031">
        <v>4</v>
      </c>
      <c r="E3031" s="2">
        <v>3.2523148148148147E-3</v>
      </c>
      <c r="F3031">
        <v>4.6833333333333336</v>
      </c>
    </row>
    <row r="3032" spans="1:6" x14ac:dyDescent="0.25">
      <c r="A3032" s="1">
        <v>39448</v>
      </c>
      <c r="B3032" t="s">
        <v>12</v>
      </c>
      <c r="C3032" t="s">
        <v>6</v>
      </c>
      <c r="D3032">
        <v>76</v>
      </c>
      <c r="E3032" s="2">
        <v>8.1064814814814812E-2</v>
      </c>
      <c r="F3032">
        <v>116.73333333333333</v>
      </c>
    </row>
    <row r="3033" spans="1:6" x14ac:dyDescent="0.25">
      <c r="A3033" s="1">
        <v>39448</v>
      </c>
      <c r="B3033" t="s">
        <v>12</v>
      </c>
      <c r="C3033" t="s">
        <v>7</v>
      </c>
      <c r="D3033">
        <v>80</v>
      </c>
      <c r="E3033" s="2">
        <v>9.1203703703703703E-2</v>
      </c>
      <c r="F3033">
        <v>131.33333333333334</v>
      </c>
    </row>
    <row r="3034" spans="1:6" x14ac:dyDescent="0.25">
      <c r="A3034" s="1">
        <v>39448</v>
      </c>
      <c r="B3034" t="s">
        <v>12</v>
      </c>
      <c r="C3034" t="s">
        <v>8</v>
      </c>
      <c r="D3034">
        <v>53</v>
      </c>
      <c r="E3034" s="2">
        <v>7.9050925925925927E-2</v>
      </c>
      <c r="F3034">
        <v>113.83333333333333</v>
      </c>
    </row>
    <row r="3035" spans="1:6" x14ac:dyDescent="0.25">
      <c r="A3035" s="1">
        <v>39448</v>
      </c>
      <c r="B3035" t="s">
        <v>12</v>
      </c>
      <c r="C3035" t="s">
        <v>9</v>
      </c>
      <c r="D3035">
        <v>34</v>
      </c>
      <c r="E3035" s="2">
        <v>2.4328703703703703E-2</v>
      </c>
      <c r="F3035">
        <v>35.033333333333331</v>
      </c>
    </row>
    <row r="3036" spans="1:6" x14ac:dyDescent="0.25">
      <c r="A3036" s="1">
        <v>39448</v>
      </c>
      <c r="B3036" t="s">
        <v>12</v>
      </c>
      <c r="C3036" t="s">
        <v>10</v>
      </c>
      <c r="D3036">
        <v>9</v>
      </c>
      <c r="E3036" s="2">
        <v>8.0555555555555554E-3</v>
      </c>
      <c r="F3036">
        <v>11.6</v>
      </c>
    </row>
    <row r="3037" spans="1:6" x14ac:dyDescent="0.25">
      <c r="A3037" s="1">
        <v>39448</v>
      </c>
      <c r="B3037" t="s">
        <v>12</v>
      </c>
      <c r="C3037" t="s">
        <v>11</v>
      </c>
      <c r="D3037">
        <v>33</v>
      </c>
      <c r="E3037" s="2">
        <v>3.1377314814814816E-2</v>
      </c>
      <c r="F3037">
        <v>45.18333333333333</v>
      </c>
    </row>
    <row r="3038" spans="1:6" x14ac:dyDescent="0.25">
      <c r="A3038" s="1">
        <v>39448</v>
      </c>
      <c r="B3038" t="s">
        <v>13</v>
      </c>
      <c r="C3038" t="s">
        <v>6</v>
      </c>
      <c r="D3038">
        <v>83</v>
      </c>
      <c r="E3038" s="2">
        <v>9.0613425925925931E-2</v>
      </c>
      <c r="F3038">
        <v>130.48333333333332</v>
      </c>
    </row>
    <row r="3039" spans="1:6" x14ac:dyDescent="0.25">
      <c r="A3039" s="1">
        <v>39448</v>
      </c>
      <c r="B3039" t="s">
        <v>13</v>
      </c>
      <c r="C3039" t="s">
        <v>7</v>
      </c>
      <c r="D3039">
        <v>89</v>
      </c>
      <c r="E3039" s="2">
        <v>9.2268518518518514E-2</v>
      </c>
      <c r="F3039">
        <v>132.86666666666667</v>
      </c>
    </row>
    <row r="3040" spans="1:6" x14ac:dyDescent="0.25">
      <c r="A3040" s="1">
        <v>39448</v>
      </c>
      <c r="B3040" t="s">
        <v>13</v>
      </c>
      <c r="C3040" t="s">
        <v>8</v>
      </c>
      <c r="D3040">
        <v>44</v>
      </c>
      <c r="E3040" s="2">
        <v>5.2673611111111109E-2</v>
      </c>
      <c r="F3040">
        <v>75.849999999999994</v>
      </c>
    </row>
    <row r="3041" spans="1:6" x14ac:dyDescent="0.25">
      <c r="A3041" s="1">
        <v>39448</v>
      </c>
      <c r="B3041" t="s">
        <v>13</v>
      </c>
      <c r="C3041" t="s">
        <v>9</v>
      </c>
      <c r="D3041">
        <v>26</v>
      </c>
      <c r="E3041" s="2">
        <v>2.1956018518518517E-2</v>
      </c>
      <c r="F3041">
        <v>31.616666666666667</v>
      </c>
    </row>
    <row r="3042" spans="1:6" x14ac:dyDescent="0.25">
      <c r="A3042" s="1">
        <v>39448</v>
      </c>
      <c r="B3042" t="s">
        <v>13</v>
      </c>
      <c r="C3042" t="s">
        <v>10</v>
      </c>
      <c r="D3042">
        <v>29</v>
      </c>
      <c r="E3042" s="2">
        <v>2.9490740740740741E-2</v>
      </c>
      <c r="F3042">
        <v>42.466666666666669</v>
      </c>
    </row>
    <row r="3043" spans="1:6" x14ac:dyDescent="0.25">
      <c r="A3043" s="1">
        <v>39448</v>
      </c>
      <c r="B3043" t="s">
        <v>13</v>
      </c>
      <c r="C3043" t="s">
        <v>11</v>
      </c>
      <c r="D3043">
        <v>24</v>
      </c>
      <c r="E3043" s="2">
        <v>1.9050925925925926E-2</v>
      </c>
      <c r="F3043">
        <v>27.433333333333334</v>
      </c>
    </row>
    <row r="3044" spans="1:6" x14ac:dyDescent="0.25">
      <c r="A3044" s="1">
        <v>39448</v>
      </c>
      <c r="B3044" t="s">
        <v>14</v>
      </c>
      <c r="C3044" t="s">
        <v>6</v>
      </c>
      <c r="D3044">
        <v>11</v>
      </c>
      <c r="E3044" s="2">
        <v>1.4305555555555556E-2</v>
      </c>
      <c r="F3044">
        <v>20.6</v>
      </c>
    </row>
    <row r="3045" spans="1:6" x14ac:dyDescent="0.25">
      <c r="A3045" s="1">
        <v>39448</v>
      </c>
      <c r="B3045" t="s">
        <v>14</v>
      </c>
      <c r="C3045" t="s">
        <v>7</v>
      </c>
      <c r="D3045">
        <v>11</v>
      </c>
      <c r="E3045" s="2">
        <v>1.1805555555555555E-2</v>
      </c>
      <c r="F3045">
        <v>17</v>
      </c>
    </row>
    <row r="3046" spans="1:6" x14ac:dyDescent="0.25">
      <c r="A3046" s="1">
        <v>39448</v>
      </c>
      <c r="B3046" t="s">
        <v>14</v>
      </c>
      <c r="C3046" t="s">
        <v>8</v>
      </c>
      <c r="D3046">
        <v>5</v>
      </c>
      <c r="E3046" s="2">
        <v>6.6203703703703702E-3</v>
      </c>
      <c r="F3046">
        <v>9.5333333333333332</v>
      </c>
    </row>
    <row r="3047" spans="1:6" x14ac:dyDescent="0.25">
      <c r="A3047" s="1">
        <v>39448</v>
      </c>
      <c r="B3047" t="s">
        <v>14</v>
      </c>
      <c r="C3047" t="s">
        <v>9</v>
      </c>
      <c r="D3047">
        <v>4</v>
      </c>
      <c r="E3047" s="2">
        <v>3.4027777777777776E-3</v>
      </c>
      <c r="F3047">
        <v>4.9000000000000004</v>
      </c>
    </row>
    <row r="3048" spans="1:6" x14ac:dyDescent="0.25">
      <c r="A3048" s="1">
        <v>39448</v>
      </c>
      <c r="B3048" t="s">
        <v>14</v>
      </c>
      <c r="C3048" t="s">
        <v>10</v>
      </c>
      <c r="D3048">
        <v>2</v>
      </c>
      <c r="E3048" s="2">
        <v>3.0208333333333333E-3</v>
      </c>
      <c r="F3048">
        <v>4.3499999999999996</v>
      </c>
    </row>
    <row r="3049" spans="1:6" x14ac:dyDescent="0.25">
      <c r="A3049" s="1">
        <v>39448</v>
      </c>
      <c r="B3049" t="s">
        <v>14</v>
      </c>
      <c r="C3049" t="s">
        <v>11</v>
      </c>
      <c r="D3049">
        <v>2</v>
      </c>
      <c r="E3049" s="2">
        <v>2.3495370370370371E-3</v>
      </c>
      <c r="F3049">
        <v>3.3833333333333333</v>
      </c>
    </row>
    <row r="3050" spans="1:6" x14ac:dyDescent="0.25">
      <c r="A3050" s="1">
        <v>39448</v>
      </c>
      <c r="B3050" t="s">
        <v>15</v>
      </c>
      <c r="C3050" t="s">
        <v>6</v>
      </c>
      <c r="D3050">
        <v>38</v>
      </c>
      <c r="E3050" s="2">
        <v>3.6145833333333335E-2</v>
      </c>
      <c r="F3050">
        <v>52.05</v>
      </c>
    </row>
    <row r="3051" spans="1:6" x14ac:dyDescent="0.25">
      <c r="A3051" s="1">
        <v>39448</v>
      </c>
      <c r="B3051" t="s">
        <v>15</v>
      </c>
      <c r="C3051" t="s">
        <v>7</v>
      </c>
      <c r="D3051">
        <v>32</v>
      </c>
      <c r="E3051" s="2">
        <v>2.9537037037037039E-2</v>
      </c>
      <c r="F3051">
        <v>42.533333333333331</v>
      </c>
    </row>
    <row r="3052" spans="1:6" x14ac:dyDescent="0.25">
      <c r="A3052" s="1">
        <v>39448</v>
      </c>
      <c r="B3052" t="s">
        <v>15</v>
      </c>
      <c r="C3052" t="s">
        <v>8</v>
      </c>
      <c r="D3052">
        <v>16</v>
      </c>
      <c r="E3052" s="2">
        <v>1.7569444444444443E-2</v>
      </c>
      <c r="F3052">
        <v>25.3</v>
      </c>
    </row>
    <row r="3053" spans="1:6" x14ac:dyDescent="0.25">
      <c r="A3053" s="1">
        <v>39448</v>
      </c>
      <c r="B3053" t="s">
        <v>15</v>
      </c>
      <c r="C3053" t="s">
        <v>9</v>
      </c>
      <c r="D3053">
        <v>4</v>
      </c>
      <c r="E3053" s="2">
        <v>1.8518518518518519E-3</v>
      </c>
      <c r="F3053">
        <v>2.6666666666666665</v>
      </c>
    </row>
    <row r="3054" spans="1:6" x14ac:dyDescent="0.25">
      <c r="A3054" s="1">
        <v>39448</v>
      </c>
      <c r="B3054" t="s">
        <v>15</v>
      </c>
      <c r="C3054" t="s">
        <v>10</v>
      </c>
      <c r="D3054">
        <v>5</v>
      </c>
      <c r="E3054" s="2">
        <v>7.2916666666666668E-3</v>
      </c>
      <c r="F3054">
        <v>10.5</v>
      </c>
    </row>
    <row r="3055" spans="1:6" x14ac:dyDescent="0.25">
      <c r="A3055" s="1">
        <v>39448</v>
      </c>
      <c r="B3055" t="s">
        <v>15</v>
      </c>
      <c r="C3055" t="s">
        <v>11</v>
      </c>
      <c r="D3055">
        <v>7</v>
      </c>
      <c r="E3055" s="2">
        <v>3.8773148148148148E-3</v>
      </c>
      <c r="F3055">
        <v>5.583333333333333</v>
      </c>
    </row>
    <row r="3056" spans="1:6" x14ac:dyDescent="0.25">
      <c r="A3056" s="1">
        <v>39448</v>
      </c>
      <c r="B3056" t="s">
        <v>16</v>
      </c>
      <c r="C3056" t="s">
        <v>6</v>
      </c>
      <c r="D3056">
        <v>45</v>
      </c>
      <c r="E3056" s="2">
        <v>3.6805555555555557E-2</v>
      </c>
      <c r="F3056">
        <v>53</v>
      </c>
    </row>
    <row r="3057" spans="1:6" x14ac:dyDescent="0.25">
      <c r="A3057" s="1">
        <v>39448</v>
      </c>
      <c r="B3057" t="s">
        <v>16</v>
      </c>
      <c r="C3057" t="s">
        <v>7</v>
      </c>
      <c r="D3057">
        <v>36</v>
      </c>
      <c r="E3057" s="2">
        <v>3.1736111111111111E-2</v>
      </c>
      <c r="F3057">
        <v>45.7</v>
      </c>
    </row>
    <row r="3058" spans="1:6" x14ac:dyDescent="0.25">
      <c r="A3058" s="1">
        <v>39448</v>
      </c>
      <c r="B3058" t="s">
        <v>16</v>
      </c>
      <c r="C3058" t="s">
        <v>8</v>
      </c>
      <c r="D3058">
        <v>30</v>
      </c>
      <c r="E3058" s="2">
        <v>2.7442129629629629E-2</v>
      </c>
      <c r="F3058">
        <v>39.516666666666666</v>
      </c>
    </row>
    <row r="3059" spans="1:6" x14ac:dyDescent="0.25">
      <c r="A3059" s="1">
        <v>39448</v>
      </c>
      <c r="B3059" t="s">
        <v>16</v>
      </c>
      <c r="C3059" t="s">
        <v>9</v>
      </c>
      <c r="D3059">
        <v>17</v>
      </c>
      <c r="E3059" s="2">
        <v>1.1041666666666667E-2</v>
      </c>
      <c r="F3059">
        <v>15.9</v>
      </c>
    </row>
    <row r="3060" spans="1:6" x14ac:dyDescent="0.25">
      <c r="A3060" s="1">
        <v>39448</v>
      </c>
      <c r="B3060" t="s">
        <v>16</v>
      </c>
      <c r="C3060" t="s">
        <v>10</v>
      </c>
      <c r="D3060">
        <v>0</v>
      </c>
      <c r="E3060" s="2">
        <v>0</v>
      </c>
      <c r="F3060">
        <v>0</v>
      </c>
    </row>
    <row r="3061" spans="1:6" x14ac:dyDescent="0.25">
      <c r="A3061" s="1">
        <v>39448</v>
      </c>
      <c r="B3061" t="s">
        <v>16</v>
      </c>
      <c r="C3061" t="s">
        <v>11</v>
      </c>
      <c r="D3061">
        <v>27</v>
      </c>
      <c r="E3061" s="2">
        <v>1.9814814814814816E-2</v>
      </c>
      <c r="F3061">
        <v>28.533333333333335</v>
      </c>
    </row>
    <row r="3062" spans="1:6" x14ac:dyDescent="0.25">
      <c r="A3062" s="1">
        <v>39448</v>
      </c>
      <c r="B3062" t="s">
        <v>17</v>
      </c>
      <c r="C3062" t="s">
        <v>6</v>
      </c>
      <c r="D3062">
        <v>21</v>
      </c>
      <c r="E3062" s="2">
        <v>1.5289351851851853E-2</v>
      </c>
      <c r="F3062">
        <v>22.016666666666666</v>
      </c>
    </row>
    <row r="3063" spans="1:6" x14ac:dyDescent="0.25">
      <c r="A3063" s="1">
        <v>39448</v>
      </c>
      <c r="B3063" t="s">
        <v>17</v>
      </c>
      <c r="C3063" t="s">
        <v>7</v>
      </c>
      <c r="D3063">
        <v>15</v>
      </c>
      <c r="E3063" s="2">
        <v>1.1643518518518518E-2</v>
      </c>
      <c r="F3063">
        <v>16.766666666666666</v>
      </c>
    </row>
    <row r="3064" spans="1:6" x14ac:dyDescent="0.25">
      <c r="A3064" s="1">
        <v>39448</v>
      </c>
      <c r="B3064" t="s">
        <v>17</v>
      </c>
      <c r="C3064" t="s">
        <v>8</v>
      </c>
      <c r="D3064">
        <v>11</v>
      </c>
      <c r="E3064" s="2">
        <v>9.9074074074074082E-3</v>
      </c>
      <c r="F3064">
        <v>14.266666666666667</v>
      </c>
    </row>
    <row r="3065" spans="1:6" x14ac:dyDescent="0.25">
      <c r="A3065" s="1">
        <v>39448</v>
      </c>
      <c r="B3065" t="s">
        <v>17</v>
      </c>
      <c r="C3065" t="s">
        <v>9</v>
      </c>
      <c r="D3065">
        <v>7</v>
      </c>
      <c r="E3065" s="2">
        <v>4.1666666666666666E-3</v>
      </c>
      <c r="F3065">
        <v>6</v>
      </c>
    </row>
    <row r="3066" spans="1:6" x14ac:dyDescent="0.25">
      <c r="A3066" s="1">
        <v>39448</v>
      </c>
      <c r="B3066" t="s">
        <v>17</v>
      </c>
      <c r="C3066" t="s">
        <v>10</v>
      </c>
      <c r="D3066">
        <v>9</v>
      </c>
      <c r="E3066" s="2">
        <v>3.5185185185185185E-3</v>
      </c>
      <c r="F3066">
        <v>5.0666666666666664</v>
      </c>
    </row>
    <row r="3067" spans="1:6" x14ac:dyDescent="0.25">
      <c r="A3067" s="1">
        <v>39448</v>
      </c>
      <c r="B3067" t="s">
        <v>17</v>
      </c>
      <c r="C3067" t="s">
        <v>11</v>
      </c>
      <c r="D3067">
        <v>7</v>
      </c>
      <c r="E3067" s="2">
        <v>4.9768518518518521E-3</v>
      </c>
      <c r="F3067">
        <v>7.166666666666667</v>
      </c>
    </row>
    <row r="3068" spans="1:6" x14ac:dyDescent="0.25">
      <c r="A3068" s="1">
        <v>39448</v>
      </c>
      <c r="B3068" t="s">
        <v>18</v>
      </c>
      <c r="C3068" t="s">
        <v>6</v>
      </c>
      <c r="D3068">
        <v>151</v>
      </c>
      <c r="E3068" s="2">
        <v>0.12123842592592593</v>
      </c>
      <c r="F3068">
        <v>174.58333333333334</v>
      </c>
    </row>
    <row r="3069" spans="1:6" x14ac:dyDescent="0.25">
      <c r="A3069" s="1">
        <v>39448</v>
      </c>
      <c r="B3069" t="s">
        <v>18</v>
      </c>
      <c r="C3069" t="s">
        <v>7</v>
      </c>
      <c r="D3069">
        <v>144</v>
      </c>
      <c r="E3069" s="2">
        <v>0.13935185185185187</v>
      </c>
      <c r="F3069">
        <v>200.66666666666666</v>
      </c>
    </row>
    <row r="3070" spans="1:6" x14ac:dyDescent="0.25">
      <c r="A3070" s="1">
        <v>39448</v>
      </c>
      <c r="B3070" t="s">
        <v>18</v>
      </c>
      <c r="C3070" t="s">
        <v>8</v>
      </c>
      <c r="D3070">
        <v>98</v>
      </c>
      <c r="E3070" s="2">
        <v>0.10994212962962963</v>
      </c>
      <c r="F3070">
        <v>158.31666666666666</v>
      </c>
    </row>
    <row r="3071" spans="1:6" x14ac:dyDescent="0.25">
      <c r="A3071" s="1">
        <v>39448</v>
      </c>
      <c r="B3071" t="s">
        <v>18</v>
      </c>
      <c r="C3071" t="s">
        <v>9</v>
      </c>
      <c r="D3071">
        <v>80</v>
      </c>
      <c r="E3071" s="2">
        <v>5.2939814814814815E-2</v>
      </c>
      <c r="F3071">
        <v>76.233333333333334</v>
      </c>
    </row>
    <row r="3072" spans="1:6" x14ac:dyDescent="0.25">
      <c r="A3072" s="1">
        <v>39448</v>
      </c>
      <c r="B3072" t="s">
        <v>18</v>
      </c>
      <c r="C3072" t="s">
        <v>10</v>
      </c>
      <c r="D3072">
        <v>212</v>
      </c>
      <c r="E3072" s="2">
        <v>0.18229166666666666</v>
      </c>
      <c r="F3072">
        <v>262.5</v>
      </c>
    </row>
    <row r="3073" spans="1:6" x14ac:dyDescent="0.25">
      <c r="A3073" s="1">
        <v>39448</v>
      </c>
      <c r="B3073" t="s">
        <v>18</v>
      </c>
      <c r="C3073" t="s">
        <v>11</v>
      </c>
      <c r="D3073">
        <v>41</v>
      </c>
      <c r="E3073" s="2">
        <v>2.8599537037037038E-2</v>
      </c>
      <c r="F3073">
        <v>41.18333333333333</v>
      </c>
    </row>
    <row r="3074" spans="1:6" x14ac:dyDescent="0.25">
      <c r="A3074" s="1">
        <v>39448</v>
      </c>
      <c r="B3074" t="s">
        <v>19</v>
      </c>
      <c r="C3074" t="s">
        <v>6</v>
      </c>
      <c r="D3074">
        <v>58</v>
      </c>
      <c r="E3074" s="2">
        <v>6.2881944444444449E-2</v>
      </c>
      <c r="F3074">
        <v>90.55</v>
      </c>
    </row>
    <row r="3075" spans="1:6" x14ac:dyDescent="0.25">
      <c r="A3075" s="1">
        <v>39448</v>
      </c>
      <c r="B3075" t="s">
        <v>19</v>
      </c>
      <c r="C3075" t="s">
        <v>7</v>
      </c>
      <c r="D3075">
        <v>55</v>
      </c>
      <c r="E3075" s="2">
        <v>6.0717592592592594E-2</v>
      </c>
      <c r="F3075">
        <v>87.433333333333337</v>
      </c>
    </row>
    <row r="3076" spans="1:6" x14ac:dyDescent="0.25">
      <c r="A3076" s="1">
        <v>39448</v>
      </c>
      <c r="B3076" t="s">
        <v>19</v>
      </c>
      <c r="C3076" t="s">
        <v>8</v>
      </c>
      <c r="D3076">
        <v>36</v>
      </c>
      <c r="E3076" s="2">
        <v>4.4386574074074071E-2</v>
      </c>
      <c r="F3076">
        <v>63.916666666666664</v>
      </c>
    </row>
    <row r="3077" spans="1:6" x14ac:dyDescent="0.25">
      <c r="A3077" s="1">
        <v>39448</v>
      </c>
      <c r="B3077" t="s">
        <v>19</v>
      </c>
      <c r="C3077" t="s">
        <v>9</v>
      </c>
      <c r="D3077">
        <v>32</v>
      </c>
      <c r="E3077" s="2">
        <v>2.704861111111111E-2</v>
      </c>
      <c r="F3077">
        <v>38.950000000000003</v>
      </c>
    </row>
    <row r="3078" spans="1:6" x14ac:dyDescent="0.25">
      <c r="A3078" s="1">
        <v>39448</v>
      </c>
      <c r="B3078" t="s">
        <v>19</v>
      </c>
      <c r="C3078" t="s">
        <v>10</v>
      </c>
      <c r="D3078">
        <v>21</v>
      </c>
      <c r="E3078" s="2">
        <v>2.2592592592592591E-2</v>
      </c>
      <c r="F3078">
        <v>32.533333333333331</v>
      </c>
    </row>
    <row r="3079" spans="1:6" x14ac:dyDescent="0.25">
      <c r="A3079" s="1">
        <v>39448</v>
      </c>
      <c r="B3079" t="s">
        <v>19</v>
      </c>
      <c r="C3079" t="s">
        <v>11</v>
      </c>
      <c r="D3079">
        <v>29</v>
      </c>
      <c r="E3079" s="2">
        <v>2.5671296296296296E-2</v>
      </c>
      <c r="F3079">
        <v>36.966666666666669</v>
      </c>
    </row>
    <row r="3080" spans="1:6" x14ac:dyDescent="0.25">
      <c r="A3080" s="1">
        <v>39448</v>
      </c>
      <c r="B3080" t="s">
        <v>20</v>
      </c>
      <c r="C3080" t="s">
        <v>6</v>
      </c>
      <c r="D3080">
        <v>72</v>
      </c>
      <c r="E3080" s="2">
        <v>6.7916666666666667E-2</v>
      </c>
      <c r="F3080">
        <v>97.8</v>
      </c>
    </row>
    <row r="3081" spans="1:6" x14ac:dyDescent="0.25">
      <c r="A3081" s="1">
        <v>39448</v>
      </c>
      <c r="B3081" t="s">
        <v>20</v>
      </c>
      <c r="C3081" t="s">
        <v>7</v>
      </c>
      <c r="D3081">
        <v>65</v>
      </c>
      <c r="E3081" s="2">
        <v>7.0624999999999993E-2</v>
      </c>
      <c r="F3081">
        <v>101.7</v>
      </c>
    </row>
    <row r="3082" spans="1:6" x14ac:dyDescent="0.25">
      <c r="A3082" s="1">
        <v>39448</v>
      </c>
      <c r="B3082" t="s">
        <v>20</v>
      </c>
      <c r="C3082" t="s">
        <v>8</v>
      </c>
      <c r="D3082">
        <v>50</v>
      </c>
      <c r="E3082" s="2">
        <v>6.9375000000000006E-2</v>
      </c>
      <c r="F3082">
        <v>99.9</v>
      </c>
    </row>
    <row r="3083" spans="1:6" x14ac:dyDescent="0.25">
      <c r="A3083" s="1">
        <v>39448</v>
      </c>
      <c r="B3083" t="s">
        <v>20</v>
      </c>
      <c r="C3083" t="s">
        <v>9</v>
      </c>
      <c r="D3083">
        <v>21</v>
      </c>
      <c r="E3083" s="2">
        <v>1.7361111111111112E-2</v>
      </c>
      <c r="F3083">
        <v>25</v>
      </c>
    </row>
    <row r="3084" spans="1:6" x14ac:dyDescent="0.25">
      <c r="A3084" s="1">
        <v>39448</v>
      </c>
      <c r="B3084" t="s">
        <v>20</v>
      </c>
      <c r="C3084" t="s">
        <v>10</v>
      </c>
      <c r="D3084">
        <v>10</v>
      </c>
      <c r="E3084" s="2">
        <v>1.0416666666666666E-2</v>
      </c>
      <c r="F3084">
        <v>15</v>
      </c>
    </row>
    <row r="3085" spans="1:6" x14ac:dyDescent="0.25">
      <c r="A3085" s="1">
        <v>39448</v>
      </c>
      <c r="B3085" t="s">
        <v>20</v>
      </c>
      <c r="C3085" t="s">
        <v>11</v>
      </c>
      <c r="D3085">
        <v>30</v>
      </c>
      <c r="E3085" s="2">
        <v>2.2499999999999999E-2</v>
      </c>
      <c r="F3085">
        <v>32.4</v>
      </c>
    </row>
    <row r="3086" spans="1:6" x14ac:dyDescent="0.25">
      <c r="A3086" s="1">
        <v>39448</v>
      </c>
      <c r="B3086" t="s">
        <v>21</v>
      </c>
      <c r="C3086" t="s">
        <v>6</v>
      </c>
      <c r="D3086">
        <v>44</v>
      </c>
      <c r="E3086" s="2">
        <v>5.1562499999999997E-2</v>
      </c>
      <c r="F3086">
        <v>74.25</v>
      </c>
    </row>
    <row r="3087" spans="1:6" x14ac:dyDescent="0.25">
      <c r="A3087" s="1">
        <v>39448</v>
      </c>
      <c r="B3087" t="s">
        <v>21</v>
      </c>
      <c r="C3087" t="s">
        <v>7</v>
      </c>
      <c r="D3087">
        <v>47</v>
      </c>
      <c r="E3087" s="2">
        <v>5.5034722222222221E-2</v>
      </c>
      <c r="F3087">
        <v>79.25</v>
      </c>
    </row>
    <row r="3088" spans="1:6" x14ac:dyDescent="0.25">
      <c r="A3088" s="1">
        <v>39448</v>
      </c>
      <c r="B3088" t="s">
        <v>21</v>
      </c>
      <c r="C3088" t="s">
        <v>8</v>
      </c>
      <c r="D3088">
        <v>30</v>
      </c>
      <c r="E3088" s="2">
        <v>4.3877314814814813E-2</v>
      </c>
      <c r="F3088">
        <v>63.18333333333333</v>
      </c>
    </row>
    <row r="3089" spans="1:6" x14ac:dyDescent="0.25">
      <c r="A3089" s="1">
        <v>39448</v>
      </c>
      <c r="B3089" t="s">
        <v>21</v>
      </c>
      <c r="C3089" t="s">
        <v>9</v>
      </c>
      <c r="D3089">
        <v>14</v>
      </c>
      <c r="E3089" s="2">
        <v>1.0694444444444444E-2</v>
      </c>
      <c r="F3089">
        <v>15.4</v>
      </c>
    </row>
    <row r="3090" spans="1:6" x14ac:dyDescent="0.25">
      <c r="A3090" s="1">
        <v>39448</v>
      </c>
      <c r="B3090" t="s">
        <v>21</v>
      </c>
      <c r="C3090" t="s">
        <v>10</v>
      </c>
      <c r="D3090">
        <v>6</v>
      </c>
      <c r="E3090" s="2">
        <v>7.6851851851851855E-3</v>
      </c>
      <c r="F3090">
        <v>11.066666666666666</v>
      </c>
    </row>
    <row r="3091" spans="1:6" x14ac:dyDescent="0.25">
      <c r="A3091" s="1">
        <v>39448</v>
      </c>
      <c r="B3091" t="s">
        <v>21</v>
      </c>
      <c r="C3091" t="s">
        <v>11</v>
      </c>
      <c r="D3091">
        <v>16</v>
      </c>
      <c r="E3091" s="2">
        <v>1.5555555555555555E-2</v>
      </c>
      <c r="F3091">
        <v>22.4</v>
      </c>
    </row>
    <row r="3092" spans="1:6" x14ac:dyDescent="0.25">
      <c r="A3092" s="1">
        <v>39448</v>
      </c>
      <c r="B3092" t="s">
        <v>22</v>
      </c>
      <c r="C3092" t="s">
        <v>6</v>
      </c>
      <c r="D3092">
        <v>19</v>
      </c>
      <c r="E3092" s="2">
        <v>2.0555555555555556E-2</v>
      </c>
      <c r="F3092">
        <v>29.6</v>
      </c>
    </row>
    <row r="3093" spans="1:6" x14ac:dyDescent="0.25">
      <c r="A3093" s="1">
        <v>39448</v>
      </c>
      <c r="B3093" t="s">
        <v>22</v>
      </c>
      <c r="C3093" t="s">
        <v>7</v>
      </c>
      <c r="D3093">
        <v>15</v>
      </c>
      <c r="E3093" s="2">
        <v>1.3796296296296296E-2</v>
      </c>
      <c r="F3093">
        <v>19.866666666666667</v>
      </c>
    </row>
    <row r="3094" spans="1:6" x14ac:dyDescent="0.25">
      <c r="A3094" s="1">
        <v>39448</v>
      </c>
      <c r="B3094" t="s">
        <v>22</v>
      </c>
      <c r="C3094" t="s">
        <v>8</v>
      </c>
      <c r="D3094">
        <v>5</v>
      </c>
      <c r="E3094" s="2">
        <v>8.7615740740740744E-3</v>
      </c>
      <c r="F3094">
        <v>12.616666666666667</v>
      </c>
    </row>
    <row r="3095" spans="1:6" x14ac:dyDescent="0.25">
      <c r="A3095" s="1">
        <v>39448</v>
      </c>
      <c r="B3095" t="s">
        <v>22</v>
      </c>
      <c r="C3095" t="s">
        <v>9</v>
      </c>
      <c r="D3095">
        <v>3</v>
      </c>
      <c r="E3095" s="2">
        <v>1.3888888888888889E-3</v>
      </c>
      <c r="F3095">
        <v>2</v>
      </c>
    </row>
    <row r="3096" spans="1:6" x14ac:dyDescent="0.25">
      <c r="A3096" s="1">
        <v>39448</v>
      </c>
      <c r="B3096" t="s">
        <v>22</v>
      </c>
      <c r="C3096" t="s">
        <v>10</v>
      </c>
      <c r="D3096">
        <v>1</v>
      </c>
      <c r="E3096" s="2">
        <v>1.3888888888888889E-3</v>
      </c>
      <c r="F3096">
        <v>2</v>
      </c>
    </row>
    <row r="3097" spans="1:6" x14ac:dyDescent="0.25">
      <c r="A3097" s="1">
        <v>39448</v>
      </c>
      <c r="B3097" t="s">
        <v>22</v>
      </c>
      <c r="C3097" t="s">
        <v>11</v>
      </c>
      <c r="D3097">
        <v>4</v>
      </c>
      <c r="E3097" s="2">
        <v>2.7083333333333334E-3</v>
      </c>
      <c r="F3097">
        <v>3.9</v>
      </c>
    </row>
    <row r="3098" spans="1:6" x14ac:dyDescent="0.25">
      <c r="A3098" s="1">
        <v>39448</v>
      </c>
      <c r="B3098" t="s">
        <v>23</v>
      </c>
      <c r="C3098" t="s">
        <v>6</v>
      </c>
      <c r="D3098">
        <v>166</v>
      </c>
      <c r="E3098" s="2">
        <v>0.16148148148148148</v>
      </c>
      <c r="F3098">
        <v>232.53333333333333</v>
      </c>
    </row>
    <row r="3099" spans="1:6" x14ac:dyDescent="0.25">
      <c r="A3099" s="1">
        <v>39448</v>
      </c>
      <c r="B3099" t="s">
        <v>23</v>
      </c>
      <c r="C3099" t="s">
        <v>7</v>
      </c>
      <c r="D3099">
        <v>126</v>
      </c>
      <c r="E3099" s="2">
        <v>0.13620370370370372</v>
      </c>
      <c r="F3099">
        <v>196.13333333333333</v>
      </c>
    </row>
    <row r="3100" spans="1:6" x14ac:dyDescent="0.25">
      <c r="A3100" s="1">
        <v>39448</v>
      </c>
      <c r="B3100" t="s">
        <v>23</v>
      </c>
      <c r="C3100" t="s">
        <v>8</v>
      </c>
      <c r="D3100">
        <v>73</v>
      </c>
      <c r="E3100" s="2">
        <v>8.9965277777777783E-2</v>
      </c>
      <c r="F3100">
        <v>129.55000000000001</v>
      </c>
    </row>
    <row r="3101" spans="1:6" x14ac:dyDescent="0.25">
      <c r="A3101" s="1">
        <v>39448</v>
      </c>
      <c r="B3101" t="s">
        <v>23</v>
      </c>
      <c r="C3101" t="s">
        <v>9</v>
      </c>
      <c r="D3101">
        <v>65</v>
      </c>
      <c r="E3101" s="2">
        <v>5.0104166666666665E-2</v>
      </c>
      <c r="F3101">
        <v>72.150000000000006</v>
      </c>
    </row>
    <row r="3102" spans="1:6" x14ac:dyDescent="0.25">
      <c r="A3102" s="1">
        <v>39448</v>
      </c>
      <c r="B3102" t="s">
        <v>23</v>
      </c>
      <c r="C3102" t="s">
        <v>10</v>
      </c>
      <c r="D3102">
        <v>43</v>
      </c>
      <c r="E3102" s="2">
        <v>4.099537037037037E-2</v>
      </c>
      <c r="F3102">
        <v>59.033333333333331</v>
      </c>
    </row>
    <row r="3103" spans="1:6" x14ac:dyDescent="0.25">
      <c r="A3103" s="1">
        <v>39448</v>
      </c>
      <c r="B3103" t="s">
        <v>23</v>
      </c>
      <c r="C3103" t="s">
        <v>11</v>
      </c>
      <c r="D3103">
        <v>67</v>
      </c>
      <c r="E3103" s="2">
        <v>5.2662037037037035E-2</v>
      </c>
      <c r="F3103">
        <v>75.833333333333329</v>
      </c>
    </row>
    <row r="3104" spans="1:6" x14ac:dyDescent="0.25">
      <c r="A3104" s="1">
        <v>39448</v>
      </c>
      <c r="B3104" t="s">
        <v>24</v>
      </c>
      <c r="C3104" t="s">
        <v>6</v>
      </c>
      <c r="D3104">
        <v>91</v>
      </c>
      <c r="E3104" s="2">
        <v>5.5625000000000001E-2</v>
      </c>
      <c r="F3104">
        <v>80.099999999999994</v>
      </c>
    </row>
    <row r="3105" spans="1:6" x14ac:dyDescent="0.25">
      <c r="A3105" s="1">
        <v>39448</v>
      </c>
      <c r="B3105" t="s">
        <v>24</v>
      </c>
      <c r="C3105" t="s">
        <v>7</v>
      </c>
      <c r="D3105">
        <v>81</v>
      </c>
      <c r="E3105" s="2">
        <v>6.2407407407407404E-2</v>
      </c>
      <c r="F3105">
        <v>89.86666666666666</v>
      </c>
    </row>
    <row r="3106" spans="1:6" x14ac:dyDescent="0.25">
      <c r="A3106" s="1">
        <v>39448</v>
      </c>
      <c r="B3106" t="s">
        <v>24</v>
      </c>
      <c r="C3106" t="s">
        <v>8</v>
      </c>
      <c r="D3106">
        <v>40</v>
      </c>
      <c r="E3106" s="2">
        <v>3.591435185185185E-2</v>
      </c>
      <c r="F3106">
        <v>51.716666666666669</v>
      </c>
    </row>
    <row r="3107" spans="1:6" x14ac:dyDescent="0.25">
      <c r="A3107" s="1">
        <v>39448</v>
      </c>
      <c r="B3107" t="s">
        <v>24</v>
      </c>
      <c r="C3107" t="s">
        <v>9</v>
      </c>
      <c r="D3107">
        <v>22</v>
      </c>
      <c r="E3107" s="2">
        <v>1.2789351851851852E-2</v>
      </c>
      <c r="F3107">
        <v>18.416666666666668</v>
      </c>
    </row>
    <row r="3108" spans="1:6" x14ac:dyDescent="0.25">
      <c r="A3108" s="1">
        <v>39448</v>
      </c>
      <c r="B3108" t="s">
        <v>24</v>
      </c>
      <c r="C3108" t="s">
        <v>10</v>
      </c>
      <c r="D3108">
        <v>3</v>
      </c>
      <c r="E3108" s="2">
        <v>3.2638888888888891E-3</v>
      </c>
      <c r="F3108">
        <v>4.7</v>
      </c>
    </row>
    <row r="3109" spans="1:6" x14ac:dyDescent="0.25">
      <c r="A3109" s="1">
        <v>39448</v>
      </c>
      <c r="B3109" t="s">
        <v>24</v>
      </c>
      <c r="C3109" t="s">
        <v>11</v>
      </c>
      <c r="D3109">
        <v>28</v>
      </c>
      <c r="E3109" s="2">
        <v>2.1099537037037038E-2</v>
      </c>
      <c r="F3109">
        <v>30.383333333333333</v>
      </c>
    </row>
    <row r="3110" spans="1:6" x14ac:dyDescent="0.25">
      <c r="A3110" s="1">
        <v>39479</v>
      </c>
      <c r="B3110" t="s">
        <v>5</v>
      </c>
      <c r="C3110" t="s">
        <v>6</v>
      </c>
      <c r="D3110">
        <v>15</v>
      </c>
      <c r="E3110" s="2">
        <v>1.1921296296296296E-2</v>
      </c>
      <c r="F3110">
        <v>17.166666666666668</v>
      </c>
    </row>
    <row r="3111" spans="1:6" x14ac:dyDescent="0.25">
      <c r="A3111" s="1">
        <v>39479</v>
      </c>
      <c r="B3111" t="s">
        <v>5</v>
      </c>
      <c r="C3111" t="s">
        <v>7</v>
      </c>
      <c r="D3111">
        <v>10</v>
      </c>
      <c r="E3111" s="2">
        <v>7.6620370370370366E-3</v>
      </c>
      <c r="F3111">
        <v>11.033333333333333</v>
      </c>
    </row>
    <row r="3112" spans="1:6" x14ac:dyDescent="0.25">
      <c r="A3112" s="1">
        <v>39479</v>
      </c>
      <c r="B3112" t="s">
        <v>5</v>
      </c>
      <c r="C3112" t="s">
        <v>8</v>
      </c>
      <c r="D3112">
        <v>5</v>
      </c>
      <c r="E3112" s="2">
        <v>6.7476851851851856E-3</v>
      </c>
      <c r="F3112">
        <v>9.7166666666666668</v>
      </c>
    </row>
    <row r="3113" spans="1:6" x14ac:dyDescent="0.25">
      <c r="A3113" s="1">
        <v>39479</v>
      </c>
      <c r="B3113" t="s">
        <v>5</v>
      </c>
      <c r="C3113" t="s">
        <v>9</v>
      </c>
      <c r="D3113">
        <v>3</v>
      </c>
      <c r="E3113" s="2">
        <v>2.8124999999999999E-3</v>
      </c>
      <c r="F3113">
        <v>4.05</v>
      </c>
    </row>
    <row r="3114" spans="1:6" x14ac:dyDescent="0.25">
      <c r="A3114" s="1">
        <v>39479</v>
      </c>
      <c r="B3114" t="s">
        <v>5</v>
      </c>
      <c r="C3114" t="s">
        <v>10</v>
      </c>
      <c r="D3114">
        <v>4</v>
      </c>
      <c r="E3114" s="2">
        <v>1.724537037037037E-3</v>
      </c>
      <c r="F3114">
        <v>2.4833333333333334</v>
      </c>
    </row>
    <row r="3115" spans="1:6" x14ac:dyDescent="0.25">
      <c r="A3115" s="1">
        <v>39479</v>
      </c>
      <c r="B3115" t="s">
        <v>5</v>
      </c>
      <c r="C3115" t="s">
        <v>11</v>
      </c>
      <c r="D3115">
        <v>8</v>
      </c>
      <c r="E3115" s="2">
        <v>4.5833333333333334E-3</v>
      </c>
      <c r="F3115">
        <v>6.6</v>
      </c>
    </row>
    <row r="3116" spans="1:6" x14ac:dyDescent="0.25">
      <c r="A3116" s="1">
        <v>39479</v>
      </c>
      <c r="B3116" t="s">
        <v>12</v>
      </c>
      <c r="C3116" t="s">
        <v>6</v>
      </c>
      <c r="D3116">
        <v>68</v>
      </c>
      <c r="E3116" s="2">
        <v>6.8842592592592594E-2</v>
      </c>
      <c r="F3116">
        <v>99.13333333333334</v>
      </c>
    </row>
    <row r="3117" spans="1:6" x14ac:dyDescent="0.25">
      <c r="A3117" s="1">
        <v>39479</v>
      </c>
      <c r="B3117" t="s">
        <v>12</v>
      </c>
      <c r="C3117" t="s">
        <v>7</v>
      </c>
      <c r="D3117">
        <v>72</v>
      </c>
      <c r="E3117" s="2">
        <v>0.10444444444444445</v>
      </c>
      <c r="F3117">
        <v>150.4</v>
      </c>
    </row>
    <row r="3118" spans="1:6" x14ac:dyDescent="0.25">
      <c r="A3118" s="1">
        <v>39479</v>
      </c>
      <c r="B3118" t="s">
        <v>12</v>
      </c>
      <c r="C3118" t="s">
        <v>8</v>
      </c>
      <c r="D3118">
        <v>47</v>
      </c>
      <c r="E3118" s="2">
        <v>6.1076388888888888E-2</v>
      </c>
      <c r="F3118">
        <v>87.95</v>
      </c>
    </row>
    <row r="3119" spans="1:6" x14ac:dyDescent="0.25">
      <c r="A3119" s="1">
        <v>39479</v>
      </c>
      <c r="B3119" t="s">
        <v>12</v>
      </c>
      <c r="C3119" t="s">
        <v>9</v>
      </c>
      <c r="D3119">
        <v>26</v>
      </c>
      <c r="E3119" s="2">
        <v>1.787037037037037E-2</v>
      </c>
      <c r="F3119">
        <v>25.733333333333334</v>
      </c>
    </row>
    <row r="3120" spans="1:6" x14ac:dyDescent="0.25">
      <c r="A3120" s="1">
        <v>39479</v>
      </c>
      <c r="B3120" t="s">
        <v>12</v>
      </c>
      <c r="C3120" t="s">
        <v>10</v>
      </c>
      <c r="D3120">
        <v>9</v>
      </c>
      <c r="E3120" s="2">
        <v>9.5486111111111119E-3</v>
      </c>
      <c r="F3120">
        <v>13.75</v>
      </c>
    </row>
    <row r="3121" spans="1:6" x14ac:dyDescent="0.25">
      <c r="A3121" s="1">
        <v>39479</v>
      </c>
      <c r="B3121" t="s">
        <v>12</v>
      </c>
      <c r="C3121" t="s">
        <v>11</v>
      </c>
      <c r="D3121">
        <v>25</v>
      </c>
      <c r="E3121" s="2">
        <v>2.0474537037037038E-2</v>
      </c>
      <c r="F3121">
        <v>29.483333333333334</v>
      </c>
    </row>
    <row r="3122" spans="1:6" x14ac:dyDescent="0.25">
      <c r="A3122" s="1">
        <v>39479</v>
      </c>
      <c r="B3122" t="s">
        <v>13</v>
      </c>
      <c r="C3122" t="s">
        <v>6</v>
      </c>
      <c r="D3122">
        <v>73</v>
      </c>
      <c r="E3122" s="2">
        <v>7.7337962962962969E-2</v>
      </c>
      <c r="F3122">
        <v>111.36666666666666</v>
      </c>
    </row>
    <row r="3123" spans="1:6" x14ac:dyDescent="0.25">
      <c r="A3123" s="1">
        <v>39479</v>
      </c>
      <c r="B3123" t="s">
        <v>13</v>
      </c>
      <c r="C3123" t="s">
        <v>7</v>
      </c>
      <c r="D3123">
        <v>69</v>
      </c>
      <c r="E3123" s="2">
        <v>8.4861111111111109E-2</v>
      </c>
      <c r="F3123">
        <v>122.2</v>
      </c>
    </row>
    <row r="3124" spans="1:6" x14ac:dyDescent="0.25">
      <c r="A3124" s="1">
        <v>39479</v>
      </c>
      <c r="B3124" t="s">
        <v>13</v>
      </c>
      <c r="C3124" t="s">
        <v>8</v>
      </c>
      <c r="D3124">
        <v>30</v>
      </c>
      <c r="E3124" s="2">
        <v>4.508101851851852E-2</v>
      </c>
      <c r="F3124">
        <v>64.916666666666671</v>
      </c>
    </row>
    <row r="3125" spans="1:6" x14ac:dyDescent="0.25">
      <c r="A3125" s="1">
        <v>39479</v>
      </c>
      <c r="B3125" t="s">
        <v>13</v>
      </c>
      <c r="C3125" t="s">
        <v>9</v>
      </c>
      <c r="D3125">
        <v>27</v>
      </c>
      <c r="E3125" s="2">
        <v>2.1516203703703704E-2</v>
      </c>
      <c r="F3125">
        <v>30.983333333333334</v>
      </c>
    </row>
    <row r="3126" spans="1:6" x14ac:dyDescent="0.25">
      <c r="A3126" s="1">
        <v>39479</v>
      </c>
      <c r="B3126" t="s">
        <v>13</v>
      </c>
      <c r="C3126" t="s">
        <v>10</v>
      </c>
      <c r="D3126">
        <v>18</v>
      </c>
      <c r="E3126" s="2">
        <v>1.5034722222222222E-2</v>
      </c>
      <c r="F3126">
        <v>21.65</v>
      </c>
    </row>
    <row r="3127" spans="1:6" x14ac:dyDescent="0.25">
      <c r="A3127" s="1">
        <v>39479</v>
      </c>
      <c r="B3127" t="s">
        <v>13</v>
      </c>
      <c r="C3127" t="s">
        <v>11</v>
      </c>
      <c r="D3127">
        <v>17</v>
      </c>
      <c r="E3127" s="2">
        <v>1.5671296296296298E-2</v>
      </c>
      <c r="F3127">
        <v>22.566666666666666</v>
      </c>
    </row>
    <row r="3128" spans="1:6" x14ac:dyDescent="0.25">
      <c r="A3128" s="1">
        <v>39479</v>
      </c>
      <c r="B3128" t="s">
        <v>14</v>
      </c>
      <c r="C3128" t="s">
        <v>6</v>
      </c>
      <c r="D3128">
        <v>20</v>
      </c>
      <c r="E3128" s="2">
        <v>2.3553240740740739E-2</v>
      </c>
      <c r="F3128">
        <v>33.916666666666664</v>
      </c>
    </row>
    <row r="3129" spans="1:6" x14ac:dyDescent="0.25">
      <c r="A3129" s="1">
        <v>39479</v>
      </c>
      <c r="B3129" t="s">
        <v>14</v>
      </c>
      <c r="C3129" t="s">
        <v>7</v>
      </c>
      <c r="D3129">
        <v>13</v>
      </c>
      <c r="E3129" s="2">
        <v>1.5625E-2</v>
      </c>
      <c r="F3129">
        <v>22.5</v>
      </c>
    </row>
    <row r="3130" spans="1:6" x14ac:dyDescent="0.25">
      <c r="A3130" s="1">
        <v>39479</v>
      </c>
      <c r="B3130" t="s">
        <v>14</v>
      </c>
      <c r="C3130" t="s">
        <v>8</v>
      </c>
      <c r="D3130">
        <v>11</v>
      </c>
      <c r="E3130" s="2">
        <v>1.4699074074074074E-2</v>
      </c>
      <c r="F3130">
        <v>21.166666666666668</v>
      </c>
    </row>
    <row r="3131" spans="1:6" x14ac:dyDescent="0.25">
      <c r="A3131" s="1">
        <v>39479</v>
      </c>
      <c r="B3131" t="s">
        <v>14</v>
      </c>
      <c r="C3131" t="s">
        <v>9</v>
      </c>
      <c r="D3131">
        <v>5</v>
      </c>
      <c r="E3131" s="2">
        <v>4.8958333333333336E-3</v>
      </c>
      <c r="F3131">
        <v>7.05</v>
      </c>
    </row>
    <row r="3132" spans="1:6" x14ac:dyDescent="0.25">
      <c r="A3132" s="1">
        <v>39479</v>
      </c>
      <c r="B3132" t="s">
        <v>14</v>
      </c>
      <c r="C3132" t="s">
        <v>10</v>
      </c>
      <c r="D3132">
        <v>2</v>
      </c>
      <c r="E3132" s="2">
        <v>3.9004629629629628E-3</v>
      </c>
      <c r="F3132">
        <v>5.6166666666666671</v>
      </c>
    </row>
    <row r="3133" spans="1:6" x14ac:dyDescent="0.25">
      <c r="A3133" s="1">
        <v>39479</v>
      </c>
      <c r="B3133" t="s">
        <v>14</v>
      </c>
      <c r="C3133" t="s">
        <v>11</v>
      </c>
      <c r="D3133">
        <v>7</v>
      </c>
      <c r="E3133" s="2">
        <v>6.8865740740740745E-3</v>
      </c>
      <c r="F3133">
        <v>9.9166666666666661</v>
      </c>
    </row>
    <row r="3134" spans="1:6" x14ac:dyDescent="0.25">
      <c r="A3134" s="1">
        <v>39479</v>
      </c>
      <c r="B3134" t="s">
        <v>15</v>
      </c>
      <c r="C3134" t="s">
        <v>6</v>
      </c>
      <c r="D3134">
        <v>28</v>
      </c>
      <c r="E3134" s="2">
        <v>2.9537037037037039E-2</v>
      </c>
      <c r="F3134">
        <v>42.533333333333331</v>
      </c>
    </row>
    <row r="3135" spans="1:6" x14ac:dyDescent="0.25">
      <c r="A3135" s="1">
        <v>39479</v>
      </c>
      <c r="B3135" t="s">
        <v>15</v>
      </c>
      <c r="C3135" t="s">
        <v>7</v>
      </c>
      <c r="D3135">
        <v>13</v>
      </c>
      <c r="E3135" s="2">
        <v>1.4722222222222222E-2</v>
      </c>
      <c r="F3135">
        <v>21.2</v>
      </c>
    </row>
    <row r="3136" spans="1:6" x14ac:dyDescent="0.25">
      <c r="A3136" s="1">
        <v>39479</v>
      </c>
      <c r="B3136" t="s">
        <v>15</v>
      </c>
      <c r="C3136" t="s">
        <v>8</v>
      </c>
      <c r="D3136">
        <v>9</v>
      </c>
      <c r="E3136" s="2">
        <v>1.1585648148148149E-2</v>
      </c>
      <c r="F3136">
        <v>16.683333333333334</v>
      </c>
    </row>
    <row r="3137" spans="1:6" x14ac:dyDescent="0.25">
      <c r="A3137" s="1">
        <v>39479</v>
      </c>
      <c r="B3137" t="s">
        <v>15</v>
      </c>
      <c r="C3137" t="s">
        <v>9</v>
      </c>
      <c r="D3137">
        <v>13</v>
      </c>
      <c r="E3137" s="2">
        <v>5.8449074074074072E-3</v>
      </c>
      <c r="F3137">
        <v>8.4166666666666661</v>
      </c>
    </row>
    <row r="3138" spans="1:6" x14ac:dyDescent="0.25">
      <c r="A3138" s="1">
        <v>39479</v>
      </c>
      <c r="B3138" t="s">
        <v>15</v>
      </c>
      <c r="C3138" t="s">
        <v>10</v>
      </c>
      <c r="D3138">
        <v>3</v>
      </c>
      <c r="E3138" s="2">
        <v>3.0208333333333333E-3</v>
      </c>
      <c r="F3138">
        <v>4.3499999999999996</v>
      </c>
    </row>
    <row r="3139" spans="1:6" x14ac:dyDescent="0.25">
      <c r="A3139" s="1">
        <v>39479</v>
      </c>
      <c r="B3139" t="s">
        <v>15</v>
      </c>
      <c r="C3139" t="s">
        <v>11</v>
      </c>
      <c r="D3139">
        <v>3</v>
      </c>
      <c r="E3139" s="2">
        <v>2.3842592592592591E-3</v>
      </c>
      <c r="F3139">
        <v>3.4333333333333336</v>
      </c>
    </row>
    <row r="3140" spans="1:6" x14ac:dyDescent="0.25">
      <c r="A3140" s="1">
        <v>39479</v>
      </c>
      <c r="B3140" t="s">
        <v>16</v>
      </c>
      <c r="C3140" t="s">
        <v>6</v>
      </c>
      <c r="D3140">
        <v>19</v>
      </c>
      <c r="E3140" s="2">
        <v>1.758101851851852E-2</v>
      </c>
      <c r="F3140">
        <v>25.316666666666666</v>
      </c>
    </row>
    <row r="3141" spans="1:6" x14ac:dyDescent="0.25">
      <c r="A3141" s="1">
        <v>39479</v>
      </c>
      <c r="B3141" t="s">
        <v>16</v>
      </c>
      <c r="C3141" t="s">
        <v>7</v>
      </c>
      <c r="D3141">
        <v>9</v>
      </c>
      <c r="E3141" s="2">
        <v>9.9421296296296289E-3</v>
      </c>
      <c r="F3141">
        <v>14.316666666666666</v>
      </c>
    </row>
    <row r="3142" spans="1:6" x14ac:dyDescent="0.25">
      <c r="A3142" s="1">
        <v>39479</v>
      </c>
      <c r="B3142" t="s">
        <v>16</v>
      </c>
      <c r="C3142" t="s">
        <v>8</v>
      </c>
      <c r="D3142">
        <v>11</v>
      </c>
      <c r="E3142" s="2">
        <v>8.0324074074074082E-3</v>
      </c>
      <c r="F3142">
        <v>11.566666666666666</v>
      </c>
    </row>
    <row r="3143" spans="1:6" x14ac:dyDescent="0.25">
      <c r="A3143" s="1">
        <v>39479</v>
      </c>
      <c r="B3143" t="s">
        <v>16</v>
      </c>
      <c r="C3143" t="s">
        <v>9</v>
      </c>
      <c r="D3143">
        <v>11</v>
      </c>
      <c r="E3143" s="2">
        <v>6.7245370370370367E-3</v>
      </c>
      <c r="F3143">
        <v>9.6833333333333336</v>
      </c>
    </row>
    <row r="3144" spans="1:6" x14ac:dyDescent="0.25">
      <c r="A3144" s="1">
        <v>39479</v>
      </c>
      <c r="B3144" t="s">
        <v>16</v>
      </c>
      <c r="C3144" t="s">
        <v>10</v>
      </c>
      <c r="D3144">
        <v>3</v>
      </c>
      <c r="E3144" s="2">
        <v>1.6319444444444445E-3</v>
      </c>
      <c r="F3144">
        <v>2.35</v>
      </c>
    </row>
    <row r="3145" spans="1:6" x14ac:dyDescent="0.25">
      <c r="A3145" s="1">
        <v>39479</v>
      </c>
      <c r="B3145" t="s">
        <v>16</v>
      </c>
      <c r="C3145" t="s">
        <v>11</v>
      </c>
      <c r="D3145">
        <v>16</v>
      </c>
      <c r="E3145" s="2">
        <v>1.0324074074074074E-2</v>
      </c>
      <c r="F3145">
        <v>14.866666666666667</v>
      </c>
    </row>
    <row r="3146" spans="1:6" x14ac:dyDescent="0.25">
      <c r="A3146" s="1">
        <v>39479</v>
      </c>
      <c r="B3146" t="s">
        <v>17</v>
      </c>
      <c r="C3146" t="s">
        <v>6</v>
      </c>
      <c r="D3146">
        <v>15</v>
      </c>
      <c r="E3146" s="2">
        <v>2.0231481481481482E-2</v>
      </c>
      <c r="F3146">
        <v>29.133333333333333</v>
      </c>
    </row>
    <row r="3147" spans="1:6" x14ac:dyDescent="0.25">
      <c r="A3147" s="1">
        <v>39479</v>
      </c>
      <c r="B3147" t="s">
        <v>17</v>
      </c>
      <c r="C3147" t="s">
        <v>7</v>
      </c>
      <c r="D3147">
        <v>9</v>
      </c>
      <c r="E3147" s="2">
        <v>1.1747685185185186E-2</v>
      </c>
      <c r="F3147">
        <v>16.916666666666668</v>
      </c>
    </row>
    <row r="3148" spans="1:6" x14ac:dyDescent="0.25">
      <c r="A3148" s="1">
        <v>39479</v>
      </c>
      <c r="B3148" t="s">
        <v>17</v>
      </c>
      <c r="C3148" t="s">
        <v>8</v>
      </c>
      <c r="D3148">
        <v>2</v>
      </c>
      <c r="E3148" s="2">
        <v>2.662037037037037E-3</v>
      </c>
      <c r="F3148">
        <v>3.8333333333333335</v>
      </c>
    </row>
    <row r="3149" spans="1:6" x14ac:dyDescent="0.25">
      <c r="A3149" s="1">
        <v>39479</v>
      </c>
      <c r="B3149" t="s">
        <v>17</v>
      </c>
      <c r="C3149" t="s">
        <v>9</v>
      </c>
      <c r="D3149">
        <v>5</v>
      </c>
      <c r="E3149" s="2">
        <v>4.0625000000000001E-3</v>
      </c>
      <c r="F3149">
        <v>5.85</v>
      </c>
    </row>
    <row r="3150" spans="1:6" x14ac:dyDescent="0.25">
      <c r="A3150" s="1">
        <v>39479</v>
      </c>
      <c r="B3150" t="s">
        <v>17</v>
      </c>
      <c r="C3150" t="s">
        <v>10</v>
      </c>
      <c r="D3150">
        <v>2</v>
      </c>
      <c r="E3150" s="2">
        <v>1.4004629629629629E-3</v>
      </c>
      <c r="F3150">
        <v>2.0166666666666666</v>
      </c>
    </row>
    <row r="3151" spans="1:6" x14ac:dyDescent="0.25">
      <c r="A3151" s="1">
        <v>39479</v>
      </c>
      <c r="B3151" t="s">
        <v>17</v>
      </c>
      <c r="C3151" t="s">
        <v>11</v>
      </c>
      <c r="D3151">
        <v>4</v>
      </c>
      <c r="E3151" s="2">
        <v>5.2314814814814811E-3</v>
      </c>
      <c r="F3151">
        <v>7.5333333333333332</v>
      </c>
    </row>
    <row r="3152" spans="1:6" x14ac:dyDescent="0.25">
      <c r="A3152" s="1">
        <v>39479</v>
      </c>
      <c r="B3152" t="s">
        <v>18</v>
      </c>
      <c r="C3152" t="s">
        <v>6</v>
      </c>
      <c r="D3152">
        <v>103</v>
      </c>
      <c r="E3152" s="2">
        <v>7.1747685185185192E-2</v>
      </c>
      <c r="F3152">
        <v>103.31666666666666</v>
      </c>
    </row>
    <row r="3153" spans="1:6" x14ac:dyDescent="0.25">
      <c r="A3153" s="1">
        <v>39479</v>
      </c>
      <c r="B3153" t="s">
        <v>18</v>
      </c>
      <c r="C3153" t="s">
        <v>7</v>
      </c>
      <c r="D3153">
        <v>102</v>
      </c>
      <c r="E3153" s="2">
        <v>9.6180555555555561E-2</v>
      </c>
      <c r="F3153">
        <v>138.5</v>
      </c>
    </row>
    <row r="3154" spans="1:6" x14ac:dyDescent="0.25">
      <c r="A3154" s="1">
        <v>39479</v>
      </c>
      <c r="B3154" t="s">
        <v>18</v>
      </c>
      <c r="C3154" t="s">
        <v>8</v>
      </c>
      <c r="D3154">
        <v>70</v>
      </c>
      <c r="E3154" s="2">
        <v>8.1307870370370364E-2</v>
      </c>
      <c r="F3154">
        <v>117.08333333333333</v>
      </c>
    </row>
    <row r="3155" spans="1:6" x14ac:dyDescent="0.25">
      <c r="A3155" s="1">
        <v>39479</v>
      </c>
      <c r="B3155" t="s">
        <v>18</v>
      </c>
      <c r="C3155" t="s">
        <v>9</v>
      </c>
      <c r="D3155">
        <v>73</v>
      </c>
      <c r="E3155" s="2">
        <v>4.8541666666666664E-2</v>
      </c>
      <c r="F3155">
        <v>69.900000000000006</v>
      </c>
    </row>
    <row r="3156" spans="1:6" x14ac:dyDescent="0.25">
      <c r="A3156" s="1">
        <v>39479</v>
      </c>
      <c r="B3156" t="s">
        <v>18</v>
      </c>
      <c r="C3156" t="s">
        <v>10</v>
      </c>
      <c r="D3156">
        <v>166</v>
      </c>
      <c r="E3156" s="2">
        <v>0.14180555555555555</v>
      </c>
      <c r="F3156">
        <v>204.2</v>
      </c>
    </row>
    <row r="3157" spans="1:6" x14ac:dyDescent="0.25">
      <c r="A3157" s="1">
        <v>39479</v>
      </c>
      <c r="B3157" t="s">
        <v>18</v>
      </c>
      <c r="C3157" t="s">
        <v>11</v>
      </c>
      <c r="D3157">
        <v>36</v>
      </c>
      <c r="E3157" s="2">
        <v>2.855324074074074E-2</v>
      </c>
      <c r="F3157">
        <v>41.116666666666667</v>
      </c>
    </row>
    <row r="3158" spans="1:6" x14ac:dyDescent="0.25">
      <c r="A3158" s="1">
        <v>39479</v>
      </c>
      <c r="B3158" t="s">
        <v>19</v>
      </c>
      <c r="C3158" t="s">
        <v>6</v>
      </c>
      <c r="D3158">
        <v>43</v>
      </c>
      <c r="E3158" s="2">
        <v>4.9224537037037039E-2</v>
      </c>
      <c r="F3158">
        <v>70.88333333333334</v>
      </c>
    </row>
    <row r="3159" spans="1:6" x14ac:dyDescent="0.25">
      <c r="A3159" s="1">
        <v>39479</v>
      </c>
      <c r="B3159" t="s">
        <v>19</v>
      </c>
      <c r="C3159" t="s">
        <v>7</v>
      </c>
      <c r="D3159">
        <v>46</v>
      </c>
      <c r="E3159" s="2">
        <v>4.3263888888888886E-2</v>
      </c>
      <c r="F3159">
        <v>62.3</v>
      </c>
    </row>
    <row r="3160" spans="1:6" x14ac:dyDescent="0.25">
      <c r="A3160" s="1">
        <v>39479</v>
      </c>
      <c r="B3160" t="s">
        <v>19</v>
      </c>
      <c r="C3160" t="s">
        <v>8</v>
      </c>
      <c r="D3160">
        <v>32</v>
      </c>
      <c r="E3160" s="2">
        <v>3.4201388888888892E-2</v>
      </c>
      <c r="F3160">
        <v>49.25</v>
      </c>
    </row>
    <row r="3161" spans="1:6" x14ac:dyDescent="0.25">
      <c r="A3161" s="1">
        <v>39479</v>
      </c>
      <c r="B3161" t="s">
        <v>19</v>
      </c>
      <c r="C3161" t="s">
        <v>9</v>
      </c>
      <c r="D3161">
        <v>34</v>
      </c>
      <c r="E3161" s="2">
        <v>2.6249999999999999E-2</v>
      </c>
      <c r="F3161">
        <v>37.799999999999997</v>
      </c>
    </row>
    <row r="3162" spans="1:6" x14ac:dyDescent="0.25">
      <c r="A3162" s="1">
        <v>39479</v>
      </c>
      <c r="B3162" t="s">
        <v>19</v>
      </c>
      <c r="C3162" t="s">
        <v>10</v>
      </c>
      <c r="D3162">
        <v>18</v>
      </c>
      <c r="E3162" s="2">
        <v>1.337962962962963E-2</v>
      </c>
      <c r="F3162">
        <v>19.266666666666666</v>
      </c>
    </row>
    <row r="3163" spans="1:6" x14ac:dyDescent="0.25">
      <c r="A3163" s="1">
        <v>39479</v>
      </c>
      <c r="B3163" t="s">
        <v>19</v>
      </c>
      <c r="C3163" t="s">
        <v>11</v>
      </c>
      <c r="D3163">
        <v>20</v>
      </c>
      <c r="E3163" s="2">
        <v>1.8101851851851852E-2</v>
      </c>
      <c r="F3163">
        <v>26.066666666666666</v>
      </c>
    </row>
    <row r="3164" spans="1:6" x14ac:dyDescent="0.25">
      <c r="A3164" s="1">
        <v>39479</v>
      </c>
      <c r="B3164" t="s">
        <v>20</v>
      </c>
      <c r="C3164" t="s">
        <v>6</v>
      </c>
      <c r="D3164">
        <v>55</v>
      </c>
      <c r="E3164" s="2">
        <v>5.4456018518518522E-2</v>
      </c>
      <c r="F3164">
        <v>78.416666666666671</v>
      </c>
    </row>
    <row r="3165" spans="1:6" x14ac:dyDescent="0.25">
      <c r="A3165" s="1">
        <v>39479</v>
      </c>
      <c r="B3165" t="s">
        <v>20</v>
      </c>
      <c r="C3165" t="s">
        <v>7</v>
      </c>
      <c r="D3165">
        <v>53</v>
      </c>
      <c r="E3165" s="2">
        <v>7.3993055555555562E-2</v>
      </c>
      <c r="F3165">
        <v>106.55</v>
      </c>
    </row>
    <row r="3166" spans="1:6" x14ac:dyDescent="0.25">
      <c r="A3166" s="1">
        <v>39479</v>
      </c>
      <c r="B3166" t="s">
        <v>20</v>
      </c>
      <c r="C3166" t="s">
        <v>8</v>
      </c>
      <c r="D3166">
        <v>53</v>
      </c>
      <c r="E3166" s="2">
        <v>6.9016203703703705E-2</v>
      </c>
      <c r="F3166">
        <v>99.38333333333334</v>
      </c>
    </row>
    <row r="3167" spans="1:6" x14ac:dyDescent="0.25">
      <c r="A3167" s="1">
        <v>39479</v>
      </c>
      <c r="B3167" t="s">
        <v>20</v>
      </c>
      <c r="C3167" t="s">
        <v>9</v>
      </c>
      <c r="D3167">
        <v>22</v>
      </c>
      <c r="E3167" s="2">
        <v>1.744212962962963E-2</v>
      </c>
      <c r="F3167">
        <v>25.116666666666667</v>
      </c>
    </row>
    <row r="3168" spans="1:6" x14ac:dyDescent="0.25">
      <c r="A3168" s="1">
        <v>39479</v>
      </c>
      <c r="B3168" t="s">
        <v>20</v>
      </c>
      <c r="C3168" t="s">
        <v>10</v>
      </c>
      <c r="D3168">
        <v>15</v>
      </c>
      <c r="E3168" s="2">
        <v>1.6342592592592593E-2</v>
      </c>
      <c r="F3168">
        <v>23.533333333333335</v>
      </c>
    </row>
    <row r="3169" spans="1:6" x14ac:dyDescent="0.25">
      <c r="A3169" s="1">
        <v>39479</v>
      </c>
      <c r="B3169" t="s">
        <v>20</v>
      </c>
      <c r="C3169" t="s">
        <v>11</v>
      </c>
      <c r="D3169">
        <v>26</v>
      </c>
      <c r="E3169" s="2">
        <v>2.6041666666666668E-2</v>
      </c>
      <c r="F3169">
        <v>37.5</v>
      </c>
    </row>
    <row r="3170" spans="1:6" x14ac:dyDescent="0.25">
      <c r="A3170" s="1">
        <v>39479</v>
      </c>
      <c r="B3170" t="s">
        <v>21</v>
      </c>
      <c r="C3170" t="s">
        <v>6</v>
      </c>
      <c r="D3170">
        <v>21</v>
      </c>
      <c r="E3170" s="2">
        <v>2.525462962962963E-2</v>
      </c>
      <c r="F3170">
        <v>36.366666666666667</v>
      </c>
    </row>
    <row r="3171" spans="1:6" x14ac:dyDescent="0.25">
      <c r="A3171" s="1">
        <v>39479</v>
      </c>
      <c r="B3171" t="s">
        <v>21</v>
      </c>
      <c r="C3171" t="s">
        <v>7</v>
      </c>
      <c r="D3171">
        <v>21</v>
      </c>
      <c r="E3171" s="2">
        <v>2.8495370370370369E-2</v>
      </c>
      <c r="F3171">
        <v>41.033333333333331</v>
      </c>
    </row>
    <row r="3172" spans="1:6" x14ac:dyDescent="0.25">
      <c r="A3172" s="1">
        <v>39479</v>
      </c>
      <c r="B3172" t="s">
        <v>21</v>
      </c>
      <c r="C3172" t="s">
        <v>8</v>
      </c>
      <c r="D3172">
        <v>11</v>
      </c>
      <c r="E3172" s="2">
        <v>1.5486111111111112E-2</v>
      </c>
      <c r="F3172">
        <v>22.3</v>
      </c>
    </row>
    <row r="3173" spans="1:6" x14ac:dyDescent="0.25">
      <c r="A3173" s="1">
        <v>39479</v>
      </c>
      <c r="B3173" t="s">
        <v>21</v>
      </c>
      <c r="C3173" t="s">
        <v>9</v>
      </c>
      <c r="D3173">
        <v>10</v>
      </c>
      <c r="E3173" s="2">
        <v>6.122685185185185E-3</v>
      </c>
      <c r="F3173">
        <v>8.8166666666666664</v>
      </c>
    </row>
    <row r="3174" spans="1:6" x14ac:dyDescent="0.25">
      <c r="A3174" s="1">
        <v>39479</v>
      </c>
      <c r="B3174" t="s">
        <v>21</v>
      </c>
      <c r="C3174" t="s">
        <v>10</v>
      </c>
      <c r="D3174">
        <v>3</v>
      </c>
      <c r="E3174" s="2">
        <v>4.3518518518518515E-3</v>
      </c>
      <c r="F3174">
        <v>6.2666666666666666</v>
      </c>
    </row>
    <row r="3175" spans="1:6" x14ac:dyDescent="0.25">
      <c r="A3175" s="1">
        <v>39479</v>
      </c>
      <c r="B3175" t="s">
        <v>21</v>
      </c>
      <c r="C3175" t="s">
        <v>11</v>
      </c>
      <c r="D3175">
        <v>11</v>
      </c>
      <c r="E3175" s="2">
        <v>9.7337962962962959E-3</v>
      </c>
      <c r="F3175">
        <v>14.016666666666667</v>
      </c>
    </row>
    <row r="3176" spans="1:6" x14ac:dyDescent="0.25">
      <c r="A3176" s="1">
        <v>39479</v>
      </c>
      <c r="B3176" t="s">
        <v>22</v>
      </c>
      <c r="C3176" t="s">
        <v>6</v>
      </c>
      <c r="D3176">
        <v>36</v>
      </c>
      <c r="E3176" s="2">
        <v>3.6608796296296299E-2</v>
      </c>
      <c r="F3176">
        <v>52.716666666666669</v>
      </c>
    </row>
    <row r="3177" spans="1:6" x14ac:dyDescent="0.25">
      <c r="A3177" s="1">
        <v>39479</v>
      </c>
      <c r="B3177" t="s">
        <v>22</v>
      </c>
      <c r="C3177" t="s">
        <v>7</v>
      </c>
      <c r="D3177">
        <v>11</v>
      </c>
      <c r="E3177" s="2">
        <v>1.0439814814814815E-2</v>
      </c>
      <c r="F3177">
        <v>15.033333333333333</v>
      </c>
    </row>
    <row r="3178" spans="1:6" x14ac:dyDescent="0.25">
      <c r="A3178" s="1">
        <v>39479</v>
      </c>
      <c r="B3178" t="s">
        <v>22</v>
      </c>
      <c r="C3178" t="s">
        <v>8</v>
      </c>
      <c r="D3178">
        <v>5</v>
      </c>
      <c r="E3178" s="2">
        <v>6.1921296296296299E-3</v>
      </c>
      <c r="F3178">
        <v>8.9166666666666661</v>
      </c>
    </row>
    <row r="3179" spans="1:6" x14ac:dyDescent="0.25">
      <c r="A3179" s="1">
        <v>39479</v>
      </c>
      <c r="B3179" t="s">
        <v>22</v>
      </c>
      <c r="C3179" t="s">
        <v>9</v>
      </c>
      <c r="D3179">
        <v>5</v>
      </c>
      <c r="E3179" s="2">
        <v>1.5046296296296296E-3</v>
      </c>
      <c r="F3179">
        <v>2.1666666666666665</v>
      </c>
    </row>
    <row r="3180" spans="1:6" x14ac:dyDescent="0.25">
      <c r="A3180" s="1">
        <v>39479</v>
      </c>
      <c r="B3180" t="s">
        <v>22</v>
      </c>
      <c r="C3180" t="s">
        <v>10</v>
      </c>
      <c r="D3180">
        <v>3</v>
      </c>
      <c r="E3180" s="2">
        <v>1.0300925925925926E-3</v>
      </c>
      <c r="F3180">
        <v>1.4833333333333334</v>
      </c>
    </row>
    <row r="3181" spans="1:6" x14ac:dyDescent="0.25">
      <c r="A3181" s="1">
        <v>39479</v>
      </c>
      <c r="B3181" t="s">
        <v>22</v>
      </c>
      <c r="C3181" t="s">
        <v>11</v>
      </c>
      <c r="D3181">
        <v>9</v>
      </c>
      <c r="E3181" s="2">
        <v>4.9189814814814816E-3</v>
      </c>
      <c r="F3181">
        <v>7.083333333333333</v>
      </c>
    </row>
    <row r="3182" spans="1:6" x14ac:dyDescent="0.25">
      <c r="A3182" s="1">
        <v>39479</v>
      </c>
      <c r="B3182" t="s">
        <v>23</v>
      </c>
      <c r="C3182" t="s">
        <v>6</v>
      </c>
      <c r="D3182">
        <v>136</v>
      </c>
      <c r="E3182" s="2">
        <v>0.13878472222222221</v>
      </c>
      <c r="F3182">
        <v>199.85</v>
      </c>
    </row>
    <row r="3183" spans="1:6" x14ac:dyDescent="0.25">
      <c r="A3183" s="1">
        <v>39479</v>
      </c>
      <c r="B3183" t="s">
        <v>23</v>
      </c>
      <c r="C3183" t="s">
        <v>7</v>
      </c>
      <c r="D3183">
        <v>96</v>
      </c>
      <c r="E3183" s="2">
        <v>0.10956018518518519</v>
      </c>
      <c r="F3183">
        <v>157.76666666666668</v>
      </c>
    </row>
    <row r="3184" spans="1:6" x14ac:dyDescent="0.25">
      <c r="A3184" s="1">
        <v>39479</v>
      </c>
      <c r="B3184" t="s">
        <v>23</v>
      </c>
      <c r="C3184" t="s">
        <v>8</v>
      </c>
      <c r="D3184">
        <v>72</v>
      </c>
      <c r="E3184" s="2">
        <v>9.0462962962962967E-2</v>
      </c>
      <c r="F3184">
        <v>130.26666666666668</v>
      </c>
    </row>
    <row r="3185" spans="1:6" x14ac:dyDescent="0.25">
      <c r="A3185" s="1">
        <v>39479</v>
      </c>
      <c r="B3185" t="s">
        <v>23</v>
      </c>
      <c r="C3185" t="s">
        <v>9</v>
      </c>
      <c r="D3185">
        <v>53</v>
      </c>
      <c r="E3185" s="2">
        <v>3.6562499999999998E-2</v>
      </c>
      <c r="F3185">
        <v>52.65</v>
      </c>
    </row>
    <row r="3186" spans="1:6" x14ac:dyDescent="0.25">
      <c r="A3186" s="1">
        <v>39479</v>
      </c>
      <c r="B3186" t="s">
        <v>23</v>
      </c>
      <c r="C3186" t="s">
        <v>10</v>
      </c>
      <c r="D3186">
        <v>35</v>
      </c>
      <c r="E3186" s="2">
        <v>3.6018518518518519E-2</v>
      </c>
      <c r="F3186">
        <v>51.866666666666667</v>
      </c>
    </row>
    <row r="3187" spans="1:6" x14ac:dyDescent="0.25">
      <c r="A3187" s="1">
        <v>39479</v>
      </c>
      <c r="B3187" t="s">
        <v>23</v>
      </c>
      <c r="C3187" t="s">
        <v>11</v>
      </c>
      <c r="D3187">
        <v>49</v>
      </c>
      <c r="E3187" s="2">
        <v>3.6331018518518519E-2</v>
      </c>
      <c r="F3187">
        <v>52.31666666666667</v>
      </c>
    </row>
    <row r="3188" spans="1:6" x14ac:dyDescent="0.25">
      <c r="A3188" s="1">
        <v>39479</v>
      </c>
      <c r="B3188" t="s">
        <v>24</v>
      </c>
      <c r="C3188" t="s">
        <v>6</v>
      </c>
      <c r="D3188">
        <v>56</v>
      </c>
      <c r="E3188" s="2">
        <v>3.4108796296296297E-2</v>
      </c>
      <c r="F3188">
        <v>49.116666666666667</v>
      </c>
    </row>
    <row r="3189" spans="1:6" x14ac:dyDescent="0.25">
      <c r="A3189" s="1">
        <v>39479</v>
      </c>
      <c r="B3189" t="s">
        <v>24</v>
      </c>
      <c r="C3189" t="s">
        <v>7</v>
      </c>
      <c r="D3189">
        <v>57</v>
      </c>
      <c r="E3189" s="2">
        <v>4.3229166666666666E-2</v>
      </c>
      <c r="F3189">
        <v>62.25</v>
      </c>
    </row>
    <row r="3190" spans="1:6" x14ac:dyDescent="0.25">
      <c r="A3190" s="1">
        <v>39479</v>
      </c>
      <c r="B3190" t="s">
        <v>24</v>
      </c>
      <c r="C3190" t="s">
        <v>8</v>
      </c>
      <c r="D3190">
        <v>31</v>
      </c>
      <c r="E3190" s="2">
        <v>2.7418981481481482E-2</v>
      </c>
      <c r="F3190">
        <v>39.483333333333334</v>
      </c>
    </row>
    <row r="3191" spans="1:6" x14ac:dyDescent="0.25">
      <c r="A3191" s="1">
        <v>39479</v>
      </c>
      <c r="B3191" t="s">
        <v>24</v>
      </c>
      <c r="C3191" t="s">
        <v>9</v>
      </c>
      <c r="D3191">
        <v>17</v>
      </c>
      <c r="E3191" s="2">
        <v>8.4143518518518517E-3</v>
      </c>
      <c r="F3191">
        <v>12.116666666666667</v>
      </c>
    </row>
    <row r="3192" spans="1:6" x14ac:dyDescent="0.25">
      <c r="A3192" s="1">
        <v>39479</v>
      </c>
      <c r="B3192" t="s">
        <v>24</v>
      </c>
      <c r="C3192" t="s">
        <v>10</v>
      </c>
      <c r="D3192">
        <v>0</v>
      </c>
      <c r="E3192" s="2">
        <v>0</v>
      </c>
      <c r="F3192">
        <v>0</v>
      </c>
    </row>
    <row r="3193" spans="1:6" x14ac:dyDescent="0.25">
      <c r="A3193" s="1">
        <v>39479</v>
      </c>
      <c r="B3193" t="s">
        <v>24</v>
      </c>
      <c r="C3193" t="s">
        <v>11</v>
      </c>
      <c r="D3193">
        <v>27</v>
      </c>
      <c r="E3193" s="2">
        <v>1.9224537037037037E-2</v>
      </c>
      <c r="F3193">
        <v>27.683333333333334</v>
      </c>
    </row>
    <row r="3194" spans="1:6" x14ac:dyDescent="0.25">
      <c r="A3194" s="1">
        <v>39508</v>
      </c>
      <c r="B3194" t="s">
        <v>5</v>
      </c>
      <c r="C3194" t="s">
        <v>6</v>
      </c>
      <c r="D3194">
        <v>16</v>
      </c>
      <c r="E3194" s="2">
        <v>1.5532407407407408E-2</v>
      </c>
      <c r="F3194">
        <v>22.366666666666667</v>
      </c>
    </row>
    <row r="3195" spans="1:6" x14ac:dyDescent="0.25">
      <c r="A3195" s="1">
        <v>39508</v>
      </c>
      <c r="B3195" t="s">
        <v>5</v>
      </c>
      <c r="C3195" t="s">
        <v>7</v>
      </c>
      <c r="D3195">
        <v>24</v>
      </c>
      <c r="E3195" s="2">
        <v>1.8391203703703705E-2</v>
      </c>
      <c r="F3195">
        <v>26.483333333333334</v>
      </c>
    </row>
    <row r="3196" spans="1:6" x14ac:dyDescent="0.25">
      <c r="A3196" s="1">
        <v>39508</v>
      </c>
      <c r="B3196" t="s">
        <v>5</v>
      </c>
      <c r="C3196" t="s">
        <v>8</v>
      </c>
      <c r="D3196">
        <v>10</v>
      </c>
      <c r="E3196" s="2">
        <v>7.2800925925925923E-3</v>
      </c>
      <c r="F3196">
        <v>10.483333333333333</v>
      </c>
    </row>
    <row r="3197" spans="1:6" x14ac:dyDescent="0.25">
      <c r="A3197" s="1">
        <v>39508</v>
      </c>
      <c r="B3197" t="s">
        <v>5</v>
      </c>
      <c r="C3197" t="s">
        <v>9</v>
      </c>
      <c r="D3197">
        <v>4</v>
      </c>
      <c r="E3197" s="2">
        <v>1.238425925925926E-3</v>
      </c>
      <c r="F3197">
        <v>1.7833333333333332</v>
      </c>
    </row>
    <row r="3198" spans="1:6" x14ac:dyDescent="0.25">
      <c r="A3198" s="1">
        <v>39508</v>
      </c>
      <c r="B3198" t="s">
        <v>5</v>
      </c>
      <c r="C3198" t="s">
        <v>10</v>
      </c>
      <c r="D3198">
        <v>1</v>
      </c>
      <c r="E3198" s="2">
        <v>2.4305555555555555E-4</v>
      </c>
      <c r="F3198">
        <v>0.35</v>
      </c>
    </row>
    <row r="3199" spans="1:6" x14ac:dyDescent="0.25">
      <c r="A3199" s="1">
        <v>39508</v>
      </c>
      <c r="B3199" t="s">
        <v>5</v>
      </c>
      <c r="C3199" t="s">
        <v>11</v>
      </c>
      <c r="D3199">
        <v>6</v>
      </c>
      <c r="E3199" s="2">
        <v>3.0208333333333333E-3</v>
      </c>
      <c r="F3199">
        <v>4.3499999999999996</v>
      </c>
    </row>
    <row r="3200" spans="1:6" x14ac:dyDescent="0.25">
      <c r="A3200" s="1">
        <v>39508</v>
      </c>
      <c r="B3200" t="s">
        <v>12</v>
      </c>
      <c r="C3200" t="s">
        <v>6</v>
      </c>
      <c r="D3200">
        <v>51</v>
      </c>
      <c r="E3200" s="2">
        <v>5.5069444444444442E-2</v>
      </c>
      <c r="F3200">
        <v>79.3</v>
      </c>
    </row>
    <row r="3201" spans="1:6" x14ac:dyDescent="0.25">
      <c r="A3201" s="1">
        <v>39508</v>
      </c>
      <c r="B3201" t="s">
        <v>12</v>
      </c>
      <c r="C3201" t="s">
        <v>7</v>
      </c>
      <c r="D3201">
        <v>44</v>
      </c>
      <c r="E3201" s="2">
        <v>5.6168981481481479E-2</v>
      </c>
      <c r="F3201">
        <v>80.88333333333334</v>
      </c>
    </row>
    <row r="3202" spans="1:6" x14ac:dyDescent="0.25">
      <c r="A3202" s="1">
        <v>39508</v>
      </c>
      <c r="B3202" t="s">
        <v>12</v>
      </c>
      <c r="C3202" t="s">
        <v>8</v>
      </c>
      <c r="D3202">
        <v>29</v>
      </c>
      <c r="E3202" s="2">
        <v>4.0682870370370369E-2</v>
      </c>
      <c r="F3202">
        <v>58.583333333333336</v>
      </c>
    </row>
    <row r="3203" spans="1:6" x14ac:dyDescent="0.25">
      <c r="A3203" s="1">
        <v>39508</v>
      </c>
      <c r="B3203" t="s">
        <v>12</v>
      </c>
      <c r="C3203" t="s">
        <v>9</v>
      </c>
      <c r="D3203">
        <v>14</v>
      </c>
      <c r="E3203" s="2">
        <v>1.0902777777777779E-2</v>
      </c>
      <c r="F3203">
        <v>15.7</v>
      </c>
    </row>
    <row r="3204" spans="1:6" x14ac:dyDescent="0.25">
      <c r="A3204" s="1">
        <v>39508</v>
      </c>
      <c r="B3204" t="s">
        <v>12</v>
      </c>
      <c r="C3204" t="s">
        <v>10</v>
      </c>
      <c r="D3204">
        <v>2</v>
      </c>
      <c r="E3204" s="2">
        <v>3.6574074074074074E-3</v>
      </c>
      <c r="F3204">
        <v>5.2666666666666666</v>
      </c>
    </row>
    <row r="3205" spans="1:6" x14ac:dyDescent="0.25">
      <c r="A3205" s="1">
        <v>39508</v>
      </c>
      <c r="B3205" t="s">
        <v>12</v>
      </c>
      <c r="C3205" t="s">
        <v>11</v>
      </c>
      <c r="D3205">
        <v>19</v>
      </c>
      <c r="E3205" s="2">
        <v>1.5405092592592592E-2</v>
      </c>
      <c r="F3205">
        <v>22.183333333333334</v>
      </c>
    </row>
    <row r="3206" spans="1:6" x14ac:dyDescent="0.25">
      <c r="A3206" s="1">
        <v>39508</v>
      </c>
      <c r="B3206" t="s">
        <v>13</v>
      </c>
      <c r="C3206" t="s">
        <v>6</v>
      </c>
      <c r="D3206">
        <v>68</v>
      </c>
      <c r="E3206" s="2">
        <v>6.8819444444444447E-2</v>
      </c>
      <c r="F3206">
        <v>99.1</v>
      </c>
    </row>
    <row r="3207" spans="1:6" x14ac:dyDescent="0.25">
      <c r="A3207" s="1">
        <v>39508</v>
      </c>
      <c r="B3207" t="s">
        <v>13</v>
      </c>
      <c r="C3207" t="s">
        <v>7</v>
      </c>
      <c r="D3207">
        <v>51</v>
      </c>
      <c r="E3207" s="2">
        <v>5.5682870370370369E-2</v>
      </c>
      <c r="F3207">
        <v>80.183333333333337</v>
      </c>
    </row>
    <row r="3208" spans="1:6" x14ac:dyDescent="0.25">
      <c r="A3208" s="1">
        <v>39508</v>
      </c>
      <c r="B3208" t="s">
        <v>13</v>
      </c>
      <c r="C3208" t="s">
        <v>8</v>
      </c>
      <c r="D3208">
        <v>29</v>
      </c>
      <c r="E3208" s="2">
        <v>2.8576388888888887E-2</v>
      </c>
      <c r="F3208">
        <v>41.15</v>
      </c>
    </row>
    <row r="3209" spans="1:6" x14ac:dyDescent="0.25">
      <c r="A3209" s="1">
        <v>39508</v>
      </c>
      <c r="B3209" t="s">
        <v>13</v>
      </c>
      <c r="C3209" t="s">
        <v>9</v>
      </c>
      <c r="D3209">
        <v>27</v>
      </c>
      <c r="E3209" s="2">
        <v>1.6238425925925927E-2</v>
      </c>
      <c r="F3209">
        <v>23.383333333333333</v>
      </c>
    </row>
    <row r="3210" spans="1:6" x14ac:dyDescent="0.25">
      <c r="A3210" s="1">
        <v>39508</v>
      </c>
      <c r="B3210" t="s">
        <v>13</v>
      </c>
      <c r="C3210" t="s">
        <v>10</v>
      </c>
      <c r="D3210">
        <v>14</v>
      </c>
      <c r="E3210" s="2">
        <v>1.3657407407407408E-2</v>
      </c>
      <c r="F3210">
        <v>19.666666666666668</v>
      </c>
    </row>
    <row r="3211" spans="1:6" x14ac:dyDescent="0.25">
      <c r="A3211" s="1">
        <v>39508</v>
      </c>
      <c r="B3211" t="s">
        <v>13</v>
      </c>
      <c r="C3211" t="s">
        <v>11</v>
      </c>
      <c r="D3211">
        <v>15</v>
      </c>
      <c r="E3211" s="2">
        <v>1.4409722222222223E-2</v>
      </c>
      <c r="F3211">
        <v>20.75</v>
      </c>
    </row>
    <row r="3212" spans="1:6" x14ac:dyDescent="0.25">
      <c r="A3212" s="1">
        <v>39508</v>
      </c>
      <c r="B3212" t="s">
        <v>14</v>
      </c>
      <c r="C3212" t="s">
        <v>6</v>
      </c>
      <c r="D3212">
        <v>17</v>
      </c>
      <c r="E3212" s="2">
        <v>1.8726851851851852E-2</v>
      </c>
      <c r="F3212">
        <v>26.966666666666665</v>
      </c>
    </row>
    <row r="3213" spans="1:6" x14ac:dyDescent="0.25">
      <c r="A3213" s="1">
        <v>39508</v>
      </c>
      <c r="B3213" t="s">
        <v>14</v>
      </c>
      <c r="C3213" t="s">
        <v>7</v>
      </c>
      <c r="D3213">
        <v>12</v>
      </c>
      <c r="E3213" s="2">
        <v>1.4826388888888889E-2</v>
      </c>
      <c r="F3213">
        <v>21.35</v>
      </c>
    </row>
    <row r="3214" spans="1:6" x14ac:dyDescent="0.25">
      <c r="A3214" s="1">
        <v>39508</v>
      </c>
      <c r="B3214" t="s">
        <v>14</v>
      </c>
      <c r="C3214" t="s">
        <v>8</v>
      </c>
      <c r="D3214">
        <v>2</v>
      </c>
      <c r="E3214" s="2">
        <v>2.2106481481481482E-3</v>
      </c>
      <c r="F3214">
        <v>3.1833333333333331</v>
      </c>
    </row>
    <row r="3215" spans="1:6" x14ac:dyDescent="0.25">
      <c r="A3215" s="1">
        <v>39508</v>
      </c>
      <c r="B3215" t="s">
        <v>14</v>
      </c>
      <c r="C3215" t="s">
        <v>9</v>
      </c>
      <c r="D3215">
        <v>3</v>
      </c>
      <c r="E3215" s="2">
        <v>2.1412037037037038E-3</v>
      </c>
      <c r="F3215">
        <v>3.0833333333333335</v>
      </c>
    </row>
    <row r="3216" spans="1:6" x14ac:dyDescent="0.25">
      <c r="A3216" s="1">
        <v>39508</v>
      </c>
      <c r="B3216" t="s">
        <v>14</v>
      </c>
      <c r="C3216" t="s">
        <v>10</v>
      </c>
      <c r="D3216">
        <v>4</v>
      </c>
      <c r="E3216" s="2">
        <v>2.2106481481481482E-3</v>
      </c>
      <c r="F3216">
        <v>3.1833333333333331</v>
      </c>
    </row>
    <row r="3217" spans="1:6" x14ac:dyDescent="0.25">
      <c r="A3217" s="1">
        <v>39508</v>
      </c>
      <c r="B3217" t="s">
        <v>14</v>
      </c>
      <c r="C3217" t="s">
        <v>11</v>
      </c>
      <c r="D3217">
        <v>5</v>
      </c>
      <c r="E3217" s="2">
        <v>3.9699074074074072E-3</v>
      </c>
      <c r="F3217">
        <v>5.7166666666666668</v>
      </c>
    </row>
    <row r="3218" spans="1:6" x14ac:dyDescent="0.25">
      <c r="A3218" s="1">
        <v>39508</v>
      </c>
      <c r="B3218" t="s">
        <v>15</v>
      </c>
      <c r="C3218" t="s">
        <v>6</v>
      </c>
      <c r="D3218">
        <v>38</v>
      </c>
      <c r="E3218" s="2">
        <v>3.636574074074074E-2</v>
      </c>
      <c r="F3218">
        <v>52.366666666666667</v>
      </c>
    </row>
    <row r="3219" spans="1:6" x14ac:dyDescent="0.25">
      <c r="A3219" s="1">
        <v>39508</v>
      </c>
      <c r="B3219" t="s">
        <v>15</v>
      </c>
      <c r="C3219" t="s">
        <v>7</v>
      </c>
      <c r="D3219">
        <v>21</v>
      </c>
      <c r="E3219" s="2">
        <v>1.9745370370370371E-2</v>
      </c>
      <c r="F3219">
        <v>28.433333333333334</v>
      </c>
    </row>
    <row r="3220" spans="1:6" x14ac:dyDescent="0.25">
      <c r="A3220" s="1">
        <v>39508</v>
      </c>
      <c r="B3220" t="s">
        <v>15</v>
      </c>
      <c r="C3220" t="s">
        <v>8</v>
      </c>
      <c r="D3220">
        <v>26</v>
      </c>
      <c r="E3220" s="2">
        <v>2.3032407407407408E-2</v>
      </c>
      <c r="F3220">
        <v>33.166666666666664</v>
      </c>
    </row>
    <row r="3221" spans="1:6" x14ac:dyDescent="0.25">
      <c r="A3221" s="1">
        <v>39508</v>
      </c>
      <c r="B3221" t="s">
        <v>15</v>
      </c>
      <c r="C3221" t="s">
        <v>9</v>
      </c>
      <c r="D3221">
        <v>12</v>
      </c>
      <c r="E3221" s="2">
        <v>4.6180555555555558E-3</v>
      </c>
      <c r="F3221">
        <v>6.65</v>
      </c>
    </row>
    <row r="3222" spans="1:6" x14ac:dyDescent="0.25">
      <c r="A3222" s="1">
        <v>39508</v>
      </c>
      <c r="B3222" t="s">
        <v>15</v>
      </c>
      <c r="C3222" t="s">
        <v>10</v>
      </c>
      <c r="D3222">
        <v>7</v>
      </c>
      <c r="E3222" s="2">
        <v>5.2893518518518515E-3</v>
      </c>
      <c r="F3222">
        <v>7.6166666666666671</v>
      </c>
    </row>
    <row r="3223" spans="1:6" x14ac:dyDescent="0.25">
      <c r="A3223" s="1">
        <v>39508</v>
      </c>
      <c r="B3223" t="s">
        <v>15</v>
      </c>
      <c r="C3223" t="s">
        <v>11</v>
      </c>
      <c r="D3223">
        <v>14</v>
      </c>
      <c r="E3223" s="2">
        <v>1.1157407407407408E-2</v>
      </c>
      <c r="F3223">
        <v>16.066666666666666</v>
      </c>
    </row>
    <row r="3224" spans="1:6" x14ac:dyDescent="0.25">
      <c r="A3224" s="1">
        <v>39508</v>
      </c>
      <c r="B3224" t="s">
        <v>16</v>
      </c>
      <c r="C3224" t="s">
        <v>6</v>
      </c>
      <c r="D3224">
        <v>22</v>
      </c>
      <c r="E3224" s="2">
        <v>2.2141203703703705E-2</v>
      </c>
      <c r="F3224">
        <v>31.883333333333333</v>
      </c>
    </row>
    <row r="3225" spans="1:6" x14ac:dyDescent="0.25">
      <c r="A3225" s="1">
        <v>39508</v>
      </c>
      <c r="B3225" t="s">
        <v>16</v>
      </c>
      <c r="C3225" t="s">
        <v>7</v>
      </c>
      <c r="D3225">
        <v>18</v>
      </c>
      <c r="E3225" s="2">
        <v>2.0219907407407409E-2</v>
      </c>
      <c r="F3225">
        <v>29.116666666666667</v>
      </c>
    </row>
    <row r="3226" spans="1:6" x14ac:dyDescent="0.25">
      <c r="A3226" s="1">
        <v>39508</v>
      </c>
      <c r="B3226" t="s">
        <v>16</v>
      </c>
      <c r="C3226" t="s">
        <v>8</v>
      </c>
      <c r="D3226">
        <v>13</v>
      </c>
      <c r="E3226" s="2">
        <v>1.1203703703703704E-2</v>
      </c>
      <c r="F3226">
        <v>16.133333333333333</v>
      </c>
    </row>
    <row r="3227" spans="1:6" x14ac:dyDescent="0.25">
      <c r="A3227" s="1">
        <v>39508</v>
      </c>
      <c r="B3227" t="s">
        <v>16</v>
      </c>
      <c r="C3227" t="s">
        <v>9</v>
      </c>
      <c r="D3227">
        <v>16</v>
      </c>
      <c r="E3227" s="2">
        <v>1.15625E-2</v>
      </c>
      <c r="F3227">
        <v>16.649999999999999</v>
      </c>
    </row>
    <row r="3228" spans="1:6" x14ac:dyDescent="0.25">
      <c r="A3228" s="1">
        <v>39508</v>
      </c>
      <c r="B3228" t="s">
        <v>16</v>
      </c>
      <c r="C3228" t="s">
        <v>10</v>
      </c>
      <c r="D3228">
        <v>2</v>
      </c>
      <c r="E3228" s="2">
        <v>2.7893518518518519E-3</v>
      </c>
      <c r="F3228">
        <v>4.0166666666666666</v>
      </c>
    </row>
    <row r="3229" spans="1:6" x14ac:dyDescent="0.25">
      <c r="A3229" s="1">
        <v>39508</v>
      </c>
      <c r="B3229" t="s">
        <v>16</v>
      </c>
      <c r="C3229" t="s">
        <v>11</v>
      </c>
      <c r="D3229">
        <v>9</v>
      </c>
      <c r="E3229" s="2">
        <v>7.8009259259259256E-3</v>
      </c>
      <c r="F3229">
        <v>11.233333333333333</v>
      </c>
    </row>
    <row r="3230" spans="1:6" x14ac:dyDescent="0.25">
      <c r="A3230" s="1">
        <v>39508</v>
      </c>
      <c r="B3230" t="s">
        <v>17</v>
      </c>
      <c r="C3230" t="s">
        <v>6</v>
      </c>
      <c r="D3230">
        <v>14</v>
      </c>
      <c r="E3230" s="2">
        <v>1.4467592592592593E-2</v>
      </c>
      <c r="F3230">
        <v>20.833333333333332</v>
      </c>
    </row>
    <row r="3231" spans="1:6" x14ac:dyDescent="0.25">
      <c r="A3231" s="1">
        <v>39508</v>
      </c>
      <c r="B3231" t="s">
        <v>17</v>
      </c>
      <c r="C3231" t="s">
        <v>7</v>
      </c>
      <c r="D3231">
        <v>21</v>
      </c>
      <c r="E3231" s="2">
        <v>2.7407407407407408E-2</v>
      </c>
      <c r="F3231">
        <v>39.466666666666669</v>
      </c>
    </row>
    <row r="3232" spans="1:6" x14ac:dyDescent="0.25">
      <c r="A3232" s="1">
        <v>39508</v>
      </c>
      <c r="B3232" t="s">
        <v>17</v>
      </c>
      <c r="C3232" t="s">
        <v>8</v>
      </c>
      <c r="D3232">
        <v>10</v>
      </c>
      <c r="E3232" s="2">
        <v>1.636574074074074E-2</v>
      </c>
      <c r="F3232">
        <v>23.566666666666666</v>
      </c>
    </row>
    <row r="3233" spans="1:6" x14ac:dyDescent="0.25">
      <c r="A3233" s="1">
        <v>39508</v>
      </c>
      <c r="B3233" t="s">
        <v>17</v>
      </c>
      <c r="C3233" t="s">
        <v>9</v>
      </c>
      <c r="D3233">
        <v>7</v>
      </c>
      <c r="E3233" s="2">
        <v>5.8796296296296296E-3</v>
      </c>
      <c r="F3233">
        <v>8.4666666666666668</v>
      </c>
    </row>
    <row r="3234" spans="1:6" x14ac:dyDescent="0.25">
      <c r="A3234" s="1">
        <v>39508</v>
      </c>
      <c r="B3234" t="s">
        <v>17</v>
      </c>
      <c r="C3234" t="s">
        <v>10</v>
      </c>
      <c r="D3234">
        <v>8</v>
      </c>
      <c r="E3234" s="2">
        <v>8.0787037037037043E-3</v>
      </c>
      <c r="F3234">
        <v>11.633333333333333</v>
      </c>
    </row>
    <row r="3235" spans="1:6" x14ac:dyDescent="0.25">
      <c r="A3235" s="1">
        <v>39508</v>
      </c>
      <c r="B3235" t="s">
        <v>17</v>
      </c>
      <c r="C3235" t="s">
        <v>11</v>
      </c>
      <c r="D3235">
        <v>5</v>
      </c>
      <c r="E3235" s="2">
        <v>4.0393518518518521E-3</v>
      </c>
      <c r="F3235">
        <v>5.8166666666666664</v>
      </c>
    </row>
    <row r="3236" spans="1:6" x14ac:dyDescent="0.25">
      <c r="A3236" s="1">
        <v>39508</v>
      </c>
      <c r="B3236" t="s">
        <v>18</v>
      </c>
      <c r="C3236" t="s">
        <v>6</v>
      </c>
      <c r="D3236">
        <v>95</v>
      </c>
      <c r="E3236" s="2">
        <v>7.7210648148148153E-2</v>
      </c>
      <c r="F3236">
        <v>111.18333333333334</v>
      </c>
    </row>
    <row r="3237" spans="1:6" x14ac:dyDescent="0.25">
      <c r="A3237" s="1">
        <v>39508</v>
      </c>
      <c r="B3237" t="s">
        <v>18</v>
      </c>
      <c r="C3237" t="s">
        <v>7</v>
      </c>
      <c r="D3237">
        <v>99</v>
      </c>
      <c r="E3237" s="2">
        <v>8.414351851851852E-2</v>
      </c>
      <c r="F3237">
        <v>121.16666666666667</v>
      </c>
    </row>
    <row r="3238" spans="1:6" x14ac:dyDescent="0.25">
      <c r="A3238" s="1">
        <v>39508</v>
      </c>
      <c r="B3238" t="s">
        <v>18</v>
      </c>
      <c r="C3238" t="s">
        <v>8</v>
      </c>
      <c r="D3238">
        <v>52</v>
      </c>
      <c r="E3238" s="2">
        <v>5.5127314814814816E-2</v>
      </c>
      <c r="F3238">
        <v>79.38333333333334</v>
      </c>
    </row>
    <row r="3239" spans="1:6" x14ac:dyDescent="0.25">
      <c r="A3239" s="1">
        <v>39508</v>
      </c>
      <c r="B3239" t="s">
        <v>18</v>
      </c>
      <c r="C3239" t="s">
        <v>9</v>
      </c>
      <c r="D3239">
        <v>61</v>
      </c>
      <c r="E3239" s="2">
        <v>3.5624999999999997E-2</v>
      </c>
      <c r="F3239">
        <v>51.3</v>
      </c>
    </row>
    <row r="3240" spans="1:6" x14ac:dyDescent="0.25">
      <c r="A3240" s="1">
        <v>39508</v>
      </c>
      <c r="B3240" t="s">
        <v>18</v>
      </c>
      <c r="C3240" t="s">
        <v>10</v>
      </c>
      <c r="D3240">
        <v>152</v>
      </c>
      <c r="E3240" s="2">
        <v>0.1348611111111111</v>
      </c>
      <c r="F3240">
        <v>194.2</v>
      </c>
    </row>
    <row r="3241" spans="1:6" x14ac:dyDescent="0.25">
      <c r="A3241" s="1">
        <v>39508</v>
      </c>
      <c r="B3241" t="s">
        <v>18</v>
      </c>
      <c r="C3241" t="s">
        <v>11</v>
      </c>
      <c r="D3241">
        <v>27</v>
      </c>
      <c r="E3241" s="2">
        <v>2.1527777777777778E-2</v>
      </c>
      <c r="F3241">
        <v>31</v>
      </c>
    </row>
    <row r="3242" spans="1:6" x14ac:dyDescent="0.25">
      <c r="A3242" s="1">
        <v>39508</v>
      </c>
      <c r="B3242" t="s">
        <v>19</v>
      </c>
      <c r="C3242" t="s">
        <v>6</v>
      </c>
      <c r="D3242">
        <v>39</v>
      </c>
      <c r="E3242" s="2">
        <v>3.3738425925925929E-2</v>
      </c>
      <c r="F3242">
        <v>48.583333333333336</v>
      </c>
    </row>
    <row r="3243" spans="1:6" x14ac:dyDescent="0.25">
      <c r="A3243" s="1">
        <v>39508</v>
      </c>
      <c r="B3243" t="s">
        <v>19</v>
      </c>
      <c r="C3243" t="s">
        <v>7</v>
      </c>
      <c r="D3243">
        <v>43</v>
      </c>
      <c r="E3243" s="2">
        <v>4.3622685185185188E-2</v>
      </c>
      <c r="F3243">
        <v>62.81666666666667</v>
      </c>
    </row>
    <row r="3244" spans="1:6" x14ac:dyDescent="0.25">
      <c r="A3244" s="1">
        <v>39508</v>
      </c>
      <c r="B3244" t="s">
        <v>19</v>
      </c>
      <c r="C3244" t="s">
        <v>8</v>
      </c>
      <c r="D3244">
        <v>35</v>
      </c>
      <c r="E3244" s="2">
        <v>5.2118055555555556E-2</v>
      </c>
      <c r="F3244">
        <v>75.05</v>
      </c>
    </row>
    <row r="3245" spans="1:6" x14ac:dyDescent="0.25">
      <c r="A3245" s="1">
        <v>39508</v>
      </c>
      <c r="B3245" t="s">
        <v>19</v>
      </c>
      <c r="C3245" t="s">
        <v>9</v>
      </c>
      <c r="D3245">
        <v>39</v>
      </c>
      <c r="E3245" s="2">
        <v>2.6666666666666668E-2</v>
      </c>
      <c r="F3245">
        <v>38.4</v>
      </c>
    </row>
    <row r="3246" spans="1:6" x14ac:dyDescent="0.25">
      <c r="A3246" s="1">
        <v>39508</v>
      </c>
      <c r="B3246" t="s">
        <v>19</v>
      </c>
      <c r="C3246" t="s">
        <v>10</v>
      </c>
      <c r="D3246">
        <v>15</v>
      </c>
      <c r="E3246" s="2">
        <v>8.4490740740740741E-3</v>
      </c>
      <c r="F3246">
        <v>12.166666666666666</v>
      </c>
    </row>
    <row r="3247" spans="1:6" x14ac:dyDescent="0.25">
      <c r="A3247" s="1">
        <v>39508</v>
      </c>
      <c r="B3247" t="s">
        <v>19</v>
      </c>
      <c r="C3247" t="s">
        <v>11</v>
      </c>
      <c r="D3247">
        <v>29</v>
      </c>
      <c r="E3247" s="2">
        <v>2.4016203703703703E-2</v>
      </c>
      <c r="F3247">
        <v>34.583333333333336</v>
      </c>
    </row>
    <row r="3248" spans="1:6" x14ac:dyDescent="0.25">
      <c r="A3248" s="1">
        <v>39508</v>
      </c>
      <c r="B3248" t="s">
        <v>20</v>
      </c>
      <c r="C3248" t="s">
        <v>6</v>
      </c>
      <c r="D3248">
        <v>58</v>
      </c>
      <c r="E3248" s="2">
        <v>6.8449074074074079E-2</v>
      </c>
      <c r="F3248">
        <v>98.566666666666663</v>
      </c>
    </row>
    <row r="3249" spans="1:6" x14ac:dyDescent="0.25">
      <c r="A3249" s="1">
        <v>39508</v>
      </c>
      <c r="B3249" t="s">
        <v>20</v>
      </c>
      <c r="C3249" t="s">
        <v>7</v>
      </c>
      <c r="D3249">
        <v>67</v>
      </c>
      <c r="E3249" s="2">
        <v>6.1087962962962962E-2</v>
      </c>
      <c r="F3249">
        <v>87.966666666666669</v>
      </c>
    </row>
    <row r="3250" spans="1:6" x14ac:dyDescent="0.25">
      <c r="A3250" s="1">
        <v>39508</v>
      </c>
      <c r="B3250" t="s">
        <v>20</v>
      </c>
      <c r="C3250" t="s">
        <v>8</v>
      </c>
      <c r="D3250">
        <v>68</v>
      </c>
      <c r="E3250" s="2">
        <v>9.3379629629629632E-2</v>
      </c>
      <c r="F3250">
        <v>134.46666666666667</v>
      </c>
    </row>
    <row r="3251" spans="1:6" x14ac:dyDescent="0.25">
      <c r="A3251" s="1">
        <v>39508</v>
      </c>
      <c r="B3251" t="s">
        <v>20</v>
      </c>
      <c r="C3251" t="s">
        <v>9</v>
      </c>
      <c r="D3251">
        <v>42</v>
      </c>
      <c r="E3251" s="2">
        <v>4.071759259259259E-2</v>
      </c>
      <c r="F3251">
        <v>58.633333333333333</v>
      </c>
    </row>
    <row r="3252" spans="1:6" x14ac:dyDescent="0.25">
      <c r="A3252" s="1">
        <v>39508</v>
      </c>
      <c r="B3252" t="s">
        <v>20</v>
      </c>
      <c r="C3252" t="s">
        <v>10</v>
      </c>
      <c r="D3252">
        <v>13</v>
      </c>
      <c r="E3252" s="2">
        <v>1.923611111111111E-2</v>
      </c>
      <c r="F3252">
        <v>27.7</v>
      </c>
    </row>
    <row r="3253" spans="1:6" x14ac:dyDescent="0.25">
      <c r="A3253" s="1">
        <v>39508</v>
      </c>
      <c r="B3253" t="s">
        <v>20</v>
      </c>
      <c r="C3253" t="s">
        <v>11</v>
      </c>
      <c r="D3253">
        <v>37</v>
      </c>
      <c r="E3253" s="2">
        <v>3.4062500000000002E-2</v>
      </c>
      <c r="F3253">
        <v>49.05</v>
      </c>
    </row>
    <row r="3254" spans="1:6" x14ac:dyDescent="0.25">
      <c r="A3254" s="1">
        <v>39508</v>
      </c>
      <c r="B3254" t="s">
        <v>21</v>
      </c>
      <c r="C3254" t="s">
        <v>6</v>
      </c>
      <c r="D3254">
        <v>24</v>
      </c>
      <c r="E3254" s="2">
        <v>2.763888888888889E-2</v>
      </c>
      <c r="F3254">
        <v>39.799999999999997</v>
      </c>
    </row>
    <row r="3255" spans="1:6" x14ac:dyDescent="0.25">
      <c r="A3255" s="1">
        <v>39508</v>
      </c>
      <c r="B3255" t="s">
        <v>21</v>
      </c>
      <c r="C3255" t="s">
        <v>7</v>
      </c>
      <c r="D3255">
        <v>19</v>
      </c>
      <c r="E3255" s="2">
        <v>2.4502314814814814E-2</v>
      </c>
      <c r="F3255">
        <v>35.283333333333331</v>
      </c>
    </row>
    <row r="3256" spans="1:6" x14ac:dyDescent="0.25">
      <c r="A3256" s="1">
        <v>39508</v>
      </c>
      <c r="B3256" t="s">
        <v>21</v>
      </c>
      <c r="C3256" t="s">
        <v>8</v>
      </c>
      <c r="D3256">
        <v>16</v>
      </c>
      <c r="E3256" s="2">
        <v>2.5057870370370369E-2</v>
      </c>
      <c r="F3256">
        <v>36.083333333333336</v>
      </c>
    </row>
    <row r="3257" spans="1:6" x14ac:dyDescent="0.25">
      <c r="A3257" s="1">
        <v>39508</v>
      </c>
      <c r="B3257" t="s">
        <v>21</v>
      </c>
      <c r="C3257" t="s">
        <v>9</v>
      </c>
      <c r="D3257">
        <v>13</v>
      </c>
      <c r="E3257" s="2">
        <v>8.6689814814814806E-3</v>
      </c>
      <c r="F3257">
        <v>12.483333333333333</v>
      </c>
    </row>
    <row r="3258" spans="1:6" x14ac:dyDescent="0.25">
      <c r="A3258" s="1">
        <v>39508</v>
      </c>
      <c r="B3258" t="s">
        <v>21</v>
      </c>
      <c r="C3258" t="s">
        <v>10</v>
      </c>
      <c r="D3258">
        <v>7</v>
      </c>
      <c r="E3258" s="2">
        <v>8.3912037037037045E-3</v>
      </c>
      <c r="F3258">
        <v>12.083333333333334</v>
      </c>
    </row>
    <row r="3259" spans="1:6" x14ac:dyDescent="0.25">
      <c r="A3259" s="1">
        <v>39508</v>
      </c>
      <c r="B3259" t="s">
        <v>21</v>
      </c>
      <c r="C3259" t="s">
        <v>11</v>
      </c>
      <c r="D3259">
        <v>20</v>
      </c>
      <c r="E3259" s="2">
        <v>1.6712962962962964E-2</v>
      </c>
      <c r="F3259">
        <v>24.066666666666666</v>
      </c>
    </row>
    <row r="3260" spans="1:6" x14ac:dyDescent="0.25">
      <c r="A3260" s="1">
        <v>39508</v>
      </c>
      <c r="B3260" t="s">
        <v>22</v>
      </c>
      <c r="C3260" t="s">
        <v>6</v>
      </c>
      <c r="D3260">
        <v>33</v>
      </c>
      <c r="E3260" s="2">
        <v>3.3067129629629627E-2</v>
      </c>
      <c r="F3260">
        <v>47.616666666666667</v>
      </c>
    </row>
    <row r="3261" spans="1:6" x14ac:dyDescent="0.25">
      <c r="A3261" s="1">
        <v>39508</v>
      </c>
      <c r="B3261" t="s">
        <v>22</v>
      </c>
      <c r="C3261" t="s">
        <v>7</v>
      </c>
      <c r="D3261">
        <v>13</v>
      </c>
      <c r="E3261" s="2">
        <v>1.4675925925925926E-2</v>
      </c>
      <c r="F3261">
        <v>21.133333333333333</v>
      </c>
    </row>
    <row r="3262" spans="1:6" x14ac:dyDescent="0.25">
      <c r="A3262" s="1">
        <v>39508</v>
      </c>
      <c r="B3262" t="s">
        <v>22</v>
      </c>
      <c r="C3262" t="s">
        <v>8</v>
      </c>
      <c r="D3262">
        <v>8</v>
      </c>
      <c r="E3262" s="2">
        <v>8.1597222222222227E-3</v>
      </c>
      <c r="F3262">
        <v>11.75</v>
      </c>
    </row>
    <row r="3263" spans="1:6" x14ac:dyDescent="0.25">
      <c r="A3263" s="1">
        <v>39508</v>
      </c>
      <c r="B3263" t="s">
        <v>22</v>
      </c>
      <c r="C3263" t="s">
        <v>9</v>
      </c>
      <c r="D3263">
        <v>4</v>
      </c>
      <c r="E3263" s="2">
        <v>2.3726851851851851E-3</v>
      </c>
      <c r="F3263">
        <v>3.4166666666666665</v>
      </c>
    </row>
    <row r="3264" spans="1:6" x14ac:dyDescent="0.25">
      <c r="A3264" s="1">
        <v>39508</v>
      </c>
      <c r="B3264" t="s">
        <v>22</v>
      </c>
      <c r="C3264" t="s">
        <v>10</v>
      </c>
      <c r="D3264">
        <v>6</v>
      </c>
      <c r="E3264" s="2">
        <v>4.8379629629629632E-3</v>
      </c>
      <c r="F3264">
        <v>6.9666666666666668</v>
      </c>
    </row>
    <row r="3265" spans="1:6" x14ac:dyDescent="0.25">
      <c r="A3265" s="1">
        <v>39508</v>
      </c>
      <c r="B3265" t="s">
        <v>22</v>
      </c>
      <c r="C3265" t="s">
        <v>11</v>
      </c>
      <c r="D3265">
        <v>3</v>
      </c>
      <c r="E3265" s="2">
        <v>1.5277777777777779E-3</v>
      </c>
      <c r="F3265">
        <v>2.2000000000000002</v>
      </c>
    </row>
    <row r="3266" spans="1:6" x14ac:dyDescent="0.25">
      <c r="A3266" s="1">
        <v>39508</v>
      </c>
      <c r="B3266" t="s">
        <v>23</v>
      </c>
      <c r="C3266" t="s">
        <v>6</v>
      </c>
      <c r="D3266">
        <v>134</v>
      </c>
      <c r="E3266" s="2">
        <v>0.12856481481481483</v>
      </c>
      <c r="F3266">
        <v>185.13333333333333</v>
      </c>
    </row>
    <row r="3267" spans="1:6" x14ac:dyDescent="0.25">
      <c r="A3267" s="1">
        <v>39508</v>
      </c>
      <c r="B3267" t="s">
        <v>23</v>
      </c>
      <c r="C3267" t="s">
        <v>7</v>
      </c>
      <c r="D3267">
        <v>98</v>
      </c>
      <c r="E3267" s="2">
        <v>0.12518518518518518</v>
      </c>
      <c r="F3267">
        <v>180.26666666666668</v>
      </c>
    </row>
    <row r="3268" spans="1:6" x14ac:dyDescent="0.25">
      <c r="A3268" s="1">
        <v>39508</v>
      </c>
      <c r="B3268" t="s">
        <v>23</v>
      </c>
      <c r="C3268" t="s">
        <v>8</v>
      </c>
      <c r="D3268">
        <v>45</v>
      </c>
      <c r="E3268" s="2">
        <v>4.7581018518518516E-2</v>
      </c>
      <c r="F3268">
        <v>68.516666666666666</v>
      </c>
    </row>
    <row r="3269" spans="1:6" x14ac:dyDescent="0.25">
      <c r="A3269" s="1">
        <v>39508</v>
      </c>
      <c r="B3269" t="s">
        <v>23</v>
      </c>
      <c r="C3269" t="s">
        <v>9</v>
      </c>
      <c r="D3269">
        <v>61</v>
      </c>
      <c r="E3269" s="2">
        <v>3.7928240740740742E-2</v>
      </c>
      <c r="F3269">
        <v>54.616666666666667</v>
      </c>
    </row>
    <row r="3270" spans="1:6" x14ac:dyDescent="0.25">
      <c r="A3270" s="1">
        <v>39508</v>
      </c>
      <c r="B3270" t="s">
        <v>23</v>
      </c>
      <c r="C3270" t="s">
        <v>10</v>
      </c>
      <c r="D3270">
        <v>42</v>
      </c>
      <c r="E3270" s="2">
        <v>4.0578703703703707E-2</v>
      </c>
      <c r="F3270">
        <v>58.43333333333333</v>
      </c>
    </row>
    <row r="3271" spans="1:6" x14ac:dyDescent="0.25">
      <c r="A3271" s="1">
        <v>39508</v>
      </c>
      <c r="B3271" t="s">
        <v>23</v>
      </c>
      <c r="C3271" t="s">
        <v>11</v>
      </c>
      <c r="D3271">
        <v>43</v>
      </c>
      <c r="E3271" s="2">
        <v>3.2199074074074074E-2</v>
      </c>
      <c r="F3271">
        <v>46.366666666666667</v>
      </c>
    </row>
    <row r="3272" spans="1:6" x14ac:dyDescent="0.25">
      <c r="A3272" s="1">
        <v>39508</v>
      </c>
      <c r="B3272" t="s">
        <v>24</v>
      </c>
      <c r="C3272" t="s">
        <v>6</v>
      </c>
      <c r="D3272">
        <v>69</v>
      </c>
      <c r="E3272" s="2">
        <v>5.1527777777777777E-2</v>
      </c>
      <c r="F3272">
        <v>74.2</v>
      </c>
    </row>
    <row r="3273" spans="1:6" x14ac:dyDescent="0.25">
      <c r="A3273" s="1">
        <v>39508</v>
      </c>
      <c r="B3273" t="s">
        <v>24</v>
      </c>
      <c r="C3273" t="s">
        <v>7</v>
      </c>
      <c r="D3273">
        <v>72</v>
      </c>
      <c r="E3273" s="2">
        <v>4.9594907407407407E-2</v>
      </c>
      <c r="F3273">
        <v>71.416666666666671</v>
      </c>
    </row>
    <row r="3274" spans="1:6" x14ac:dyDescent="0.25">
      <c r="A3274" s="1">
        <v>39508</v>
      </c>
      <c r="B3274" t="s">
        <v>24</v>
      </c>
      <c r="C3274" t="s">
        <v>8</v>
      </c>
      <c r="D3274">
        <v>35</v>
      </c>
      <c r="E3274" s="2">
        <v>3.1226851851851853E-2</v>
      </c>
      <c r="F3274">
        <v>44.966666666666669</v>
      </c>
    </row>
    <row r="3275" spans="1:6" x14ac:dyDescent="0.25">
      <c r="A3275" s="1">
        <v>39508</v>
      </c>
      <c r="B3275" t="s">
        <v>24</v>
      </c>
      <c r="C3275" t="s">
        <v>9</v>
      </c>
      <c r="D3275">
        <v>20</v>
      </c>
      <c r="E3275" s="2">
        <v>9.618055555555555E-3</v>
      </c>
      <c r="F3275">
        <v>13.85</v>
      </c>
    </row>
    <row r="3276" spans="1:6" x14ac:dyDescent="0.25">
      <c r="A3276" s="1">
        <v>39508</v>
      </c>
      <c r="B3276" t="s">
        <v>24</v>
      </c>
      <c r="C3276" t="s">
        <v>10</v>
      </c>
      <c r="D3276">
        <v>6</v>
      </c>
      <c r="E3276" s="2">
        <v>9.5486111111111119E-3</v>
      </c>
      <c r="F3276">
        <v>13.75</v>
      </c>
    </row>
    <row r="3277" spans="1:6" x14ac:dyDescent="0.25">
      <c r="A3277" s="1">
        <v>39508</v>
      </c>
      <c r="B3277" t="s">
        <v>24</v>
      </c>
      <c r="C3277" t="s">
        <v>11</v>
      </c>
      <c r="D3277">
        <v>33</v>
      </c>
      <c r="E3277" s="2">
        <v>2.2870370370370371E-2</v>
      </c>
      <c r="F3277">
        <v>32.93333333333333</v>
      </c>
    </row>
    <row r="3278" spans="1:6" x14ac:dyDescent="0.25">
      <c r="A3278" s="1">
        <v>39539</v>
      </c>
      <c r="B3278" t="s">
        <v>5</v>
      </c>
      <c r="C3278" t="s">
        <v>6</v>
      </c>
      <c r="D3278">
        <v>19</v>
      </c>
      <c r="E3278" s="2">
        <v>1.3587962962962963E-2</v>
      </c>
      <c r="F3278">
        <v>19.566666666666666</v>
      </c>
    </row>
    <row r="3279" spans="1:6" x14ac:dyDescent="0.25">
      <c r="A3279" s="1">
        <v>39539</v>
      </c>
      <c r="B3279" t="s">
        <v>5</v>
      </c>
      <c r="C3279" t="s">
        <v>7</v>
      </c>
      <c r="D3279">
        <v>18</v>
      </c>
      <c r="E3279" s="2">
        <v>1.576388888888889E-2</v>
      </c>
      <c r="F3279">
        <v>22.7</v>
      </c>
    </row>
    <row r="3280" spans="1:6" x14ac:dyDescent="0.25">
      <c r="A3280" s="1">
        <v>39539</v>
      </c>
      <c r="B3280" t="s">
        <v>5</v>
      </c>
      <c r="C3280" t="s">
        <v>8</v>
      </c>
      <c r="D3280">
        <v>12</v>
      </c>
      <c r="E3280" s="2">
        <v>8.3796296296296292E-3</v>
      </c>
      <c r="F3280">
        <v>12.066666666666666</v>
      </c>
    </row>
    <row r="3281" spans="1:6" x14ac:dyDescent="0.25">
      <c r="A3281" s="1">
        <v>39539</v>
      </c>
      <c r="B3281" t="s">
        <v>5</v>
      </c>
      <c r="C3281" t="s">
        <v>9</v>
      </c>
      <c r="D3281">
        <v>5</v>
      </c>
      <c r="E3281" s="2">
        <v>2.3032407407407407E-3</v>
      </c>
      <c r="F3281">
        <v>3.3166666666666664</v>
      </c>
    </row>
    <row r="3282" spans="1:6" x14ac:dyDescent="0.25">
      <c r="A3282" s="1">
        <v>39539</v>
      </c>
      <c r="B3282" t="s">
        <v>5</v>
      </c>
      <c r="C3282" t="s">
        <v>10</v>
      </c>
      <c r="D3282">
        <v>2</v>
      </c>
      <c r="E3282" s="2">
        <v>4.9768518518518521E-4</v>
      </c>
      <c r="F3282">
        <v>0.71666666666666667</v>
      </c>
    </row>
    <row r="3283" spans="1:6" x14ac:dyDescent="0.25">
      <c r="A3283" s="1">
        <v>39539</v>
      </c>
      <c r="B3283" t="s">
        <v>5</v>
      </c>
      <c r="C3283" t="s">
        <v>11</v>
      </c>
      <c r="D3283">
        <v>10</v>
      </c>
      <c r="E3283" s="2">
        <v>6.6898148148148151E-3</v>
      </c>
      <c r="F3283">
        <v>9.6333333333333329</v>
      </c>
    </row>
    <row r="3284" spans="1:6" x14ac:dyDescent="0.25">
      <c r="A3284" s="1">
        <v>39539</v>
      </c>
      <c r="B3284" t="s">
        <v>12</v>
      </c>
      <c r="C3284" t="s">
        <v>6</v>
      </c>
      <c r="D3284">
        <v>57</v>
      </c>
      <c r="E3284" s="2">
        <v>6.1874999999999999E-2</v>
      </c>
      <c r="F3284">
        <v>89.1</v>
      </c>
    </row>
    <row r="3285" spans="1:6" x14ac:dyDescent="0.25">
      <c r="A3285" s="1">
        <v>39539</v>
      </c>
      <c r="B3285" t="s">
        <v>12</v>
      </c>
      <c r="C3285" t="s">
        <v>7</v>
      </c>
      <c r="D3285">
        <v>55</v>
      </c>
      <c r="E3285" s="2">
        <v>7.4768518518518512E-2</v>
      </c>
      <c r="F3285">
        <v>107.66666666666667</v>
      </c>
    </row>
    <row r="3286" spans="1:6" x14ac:dyDescent="0.25">
      <c r="A3286" s="1">
        <v>39539</v>
      </c>
      <c r="B3286" t="s">
        <v>12</v>
      </c>
      <c r="C3286" t="s">
        <v>8</v>
      </c>
      <c r="D3286">
        <v>42</v>
      </c>
      <c r="E3286" s="2">
        <v>6.0902777777777778E-2</v>
      </c>
      <c r="F3286">
        <v>87.7</v>
      </c>
    </row>
    <row r="3287" spans="1:6" x14ac:dyDescent="0.25">
      <c r="A3287" s="1">
        <v>39539</v>
      </c>
      <c r="B3287" t="s">
        <v>12</v>
      </c>
      <c r="C3287" t="s">
        <v>9</v>
      </c>
      <c r="D3287">
        <v>19</v>
      </c>
      <c r="E3287" s="2">
        <v>1.3275462962962963E-2</v>
      </c>
      <c r="F3287">
        <v>19.116666666666667</v>
      </c>
    </row>
    <row r="3288" spans="1:6" x14ac:dyDescent="0.25">
      <c r="A3288" s="1">
        <v>39539</v>
      </c>
      <c r="B3288" t="s">
        <v>12</v>
      </c>
      <c r="C3288" t="s">
        <v>10</v>
      </c>
      <c r="D3288">
        <v>2</v>
      </c>
      <c r="E3288" s="2">
        <v>5.2083333333333333E-4</v>
      </c>
      <c r="F3288">
        <v>0.75</v>
      </c>
    </row>
    <row r="3289" spans="1:6" x14ac:dyDescent="0.25">
      <c r="A3289" s="1">
        <v>39539</v>
      </c>
      <c r="B3289" t="s">
        <v>12</v>
      </c>
      <c r="C3289" t="s">
        <v>11</v>
      </c>
      <c r="D3289">
        <v>31</v>
      </c>
      <c r="E3289" s="2">
        <v>2.9374999999999998E-2</v>
      </c>
      <c r="F3289">
        <v>42.3</v>
      </c>
    </row>
    <row r="3290" spans="1:6" x14ac:dyDescent="0.25">
      <c r="A3290" s="1">
        <v>39539</v>
      </c>
      <c r="B3290" t="s">
        <v>13</v>
      </c>
      <c r="C3290" t="s">
        <v>6</v>
      </c>
      <c r="D3290">
        <v>98</v>
      </c>
      <c r="E3290" s="2">
        <v>9.5844907407407406E-2</v>
      </c>
      <c r="F3290">
        <v>138.01666666666668</v>
      </c>
    </row>
    <row r="3291" spans="1:6" x14ac:dyDescent="0.25">
      <c r="A3291" s="1">
        <v>39539</v>
      </c>
      <c r="B3291" t="s">
        <v>13</v>
      </c>
      <c r="C3291" t="s">
        <v>7</v>
      </c>
      <c r="D3291">
        <v>83</v>
      </c>
      <c r="E3291" s="2">
        <v>0.10068287037037037</v>
      </c>
      <c r="F3291">
        <v>144.98333333333332</v>
      </c>
    </row>
    <row r="3292" spans="1:6" x14ac:dyDescent="0.25">
      <c r="A3292" s="1">
        <v>39539</v>
      </c>
      <c r="B3292" t="s">
        <v>13</v>
      </c>
      <c r="C3292" t="s">
        <v>8</v>
      </c>
      <c r="D3292">
        <v>42</v>
      </c>
      <c r="E3292" s="2">
        <v>6.3726851851851854E-2</v>
      </c>
      <c r="F3292">
        <v>91.766666666666666</v>
      </c>
    </row>
    <row r="3293" spans="1:6" x14ac:dyDescent="0.25">
      <c r="A3293" s="1">
        <v>39539</v>
      </c>
      <c r="B3293" t="s">
        <v>13</v>
      </c>
      <c r="C3293" t="s">
        <v>9</v>
      </c>
      <c r="D3293">
        <v>38</v>
      </c>
      <c r="E3293" s="2">
        <v>2.5162037037037038E-2</v>
      </c>
      <c r="F3293">
        <v>36.233333333333334</v>
      </c>
    </row>
    <row r="3294" spans="1:6" x14ac:dyDescent="0.25">
      <c r="A3294" s="1">
        <v>39539</v>
      </c>
      <c r="B3294" t="s">
        <v>13</v>
      </c>
      <c r="C3294" t="s">
        <v>10</v>
      </c>
      <c r="D3294">
        <v>46</v>
      </c>
      <c r="E3294" s="2">
        <v>3.3321759259259259E-2</v>
      </c>
      <c r="F3294">
        <v>47.983333333333334</v>
      </c>
    </row>
    <row r="3295" spans="1:6" x14ac:dyDescent="0.25">
      <c r="A3295" s="1">
        <v>39539</v>
      </c>
      <c r="B3295" t="s">
        <v>13</v>
      </c>
      <c r="C3295" t="s">
        <v>11</v>
      </c>
      <c r="D3295">
        <v>29</v>
      </c>
      <c r="E3295" s="2">
        <v>2.4039351851851853E-2</v>
      </c>
      <c r="F3295">
        <v>34.616666666666667</v>
      </c>
    </row>
    <row r="3296" spans="1:6" x14ac:dyDescent="0.25">
      <c r="A3296" s="1">
        <v>39539</v>
      </c>
      <c r="B3296" t="s">
        <v>14</v>
      </c>
      <c r="C3296" t="s">
        <v>6</v>
      </c>
      <c r="D3296">
        <v>27</v>
      </c>
      <c r="E3296" s="2">
        <v>2.4965277777777777E-2</v>
      </c>
      <c r="F3296">
        <v>35.950000000000003</v>
      </c>
    </row>
    <row r="3297" spans="1:6" x14ac:dyDescent="0.25">
      <c r="A3297" s="1">
        <v>39539</v>
      </c>
      <c r="B3297" t="s">
        <v>14</v>
      </c>
      <c r="C3297" t="s">
        <v>7</v>
      </c>
      <c r="D3297">
        <v>28</v>
      </c>
      <c r="E3297" s="2">
        <v>2.8564814814814814E-2</v>
      </c>
      <c r="F3297">
        <v>41.133333333333333</v>
      </c>
    </row>
    <row r="3298" spans="1:6" x14ac:dyDescent="0.25">
      <c r="A3298" s="1">
        <v>39539</v>
      </c>
      <c r="B3298" t="s">
        <v>14</v>
      </c>
      <c r="C3298" t="s">
        <v>8</v>
      </c>
      <c r="D3298">
        <v>20</v>
      </c>
      <c r="E3298" s="2">
        <v>2.9456018518518517E-2</v>
      </c>
      <c r="F3298">
        <v>42.416666666666664</v>
      </c>
    </row>
    <row r="3299" spans="1:6" x14ac:dyDescent="0.25">
      <c r="A3299" s="1">
        <v>39539</v>
      </c>
      <c r="B3299" t="s">
        <v>14</v>
      </c>
      <c r="C3299" t="s">
        <v>9</v>
      </c>
      <c r="D3299">
        <v>19</v>
      </c>
      <c r="E3299" s="2">
        <v>1.224537037037037E-2</v>
      </c>
      <c r="F3299">
        <v>17.633333333333333</v>
      </c>
    </row>
    <row r="3300" spans="1:6" x14ac:dyDescent="0.25">
      <c r="A3300" s="1">
        <v>39539</v>
      </c>
      <c r="B3300" t="s">
        <v>14</v>
      </c>
      <c r="C3300" t="s">
        <v>10</v>
      </c>
      <c r="D3300">
        <v>7</v>
      </c>
      <c r="E3300" s="2">
        <v>8.7615740740740744E-3</v>
      </c>
      <c r="F3300">
        <v>12.616666666666667</v>
      </c>
    </row>
    <row r="3301" spans="1:6" x14ac:dyDescent="0.25">
      <c r="A3301" s="1">
        <v>39539</v>
      </c>
      <c r="B3301" t="s">
        <v>14</v>
      </c>
      <c r="C3301" t="s">
        <v>11</v>
      </c>
      <c r="D3301">
        <v>16</v>
      </c>
      <c r="E3301" s="2">
        <v>1.1770833333333333E-2</v>
      </c>
      <c r="F3301">
        <v>16.95</v>
      </c>
    </row>
    <row r="3302" spans="1:6" x14ac:dyDescent="0.25">
      <c r="A3302" s="1">
        <v>39539</v>
      </c>
      <c r="B3302" t="s">
        <v>15</v>
      </c>
      <c r="C3302" t="s">
        <v>6</v>
      </c>
      <c r="D3302">
        <v>26</v>
      </c>
      <c r="E3302" s="2">
        <v>2.9236111111111112E-2</v>
      </c>
      <c r="F3302">
        <v>42.1</v>
      </c>
    </row>
    <row r="3303" spans="1:6" x14ac:dyDescent="0.25">
      <c r="A3303" s="1">
        <v>39539</v>
      </c>
      <c r="B3303" t="s">
        <v>15</v>
      </c>
      <c r="C3303" t="s">
        <v>7</v>
      </c>
      <c r="D3303">
        <v>34</v>
      </c>
      <c r="E3303" s="2">
        <v>3.9143518518518522E-2</v>
      </c>
      <c r="F3303">
        <v>56.366666666666667</v>
      </c>
    </row>
    <row r="3304" spans="1:6" x14ac:dyDescent="0.25">
      <c r="A3304" s="1">
        <v>39539</v>
      </c>
      <c r="B3304" t="s">
        <v>15</v>
      </c>
      <c r="C3304" t="s">
        <v>8</v>
      </c>
      <c r="D3304">
        <v>13</v>
      </c>
      <c r="E3304" s="2">
        <v>1.4305555555555556E-2</v>
      </c>
      <c r="F3304">
        <v>20.6</v>
      </c>
    </row>
    <row r="3305" spans="1:6" x14ac:dyDescent="0.25">
      <c r="A3305" s="1">
        <v>39539</v>
      </c>
      <c r="B3305" t="s">
        <v>15</v>
      </c>
      <c r="C3305" t="s">
        <v>9</v>
      </c>
      <c r="D3305">
        <v>1</v>
      </c>
      <c r="E3305" s="2">
        <v>2.3148148148148149E-4</v>
      </c>
      <c r="F3305">
        <v>0.33333333333333331</v>
      </c>
    </row>
    <row r="3306" spans="1:6" x14ac:dyDescent="0.25">
      <c r="A3306" s="1">
        <v>39539</v>
      </c>
      <c r="B3306" t="s">
        <v>15</v>
      </c>
      <c r="C3306" t="s">
        <v>10</v>
      </c>
      <c r="D3306">
        <v>4</v>
      </c>
      <c r="E3306" s="2">
        <v>4.0046296296296297E-3</v>
      </c>
      <c r="F3306">
        <v>5.7666666666666666</v>
      </c>
    </row>
    <row r="3307" spans="1:6" x14ac:dyDescent="0.25">
      <c r="A3307" s="1">
        <v>39539</v>
      </c>
      <c r="B3307" t="s">
        <v>15</v>
      </c>
      <c r="C3307" t="s">
        <v>11</v>
      </c>
      <c r="D3307">
        <v>10</v>
      </c>
      <c r="E3307" s="2">
        <v>8.8078703703703704E-3</v>
      </c>
      <c r="F3307">
        <v>12.683333333333334</v>
      </c>
    </row>
    <row r="3308" spans="1:6" x14ac:dyDescent="0.25">
      <c r="A3308" s="1">
        <v>39539</v>
      </c>
      <c r="B3308" t="s">
        <v>16</v>
      </c>
      <c r="C3308" t="s">
        <v>6</v>
      </c>
      <c r="D3308">
        <v>47</v>
      </c>
      <c r="E3308" s="2">
        <v>4.7789351851851854E-2</v>
      </c>
      <c r="F3308">
        <v>68.816666666666663</v>
      </c>
    </row>
    <row r="3309" spans="1:6" x14ac:dyDescent="0.25">
      <c r="A3309" s="1">
        <v>39539</v>
      </c>
      <c r="B3309" t="s">
        <v>16</v>
      </c>
      <c r="C3309" t="s">
        <v>7</v>
      </c>
      <c r="D3309">
        <v>41</v>
      </c>
      <c r="E3309" s="2">
        <v>4.1678240740740738E-2</v>
      </c>
      <c r="F3309">
        <v>60.016666666666666</v>
      </c>
    </row>
    <row r="3310" spans="1:6" x14ac:dyDescent="0.25">
      <c r="A3310" s="1">
        <v>39539</v>
      </c>
      <c r="B3310" t="s">
        <v>16</v>
      </c>
      <c r="C3310" t="s">
        <v>8</v>
      </c>
      <c r="D3310">
        <v>38</v>
      </c>
      <c r="E3310" s="2">
        <v>3.9780092592592596E-2</v>
      </c>
      <c r="F3310">
        <v>57.283333333333331</v>
      </c>
    </row>
    <row r="3311" spans="1:6" x14ac:dyDescent="0.25">
      <c r="A3311" s="1">
        <v>39539</v>
      </c>
      <c r="B3311" t="s">
        <v>16</v>
      </c>
      <c r="C3311" t="s">
        <v>9</v>
      </c>
      <c r="D3311">
        <v>29</v>
      </c>
      <c r="E3311" s="2">
        <v>1.9050925925925926E-2</v>
      </c>
      <c r="F3311">
        <v>27.433333333333334</v>
      </c>
    </row>
    <row r="3312" spans="1:6" x14ac:dyDescent="0.25">
      <c r="A3312" s="1">
        <v>39539</v>
      </c>
      <c r="B3312" t="s">
        <v>16</v>
      </c>
      <c r="C3312" t="s">
        <v>10</v>
      </c>
      <c r="D3312">
        <v>12</v>
      </c>
      <c r="E3312" s="2">
        <v>5.3587962962962964E-3</v>
      </c>
      <c r="F3312">
        <v>7.7166666666666668</v>
      </c>
    </row>
    <row r="3313" spans="1:6" x14ac:dyDescent="0.25">
      <c r="A3313" s="1">
        <v>39539</v>
      </c>
      <c r="B3313" t="s">
        <v>16</v>
      </c>
      <c r="C3313" t="s">
        <v>11</v>
      </c>
      <c r="D3313">
        <v>36</v>
      </c>
      <c r="E3313" s="2">
        <v>2.8252314814814813E-2</v>
      </c>
      <c r="F3313">
        <v>40.68333333333333</v>
      </c>
    </row>
    <row r="3314" spans="1:6" x14ac:dyDescent="0.25">
      <c r="A3314" s="1">
        <v>39539</v>
      </c>
      <c r="B3314" t="s">
        <v>17</v>
      </c>
      <c r="C3314" t="s">
        <v>6</v>
      </c>
      <c r="D3314">
        <v>31</v>
      </c>
      <c r="E3314" s="2">
        <v>3.2743055555555553E-2</v>
      </c>
      <c r="F3314">
        <v>47.15</v>
      </c>
    </row>
    <row r="3315" spans="1:6" x14ac:dyDescent="0.25">
      <c r="A3315" s="1">
        <v>39539</v>
      </c>
      <c r="B3315" t="s">
        <v>17</v>
      </c>
      <c r="C3315" t="s">
        <v>7</v>
      </c>
      <c r="D3315">
        <v>28</v>
      </c>
      <c r="E3315" s="2">
        <v>2.2361111111111109E-2</v>
      </c>
      <c r="F3315">
        <v>32.200000000000003</v>
      </c>
    </row>
    <row r="3316" spans="1:6" x14ac:dyDescent="0.25">
      <c r="A3316" s="1">
        <v>39539</v>
      </c>
      <c r="B3316" t="s">
        <v>17</v>
      </c>
      <c r="C3316" t="s">
        <v>8</v>
      </c>
      <c r="D3316">
        <v>26</v>
      </c>
      <c r="E3316" s="2">
        <v>3.2164351851851854E-2</v>
      </c>
      <c r="F3316">
        <v>46.31666666666667</v>
      </c>
    </row>
    <row r="3317" spans="1:6" x14ac:dyDescent="0.25">
      <c r="A3317" s="1">
        <v>39539</v>
      </c>
      <c r="B3317" t="s">
        <v>17</v>
      </c>
      <c r="C3317" t="s">
        <v>9</v>
      </c>
      <c r="D3317">
        <v>12</v>
      </c>
      <c r="E3317" s="2">
        <v>7.2222222222222219E-3</v>
      </c>
      <c r="F3317">
        <v>10.4</v>
      </c>
    </row>
    <row r="3318" spans="1:6" x14ac:dyDescent="0.25">
      <c r="A3318" s="1">
        <v>39539</v>
      </c>
      <c r="B3318" t="s">
        <v>17</v>
      </c>
      <c r="C3318" t="s">
        <v>10</v>
      </c>
      <c r="D3318">
        <v>7</v>
      </c>
      <c r="E3318" s="2">
        <v>4.8495370370370368E-3</v>
      </c>
      <c r="F3318">
        <v>6.9833333333333334</v>
      </c>
    </row>
    <row r="3319" spans="1:6" x14ac:dyDescent="0.25">
      <c r="A3319" s="1">
        <v>39539</v>
      </c>
      <c r="B3319" t="s">
        <v>17</v>
      </c>
      <c r="C3319" t="s">
        <v>11</v>
      </c>
      <c r="D3319">
        <v>8</v>
      </c>
      <c r="E3319" s="2">
        <v>7.2569444444444443E-3</v>
      </c>
      <c r="F3319">
        <v>10.45</v>
      </c>
    </row>
    <row r="3320" spans="1:6" x14ac:dyDescent="0.25">
      <c r="A3320" s="1">
        <v>39539</v>
      </c>
      <c r="B3320" t="s">
        <v>18</v>
      </c>
      <c r="C3320" t="s">
        <v>6</v>
      </c>
      <c r="D3320">
        <v>87</v>
      </c>
      <c r="E3320" s="2">
        <v>8.5636574074074073E-2</v>
      </c>
      <c r="F3320">
        <v>123.31666666666666</v>
      </c>
    </row>
    <row r="3321" spans="1:6" x14ac:dyDescent="0.25">
      <c r="A3321" s="1">
        <v>39539</v>
      </c>
      <c r="B3321" t="s">
        <v>18</v>
      </c>
      <c r="C3321" t="s">
        <v>7</v>
      </c>
      <c r="D3321">
        <v>98</v>
      </c>
      <c r="E3321" s="2">
        <v>8.5729166666666662E-2</v>
      </c>
      <c r="F3321">
        <v>123.45</v>
      </c>
    </row>
    <row r="3322" spans="1:6" x14ac:dyDescent="0.25">
      <c r="A3322" s="1">
        <v>39539</v>
      </c>
      <c r="B3322" t="s">
        <v>18</v>
      </c>
      <c r="C3322" t="s">
        <v>8</v>
      </c>
      <c r="D3322">
        <v>65</v>
      </c>
      <c r="E3322" s="2">
        <v>6.9803240740740735E-2</v>
      </c>
      <c r="F3322">
        <v>100.51666666666667</v>
      </c>
    </row>
    <row r="3323" spans="1:6" x14ac:dyDescent="0.25">
      <c r="A3323" s="1">
        <v>39539</v>
      </c>
      <c r="B3323" t="s">
        <v>18</v>
      </c>
      <c r="C3323" t="s">
        <v>9</v>
      </c>
      <c r="D3323">
        <v>80</v>
      </c>
      <c r="E3323" s="2">
        <v>5.2326388888888888E-2</v>
      </c>
      <c r="F3323">
        <v>75.349999999999994</v>
      </c>
    </row>
    <row r="3324" spans="1:6" x14ac:dyDescent="0.25">
      <c r="A3324" s="1">
        <v>39539</v>
      </c>
      <c r="B3324" t="s">
        <v>18</v>
      </c>
      <c r="C3324" t="s">
        <v>10</v>
      </c>
      <c r="D3324">
        <v>178</v>
      </c>
      <c r="E3324" s="2">
        <v>0.14710648148148148</v>
      </c>
      <c r="F3324">
        <v>211.83333333333334</v>
      </c>
    </row>
    <row r="3325" spans="1:6" x14ac:dyDescent="0.25">
      <c r="A3325" s="1">
        <v>39539</v>
      </c>
      <c r="B3325" t="s">
        <v>18</v>
      </c>
      <c r="C3325" t="s">
        <v>11</v>
      </c>
      <c r="D3325">
        <v>23</v>
      </c>
      <c r="E3325" s="2">
        <v>1.5787037037037037E-2</v>
      </c>
      <c r="F3325">
        <v>22.733333333333334</v>
      </c>
    </row>
    <row r="3326" spans="1:6" x14ac:dyDescent="0.25">
      <c r="A3326" s="1">
        <v>39539</v>
      </c>
      <c r="B3326" t="s">
        <v>19</v>
      </c>
      <c r="C3326" t="s">
        <v>6</v>
      </c>
      <c r="D3326">
        <v>37</v>
      </c>
      <c r="E3326" s="2">
        <v>3.6793981481481483E-2</v>
      </c>
      <c r="F3326">
        <v>52.983333333333334</v>
      </c>
    </row>
    <row r="3327" spans="1:6" x14ac:dyDescent="0.25">
      <c r="A3327" s="1">
        <v>39539</v>
      </c>
      <c r="B3327" t="s">
        <v>19</v>
      </c>
      <c r="C3327" t="s">
        <v>7</v>
      </c>
      <c r="D3327">
        <v>41</v>
      </c>
      <c r="E3327" s="2">
        <v>4.2326388888888886E-2</v>
      </c>
      <c r="F3327">
        <v>60.95</v>
      </c>
    </row>
    <row r="3328" spans="1:6" x14ac:dyDescent="0.25">
      <c r="A3328" s="1">
        <v>39539</v>
      </c>
      <c r="B3328" t="s">
        <v>19</v>
      </c>
      <c r="C3328" t="s">
        <v>8</v>
      </c>
      <c r="D3328">
        <v>34</v>
      </c>
      <c r="E3328" s="2">
        <v>4.3090277777777776E-2</v>
      </c>
      <c r="F3328">
        <v>62.05</v>
      </c>
    </row>
    <row r="3329" spans="1:6" x14ac:dyDescent="0.25">
      <c r="A3329" s="1">
        <v>39539</v>
      </c>
      <c r="B3329" t="s">
        <v>19</v>
      </c>
      <c r="C3329" t="s">
        <v>9</v>
      </c>
      <c r="D3329">
        <v>28</v>
      </c>
      <c r="E3329" s="2">
        <v>2.1400462962962961E-2</v>
      </c>
      <c r="F3329">
        <v>30.816666666666666</v>
      </c>
    </row>
    <row r="3330" spans="1:6" x14ac:dyDescent="0.25">
      <c r="A3330" s="1">
        <v>39539</v>
      </c>
      <c r="B3330" t="s">
        <v>19</v>
      </c>
      <c r="C3330" t="s">
        <v>10</v>
      </c>
      <c r="D3330">
        <v>11</v>
      </c>
      <c r="E3330" s="2">
        <v>1.0451388888888889E-2</v>
      </c>
      <c r="F3330">
        <v>15.05</v>
      </c>
    </row>
    <row r="3331" spans="1:6" x14ac:dyDescent="0.25">
      <c r="A3331" s="1">
        <v>39539</v>
      </c>
      <c r="B3331" t="s">
        <v>19</v>
      </c>
      <c r="C3331" t="s">
        <v>11</v>
      </c>
      <c r="D3331">
        <v>23</v>
      </c>
      <c r="E3331" s="2">
        <v>2.1898148148148149E-2</v>
      </c>
      <c r="F3331">
        <v>31.533333333333335</v>
      </c>
    </row>
    <row r="3332" spans="1:6" x14ac:dyDescent="0.25">
      <c r="A3332" s="1">
        <v>39539</v>
      </c>
      <c r="B3332" t="s">
        <v>20</v>
      </c>
      <c r="C3332" t="s">
        <v>6</v>
      </c>
      <c r="D3332">
        <v>41</v>
      </c>
      <c r="E3332" s="2">
        <v>3.8935185185185184E-2</v>
      </c>
      <c r="F3332">
        <v>56.06666666666667</v>
      </c>
    </row>
    <row r="3333" spans="1:6" x14ac:dyDescent="0.25">
      <c r="A3333" s="1">
        <v>39539</v>
      </c>
      <c r="B3333" t="s">
        <v>20</v>
      </c>
      <c r="C3333" t="s">
        <v>7</v>
      </c>
      <c r="D3333">
        <v>37</v>
      </c>
      <c r="E3333" s="2">
        <v>3.4780092592592592E-2</v>
      </c>
      <c r="F3333">
        <v>50.083333333333336</v>
      </c>
    </row>
    <row r="3334" spans="1:6" x14ac:dyDescent="0.25">
      <c r="A3334" s="1">
        <v>39539</v>
      </c>
      <c r="B3334" t="s">
        <v>20</v>
      </c>
      <c r="C3334" t="s">
        <v>8</v>
      </c>
      <c r="D3334">
        <v>34</v>
      </c>
      <c r="E3334" s="2">
        <v>0.04</v>
      </c>
      <c r="F3334">
        <v>57.6</v>
      </c>
    </row>
    <row r="3335" spans="1:6" x14ac:dyDescent="0.25">
      <c r="A3335" s="1">
        <v>39539</v>
      </c>
      <c r="B3335" t="s">
        <v>20</v>
      </c>
      <c r="C3335" t="s">
        <v>9</v>
      </c>
      <c r="D3335">
        <v>25</v>
      </c>
      <c r="E3335" s="2">
        <v>2.1134259259259259E-2</v>
      </c>
      <c r="F3335">
        <v>30.433333333333334</v>
      </c>
    </row>
    <row r="3336" spans="1:6" x14ac:dyDescent="0.25">
      <c r="A3336" s="1">
        <v>39539</v>
      </c>
      <c r="B3336" t="s">
        <v>20</v>
      </c>
      <c r="C3336" t="s">
        <v>10</v>
      </c>
      <c r="D3336">
        <v>22</v>
      </c>
      <c r="E3336" s="2">
        <v>2.4745370370370369E-2</v>
      </c>
      <c r="F3336">
        <v>35.633333333333333</v>
      </c>
    </row>
    <row r="3337" spans="1:6" x14ac:dyDescent="0.25">
      <c r="A3337" s="1">
        <v>39539</v>
      </c>
      <c r="B3337" t="s">
        <v>20</v>
      </c>
      <c r="C3337" t="s">
        <v>11</v>
      </c>
      <c r="D3337">
        <v>10</v>
      </c>
      <c r="E3337" s="2">
        <v>8.5300925925925926E-3</v>
      </c>
      <c r="F3337">
        <v>12.283333333333333</v>
      </c>
    </row>
    <row r="3338" spans="1:6" x14ac:dyDescent="0.25">
      <c r="A3338" s="1">
        <v>39539</v>
      </c>
      <c r="B3338" t="s">
        <v>21</v>
      </c>
      <c r="C3338" t="s">
        <v>6</v>
      </c>
      <c r="D3338">
        <v>32</v>
      </c>
      <c r="E3338" s="2">
        <v>3.8310185185185183E-2</v>
      </c>
      <c r="F3338">
        <v>55.166666666666664</v>
      </c>
    </row>
    <row r="3339" spans="1:6" x14ac:dyDescent="0.25">
      <c r="A3339" s="1">
        <v>39539</v>
      </c>
      <c r="B3339" t="s">
        <v>21</v>
      </c>
      <c r="C3339" t="s">
        <v>7</v>
      </c>
      <c r="D3339">
        <v>31</v>
      </c>
      <c r="E3339" s="2">
        <v>3.7175925925925925E-2</v>
      </c>
      <c r="F3339">
        <v>53.533333333333331</v>
      </c>
    </row>
    <row r="3340" spans="1:6" x14ac:dyDescent="0.25">
      <c r="A3340" s="1">
        <v>39539</v>
      </c>
      <c r="B3340" t="s">
        <v>21</v>
      </c>
      <c r="C3340" t="s">
        <v>8</v>
      </c>
      <c r="D3340">
        <v>12</v>
      </c>
      <c r="E3340" s="2">
        <v>1.4918981481481481E-2</v>
      </c>
      <c r="F3340">
        <v>21.483333333333334</v>
      </c>
    </row>
    <row r="3341" spans="1:6" x14ac:dyDescent="0.25">
      <c r="A3341" s="1">
        <v>39539</v>
      </c>
      <c r="B3341" t="s">
        <v>21</v>
      </c>
      <c r="C3341" t="s">
        <v>9</v>
      </c>
      <c r="D3341">
        <v>11</v>
      </c>
      <c r="E3341" s="2">
        <v>7.2453703703703708E-3</v>
      </c>
      <c r="F3341">
        <v>10.433333333333334</v>
      </c>
    </row>
    <row r="3342" spans="1:6" x14ac:dyDescent="0.25">
      <c r="A3342" s="1">
        <v>39539</v>
      </c>
      <c r="B3342" t="s">
        <v>21</v>
      </c>
      <c r="C3342" t="s">
        <v>10</v>
      </c>
      <c r="D3342">
        <v>6</v>
      </c>
      <c r="E3342" s="2">
        <v>6.2615740740740739E-3</v>
      </c>
      <c r="F3342">
        <v>9.0166666666666675</v>
      </c>
    </row>
    <row r="3343" spans="1:6" x14ac:dyDescent="0.25">
      <c r="A3343" s="1">
        <v>39539</v>
      </c>
      <c r="B3343" t="s">
        <v>21</v>
      </c>
      <c r="C3343" t="s">
        <v>11</v>
      </c>
      <c r="D3343">
        <v>19</v>
      </c>
      <c r="E3343" s="2">
        <v>1.773148148148148E-2</v>
      </c>
      <c r="F3343">
        <v>25.533333333333335</v>
      </c>
    </row>
    <row r="3344" spans="1:6" x14ac:dyDescent="0.25">
      <c r="A3344" s="1">
        <v>39539</v>
      </c>
      <c r="B3344" t="s">
        <v>22</v>
      </c>
      <c r="C3344" t="s">
        <v>6</v>
      </c>
      <c r="D3344">
        <v>31</v>
      </c>
      <c r="E3344" s="2">
        <v>3.3032407407407406E-2</v>
      </c>
      <c r="F3344">
        <v>47.56666666666667</v>
      </c>
    </row>
    <row r="3345" spans="1:6" x14ac:dyDescent="0.25">
      <c r="A3345" s="1">
        <v>39539</v>
      </c>
      <c r="B3345" t="s">
        <v>22</v>
      </c>
      <c r="C3345" t="s">
        <v>7</v>
      </c>
      <c r="D3345">
        <v>19</v>
      </c>
      <c r="E3345" s="2">
        <v>2.1284722222222222E-2</v>
      </c>
      <c r="F3345">
        <v>30.65</v>
      </c>
    </row>
    <row r="3346" spans="1:6" x14ac:dyDescent="0.25">
      <c r="A3346" s="1">
        <v>39539</v>
      </c>
      <c r="B3346" t="s">
        <v>22</v>
      </c>
      <c r="C3346" t="s">
        <v>8</v>
      </c>
      <c r="D3346">
        <v>4</v>
      </c>
      <c r="E3346" s="2">
        <v>5.4050925925925924E-3</v>
      </c>
      <c r="F3346">
        <v>7.7833333333333332</v>
      </c>
    </row>
    <row r="3347" spans="1:6" x14ac:dyDescent="0.25">
      <c r="A3347" s="1">
        <v>39539</v>
      </c>
      <c r="B3347" t="s">
        <v>22</v>
      </c>
      <c r="C3347" t="s">
        <v>9</v>
      </c>
      <c r="D3347">
        <v>6</v>
      </c>
      <c r="E3347" s="2">
        <v>3.1134259259259257E-3</v>
      </c>
      <c r="F3347">
        <v>4.4833333333333334</v>
      </c>
    </row>
    <row r="3348" spans="1:6" x14ac:dyDescent="0.25">
      <c r="A3348" s="1">
        <v>39539</v>
      </c>
      <c r="B3348" t="s">
        <v>22</v>
      </c>
      <c r="C3348" t="s">
        <v>10</v>
      </c>
      <c r="D3348">
        <v>2</v>
      </c>
      <c r="E3348" s="2">
        <v>3.8194444444444446E-4</v>
      </c>
      <c r="F3348">
        <v>0.55000000000000004</v>
      </c>
    </row>
    <row r="3349" spans="1:6" x14ac:dyDescent="0.25">
      <c r="A3349" s="1">
        <v>39539</v>
      </c>
      <c r="B3349" t="s">
        <v>22</v>
      </c>
      <c r="C3349" t="s">
        <v>11</v>
      </c>
      <c r="D3349">
        <v>10</v>
      </c>
      <c r="E3349" s="2">
        <v>8.4953703703703701E-3</v>
      </c>
      <c r="F3349">
        <v>12.233333333333333</v>
      </c>
    </row>
    <row r="3350" spans="1:6" x14ac:dyDescent="0.25">
      <c r="A3350" s="1">
        <v>39539</v>
      </c>
      <c r="B3350" t="s">
        <v>23</v>
      </c>
      <c r="C3350" t="s">
        <v>6</v>
      </c>
      <c r="D3350">
        <v>147</v>
      </c>
      <c r="E3350" s="2">
        <v>0.15444444444444444</v>
      </c>
      <c r="F3350">
        <v>222.4</v>
      </c>
    </row>
    <row r="3351" spans="1:6" x14ac:dyDescent="0.25">
      <c r="A3351" s="1">
        <v>39539</v>
      </c>
      <c r="B3351" t="s">
        <v>23</v>
      </c>
      <c r="C3351" t="s">
        <v>7</v>
      </c>
      <c r="D3351">
        <v>148</v>
      </c>
      <c r="E3351" s="2">
        <v>0.1632986111111111</v>
      </c>
      <c r="F3351">
        <v>235.15</v>
      </c>
    </row>
    <row r="3352" spans="1:6" x14ac:dyDescent="0.25">
      <c r="A3352" s="1">
        <v>39539</v>
      </c>
      <c r="B3352" t="s">
        <v>23</v>
      </c>
      <c r="C3352" t="s">
        <v>8</v>
      </c>
      <c r="D3352">
        <v>79</v>
      </c>
      <c r="E3352" s="2">
        <v>9.9733796296296293E-2</v>
      </c>
      <c r="F3352">
        <v>143.61666666666667</v>
      </c>
    </row>
    <row r="3353" spans="1:6" x14ac:dyDescent="0.25">
      <c r="A3353" s="1">
        <v>39539</v>
      </c>
      <c r="B3353" t="s">
        <v>23</v>
      </c>
      <c r="C3353" t="s">
        <v>9</v>
      </c>
      <c r="D3353">
        <v>57</v>
      </c>
      <c r="E3353" s="2">
        <v>3.8553240740740742E-2</v>
      </c>
      <c r="F3353">
        <v>55.516666666666666</v>
      </c>
    </row>
    <row r="3354" spans="1:6" x14ac:dyDescent="0.25">
      <c r="A3354" s="1">
        <v>39539</v>
      </c>
      <c r="B3354" t="s">
        <v>23</v>
      </c>
      <c r="C3354" t="s">
        <v>10</v>
      </c>
      <c r="D3354">
        <v>50</v>
      </c>
      <c r="E3354" s="2">
        <v>5.2476851851851851E-2</v>
      </c>
      <c r="F3354">
        <v>75.566666666666663</v>
      </c>
    </row>
    <row r="3355" spans="1:6" x14ac:dyDescent="0.25">
      <c r="A3355" s="1">
        <v>39539</v>
      </c>
      <c r="B3355" t="s">
        <v>23</v>
      </c>
      <c r="C3355" t="s">
        <v>11</v>
      </c>
      <c r="D3355">
        <v>51</v>
      </c>
      <c r="E3355" s="2">
        <v>4.2013888888888892E-2</v>
      </c>
      <c r="F3355">
        <v>60.5</v>
      </c>
    </row>
    <row r="3356" spans="1:6" x14ac:dyDescent="0.25">
      <c r="A3356" s="1">
        <v>39539</v>
      </c>
      <c r="B3356" t="s">
        <v>24</v>
      </c>
      <c r="C3356" t="s">
        <v>6</v>
      </c>
      <c r="D3356">
        <v>115</v>
      </c>
      <c r="E3356" s="2">
        <v>9.3993055555555552E-2</v>
      </c>
      <c r="F3356">
        <v>135.35</v>
      </c>
    </row>
    <row r="3357" spans="1:6" x14ac:dyDescent="0.25">
      <c r="A3357" s="1">
        <v>39539</v>
      </c>
      <c r="B3357" t="s">
        <v>24</v>
      </c>
      <c r="C3357" t="s">
        <v>7</v>
      </c>
      <c r="D3357">
        <v>115</v>
      </c>
      <c r="E3357" s="2">
        <v>9.3437500000000007E-2</v>
      </c>
      <c r="F3357">
        <v>134.55000000000001</v>
      </c>
    </row>
    <row r="3358" spans="1:6" x14ac:dyDescent="0.25">
      <c r="A3358" s="1">
        <v>39539</v>
      </c>
      <c r="B3358" t="s">
        <v>24</v>
      </c>
      <c r="C3358" t="s">
        <v>8</v>
      </c>
      <c r="D3358">
        <v>54</v>
      </c>
      <c r="E3358" s="2">
        <v>5.1018518518518519E-2</v>
      </c>
      <c r="F3358">
        <v>73.466666666666669</v>
      </c>
    </row>
    <row r="3359" spans="1:6" x14ac:dyDescent="0.25">
      <c r="A3359" s="1">
        <v>39539</v>
      </c>
      <c r="B3359" t="s">
        <v>24</v>
      </c>
      <c r="C3359" t="s">
        <v>9</v>
      </c>
      <c r="D3359">
        <v>51</v>
      </c>
      <c r="E3359" s="2">
        <v>3.8738425925925926E-2</v>
      </c>
      <c r="F3359">
        <v>55.783333333333331</v>
      </c>
    </row>
    <row r="3360" spans="1:6" x14ac:dyDescent="0.25">
      <c r="A3360" s="1">
        <v>39539</v>
      </c>
      <c r="B3360" t="s">
        <v>24</v>
      </c>
      <c r="C3360" t="s">
        <v>10</v>
      </c>
      <c r="D3360">
        <v>26</v>
      </c>
      <c r="E3360" s="2">
        <v>2.3865740740740739E-2</v>
      </c>
      <c r="F3360">
        <v>34.366666666666667</v>
      </c>
    </row>
    <row r="3361" spans="1:6" x14ac:dyDescent="0.25">
      <c r="A3361" s="1">
        <v>39539</v>
      </c>
      <c r="B3361" t="s">
        <v>24</v>
      </c>
      <c r="C3361" t="s">
        <v>11</v>
      </c>
      <c r="D3361">
        <v>55</v>
      </c>
      <c r="E3361" s="2">
        <v>3.6342592592592593E-2</v>
      </c>
      <c r="F3361">
        <v>52.333333333333336</v>
      </c>
    </row>
    <row r="3362" spans="1:6" x14ac:dyDescent="0.25">
      <c r="A3362" s="1">
        <v>39569</v>
      </c>
      <c r="B3362" t="s">
        <v>5</v>
      </c>
      <c r="C3362" t="s">
        <v>6</v>
      </c>
      <c r="D3362">
        <v>85</v>
      </c>
      <c r="E3362" s="2">
        <v>8.2546296296296298E-2</v>
      </c>
      <c r="F3362">
        <v>118.86666666666666</v>
      </c>
    </row>
    <row r="3363" spans="1:6" x14ac:dyDescent="0.25">
      <c r="A3363" s="1">
        <v>39569</v>
      </c>
      <c r="B3363" t="s">
        <v>5</v>
      </c>
      <c r="C3363" t="s">
        <v>7</v>
      </c>
      <c r="D3363">
        <v>84</v>
      </c>
      <c r="E3363" s="2">
        <v>8.0428240740740745E-2</v>
      </c>
      <c r="F3363">
        <v>115.81666666666666</v>
      </c>
    </row>
    <row r="3364" spans="1:6" x14ac:dyDescent="0.25">
      <c r="A3364" s="1">
        <v>39569</v>
      </c>
      <c r="B3364" t="s">
        <v>5</v>
      </c>
      <c r="C3364" t="s">
        <v>8</v>
      </c>
      <c r="D3364">
        <v>53</v>
      </c>
      <c r="E3364" s="2">
        <v>5.3460648148148146E-2</v>
      </c>
      <c r="F3364">
        <v>76.983333333333334</v>
      </c>
    </row>
    <row r="3365" spans="1:6" x14ac:dyDescent="0.25">
      <c r="A3365" s="1">
        <v>39569</v>
      </c>
      <c r="B3365" t="s">
        <v>5</v>
      </c>
      <c r="C3365" t="s">
        <v>9</v>
      </c>
      <c r="D3365">
        <v>36</v>
      </c>
      <c r="E3365" s="2">
        <v>2.4247685185185185E-2</v>
      </c>
      <c r="F3365">
        <v>34.916666666666664</v>
      </c>
    </row>
    <row r="3366" spans="1:6" x14ac:dyDescent="0.25">
      <c r="A3366" s="1">
        <v>39569</v>
      </c>
      <c r="B3366" t="s">
        <v>5</v>
      </c>
      <c r="C3366" t="s">
        <v>10</v>
      </c>
      <c r="D3366">
        <v>44</v>
      </c>
      <c r="E3366" s="2">
        <v>4.2604166666666665E-2</v>
      </c>
      <c r="F3366">
        <v>61.35</v>
      </c>
    </row>
    <row r="3367" spans="1:6" x14ac:dyDescent="0.25">
      <c r="A3367" s="1">
        <v>39569</v>
      </c>
      <c r="B3367" t="s">
        <v>5</v>
      </c>
      <c r="C3367" t="s">
        <v>11</v>
      </c>
      <c r="D3367">
        <v>29</v>
      </c>
      <c r="E3367" s="2">
        <v>2.1840277777777778E-2</v>
      </c>
      <c r="F3367">
        <v>31.45</v>
      </c>
    </row>
    <row r="3368" spans="1:6" x14ac:dyDescent="0.25">
      <c r="A3368" s="1">
        <v>39569</v>
      </c>
      <c r="B3368" t="s">
        <v>12</v>
      </c>
      <c r="C3368" t="s">
        <v>6</v>
      </c>
      <c r="D3368">
        <v>53</v>
      </c>
      <c r="E3368" s="2">
        <v>5.1203703703703703E-2</v>
      </c>
      <c r="F3368">
        <v>73.733333333333334</v>
      </c>
    </row>
    <row r="3369" spans="1:6" x14ac:dyDescent="0.25">
      <c r="A3369" s="1">
        <v>39569</v>
      </c>
      <c r="B3369" t="s">
        <v>12</v>
      </c>
      <c r="C3369" t="s">
        <v>7</v>
      </c>
      <c r="D3369">
        <v>59</v>
      </c>
      <c r="E3369" s="2">
        <v>7.947916666666667E-2</v>
      </c>
      <c r="F3369">
        <v>114.45</v>
      </c>
    </row>
    <row r="3370" spans="1:6" x14ac:dyDescent="0.25">
      <c r="A3370" s="1">
        <v>39569</v>
      </c>
      <c r="B3370" t="s">
        <v>12</v>
      </c>
      <c r="C3370" t="s">
        <v>8</v>
      </c>
      <c r="D3370">
        <v>41</v>
      </c>
      <c r="E3370" s="2">
        <v>5.7627314814814812E-2</v>
      </c>
      <c r="F3370">
        <v>82.983333333333334</v>
      </c>
    </row>
    <row r="3371" spans="1:6" x14ac:dyDescent="0.25">
      <c r="A3371" s="1">
        <v>39569</v>
      </c>
      <c r="B3371" t="s">
        <v>12</v>
      </c>
      <c r="C3371" t="s">
        <v>9</v>
      </c>
      <c r="D3371">
        <v>18</v>
      </c>
      <c r="E3371" s="2">
        <v>1.1412037037037037E-2</v>
      </c>
      <c r="F3371">
        <v>16.433333333333334</v>
      </c>
    </row>
    <row r="3372" spans="1:6" x14ac:dyDescent="0.25">
      <c r="A3372" s="1">
        <v>39569</v>
      </c>
      <c r="B3372" t="s">
        <v>12</v>
      </c>
      <c r="C3372" t="s">
        <v>10</v>
      </c>
      <c r="D3372">
        <v>2</v>
      </c>
      <c r="E3372" s="2">
        <v>6.5972222222222224E-4</v>
      </c>
      <c r="F3372">
        <v>0.95</v>
      </c>
    </row>
    <row r="3373" spans="1:6" x14ac:dyDescent="0.25">
      <c r="A3373" s="1">
        <v>39569</v>
      </c>
      <c r="B3373" t="s">
        <v>12</v>
      </c>
      <c r="C3373" t="s">
        <v>11</v>
      </c>
      <c r="D3373">
        <v>27</v>
      </c>
      <c r="E3373" s="2">
        <v>3.7662037037037036E-2</v>
      </c>
      <c r="F3373">
        <v>54.233333333333334</v>
      </c>
    </row>
    <row r="3374" spans="1:6" x14ac:dyDescent="0.25">
      <c r="A3374" s="1">
        <v>39569</v>
      </c>
      <c r="B3374" t="s">
        <v>13</v>
      </c>
      <c r="C3374" t="s">
        <v>6</v>
      </c>
      <c r="D3374">
        <v>79</v>
      </c>
      <c r="E3374" s="2">
        <v>7.0393518518518522E-2</v>
      </c>
      <c r="F3374">
        <v>101.36666666666666</v>
      </c>
    </row>
    <row r="3375" spans="1:6" x14ac:dyDescent="0.25">
      <c r="A3375" s="1">
        <v>39569</v>
      </c>
      <c r="B3375" t="s">
        <v>13</v>
      </c>
      <c r="C3375" t="s">
        <v>7</v>
      </c>
      <c r="D3375">
        <v>75</v>
      </c>
      <c r="E3375" s="2">
        <v>6.6817129629629629E-2</v>
      </c>
      <c r="F3375">
        <v>96.216666666666669</v>
      </c>
    </row>
    <row r="3376" spans="1:6" x14ac:dyDescent="0.25">
      <c r="A3376" s="1">
        <v>39569</v>
      </c>
      <c r="B3376" t="s">
        <v>13</v>
      </c>
      <c r="C3376" t="s">
        <v>8</v>
      </c>
      <c r="D3376">
        <v>46</v>
      </c>
      <c r="E3376" s="2">
        <v>4.9803240740740738E-2</v>
      </c>
      <c r="F3376">
        <v>71.716666666666669</v>
      </c>
    </row>
    <row r="3377" spans="1:6" x14ac:dyDescent="0.25">
      <c r="A3377" s="1">
        <v>39569</v>
      </c>
      <c r="B3377" t="s">
        <v>13</v>
      </c>
      <c r="C3377" t="s">
        <v>9</v>
      </c>
      <c r="D3377">
        <v>30</v>
      </c>
      <c r="E3377" s="2">
        <v>2.6249999999999999E-2</v>
      </c>
      <c r="F3377">
        <v>37.799999999999997</v>
      </c>
    </row>
    <row r="3378" spans="1:6" x14ac:dyDescent="0.25">
      <c r="A3378" s="1">
        <v>39569</v>
      </c>
      <c r="B3378" t="s">
        <v>13</v>
      </c>
      <c r="C3378" t="s">
        <v>10</v>
      </c>
      <c r="D3378">
        <v>34</v>
      </c>
      <c r="E3378" s="2">
        <v>3.7152777777777778E-2</v>
      </c>
      <c r="F3378">
        <v>53.5</v>
      </c>
    </row>
    <row r="3379" spans="1:6" x14ac:dyDescent="0.25">
      <c r="A3379" s="1">
        <v>39569</v>
      </c>
      <c r="B3379" t="s">
        <v>13</v>
      </c>
      <c r="C3379" t="s">
        <v>11</v>
      </c>
      <c r="D3379">
        <v>15</v>
      </c>
      <c r="E3379" s="2">
        <v>1.0347222222222223E-2</v>
      </c>
      <c r="F3379">
        <v>14.9</v>
      </c>
    </row>
    <row r="3380" spans="1:6" x14ac:dyDescent="0.25">
      <c r="A3380" s="1">
        <v>39569</v>
      </c>
      <c r="B3380" t="s">
        <v>14</v>
      </c>
      <c r="C3380" t="s">
        <v>6</v>
      </c>
      <c r="D3380">
        <v>19</v>
      </c>
      <c r="E3380" s="2">
        <v>2.4467592592592593E-2</v>
      </c>
      <c r="F3380">
        <v>35.233333333333334</v>
      </c>
    </row>
    <row r="3381" spans="1:6" x14ac:dyDescent="0.25">
      <c r="A3381" s="1">
        <v>39569</v>
      </c>
      <c r="B3381" t="s">
        <v>14</v>
      </c>
      <c r="C3381" t="s">
        <v>7</v>
      </c>
      <c r="D3381">
        <v>18</v>
      </c>
      <c r="E3381" s="2">
        <v>1.7430555555555557E-2</v>
      </c>
      <c r="F3381">
        <v>25.1</v>
      </c>
    </row>
    <row r="3382" spans="1:6" x14ac:dyDescent="0.25">
      <c r="A3382" s="1">
        <v>39569</v>
      </c>
      <c r="B3382" t="s">
        <v>14</v>
      </c>
      <c r="C3382" t="s">
        <v>8</v>
      </c>
      <c r="D3382">
        <v>8</v>
      </c>
      <c r="E3382" s="2">
        <v>9.8263888888888897E-3</v>
      </c>
      <c r="F3382">
        <v>14.15</v>
      </c>
    </row>
    <row r="3383" spans="1:6" x14ac:dyDescent="0.25">
      <c r="A3383" s="1">
        <v>39569</v>
      </c>
      <c r="B3383" t="s">
        <v>14</v>
      </c>
      <c r="C3383" t="s">
        <v>9</v>
      </c>
      <c r="D3383">
        <v>4</v>
      </c>
      <c r="E3383" s="2">
        <v>2.9050925925925928E-3</v>
      </c>
      <c r="F3383">
        <v>4.1833333333333336</v>
      </c>
    </row>
    <row r="3384" spans="1:6" x14ac:dyDescent="0.25">
      <c r="A3384" s="1">
        <v>39569</v>
      </c>
      <c r="B3384" t="s">
        <v>14</v>
      </c>
      <c r="C3384" t="s">
        <v>10</v>
      </c>
      <c r="D3384">
        <v>5</v>
      </c>
      <c r="E3384" s="2">
        <v>2.5000000000000001E-3</v>
      </c>
      <c r="F3384">
        <v>3.6</v>
      </c>
    </row>
    <row r="3385" spans="1:6" x14ac:dyDescent="0.25">
      <c r="A3385" s="1">
        <v>39569</v>
      </c>
      <c r="B3385" t="s">
        <v>14</v>
      </c>
      <c r="C3385" t="s">
        <v>11</v>
      </c>
      <c r="D3385">
        <v>7</v>
      </c>
      <c r="E3385" s="2">
        <v>4.6874999999999998E-3</v>
      </c>
      <c r="F3385">
        <v>6.75</v>
      </c>
    </row>
    <row r="3386" spans="1:6" x14ac:dyDescent="0.25">
      <c r="A3386" s="1">
        <v>39569</v>
      </c>
      <c r="B3386" t="s">
        <v>15</v>
      </c>
      <c r="C3386" t="s">
        <v>6</v>
      </c>
      <c r="D3386">
        <v>22</v>
      </c>
      <c r="E3386" s="2">
        <v>2.539351851851852E-2</v>
      </c>
      <c r="F3386">
        <v>36.56666666666667</v>
      </c>
    </row>
    <row r="3387" spans="1:6" x14ac:dyDescent="0.25">
      <c r="A3387" s="1">
        <v>39569</v>
      </c>
      <c r="B3387" t="s">
        <v>15</v>
      </c>
      <c r="C3387" t="s">
        <v>7</v>
      </c>
      <c r="D3387">
        <v>23</v>
      </c>
      <c r="E3387" s="2">
        <v>1.9953703703703703E-2</v>
      </c>
      <c r="F3387">
        <v>28.733333333333334</v>
      </c>
    </row>
    <row r="3388" spans="1:6" x14ac:dyDescent="0.25">
      <c r="A3388" s="1">
        <v>39569</v>
      </c>
      <c r="B3388" t="s">
        <v>15</v>
      </c>
      <c r="C3388" t="s">
        <v>8</v>
      </c>
      <c r="D3388">
        <v>8</v>
      </c>
      <c r="E3388" s="2">
        <v>9.432870370370371E-3</v>
      </c>
      <c r="F3388">
        <v>13.583333333333334</v>
      </c>
    </row>
    <row r="3389" spans="1:6" x14ac:dyDescent="0.25">
      <c r="A3389" s="1">
        <v>39569</v>
      </c>
      <c r="B3389" t="s">
        <v>15</v>
      </c>
      <c r="C3389" t="s">
        <v>9</v>
      </c>
      <c r="D3389">
        <v>3</v>
      </c>
      <c r="E3389" s="2">
        <v>2.0949074074074073E-3</v>
      </c>
      <c r="F3389">
        <v>3.0166666666666666</v>
      </c>
    </row>
    <row r="3390" spans="1:6" x14ac:dyDescent="0.25">
      <c r="A3390" s="1">
        <v>39569</v>
      </c>
      <c r="B3390" t="s">
        <v>15</v>
      </c>
      <c r="C3390" t="s">
        <v>10</v>
      </c>
      <c r="D3390">
        <v>5</v>
      </c>
      <c r="E3390" s="2">
        <v>4.0856481481481481E-3</v>
      </c>
      <c r="F3390">
        <v>5.8833333333333329</v>
      </c>
    </row>
    <row r="3391" spans="1:6" x14ac:dyDescent="0.25">
      <c r="A3391" s="1">
        <v>39569</v>
      </c>
      <c r="B3391" t="s">
        <v>15</v>
      </c>
      <c r="C3391" t="s">
        <v>11</v>
      </c>
      <c r="D3391">
        <v>2</v>
      </c>
      <c r="E3391" s="2">
        <v>8.6805555555555551E-4</v>
      </c>
      <c r="F3391">
        <v>1.25</v>
      </c>
    </row>
    <row r="3392" spans="1:6" x14ac:dyDescent="0.25">
      <c r="A3392" s="1">
        <v>39569</v>
      </c>
      <c r="B3392" t="s">
        <v>16</v>
      </c>
      <c r="C3392" t="s">
        <v>6</v>
      </c>
      <c r="D3392">
        <v>24</v>
      </c>
      <c r="E3392" s="2">
        <v>2.4849537037037038E-2</v>
      </c>
      <c r="F3392">
        <v>35.783333333333331</v>
      </c>
    </row>
    <row r="3393" spans="1:6" x14ac:dyDescent="0.25">
      <c r="A3393" s="1">
        <v>39569</v>
      </c>
      <c r="B3393" t="s">
        <v>16</v>
      </c>
      <c r="C3393" t="s">
        <v>7</v>
      </c>
      <c r="D3393">
        <v>19</v>
      </c>
      <c r="E3393" s="2">
        <v>2.3969907407407409E-2</v>
      </c>
      <c r="F3393">
        <v>34.516666666666666</v>
      </c>
    </row>
    <row r="3394" spans="1:6" x14ac:dyDescent="0.25">
      <c r="A3394" s="1">
        <v>39569</v>
      </c>
      <c r="B3394" t="s">
        <v>16</v>
      </c>
      <c r="C3394" t="s">
        <v>8</v>
      </c>
      <c r="D3394">
        <v>18</v>
      </c>
      <c r="E3394" s="2">
        <v>1.4976851851851852E-2</v>
      </c>
      <c r="F3394">
        <v>21.566666666666666</v>
      </c>
    </row>
    <row r="3395" spans="1:6" x14ac:dyDescent="0.25">
      <c r="A3395" s="1">
        <v>39569</v>
      </c>
      <c r="B3395" t="s">
        <v>16</v>
      </c>
      <c r="C3395" t="s">
        <v>9</v>
      </c>
      <c r="D3395">
        <v>13</v>
      </c>
      <c r="E3395" s="2">
        <v>7.5462962962962966E-3</v>
      </c>
      <c r="F3395">
        <v>10.866666666666667</v>
      </c>
    </row>
    <row r="3396" spans="1:6" x14ac:dyDescent="0.25">
      <c r="A3396" s="1">
        <v>39569</v>
      </c>
      <c r="B3396" t="s">
        <v>16</v>
      </c>
      <c r="C3396" t="s">
        <v>10</v>
      </c>
      <c r="D3396">
        <v>0</v>
      </c>
      <c r="E3396" s="2">
        <v>0</v>
      </c>
      <c r="F3396">
        <v>0</v>
      </c>
    </row>
    <row r="3397" spans="1:6" x14ac:dyDescent="0.25">
      <c r="A3397" s="1">
        <v>39569</v>
      </c>
      <c r="B3397" t="s">
        <v>16</v>
      </c>
      <c r="C3397" t="s">
        <v>11</v>
      </c>
      <c r="D3397">
        <v>24</v>
      </c>
      <c r="E3397" s="2">
        <v>1.8425925925925925E-2</v>
      </c>
      <c r="F3397">
        <v>26.533333333333335</v>
      </c>
    </row>
    <row r="3398" spans="1:6" x14ac:dyDescent="0.25">
      <c r="A3398" s="1">
        <v>39569</v>
      </c>
      <c r="B3398" t="s">
        <v>17</v>
      </c>
      <c r="C3398" t="s">
        <v>6</v>
      </c>
      <c r="D3398">
        <v>23</v>
      </c>
      <c r="E3398" s="2">
        <v>1.8298611111111113E-2</v>
      </c>
      <c r="F3398">
        <v>26.35</v>
      </c>
    </row>
    <row r="3399" spans="1:6" x14ac:dyDescent="0.25">
      <c r="A3399" s="1">
        <v>39569</v>
      </c>
      <c r="B3399" t="s">
        <v>17</v>
      </c>
      <c r="C3399" t="s">
        <v>7</v>
      </c>
      <c r="D3399">
        <v>21</v>
      </c>
      <c r="E3399" s="2">
        <v>2.5914351851851852E-2</v>
      </c>
      <c r="F3399">
        <v>37.31666666666667</v>
      </c>
    </row>
    <row r="3400" spans="1:6" x14ac:dyDescent="0.25">
      <c r="A3400" s="1">
        <v>39569</v>
      </c>
      <c r="B3400" t="s">
        <v>17</v>
      </c>
      <c r="C3400" t="s">
        <v>8</v>
      </c>
      <c r="D3400">
        <v>11</v>
      </c>
      <c r="E3400" s="2">
        <v>1.4490740740740742E-2</v>
      </c>
      <c r="F3400">
        <v>20.866666666666667</v>
      </c>
    </row>
    <row r="3401" spans="1:6" x14ac:dyDescent="0.25">
      <c r="A3401" s="1">
        <v>39569</v>
      </c>
      <c r="B3401" t="s">
        <v>17</v>
      </c>
      <c r="C3401" t="s">
        <v>9</v>
      </c>
      <c r="D3401">
        <v>8</v>
      </c>
      <c r="E3401" s="2">
        <v>5.3819444444444444E-3</v>
      </c>
      <c r="F3401">
        <v>7.75</v>
      </c>
    </row>
    <row r="3402" spans="1:6" x14ac:dyDescent="0.25">
      <c r="A3402" s="1">
        <v>39569</v>
      </c>
      <c r="B3402" t="s">
        <v>17</v>
      </c>
      <c r="C3402" t="s">
        <v>10</v>
      </c>
      <c r="D3402">
        <v>11</v>
      </c>
      <c r="E3402" s="2">
        <v>1.1909722222222223E-2</v>
      </c>
      <c r="F3402">
        <v>17.149999999999999</v>
      </c>
    </row>
    <row r="3403" spans="1:6" x14ac:dyDescent="0.25">
      <c r="A3403" s="1">
        <v>39569</v>
      </c>
      <c r="B3403" t="s">
        <v>17</v>
      </c>
      <c r="C3403" t="s">
        <v>11</v>
      </c>
      <c r="D3403">
        <v>12</v>
      </c>
      <c r="E3403" s="2">
        <v>1.1064814814814816E-2</v>
      </c>
      <c r="F3403">
        <v>15.933333333333334</v>
      </c>
    </row>
    <row r="3404" spans="1:6" x14ac:dyDescent="0.25">
      <c r="A3404" s="1">
        <v>39569</v>
      </c>
      <c r="B3404" t="s">
        <v>18</v>
      </c>
      <c r="C3404" t="s">
        <v>6</v>
      </c>
      <c r="D3404">
        <v>58</v>
      </c>
      <c r="E3404" s="2">
        <v>3.9363425925925927E-2</v>
      </c>
      <c r="F3404">
        <v>56.68333333333333</v>
      </c>
    </row>
    <row r="3405" spans="1:6" x14ac:dyDescent="0.25">
      <c r="A3405" s="1">
        <v>39569</v>
      </c>
      <c r="B3405" t="s">
        <v>18</v>
      </c>
      <c r="C3405" t="s">
        <v>7</v>
      </c>
      <c r="D3405">
        <v>56</v>
      </c>
      <c r="E3405" s="2">
        <v>4.8159722222222222E-2</v>
      </c>
      <c r="F3405">
        <v>69.349999999999994</v>
      </c>
    </row>
    <row r="3406" spans="1:6" x14ac:dyDescent="0.25">
      <c r="A3406" s="1">
        <v>39569</v>
      </c>
      <c r="B3406" t="s">
        <v>18</v>
      </c>
      <c r="C3406" t="s">
        <v>8</v>
      </c>
      <c r="D3406">
        <v>31</v>
      </c>
      <c r="E3406" s="2">
        <v>3.5069444444444445E-2</v>
      </c>
      <c r="F3406">
        <v>50.5</v>
      </c>
    </row>
    <row r="3407" spans="1:6" x14ac:dyDescent="0.25">
      <c r="A3407" s="1">
        <v>39569</v>
      </c>
      <c r="B3407" t="s">
        <v>18</v>
      </c>
      <c r="C3407" t="s">
        <v>9</v>
      </c>
      <c r="D3407">
        <v>48</v>
      </c>
      <c r="E3407" s="2">
        <v>2.9201388888888888E-2</v>
      </c>
      <c r="F3407">
        <v>42.05</v>
      </c>
    </row>
    <row r="3408" spans="1:6" x14ac:dyDescent="0.25">
      <c r="A3408" s="1">
        <v>39569</v>
      </c>
      <c r="B3408" t="s">
        <v>18</v>
      </c>
      <c r="C3408" t="s">
        <v>10</v>
      </c>
      <c r="D3408">
        <v>130</v>
      </c>
      <c r="E3408" s="2">
        <v>0.10885416666666667</v>
      </c>
      <c r="F3408">
        <v>156.75</v>
      </c>
    </row>
    <row r="3409" spans="1:6" x14ac:dyDescent="0.25">
      <c r="A3409" s="1">
        <v>39569</v>
      </c>
      <c r="B3409" t="s">
        <v>18</v>
      </c>
      <c r="C3409" t="s">
        <v>11</v>
      </c>
      <c r="D3409">
        <v>17</v>
      </c>
      <c r="E3409" s="2">
        <v>1.2372685185185184E-2</v>
      </c>
      <c r="F3409">
        <v>17.816666666666666</v>
      </c>
    </row>
    <row r="3410" spans="1:6" x14ac:dyDescent="0.25">
      <c r="A3410" s="1">
        <v>39569</v>
      </c>
      <c r="B3410" t="s">
        <v>19</v>
      </c>
      <c r="C3410" t="s">
        <v>6</v>
      </c>
      <c r="D3410">
        <v>29</v>
      </c>
      <c r="E3410" s="2">
        <v>2.8750000000000001E-2</v>
      </c>
      <c r="F3410">
        <v>41.4</v>
      </c>
    </row>
    <row r="3411" spans="1:6" x14ac:dyDescent="0.25">
      <c r="A3411" s="1">
        <v>39569</v>
      </c>
      <c r="B3411" t="s">
        <v>19</v>
      </c>
      <c r="C3411" t="s">
        <v>7</v>
      </c>
      <c r="D3411">
        <v>24</v>
      </c>
      <c r="E3411" s="2">
        <v>2.3553240740740739E-2</v>
      </c>
      <c r="F3411">
        <v>33.916666666666664</v>
      </c>
    </row>
    <row r="3412" spans="1:6" x14ac:dyDescent="0.25">
      <c r="A3412" s="1">
        <v>39569</v>
      </c>
      <c r="B3412" t="s">
        <v>19</v>
      </c>
      <c r="C3412" t="s">
        <v>8</v>
      </c>
      <c r="D3412">
        <v>26</v>
      </c>
      <c r="E3412" s="2">
        <v>3.8240740740740742E-2</v>
      </c>
      <c r="F3412">
        <v>55.06666666666667</v>
      </c>
    </row>
    <row r="3413" spans="1:6" x14ac:dyDescent="0.25">
      <c r="A3413" s="1">
        <v>39569</v>
      </c>
      <c r="B3413" t="s">
        <v>19</v>
      </c>
      <c r="C3413" t="s">
        <v>9</v>
      </c>
      <c r="D3413">
        <v>25</v>
      </c>
      <c r="E3413" s="2">
        <v>2.1006944444444446E-2</v>
      </c>
      <c r="F3413">
        <v>30.25</v>
      </c>
    </row>
    <row r="3414" spans="1:6" x14ac:dyDescent="0.25">
      <c r="A3414" s="1">
        <v>39569</v>
      </c>
      <c r="B3414" t="s">
        <v>19</v>
      </c>
      <c r="C3414" t="s">
        <v>10</v>
      </c>
      <c r="D3414">
        <v>11</v>
      </c>
      <c r="E3414" s="2">
        <v>6.9560185185185185E-3</v>
      </c>
      <c r="F3414">
        <v>10.016666666666667</v>
      </c>
    </row>
    <row r="3415" spans="1:6" x14ac:dyDescent="0.25">
      <c r="A3415" s="1">
        <v>39569</v>
      </c>
      <c r="B3415" t="s">
        <v>19</v>
      </c>
      <c r="C3415" t="s">
        <v>11</v>
      </c>
      <c r="D3415">
        <v>15</v>
      </c>
      <c r="E3415" s="2">
        <v>1.6377314814814813E-2</v>
      </c>
      <c r="F3415">
        <v>23.583333333333332</v>
      </c>
    </row>
    <row r="3416" spans="1:6" x14ac:dyDescent="0.25">
      <c r="A3416" s="1">
        <v>39569</v>
      </c>
      <c r="B3416" t="s">
        <v>20</v>
      </c>
      <c r="C3416" t="s">
        <v>6</v>
      </c>
      <c r="D3416">
        <v>35</v>
      </c>
      <c r="E3416" s="2">
        <v>4.4999999999999998E-2</v>
      </c>
      <c r="F3416">
        <v>64.8</v>
      </c>
    </row>
    <row r="3417" spans="1:6" x14ac:dyDescent="0.25">
      <c r="A3417" s="1">
        <v>39569</v>
      </c>
      <c r="B3417" t="s">
        <v>20</v>
      </c>
      <c r="C3417" t="s">
        <v>7</v>
      </c>
      <c r="D3417">
        <v>39</v>
      </c>
      <c r="E3417" s="2">
        <v>4.4386574074074071E-2</v>
      </c>
      <c r="F3417">
        <v>63.916666666666664</v>
      </c>
    </row>
    <row r="3418" spans="1:6" x14ac:dyDescent="0.25">
      <c r="A3418" s="1">
        <v>39569</v>
      </c>
      <c r="B3418" t="s">
        <v>20</v>
      </c>
      <c r="C3418" t="s">
        <v>8</v>
      </c>
      <c r="D3418">
        <v>25</v>
      </c>
      <c r="E3418" s="2">
        <v>3.4918981481481481E-2</v>
      </c>
      <c r="F3418">
        <v>50.283333333333331</v>
      </c>
    </row>
    <row r="3419" spans="1:6" x14ac:dyDescent="0.25">
      <c r="A3419" s="1">
        <v>39569</v>
      </c>
      <c r="B3419" t="s">
        <v>20</v>
      </c>
      <c r="C3419" t="s">
        <v>9</v>
      </c>
      <c r="D3419">
        <v>16</v>
      </c>
      <c r="E3419" s="2">
        <v>1.3981481481481482E-2</v>
      </c>
      <c r="F3419">
        <v>20.133333333333333</v>
      </c>
    </row>
    <row r="3420" spans="1:6" x14ac:dyDescent="0.25">
      <c r="A3420" s="1">
        <v>39569</v>
      </c>
      <c r="B3420" t="s">
        <v>20</v>
      </c>
      <c r="C3420" t="s">
        <v>10</v>
      </c>
      <c r="D3420">
        <v>9</v>
      </c>
      <c r="E3420" s="2">
        <v>8.0208333333333329E-3</v>
      </c>
      <c r="F3420">
        <v>11.55</v>
      </c>
    </row>
    <row r="3421" spans="1:6" x14ac:dyDescent="0.25">
      <c r="A3421" s="1">
        <v>39569</v>
      </c>
      <c r="B3421" t="s">
        <v>20</v>
      </c>
      <c r="C3421" t="s">
        <v>11</v>
      </c>
      <c r="D3421">
        <v>9</v>
      </c>
      <c r="E3421" s="2">
        <v>8.7152777777777784E-3</v>
      </c>
      <c r="F3421">
        <v>12.55</v>
      </c>
    </row>
    <row r="3422" spans="1:6" x14ac:dyDescent="0.25">
      <c r="A3422" s="1">
        <v>39569</v>
      </c>
      <c r="B3422" t="s">
        <v>21</v>
      </c>
      <c r="C3422" t="s">
        <v>6</v>
      </c>
      <c r="D3422">
        <v>15</v>
      </c>
      <c r="E3422" s="2">
        <v>1.7465277777777777E-2</v>
      </c>
      <c r="F3422">
        <v>25.15</v>
      </c>
    </row>
    <row r="3423" spans="1:6" x14ac:dyDescent="0.25">
      <c r="A3423" s="1">
        <v>39569</v>
      </c>
      <c r="B3423" t="s">
        <v>21</v>
      </c>
      <c r="C3423" t="s">
        <v>7</v>
      </c>
      <c r="D3423">
        <v>16</v>
      </c>
      <c r="E3423" s="2">
        <v>2.4097222222222221E-2</v>
      </c>
      <c r="F3423">
        <v>34.700000000000003</v>
      </c>
    </row>
    <row r="3424" spans="1:6" x14ac:dyDescent="0.25">
      <c r="A3424" s="1">
        <v>39569</v>
      </c>
      <c r="B3424" t="s">
        <v>21</v>
      </c>
      <c r="C3424" t="s">
        <v>8</v>
      </c>
      <c r="D3424">
        <v>9</v>
      </c>
      <c r="E3424" s="2">
        <v>1.1921296296296296E-2</v>
      </c>
      <c r="F3424">
        <v>17.166666666666668</v>
      </c>
    </row>
    <row r="3425" spans="1:6" x14ac:dyDescent="0.25">
      <c r="A3425" s="1">
        <v>39569</v>
      </c>
      <c r="B3425" t="s">
        <v>21</v>
      </c>
      <c r="C3425" t="s">
        <v>9</v>
      </c>
      <c r="D3425">
        <v>4</v>
      </c>
      <c r="E3425" s="2">
        <v>2.7199074074074074E-3</v>
      </c>
      <c r="F3425">
        <v>3.9166666666666665</v>
      </c>
    </row>
    <row r="3426" spans="1:6" x14ac:dyDescent="0.25">
      <c r="A3426" s="1">
        <v>39569</v>
      </c>
      <c r="B3426" t="s">
        <v>21</v>
      </c>
      <c r="C3426" t="s">
        <v>10</v>
      </c>
      <c r="D3426">
        <v>2</v>
      </c>
      <c r="E3426" s="2">
        <v>2.488425925925926E-3</v>
      </c>
      <c r="F3426">
        <v>3.5833333333333335</v>
      </c>
    </row>
    <row r="3427" spans="1:6" x14ac:dyDescent="0.25">
      <c r="A3427" s="1">
        <v>39569</v>
      </c>
      <c r="B3427" t="s">
        <v>21</v>
      </c>
      <c r="C3427" t="s">
        <v>11</v>
      </c>
      <c r="D3427">
        <v>5</v>
      </c>
      <c r="E3427" s="2">
        <v>5.8333333333333336E-3</v>
      </c>
      <c r="F3427">
        <v>8.4</v>
      </c>
    </row>
    <row r="3428" spans="1:6" x14ac:dyDescent="0.25">
      <c r="A3428" s="1">
        <v>39569</v>
      </c>
      <c r="B3428" t="s">
        <v>22</v>
      </c>
      <c r="C3428" t="s">
        <v>6</v>
      </c>
      <c r="D3428">
        <v>18</v>
      </c>
      <c r="E3428" s="2">
        <v>1.8993055555555555E-2</v>
      </c>
      <c r="F3428">
        <v>27.35</v>
      </c>
    </row>
    <row r="3429" spans="1:6" x14ac:dyDescent="0.25">
      <c r="A3429" s="1">
        <v>39569</v>
      </c>
      <c r="B3429" t="s">
        <v>22</v>
      </c>
      <c r="C3429" t="s">
        <v>7</v>
      </c>
      <c r="D3429">
        <v>5</v>
      </c>
      <c r="E3429" s="2">
        <v>5.138888888888889E-3</v>
      </c>
      <c r="F3429">
        <v>7.4</v>
      </c>
    </row>
    <row r="3430" spans="1:6" x14ac:dyDescent="0.25">
      <c r="A3430" s="1">
        <v>39569</v>
      </c>
      <c r="B3430" t="s">
        <v>22</v>
      </c>
      <c r="C3430" t="s">
        <v>8</v>
      </c>
      <c r="D3430">
        <v>7</v>
      </c>
      <c r="E3430" s="2">
        <v>9.6296296296296303E-3</v>
      </c>
      <c r="F3430">
        <v>13.866666666666667</v>
      </c>
    </row>
    <row r="3431" spans="1:6" x14ac:dyDescent="0.25">
      <c r="A3431" s="1">
        <v>39569</v>
      </c>
      <c r="B3431" t="s">
        <v>22</v>
      </c>
      <c r="C3431" t="s">
        <v>9</v>
      </c>
      <c r="D3431">
        <v>3</v>
      </c>
      <c r="E3431" s="2">
        <v>1.6550925925925926E-3</v>
      </c>
      <c r="F3431">
        <v>2.3833333333333333</v>
      </c>
    </row>
    <row r="3432" spans="1:6" x14ac:dyDescent="0.25">
      <c r="A3432" s="1">
        <v>39569</v>
      </c>
      <c r="B3432" t="s">
        <v>22</v>
      </c>
      <c r="C3432" t="s">
        <v>10</v>
      </c>
      <c r="D3432">
        <v>1</v>
      </c>
      <c r="E3432" s="2">
        <v>9.4907407407407408E-4</v>
      </c>
      <c r="F3432">
        <v>1.3666666666666667</v>
      </c>
    </row>
    <row r="3433" spans="1:6" x14ac:dyDescent="0.25">
      <c r="A3433" s="1">
        <v>39569</v>
      </c>
      <c r="B3433" t="s">
        <v>22</v>
      </c>
      <c r="C3433" t="s">
        <v>11</v>
      </c>
      <c r="D3433">
        <v>1</v>
      </c>
      <c r="E3433" s="2">
        <v>6.134259259259259E-4</v>
      </c>
      <c r="F3433">
        <v>0.8833333333333333</v>
      </c>
    </row>
    <row r="3434" spans="1:6" x14ac:dyDescent="0.25">
      <c r="A3434" s="1">
        <v>39569</v>
      </c>
      <c r="B3434" t="s">
        <v>23</v>
      </c>
      <c r="C3434" t="s">
        <v>6</v>
      </c>
      <c r="D3434">
        <v>147</v>
      </c>
      <c r="E3434" s="2">
        <v>0.15086805555555555</v>
      </c>
      <c r="F3434">
        <v>217.25</v>
      </c>
    </row>
    <row r="3435" spans="1:6" x14ac:dyDescent="0.25">
      <c r="A3435" s="1">
        <v>39569</v>
      </c>
      <c r="B3435" t="s">
        <v>23</v>
      </c>
      <c r="C3435" t="s">
        <v>7</v>
      </c>
      <c r="D3435">
        <v>119</v>
      </c>
      <c r="E3435" s="2">
        <v>0.12094907407407407</v>
      </c>
      <c r="F3435">
        <v>174.16666666666666</v>
      </c>
    </row>
    <row r="3436" spans="1:6" x14ac:dyDescent="0.25">
      <c r="A3436" s="1">
        <v>39569</v>
      </c>
      <c r="B3436" t="s">
        <v>23</v>
      </c>
      <c r="C3436" t="s">
        <v>8</v>
      </c>
      <c r="D3436">
        <v>75</v>
      </c>
      <c r="E3436" s="2">
        <v>9.0740740740740747E-2</v>
      </c>
      <c r="F3436">
        <v>130.66666666666666</v>
      </c>
    </row>
    <row r="3437" spans="1:6" x14ac:dyDescent="0.25">
      <c r="A3437" s="1">
        <v>39569</v>
      </c>
      <c r="B3437" t="s">
        <v>23</v>
      </c>
      <c r="C3437" t="s">
        <v>9</v>
      </c>
      <c r="D3437">
        <v>51</v>
      </c>
      <c r="E3437" s="2">
        <v>3.5300925925925923E-2</v>
      </c>
      <c r="F3437">
        <v>50.833333333333336</v>
      </c>
    </row>
    <row r="3438" spans="1:6" x14ac:dyDescent="0.25">
      <c r="A3438" s="1">
        <v>39569</v>
      </c>
      <c r="B3438" t="s">
        <v>23</v>
      </c>
      <c r="C3438" t="s">
        <v>10</v>
      </c>
      <c r="D3438">
        <v>32</v>
      </c>
      <c r="E3438" s="2">
        <v>2.8067129629629629E-2</v>
      </c>
      <c r="F3438">
        <v>40.416666666666664</v>
      </c>
    </row>
    <row r="3439" spans="1:6" x14ac:dyDescent="0.25">
      <c r="A3439" s="1">
        <v>39569</v>
      </c>
      <c r="B3439" t="s">
        <v>23</v>
      </c>
      <c r="C3439" t="s">
        <v>11</v>
      </c>
      <c r="D3439">
        <v>40</v>
      </c>
      <c r="E3439" s="2">
        <v>3.1365740740740743E-2</v>
      </c>
      <c r="F3439">
        <v>45.166666666666664</v>
      </c>
    </row>
    <row r="3440" spans="1:6" x14ac:dyDescent="0.25">
      <c r="A3440" s="1">
        <v>39569</v>
      </c>
      <c r="B3440" t="s">
        <v>24</v>
      </c>
      <c r="C3440" t="s">
        <v>6</v>
      </c>
      <c r="D3440">
        <v>69</v>
      </c>
      <c r="E3440" s="2">
        <v>5.9525462962962961E-2</v>
      </c>
      <c r="F3440">
        <v>85.716666666666669</v>
      </c>
    </row>
    <row r="3441" spans="1:6" x14ac:dyDescent="0.25">
      <c r="A3441" s="1">
        <v>39569</v>
      </c>
      <c r="B3441" t="s">
        <v>24</v>
      </c>
      <c r="C3441" t="s">
        <v>7</v>
      </c>
      <c r="D3441">
        <v>56</v>
      </c>
      <c r="E3441" s="2">
        <v>4.5185185185185182E-2</v>
      </c>
      <c r="F3441">
        <v>65.066666666666663</v>
      </c>
    </row>
    <row r="3442" spans="1:6" x14ac:dyDescent="0.25">
      <c r="A3442" s="1">
        <v>39569</v>
      </c>
      <c r="B3442" t="s">
        <v>24</v>
      </c>
      <c r="C3442" t="s">
        <v>8</v>
      </c>
      <c r="D3442">
        <v>28</v>
      </c>
      <c r="E3442" s="2">
        <v>2.5844907407407407E-2</v>
      </c>
      <c r="F3442">
        <v>37.216666666666669</v>
      </c>
    </row>
    <row r="3443" spans="1:6" x14ac:dyDescent="0.25">
      <c r="A3443" s="1">
        <v>39569</v>
      </c>
      <c r="B3443" t="s">
        <v>24</v>
      </c>
      <c r="C3443" t="s">
        <v>9</v>
      </c>
      <c r="D3443">
        <v>22</v>
      </c>
      <c r="E3443" s="2">
        <v>1.2974537037037038E-2</v>
      </c>
      <c r="F3443">
        <v>18.683333333333334</v>
      </c>
    </row>
    <row r="3444" spans="1:6" x14ac:dyDescent="0.25">
      <c r="A3444" s="1">
        <v>39569</v>
      </c>
      <c r="B3444" t="s">
        <v>24</v>
      </c>
      <c r="C3444" t="s">
        <v>10</v>
      </c>
      <c r="D3444">
        <v>6</v>
      </c>
      <c r="E3444" s="2">
        <v>5.5208333333333333E-3</v>
      </c>
      <c r="F3444">
        <v>7.95</v>
      </c>
    </row>
    <row r="3445" spans="1:6" x14ac:dyDescent="0.25">
      <c r="A3445" s="1">
        <v>39569</v>
      </c>
      <c r="B3445" t="s">
        <v>24</v>
      </c>
      <c r="C3445" t="s">
        <v>11</v>
      </c>
      <c r="D3445">
        <v>34</v>
      </c>
      <c r="E3445" s="2">
        <v>2.4166666666666666E-2</v>
      </c>
      <c r="F3445">
        <v>34.799999999999997</v>
      </c>
    </row>
    <row r="3446" spans="1:6" x14ac:dyDescent="0.25">
      <c r="A3446" s="1">
        <v>39600</v>
      </c>
      <c r="B3446" t="s">
        <v>5</v>
      </c>
      <c r="C3446" t="s">
        <v>6</v>
      </c>
      <c r="D3446">
        <v>56</v>
      </c>
      <c r="E3446" s="2">
        <v>3.5034722222222224E-2</v>
      </c>
      <c r="F3446">
        <v>50.45</v>
      </c>
    </row>
    <row r="3447" spans="1:6" x14ac:dyDescent="0.25">
      <c r="A3447" s="1">
        <v>39600</v>
      </c>
      <c r="B3447" t="s">
        <v>5</v>
      </c>
      <c r="C3447" t="s">
        <v>7</v>
      </c>
      <c r="D3447">
        <v>45</v>
      </c>
      <c r="E3447" s="2">
        <v>4.0219907407407406E-2</v>
      </c>
      <c r="F3447">
        <v>57.916666666666664</v>
      </c>
    </row>
    <row r="3448" spans="1:6" x14ac:dyDescent="0.25">
      <c r="A3448" s="1">
        <v>39600</v>
      </c>
      <c r="B3448" t="s">
        <v>5</v>
      </c>
      <c r="C3448" t="s">
        <v>8</v>
      </c>
      <c r="D3448">
        <v>20</v>
      </c>
      <c r="E3448" s="2">
        <v>1.6944444444444446E-2</v>
      </c>
      <c r="F3448">
        <v>24.4</v>
      </c>
    </row>
    <row r="3449" spans="1:6" x14ac:dyDescent="0.25">
      <c r="A3449" s="1">
        <v>39600</v>
      </c>
      <c r="B3449" t="s">
        <v>5</v>
      </c>
      <c r="C3449" t="s">
        <v>9</v>
      </c>
      <c r="D3449">
        <v>19</v>
      </c>
      <c r="E3449" s="2">
        <v>9.8495370370370369E-3</v>
      </c>
      <c r="F3449">
        <v>14.183333333333334</v>
      </c>
    </row>
    <row r="3450" spans="1:6" x14ac:dyDescent="0.25">
      <c r="A3450" s="1">
        <v>39600</v>
      </c>
      <c r="B3450" t="s">
        <v>5</v>
      </c>
      <c r="C3450" t="s">
        <v>10</v>
      </c>
      <c r="D3450">
        <v>17</v>
      </c>
      <c r="E3450" s="2">
        <v>1.2210648148148148E-2</v>
      </c>
      <c r="F3450">
        <v>17.583333333333332</v>
      </c>
    </row>
    <row r="3451" spans="1:6" x14ac:dyDescent="0.25">
      <c r="A3451" s="1">
        <v>39600</v>
      </c>
      <c r="B3451" t="s">
        <v>5</v>
      </c>
      <c r="C3451" t="s">
        <v>11</v>
      </c>
      <c r="D3451">
        <v>19</v>
      </c>
      <c r="E3451" s="2">
        <v>1.2673611111111111E-2</v>
      </c>
      <c r="F3451">
        <v>18.25</v>
      </c>
    </row>
    <row r="3452" spans="1:6" x14ac:dyDescent="0.25">
      <c r="A3452" s="1">
        <v>39600</v>
      </c>
      <c r="B3452" t="s">
        <v>12</v>
      </c>
      <c r="C3452" t="s">
        <v>6</v>
      </c>
      <c r="D3452">
        <v>40</v>
      </c>
      <c r="E3452" s="2">
        <v>3.9629629629629633E-2</v>
      </c>
      <c r="F3452">
        <v>57.06666666666667</v>
      </c>
    </row>
    <row r="3453" spans="1:6" x14ac:dyDescent="0.25">
      <c r="A3453" s="1">
        <v>39600</v>
      </c>
      <c r="B3453" t="s">
        <v>12</v>
      </c>
      <c r="C3453" t="s">
        <v>7</v>
      </c>
      <c r="D3453">
        <v>69</v>
      </c>
      <c r="E3453" s="2">
        <v>9.5081018518518523E-2</v>
      </c>
      <c r="F3453">
        <v>136.91666666666666</v>
      </c>
    </row>
    <row r="3454" spans="1:6" x14ac:dyDescent="0.25">
      <c r="A3454" s="1">
        <v>39600</v>
      </c>
      <c r="B3454" t="s">
        <v>12</v>
      </c>
      <c r="C3454" t="s">
        <v>8</v>
      </c>
      <c r="D3454">
        <v>32</v>
      </c>
      <c r="E3454" s="2">
        <v>4.8715277777777781E-2</v>
      </c>
      <c r="F3454">
        <v>70.150000000000006</v>
      </c>
    </row>
    <row r="3455" spans="1:6" x14ac:dyDescent="0.25">
      <c r="A3455" s="1">
        <v>39600</v>
      </c>
      <c r="B3455" t="s">
        <v>12</v>
      </c>
      <c r="C3455" t="s">
        <v>9</v>
      </c>
      <c r="D3455">
        <v>16</v>
      </c>
      <c r="E3455" s="2">
        <v>1.2164351851851852E-2</v>
      </c>
      <c r="F3455">
        <v>17.516666666666666</v>
      </c>
    </row>
    <row r="3456" spans="1:6" x14ac:dyDescent="0.25">
      <c r="A3456" s="1">
        <v>39600</v>
      </c>
      <c r="B3456" t="s">
        <v>12</v>
      </c>
      <c r="C3456" t="s">
        <v>10</v>
      </c>
      <c r="D3456">
        <v>8</v>
      </c>
      <c r="E3456" s="2">
        <v>9.3981481481481485E-3</v>
      </c>
      <c r="F3456">
        <v>13.533333333333333</v>
      </c>
    </row>
    <row r="3457" spans="1:6" x14ac:dyDescent="0.25">
      <c r="A3457" s="1">
        <v>39600</v>
      </c>
      <c r="B3457" t="s">
        <v>12</v>
      </c>
      <c r="C3457" t="s">
        <v>11</v>
      </c>
      <c r="D3457">
        <v>21</v>
      </c>
      <c r="E3457" s="2">
        <v>1.9293981481481481E-2</v>
      </c>
      <c r="F3457">
        <v>27.783333333333335</v>
      </c>
    </row>
    <row r="3458" spans="1:6" x14ac:dyDescent="0.25">
      <c r="A3458" s="1">
        <v>39600</v>
      </c>
      <c r="B3458" t="s">
        <v>13</v>
      </c>
      <c r="C3458" t="s">
        <v>6</v>
      </c>
      <c r="D3458">
        <v>79</v>
      </c>
      <c r="E3458" s="2">
        <v>8.160879629629629E-2</v>
      </c>
      <c r="F3458">
        <v>117.51666666666667</v>
      </c>
    </row>
    <row r="3459" spans="1:6" x14ac:dyDescent="0.25">
      <c r="A3459" s="1">
        <v>39600</v>
      </c>
      <c r="B3459" t="s">
        <v>13</v>
      </c>
      <c r="C3459" t="s">
        <v>7</v>
      </c>
      <c r="D3459">
        <v>62</v>
      </c>
      <c r="E3459" s="2">
        <v>5.935185185185185E-2</v>
      </c>
      <c r="F3459">
        <v>85.466666666666669</v>
      </c>
    </row>
    <row r="3460" spans="1:6" x14ac:dyDescent="0.25">
      <c r="A3460" s="1">
        <v>39600</v>
      </c>
      <c r="B3460" t="s">
        <v>13</v>
      </c>
      <c r="C3460" t="s">
        <v>8</v>
      </c>
      <c r="D3460">
        <v>50</v>
      </c>
      <c r="E3460" s="2">
        <v>6.5613425925925922E-2</v>
      </c>
      <c r="F3460">
        <v>94.483333333333334</v>
      </c>
    </row>
    <row r="3461" spans="1:6" x14ac:dyDescent="0.25">
      <c r="A3461" s="1">
        <v>39600</v>
      </c>
      <c r="B3461" t="s">
        <v>13</v>
      </c>
      <c r="C3461" t="s">
        <v>9</v>
      </c>
      <c r="D3461">
        <v>25</v>
      </c>
      <c r="E3461" s="2">
        <v>1.8993055555555555E-2</v>
      </c>
      <c r="F3461">
        <v>27.35</v>
      </c>
    </row>
    <row r="3462" spans="1:6" x14ac:dyDescent="0.25">
      <c r="A3462" s="1">
        <v>39600</v>
      </c>
      <c r="B3462" t="s">
        <v>13</v>
      </c>
      <c r="C3462" t="s">
        <v>10</v>
      </c>
      <c r="D3462">
        <v>23</v>
      </c>
      <c r="E3462" s="2">
        <v>2.3865740740740739E-2</v>
      </c>
      <c r="F3462">
        <v>34.366666666666667</v>
      </c>
    </row>
    <row r="3463" spans="1:6" x14ac:dyDescent="0.25">
      <c r="A3463" s="1">
        <v>39600</v>
      </c>
      <c r="B3463" t="s">
        <v>13</v>
      </c>
      <c r="C3463" t="s">
        <v>11</v>
      </c>
      <c r="D3463">
        <v>18</v>
      </c>
      <c r="E3463" s="2">
        <v>1.1666666666666667E-2</v>
      </c>
      <c r="F3463">
        <v>16.8</v>
      </c>
    </row>
    <row r="3464" spans="1:6" x14ac:dyDescent="0.25">
      <c r="A3464" s="1">
        <v>39600</v>
      </c>
      <c r="B3464" t="s">
        <v>14</v>
      </c>
      <c r="C3464" t="s">
        <v>6</v>
      </c>
      <c r="D3464">
        <v>19</v>
      </c>
      <c r="E3464" s="2">
        <v>2.0416666666666666E-2</v>
      </c>
      <c r="F3464">
        <v>29.4</v>
      </c>
    </row>
    <row r="3465" spans="1:6" x14ac:dyDescent="0.25">
      <c r="A3465" s="1">
        <v>39600</v>
      </c>
      <c r="B3465" t="s">
        <v>14</v>
      </c>
      <c r="C3465" t="s">
        <v>7</v>
      </c>
      <c r="D3465">
        <v>23</v>
      </c>
      <c r="E3465" s="2">
        <v>3.2916666666666664E-2</v>
      </c>
      <c r="F3465">
        <v>47.4</v>
      </c>
    </row>
    <row r="3466" spans="1:6" x14ac:dyDescent="0.25">
      <c r="A3466" s="1">
        <v>39600</v>
      </c>
      <c r="B3466" t="s">
        <v>14</v>
      </c>
      <c r="C3466" t="s">
        <v>8</v>
      </c>
      <c r="D3466">
        <v>16</v>
      </c>
      <c r="E3466" s="2">
        <v>3.0208333333333334E-2</v>
      </c>
      <c r="F3466">
        <v>43.5</v>
      </c>
    </row>
    <row r="3467" spans="1:6" x14ac:dyDescent="0.25">
      <c r="A3467" s="1">
        <v>39600</v>
      </c>
      <c r="B3467" t="s">
        <v>14</v>
      </c>
      <c r="C3467" t="s">
        <v>9</v>
      </c>
      <c r="D3467">
        <v>7</v>
      </c>
      <c r="E3467" s="2">
        <v>5.4282407407407404E-3</v>
      </c>
      <c r="F3467">
        <v>7.8166666666666664</v>
      </c>
    </row>
    <row r="3468" spans="1:6" x14ac:dyDescent="0.25">
      <c r="A3468" s="1">
        <v>39600</v>
      </c>
      <c r="B3468" t="s">
        <v>14</v>
      </c>
      <c r="C3468" t="s">
        <v>10</v>
      </c>
      <c r="D3468">
        <v>5</v>
      </c>
      <c r="E3468" s="2">
        <v>4.3055555555555555E-3</v>
      </c>
      <c r="F3468">
        <v>6.2</v>
      </c>
    </row>
    <row r="3469" spans="1:6" x14ac:dyDescent="0.25">
      <c r="A3469" s="1">
        <v>39600</v>
      </c>
      <c r="B3469" t="s">
        <v>14</v>
      </c>
      <c r="C3469" t="s">
        <v>11</v>
      </c>
      <c r="D3469">
        <v>12</v>
      </c>
      <c r="E3469" s="2">
        <v>9.2476851851851852E-3</v>
      </c>
      <c r="F3469">
        <v>13.316666666666666</v>
      </c>
    </row>
    <row r="3470" spans="1:6" x14ac:dyDescent="0.25">
      <c r="A3470" s="1">
        <v>39600</v>
      </c>
      <c r="B3470" t="s">
        <v>15</v>
      </c>
      <c r="C3470" t="s">
        <v>6</v>
      </c>
      <c r="D3470">
        <v>34</v>
      </c>
      <c r="E3470" s="2">
        <v>3.8634259259259257E-2</v>
      </c>
      <c r="F3470">
        <v>55.633333333333333</v>
      </c>
    </row>
    <row r="3471" spans="1:6" x14ac:dyDescent="0.25">
      <c r="A3471" s="1">
        <v>39600</v>
      </c>
      <c r="B3471" t="s">
        <v>15</v>
      </c>
      <c r="C3471" t="s">
        <v>7</v>
      </c>
      <c r="D3471">
        <v>20</v>
      </c>
      <c r="E3471" s="2">
        <v>2.7719907407407408E-2</v>
      </c>
      <c r="F3471">
        <v>39.916666666666664</v>
      </c>
    </row>
    <row r="3472" spans="1:6" x14ac:dyDescent="0.25">
      <c r="A3472" s="1">
        <v>39600</v>
      </c>
      <c r="B3472" t="s">
        <v>15</v>
      </c>
      <c r="C3472" t="s">
        <v>8</v>
      </c>
      <c r="D3472">
        <v>5</v>
      </c>
      <c r="E3472" s="2">
        <v>6.3541666666666668E-3</v>
      </c>
      <c r="F3472">
        <v>9.15</v>
      </c>
    </row>
    <row r="3473" spans="1:6" x14ac:dyDescent="0.25">
      <c r="A3473" s="1">
        <v>39600</v>
      </c>
      <c r="B3473" t="s">
        <v>15</v>
      </c>
      <c r="C3473" t="s">
        <v>9</v>
      </c>
      <c r="D3473">
        <v>4</v>
      </c>
      <c r="E3473" s="2">
        <v>3.0787037037037037E-3</v>
      </c>
      <c r="F3473">
        <v>4.4333333333333336</v>
      </c>
    </row>
    <row r="3474" spans="1:6" x14ac:dyDescent="0.25">
      <c r="A3474" s="1">
        <v>39600</v>
      </c>
      <c r="B3474" t="s">
        <v>15</v>
      </c>
      <c r="C3474" t="s">
        <v>10</v>
      </c>
      <c r="D3474">
        <v>13</v>
      </c>
      <c r="E3474" s="2">
        <v>7.3379629629629628E-3</v>
      </c>
      <c r="F3474">
        <v>10.566666666666666</v>
      </c>
    </row>
    <row r="3475" spans="1:6" x14ac:dyDescent="0.25">
      <c r="A3475" s="1">
        <v>39600</v>
      </c>
      <c r="B3475" t="s">
        <v>15</v>
      </c>
      <c r="C3475" t="s">
        <v>11</v>
      </c>
      <c r="D3475">
        <v>1</v>
      </c>
      <c r="E3475" s="2">
        <v>6.018518518518519E-4</v>
      </c>
      <c r="F3475">
        <v>0.8666666666666667</v>
      </c>
    </row>
    <row r="3476" spans="1:6" x14ac:dyDescent="0.25">
      <c r="A3476" s="1">
        <v>39600</v>
      </c>
      <c r="B3476" t="s">
        <v>16</v>
      </c>
      <c r="C3476" t="s">
        <v>6</v>
      </c>
      <c r="D3476">
        <v>20</v>
      </c>
      <c r="E3476" s="2">
        <v>1.8877314814814816E-2</v>
      </c>
      <c r="F3476">
        <v>27.183333333333334</v>
      </c>
    </row>
    <row r="3477" spans="1:6" x14ac:dyDescent="0.25">
      <c r="A3477" s="1">
        <v>39600</v>
      </c>
      <c r="B3477" t="s">
        <v>16</v>
      </c>
      <c r="C3477" t="s">
        <v>7</v>
      </c>
      <c r="D3477">
        <v>39</v>
      </c>
      <c r="E3477" s="2">
        <v>3.6307870370370372E-2</v>
      </c>
      <c r="F3477">
        <v>52.283333333333331</v>
      </c>
    </row>
    <row r="3478" spans="1:6" x14ac:dyDescent="0.25">
      <c r="A3478" s="1">
        <v>39600</v>
      </c>
      <c r="B3478" t="s">
        <v>16</v>
      </c>
      <c r="C3478" t="s">
        <v>8</v>
      </c>
      <c r="D3478">
        <v>19</v>
      </c>
      <c r="E3478" s="2">
        <v>2.1307870370370369E-2</v>
      </c>
      <c r="F3478">
        <v>30.683333333333334</v>
      </c>
    </row>
    <row r="3479" spans="1:6" x14ac:dyDescent="0.25">
      <c r="A3479" s="1">
        <v>39600</v>
      </c>
      <c r="B3479" t="s">
        <v>16</v>
      </c>
      <c r="C3479" t="s">
        <v>9</v>
      </c>
      <c r="D3479">
        <v>17</v>
      </c>
      <c r="E3479" s="2">
        <v>1.0532407407407407E-2</v>
      </c>
      <c r="F3479">
        <v>15.166666666666666</v>
      </c>
    </row>
    <row r="3480" spans="1:6" x14ac:dyDescent="0.25">
      <c r="A3480" s="1">
        <v>39600</v>
      </c>
      <c r="B3480" t="s">
        <v>16</v>
      </c>
      <c r="C3480" t="s">
        <v>10</v>
      </c>
      <c r="D3480">
        <v>5</v>
      </c>
      <c r="E3480" s="2">
        <v>2.3032407407407407E-3</v>
      </c>
      <c r="F3480">
        <v>3.3166666666666664</v>
      </c>
    </row>
    <row r="3481" spans="1:6" x14ac:dyDescent="0.25">
      <c r="A3481" s="1">
        <v>39600</v>
      </c>
      <c r="B3481" t="s">
        <v>16</v>
      </c>
      <c r="C3481" t="s">
        <v>11</v>
      </c>
      <c r="D3481">
        <v>21</v>
      </c>
      <c r="E3481" s="2">
        <v>1.667824074074074E-2</v>
      </c>
      <c r="F3481">
        <v>24.016666666666666</v>
      </c>
    </row>
    <row r="3482" spans="1:6" x14ac:dyDescent="0.25">
      <c r="A3482" s="1">
        <v>39600</v>
      </c>
      <c r="B3482" t="s">
        <v>17</v>
      </c>
      <c r="C3482" t="s">
        <v>6</v>
      </c>
      <c r="D3482">
        <v>13</v>
      </c>
      <c r="E3482" s="2">
        <v>1.1689814814814814E-2</v>
      </c>
      <c r="F3482">
        <v>16.833333333333332</v>
      </c>
    </row>
    <row r="3483" spans="1:6" x14ac:dyDescent="0.25">
      <c r="A3483" s="1">
        <v>39600</v>
      </c>
      <c r="B3483" t="s">
        <v>17</v>
      </c>
      <c r="C3483" t="s">
        <v>7</v>
      </c>
      <c r="D3483">
        <v>7</v>
      </c>
      <c r="E3483" s="2">
        <v>8.8310185185185193E-3</v>
      </c>
      <c r="F3483">
        <v>12.716666666666667</v>
      </c>
    </row>
    <row r="3484" spans="1:6" x14ac:dyDescent="0.25">
      <c r="A3484" s="1">
        <v>39600</v>
      </c>
      <c r="B3484" t="s">
        <v>17</v>
      </c>
      <c r="C3484" t="s">
        <v>8</v>
      </c>
      <c r="D3484">
        <v>4</v>
      </c>
      <c r="E3484" s="2">
        <v>3.8773148148148148E-3</v>
      </c>
      <c r="F3484">
        <v>5.583333333333333</v>
      </c>
    </row>
    <row r="3485" spans="1:6" x14ac:dyDescent="0.25">
      <c r="A3485" s="1">
        <v>39600</v>
      </c>
      <c r="B3485" t="s">
        <v>17</v>
      </c>
      <c r="C3485" t="s">
        <v>9</v>
      </c>
      <c r="D3485">
        <v>6</v>
      </c>
      <c r="E3485" s="2">
        <v>5.4166666666666669E-3</v>
      </c>
      <c r="F3485">
        <v>7.8</v>
      </c>
    </row>
    <row r="3486" spans="1:6" x14ac:dyDescent="0.25">
      <c r="A3486" s="1">
        <v>39600</v>
      </c>
      <c r="B3486" t="s">
        <v>17</v>
      </c>
      <c r="C3486" t="s">
        <v>10</v>
      </c>
      <c r="D3486">
        <v>3</v>
      </c>
      <c r="E3486" s="2">
        <v>3.5532407407407409E-3</v>
      </c>
      <c r="F3486">
        <v>5.1166666666666663</v>
      </c>
    </row>
    <row r="3487" spans="1:6" x14ac:dyDescent="0.25">
      <c r="A3487" s="1">
        <v>39600</v>
      </c>
      <c r="B3487" t="s">
        <v>17</v>
      </c>
      <c r="C3487" t="s">
        <v>11</v>
      </c>
      <c r="D3487">
        <v>1</v>
      </c>
      <c r="E3487" s="2">
        <v>9.4907407407407408E-4</v>
      </c>
      <c r="F3487">
        <v>1.3666666666666667</v>
      </c>
    </row>
    <row r="3488" spans="1:6" x14ac:dyDescent="0.25">
      <c r="A3488" s="1">
        <v>39600</v>
      </c>
      <c r="B3488" t="s">
        <v>18</v>
      </c>
      <c r="C3488" t="s">
        <v>6</v>
      </c>
      <c r="D3488">
        <v>64</v>
      </c>
      <c r="E3488" s="2">
        <v>5.6886574074074076E-2</v>
      </c>
      <c r="F3488">
        <v>81.916666666666671</v>
      </c>
    </row>
    <row r="3489" spans="1:6" x14ac:dyDescent="0.25">
      <c r="A3489" s="1">
        <v>39600</v>
      </c>
      <c r="B3489" t="s">
        <v>18</v>
      </c>
      <c r="C3489" t="s">
        <v>7</v>
      </c>
      <c r="D3489">
        <v>96</v>
      </c>
      <c r="E3489" s="2">
        <v>7.8726851851851853E-2</v>
      </c>
      <c r="F3489">
        <v>113.36666666666666</v>
      </c>
    </row>
    <row r="3490" spans="1:6" x14ac:dyDescent="0.25">
      <c r="A3490" s="1">
        <v>39600</v>
      </c>
      <c r="B3490" t="s">
        <v>18</v>
      </c>
      <c r="C3490" t="s">
        <v>8</v>
      </c>
      <c r="D3490">
        <v>61</v>
      </c>
      <c r="E3490" s="2">
        <v>6.7488425925925924E-2</v>
      </c>
      <c r="F3490">
        <v>97.183333333333337</v>
      </c>
    </row>
    <row r="3491" spans="1:6" x14ac:dyDescent="0.25">
      <c r="A3491" s="1">
        <v>39600</v>
      </c>
      <c r="B3491" t="s">
        <v>18</v>
      </c>
      <c r="C3491" t="s">
        <v>9</v>
      </c>
      <c r="D3491">
        <v>69</v>
      </c>
      <c r="E3491" s="2">
        <v>4.2719907407407408E-2</v>
      </c>
      <c r="F3491">
        <v>61.516666666666666</v>
      </c>
    </row>
    <row r="3492" spans="1:6" x14ac:dyDescent="0.25">
      <c r="A3492" s="1">
        <v>39600</v>
      </c>
      <c r="B3492" t="s">
        <v>18</v>
      </c>
      <c r="C3492" t="s">
        <v>10</v>
      </c>
      <c r="D3492">
        <v>150</v>
      </c>
      <c r="E3492" s="2">
        <v>0.13467592592592592</v>
      </c>
      <c r="F3492">
        <v>193.93333333333334</v>
      </c>
    </row>
    <row r="3493" spans="1:6" x14ac:dyDescent="0.25">
      <c r="A3493" s="1">
        <v>39600</v>
      </c>
      <c r="B3493" t="s">
        <v>18</v>
      </c>
      <c r="C3493" t="s">
        <v>11</v>
      </c>
      <c r="D3493">
        <v>17</v>
      </c>
      <c r="E3493" s="2">
        <v>1.3935185185185186E-2</v>
      </c>
      <c r="F3493">
        <v>20.066666666666666</v>
      </c>
    </row>
    <row r="3494" spans="1:6" x14ac:dyDescent="0.25">
      <c r="A3494" s="1">
        <v>39600</v>
      </c>
      <c r="B3494" t="s">
        <v>19</v>
      </c>
      <c r="C3494" t="s">
        <v>6</v>
      </c>
      <c r="D3494">
        <v>32</v>
      </c>
      <c r="E3494" s="2">
        <v>2.5416666666666667E-2</v>
      </c>
      <c r="F3494">
        <v>36.6</v>
      </c>
    </row>
    <row r="3495" spans="1:6" x14ac:dyDescent="0.25">
      <c r="A3495" s="1">
        <v>39600</v>
      </c>
      <c r="B3495" t="s">
        <v>19</v>
      </c>
      <c r="C3495" t="s">
        <v>7</v>
      </c>
      <c r="D3495">
        <v>23</v>
      </c>
      <c r="E3495" s="2">
        <v>2.0671296296296295E-2</v>
      </c>
      <c r="F3495">
        <v>29.766666666666666</v>
      </c>
    </row>
    <row r="3496" spans="1:6" x14ac:dyDescent="0.25">
      <c r="A3496" s="1">
        <v>39600</v>
      </c>
      <c r="B3496" t="s">
        <v>19</v>
      </c>
      <c r="C3496" t="s">
        <v>8</v>
      </c>
      <c r="D3496">
        <v>25</v>
      </c>
      <c r="E3496" s="2">
        <v>2.8576388888888887E-2</v>
      </c>
      <c r="F3496">
        <v>41.15</v>
      </c>
    </row>
    <row r="3497" spans="1:6" x14ac:dyDescent="0.25">
      <c r="A3497" s="1">
        <v>39600</v>
      </c>
      <c r="B3497" t="s">
        <v>19</v>
      </c>
      <c r="C3497" t="s">
        <v>9</v>
      </c>
      <c r="D3497">
        <v>17</v>
      </c>
      <c r="E3497" s="2">
        <v>9.1666666666666667E-3</v>
      </c>
      <c r="F3497">
        <v>13.2</v>
      </c>
    </row>
    <row r="3498" spans="1:6" x14ac:dyDescent="0.25">
      <c r="A3498" s="1">
        <v>39600</v>
      </c>
      <c r="B3498" t="s">
        <v>19</v>
      </c>
      <c r="C3498" t="s">
        <v>10</v>
      </c>
      <c r="D3498">
        <v>9</v>
      </c>
      <c r="E3498" s="2">
        <v>6.3194444444444444E-3</v>
      </c>
      <c r="F3498">
        <v>9.1</v>
      </c>
    </row>
    <row r="3499" spans="1:6" x14ac:dyDescent="0.25">
      <c r="A3499" s="1">
        <v>39600</v>
      </c>
      <c r="B3499" t="s">
        <v>19</v>
      </c>
      <c r="C3499" t="s">
        <v>11</v>
      </c>
      <c r="D3499">
        <v>19</v>
      </c>
      <c r="E3499" s="2">
        <v>1.1875E-2</v>
      </c>
      <c r="F3499">
        <v>17.100000000000001</v>
      </c>
    </row>
    <row r="3500" spans="1:6" x14ac:dyDescent="0.25">
      <c r="A3500" s="1">
        <v>39600</v>
      </c>
      <c r="B3500" t="s">
        <v>20</v>
      </c>
      <c r="C3500" t="s">
        <v>6</v>
      </c>
      <c r="D3500">
        <v>25</v>
      </c>
      <c r="E3500" s="2">
        <v>2.9085648148148149E-2</v>
      </c>
      <c r="F3500">
        <v>41.883333333333333</v>
      </c>
    </row>
    <row r="3501" spans="1:6" x14ac:dyDescent="0.25">
      <c r="A3501" s="1">
        <v>39600</v>
      </c>
      <c r="B3501" t="s">
        <v>20</v>
      </c>
      <c r="C3501" t="s">
        <v>7</v>
      </c>
      <c r="D3501">
        <v>29</v>
      </c>
      <c r="E3501" s="2">
        <v>3.0011574074074072E-2</v>
      </c>
      <c r="F3501">
        <v>43.216666666666669</v>
      </c>
    </row>
    <row r="3502" spans="1:6" x14ac:dyDescent="0.25">
      <c r="A3502" s="1">
        <v>39600</v>
      </c>
      <c r="B3502" t="s">
        <v>20</v>
      </c>
      <c r="C3502" t="s">
        <v>8</v>
      </c>
      <c r="D3502">
        <v>23</v>
      </c>
      <c r="E3502" s="2">
        <v>3.0914351851851853E-2</v>
      </c>
      <c r="F3502">
        <v>44.516666666666666</v>
      </c>
    </row>
    <row r="3503" spans="1:6" x14ac:dyDescent="0.25">
      <c r="A3503" s="1">
        <v>39600</v>
      </c>
      <c r="B3503" t="s">
        <v>20</v>
      </c>
      <c r="C3503" t="s">
        <v>9</v>
      </c>
      <c r="D3503">
        <v>11</v>
      </c>
      <c r="E3503" s="2">
        <v>7.7199074074074071E-3</v>
      </c>
      <c r="F3503">
        <v>11.116666666666667</v>
      </c>
    </row>
    <row r="3504" spans="1:6" x14ac:dyDescent="0.25">
      <c r="A3504" s="1">
        <v>39600</v>
      </c>
      <c r="B3504" t="s">
        <v>20</v>
      </c>
      <c r="C3504" t="s">
        <v>10</v>
      </c>
      <c r="D3504">
        <v>6</v>
      </c>
      <c r="E3504" s="2">
        <v>9.8495370370370369E-3</v>
      </c>
      <c r="F3504">
        <v>14.183333333333334</v>
      </c>
    </row>
    <row r="3505" spans="1:6" x14ac:dyDescent="0.25">
      <c r="A3505" s="1">
        <v>39600</v>
      </c>
      <c r="B3505" t="s">
        <v>20</v>
      </c>
      <c r="C3505" t="s">
        <v>11</v>
      </c>
      <c r="D3505">
        <v>5</v>
      </c>
      <c r="E3505" s="2">
        <v>3.1712962962962962E-3</v>
      </c>
      <c r="F3505">
        <v>4.5666666666666664</v>
      </c>
    </row>
    <row r="3506" spans="1:6" x14ac:dyDescent="0.25">
      <c r="A3506" s="1">
        <v>39600</v>
      </c>
      <c r="B3506" t="s">
        <v>21</v>
      </c>
      <c r="C3506" t="s">
        <v>6</v>
      </c>
      <c r="D3506">
        <v>24</v>
      </c>
      <c r="E3506" s="2">
        <v>2.5266203703703704E-2</v>
      </c>
      <c r="F3506">
        <v>36.383333333333333</v>
      </c>
    </row>
    <row r="3507" spans="1:6" x14ac:dyDescent="0.25">
      <c r="A3507" s="1">
        <v>39600</v>
      </c>
      <c r="B3507" t="s">
        <v>21</v>
      </c>
      <c r="C3507" t="s">
        <v>7</v>
      </c>
      <c r="D3507">
        <v>15</v>
      </c>
      <c r="E3507" s="2">
        <v>1.8159722222222223E-2</v>
      </c>
      <c r="F3507">
        <v>26.15</v>
      </c>
    </row>
    <row r="3508" spans="1:6" x14ac:dyDescent="0.25">
      <c r="A3508" s="1">
        <v>39600</v>
      </c>
      <c r="B3508" t="s">
        <v>21</v>
      </c>
      <c r="C3508" t="s">
        <v>8</v>
      </c>
      <c r="D3508">
        <v>18</v>
      </c>
      <c r="E3508" s="2">
        <v>2.0868055555555556E-2</v>
      </c>
      <c r="F3508">
        <v>30.05</v>
      </c>
    </row>
    <row r="3509" spans="1:6" x14ac:dyDescent="0.25">
      <c r="A3509" s="1">
        <v>39600</v>
      </c>
      <c r="B3509" t="s">
        <v>21</v>
      </c>
      <c r="C3509" t="s">
        <v>9</v>
      </c>
      <c r="D3509">
        <v>7</v>
      </c>
      <c r="E3509" s="2">
        <v>3.8310185185185183E-3</v>
      </c>
      <c r="F3509">
        <v>5.5166666666666666</v>
      </c>
    </row>
    <row r="3510" spans="1:6" x14ac:dyDescent="0.25">
      <c r="A3510" s="1">
        <v>39600</v>
      </c>
      <c r="B3510" t="s">
        <v>21</v>
      </c>
      <c r="C3510" t="s">
        <v>10</v>
      </c>
      <c r="D3510">
        <v>1</v>
      </c>
      <c r="E3510" s="2">
        <v>2.4305555555555555E-4</v>
      </c>
      <c r="F3510">
        <v>0.35</v>
      </c>
    </row>
    <row r="3511" spans="1:6" x14ac:dyDescent="0.25">
      <c r="A3511" s="1">
        <v>39600</v>
      </c>
      <c r="B3511" t="s">
        <v>21</v>
      </c>
      <c r="C3511" t="s">
        <v>11</v>
      </c>
      <c r="D3511">
        <v>6</v>
      </c>
      <c r="E3511" s="2">
        <v>5.1504629629629626E-3</v>
      </c>
      <c r="F3511">
        <v>7.416666666666667</v>
      </c>
    </row>
    <row r="3512" spans="1:6" x14ac:dyDescent="0.25">
      <c r="A3512" s="1">
        <v>39600</v>
      </c>
      <c r="B3512" t="s">
        <v>22</v>
      </c>
      <c r="C3512" t="s">
        <v>6</v>
      </c>
      <c r="D3512">
        <v>8</v>
      </c>
      <c r="E3512" s="2">
        <v>1.2638888888888889E-2</v>
      </c>
      <c r="F3512">
        <v>18.2</v>
      </c>
    </row>
    <row r="3513" spans="1:6" x14ac:dyDescent="0.25">
      <c r="A3513" s="1">
        <v>39600</v>
      </c>
      <c r="B3513" t="s">
        <v>22</v>
      </c>
      <c r="C3513" t="s">
        <v>7</v>
      </c>
      <c r="D3513">
        <v>10</v>
      </c>
      <c r="E3513" s="2">
        <v>9.5833333333333326E-3</v>
      </c>
      <c r="F3513">
        <v>13.8</v>
      </c>
    </row>
    <row r="3514" spans="1:6" x14ac:dyDescent="0.25">
      <c r="A3514" s="1">
        <v>39600</v>
      </c>
      <c r="B3514" t="s">
        <v>22</v>
      </c>
      <c r="C3514" t="s">
        <v>8</v>
      </c>
      <c r="D3514">
        <v>9</v>
      </c>
      <c r="E3514" s="2">
        <v>1.087962962962963E-2</v>
      </c>
      <c r="F3514">
        <v>15.666666666666666</v>
      </c>
    </row>
    <row r="3515" spans="1:6" x14ac:dyDescent="0.25">
      <c r="A3515" s="1">
        <v>39600</v>
      </c>
      <c r="B3515" t="s">
        <v>22</v>
      </c>
      <c r="C3515" t="s">
        <v>9</v>
      </c>
      <c r="D3515">
        <v>5</v>
      </c>
      <c r="E3515" s="2">
        <v>1.5972222222222223E-3</v>
      </c>
      <c r="F3515">
        <v>2.2999999999999998</v>
      </c>
    </row>
    <row r="3516" spans="1:6" x14ac:dyDescent="0.25">
      <c r="A3516" s="1">
        <v>39600</v>
      </c>
      <c r="B3516" t="s">
        <v>22</v>
      </c>
      <c r="C3516" t="s">
        <v>10</v>
      </c>
      <c r="D3516">
        <v>4</v>
      </c>
      <c r="E3516" s="2">
        <v>1.7476851851851852E-3</v>
      </c>
      <c r="F3516">
        <v>2.5166666666666666</v>
      </c>
    </row>
    <row r="3517" spans="1:6" x14ac:dyDescent="0.25">
      <c r="A3517" s="1">
        <v>39600</v>
      </c>
      <c r="B3517" t="s">
        <v>22</v>
      </c>
      <c r="C3517" t="s">
        <v>11</v>
      </c>
      <c r="D3517">
        <v>5</v>
      </c>
      <c r="E3517" s="2">
        <v>3.9930555555555552E-3</v>
      </c>
      <c r="F3517">
        <v>5.75</v>
      </c>
    </row>
    <row r="3518" spans="1:6" x14ac:dyDescent="0.25">
      <c r="A3518" s="1">
        <v>39600</v>
      </c>
      <c r="B3518" t="s">
        <v>23</v>
      </c>
      <c r="C3518" t="s">
        <v>6</v>
      </c>
      <c r="D3518">
        <v>131</v>
      </c>
      <c r="E3518" s="2">
        <v>0.11208333333333333</v>
      </c>
      <c r="F3518">
        <v>161.4</v>
      </c>
    </row>
    <row r="3519" spans="1:6" x14ac:dyDescent="0.25">
      <c r="A3519" s="1">
        <v>39600</v>
      </c>
      <c r="B3519" t="s">
        <v>23</v>
      </c>
      <c r="C3519" t="s">
        <v>7</v>
      </c>
      <c r="D3519">
        <v>97</v>
      </c>
      <c r="E3519" s="2">
        <v>0.11653935185185185</v>
      </c>
      <c r="F3519">
        <v>167.81666666666666</v>
      </c>
    </row>
    <row r="3520" spans="1:6" x14ac:dyDescent="0.25">
      <c r="A3520" s="1">
        <v>39600</v>
      </c>
      <c r="B3520" t="s">
        <v>23</v>
      </c>
      <c r="C3520" t="s">
        <v>8</v>
      </c>
      <c r="D3520">
        <v>68</v>
      </c>
      <c r="E3520" s="2">
        <v>7.8356481481481485E-2</v>
      </c>
      <c r="F3520">
        <v>112.83333333333333</v>
      </c>
    </row>
    <row r="3521" spans="1:6" x14ac:dyDescent="0.25">
      <c r="A3521" s="1">
        <v>39600</v>
      </c>
      <c r="B3521" t="s">
        <v>23</v>
      </c>
      <c r="C3521" t="s">
        <v>9</v>
      </c>
      <c r="D3521">
        <v>53</v>
      </c>
      <c r="E3521" s="2">
        <v>3.380787037037037E-2</v>
      </c>
      <c r="F3521">
        <v>48.68333333333333</v>
      </c>
    </row>
    <row r="3522" spans="1:6" x14ac:dyDescent="0.25">
      <c r="A3522" s="1">
        <v>39600</v>
      </c>
      <c r="B3522" t="s">
        <v>23</v>
      </c>
      <c r="C3522" t="s">
        <v>10</v>
      </c>
      <c r="D3522">
        <v>43</v>
      </c>
      <c r="E3522" s="2">
        <v>3.3194444444444443E-2</v>
      </c>
      <c r="F3522">
        <v>47.8</v>
      </c>
    </row>
    <row r="3523" spans="1:6" x14ac:dyDescent="0.25">
      <c r="A3523" s="1">
        <v>39600</v>
      </c>
      <c r="B3523" t="s">
        <v>23</v>
      </c>
      <c r="C3523" t="s">
        <v>11</v>
      </c>
      <c r="D3523">
        <v>45</v>
      </c>
      <c r="E3523" s="2">
        <v>3.0787037037037036E-2</v>
      </c>
      <c r="F3523">
        <v>44.333333333333336</v>
      </c>
    </row>
    <row r="3524" spans="1:6" x14ac:dyDescent="0.25">
      <c r="A3524" s="1">
        <v>39600</v>
      </c>
      <c r="B3524" t="s">
        <v>24</v>
      </c>
      <c r="C3524" t="s">
        <v>6</v>
      </c>
      <c r="D3524">
        <v>99</v>
      </c>
      <c r="E3524" s="2">
        <v>8.4618055555555557E-2</v>
      </c>
      <c r="F3524">
        <v>121.85</v>
      </c>
    </row>
    <row r="3525" spans="1:6" x14ac:dyDescent="0.25">
      <c r="A3525" s="1">
        <v>39600</v>
      </c>
      <c r="B3525" t="s">
        <v>24</v>
      </c>
      <c r="C3525" t="s">
        <v>7</v>
      </c>
      <c r="D3525">
        <v>91</v>
      </c>
      <c r="E3525" s="2">
        <v>7.3865740740740746E-2</v>
      </c>
      <c r="F3525">
        <v>106.36666666666666</v>
      </c>
    </row>
    <row r="3526" spans="1:6" x14ac:dyDescent="0.25">
      <c r="A3526" s="1">
        <v>39600</v>
      </c>
      <c r="B3526" t="s">
        <v>24</v>
      </c>
      <c r="C3526" t="s">
        <v>8</v>
      </c>
      <c r="D3526">
        <v>45</v>
      </c>
      <c r="E3526" s="2">
        <v>3.9444444444444442E-2</v>
      </c>
      <c r="F3526">
        <v>56.8</v>
      </c>
    </row>
    <row r="3527" spans="1:6" x14ac:dyDescent="0.25">
      <c r="A3527" s="1">
        <v>39600</v>
      </c>
      <c r="B3527" t="s">
        <v>24</v>
      </c>
      <c r="C3527" t="s">
        <v>9</v>
      </c>
      <c r="D3527">
        <v>26</v>
      </c>
      <c r="E3527" s="2">
        <v>1.5844907407407408E-2</v>
      </c>
      <c r="F3527">
        <v>22.816666666666666</v>
      </c>
    </row>
    <row r="3528" spans="1:6" x14ac:dyDescent="0.25">
      <c r="A3528" s="1">
        <v>39600</v>
      </c>
      <c r="B3528" t="s">
        <v>24</v>
      </c>
      <c r="C3528" t="s">
        <v>10</v>
      </c>
      <c r="D3528">
        <v>7</v>
      </c>
      <c r="E3528" s="2">
        <v>5.37037037037037E-3</v>
      </c>
      <c r="F3528">
        <v>7.7333333333333334</v>
      </c>
    </row>
    <row r="3529" spans="1:6" x14ac:dyDescent="0.25">
      <c r="A3529" s="1">
        <v>39600</v>
      </c>
      <c r="B3529" t="s">
        <v>24</v>
      </c>
      <c r="C3529" t="s">
        <v>11</v>
      </c>
      <c r="D3529">
        <v>57</v>
      </c>
      <c r="E3529" s="2">
        <v>3.9189814814814816E-2</v>
      </c>
      <c r="F3529">
        <v>56.43333333333333</v>
      </c>
    </row>
    <row r="3530" spans="1:6" x14ac:dyDescent="0.25">
      <c r="A3530" s="1">
        <v>39630</v>
      </c>
      <c r="B3530" t="s">
        <v>5</v>
      </c>
      <c r="C3530" t="s">
        <v>6</v>
      </c>
      <c r="D3530">
        <v>28</v>
      </c>
      <c r="E3530" s="2">
        <v>1.8333333333333333E-2</v>
      </c>
      <c r="F3530">
        <v>26.4</v>
      </c>
    </row>
    <row r="3531" spans="1:6" x14ac:dyDescent="0.25">
      <c r="A3531" s="1">
        <v>39630</v>
      </c>
      <c r="B3531" t="s">
        <v>5</v>
      </c>
      <c r="C3531" t="s">
        <v>7</v>
      </c>
      <c r="D3531">
        <v>31</v>
      </c>
      <c r="E3531" s="2">
        <v>2.3622685185185184E-2</v>
      </c>
      <c r="F3531">
        <v>34.016666666666666</v>
      </c>
    </row>
    <row r="3532" spans="1:6" x14ac:dyDescent="0.25">
      <c r="A3532" s="1">
        <v>39630</v>
      </c>
      <c r="B3532" t="s">
        <v>5</v>
      </c>
      <c r="C3532" t="s">
        <v>8</v>
      </c>
      <c r="D3532">
        <v>13</v>
      </c>
      <c r="E3532" s="2">
        <v>8.7847222222222215E-3</v>
      </c>
      <c r="F3532">
        <v>12.65</v>
      </c>
    </row>
    <row r="3533" spans="1:6" x14ac:dyDescent="0.25">
      <c r="A3533" s="1">
        <v>39630</v>
      </c>
      <c r="B3533" t="s">
        <v>5</v>
      </c>
      <c r="C3533" t="s">
        <v>9</v>
      </c>
      <c r="D3533">
        <v>15</v>
      </c>
      <c r="E3533" s="2">
        <v>6.4930555555555557E-3</v>
      </c>
      <c r="F3533">
        <v>9.35</v>
      </c>
    </row>
    <row r="3534" spans="1:6" x14ac:dyDescent="0.25">
      <c r="A3534" s="1">
        <v>39630</v>
      </c>
      <c r="B3534" t="s">
        <v>5</v>
      </c>
      <c r="C3534" t="s">
        <v>10</v>
      </c>
      <c r="D3534">
        <v>2</v>
      </c>
      <c r="E3534" s="2">
        <v>4.5138888888888887E-4</v>
      </c>
      <c r="F3534">
        <v>0.65</v>
      </c>
    </row>
    <row r="3535" spans="1:6" x14ac:dyDescent="0.25">
      <c r="A3535" s="1">
        <v>39630</v>
      </c>
      <c r="B3535" t="s">
        <v>5</v>
      </c>
      <c r="C3535" t="s">
        <v>11</v>
      </c>
      <c r="D3535">
        <v>15</v>
      </c>
      <c r="E3535" s="2">
        <v>6.8171296296296296E-3</v>
      </c>
      <c r="F3535">
        <v>9.8166666666666664</v>
      </c>
    </row>
    <row r="3536" spans="1:6" x14ac:dyDescent="0.25">
      <c r="A3536" s="1">
        <v>39630</v>
      </c>
      <c r="B3536" t="s">
        <v>12</v>
      </c>
      <c r="C3536" t="s">
        <v>6</v>
      </c>
      <c r="D3536">
        <v>81</v>
      </c>
      <c r="E3536" s="2">
        <v>8.6134259259259258E-2</v>
      </c>
      <c r="F3536">
        <v>124.03333333333333</v>
      </c>
    </row>
    <row r="3537" spans="1:6" x14ac:dyDescent="0.25">
      <c r="A3537" s="1">
        <v>39630</v>
      </c>
      <c r="B3537" t="s">
        <v>12</v>
      </c>
      <c r="C3537" t="s">
        <v>7</v>
      </c>
      <c r="D3537">
        <v>75</v>
      </c>
      <c r="E3537" s="2">
        <v>9.8923611111111115E-2</v>
      </c>
      <c r="F3537">
        <v>142.44999999999999</v>
      </c>
    </row>
    <row r="3538" spans="1:6" x14ac:dyDescent="0.25">
      <c r="A3538" s="1">
        <v>39630</v>
      </c>
      <c r="B3538" t="s">
        <v>12</v>
      </c>
      <c r="C3538" t="s">
        <v>8</v>
      </c>
      <c r="D3538">
        <v>43</v>
      </c>
      <c r="E3538" s="2">
        <v>6.3368055555555552E-2</v>
      </c>
      <c r="F3538">
        <v>91.25</v>
      </c>
    </row>
    <row r="3539" spans="1:6" x14ac:dyDescent="0.25">
      <c r="A3539" s="1">
        <v>39630</v>
      </c>
      <c r="B3539" t="s">
        <v>12</v>
      </c>
      <c r="C3539" t="s">
        <v>9</v>
      </c>
      <c r="D3539">
        <v>16</v>
      </c>
      <c r="E3539" s="2">
        <v>1.1041666666666667E-2</v>
      </c>
      <c r="F3539">
        <v>15.9</v>
      </c>
    </row>
    <row r="3540" spans="1:6" x14ac:dyDescent="0.25">
      <c r="A3540" s="1">
        <v>39630</v>
      </c>
      <c r="B3540" t="s">
        <v>12</v>
      </c>
      <c r="C3540" t="s">
        <v>10</v>
      </c>
      <c r="D3540">
        <v>6</v>
      </c>
      <c r="E3540" s="2">
        <v>5.4745370370370373E-3</v>
      </c>
      <c r="F3540">
        <v>7.8833333333333329</v>
      </c>
    </row>
    <row r="3541" spans="1:6" x14ac:dyDescent="0.25">
      <c r="A3541" s="1">
        <v>39630</v>
      </c>
      <c r="B3541" t="s">
        <v>12</v>
      </c>
      <c r="C3541" t="s">
        <v>11</v>
      </c>
      <c r="D3541">
        <v>25</v>
      </c>
      <c r="E3541" s="2">
        <v>2.4513888888888891E-2</v>
      </c>
      <c r="F3541">
        <v>35.299999999999997</v>
      </c>
    </row>
    <row r="3542" spans="1:6" x14ac:dyDescent="0.25">
      <c r="A3542" s="1">
        <v>39630</v>
      </c>
      <c r="B3542" t="s">
        <v>13</v>
      </c>
      <c r="C3542" t="s">
        <v>6</v>
      </c>
      <c r="D3542">
        <v>65</v>
      </c>
      <c r="E3542" s="2">
        <v>6.2627314814814816E-2</v>
      </c>
      <c r="F3542">
        <v>90.183333333333337</v>
      </c>
    </row>
    <row r="3543" spans="1:6" x14ac:dyDescent="0.25">
      <c r="A3543" s="1">
        <v>39630</v>
      </c>
      <c r="B3543" t="s">
        <v>13</v>
      </c>
      <c r="C3543" t="s">
        <v>7</v>
      </c>
      <c r="D3543">
        <v>63</v>
      </c>
      <c r="E3543" s="2">
        <v>7.2662037037037039E-2</v>
      </c>
      <c r="F3543">
        <v>104.63333333333334</v>
      </c>
    </row>
    <row r="3544" spans="1:6" x14ac:dyDescent="0.25">
      <c r="A3544" s="1">
        <v>39630</v>
      </c>
      <c r="B3544" t="s">
        <v>13</v>
      </c>
      <c r="C3544" t="s">
        <v>8</v>
      </c>
      <c r="D3544">
        <v>34</v>
      </c>
      <c r="E3544" s="2">
        <v>5.0405092592592592E-2</v>
      </c>
      <c r="F3544">
        <v>72.583333333333329</v>
      </c>
    </row>
    <row r="3545" spans="1:6" x14ac:dyDescent="0.25">
      <c r="A3545" s="1">
        <v>39630</v>
      </c>
      <c r="B3545" t="s">
        <v>13</v>
      </c>
      <c r="C3545" t="s">
        <v>9</v>
      </c>
      <c r="D3545">
        <v>17</v>
      </c>
      <c r="E3545" s="2">
        <v>1.1851851851851851E-2</v>
      </c>
      <c r="F3545">
        <v>17.066666666666666</v>
      </c>
    </row>
    <row r="3546" spans="1:6" x14ac:dyDescent="0.25">
      <c r="A3546" s="1">
        <v>39630</v>
      </c>
      <c r="B3546" t="s">
        <v>13</v>
      </c>
      <c r="C3546" t="s">
        <v>10</v>
      </c>
      <c r="D3546">
        <v>31</v>
      </c>
      <c r="E3546" s="2">
        <v>2.5868055555555554E-2</v>
      </c>
      <c r="F3546">
        <v>37.25</v>
      </c>
    </row>
    <row r="3547" spans="1:6" x14ac:dyDescent="0.25">
      <c r="A3547" s="1">
        <v>39630</v>
      </c>
      <c r="B3547" t="s">
        <v>13</v>
      </c>
      <c r="C3547" t="s">
        <v>11</v>
      </c>
      <c r="D3547">
        <v>23</v>
      </c>
      <c r="E3547" s="2">
        <v>1.9340277777777779E-2</v>
      </c>
      <c r="F3547">
        <v>27.85</v>
      </c>
    </row>
    <row r="3548" spans="1:6" x14ac:dyDescent="0.25">
      <c r="A3548" s="1">
        <v>39630</v>
      </c>
      <c r="B3548" t="s">
        <v>14</v>
      </c>
      <c r="C3548" t="s">
        <v>6</v>
      </c>
      <c r="D3548">
        <v>16</v>
      </c>
      <c r="E3548" s="2">
        <v>1.7314814814814814E-2</v>
      </c>
      <c r="F3548">
        <v>24.933333333333334</v>
      </c>
    </row>
    <row r="3549" spans="1:6" x14ac:dyDescent="0.25">
      <c r="A3549" s="1">
        <v>39630</v>
      </c>
      <c r="B3549" t="s">
        <v>14</v>
      </c>
      <c r="C3549" t="s">
        <v>7</v>
      </c>
      <c r="D3549">
        <v>11</v>
      </c>
      <c r="E3549" s="2">
        <v>1.0937499999999999E-2</v>
      </c>
      <c r="F3549">
        <v>15.75</v>
      </c>
    </row>
    <row r="3550" spans="1:6" x14ac:dyDescent="0.25">
      <c r="A3550" s="1">
        <v>39630</v>
      </c>
      <c r="B3550" t="s">
        <v>14</v>
      </c>
      <c r="C3550" t="s">
        <v>8</v>
      </c>
      <c r="D3550">
        <v>2</v>
      </c>
      <c r="E3550" s="2">
        <v>3.2407407407407406E-3</v>
      </c>
      <c r="F3550">
        <v>4.666666666666667</v>
      </c>
    </row>
    <row r="3551" spans="1:6" x14ac:dyDescent="0.25">
      <c r="A3551" s="1">
        <v>39630</v>
      </c>
      <c r="B3551" t="s">
        <v>14</v>
      </c>
      <c r="C3551" t="s">
        <v>9</v>
      </c>
      <c r="D3551">
        <v>5</v>
      </c>
      <c r="E3551" s="2">
        <v>4.0393518518518521E-3</v>
      </c>
      <c r="F3551">
        <v>5.8166666666666664</v>
      </c>
    </row>
    <row r="3552" spans="1:6" x14ac:dyDescent="0.25">
      <c r="A3552" s="1">
        <v>39630</v>
      </c>
      <c r="B3552" t="s">
        <v>14</v>
      </c>
      <c r="C3552" t="s">
        <v>10</v>
      </c>
      <c r="D3552">
        <v>2</v>
      </c>
      <c r="E3552" s="2">
        <v>3.9814814814814817E-3</v>
      </c>
      <c r="F3552">
        <v>5.7333333333333334</v>
      </c>
    </row>
    <row r="3553" spans="1:6" x14ac:dyDescent="0.25">
      <c r="A3553" s="1">
        <v>39630</v>
      </c>
      <c r="B3553" t="s">
        <v>14</v>
      </c>
      <c r="C3553" t="s">
        <v>11</v>
      </c>
      <c r="D3553">
        <v>6</v>
      </c>
      <c r="E3553" s="2">
        <v>4.9189814814814816E-3</v>
      </c>
      <c r="F3553">
        <v>7.083333333333333</v>
      </c>
    </row>
    <row r="3554" spans="1:6" x14ac:dyDescent="0.25">
      <c r="A3554" s="1">
        <v>39630</v>
      </c>
      <c r="B3554" t="s">
        <v>15</v>
      </c>
      <c r="C3554" t="s">
        <v>6</v>
      </c>
      <c r="D3554">
        <v>43</v>
      </c>
      <c r="E3554" s="2">
        <v>4.2488425925925923E-2</v>
      </c>
      <c r="F3554">
        <v>61.18333333333333</v>
      </c>
    </row>
    <row r="3555" spans="1:6" x14ac:dyDescent="0.25">
      <c r="A3555" s="1">
        <v>39630</v>
      </c>
      <c r="B3555" t="s">
        <v>15</v>
      </c>
      <c r="C3555" t="s">
        <v>7</v>
      </c>
      <c r="D3555">
        <v>30</v>
      </c>
      <c r="E3555" s="2">
        <v>3.8414351851851852E-2</v>
      </c>
      <c r="F3555">
        <v>55.31666666666667</v>
      </c>
    </row>
    <row r="3556" spans="1:6" x14ac:dyDescent="0.25">
      <c r="A3556" s="1">
        <v>39630</v>
      </c>
      <c r="B3556" t="s">
        <v>15</v>
      </c>
      <c r="C3556" t="s">
        <v>8</v>
      </c>
      <c r="D3556">
        <v>20</v>
      </c>
      <c r="E3556" s="2">
        <v>2.2835648148148147E-2</v>
      </c>
      <c r="F3556">
        <v>32.883333333333333</v>
      </c>
    </row>
    <row r="3557" spans="1:6" x14ac:dyDescent="0.25">
      <c r="A3557" s="1">
        <v>39630</v>
      </c>
      <c r="B3557" t="s">
        <v>15</v>
      </c>
      <c r="C3557" t="s">
        <v>9</v>
      </c>
      <c r="D3557">
        <v>9</v>
      </c>
      <c r="E3557" s="2">
        <v>5.2546296296296299E-3</v>
      </c>
      <c r="F3557">
        <v>7.5666666666666664</v>
      </c>
    </row>
    <row r="3558" spans="1:6" x14ac:dyDescent="0.25">
      <c r="A3558" s="1">
        <v>39630</v>
      </c>
      <c r="B3558" t="s">
        <v>15</v>
      </c>
      <c r="C3558" t="s">
        <v>10</v>
      </c>
      <c r="D3558">
        <v>5</v>
      </c>
      <c r="E3558" s="2">
        <v>3.9004629629629628E-3</v>
      </c>
      <c r="F3558">
        <v>5.6166666666666671</v>
      </c>
    </row>
    <row r="3559" spans="1:6" x14ac:dyDescent="0.25">
      <c r="A3559" s="1">
        <v>39630</v>
      </c>
      <c r="B3559" t="s">
        <v>15</v>
      </c>
      <c r="C3559" t="s">
        <v>11</v>
      </c>
      <c r="D3559">
        <v>11</v>
      </c>
      <c r="E3559" s="2">
        <v>9.5486111111111119E-3</v>
      </c>
      <c r="F3559">
        <v>13.75</v>
      </c>
    </row>
    <row r="3560" spans="1:6" x14ac:dyDescent="0.25">
      <c r="A3560" s="1">
        <v>39630</v>
      </c>
      <c r="B3560" t="s">
        <v>16</v>
      </c>
      <c r="C3560" t="s">
        <v>6</v>
      </c>
      <c r="D3560">
        <v>51</v>
      </c>
      <c r="E3560" s="2">
        <v>4.8194444444444443E-2</v>
      </c>
      <c r="F3560">
        <v>69.400000000000006</v>
      </c>
    </row>
    <row r="3561" spans="1:6" x14ac:dyDescent="0.25">
      <c r="A3561" s="1">
        <v>39630</v>
      </c>
      <c r="B3561" t="s">
        <v>16</v>
      </c>
      <c r="C3561" t="s">
        <v>7</v>
      </c>
      <c r="D3561">
        <v>59</v>
      </c>
      <c r="E3561" s="2">
        <v>5.8530092592592592E-2</v>
      </c>
      <c r="F3561">
        <v>84.283333333333331</v>
      </c>
    </row>
    <row r="3562" spans="1:6" x14ac:dyDescent="0.25">
      <c r="A3562" s="1">
        <v>39630</v>
      </c>
      <c r="B3562" t="s">
        <v>16</v>
      </c>
      <c r="C3562" t="s">
        <v>8</v>
      </c>
      <c r="D3562">
        <v>35</v>
      </c>
      <c r="E3562" s="2">
        <v>2.960648148148148E-2</v>
      </c>
      <c r="F3562">
        <v>42.633333333333333</v>
      </c>
    </row>
    <row r="3563" spans="1:6" x14ac:dyDescent="0.25">
      <c r="A3563" s="1">
        <v>39630</v>
      </c>
      <c r="B3563" t="s">
        <v>16</v>
      </c>
      <c r="C3563" t="s">
        <v>9</v>
      </c>
      <c r="D3563">
        <v>33</v>
      </c>
      <c r="E3563" s="2">
        <v>2.1493055555555557E-2</v>
      </c>
      <c r="F3563">
        <v>30.95</v>
      </c>
    </row>
    <row r="3564" spans="1:6" x14ac:dyDescent="0.25">
      <c r="A3564" s="1">
        <v>39630</v>
      </c>
      <c r="B3564" t="s">
        <v>16</v>
      </c>
      <c r="C3564" t="s">
        <v>10</v>
      </c>
      <c r="D3564">
        <v>3</v>
      </c>
      <c r="E3564" s="2">
        <v>3.2175925925925926E-3</v>
      </c>
      <c r="F3564">
        <v>4.6333333333333329</v>
      </c>
    </row>
    <row r="3565" spans="1:6" x14ac:dyDescent="0.25">
      <c r="A3565" s="1">
        <v>39630</v>
      </c>
      <c r="B3565" t="s">
        <v>16</v>
      </c>
      <c r="C3565" t="s">
        <v>11</v>
      </c>
      <c r="D3565">
        <v>44</v>
      </c>
      <c r="E3565" s="2">
        <v>2.9490740740740741E-2</v>
      </c>
      <c r="F3565">
        <v>42.466666666666669</v>
      </c>
    </row>
    <row r="3566" spans="1:6" x14ac:dyDescent="0.25">
      <c r="A3566" s="1">
        <v>39630</v>
      </c>
      <c r="B3566" t="s">
        <v>17</v>
      </c>
      <c r="C3566" t="s">
        <v>6</v>
      </c>
      <c r="D3566">
        <v>11</v>
      </c>
      <c r="E3566" s="2">
        <v>7.8240740740740736E-3</v>
      </c>
      <c r="F3566">
        <v>11.266666666666667</v>
      </c>
    </row>
    <row r="3567" spans="1:6" x14ac:dyDescent="0.25">
      <c r="A3567" s="1">
        <v>39630</v>
      </c>
      <c r="B3567" t="s">
        <v>17</v>
      </c>
      <c r="C3567" t="s">
        <v>7</v>
      </c>
      <c r="D3567">
        <v>6</v>
      </c>
      <c r="E3567" s="2">
        <v>7.037037037037037E-3</v>
      </c>
      <c r="F3567">
        <v>10.133333333333333</v>
      </c>
    </row>
    <row r="3568" spans="1:6" x14ac:dyDescent="0.25">
      <c r="A3568" s="1">
        <v>39630</v>
      </c>
      <c r="B3568" t="s">
        <v>17</v>
      </c>
      <c r="C3568" t="s">
        <v>8</v>
      </c>
      <c r="D3568">
        <v>3</v>
      </c>
      <c r="E3568" s="2">
        <v>1.7592592592592592E-3</v>
      </c>
      <c r="F3568">
        <v>2.5333333333333332</v>
      </c>
    </row>
    <row r="3569" spans="1:6" x14ac:dyDescent="0.25">
      <c r="A3569" s="1">
        <v>39630</v>
      </c>
      <c r="B3569" t="s">
        <v>17</v>
      </c>
      <c r="C3569" t="s">
        <v>9</v>
      </c>
      <c r="D3569">
        <v>5</v>
      </c>
      <c r="E3569" s="2">
        <v>3.6111111111111109E-3</v>
      </c>
      <c r="F3569">
        <v>5.2</v>
      </c>
    </row>
    <row r="3570" spans="1:6" x14ac:dyDescent="0.25">
      <c r="A3570" s="1">
        <v>39630</v>
      </c>
      <c r="B3570" t="s">
        <v>17</v>
      </c>
      <c r="C3570" t="s">
        <v>10</v>
      </c>
      <c r="D3570">
        <v>2</v>
      </c>
      <c r="E3570" s="2">
        <v>1.7476851851851852E-3</v>
      </c>
      <c r="F3570">
        <v>2.5166666666666666</v>
      </c>
    </row>
    <row r="3571" spans="1:6" x14ac:dyDescent="0.25">
      <c r="A3571" s="1">
        <v>39630</v>
      </c>
      <c r="B3571" t="s">
        <v>17</v>
      </c>
      <c r="C3571" t="s">
        <v>11</v>
      </c>
      <c r="D3571">
        <v>2</v>
      </c>
      <c r="E3571" s="2">
        <v>1.0416666666666667E-3</v>
      </c>
      <c r="F3571">
        <v>1.5</v>
      </c>
    </row>
    <row r="3572" spans="1:6" x14ac:dyDescent="0.25">
      <c r="A3572" s="1">
        <v>39630</v>
      </c>
      <c r="B3572" t="s">
        <v>18</v>
      </c>
      <c r="C3572" t="s">
        <v>6</v>
      </c>
      <c r="D3572">
        <v>99</v>
      </c>
      <c r="E3572" s="2">
        <v>0.10428240740740741</v>
      </c>
      <c r="F3572">
        <v>150.16666666666666</v>
      </c>
    </row>
    <row r="3573" spans="1:6" x14ac:dyDescent="0.25">
      <c r="A3573" s="1">
        <v>39630</v>
      </c>
      <c r="B3573" t="s">
        <v>18</v>
      </c>
      <c r="C3573" t="s">
        <v>7</v>
      </c>
      <c r="D3573">
        <v>111</v>
      </c>
      <c r="E3573" s="2">
        <v>0.13047453703703704</v>
      </c>
      <c r="F3573">
        <v>187.88333333333333</v>
      </c>
    </row>
    <row r="3574" spans="1:6" x14ac:dyDescent="0.25">
      <c r="A3574" s="1">
        <v>39630</v>
      </c>
      <c r="B3574" t="s">
        <v>18</v>
      </c>
      <c r="C3574" t="s">
        <v>8</v>
      </c>
      <c r="D3574">
        <v>74</v>
      </c>
      <c r="E3574" s="2">
        <v>0.11225694444444445</v>
      </c>
      <c r="F3574">
        <v>161.65</v>
      </c>
    </row>
    <row r="3575" spans="1:6" x14ac:dyDescent="0.25">
      <c r="A3575" s="1">
        <v>39630</v>
      </c>
      <c r="B3575" t="s">
        <v>18</v>
      </c>
      <c r="C3575" t="s">
        <v>9</v>
      </c>
      <c r="D3575">
        <v>84</v>
      </c>
      <c r="E3575" s="2">
        <v>5.0682870370370371E-2</v>
      </c>
      <c r="F3575">
        <v>72.983333333333334</v>
      </c>
    </row>
    <row r="3576" spans="1:6" x14ac:dyDescent="0.25">
      <c r="A3576" s="1">
        <v>39630</v>
      </c>
      <c r="B3576" t="s">
        <v>18</v>
      </c>
      <c r="C3576" t="s">
        <v>10</v>
      </c>
      <c r="D3576">
        <v>203</v>
      </c>
      <c r="E3576" s="2">
        <v>0.18533564814814815</v>
      </c>
      <c r="F3576">
        <v>266.88333333333333</v>
      </c>
    </row>
    <row r="3577" spans="1:6" x14ac:dyDescent="0.25">
      <c r="A3577" s="1">
        <v>39630</v>
      </c>
      <c r="B3577" t="s">
        <v>18</v>
      </c>
      <c r="C3577" t="s">
        <v>11</v>
      </c>
      <c r="D3577">
        <v>37</v>
      </c>
      <c r="E3577" s="2">
        <v>3.2118055555555552E-2</v>
      </c>
      <c r="F3577">
        <v>46.25</v>
      </c>
    </row>
    <row r="3578" spans="1:6" x14ac:dyDescent="0.25">
      <c r="A3578" s="1">
        <v>39630</v>
      </c>
      <c r="B3578" t="s">
        <v>19</v>
      </c>
      <c r="C3578" t="s">
        <v>6</v>
      </c>
      <c r="D3578">
        <v>32</v>
      </c>
      <c r="E3578" s="2">
        <v>3.0439814814814815E-2</v>
      </c>
      <c r="F3578">
        <v>43.833333333333336</v>
      </c>
    </row>
    <row r="3579" spans="1:6" x14ac:dyDescent="0.25">
      <c r="A3579" s="1">
        <v>39630</v>
      </c>
      <c r="B3579" t="s">
        <v>19</v>
      </c>
      <c r="C3579" t="s">
        <v>7</v>
      </c>
      <c r="D3579">
        <v>28</v>
      </c>
      <c r="E3579" s="2">
        <v>2.6087962962962962E-2</v>
      </c>
      <c r="F3579">
        <v>37.56666666666667</v>
      </c>
    </row>
    <row r="3580" spans="1:6" x14ac:dyDescent="0.25">
      <c r="A3580" s="1">
        <v>39630</v>
      </c>
      <c r="B3580" t="s">
        <v>19</v>
      </c>
      <c r="C3580" t="s">
        <v>8</v>
      </c>
      <c r="D3580">
        <v>30</v>
      </c>
      <c r="E3580" s="2">
        <v>3.8206018518518521E-2</v>
      </c>
      <c r="F3580">
        <v>55.016666666666666</v>
      </c>
    </row>
    <row r="3581" spans="1:6" x14ac:dyDescent="0.25">
      <c r="A3581" s="1">
        <v>39630</v>
      </c>
      <c r="B3581" t="s">
        <v>19</v>
      </c>
      <c r="C3581" t="s">
        <v>9</v>
      </c>
      <c r="D3581">
        <v>24</v>
      </c>
      <c r="E3581" s="2">
        <v>1.5150462962962963E-2</v>
      </c>
      <c r="F3581">
        <v>21.816666666666666</v>
      </c>
    </row>
    <row r="3582" spans="1:6" x14ac:dyDescent="0.25">
      <c r="A3582" s="1">
        <v>39630</v>
      </c>
      <c r="B3582" t="s">
        <v>19</v>
      </c>
      <c r="C3582" t="s">
        <v>10</v>
      </c>
      <c r="D3582">
        <v>19</v>
      </c>
      <c r="E3582" s="2">
        <v>1.4780092592592593E-2</v>
      </c>
      <c r="F3582">
        <v>21.283333333333335</v>
      </c>
    </row>
    <row r="3583" spans="1:6" x14ac:dyDescent="0.25">
      <c r="A3583" s="1">
        <v>39630</v>
      </c>
      <c r="B3583" t="s">
        <v>19</v>
      </c>
      <c r="C3583" t="s">
        <v>11</v>
      </c>
      <c r="D3583">
        <v>16</v>
      </c>
      <c r="E3583" s="2">
        <v>1.2719907407407407E-2</v>
      </c>
      <c r="F3583">
        <v>18.316666666666666</v>
      </c>
    </row>
    <row r="3584" spans="1:6" x14ac:dyDescent="0.25">
      <c r="A3584" s="1">
        <v>39630</v>
      </c>
      <c r="B3584" t="s">
        <v>20</v>
      </c>
      <c r="C3584" t="s">
        <v>6</v>
      </c>
      <c r="D3584">
        <v>70</v>
      </c>
      <c r="E3584" s="2">
        <v>8.0937499999999996E-2</v>
      </c>
      <c r="F3584">
        <v>116.55</v>
      </c>
    </row>
    <row r="3585" spans="1:6" x14ac:dyDescent="0.25">
      <c r="A3585" s="1">
        <v>39630</v>
      </c>
      <c r="B3585" t="s">
        <v>20</v>
      </c>
      <c r="C3585" t="s">
        <v>7</v>
      </c>
      <c r="D3585">
        <v>80</v>
      </c>
      <c r="E3585" s="2">
        <v>9.6747685185185187E-2</v>
      </c>
      <c r="F3585">
        <v>139.31666666666666</v>
      </c>
    </row>
    <row r="3586" spans="1:6" x14ac:dyDescent="0.25">
      <c r="A3586" s="1">
        <v>39630</v>
      </c>
      <c r="B3586" t="s">
        <v>20</v>
      </c>
      <c r="C3586" t="s">
        <v>8</v>
      </c>
      <c r="D3586">
        <v>54</v>
      </c>
      <c r="E3586" s="2">
        <v>7.2210648148148149E-2</v>
      </c>
      <c r="F3586">
        <v>103.98333333333333</v>
      </c>
    </row>
    <row r="3587" spans="1:6" x14ac:dyDescent="0.25">
      <c r="A3587" s="1">
        <v>39630</v>
      </c>
      <c r="B3587" t="s">
        <v>20</v>
      </c>
      <c r="C3587" t="s">
        <v>9</v>
      </c>
      <c r="D3587">
        <v>29</v>
      </c>
      <c r="E3587" s="2">
        <v>2.8344907407407409E-2</v>
      </c>
      <c r="F3587">
        <v>40.81666666666667</v>
      </c>
    </row>
    <row r="3588" spans="1:6" x14ac:dyDescent="0.25">
      <c r="A3588" s="1">
        <v>39630</v>
      </c>
      <c r="B3588" t="s">
        <v>20</v>
      </c>
      <c r="C3588" t="s">
        <v>10</v>
      </c>
      <c r="D3588">
        <v>20</v>
      </c>
      <c r="E3588" s="2">
        <v>2.630787037037037E-2</v>
      </c>
      <c r="F3588">
        <v>37.883333333333333</v>
      </c>
    </row>
    <row r="3589" spans="1:6" x14ac:dyDescent="0.25">
      <c r="A3589" s="1">
        <v>39630</v>
      </c>
      <c r="B3589" t="s">
        <v>20</v>
      </c>
      <c r="C3589" t="s">
        <v>11</v>
      </c>
      <c r="D3589">
        <v>27</v>
      </c>
      <c r="E3589" s="2">
        <v>2.1030092592592593E-2</v>
      </c>
      <c r="F3589">
        <v>30.283333333333335</v>
      </c>
    </row>
    <row r="3590" spans="1:6" x14ac:dyDescent="0.25">
      <c r="A3590" s="1">
        <v>39630</v>
      </c>
      <c r="B3590" t="s">
        <v>21</v>
      </c>
      <c r="C3590" t="s">
        <v>6</v>
      </c>
      <c r="D3590">
        <v>24</v>
      </c>
      <c r="E3590" s="2">
        <v>2.9398148148148149E-2</v>
      </c>
      <c r="F3590">
        <v>42.333333333333336</v>
      </c>
    </row>
    <row r="3591" spans="1:6" x14ac:dyDescent="0.25">
      <c r="A3591" s="1">
        <v>39630</v>
      </c>
      <c r="B3591" t="s">
        <v>21</v>
      </c>
      <c r="C3591" t="s">
        <v>7</v>
      </c>
      <c r="D3591">
        <v>22</v>
      </c>
      <c r="E3591" s="2">
        <v>2.4120370370370372E-2</v>
      </c>
      <c r="F3591">
        <v>34.733333333333334</v>
      </c>
    </row>
    <row r="3592" spans="1:6" x14ac:dyDescent="0.25">
      <c r="A3592" s="1">
        <v>39630</v>
      </c>
      <c r="B3592" t="s">
        <v>21</v>
      </c>
      <c r="C3592" t="s">
        <v>8</v>
      </c>
      <c r="D3592">
        <v>8</v>
      </c>
      <c r="E3592" s="2">
        <v>1.0960648148148148E-2</v>
      </c>
      <c r="F3592">
        <v>15.783333333333333</v>
      </c>
    </row>
    <row r="3593" spans="1:6" x14ac:dyDescent="0.25">
      <c r="A3593" s="1">
        <v>39630</v>
      </c>
      <c r="B3593" t="s">
        <v>21</v>
      </c>
      <c r="C3593" t="s">
        <v>9</v>
      </c>
      <c r="D3593">
        <v>11</v>
      </c>
      <c r="E3593" s="2">
        <v>7.7777777777777776E-3</v>
      </c>
      <c r="F3593">
        <v>11.2</v>
      </c>
    </row>
    <row r="3594" spans="1:6" x14ac:dyDescent="0.25">
      <c r="A3594" s="1">
        <v>39630</v>
      </c>
      <c r="B3594" t="s">
        <v>21</v>
      </c>
      <c r="C3594" t="s">
        <v>10</v>
      </c>
      <c r="D3594">
        <v>0</v>
      </c>
      <c r="E3594" s="2">
        <v>0</v>
      </c>
      <c r="F3594">
        <v>0</v>
      </c>
    </row>
    <row r="3595" spans="1:6" x14ac:dyDescent="0.25">
      <c r="A3595" s="1">
        <v>39630</v>
      </c>
      <c r="B3595" t="s">
        <v>21</v>
      </c>
      <c r="C3595" t="s">
        <v>11</v>
      </c>
      <c r="D3595">
        <v>7</v>
      </c>
      <c r="E3595" s="2">
        <v>6.3310185185185188E-3</v>
      </c>
      <c r="F3595">
        <v>9.1166666666666671</v>
      </c>
    </row>
    <row r="3596" spans="1:6" x14ac:dyDescent="0.25">
      <c r="A3596" s="1">
        <v>39630</v>
      </c>
      <c r="B3596" t="s">
        <v>22</v>
      </c>
      <c r="C3596" t="s">
        <v>6</v>
      </c>
      <c r="D3596">
        <v>32</v>
      </c>
      <c r="E3596" s="2">
        <v>3.4143518518518517E-2</v>
      </c>
      <c r="F3596">
        <v>49.166666666666664</v>
      </c>
    </row>
    <row r="3597" spans="1:6" x14ac:dyDescent="0.25">
      <c r="A3597" s="1">
        <v>39630</v>
      </c>
      <c r="B3597" t="s">
        <v>22</v>
      </c>
      <c r="C3597" t="s">
        <v>7</v>
      </c>
      <c r="D3597">
        <v>23</v>
      </c>
      <c r="E3597" s="2">
        <v>2.9050925925925924E-2</v>
      </c>
      <c r="F3597">
        <v>41.833333333333336</v>
      </c>
    </row>
    <row r="3598" spans="1:6" x14ac:dyDescent="0.25">
      <c r="A3598" s="1">
        <v>39630</v>
      </c>
      <c r="B3598" t="s">
        <v>22</v>
      </c>
      <c r="C3598" t="s">
        <v>8</v>
      </c>
      <c r="D3598">
        <v>17</v>
      </c>
      <c r="E3598" s="2">
        <v>1.9745370370370371E-2</v>
      </c>
      <c r="F3598">
        <v>28.433333333333334</v>
      </c>
    </row>
    <row r="3599" spans="1:6" x14ac:dyDescent="0.25">
      <c r="A3599" s="1">
        <v>39630</v>
      </c>
      <c r="B3599" t="s">
        <v>22</v>
      </c>
      <c r="C3599" t="s">
        <v>9</v>
      </c>
      <c r="D3599">
        <v>12</v>
      </c>
      <c r="E3599" s="2">
        <v>8.9120370370370378E-3</v>
      </c>
      <c r="F3599">
        <v>12.833333333333334</v>
      </c>
    </row>
    <row r="3600" spans="1:6" x14ac:dyDescent="0.25">
      <c r="A3600" s="1">
        <v>39630</v>
      </c>
      <c r="B3600" t="s">
        <v>22</v>
      </c>
      <c r="C3600" t="s">
        <v>10</v>
      </c>
      <c r="D3600">
        <v>11</v>
      </c>
      <c r="E3600" s="2">
        <v>1.2962962962962963E-2</v>
      </c>
      <c r="F3600">
        <v>18.666666666666668</v>
      </c>
    </row>
    <row r="3601" spans="1:6" x14ac:dyDescent="0.25">
      <c r="A3601" s="1">
        <v>39630</v>
      </c>
      <c r="B3601" t="s">
        <v>22</v>
      </c>
      <c r="C3601" t="s">
        <v>11</v>
      </c>
      <c r="D3601">
        <v>18</v>
      </c>
      <c r="E3601" s="2">
        <v>1.5196759259259259E-2</v>
      </c>
      <c r="F3601">
        <v>21.883333333333333</v>
      </c>
    </row>
    <row r="3602" spans="1:6" x14ac:dyDescent="0.25">
      <c r="A3602" s="1">
        <v>39630</v>
      </c>
      <c r="B3602" t="s">
        <v>23</v>
      </c>
      <c r="C3602" t="s">
        <v>6</v>
      </c>
      <c r="D3602">
        <v>134</v>
      </c>
      <c r="E3602" s="2">
        <v>0.14715277777777777</v>
      </c>
      <c r="F3602">
        <v>211.9</v>
      </c>
    </row>
    <row r="3603" spans="1:6" x14ac:dyDescent="0.25">
      <c r="A3603" s="1">
        <v>39630</v>
      </c>
      <c r="B3603" t="s">
        <v>23</v>
      </c>
      <c r="C3603" t="s">
        <v>7</v>
      </c>
      <c r="D3603">
        <v>99</v>
      </c>
      <c r="E3603" s="2">
        <v>0.11473379629629629</v>
      </c>
      <c r="F3603">
        <v>165.21666666666667</v>
      </c>
    </row>
    <row r="3604" spans="1:6" x14ac:dyDescent="0.25">
      <c r="A3604" s="1">
        <v>39630</v>
      </c>
      <c r="B3604" t="s">
        <v>23</v>
      </c>
      <c r="C3604" t="s">
        <v>8</v>
      </c>
      <c r="D3604">
        <v>77</v>
      </c>
      <c r="E3604" s="2">
        <v>0.10953703703703704</v>
      </c>
      <c r="F3604">
        <v>157.73333333333332</v>
      </c>
    </row>
    <row r="3605" spans="1:6" x14ac:dyDescent="0.25">
      <c r="A3605" s="1">
        <v>39630</v>
      </c>
      <c r="B3605" t="s">
        <v>23</v>
      </c>
      <c r="C3605" t="s">
        <v>9</v>
      </c>
      <c r="D3605">
        <v>52</v>
      </c>
      <c r="E3605" s="2">
        <v>3.142361111111111E-2</v>
      </c>
      <c r="F3605">
        <v>45.25</v>
      </c>
    </row>
    <row r="3606" spans="1:6" x14ac:dyDescent="0.25">
      <c r="A3606" s="1">
        <v>39630</v>
      </c>
      <c r="B3606" t="s">
        <v>23</v>
      </c>
      <c r="C3606" t="s">
        <v>10</v>
      </c>
      <c r="D3606">
        <v>53</v>
      </c>
      <c r="E3606" s="2">
        <v>4.2395833333333334E-2</v>
      </c>
      <c r="F3606">
        <v>61.05</v>
      </c>
    </row>
    <row r="3607" spans="1:6" x14ac:dyDescent="0.25">
      <c r="A3607" s="1">
        <v>39630</v>
      </c>
      <c r="B3607" t="s">
        <v>23</v>
      </c>
      <c r="C3607" t="s">
        <v>11</v>
      </c>
      <c r="D3607">
        <v>63</v>
      </c>
      <c r="E3607" s="2">
        <v>5.258101851851852E-2</v>
      </c>
      <c r="F3607">
        <v>75.716666666666669</v>
      </c>
    </row>
    <row r="3608" spans="1:6" x14ac:dyDescent="0.25">
      <c r="A3608" s="1">
        <v>39630</v>
      </c>
      <c r="B3608" t="s">
        <v>24</v>
      </c>
      <c r="C3608" t="s">
        <v>6</v>
      </c>
      <c r="D3608">
        <v>104</v>
      </c>
      <c r="E3608" s="2">
        <v>9.4166666666666662E-2</v>
      </c>
      <c r="F3608">
        <v>135.6</v>
      </c>
    </row>
    <row r="3609" spans="1:6" x14ac:dyDescent="0.25">
      <c r="A3609" s="1">
        <v>39630</v>
      </c>
      <c r="B3609" t="s">
        <v>24</v>
      </c>
      <c r="C3609" t="s">
        <v>7</v>
      </c>
      <c r="D3609">
        <v>113</v>
      </c>
      <c r="E3609" s="2">
        <v>0.11362268518518519</v>
      </c>
      <c r="F3609">
        <v>163.61666666666667</v>
      </c>
    </row>
    <row r="3610" spans="1:6" x14ac:dyDescent="0.25">
      <c r="A3610" s="1">
        <v>39630</v>
      </c>
      <c r="B3610" t="s">
        <v>24</v>
      </c>
      <c r="C3610" t="s">
        <v>8</v>
      </c>
      <c r="D3610">
        <v>70</v>
      </c>
      <c r="E3610" s="2">
        <v>7.4201388888888886E-2</v>
      </c>
      <c r="F3610">
        <v>106.85</v>
      </c>
    </row>
    <row r="3611" spans="1:6" x14ac:dyDescent="0.25">
      <c r="A3611" s="1">
        <v>39630</v>
      </c>
      <c r="B3611" t="s">
        <v>24</v>
      </c>
      <c r="C3611" t="s">
        <v>9</v>
      </c>
      <c r="D3611">
        <v>54</v>
      </c>
      <c r="E3611" s="2">
        <v>3.4027777777777775E-2</v>
      </c>
      <c r="F3611">
        <v>49</v>
      </c>
    </row>
    <row r="3612" spans="1:6" x14ac:dyDescent="0.25">
      <c r="A3612" s="1">
        <v>39630</v>
      </c>
      <c r="B3612" t="s">
        <v>24</v>
      </c>
      <c r="C3612" t="s">
        <v>10</v>
      </c>
      <c r="D3612">
        <v>12</v>
      </c>
      <c r="E3612" s="2">
        <v>1.0416666666666666E-2</v>
      </c>
      <c r="F3612">
        <v>15</v>
      </c>
    </row>
    <row r="3613" spans="1:6" x14ac:dyDescent="0.25">
      <c r="A3613" s="1">
        <v>39630</v>
      </c>
      <c r="B3613" t="s">
        <v>24</v>
      </c>
      <c r="C3613" t="s">
        <v>11</v>
      </c>
      <c r="D3613">
        <v>44</v>
      </c>
      <c r="E3613" s="2">
        <v>2.7581018518518519E-2</v>
      </c>
      <c r="F3613">
        <v>39.716666666666669</v>
      </c>
    </row>
    <row r="3614" spans="1:6" x14ac:dyDescent="0.25">
      <c r="A3614" s="1">
        <v>39661</v>
      </c>
      <c r="B3614" t="s">
        <v>5</v>
      </c>
      <c r="C3614" t="s">
        <v>6</v>
      </c>
      <c r="D3614">
        <v>48</v>
      </c>
      <c r="E3614" s="2">
        <v>4.6990740740740743E-2</v>
      </c>
      <c r="F3614">
        <v>67.666666666666671</v>
      </c>
    </row>
    <row r="3615" spans="1:6" x14ac:dyDescent="0.25">
      <c r="A3615" s="1">
        <v>39661</v>
      </c>
      <c r="B3615" t="s">
        <v>5</v>
      </c>
      <c r="C3615" t="s">
        <v>7</v>
      </c>
      <c r="D3615">
        <v>50</v>
      </c>
      <c r="E3615" s="2">
        <v>4.0763888888888891E-2</v>
      </c>
      <c r="F3615">
        <v>58.7</v>
      </c>
    </row>
    <row r="3616" spans="1:6" x14ac:dyDescent="0.25">
      <c r="A3616" s="1">
        <v>39661</v>
      </c>
      <c r="B3616" t="s">
        <v>5</v>
      </c>
      <c r="C3616" t="s">
        <v>8</v>
      </c>
      <c r="D3616">
        <v>24</v>
      </c>
      <c r="E3616" s="2">
        <v>1.9571759259259261E-2</v>
      </c>
      <c r="F3616">
        <v>28.183333333333334</v>
      </c>
    </row>
    <row r="3617" spans="1:6" x14ac:dyDescent="0.25">
      <c r="A3617" s="1">
        <v>39661</v>
      </c>
      <c r="B3617" t="s">
        <v>5</v>
      </c>
      <c r="C3617" t="s">
        <v>9</v>
      </c>
      <c r="D3617">
        <v>15</v>
      </c>
      <c r="E3617" s="2">
        <v>1.0856481481481481E-2</v>
      </c>
      <c r="F3617">
        <v>15.633333333333333</v>
      </c>
    </row>
    <row r="3618" spans="1:6" x14ac:dyDescent="0.25">
      <c r="A3618" s="1">
        <v>39661</v>
      </c>
      <c r="B3618" t="s">
        <v>5</v>
      </c>
      <c r="C3618" t="s">
        <v>10</v>
      </c>
      <c r="D3618">
        <v>11</v>
      </c>
      <c r="E3618" s="2">
        <v>4.6990740740740743E-3</v>
      </c>
      <c r="F3618">
        <v>6.7666666666666666</v>
      </c>
    </row>
    <row r="3619" spans="1:6" x14ac:dyDescent="0.25">
      <c r="A3619" s="1">
        <v>39661</v>
      </c>
      <c r="B3619" t="s">
        <v>5</v>
      </c>
      <c r="C3619" t="s">
        <v>11</v>
      </c>
      <c r="D3619">
        <v>22</v>
      </c>
      <c r="E3619" s="2">
        <v>1.6921296296296295E-2</v>
      </c>
      <c r="F3619">
        <v>24.366666666666667</v>
      </c>
    </row>
    <row r="3620" spans="1:6" x14ac:dyDescent="0.25">
      <c r="A3620" s="1">
        <v>39661</v>
      </c>
      <c r="B3620" t="s">
        <v>12</v>
      </c>
      <c r="C3620" t="s">
        <v>6</v>
      </c>
      <c r="D3620">
        <v>38</v>
      </c>
      <c r="E3620" s="2">
        <v>4.4560185185185182E-2</v>
      </c>
      <c r="F3620">
        <v>64.166666666666671</v>
      </c>
    </row>
    <row r="3621" spans="1:6" x14ac:dyDescent="0.25">
      <c r="A3621" s="1">
        <v>39661</v>
      </c>
      <c r="B3621" t="s">
        <v>12</v>
      </c>
      <c r="C3621" t="s">
        <v>7</v>
      </c>
      <c r="D3621">
        <v>51</v>
      </c>
      <c r="E3621" s="2">
        <v>6.6944444444444445E-2</v>
      </c>
      <c r="F3621">
        <v>96.4</v>
      </c>
    </row>
    <row r="3622" spans="1:6" x14ac:dyDescent="0.25">
      <c r="A3622" s="1">
        <v>39661</v>
      </c>
      <c r="B3622" t="s">
        <v>12</v>
      </c>
      <c r="C3622" t="s">
        <v>8</v>
      </c>
      <c r="D3622">
        <v>20</v>
      </c>
      <c r="E3622" s="2">
        <v>2.9537037037037039E-2</v>
      </c>
      <c r="F3622">
        <v>42.533333333333331</v>
      </c>
    </row>
    <row r="3623" spans="1:6" x14ac:dyDescent="0.25">
      <c r="A3623" s="1">
        <v>39661</v>
      </c>
      <c r="B3623" t="s">
        <v>12</v>
      </c>
      <c r="C3623" t="s">
        <v>9</v>
      </c>
      <c r="D3623">
        <v>11</v>
      </c>
      <c r="E3623" s="2">
        <v>7.6851851851851855E-3</v>
      </c>
      <c r="F3623">
        <v>11.066666666666666</v>
      </c>
    </row>
    <row r="3624" spans="1:6" x14ac:dyDescent="0.25">
      <c r="A3624" s="1">
        <v>39661</v>
      </c>
      <c r="B3624" t="s">
        <v>12</v>
      </c>
      <c r="C3624" t="s">
        <v>10</v>
      </c>
      <c r="D3624">
        <v>1</v>
      </c>
      <c r="E3624" s="2">
        <v>2.3495370370370371E-3</v>
      </c>
      <c r="F3624">
        <v>3.3833333333333333</v>
      </c>
    </row>
    <row r="3625" spans="1:6" x14ac:dyDescent="0.25">
      <c r="A3625" s="1">
        <v>39661</v>
      </c>
      <c r="B3625" t="s">
        <v>12</v>
      </c>
      <c r="C3625" t="s">
        <v>11</v>
      </c>
      <c r="D3625">
        <v>20</v>
      </c>
      <c r="E3625" s="2">
        <v>1.7754629629629631E-2</v>
      </c>
      <c r="F3625">
        <v>25.566666666666666</v>
      </c>
    </row>
    <row r="3626" spans="1:6" x14ac:dyDescent="0.25">
      <c r="A3626" s="1">
        <v>39661</v>
      </c>
      <c r="B3626" t="s">
        <v>13</v>
      </c>
      <c r="C3626" t="s">
        <v>6</v>
      </c>
      <c r="D3626">
        <v>43</v>
      </c>
      <c r="E3626" s="2">
        <v>4.8715277777777781E-2</v>
      </c>
      <c r="F3626">
        <v>70.150000000000006</v>
      </c>
    </row>
    <row r="3627" spans="1:6" x14ac:dyDescent="0.25">
      <c r="A3627" s="1">
        <v>39661</v>
      </c>
      <c r="B3627" t="s">
        <v>13</v>
      </c>
      <c r="C3627" t="s">
        <v>7</v>
      </c>
      <c r="D3627">
        <v>40</v>
      </c>
      <c r="E3627" s="2">
        <v>4.221064814814815E-2</v>
      </c>
      <c r="F3627">
        <v>60.783333333333331</v>
      </c>
    </row>
    <row r="3628" spans="1:6" x14ac:dyDescent="0.25">
      <c r="A3628" s="1">
        <v>39661</v>
      </c>
      <c r="B3628" t="s">
        <v>13</v>
      </c>
      <c r="C3628" t="s">
        <v>8</v>
      </c>
      <c r="D3628">
        <v>28</v>
      </c>
      <c r="E3628" s="2">
        <v>3.7013888888888888E-2</v>
      </c>
      <c r="F3628">
        <v>53.3</v>
      </c>
    </row>
    <row r="3629" spans="1:6" x14ac:dyDescent="0.25">
      <c r="A3629" s="1">
        <v>39661</v>
      </c>
      <c r="B3629" t="s">
        <v>13</v>
      </c>
      <c r="C3629" t="s">
        <v>9</v>
      </c>
      <c r="D3629">
        <v>18</v>
      </c>
      <c r="E3629" s="2">
        <v>1.4351851851851852E-2</v>
      </c>
      <c r="F3629">
        <v>20.666666666666668</v>
      </c>
    </row>
    <row r="3630" spans="1:6" x14ac:dyDescent="0.25">
      <c r="A3630" s="1">
        <v>39661</v>
      </c>
      <c r="B3630" t="s">
        <v>13</v>
      </c>
      <c r="C3630" t="s">
        <v>10</v>
      </c>
      <c r="D3630">
        <v>14</v>
      </c>
      <c r="E3630" s="2">
        <v>9.5486111111111119E-3</v>
      </c>
      <c r="F3630">
        <v>13.75</v>
      </c>
    </row>
    <row r="3631" spans="1:6" x14ac:dyDescent="0.25">
      <c r="A3631" s="1">
        <v>39661</v>
      </c>
      <c r="B3631" t="s">
        <v>13</v>
      </c>
      <c r="C3631" t="s">
        <v>11</v>
      </c>
      <c r="D3631">
        <v>12</v>
      </c>
      <c r="E3631" s="2">
        <v>1.1597222222222222E-2</v>
      </c>
      <c r="F3631">
        <v>16.7</v>
      </c>
    </row>
    <row r="3632" spans="1:6" x14ac:dyDescent="0.25">
      <c r="A3632" s="1">
        <v>39661</v>
      </c>
      <c r="B3632" t="s">
        <v>14</v>
      </c>
      <c r="C3632" t="s">
        <v>6</v>
      </c>
      <c r="D3632">
        <v>19</v>
      </c>
      <c r="E3632" s="2">
        <v>2.0983796296296296E-2</v>
      </c>
      <c r="F3632">
        <v>30.216666666666665</v>
      </c>
    </row>
    <row r="3633" spans="1:6" x14ac:dyDescent="0.25">
      <c r="A3633" s="1">
        <v>39661</v>
      </c>
      <c r="B3633" t="s">
        <v>14</v>
      </c>
      <c r="C3633" t="s">
        <v>7</v>
      </c>
      <c r="D3633">
        <v>7</v>
      </c>
      <c r="E3633" s="2">
        <v>7.9976851851851858E-3</v>
      </c>
      <c r="F3633">
        <v>11.516666666666667</v>
      </c>
    </row>
    <row r="3634" spans="1:6" x14ac:dyDescent="0.25">
      <c r="A3634" s="1">
        <v>39661</v>
      </c>
      <c r="B3634" t="s">
        <v>14</v>
      </c>
      <c r="C3634" t="s">
        <v>8</v>
      </c>
      <c r="D3634">
        <v>4</v>
      </c>
      <c r="E3634" s="2">
        <v>5.5902777777777773E-3</v>
      </c>
      <c r="F3634">
        <v>8.0500000000000007</v>
      </c>
    </row>
    <row r="3635" spans="1:6" x14ac:dyDescent="0.25">
      <c r="A3635" s="1">
        <v>39661</v>
      </c>
      <c r="B3635" t="s">
        <v>14</v>
      </c>
      <c r="C3635" t="s">
        <v>9</v>
      </c>
      <c r="D3635">
        <v>4</v>
      </c>
      <c r="E3635" s="2">
        <v>3.1134259259259257E-3</v>
      </c>
      <c r="F3635">
        <v>4.4833333333333334</v>
      </c>
    </row>
    <row r="3636" spans="1:6" x14ac:dyDescent="0.25">
      <c r="A3636" s="1">
        <v>39661</v>
      </c>
      <c r="B3636" t="s">
        <v>14</v>
      </c>
      <c r="C3636" t="s">
        <v>11</v>
      </c>
      <c r="D3636">
        <v>2</v>
      </c>
      <c r="E3636" s="2">
        <v>2.5578703703703705E-3</v>
      </c>
      <c r="F3636">
        <v>3.6833333333333336</v>
      </c>
    </row>
    <row r="3637" spans="1:6" x14ac:dyDescent="0.25">
      <c r="A3637" s="1">
        <v>39661</v>
      </c>
      <c r="B3637" t="s">
        <v>15</v>
      </c>
      <c r="C3637" t="s">
        <v>6</v>
      </c>
      <c r="D3637">
        <v>20</v>
      </c>
      <c r="E3637" s="2">
        <v>2.0555555555555556E-2</v>
      </c>
      <c r="F3637">
        <v>29.6</v>
      </c>
    </row>
    <row r="3638" spans="1:6" x14ac:dyDescent="0.25">
      <c r="A3638" s="1">
        <v>39661</v>
      </c>
      <c r="B3638" t="s">
        <v>15</v>
      </c>
      <c r="C3638" t="s">
        <v>7</v>
      </c>
      <c r="D3638">
        <v>17</v>
      </c>
      <c r="E3638" s="2">
        <v>1.3935185185185186E-2</v>
      </c>
      <c r="F3638">
        <v>20.066666666666666</v>
      </c>
    </row>
    <row r="3639" spans="1:6" x14ac:dyDescent="0.25">
      <c r="A3639" s="1">
        <v>39661</v>
      </c>
      <c r="B3639" t="s">
        <v>15</v>
      </c>
      <c r="C3639" t="s">
        <v>8</v>
      </c>
      <c r="D3639">
        <v>14</v>
      </c>
      <c r="E3639" s="2">
        <v>1.3252314814814814E-2</v>
      </c>
      <c r="F3639">
        <v>19.083333333333332</v>
      </c>
    </row>
    <row r="3640" spans="1:6" x14ac:dyDescent="0.25">
      <c r="A3640" s="1">
        <v>39661</v>
      </c>
      <c r="B3640" t="s">
        <v>15</v>
      </c>
      <c r="C3640" t="s">
        <v>9</v>
      </c>
      <c r="D3640">
        <v>6</v>
      </c>
      <c r="E3640" s="2">
        <v>2.7777777777777779E-3</v>
      </c>
      <c r="F3640">
        <v>4</v>
      </c>
    </row>
    <row r="3641" spans="1:6" x14ac:dyDescent="0.25">
      <c r="A3641" s="1">
        <v>39661</v>
      </c>
      <c r="B3641" t="s">
        <v>15</v>
      </c>
      <c r="C3641" t="s">
        <v>10</v>
      </c>
      <c r="D3641">
        <v>6</v>
      </c>
      <c r="E3641" s="2">
        <v>6.122685185185185E-3</v>
      </c>
      <c r="F3641">
        <v>8.8166666666666664</v>
      </c>
    </row>
    <row r="3642" spans="1:6" x14ac:dyDescent="0.25">
      <c r="A3642" s="1">
        <v>39661</v>
      </c>
      <c r="B3642" t="s">
        <v>15</v>
      </c>
      <c r="C3642" t="s">
        <v>11</v>
      </c>
      <c r="D3642">
        <v>5</v>
      </c>
      <c r="E3642" s="2">
        <v>2.8819444444444444E-3</v>
      </c>
      <c r="F3642">
        <v>4.1500000000000004</v>
      </c>
    </row>
    <row r="3643" spans="1:6" x14ac:dyDescent="0.25">
      <c r="A3643" s="1">
        <v>39661</v>
      </c>
      <c r="B3643" t="s">
        <v>16</v>
      </c>
      <c r="C3643" t="s">
        <v>6</v>
      </c>
      <c r="D3643">
        <v>27</v>
      </c>
      <c r="E3643" s="2">
        <v>2.1516203703703704E-2</v>
      </c>
      <c r="F3643">
        <v>30.983333333333334</v>
      </c>
    </row>
    <row r="3644" spans="1:6" x14ac:dyDescent="0.25">
      <c r="A3644" s="1">
        <v>39661</v>
      </c>
      <c r="B3644" t="s">
        <v>16</v>
      </c>
      <c r="C3644" t="s">
        <v>7</v>
      </c>
      <c r="D3644">
        <v>18</v>
      </c>
      <c r="E3644" s="2">
        <v>1.2407407407407407E-2</v>
      </c>
      <c r="F3644">
        <v>17.866666666666667</v>
      </c>
    </row>
    <row r="3645" spans="1:6" x14ac:dyDescent="0.25">
      <c r="A3645" s="1">
        <v>39661</v>
      </c>
      <c r="B3645" t="s">
        <v>16</v>
      </c>
      <c r="C3645" t="s">
        <v>8</v>
      </c>
      <c r="D3645">
        <v>12</v>
      </c>
      <c r="E3645" s="2">
        <v>1.1678240740740741E-2</v>
      </c>
      <c r="F3645">
        <v>16.816666666666666</v>
      </c>
    </row>
    <row r="3646" spans="1:6" x14ac:dyDescent="0.25">
      <c r="A3646" s="1">
        <v>39661</v>
      </c>
      <c r="B3646" t="s">
        <v>16</v>
      </c>
      <c r="C3646" t="s">
        <v>9</v>
      </c>
      <c r="D3646">
        <v>11</v>
      </c>
      <c r="E3646" s="2">
        <v>8.2060185185185187E-3</v>
      </c>
      <c r="F3646">
        <v>11.816666666666666</v>
      </c>
    </row>
    <row r="3647" spans="1:6" x14ac:dyDescent="0.25">
      <c r="A3647" s="1">
        <v>39661</v>
      </c>
      <c r="B3647" t="s">
        <v>16</v>
      </c>
      <c r="C3647" t="s">
        <v>10</v>
      </c>
      <c r="D3647">
        <v>2</v>
      </c>
      <c r="E3647" s="2">
        <v>2.0833333333333333E-3</v>
      </c>
      <c r="F3647">
        <v>3</v>
      </c>
    </row>
    <row r="3648" spans="1:6" x14ac:dyDescent="0.25">
      <c r="A3648" s="1">
        <v>39661</v>
      </c>
      <c r="B3648" t="s">
        <v>16</v>
      </c>
      <c r="C3648" t="s">
        <v>11</v>
      </c>
      <c r="D3648">
        <v>18</v>
      </c>
      <c r="E3648" s="2">
        <v>1.2037037037037037E-2</v>
      </c>
      <c r="F3648">
        <v>17.333333333333332</v>
      </c>
    </row>
    <row r="3649" spans="1:6" x14ac:dyDescent="0.25">
      <c r="A3649" s="1">
        <v>39661</v>
      </c>
      <c r="B3649" t="s">
        <v>17</v>
      </c>
      <c r="C3649" t="s">
        <v>6</v>
      </c>
      <c r="D3649">
        <v>8</v>
      </c>
      <c r="E3649" s="2">
        <v>6.2500000000000003E-3</v>
      </c>
      <c r="F3649">
        <v>9</v>
      </c>
    </row>
    <row r="3650" spans="1:6" x14ac:dyDescent="0.25">
      <c r="A3650" s="1">
        <v>39661</v>
      </c>
      <c r="B3650" t="s">
        <v>17</v>
      </c>
      <c r="C3650" t="s">
        <v>7</v>
      </c>
      <c r="D3650">
        <v>13</v>
      </c>
      <c r="E3650" s="2">
        <v>9.9768518518518513E-3</v>
      </c>
      <c r="F3650">
        <v>14.366666666666667</v>
      </c>
    </row>
    <row r="3651" spans="1:6" x14ac:dyDescent="0.25">
      <c r="A3651" s="1">
        <v>39661</v>
      </c>
      <c r="B3651" t="s">
        <v>17</v>
      </c>
      <c r="C3651" t="s">
        <v>8</v>
      </c>
      <c r="D3651">
        <v>11</v>
      </c>
      <c r="E3651" s="2">
        <v>1.0810185185185185E-2</v>
      </c>
      <c r="F3651">
        <v>15.566666666666666</v>
      </c>
    </row>
    <row r="3652" spans="1:6" x14ac:dyDescent="0.25">
      <c r="A3652" s="1">
        <v>39661</v>
      </c>
      <c r="B3652" t="s">
        <v>17</v>
      </c>
      <c r="C3652" t="s">
        <v>9</v>
      </c>
      <c r="D3652">
        <v>6</v>
      </c>
      <c r="E3652" s="2">
        <v>4.0046296296296297E-3</v>
      </c>
      <c r="F3652">
        <v>5.7666666666666666</v>
      </c>
    </row>
    <row r="3653" spans="1:6" x14ac:dyDescent="0.25">
      <c r="A3653" s="1">
        <v>39661</v>
      </c>
      <c r="B3653" t="s">
        <v>17</v>
      </c>
      <c r="C3653" t="s">
        <v>10</v>
      </c>
      <c r="D3653">
        <v>7</v>
      </c>
      <c r="E3653" s="2">
        <v>4.9537037037037041E-3</v>
      </c>
      <c r="F3653">
        <v>7.1333333333333337</v>
      </c>
    </row>
    <row r="3654" spans="1:6" x14ac:dyDescent="0.25">
      <c r="A3654" s="1">
        <v>39661</v>
      </c>
      <c r="B3654" t="s">
        <v>17</v>
      </c>
      <c r="C3654" t="s">
        <v>11</v>
      </c>
      <c r="D3654">
        <v>4</v>
      </c>
      <c r="E3654" s="2">
        <v>2.3842592592592591E-3</v>
      </c>
      <c r="F3654">
        <v>3.4333333333333336</v>
      </c>
    </row>
    <row r="3655" spans="1:6" x14ac:dyDescent="0.25">
      <c r="A3655" s="1">
        <v>39661</v>
      </c>
      <c r="B3655" t="s">
        <v>18</v>
      </c>
      <c r="C3655" t="s">
        <v>6</v>
      </c>
      <c r="D3655">
        <v>115</v>
      </c>
      <c r="E3655" s="2">
        <v>0.11706018518518518</v>
      </c>
      <c r="F3655">
        <v>168.56666666666666</v>
      </c>
    </row>
    <row r="3656" spans="1:6" x14ac:dyDescent="0.25">
      <c r="A3656" s="1">
        <v>39661</v>
      </c>
      <c r="B3656" t="s">
        <v>18</v>
      </c>
      <c r="C3656" t="s">
        <v>7</v>
      </c>
      <c r="D3656">
        <v>119</v>
      </c>
      <c r="E3656" s="2">
        <v>0.12991898148148148</v>
      </c>
      <c r="F3656">
        <v>187.08333333333334</v>
      </c>
    </row>
    <row r="3657" spans="1:6" x14ac:dyDescent="0.25">
      <c r="A3657" s="1">
        <v>39661</v>
      </c>
      <c r="B3657" t="s">
        <v>18</v>
      </c>
      <c r="C3657" t="s">
        <v>8</v>
      </c>
      <c r="D3657">
        <v>92</v>
      </c>
      <c r="E3657" s="2">
        <v>0.10980324074074074</v>
      </c>
      <c r="F3657">
        <v>158.11666666666667</v>
      </c>
    </row>
    <row r="3658" spans="1:6" x14ac:dyDescent="0.25">
      <c r="A3658" s="1">
        <v>39661</v>
      </c>
      <c r="B3658" t="s">
        <v>18</v>
      </c>
      <c r="C3658" t="s">
        <v>9</v>
      </c>
      <c r="D3658">
        <v>74</v>
      </c>
      <c r="E3658" s="2">
        <v>5.4884259259259258E-2</v>
      </c>
      <c r="F3658">
        <v>79.033333333333331</v>
      </c>
    </row>
    <row r="3659" spans="1:6" x14ac:dyDescent="0.25">
      <c r="A3659" s="1">
        <v>39661</v>
      </c>
      <c r="B3659" t="s">
        <v>18</v>
      </c>
      <c r="C3659" t="s">
        <v>10</v>
      </c>
      <c r="D3659">
        <v>151</v>
      </c>
      <c r="E3659" s="2">
        <v>0.14234953703703704</v>
      </c>
      <c r="F3659">
        <v>204.98333333333332</v>
      </c>
    </row>
    <row r="3660" spans="1:6" x14ac:dyDescent="0.25">
      <c r="A3660" s="1">
        <v>39661</v>
      </c>
      <c r="B3660" t="s">
        <v>18</v>
      </c>
      <c r="C3660" t="s">
        <v>11</v>
      </c>
      <c r="D3660">
        <v>45</v>
      </c>
      <c r="E3660" s="2">
        <v>3.5451388888888886E-2</v>
      </c>
      <c r="F3660">
        <v>51.05</v>
      </c>
    </row>
    <row r="3661" spans="1:6" x14ac:dyDescent="0.25">
      <c r="A3661" s="1">
        <v>39661</v>
      </c>
      <c r="B3661" t="s">
        <v>19</v>
      </c>
      <c r="C3661" t="s">
        <v>6</v>
      </c>
      <c r="D3661">
        <v>18</v>
      </c>
      <c r="E3661" s="2">
        <v>2.1180555555555557E-2</v>
      </c>
      <c r="F3661">
        <v>30.5</v>
      </c>
    </row>
    <row r="3662" spans="1:6" x14ac:dyDescent="0.25">
      <c r="A3662" s="1">
        <v>39661</v>
      </c>
      <c r="B3662" t="s">
        <v>19</v>
      </c>
      <c r="C3662" t="s">
        <v>7</v>
      </c>
      <c r="D3662">
        <v>24</v>
      </c>
      <c r="E3662" s="2">
        <v>2.2893518518518518E-2</v>
      </c>
      <c r="F3662">
        <v>32.966666666666669</v>
      </c>
    </row>
    <row r="3663" spans="1:6" x14ac:dyDescent="0.25">
      <c r="A3663" s="1">
        <v>39661</v>
      </c>
      <c r="B3663" t="s">
        <v>19</v>
      </c>
      <c r="C3663" t="s">
        <v>8</v>
      </c>
      <c r="D3663">
        <v>20</v>
      </c>
      <c r="E3663" s="2">
        <v>2.0405092592592593E-2</v>
      </c>
      <c r="F3663">
        <v>29.383333333333333</v>
      </c>
    </row>
    <row r="3664" spans="1:6" x14ac:dyDescent="0.25">
      <c r="A3664" s="1">
        <v>39661</v>
      </c>
      <c r="B3664" t="s">
        <v>19</v>
      </c>
      <c r="C3664" t="s">
        <v>9</v>
      </c>
      <c r="D3664">
        <v>13</v>
      </c>
      <c r="E3664" s="2">
        <v>8.3796296296296292E-3</v>
      </c>
      <c r="F3664">
        <v>12.066666666666666</v>
      </c>
    </row>
    <row r="3665" spans="1:6" x14ac:dyDescent="0.25">
      <c r="A3665" s="1">
        <v>39661</v>
      </c>
      <c r="B3665" t="s">
        <v>19</v>
      </c>
      <c r="C3665" t="s">
        <v>10</v>
      </c>
      <c r="D3665">
        <v>17</v>
      </c>
      <c r="E3665" s="2">
        <v>1.0729166666666666E-2</v>
      </c>
      <c r="F3665">
        <v>15.45</v>
      </c>
    </row>
    <row r="3666" spans="1:6" x14ac:dyDescent="0.25">
      <c r="A3666" s="1">
        <v>39661</v>
      </c>
      <c r="B3666" t="s">
        <v>19</v>
      </c>
      <c r="C3666" t="s">
        <v>11</v>
      </c>
      <c r="D3666">
        <v>12</v>
      </c>
      <c r="E3666" s="2">
        <v>1.0219907407407407E-2</v>
      </c>
      <c r="F3666">
        <v>14.716666666666667</v>
      </c>
    </row>
    <row r="3667" spans="1:6" x14ac:dyDescent="0.25">
      <c r="A3667" s="1">
        <v>39661</v>
      </c>
      <c r="B3667" t="s">
        <v>20</v>
      </c>
      <c r="C3667" t="s">
        <v>6</v>
      </c>
      <c r="D3667">
        <v>14</v>
      </c>
      <c r="E3667" s="2">
        <v>1.4386574074074074E-2</v>
      </c>
      <c r="F3667">
        <v>20.716666666666665</v>
      </c>
    </row>
    <row r="3668" spans="1:6" x14ac:dyDescent="0.25">
      <c r="A3668" s="1">
        <v>39661</v>
      </c>
      <c r="B3668" t="s">
        <v>20</v>
      </c>
      <c r="C3668" t="s">
        <v>7</v>
      </c>
      <c r="D3668">
        <v>16</v>
      </c>
      <c r="E3668" s="2">
        <v>1.6238425925925927E-2</v>
      </c>
      <c r="F3668">
        <v>23.383333333333333</v>
      </c>
    </row>
    <row r="3669" spans="1:6" x14ac:dyDescent="0.25">
      <c r="A3669" s="1">
        <v>39661</v>
      </c>
      <c r="B3669" t="s">
        <v>20</v>
      </c>
      <c r="C3669" t="s">
        <v>8</v>
      </c>
      <c r="D3669">
        <v>11</v>
      </c>
      <c r="E3669" s="2">
        <v>1.5474537037037037E-2</v>
      </c>
      <c r="F3669">
        <v>22.283333333333335</v>
      </c>
    </row>
    <row r="3670" spans="1:6" x14ac:dyDescent="0.25">
      <c r="A3670" s="1">
        <v>39661</v>
      </c>
      <c r="B3670" t="s">
        <v>20</v>
      </c>
      <c r="C3670" t="s">
        <v>9</v>
      </c>
      <c r="D3670">
        <v>4</v>
      </c>
      <c r="E3670" s="2">
        <v>4.409722222222222E-3</v>
      </c>
      <c r="F3670">
        <v>6.35</v>
      </c>
    </row>
    <row r="3671" spans="1:6" x14ac:dyDescent="0.25">
      <c r="A3671" s="1">
        <v>39661</v>
      </c>
      <c r="B3671" t="s">
        <v>20</v>
      </c>
      <c r="C3671" t="s">
        <v>10</v>
      </c>
      <c r="D3671">
        <v>3</v>
      </c>
      <c r="E3671" s="2">
        <v>4.3287037037037035E-3</v>
      </c>
      <c r="F3671">
        <v>6.2333333333333334</v>
      </c>
    </row>
    <row r="3672" spans="1:6" x14ac:dyDescent="0.25">
      <c r="A3672" s="1">
        <v>39661</v>
      </c>
      <c r="B3672" t="s">
        <v>20</v>
      </c>
      <c r="C3672" t="s">
        <v>11</v>
      </c>
      <c r="D3672">
        <v>10</v>
      </c>
      <c r="E3672" s="2">
        <v>8.3680555555555557E-3</v>
      </c>
      <c r="F3672">
        <v>12.05</v>
      </c>
    </row>
    <row r="3673" spans="1:6" x14ac:dyDescent="0.25">
      <c r="A3673" s="1">
        <v>39661</v>
      </c>
      <c r="B3673" t="s">
        <v>21</v>
      </c>
      <c r="C3673" t="s">
        <v>6</v>
      </c>
      <c r="D3673">
        <v>19</v>
      </c>
      <c r="E3673" s="2">
        <v>1.8333333333333333E-2</v>
      </c>
      <c r="F3673">
        <v>26.4</v>
      </c>
    </row>
    <row r="3674" spans="1:6" x14ac:dyDescent="0.25">
      <c r="A3674" s="1">
        <v>39661</v>
      </c>
      <c r="B3674" t="s">
        <v>21</v>
      </c>
      <c r="C3674" t="s">
        <v>7</v>
      </c>
      <c r="D3674">
        <v>17</v>
      </c>
      <c r="E3674" s="2">
        <v>2.2800925925925926E-2</v>
      </c>
      <c r="F3674">
        <v>32.833333333333336</v>
      </c>
    </row>
    <row r="3675" spans="1:6" x14ac:dyDescent="0.25">
      <c r="A3675" s="1">
        <v>39661</v>
      </c>
      <c r="B3675" t="s">
        <v>21</v>
      </c>
      <c r="C3675" t="s">
        <v>8</v>
      </c>
      <c r="D3675">
        <v>9</v>
      </c>
      <c r="E3675" s="2">
        <v>1.0648148148148148E-2</v>
      </c>
      <c r="F3675">
        <v>15.333333333333334</v>
      </c>
    </row>
    <row r="3676" spans="1:6" x14ac:dyDescent="0.25">
      <c r="A3676" s="1">
        <v>39661</v>
      </c>
      <c r="B3676" t="s">
        <v>21</v>
      </c>
      <c r="C3676" t="s">
        <v>9</v>
      </c>
      <c r="D3676">
        <v>7</v>
      </c>
      <c r="E3676" s="2">
        <v>5.5555555555555558E-3</v>
      </c>
      <c r="F3676">
        <v>8</v>
      </c>
    </row>
    <row r="3677" spans="1:6" x14ac:dyDescent="0.25">
      <c r="A3677" s="1">
        <v>39661</v>
      </c>
      <c r="B3677" t="s">
        <v>21</v>
      </c>
      <c r="C3677" t="s">
        <v>10</v>
      </c>
      <c r="D3677">
        <v>2</v>
      </c>
      <c r="E3677" s="2">
        <v>2.1990740740740742E-3</v>
      </c>
      <c r="F3677">
        <v>3.1666666666666665</v>
      </c>
    </row>
    <row r="3678" spans="1:6" x14ac:dyDescent="0.25">
      <c r="A3678" s="1">
        <v>39661</v>
      </c>
      <c r="B3678" t="s">
        <v>21</v>
      </c>
      <c r="C3678" t="s">
        <v>11</v>
      </c>
      <c r="D3678">
        <v>8</v>
      </c>
      <c r="E3678" s="2">
        <v>7.4537037037037037E-3</v>
      </c>
      <c r="F3678">
        <v>10.733333333333333</v>
      </c>
    </row>
    <row r="3679" spans="1:6" x14ac:dyDescent="0.25">
      <c r="A3679" s="1">
        <v>39661</v>
      </c>
      <c r="B3679" t="s">
        <v>22</v>
      </c>
      <c r="C3679" t="s">
        <v>6</v>
      </c>
      <c r="D3679">
        <v>9</v>
      </c>
      <c r="E3679" s="2">
        <v>9.8495370370370369E-3</v>
      </c>
      <c r="F3679">
        <v>14.183333333333334</v>
      </c>
    </row>
    <row r="3680" spans="1:6" x14ac:dyDescent="0.25">
      <c r="A3680" s="1">
        <v>39661</v>
      </c>
      <c r="B3680" t="s">
        <v>22</v>
      </c>
      <c r="C3680" t="s">
        <v>7</v>
      </c>
      <c r="D3680">
        <v>12</v>
      </c>
      <c r="E3680" s="2">
        <v>1.0462962962962962E-2</v>
      </c>
      <c r="F3680">
        <v>15.066666666666666</v>
      </c>
    </row>
    <row r="3681" spans="1:6" x14ac:dyDescent="0.25">
      <c r="A3681" s="1">
        <v>39661</v>
      </c>
      <c r="B3681" t="s">
        <v>22</v>
      </c>
      <c r="C3681" t="s">
        <v>8</v>
      </c>
      <c r="D3681">
        <v>5</v>
      </c>
      <c r="E3681" s="2">
        <v>4.0046296296296297E-3</v>
      </c>
      <c r="F3681">
        <v>5.7666666666666666</v>
      </c>
    </row>
    <row r="3682" spans="1:6" x14ac:dyDescent="0.25">
      <c r="A3682" s="1">
        <v>39661</v>
      </c>
      <c r="B3682" t="s">
        <v>22</v>
      </c>
      <c r="C3682" t="s">
        <v>9</v>
      </c>
      <c r="D3682">
        <v>11</v>
      </c>
      <c r="E3682" s="2">
        <v>4.3287037037037035E-3</v>
      </c>
      <c r="F3682">
        <v>6.2333333333333334</v>
      </c>
    </row>
    <row r="3683" spans="1:6" x14ac:dyDescent="0.25">
      <c r="A3683" s="1">
        <v>39661</v>
      </c>
      <c r="B3683" t="s">
        <v>22</v>
      </c>
      <c r="C3683" t="s">
        <v>10</v>
      </c>
      <c r="D3683">
        <v>3</v>
      </c>
      <c r="E3683" s="2">
        <v>3.8773148148148148E-3</v>
      </c>
      <c r="F3683">
        <v>5.583333333333333</v>
      </c>
    </row>
    <row r="3684" spans="1:6" x14ac:dyDescent="0.25">
      <c r="A3684" s="1">
        <v>39661</v>
      </c>
      <c r="B3684" t="s">
        <v>22</v>
      </c>
      <c r="C3684" t="s">
        <v>11</v>
      </c>
      <c r="D3684">
        <v>6</v>
      </c>
      <c r="E3684" s="2">
        <v>3.9120370370370368E-3</v>
      </c>
      <c r="F3684">
        <v>5.6333333333333329</v>
      </c>
    </row>
    <row r="3685" spans="1:6" x14ac:dyDescent="0.25">
      <c r="A3685" s="1">
        <v>39661</v>
      </c>
      <c r="B3685" t="s">
        <v>23</v>
      </c>
      <c r="C3685" t="s">
        <v>6</v>
      </c>
      <c r="D3685">
        <v>92</v>
      </c>
      <c r="E3685" s="2">
        <v>8.6423611111111118E-2</v>
      </c>
      <c r="F3685">
        <v>124.45</v>
      </c>
    </row>
    <row r="3686" spans="1:6" x14ac:dyDescent="0.25">
      <c r="A3686" s="1">
        <v>39661</v>
      </c>
      <c r="B3686" t="s">
        <v>23</v>
      </c>
      <c r="C3686" t="s">
        <v>7</v>
      </c>
      <c r="D3686">
        <v>76</v>
      </c>
      <c r="E3686" s="2">
        <v>7.5069444444444439E-2</v>
      </c>
      <c r="F3686">
        <v>108.1</v>
      </c>
    </row>
    <row r="3687" spans="1:6" x14ac:dyDescent="0.25">
      <c r="A3687" s="1">
        <v>39661</v>
      </c>
      <c r="B3687" t="s">
        <v>23</v>
      </c>
      <c r="C3687" t="s">
        <v>8</v>
      </c>
      <c r="D3687">
        <v>63</v>
      </c>
      <c r="E3687" s="2">
        <v>7.0636574074074074E-2</v>
      </c>
      <c r="F3687">
        <v>101.71666666666667</v>
      </c>
    </row>
    <row r="3688" spans="1:6" x14ac:dyDescent="0.25">
      <c r="A3688" s="1">
        <v>39661</v>
      </c>
      <c r="B3688" t="s">
        <v>23</v>
      </c>
      <c r="C3688" t="s">
        <v>9</v>
      </c>
      <c r="D3688">
        <v>37</v>
      </c>
      <c r="E3688" s="2">
        <v>2.5312500000000002E-2</v>
      </c>
      <c r="F3688">
        <v>36.450000000000003</v>
      </c>
    </row>
    <row r="3689" spans="1:6" x14ac:dyDescent="0.25">
      <c r="A3689" s="1">
        <v>39661</v>
      </c>
      <c r="B3689" t="s">
        <v>23</v>
      </c>
      <c r="C3689" t="s">
        <v>10</v>
      </c>
      <c r="D3689">
        <v>39</v>
      </c>
      <c r="E3689" s="2">
        <v>4.6365740740740742E-2</v>
      </c>
      <c r="F3689">
        <v>66.766666666666666</v>
      </c>
    </row>
    <row r="3690" spans="1:6" x14ac:dyDescent="0.25">
      <c r="A3690" s="1">
        <v>39661</v>
      </c>
      <c r="B3690" t="s">
        <v>23</v>
      </c>
      <c r="C3690" t="s">
        <v>11</v>
      </c>
      <c r="D3690">
        <v>41</v>
      </c>
      <c r="E3690" s="2">
        <v>3.2037037037037037E-2</v>
      </c>
      <c r="F3690">
        <v>46.133333333333333</v>
      </c>
    </row>
    <row r="3691" spans="1:6" x14ac:dyDescent="0.25">
      <c r="A3691" s="1">
        <v>39661</v>
      </c>
      <c r="B3691" t="s">
        <v>24</v>
      </c>
      <c r="C3691" t="s">
        <v>6</v>
      </c>
      <c r="D3691">
        <v>128</v>
      </c>
      <c r="E3691" s="2">
        <v>0.14754629629629629</v>
      </c>
      <c r="F3691">
        <v>212.46666666666667</v>
      </c>
    </row>
    <row r="3692" spans="1:6" x14ac:dyDescent="0.25">
      <c r="A3692" s="1">
        <v>39661</v>
      </c>
      <c r="B3692" t="s">
        <v>24</v>
      </c>
      <c r="C3692" t="s">
        <v>7</v>
      </c>
      <c r="D3692">
        <v>149</v>
      </c>
      <c r="E3692" s="2">
        <v>0.14940972222222224</v>
      </c>
      <c r="F3692">
        <v>215.15</v>
      </c>
    </row>
    <row r="3693" spans="1:6" x14ac:dyDescent="0.25">
      <c r="A3693" s="1">
        <v>39661</v>
      </c>
      <c r="B3693" t="s">
        <v>24</v>
      </c>
      <c r="C3693" t="s">
        <v>8</v>
      </c>
      <c r="D3693">
        <v>88</v>
      </c>
      <c r="E3693" s="2">
        <v>0.10886574074074074</v>
      </c>
      <c r="F3693">
        <v>156.76666666666668</v>
      </c>
    </row>
    <row r="3694" spans="1:6" x14ac:dyDescent="0.25">
      <c r="A3694" s="1">
        <v>39661</v>
      </c>
      <c r="B3694" t="s">
        <v>24</v>
      </c>
      <c r="C3694" t="s">
        <v>9</v>
      </c>
      <c r="D3694">
        <v>56</v>
      </c>
      <c r="E3694" s="2">
        <v>4.5787037037037036E-2</v>
      </c>
      <c r="F3694">
        <v>65.933333333333337</v>
      </c>
    </row>
    <row r="3695" spans="1:6" x14ac:dyDescent="0.25">
      <c r="A3695" s="1">
        <v>39661</v>
      </c>
      <c r="B3695" t="s">
        <v>24</v>
      </c>
      <c r="C3695" t="s">
        <v>10</v>
      </c>
      <c r="D3695">
        <v>17</v>
      </c>
      <c r="E3695" s="2">
        <v>2.1261574074074075E-2</v>
      </c>
      <c r="F3695">
        <v>30.616666666666667</v>
      </c>
    </row>
    <row r="3696" spans="1:6" x14ac:dyDescent="0.25">
      <c r="A3696" s="1">
        <v>39661</v>
      </c>
      <c r="B3696" t="s">
        <v>24</v>
      </c>
      <c r="C3696" t="s">
        <v>11</v>
      </c>
      <c r="D3696">
        <v>63</v>
      </c>
      <c r="E3696" s="2">
        <v>4.6504629629629632E-2</v>
      </c>
      <c r="F3696">
        <v>66.966666666666669</v>
      </c>
    </row>
    <row r="3697" spans="1:6" x14ac:dyDescent="0.25">
      <c r="A3697" s="1">
        <v>39692</v>
      </c>
      <c r="B3697" t="s">
        <v>5</v>
      </c>
      <c r="C3697" t="s">
        <v>6</v>
      </c>
      <c r="D3697">
        <v>49</v>
      </c>
      <c r="E3697" s="2">
        <v>3.9988425925925927E-2</v>
      </c>
      <c r="F3697">
        <v>57.583333333333336</v>
      </c>
    </row>
    <row r="3698" spans="1:6" x14ac:dyDescent="0.25">
      <c r="A3698" s="1">
        <v>39692</v>
      </c>
      <c r="B3698" t="s">
        <v>5</v>
      </c>
      <c r="C3698" t="s">
        <v>7</v>
      </c>
      <c r="D3698">
        <v>49</v>
      </c>
      <c r="E3698" s="2">
        <v>3.6712962962962961E-2</v>
      </c>
      <c r="F3698">
        <v>52.866666666666667</v>
      </c>
    </row>
    <row r="3699" spans="1:6" x14ac:dyDescent="0.25">
      <c r="A3699" s="1">
        <v>39692</v>
      </c>
      <c r="B3699" t="s">
        <v>5</v>
      </c>
      <c r="C3699" t="s">
        <v>8</v>
      </c>
      <c r="D3699">
        <v>33</v>
      </c>
      <c r="E3699" s="2">
        <v>3.1134259259259261E-2</v>
      </c>
      <c r="F3699">
        <v>44.833333333333336</v>
      </c>
    </row>
    <row r="3700" spans="1:6" x14ac:dyDescent="0.25">
      <c r="A3700" s="1">
        <v>39692</v>
      </c>
      <c r="B3700" t="s">
        <v>5</v>
      </c>
      <c r="C3700" t="s">
        <v>9</v>
      </c>
      <c r="D3700">
        <v>20</v>
      </c>
      <c r="E3700" s="2">
        <v>1.0243055555555556E-2</v>
      </c>
      <c r="F3700">
        <v>14.75</v>
      </c>
    </row>
    <row r="3701" spans="1:6" x14ac:dyDescent="0.25">
      <c r="A3701" s="1">
        <v>39692</v>
      </c>
      <c r="B3701" t="s">
        <v>5</v>
      </c>
      <c r="C3701" t="s">
        <v>10</v>
      </c>
      <c r="D3701">
        <v>21</v>
      </c>
      <c r="E3701" s="2">
        <v>1.3761574074074074E-2</v>
      </c>
      <c r="F3701">
        <v>19.816666666666666</v>
      </c>
    </row>
    <row r="3702" spans="1:6" x14ac:dyDescent="0.25">
      <c r="A3702" s="1">
        <v>39692</v>
      </c>
      <c r="B3702" t="s">
        <v>5</v>
      </c>
      <c r="C3702" t="s">
        <v>11</v>
      </c>
      <c r="D3702">
        <v>27</v>
      </c>
      <c r="E3702" s="2">
        <v>2.1099537037037038E-2</v>
      </c>
      <c r="F3702">
        <v>30.383333333333333</v>
      </c>
    </row>
    <row r="3703" spans="1:6" x14ac:dyDescent="0.25">
      <c r="A3703" s="1">
        <v>39692</v>
      </c>
      <c r="B3703" t="s">
        <v>12</v>
      </c>
      <c r="C3703" t="s">
        <v>6</v>
      </c>
      <c r="D3703">
        <v>55</v>
      </c>
      <c r="E3703" s="2">
        <v>7.2222222222222215E-2</v>
      </c>
      <c r="F3703">
        <v>104</v>
      </c>
    </row>
    <row r="3704" spans="1:6" x14ac:dyDescent="0.25">
      <c r="A3704" s="1">
        <v>39692</v>
      </c>
      <c r="B3704" t="s">
        <v>12</v>
      </c>
      <c r="C3704" t="s">
        <v>7</v>
      </c>
      <c r="D3704">
        <v>72</v>
      </c>
      <c r="E3704" s="2">
        <v>9.4953703703703707E-2</v>
      </c>
      <c r="F3704">
        <v>136.73333333333332</v>
      </c>
    </row>
    <row r="3705" spans="1:6" x14ac:dyDescent="0.25">
      <c r="A3705" s="1">
        <v>39692</v>
      </c>
      <c r="B3705" t="s">
        <v>12</v>
      </c>
      <c r="C3705" t="s">
        <v>8</v>
      </c>
      <c r="D3705">
        <v>50</v>
      </c>
      <c r="E3705" s="2">
        <v>6.3958333333333339E-2</v>
      </c>
      <c r="F3705">
        <v>92.1</v>
      </c>
    </row>
    <row r="3706" spans="1:6" x14ac:dyDescent="0.25">
      <c r="A3706" s="1">
        <v>39692</v>
      </c>
      <c r="B3706" t="s">
        <v>12</v>
      </c>
      <c r="C3706" t="s">
        <v>9</v>
      </c>
      <c r="D3706">
        <v>20</v>
      </c>
      <c r="E3706" s="2">
        <v>1.0925925925925926E-2</v>
      </c>
      <c r="F3706">
        <v>15.733333333333333</v>
      </c>
    </row>
    <row r="3707" spans="1:6" x14ac:dyDescent="0.25">
      <c r="A3707" s="1">
        <v>39692</v>
      </c>
      <c r="B3707" t="s">
        <v>12</v>
      </c>
      <c r="C3707" t="s">
        <v>10</v>
      </c>
      <c r="D3707">
        <v>5</v>
      </c>
      <c r="E3707" s="2">
        <v>5.9143518518518521E-3</v>
      </c>
      <c r="F3707">
        <v>8.5166666666666675</v>
      </c>
    </row>
    <row r="3708" spans="1:6" x14ac:dyDescent="0.25">
      <c r="A3708" s="1">
        <v>39692</v>
      </c>
      <c r="B3708" t="s">
        <v>12</v>
      </c>
      <c r="C3708" t="s">
        <v>11</v>
      </c>
      <c r="D3708">
        <v>28</v>
      </c>
      <c r="E3708" s="2">
        <v>2.6493055555555554E-2</v>
      </c>
      <c r="F3708">
        <v>38.15</v>
      </c>
    </row>
    <row r="3709" spans="1:6" x14ac:dyDescent="0.25">
      <c r="A3709" s="1">
        <v>39692</v>
      </c>
      <c r="B3709" t="s">
        <v>13</v>
      </c>
      <c r="C3709" t="s">
        <v>6</v>
      </c>
      <c r="D3709">
        <v>122</v>
      </c>
      <c r="E3709" s="2">
        <v>0.1272337962962963</v>
      </c>
      <c r="F3709">
        <v>183.21666666666667</v>
      </c>
    </row>
    <row r="3710" spans="1:6" x14ac:dyDescent="0.25">
      <c r="A3710" s="1">
        <v>39692</v>
      </c>
      <c r="B3710" t="s">
        <v>13</v>
      </c>
      <c r="C3710" t="s">
        <v>7</v>
      </c>
      <c r="D3710">
        <v>127</v>
      </c>
      <c r="E3710" s="2">
        <v>0.14383101851851851</v>
      </c>
      <c r="F3710">
        <v>207.11666666666667</v>
      </c>
    </row>
    <row r="3711" spans="1:6" x14ac:dyDescent="0.25">
      <c r="A3711" s="1">
        <v>39692</v>
      </c>
      <c r="B3711" t="s">
        <v>13</v>
      </c>
      <c r="C3711" t="s">
        <v>8</v>
      </c>
      <c r="D3711">
        <v>76</v>
      </c>
      <c r="E3711" s="2">
        <v>0.10188657407407407</v>
      </c>
      <c r="F3711">
        <v>146.71666666666667</v>
      </c>
    </row>
    <row r="3712" spans="1:6" x14ac:dyDescent="0.25">
      <c r="A3712" s="1">
        <v>39692</v>
      </c>
      <c r="B3712" t="s">
        <v>13</v>
      </c>
      <c r="C3712" t="s">
        <v>9</v>
      </c>
      <c r="D3712">
        <v>62</v>
      </c>
      <c r="E3712" s="2">
        <v>5.1562499999999997E-2</v>
      </c>
      <c r="F3712">
        <v>74.25</v>
      </c>
    </row>
    <row r="3713" spans="1:6" x14ac:dyDescent="0.25">
      <c r="A3713" s="1">
        <v>39692</v>
      </c>
      <c r="B3713" t="s">
        <v>13</v>
      </c>
      <c r="C3713" t="s">
        <v>10</v>
      </c>
      <c r="D3713">
        <v>65</v>
      </c>
      <c r="E3713" s="2">
        <v>6.6180555555555562E-2</v>
      </c>
      <c r="F3713">
        <v>95.3</v>
      </c>
    </row>
    <row r="3714" spans="1:6" x14ac:dyDescent="0.25">
      <c r="A3714" s="1">
        <v>39692</v>
      </c>
      <c r="B3714" t="s">
        <v>13</v>
      </c>
      <c r="C3714" t="s">
        <v>11</v>
      </c>
      <c r="D3714">
        <v>45</v>
      </c>
      <c r="E3714" s="2">
        <v>4.0601851851851854E-2</v>
      </c>
      <c r="F3714">
        <v>58.466666666666669</v>
      </c>
    </row>
    <row r="3715" spans="1:6" x14ac:dyDescent="0.25">
      <c r="A3715" s="1">
        <v>39692</v>
      </c>
      <c r="B3715" t="s">
        <v>14</v>
      </c>
      <c r="C3715" t="s">
        <v>6</v>
      </c>
      <c r="D3715">
        <v>40</v>
      </c>
      <c r="E3715" s="2">
        <v>5.5520833333333332E-2</v>
      </c>
      <c r="F3715">
        <v>79.95</v>
      </c>
    </row>
    <row r="3716" spans="1:6" x14ac:dyDescent="0.25">
      <c r="A3716" s="1">
        <v>39692</v>
      </c>
      <c r="B3716" t="s">
        <v>14</v>
      </c>
      <c r="C3716" t="s">
        <v>7</v>
      </c>
      <c r="D3716">
        <v>26</v>
      </c>
      <c r="E3716" s="2">
        <v>3.8935185185185184E-2</v>
      </c>
      <c r="F3716">
        <v>56.06666666666667</v>
      </c>
    </row>
    <row r="3717" spans="1:6" x14ac:dyDescent="0.25">
      <c r="A3717" s="1">
        <v>39692</v>
      </c>
      <c r="B3717" t="s">
        <v>14</v>
      </c>
      <c r="C3717" t="s">
        <v>8</v>
      </c>
      <c r="D3717">
        <v>10</v>
      </c>
      <c r="E3717" s="2">
        <v>1.3171296296296296E-2</v>
      </c>
      <c r="F3717">
        <v>18.966666666666665</v>
      </c>
    </row>
    <row r="3718" spans="1:6" x14ac:dyDescent="0.25">
      <c r="A3718" s="1">
        <v>39692</v>
      </c>
      <c r="B3718" t="s">
        <v>14</v>
      </c>
      <c r="C3718" t="s">
        <v>9</v>
      </c>
      <c r="D3718">
        <v>12</v>
      </c>
      <c r="E3718" s="2">
        <v>1.074074074074074E-2</v>
      </c>
      <c r="F3718">
        <v>15.466666666666667</v>
      </c>
    </row>
    <row r="3719" spans="1:6" x14ac:dyDescent="0.25">
      <c r="A3719" s="1">
        <v>39692</v>
      </c>
      <c r="B3719" t="s">
        <v>14</v>
      </c>
      <c r="C3719" t="s">
        <v>10</v>
      </c>
      <c r="D3719">
        <v>3</v>
      </c>
      <c r="E3719" s="2">
        <v>5.5092592592592589E-3</v>
      </c>
      <c r="F3719">
        <v>7.9333333333333336</v>
      </c>
    </row>
    <row r="3720" spans="1:6" x14ac:dyDescent="0.25">
      <c r="A3720" s="1">
        <v>39692</v>
      </c>
      <c r="B3720" t="s">
        <v>14</v>
      </c>
      <c r="C3720" t="s">
        <v>11</v>
      </c>
      <c r="D3720">
        <v>19</v>
      </c>
      <c r="E3720" s="2">
        <v>1.8761574074074073E-2</v>
      </c>
      <c r="F3720">
        <v>27.016666666666666</v>
      </c>
    </row>
    <row r="3721" spans="1:6" x14ac:dyDescent="0.25">
      <c r="A3721" s="1">
        <v>39692</v>
      </c>
      <c r="B3721" t="s">
        <v>15</v>
      </c>
      <c r="C3721" t="s">
        <v>6</v>
      </c>
      <c r="D3721">
        <v>32</v>
      </c>
      <c r="E3721" s="2">
        <v>3.15625E-2</v>
      </c>
      <c r="F3721">
        <v>45.45</v>
      </c>
    </row>
    <row r="3722" spans="1:6" x14ac:dyDescent="0.25">
      <c r="A3722" s="1">
        <v>39692</v>
      </c>
      <c r="B3722" t="s">
        <v>15</v>
      </c>
      <c r="C3722" t="s">
        <v>7</v>
      </c>
      <c r="D3722">
        <v>29</v>
      </c>
      <c r="E3722" s="2">
        <v>2.9537037037037039E-2</v>
      </c>
      <c r="F3722">
        <v>42.533333333333331</v>
      </c>
    </row>
    <row r="3723" spans="1:6" x14ac:dyDescent="0.25">
      <c r="A3723" s="1">
        <v>39692</v>
      </c>
      <c r="B3723" t="s">
        <v>15</v>
      </c>
      <c r="C3723" t="s">
        <v>8</v>
      </c>
      <c r="D3723">
        <v>17</v>
      </c>
      <c r="E3723" s="2">
        <v>2.1226851851851851E-2</v>
      </c>
      <c r="F3723">
        <v>30.566666666666666</v>
      </c>
    </row>
    <row r="3724" spans="1:6" x14ac:dyDescent="0.25">
      <c r="A3724" s="1">
        <v>39692</v>
      </c>
      <c r="B3724" t="s">
        <v>15</v>
      </c>
      <c r="C3724" t="s">
        <v>9</v>
      </c>
      <c r="D3724">
        <v>7</v>
      </c>
      <c r="E3724" s="2">
        <v>4.3055555555555555E-3</v>
      </c>
      <c r="F3724">
        <v>6.2</v>
      </c>
    </row>
    <row r="3725" spans="1:6" x14ac:dyDescent="0.25">
      <c r="A3725" s="1">
        <v>39692</v>
      </c>
      <c r="B3725" t="s">
        <v>15</v>
      </c>
      <c r="C3725" t="s">
        <v>10</v>
      </c>
      <c r="D3725">
        <v>3</v>
      </c>
      <c r="E3725" s="2">
        <v>9.837962962962962E-4</v>
      </c>
      <c r="F3725">
        <v>1.4166666666666667</v>
      </c>
    </row>
    <row r="3726" spans="1:6" x14ac:dyDescent="0.25">
      <c r="A3726" s="1">
        <v>39692</v>
      </c>
      <c r="B3726" t="s">
        <v>15</v>
      </c>
      <c r="C3726" t="s">
        <v>11</v>
      </c>
      <c r="D3726">
        <v>9</v>
      </c>
      <c r="E3726" s="2">
        <v>7.3495370370370372E-3</v>
      </c>
      <c r="F3726">
        <v>10.583333333333334</v>
      </c>
    </row>
    <row r="3727" spans="1:6" x14ac:dyDescent="0.25">
      <c r="A3727" s="1">
        <v>39692</v>
      </c>
      <c r="B3727" t="s">
        <v>16</v>
      </c>
      <c r="C3727" t="s">
        <v>6</v>
      </c>
      <c r="D3727">
        <v>51</v>
      </c>
      <c r="E3727" s="2">
        <v>4.6967592592592596E-2</v>
      </c>
      <c r="F3727">
        <v>67.63333333333334</v>
      </c>
    </row>
    <row r="3728" spans="1:6" x14ac:dyDescent="0.25">
      <c r="A3728" s="1">
        <v>39692</v>
      </c>
      <c r="B3728" t="s">
        <v>16</v>
      </c>
      <c r="C3728" t="s">
        <v>7</v>
      </c>
      <c r="D3728">
        <v>57</v>
      </c>
      <c r="E3728" s="2">
        <v>5.5115740740740743E-2</v>
      </c>
      <c r="F3728">
        <v>79.36666666666666</v>
      </c>
    </row>
    <row r="3729" spans="1:6" x14ac:dyDescent="0.25">
      <c r="A3729" s="1">
        <v>39692</v>
      </c>
      <c r="B3729" t="s">
        <v>16</v>
      </c>
      <c r="C3729" t="s">
        <v>8</v>
      </c>
      <c r="D3729">
        <v>38</v>
      </c>
      <c r="E3729" s="2">
        <v>4.1192129629629627E-2</v>
      </c>
      <c r="F3729">
        <v>59.31666666666667</v>
      </c>
    </row>
    <row r="3730" spans="1:6" x14ac:dyDescent="0.25">
      <c r="A3730" s="1">
        <v>39692</v>
      </c>
      <c r="B3730" t="s">
        <v>16</v>
      </c>
      <c r="C3730" t="s">
        <v>9</v>
      </c>
      <c r="D3730">
        <v>20</v>
      </c>
      <c r="E3730" s="2">
        <v>1.5983796296296298E-2</v>
      </c>
      <c r="F3730">
        <v>23.016666666666666</v>
      </c>
    </row>
    <row r="3731" spans="1:6" x14ac:dyDescent="0.25">
      <c r="A3731" s="1">
        <v>39692</v>
      </c>
      <c r="B3731" t="s">
        <v>16</v>
      </c>
      <c r="C3731" t="s">
        <v>10</v>
      </c>
      <c r="D3731">
        <v>6</v>
      </c>
      <c r="E3731" s="2">
        <v>4.4791666666666669E-3</v>
      </c>
      <c r="F3731">
        <v>6.45</v>
      </c>
    </row>
    <row r="3732" spans="1:6" x14ac:dyDescent="0.25">
      <c r="A3732" s="1">
        <v>39692</v>
      </c>
      <c r="B3732" t="s">
        <v>16</v>
      </c>
      <c r="C3732" t="s">
        <v>11</v>
      </c>
      <c r="D3732">
        <v>31</v>
      </c>
      <c r="E3732" s="2">
        <v>2.824074074074074E-2</v>
      </c>
      <c r="F3732">
        <v>40.666666666666664</v>
      </c>
    </row>
    <row r="3733" spans="1:6" x14ac:dyDescent="0.25">
      <c r="A3733" s="1">
        <v>39692</v>
      </c>
      <c r="B3733" t="s">
        <v>17</v>
      </c>
      <c r="C3733" t="s">
        <v>6</v>
      </c>
      <c r="D3733">
        <v>9</v>
      </c>
      <c r="E3733" s="2">
        <v>9.3055555555555548E-3</v>
      </c>
      <c r="F3733">
        <v>13.4</v>
      </c>
    </row>
    <row r="3734" spans="1:6" x14ac:dyDescent="0.25">
      <c r="A3734" s="1">
        <v>39692</v>
      </c>
      <c r="B3734" t="s">
        <v>17</v>
      </c>
      <c r="C3734" t="s">
        <v>7</v>
      </c>
      <c r="D3734">
        <v>14</v>
      </c>
      <c r="E3734" s="2">
        <v>1.5231481481481481E-2</v>
      </c>
      <c r="F3734">
        <v>21.933333333333334</v>
      </c>
    </row>
    <row r="3735" spans="1:6" x14ac:dyDescent="0.25">
      <c r="A3735" s="1">
        <v>39692</v>
      </c>
      <c r="B3735" t="s">
        <v>17</v>
      </c>
      <c r="C3735" t="s">
        <v>8</v>
      </c>
      <c r="D3735">
        <v>2</v>
      </c>
      <c r="E3735" s="2">
        <v>2.5000000000000001E-3</v>
      </c>
      <c r="F3735">
        <v>3.6</v>
      </c>
    </row>
    <row r="3736" spans="1:6" x14ac:dyDescent="0.25">
      <c r="A3736" s="1">
        <v>39692</v>
      </c>
      <c r="B3736" t="s">
        <v>17</v>
      </c>
      <c r="C3736" t="s">
        <v>9</v>
      </c>
      <c r="D3736">
        <v>4</v>
      </c>
      <c r="E3736" s="2">
        <v>3.0671296296296297E-3</v>
      </c>
      <c r="F3736">
        <v>4.416666666666667</v>
      </c>
    </row>
    <row r="3737" spans="1:6" x14ac:dyDescent="0.25">
      <c r="A3737" s="1">
        <v>39692</v>
      </c>
      <c r="B3737" t="s">
        <v>17</v>
      </c>
      <c r="C3737" t="s">
        <v>10</v>
      </c>
      <c r="D3737">
        <v>6</v>
      </c>
      <c r="E3737" s="2">
        <v>6.9328703703703705E-3</v>
      </c>
      <c r="F3737">
        <v>9.9833333333333325</v>
      </c>
    </row>
    <row r="3738" spans="1:6" x14ac:dyDescent="0.25">
      <c r="A3738" s="1">
        <v>39692</v>
      </c>
      <c r="B3738" t="s">
        <v>17</v>
      </c>
      <c r="C3738" t="s">
        <v>11</v>
      </c>
      <c r="D3738">
        <v>4</v>
      </c>
      <c r="E3738" s="2">
        <v>2.7662037037037039E-3</v>
      </c>
      <c r="F3738">
        <v>3.9833333333333334</v>
      </c>
    </row>
    <row r="3739" spans="1:6" x14ac:dyDescent="0.25">
      <c r="A3739" s="1">
        <v>39692</v>
      </c>
      <c r="B3739" t="s">
        <v>18</v>
      </c>
      <c r="C3739" t="s">
        <v>6</v>
      </c>
      <c r="D3739">
        <v>75</v>
      </c>
      <c r="E3739" s="2">
        <v>7.0335648148148147E-2</v>
      </c>
      <c r="F3739">
        <v>101.28333333333333</v>
      </c>
    </row>
    <row r="3740" spans="1:6" x14ac:dyDescent="0.25">
      <c r="A3740" s="1">
        <v>39692</v>
      </c>
      <c r="B3740" t="s">
        <v>18</v>
      </c>
      <c r="C3740" t="s">
        <v>7</v>
      </c>
      <c r="D3740">
        <v>107</v>
      </c>
      <c r="E3740" s="2">
        <v>0.10555555555555556</v>
      </c>
      <c r="F3740">
        <v>152</v>
      </c>
    </row>
    <row r="3741" spans="1:6" x14ac:dyDescent="0.25">
      <c r="A3741" s="1">
        <v>39692</v>
      </c>
      <c r="B3741" t="s">
        <v>18</v>
      </c>
      <c r="C3741" t="s">
        <v>8</v>
      </c>
      <c r="D3741">
        <v>64</v>
      </c>
      <c r="E3741" s="2">
        <v>8.1875000000000003E-2</v>
      </c>
      <c r="F3741">
        <v>117.9</v>
      </c>
    </row>
    <row r="3742" spans="1:6" x14ac:dyDescent="0.25">
      <c r="A3742" s="1">
        <v>39692</v>
      </c>
      <c r="B3742" t="s">
        <v>18</v>
      </c>
      <c r="C3742" t="s">
        <v>9</v>
      </c>
      <c r="D3742">
        <v>79</v>
      </c>
      <c r="E3742" s="2">
        <v>4.7557870370370368E-2</v>
      </c>
      <c r="F3742">
        <v>68.483333333333334</v>
      </c>
    </row>
    <row r="3743" spans="1:6" x14ac:dyDescent="0.25">
      <c r="A3743" s="1">
        <v>39692</v>
      </c>
      <c r="B3743" t="s">
        <v>18</v>
      </c>
      <c r="C3743" t="s">
        <v>10</v>
      </c>
      <c r="D3743">
        <v>158</v>
      </c>
      <c r="E3743" s="2">
        <v>0.15707175925925926</v>
      </c>
      <c r="F3743">
        <v>226.18333333333334</v>
      </c>
    </row>
    <row r="3744" spans="1:6" x14ac:dyDescent="0.25">
      <c r="A3744" s="1">
        <v>39692</v>
      </c>
      <c r="B3744" t="s">
        <v>18</v>
      </c>
      <c r="C3744" t="s">
        <v>11</v>
      </c>
      <c r="D3744">
        <v>35</v>
      </c>
      <c r="E3744" s="2">
        <v>2.5347222222222222E-2</v>
      </c>
      <c r="F3744">
        <v>36.5</v>
      </c>
    </row>
    <row r="3745" spans="1:6" x14ac:dyDescent="0.25">
      <c r="A3745" s="1">
        <v>39692</v>
      </c>
      <c r="B3745" t="s">
        <v>19</v>
      </c>
      <c r="C3745" t="s">
        <v>6</v>
      </c>
      <c r="D3745">
        <v>26</v>
      </c>
      <c r="E3745" s="2">
        <v>2.5520833333333333E-2</v>
      </c>
      <c r="F3745">
        <v>36.75</v>
      </c>
    </row>
    <row r="3746" spans="1:6" x14ac:dyDescent="0.25">
      <c r="A3746" s="1">
        <v>39692</v>
      </c>
      <c r="B3746" t="s">
        <v>19</v>
      </c>
      <c r="C3746" t="s">
        <v>7</v>
      </c>
      <c r="D3746">
        <v>25</v>
      </c>
      <c r="E3746" s="2">
        <v>2.6608796296296297E-2</v>
      </c>
      <c r="F3746">
        <v>38.31666666666667</v>
      </c>
    </row>
    <row r="3747" spans="1:6" x14ac:dyDescent="0.25">
      <c r="A3747" s="1">
        <v>39692</v>
      </c>
      <c r="B3747" t="s">
        <v>19</v>
      </c>
      <c r="C3747" t="s">
        <v>8</v>
      </c>
      <c r="D3747">
        <v>16</v>
      </c>
      <c r="E3747" s="2">
        <v>1.8541666666666668E-2</v>
      </c>
      <c r="F3747">
        <v>26.7</v>
      </c>
    </row>
    <row r="3748" spans="1:6" x14ac:dyDescent="0.25">
      <c r="A3748" s="1">
        <v>39692</v>
      </c>
      <c r="B3748" t="s">
        <v>19</v>
      </c>
      <c r="C3748" t="s">
        <v>9</v>
      </c>
      <c r="D3748">
        <v>22</v>
      </c>
      <c r="E3748" s="2">
        <v>1.4652777777777778E-2</v>
      </c>
      <c r="F3748">
        <v>21.1</v>
      </c>
    </row>
    <row r="3749" spans="1:6" x14ac:dyDescent="0.25">
      <c r="A3749" s="1">
        <v>39692</v>
      </c>
      <c r="B3749" t="s">
        <v>19</v>
      </c>
      <c r="C3749" t="s">
        <v>10</v>
      </c>
      <c r="D3749">
        <v>6</v>
      </c>
      <c r="E3749" s="2">
        <v>4.0393518518518521E-3</v>
      </c>
      <c r="F3749">
        <v>5.8166666666666664</v>
      </c>
    </row>
    <row r="3750" spans="1:6" x14ac:dyDescent="0.25">
      <c r="A3750" s="1">
        <v>39692</v>
      </c>
      <c r="B3750" t="s">
        <v>19</v>
      </c>
      <c r="C3750" t="s">
        <v>11</v>
      </c>
      <c r="D3750">
        <v>14</v>
      </c>
      <c r="E3750" s="2">
        <v>1.3321759259259259E-2</v>
      </c>
      <c r="F3750">
        <v>19.183333333333334</v>
      </c>
    </row>
    <row r="3751" spans="1:6" x14ac:dyDescent="0.25">
      <c r="A3751" s="1">
        <v>39692</v>
      </c>
      <c r="B3751" t="s">
        <v>20</v>
      </c>
      <c r="C3751" t="s">
        <v>6</v>
      </c>
      <c r="D3751">
        <v>43</v>
      </c>
      <c r="E3751" s="2">
        <v>4.1724537037037039E-2</v>
      </c>
      <c r="F3751">
        <v>60.083333333333336</v>
      </c>
    </row>
    <row r="3752" spans="1:6" x14ac:dyDescent="0.25">
      <c r="A3752" s="1">
        <v>39692</v>
      </c>
      <c r="B3752" t="s">
        <v>20</v>
      </c>
      <c r="C3752" t="s">
        <v>7</v>
      </c>
      <c r="D3752">
        <v>60</v>
      </c>
      <c r="E3752" s="2">
        <v>5.7754629629629628E-2</v>
      </c>
      <c r="F3752">
        <v>83.166666666666671</v>
      </c>
    </row>
    <row r="3753" spans="1:6" x14ac:dyDescent="0.25">
      <c r="A3753" s="1">
        <v>39692</v>
      </c>
      <c r="B3753" t="s">
        <v>20</v>
      </c>
      <c r="C3753" t="s">
        <v>8</v>
      </c>
      <c r="D3753">
        <v>47</v>
      </c>
      <c r="E3753" s="2">
        <v>5.9189814814814813E-2</v>
      </c>
      <c r="F3753">
        <v>85.233333333333334</v>
      </c>
    </row>
    <row r="3754" spans="1:6" x14ac:dyDescent="0.25">
      <c r="A3754" s="1">
        <v>39692</v>
      </c>
      <c r="B3754" t="s">
        <v>20</v>
      </c>
      <c r="C3754" t="s">
        <v>9</v>
      </c>
      <c r="D3754">
        <v>25</v>
      </c>
      <c r="E3754" s="2">
        <v>1.7743055555555557E-2</v>
      </c>
      <c r="F3754">
        <v>25.55</v>
      </c>
    </row>
    <row r="3755" spans="1:6" x14ac:dyDescent="0.25">
      <c r="A3755" s="1">
        <v>39692</v>
      </c>
      <c r="B3755" t="s">
        <v>20</v>
      </c>
      <c r="C3755" t="s">
        <v>10</v>
      </c>
      <c r="D3755">
        <v>12</v>
      </c>
      <c r="E3755" s="2">
        <v>1.6041666666666666E-2</v>
      </c>
      <c r="F3755">
        <v>23.1</v>
      </c>
    </row>
    <row r="3756" spans="1:6" x14ac:dyDescent="0.25">
      <c r="A3756" s="1">
        <v>39692</v>
      </c>
      <c r="B3756" t="s">
        <v>20</v>
      </c>
      <c r="C3756" t="s">
        <v>11</v>
      </c>
      <c r="D3756">
        <v>16</v>
      </c>
      <c r="E3756" s="2">
        <v>1.2488425925925925E-2</v>
      </c>
      <c r="F3756">
        <v>17.983333333333334</v>
      </c>
    </row>
    <row r="3757" spans="1:6" x14ac:dyDescent="0.25">
      <c r="A3757" s="1">
        <v>39692</v>
      </c>
      <c r="B3757" t="s">
        <v>21</v>
      </c>
      <c r="C3757" t="s">
        <v>6</v>
      </c>
      <c r="D3757">
        <v>42</v>
      </c>
      <c r="E3757" s="2">
        <v>5.2372685185185182E-2</v>
      </c>
      <c r="F3757">
        <v>75.416666666666671</v>
      </c>
    </row>
    <row r="3758" spans="1:6" x14ac:dyDescent="0.25">
      <c r="A3758" s="1">
        <v>39692</v>
      </c>
      <c r="B3758" t="s">
        <v>21</v>
      </c>
      <c r="C3758" t="s">
        <v>7</v>
      </c>
      <c r="D3758">
        <v>35</v>
      </c>
      <c r="E3758" s="2">
        <v>3.892361111111111E-2</v>
      </c>
      <c r="F3758">
        <v>56.05</v>
      </c>
    </row>
    <row r="3759" spans="1:6" x14ac:dyDescent="0.25">
      <c r="A3759" s="1">
        <v>39692</v>
      </c>
      <c r="B3759" t="s">
        <v>21</v>
      </c>
      <c r="C3759" t="s">
        <v>8</v>
      </c>
      <c r="D3759">
        <v>14</v>
      </c>
      <c r="E3759" s="2">
        <v>1.5995370370370372E-2</v>
      </c>
      <c r="F3759">
        <v>23.033333333333335</v>
      </c>
    </row>
    <row r="3760" spans="1:6" x14ac:dyDescent="0.25">
      <c r="A3760" s="1">
        <v>39692</v>
      </c>
      <c r="B3760" t="s">
        <v>21</v>
      </c>
      <c r="C3760" t="s">
        <v>9</v>
      </c>
      <c r="D3760">
        <v>11</v>
      </c>
      <c r="E3760" s="2">
        <v>8.1712962962962963E-3</v>
      </c>
      <c r="F3760">
        <v>11.766666666666667</v>
      </c>
    </row>
    <row r="3761" spans="1:6" x14ac:dyDescent="0.25">
      <c r="A3761" s="1">
        <v>39692</v>
      </c>
      <c r="B3761" t="s">
        <v>21</v>
      </c>
      <c r="C3761" t="s">
        <v>10</v>
      </c>
      <c r="D3761">
        <v>5</v>
      </c>
      <c r="E3761" s="2">
        <v>4.3287037037037035E-3</v>
      </c>
      <c r="F3761">
        <v>6.2333333333333334</v>
      </c>
    </row>
    <row r="3762" spans="1:6" x14ac:dyDescent="0.25">
      <c r="A3762" s="1">
        <v>39692</v>
      </c>
      <c r="B3762" t="s">
        <v>21</v>
      </c>
      <c r="C3762" t="s">
        <v>11</v>
      </c>
      <c r="D3762">
        <v>20</v>
      </c>
      <c r="E3762" s="2">
        <v>1.7615740740740741E-2</v>
      </c>
      <c r="F3762">
        <v>25.366666666666667</v>
      </c>
    </row>
    <row r="3763" spans="1:6" x14ac:dyDescent="0.25">
      <c r="A3763" s="1">
        <v>39692</v>
      </c>
      <c r="B3763" t="s">
        <v>22</v>
      </c>
      <c r="C3763" t="s">
        <v>6</v>
      </c>
      <c r="D3763">
        <v>18</v>
      </c>
      <c r="E3763" s="2">
        <v>2.1319444444444443E-2</v>
      </c>
      <c r="F3763">
        <v>30.7</v>
      </c>
    </row>
    <row r="3764" spans="1:6" x14ac:dyDescent="0.25">
      <c r="A3764" s="1">
        <v>39692</v>
      </c>
      <c r="B3764" t="s">
        <v>22</v>
      </c>
      <c r="C3764" t="s">
        <v>7</v>
      </c>
      <c r="D3764">
        <v>13</v>
      </c>
      <c r="E3764" s="2">
        <v>1.4837962962962963E-2</v>
      </c>
      <c r="F3764">
        <v>21.366666666666667</v>
      </c>
    </row>
    <row r="3765" spans="1:6" x14ac:dyDescent="0.25">
      <c r="A3765" s="1">
        <v>39692</v>
      </c>
      <c r="B3765" t="s">
        <v>22</v>
      </c>
      <c r="C3765" t="s">
        <v>8</v>
      </c>
      <c r="D3765">
        <v>7</v>
      </c>
      <c r="E3765" s="2">
        <v>6.6435185185185182E-3</v>
      </c>
      <c r="F3765">
        <v>9.5666666666666664</v>
      </c>
    </row>
    <row r="3766" spans="1:6" x14ac:dyDescent="0.25">
      <c r="A3766" s="1">
        <v>39692</v>
      </c>
      <c r="B3766" t="s">
        <v>22</v>
      </c>
      <c r="C3766" t="s">
        <v>9</v>
      </c>
      <c r="D3766">
        <v>6</v>
      </c>
      <c r="E3766" s="2">
        <v>3.5648148148148149E-3</v>
      </c>
      <c r="F3766">
        <v>5.1333333333333337</v>
      </c>
    </row>
    <row r="3767" spans="1:6" x14ac:dyDescent="0.25">
      <c r="A3767" s="1">
        <v>39692</v>
      </c>
      <c r="B3767" t="s">
        <v>22</v>
      </c>
      <c r="C3767" t="s">
        <v>10</v>
      </c>
      <c r="D3767">
        <v>10</v>
      </c>
      <c r="E3767" s="2">
        <v>7.1412037037037034E-3</v>
      </c>
      <c r="F3767">
        <v>10.283333333333333</v>
      </c>
    </row>
    <row r="3768" spans="1:6" x14ac:dyDescent="0.25">
      <c r="A3768" s="1">
        <v>39692</v>
      </c>
      <c r="B3768" t="s">
        <v>22</v>
      </c>
      <c r="C3768" t="s">
        <v>11</v>
      </c>
      <c r="D3768">
        <v>6</v>
      </c>
      <c r="E3768" s="2">
        <v>6.1574074074074074E-3</v>
      </c>
      <c r="F3768">
        <v>8.8666666666666671</v>
      </c>
    </row>
    <row r="3769" spans="1:6" x14ac:dyDescent="0.25">
      <c r="A3769" s="1">
        <v>39692</v>
      </c>
      <c r="B3769" t="s">
        <v>23</v>
      </c>
      <c r="C3769" t="s">
        <v>6</v>
      </c>
      <c r="D3769">
        <v>125</v>
      </c>
      <c r="E3769" s="2">
        <v>0.1317824074074074</v>
      </c>
      <c r="F3769">
        <v>189.76666666666668</v>
      </c>
    </row>
    <row r="3770" spans="1:6" x14ac:dyDescent="0.25">
      <c r="A3770" s="1">
        <v>39692</v>
      </c>
      <c r="B3770" t="s">
        <v>23</v>
      </c>
      <c r="C3770" t="s">
        <v>7</v>
      </c>
      <c r="D3770">
        <v>112</v>
      </c>
      <c r="E3770" s="2">
        <v>0.11923611111111111</v>
      </c>
      <c r="F3770">
        <v>171.7</v>
      </c>
    </row>
    <row r="3771" spans="1:6" x14ac:dyDescent="0.25">
      <c r="A3771" s="1">
        <v>39692</v>
      </c>
      <c r="B3771" t="s">
        <v>23</v>
      </c>
      <c r="C3771" t="s">
        <v>8</v>
      </c>
      <c r="D3771">
        <v>75</v>
      </c>
      <c r="E3771" s="2">
        <v>9.4942129629629626E-2</v>
      </c>
      <c r="F3771">
        <v>136.71666666666667</v>
      </c>
    </row>
    <row r="3772" spans="1:6" x14ac:dyDescent="0.25">
      <c r="A3772" s="1">
        <v>39692</v>
      </c>
      <c r="B3772" t="s">
        <v>23</v>
      </c>
      <c r="C3772" t="s">
        <v>9</v>
      </c>
      <c r="D3772">
        <v>69</v>
      </c>
      <c r="E3772" s="2">
        <v>5.2002314814814814E-2</v>
      </c>
      <c r="F3772">
        <v>74.88333333333334</v>
      </c>
    </row>
    <row r="3773" spans="1:6" x14ac:dyDescent="0.25">
      <c r="A3773" s="1">
        <v>39692</v>
      </c>
      <c r="B3773" t="s">
        <v>23</v>
      </c>
      <c r="C3773" t="s">
        <v>10</v>
      </c>
      <c r="D3773">
        <v>38</v>
      </c>
      <c r="E3773" s="2">
        <v>3.4386574074074076E-2</v>
      </c>
      <c r="F3773">
        <v>49.516666666666666</v>
      </c>
    </row>
    <row r="3774" spans="1:6" x14ac:dyDescent="0.25">
      <c r="A3774" s="1">
        <v>39692</v>
      </c>
      <c r="B3774" t="s">
        <v>23</v>
      </c>
      <c r="C3774" t="s">
        <v>11</v>
      </c>
      <c r="D3774">
        <v>50</v>
      </c>
      <c r="E3774" s="2">
        <v>4.3298611111111114E-2</v>
      </c>
      <c r="F3774">
        <v>62.35</v>
      </c>
    </row>
    <row r="3775" spans="1:6" x14ac:dyDescent="0.25">
      <c r="A3775" s="1">
        <v>39692</v>
      </c>
      <c r="B3775" t="s">
        <v>24</v>
      </c>
      <c r="C3775" t="s">
        <v>6</v>
      </c>
      <c r="D3775">
        <v>63</v>
      </c>
      <c r="E3775" s="2">
        <v>4.4814814814814814E-2</v>
      </c>
      <c r="F3775">
        <v>64.533333333333331</v>
      </c>
    </row>
    <row r="3776" spans="1:6" x14ac:dyDescent="0.25">
      <c r="A3776" s="1">
        <v>39692</v>
      </c>
      <c r="B3776" t="s">
        <v>24</v>
      </c>
      <c r="C3776" t="s">
        <v>7</v>
      </c>
      <c r="D3776">
        <v>59</v>
      </c>
      <c r="E3776" s="2">
        <v>4.4016203703703703E-2</v>
      </c>
      <c r="F3776">
        <v>63.383333333333333</v>
      </c>
    </row>
    <row r="3777" spans="1:6" x14ac:dyDescent="0.25">
      <c r="A3777" s="1">
        <v>39692</v>
      </c>
      <c r="B3777" t="s">
        <v>24</v>
      </c>
      <c r="C3777" t="s">
        <v>8</v>
      </c>
      <c r="D3777">
        <v>23</v>
      </c>
      <c r="E3777" s="2">
        <v>1.5671296296296298E-2</v>
      </c>
      <c r="F3777">
        <v>22.566666666666666</v>
      </c>
    </row>
    <row r="3778" spans="1:6" x14ac:dyDescent="0.25">
      <c r="A3778" s="1">
        <v>39692</v>
      </c>
      <c r="B3778" t="s">
        <v>24</v>
      </c>
      <c r="C3778" t="s">
        <v>9</v>
      </c>
      <c r="D3778">
        <v>16</v>
      </c>
      <c r="E3778" s="2">
        <v>1.0567129629629629E-2</v>
      </c>
      <c r="F3778">
        <v>15.216666666666667</v>
      </c>
    </row>
    <row r="3779" spans="1:6" x14ac:dyDescent="0.25">
      <c r="A3779" s="1">
        <v>39692</v>
      </c>
      <c r="B3779" t="s">
        <v>24</v>
      </c>
      <c r="C3779" t="s">
        <v>10</v>
      </c>
      <c r="D3779">
        <v>1</v>
      </c>
      <c r="E3779" s="2">
        <v>3.1250000000000001E-4</v>
      </c>
      <c r="F3779">
        <v>0.45</v>
      </c>
    </row>
    <row r="3780" spans="1:6" x14ac:dyDescent="0.25">
      <c r="A3780" s="1">
        <v>39692</v>
      </c>
      <c r="B3780" t="s">
        <v>24</v>
      </c>
      <c r="C3780" t="s">
        <v>11</v>
      </c>
      <c r="D3780">
        <v>32</v>
      </c>
      <c r="E3780" s="2">
        <v>1.9953703703703703E-2</v>
      </c>
      <c r="F3780">
        <v>28.733333333333334</v>
      </c>
    </row>
    <row r="3781" spans="1:6" x14ac:dyDescent="0.25">
      <c r="A3781" s="1">
        <v>39722</v>
      </c>
      <c r="B3781" t="s">
        <v>5</v>
      </c>
      <c r="C3781" t="s">
        <v>6</v>
      </c>
      <c r="D3781">
        <v>7</v>
      </c>
      <c r="E3781" s="2">
        <v>3.449074074074074E-3</v>
      </c>
      <c r="F3781">
        <v>4.9666666666666668</v>
      </c>
    </row>
    <row r="3782" spans="1:6" x14ac:dyDescent="0.25">
      <c r="A3782" s="1">
        <v>39722</v>
      </c>
      <c r="B3782" t="s">
        <v>5</v>
      </c>
      <c r="C3782" t="s">
        <v>7</v>
      </c>
      <c r="D3782">
        <v>5</v>
      </c>
      <c r="E3782" s="2">
        <v>3.5532407407407409E-3</v>
      </c>
      <c r="F3782">
        <v>5.1166666666666663</v>
      </c>
    </row>
    <row r="3783" spans="1:6" x14ac:dyDescent="0.25">
      <c r="A3783" s="1">
        <v>39722</v>
      </c>
      <c r="B3783" t="s">
        <v>5</v>
      </c>
      <c r="C3783" t="s">
        <v>8</v>
      </c>
      <c r="D3783">
        <v>4</v>
      </c>
      <c r="E3783" s="2">
        <v>3.2407407407407406E-3</v>
      </c>
      <c r="F3783">
        <v>4.666666666666667</v>
      </c>
    </row>
    <row r="3784" spans="1:6" x14ac:dyDescent="0.25">
      <c r="A3784" s="1">
        <v>39722</v>
      </c>
      <c r="B3784" t="s">
        <v>5</v>
      </c>
      <c r="C3784" t="s">
        <v>9</v>
      </c>
      <c r="D3784">
        <v>6</v>
      </c>
      <c r="E3784" s="2">
        <v>1.3078703703703703E-3</v>
      </c>
      <c r="F3784">
        <v>1.8833333333333333</v>
      </c>
    </row>
    <row r="3785" spans="1:6" x14ac:dyDescent="0.25">
      <c r="A3785" s="1">
        <v>39722</v>
      </c>
      <c r="B3785" t="s">
        <v>5</v>
      </c>
      <c r="C3785" t="s">
        <v>10</v>
      </c>
      <c r="D3785">
        <v>5</v>
      </c>
      <c r="E3785" s="2">
        <v>2.1064814814814813E-3</v>
      </c>
      <c r="F3785">
        <v>3.0333333333333332</v>
      </c>
    </row>
    <row r="3786" spans="1:6" x14ac:dyDescent="0.25">
      <c r="A3786" s="1">
        <v>39722</v>
      </c>
      <c r="B3786" t="s">
        <v>5</v>
      </c>
      <c r="C3786" t="s">
        <v>11</v>
      </c>
      <c r="D3786">
        <v>3</v>
      </c>
      <c r="E3786" s="2">
        <v>1.0416666666666667E-3</v>
      </c>
      <c r="F3786">
        <v>1.5</v>
      </c>
    </row>
    <row r="3787" spans="1:6" x14ac:dyDescent="0.25">
      <c r="A3787" s="1">
        <v>39722</v>
      </c>
      <c r="B3787" t="s">
        <v>12</v>
      </c>
      <c r="C3787" t="s">
        <v>6</v>
      </c>
      <c r="D3787">
        <v>51</v>
      </c>
      <c r="E3787" s="2">
        <v>5.7858796296296297E-2</v>
      </c>
      <c r="F3787">
        <v>83.316666666666663</v>
      </c>
    </row>
    <row r="3788" spans="1:6" x14ac:dyDescent="0.25">
      <c r="A3788" s="1">
        <v>39722</v>
      </c>
      <c r="B3788" t="s">
        <v>12</v>
      </c>
      <c r="C3788" t="s">
        <v>7</v>
      </c>
      <c r="D3788">
        <v>65</v>
      </c>
      <c r="E3788" s="2">
        <v>9.4224537037037037E-2</v>
      </c>
      <c r="F3788">
        <v>135.68333333333334</v>
      </c>
    </row>
    <row r="3789" spans="1:6" x14ac:dyDescent="0.25">
      <c r="A3789" s="1">
        <v>39722</v>
      </c>
      <c r="B3789" t="s">
        <v>12</v>
      </c>
      <c r="C3789" t="s">
        <v>8</v>
      </c>
      <c r="D3789">
        <v>33</v>
      </c>
      <c r="E3789" s="2">
        <v>5.0138888888888886E-2</v>
      </c>
      <c r="F3789">
        <v>72.2</v>
      </c>
    </row>
    <row r="3790" spans="1:6" x14ac:dyDescent="0.25">
      <c r="A3790" s="1">
        <v>39722</v>
      </c>
      <c r="B3790" t="s">
        <v>12</v>
      </c>
      <c r="C3790" t="s">
        <v>9</v>
      </c>
      <c r="D3790">
        <v>18</v>
      </c>
      <c r="E3790" s="2">
        <v>1.2939814814814815E-2</v>
      </c>
      <c r="F3790">
        <v>18.633333333333333</v>
      </c>
    </row>
    <row r="3791" spans="1:6" x14ac:dyDescent="0.25">
      <c r="A3791" s="1">
        <v>39722</v>
      </c>
      <c r="B3791" t="s">
        <v>12</v>
      </c>
      <c r="C3791" t="s">
        <v>10</v>
      </c>
      <c r="D3791">
        <v>4</v>
      </c>
      <c r="E3791" s="2">
        <v>1.8749999999999999E-3</v>
      </c>
      <c r="F3791">
        <v>2.7</v>
      </c>
    </row>
    <row r="3792" spans="1:6" x14ac:dyDescent="0.25">
      <c r="A3792" s="1">
        <v>39722</v>
      </c>
      <c r="B3792" t="s">
        <v>12</v>
      </c>
      <c r="C3792" t="s">
        <v>11</v>
      </c>
      <c r="D3792">
        <v>25</v>
      </c>
      <c r="E3792" s="2">
        <v>2.3043981481481481E-2</v>
      </c>
      <c r="F3792">
        <v>33.18333333333333</v>
      </c>
    </row>
    <row r="3793" spans="1:6" x14ac:dyDescent="0.25">
      <c r="A3793" s="1">
        <v>39722</v>
      </c>
      <c r="B3793" t="s">
        <v>13</v>
      </c>
      <c r="C3793" t="s">
        <v>6</v>
      </c>
      <c r="D3793">
        <v>128</v>
      </c>
      <c r="E3793" s="2">
        <v>0.13837962962962963</v>
      </c>
      <c r="F3793">
        <v>199.26666666666668</v>
      </c>
    </row>
    <row r="3794" spans="1:6" x14ac:dyDescent="0.25">
      <c r="A3794" s="1">
        <v>39722</v>
      </c>
      <c r="B3794" t="s">
        <v>13</v>
      </c>
      <c r="C3794" t="s">
        <v>7</v>
      </c>
      <c r="D3794">
        <v>154</v>
      </c>
      <c r="E3794" s="2">
        <v>0.14717592592592593</v>
      </c>
      <c r="F3794">
        <v>211.93333333333334</v>
      </c>
    </row>
    <row r="3795" spans="1:6" x14ac:dyDescent="0.25">
      <c r="A3795" s="1">
        <v>39722</v>
      </c>
      <c r="B3795" t="s">
        <v>13</v>
      </c>
      <c r="C3795" t="s">
        <v>8</v>
      </c>
      <c r="D3795">
        <v>97</v>
      </c>
      <c r="E3795" s="2">
        <v>0.13015046296296295</v>
      </c>
      <c r="F3795">
        <v>187.41666666666666</v>
      </c>
    </row>
    <row r="3796" spans="1:6" x14ac:dyDescent="0.25">
      <c r="A3796" s="1">
        <v>39722</v>
      </c>
      <c r="B3796" t="s">
        <v>13</v>
      </c>
      <c r="C3796" t="s">
        <v>9</v>
      </c>
      <c r="D3796">
        <v>85</v>
      </c>
      <c r="E3796" s="2">
        <v>5.7002314814814818E-2</v>
      </c>
      <c r="F3796">
        <v>82.083333333333329</v>
      </c>
    </row>
    <row r="3797" spans="1:6" x14ac:dyDescent="0.25">
      <c r="A3797" s="1">
        <v>39722</v>
      </c>
      <c r="B3797" t="s">
        <v>13</v>
      </c>
      <c r="C3797" t="s">
        <v>10</v>
      </c>
      <c r="D3797">
        <v>76</v>
      </c>
      <c r="E3797" s="2">
        <v>0.10527777777777778</v>
      </c>
      <c r="F3797">
        <v>151.6</v>
      </c>
    </row>
    <row r="3798" spans="1:6" x14ac:dyDescent="0.25">
      <c r="A3798" s="1">
        <v>39722</v>
      </c>
      <c r="B3798" t="s">
        <v>13</v>
      </c>
      <c r="C3798" t="s">
        <v>11</v>
      </c>
      <c r="D3798">
        <v>66</v>
      </c>
      <c r="E3798" s="2">
        <v>5.2071759259259262E-2</v>
      </c>
      <c r="F3798">
        <v>74.983333333333334</v>
      </c>
    </row>
    <row r="3799" spans="1:6" x14ac:dyDescent="0.25">
      <c r="A3799" s="1">
        <v>39722</v>
      </c>
      <c r="B3799" t="s">
        <v>14</v>
      </c>
      <c r="C3799" t="s">
        <v>6</v>
      </c>
      <c r="D3799">
        <v>14</v>
      </c>
      <c r="E3799" s="2">
        <v>2.2372685185185186E-2</v>
      </c>
      <c r="F3799">
        <v>32.216666666666669</v>
      </c>
    </row>
    <row r="3800" spans="1:6" x14ac:dyDescent="0.25">
      <c r="A3800" s="1">
        <v>39722</v>
      </c>
      <c r="B3800" t="s">
        <v>14</v>
      </c>
      <c r="C3800" t="s">
        <v>7</v>
      </c>
      <c r="D3800">
        <v>6</v>
      </c>
      <c r="E3800" s="2">
        <v>6.6898148148148151E-3</v>
      </c>
      <c r="F3800">
        <v>9.6333333333333329</v>
      </c>
    </row>
    <row r="3801" spans="1:6" x14ac:dyDescent="0.25">
      <c r="A3801" s="1">
        <v>39722</v>
      </c>
      <c r="B3801" t="s">
        <v>14</v>
      </c>
      <c r="C3801" t="s">
        <v>8</v>
      </c>
      <c r="D3801">
        <v>6</v>
      </c>
      <c r="E3801" s="2">
        <v>9.4097222222222221E-3</v>
      </c>
      <c r="F3801">
        <v>13.55</v>
      </c>
    </row>
    <row r="3802" spans="1:6" x14ac:dyDescent="0.25">
      <c r="A3802" s="1">
        <v>39722</v>
      </c>
      <c r="B3802" t="s">
        <v>14</v>
      </c>
      <c r="C3802" t="s">
        <v>9</v>
      </c>
      <c r="D3802">
        <v>5</v>
      </c>
      <c r="E3802" s="2">
        <v>3.6226851851851854E-3</v>
      </c>
      <c r="F3802">
        <v>5.2166666666666668</v>
      </c>
    </row>
    <row r="3803" spans="1:6" x14ac:dyDescent="0.25">
      <c r="A3803" s="1">
        <v>39722</v>
      </c>
      <c r="B3803" t="s">
        <v>14</v>
      </c>
      <c r="C3803" t="s">
        <v>10</v>
      </c>
      <c r="D3803">
        <v>4</v>
      </c>
      <c r="E3803" s="2">
        <v>5.0578703703703706E-3</v>
      </c>
      <c r="F3803">
        <v>7.2833333333333332</v>
      </c>
    </row>
    <row r="3804" spans="1:6" x14ac:dyDescent="0.25">
      <c r="A3804" s="1">
        <v>39722</v>
      </c>
      <c r="B3804" t="s">
        <v>14</v>
      </c>
      <c r="C3804" t="s">
        <v>11</v>
      </c>
      <c r="D3804">
        <v>6</v>
      </c>
      <c r="E3804" s="2">
        <v>5.4513888888888893E-3</v>
      </c>
      <c r="F3804">
        <v>7.85</v>
      </c>
    </row>
    <row r="3805" spans="1:6" x14ac:dyDescent="0.25">
      <c r="A3805" s="1">
        <v>39722</v>
      </c>
      <c r="B3805" t="s">
        <v>15</v>
      </c>
      <c r="C3805" t="s">
        <v>6</v>
      </c>
      <c r="D3805">
        <v>27</v>
      </c>
      <c r="E3805" s="2">
        <v>3.5590277777777776E-2</v>
      </c>
      <c r="F3805">
        <v>51.25</v>
      </c>
    </row>
    <row r="3806" spans="1:6" x14ac:dyDescent="0.25">
      <c r="A3806" s="1">
        <v>39722</v>
      </c>
      <c r="B3806" t="s">
        <v>15</v>
      </c>
      <c r="C3806" t="s">
        <v>7</v>
      </c>
      <c r="D3806">
        <v>19</v>
      </c>
      <c r="E3806" s="2">
        <v>1.712962962962963E-2</v>
      </c>
      <c r="F3806">
        <v>24.666666666666668</v>
      </c>
    </row>
    <row r="3807" spans="1:6" x14ac:dyDescent="0.25">
      <c r="A3807" s="1">
        <v>39722</v>
      </c>
      <c r="B3807" t="s">
        <v>15</v>
      </c>
      <c r="C3807" t="s">
        <v>8</v>
      </c>
      <c r="D3807">
        <v>4</v>
      </c>
      <c r="E3807" s="2">
        <v>1.5162037037037036E-3</v>
      </c>
      <c r="F3807">
        <v>2.1833333333333331</v>
      </c>
    </row>
    <row r="3808" spans="1:6" x14ac:dyDescent="0.25">
      <c r="A3808" s="1">
        <v>39722</v>
      </c>
      <c r="B3808" t="s">
        <v>15</v>
      </c>
      <c r="C3808" t="s">
        <v>9</v>
      </c>
      <c r="D3808">
        <v>1</v>
      </c>
      <c r="E3808" s="2">
        <v>2.4305555555555555E-4</v>
      </c>
      <c r="F3808">
        <v>0.35</v>
      </c>
    </row>
    <row r="3809" spans="1:6" x14ac:dyDescent="0.25">
      <c r="A3809" s="1">
        <v>39722</v>
      </c>
      <c r="B3809" t="s">
        <v>15</v>
      </c>
      <c r="C3809" t="s">
        <v>10</v>
      </c>
      <c r="D3809">
        <v>8</v>
      </c>
      <c r="E3809" s="2">
        <v>6.2384259259259259E-3</v>
      </c>
      <c r="F3809">
        <v>8.9833333333333325</v>
      </c>
    </row>
    <row r="3810" spans="1:6" x14ac:dyDescent="0.25">
      <c r="A3810" s="1">
        <v>39722</v>
      </c>
      <c r="B3810" t="s">
        <v>15</v>
      </c>
      <c r="C3810" t="s">
        <v>11</v>
      </c>
      <c r="D3810">
        <v>5</v>
      </c>
      <c r="E3810" s="2">
        <v>3.9004629629629628E-3</v>
      </c>
      <c r="F3810">
        <v>5.6166666666666671</v>
      </c>
    </row>
    <row r="3811" spans="1:6" x14ac:dyDescent="0.25">
      <c r="A3811" s="1">
        <v>39722</v>
      </c>
      <c r="B3811" t="s">
        <v>16</v>
      </c>
      <c r="C3811" t="s">
        <v>6</v>
      </c>
      <c r="D3811">
        <v>22</v>
      </c>
      <c r="E3811" s="2">
        <v>1.726851851851852E-2</v>
      </c>
      <c r="F3811">
        <v>24.866666666666667</v>
      </c>
    </row>
    <row r="3812" spans="1:6" x14ac:dyDescent="0.25">
      <c r="A3812" s="1">
        <v>39722</v>
      </c>
      <c r="B3812" t="s">
        <v>16</v>
      </c>
      <c r="C3812" t="s">
        <v>7</v>
      </c>
      <c r="D3812">
        <v>15</v>
      </c>
      <c r="E3812" s="2">
        <v>8.7384259259259255E-3</v>
      </c>
      <c r="F3812">
        <v>12.583333333333334</v>
      </c>
    </row>
    <row r="3813" spans="1:6" x14ac:dyDescent="0.25">
      <c r="A3813" s="1">
        <v>39722</v>
      </c>
      <c r="B3813" t="s">
        <v>16</v>
      </c>
      <c r="C3813" t="s">
        <v>8</v>
      </c>
      <c r="D3813">
        <v>11</v>
      </c>
      <c r="E3813" s="2">
        <v>1.0706018518518519E-2</v>
      </c>
      <c r="F3813">
        <v>15.416666666666666</v>
      </c>
    </row>
    <row r="3814" spans="1:6" x14ac:dyDescent="0.25">
      <c r="A3814" s="1">
        <v>39722</v>
      </c>
      <c r="B3814" t="s">
        <v>16</v>
      </c>
      <c r="C3814" t="s">
        <v>9</v>
      </c>
      <c r="D3814">
        <v>15</v>
      </c>
      <c r="E3814" s="2">
        <v>1.0451388888888889E-2</v>
      </c>
      <c r="F3814">
        <v>15.05</v>
      </c>
    </row>
    <row r="3815" spans="1:6" x14ac:dyDescent="0.25">
      <c r="A3815" s="1">
        <v>39722</v>
      </c>
      <c r="B3815" t="s">
        <v>16</v>
      </c>
      <c r="C3815" t="s">
        <v>10</v>
      </c>
      <c r="D3815">
        <v>1</v>
      </c>
      <c r="E3815" s="2">
        <v>4.9768518518518521E-4</v>
      </c>
      <c r="F3815">
        <v>0.71666666666666667</v>
      </c>
    </row>
    <row r="3816" spans="1:6" x14ac:dyDescent="0.25">
      <c r="A3816" s="1">
        <v>39722</v>
      </c>
      <c r="B3816" t="s">
        <v>16</v>
      </c>
      <c r="C3816" t="s">
        <v>11</v>
      </c>
      <c r="D3816">
        <v>12</v>
      </c>
      <c r="E3816" s="2">
        <v>1.1064814814814816E-2</v>
      </c>
      <c r="F3816">
        <v>15.933333333333334</v>
      </c>
    </row>
    <row r="3817" spans="1:6" x14ac:dyDescent="0.25">
      <c r="A3817" s="1">
        <v>39722</v>
      </c>
      <c r="B3817" t="s">
        <v>17</v>
      </c>
      <c r="C3817" t="s">
        <v>6</v>
      </c>
      <c r="D3817">
        <v>25</v>
      </c>
      <c r="E3817" s="2">
        <v>2.8761574074074075E-2</v>
      </c>
      <c r="F3817">
        <v>41.416666666666664</v>
      </c>
    </row>
    <row r="3818" spans="1:6" x14ac:dyDescent="0.25">
      <c r="A3818" s="1">
        <v>39722</v>
      </c>
      <c r="B3818" t="s">
        <v>17</v>
      </c>
      <c r="C3818" t="s">
        <v>7</v>
      </c>
      <c r="D3818">
        <v>20</v>
      </c>
      <c r="E3818" s="2">
        <v>2.1956018518518517E-2</v>
      </c>
      <c r="F3818">
        <v>31.616666666666667</v>
      </c>
    </row>
    <row r="3819" spans="1:6" x14ac:dyDescent="0.25">
      <c r="A3819" s="1">
        <v>39722</v>
      </c>
      <c r="B3819" t="s">
        <v>17</v>
      </c>
      <c r="C3819" t="s">
        <v>8</v>
      </c>
      <c r="D3819">
        <v>14</v>
      </c>
      <c r="E3819" s="2">
        <v>1.9780092592592592E-2</v>
      </c>
      <c r="F3819">
        <v>28.483333333333334</v>
      </c>
    </row>
    <row r="3820" spans="1:6" x14ac:dyDescent="0.25">
      <c r="A3820" s="1">
        <v>39722</v>
      </c>
      <c r="B3820" t="s">
        <v>17</v>
      </c>
      <c r="C3820" t="s">
        <v>9</v>
      </c>
      <c r="D3820">
        <v>10</v>
      </c>
      <c r="E3820" s="2">
        <v>7.4652777777777781E-3</v>
      </c>
      <c r="F3820">
        <v>10.75</v>
      </c>
    </row>
    <row r="3821" spans="1:6" x14ac:dyDescent="0.25">
      <c r="A3821" s="1">
        <v>39722</v>
      </c>
      <c r="B3821" t="s">
        <v>17</v>
      </c>
      <c r="C3821" t="s">
        <v>10</v>
      </c>
      <c r="D3821">
        <v>7</v>
      </c>
      <c r="E3821" s="2">
        <v>4.1435185185185186E-3</v>
      </c>
      <c r="F3821">
        <v>5.9666666666666668</v>
      </c>
    </row>
    <row r="3822" spans="1:6" x14ac:dyDescent="0.25">
      <c r="A3822" s="1">
        <v>39722</v>
      </c>
      <c r="B3822" t="s">
        <v>17</v>
      </c>
      <c r="C3822" t="s">
        <v>11</v>
      </c>
      <c r="D3822">
        <v>10</v>
      </c>
      <c r="E3822" s="2">
        <v>9.3634259259259261E-3</v>
      </c>
      <c r="F3822">
        <v>13.483333333333333</v>
      </c>
    </row>
    <row r="3823" spans="1:6" x14ac:dyDescent="0.25">
      <c r="A3823" s="1">
        <v>39722</v>
      </c>
      <c r="B3823" t="s">
        <v>18</v>
      </c>
      <c r="C3823" t="s">
        <v>6</v>
      </c>
      <c r="D3823">
        <v>55</v>
      </c>
      <c r="E3823" s="2">
        <v>5.1504629629629629E-2</v>
      </c>
      <c r="F3823">
        <v>74.166666666666671</v>
      </c>
    </row>
    <row r="3824" spans="1:6" x14ac:dyDescent="0.25">
      <c r="A3824" s="1">
        <v>39722</v>
      </c>
      <c r="B3824" t="s">
        <v>18</v>
      </c>
      <c r="C3824" t="s">
        <v>7</v>
      </c>
      <c r="D3824">
        <v>72</v>
      </c>
      <c r="E3824" s="2">
        <v>6.7650462962962968E-2</v>
      </c>
      <c r="F3824">
        <v>97.416666666666671</v>
      </c>
    </row>
    <row r="3825" spans="1:6" x14ac:dyDescent="0.25">
      <c r="A3825" s="1">
        <v>39722</v>
      </c>
      <c r="B3825" t="s">
        <v>18</v>
      </c>
      <c r="C3825" t="s">
        <v>8</v>
      </c>
      <c r="D3825">
        <v>34</v>
      </c>
      <c r="E3825" s="2">
        <v>3.8599537037037036E-2</v>
      </c>
      <c r="F3825">
        <v>55.583333333333336</v>
      </c>
    </row>
    <row r="3826" spans="1:6" x14ac:dyDescent="0.25">
      <c r="A3826" s="1">
        <v>39722</v>
      </c>
      <c r="B3826" t="s">
        <v>18</v>
      </c>
      <c r="C3826" t="s">
        <v>9</v>
      </c>
      <c r="D3826">
        <v>69</v>
      </c>
      <c r="E3826" s="2">
        <v>4.2407407407407408E-2</v>
      </c>
      <c r="F3826">
        <v>61.06666666666667</v>
      </c>
    </row>
    <row r="3827" spans="1:6" x14ac:dyDescent="0.25">
      <c r="A3827" s="1">
        <v>39722</v>
      </c>
      <c r="B3827" t="s">
        <v>18</v>
      </c>
      <c r="C3827" t="s">
        <v>10</v>
      </c>
      <c r="D3827">
        <v>109</v>
      </c>
      <c r="E3827" s="2">
        <v>8.1493055555555555E-2</v>
      </c>
      <c r="F3827">
        <v>117.35</v>
      </c>
    </row>
    <row r="3828" spans="1:6" x14ac:dyDescent="0.25">
      <c r="A3828" s="1">
        <v>39722</v>
      </c>
      <c r="B3828" t="s">
        <v>18</v>
      </c>
      <c r="C3828" t="s">
        <v>11</v>
      </c>
      <c r="D3828">
        <v>12</v>
      </c>
      <c r="E3828" s="2">
        <v>8.2754629629629636E-3</v>
      </c>
      <c r="F3828">
        <v>11.916666666666666</v>
      </c>
    </row>
    <row r="3829" spans="1:6" x14ac:dyDescent="0.25">
      <c r="A3829" s="1">
        <v>39722</v>
      </c>
      <c r="B3829" t="s">
        <v>19</v>
      </c>
      <c r="C3829" t="s">
        <v>6</v>
      </c>
      <c r="D3829">
        <v>49</v>
      </c>
      <c r="E3829" s="2">
        <v>4.8784722222222222E-2</v>
      </c>
      <c r="F3829">
        <v>70.25</v>
      </c>
    </row>
    <row r="3830" spans="1:6" x14ac:dyDescent="0.25">
      <c r="A3830" s="1">
        <v>39722</v>
      </c>
      <c r="B3830" t="s">
        <v>19</v>
      </c>
      <c r="C3830" t="s">
        <v>7</v>
      </c>
      <c r="D3830">
        <v>49</v>
      </c>
      <c r="E3830" s="2">
        <v>5.0173611111111113E-2</v>
      </c>
      <c r="F3830">
        <v>72.25</v>
      </c>
    </row>
    <row r="3831" spans="1:6" x14ac:dyDescent="0.25">
      <c r="A3831" s="1">
        <v>39722</v>
      </c>
      <c r="B3831" t="s">
        <v>19</v>
      </c>
      <c r="C3831" t="s">
        <v>8</v>
      </c>
      <c r="D3831">
        <v>37</v>
      </c>
      <c r="E3831" s="2">
        <v>4.071759259259259E-2</v>
      </c>
      <c r="F3831">
        <v>58.633333333333333</v>
      </c>
    </row>
    <row r="3832" spans="1:6" x14ac:dyDescent="0.25">
      <c r="A3832" s="1">
        <v>39722</v>
      </c>
      <c r="B3832" t="s">
        <v>19</v>
      </c>
      <c r="C3832" t="s">
        <v>9</v>
      </c>
      <c r="D3832">
        <v>36</v>
      </c>
      <c r="E3832" s="2">
        <v>2.6828703703703705E-2</v>
      </c>
      <c r="F3832">
        <v>38.633333333333333</v>
      </c>
    </row>
    <row r="3833" spans="1:6" x14ac:dyDescent="0.25">
      <c r="A3833" s="1">
        <v>39722</v>
      </c>
      <c r="B3833" t="s">
        <v>19</v>
      </c>
      <c r="C3833" t="s">
        <v>10</v>
      </c>
      <c r="D3833">
        <v>20</v>
      </c>
      <c r="E3833" s="2">
        <v>1.0763888888888889E-2</v>
      </c>
      <c r="F3833">
        <v>15.5</v>
      </c>
    </row>
    <row r="3834" spans="1:6" x14ac:dyDescent="0.25">
      <c r="A3834" s="1">
        <v>39722</v>
      </c>
      <c r="B3834" t="s">
        <v>19</v>
      </c>
      <c r="C3834" t="s">
        <v>11</v>
      </c>
      <c r="D3834">
        <v>34</v>
      </c>
      <c r="E3834" s="2">
        <v>2.480324074074074E-2</v>
      </c>
      <c r="F3834">
        <v>35.716666666666669</v>
      </c>
    </row>
    <row r="3835" spans="1:6" x14ac:dyDescent="0.25">
      <c r="A3835" s="1">
        <v>39722</v>
      </c>
      <c r="B3835" t="s">
        <v>20</v>
      </c>
      <c r="C3835" t="s">
        <v>6</v>
      </c>
      <c r="D3835">
        <v>19</v>
      </c>
      <c r="E3835" s="2">
        <v>1.9131944444444444E-2</v>
      </c>
      <c r="F3835">
        <v>27.55</v>
      </c>
    </row>
    <row r="3836" spans="1:6" x14ac:dyDescent="0.25">
      <c r="A3836" s="1">
        <v>39722</v>
      </c>
      <c r="B3836" t="s">
        <v>20</v>
      </c>
      <c r="C3836" t="s">
        <v>7</v>
      </c>
      <c r="D3836">
        <v>27</v>
      </c>
      <c r="E3836" s="2">
        <v>2.5555555555555557E-2</v>
      </c>
      <c r="F3836">
        <v>36.799999999999997</v>
      </c>
    </row>
    <row r="3837" spans="1:6" x14ac:dyDescent="0.25">
      <c r="A3837" s="1">
        <v>39722</v>
      </c>
      <c r="B3837" t="s">
        <v>20</v>
      </c>
      <c r="C3837" t="s">
        <v>8</v>
      </c>
      <c r="D3837">
        <v>18</v>
      </c>
      <c r="E3837" s="2">
        <v>2.2337962962962962E-2</v>
      </c>
      <c r="F3837">
        <v>32.166666666666664</v>
      </c>
    </row>
    <row r="3838" spans="1:6" x14ac:dyDescent="0.25">
      <c r="A3838" s="1">
        <v>39722</v>
      </c>
      <c r="B3838" t="s">
        <v>20</v>
      </c>
      <c r="C3838" t="s">
        <v>9</v>
      </c>
      <c r="D3838">
        <v>5</v>
      </c>
      <c r="E3838" s="2">
        <v>4.5023148148148149E-3</v>
      </c>
      <c r="F3838">
        <v>6.4833333333333334</v>
      </c>
    </row>
    <row r="3839" spans="1:6" x14ac:dyDescent="0.25">
      <c r="A3839" s="1">
        <v>39722</v>
      </c>
      <c r="B3839" t="s">
        <v>20</v>
      </c>
      <c r="C3839" t="s">
        <v>10</v>
      </c>
      <c r="D3839">
        <v>4</v>
      </c>
      <c r="E3839" s="2">
        <v>3.2638888888888891E-3</v>
      </c>
      <c r="F3839">
        <v>4.7</v>
      </c>
    </row>
    <row r="3840" spans="1:6" x14ac:dyDescent="0.25">
      <c r="A3840" s="1">
        <v>39722</v>
      </c>
      <c r="B3840" t="s">
        <v>20</v>
      </c>
      <c r="C3840" t="s">
        <v>11</v>
      </c>
      <c r="D3840">
        <v>6</v>
      </c>
      <c r="E3840" s="2">
        <v>4.5138888888888885E-3</v>
      </c>
      <c r="F3840">
        <v>6.5</v>
      </c>
    </row>
    <row r="3841" spans="1:6" x14ac:dyDescent="0.25">
      <c r="A3841" s="1">
        <v>39722</v>
      </c>
      <c r="B3841" t="s">
        <v>21</v>
      </c>
      <c r="C3841" t="s">
        <v>6</v>
      </c>
      <c r="D3841">
        <v>29</v>
      </c>
      <c r="E3841" s="2">
        <v>3.6851851851851851E-2</v>
      </c>
      <c r="F3841">
        <v>53.06666666666667</v>
      </c>
    </row>
    <row r="3842" spans="1:6" x14ac:dyDescent="0.25">
      <c r="A3842" s="1">
        <v>39722</v>
      </c>
      <c r="B3842" t="s">
        <v>21</v>
      </c>
      <c r="C3842" t="s">
        <v>7</v>
      </c>
      <c r="D3842">
        <v>31</v>
      </c>
      <c r="E3842" s="2">
        <v>3.3206018518518517E-2</v>
      </c>
      <c r="F3842">
        <v>47.81666666666667</v>
      </c>
    </row>
    <row r="3843" spans="1:6" x14ac:dyDescent="0.25">
      <c r="A3843" s="1">
        <v>39722</v>
      </c>
      <c r="B3843" t="s">
        <v>21</v>
      </c>
      <c r="C3843" t="s">
        <v>8</v>
      </c>
      <c r="D3843">
        <v>15</v>
      </c>
      <c r="E3843" s="2">
        <v>1.9247685185185184E-2</v>
      </c>
      <c r="F3843">
        <v>27.716666666666665</v>
      </c>
    </row>
    <row r="3844" spans="1:6" x14ac:dyDescent="0.25">
      <c r="A3844" s="1">
        <v>39722</v>
      </c>
      <c r="B3844" t="s">
        <v>21</v>
      </c>
      <c r="C3844" t="s">
        <v>9</v>
      </c>
      <c r="D3844">
        <v>9</v>
      </c>
      <c r="E3844" s="2">
        <v>4.2013888888888891E-3</v>
      </c>
      <c r="F3844">
        <v>6.05</v>
      </c>
    </row>
    <row r="3845" spans="1:6" x14ac:dyDescent="0.25">
      <c r="A3845" s="1">
        <v>39722</v>
      </c>
      <c r="B3845" t="s">
        <v>21</v>
      </c>
      <c r="C3845" t="s">
        <v>10</v>
      </c>
      <c r="D3845">
        <v>2</v>
      </c>
      <c r="E3845" s="2">
        <v>4.1435185185185186E-3</v>
      </c>
      <c r="F3845">
        <v>5.9666666666666668</v>
      </c>
    </row>
    <row r="3846" spans="1:6" x14ac:dyDescent="0.25">
      <c r="A3846" s="1">
        <v>39722</v>
      </c>
      <c r="B3846" t="s">
        <v>21</v>
      </c>
      <c r="C3846" t="s">
        <v>11</v>
      </c>
      <c r="D3846">
        <v>13</v>
      </c>
      <c r="E3846" s="2">
        <v>1.1782407407407408E-2</v>
      </c>
      <c r="F3846">
        <v>16.966666666666665</v>
      </c>
    </row>
    <row r="3847" spans="1:6" x14ac:dyDescent="0.25">
      <c r="A3847" s="1">
        <v>39722</v>
      </c>
      <c r="B3847" t="s">
        <v>22</v>
      </c>
      <c r="C3847" t="s">
        <v>6</v>
      </c>
      <c r="D3847">
        <v>11</v>
      </c>
      <c r="E3847" s="2">
        <v>1.1446759259259259E-2</v>
      </c>
      <c r="F3847">
        <v>16.483333333333334</v>
      </c>
    </row>
    <row r="3848" spans="1:6" x14ac:dyDescent="0.25">
      <c r="A3848" s="1">
        <v>39722</v>
      </c>
      <c r="B3848" t="s">
        <v>22</v>
      </c>
      <c r="C3848" t="s">
        <v>7</v>
      </c>
      <c r="D3848">
        <v>4</v>
      </c>
      <c r="E3848" s="2">
        <v>5.2662037037037035E-3</v>
      </c>
      <c r="F3848">
        <v>7.583333333333333</v>
      </c>
    </row>
    <row r="3849" spans="1:6" x14ac:dyDescent="0.25">
      <c r="A3849" s="1">
        <v>39722</v>
      </c>
      <c r="B3849" t="s">
        <v>22</v>
      </c>
      <c r="C3849" t="s">
        <v>8</v>
      </c>
      <c r="D3849">
        <v>4</v>
      </c>
      <c r="E3849" s="2">
        <v>3.3217592592592591E-3</v>
      </c>
      <c r="F3849">
        <v>4.7833333333333332</v>
      </c>
    </row>
    <row r="3850" spans="1:6" x14ac:dyDescent="0.25">
      <c r="A3850" s="1">
        <v>39722</v>
      </c>
      <c r="B3850" t="s">
        <v>22</v>
      </c>
      <c r="C3850" t="s">
        <v>9</v>
      </c>
      <c r="D3850">
        <v>1</v>
      </c>
      <c r="E3850" s="2">
        <v>2.199074074074074E-4</v>
      </c>
      <c r="F3850">
        <v>0.31666666666666665</v>
      </c>
    </row>
    <row r="3851" spans="1:6" x14ac:dyDescent="0.25">
      <c r="A3851" s="1">
        <v>39722</v>
      </c>
      <c r="B3851" t="s">
        <v>22</v>
      </c>
      <c r="C3851" t="s">
        <v>10</v>
      </c>
      <c r="D3851">
        <v>3</v>
      </c>
      <c r="E3851" s="2">
        <v>2.3842592592592591E-3</v>
      </c>
      <c r="F3851">
        <v>3.4333333333333336</v>
      </c>
    </row>
    <row r="3852" spans="1:6" x14ac:dyDescent="0.25">
      <c r="A3852" s="1">
        <v>39722</v>
      </c>
      <c r="B3852" t="s">
        <v>22</v>
      </c>
      <c r="C3852" t="s">
        <v>11</v>
      </c>
      <c r="D3852">
        <v>6</v>
      </c>
      <c r="E3852" s="2">
        <v>3.6805555555555554E-3</v>
      </c>
      <c r="F3852">
        <v>5.3</v>
      </c>
    </row>
    <row r="3853" spans="1:6" x14ac:dyDescent="0.25">
      <c r="A3853" s="1">
        <v>39722</v>
      </c>
      <c r="B3853" t="s">
        <v>23</v>
      </c>
      <c r="C3853" t="s">
        <v>6</v>
      </c>
      <c r="D3853">
        <v>115</v>
      </c>
      <c r="E3853" s="2">
        <v>0.12037037037037036</v>
      </c>
      <c r="F3853">
        <v>173.33333333333334</v>
      </c>
    </row>
    <row r="3854" spans="1:6" x14ac:dyDescent="0.25">
      <c r="A3854" s="1">
        <v>39722</v>
      </c>
      <c r="B3854" t="s">
        <v>23</v>
      </c>
      <c r="C3854" t="s">
        <v>7</v>
      </c>
      <c r="D3854">
        <v>97</v>
      </c>
      <c r="E3854" s="2">
        <v>0.10028935185185185</v>
      </c>
      <c r="F3854">
        <v>144.41666666666666</v>
      </c>
    </row>
    <row r="3855" spans="1:6" x14ac:dyDescent="0.25">
      <c r="A3855" s="1">
        <v>39722</v>
      </c>
      <c r="B3855" t="s">
        <v>23</v>
      </c>
      <c r="C3855" t="s">
        <v>8</v>
      </c>
      <c r="D3855">
        <v>63</v>
      </c>
      <c r="E3855" s="2">
        <v>7.694444444444444E-2</v>
      </c>
      <c r="F3855">
        <v>110.8</v>
      </c>
    </row>
    <row r="3856" spans="1:6" x14ac:dyDescent="0.25">
      <c r="A3856" s="1">
        <v>39722</v>
      </c>
      <c r="B3856" t="s">
        <v>23</v>
      </c>
      <c r="C3856" t="s">
        <v>9</v>
      </c>
      <c r="D3856">
        <v>53</v>
      </c>
      <c r="E3856" s="2">
        <v>3.2256944444444442E-2</v>
      </c>
      <c r="F3856">
        <v>46.45</v>
      </c>
    </row>
    <row r="3857" spans="1:6" x14ac:dyDescent="0.25">
      <c r="A3857" s="1">
        <v>39722</v>
      </c>
      <c r="B3857" t="s">
        <v>23</v>
      </c>
      <c r="C3857" t="s">
        <v>10</v>
      </c>
      <c r="D3857">
        <v>30</v>
      </c>
      <c r="E3857" s="2">
        <v>2.5659722222222223E-2</v>
      </c>
      <c r="F3857">
        <v>36.950000000000003</v>
      </c>
    </row>
    <row r="3858" spans="1:6" x14ac:dyDescent="0.25">
      <c r="A3858" s="1">
        <v>39722</v>
      </c>
      <c r="B3858" t="s">
        <v>23</v>
      </c>
      <c r="C3858" t="s">
        <v>11</v>
      </c>
      <c r="D3858">
        <v>59</v>
      </c>
      <c r="E3858" s="2">
        <v>4.9652777777777775E-2</v>
      </c>
      <c r="F3858">
        <v>71.5</v>
      </c>
    </row>
    <row r="3859" spans="1:6" x14ac:dyDescent="0.25">
      <c r="A3859" s="1">
        <v>39722</v>
      </c>
      <c r="B3859" t="s">
        <v>24</v>
      </c>
      <c r="C3859" t="s">
        <v>6</v>
      </c>
      <c r="D3859">
        <v>47</v>
      </c>
      <c r="E3859" s="2">
        <v>4.5138888888888888E-2</v>
      </c>
      <c r="F3859">
        <v>65</v>
      </c>
    </row>
    <row r="3860" spans="1:6" x14ac:dyDescent="0.25">
      <c r="A3860" s="1">
        <v>39722</v>
      </c>
      <c r="B3860" t="s">
        <v>24</v>
      </c>
      <c r="C3860" t="s">
        <v>7</v>
      </c>
      <c r="D3860">
        <v>45</v>
      </c>
      <c r="E3860" s="2">
        <v>3.111111111111111E-2</v>
      </c>
      <c r="F3860">
        <v>44.8</v>
      </c>
    </row>
    <row r="3861" spans="1:6" x14ac:dyDescent="0.25">
      <c r="A3861" s="1">
        <v>39722</v>
      </c>
      <c r="B3861" t="s">
        <v>24</v>
      </c>
      <c r="C3861" t="s">
        <v>8</v>
      </c>
      <c r="D3861">
        <v>22</v>
      </c>
      <c r="E3861" s="2">
        <v>1.6782407407407409E-2</v>
      </c>
      <c r="F3861">
        <v>24.166666666666668</v>
      </c>
    </row>
    <row r="3862" spans="1:6" x14ac:dyDescent="0.25">
      <c r="A3862" s="1">
        <v>39722</v>
      </c>
      <c r="B3862" t="s">
        <v>24</v>
      </c>
      <c r="C3862" t="s">
        <v>9</v>
      </c>
      <c r="D3862">
        <v>13</v>
      </c>
      <c r="E3862" s="2">
        <v>6.9560185185185185E-3</v>
      </c>
      <c r="F3862">
        <v>10.016666666666667</v>
      </c>
    </row>
    <row r="3863" spans="1:6" x14ac:dyDescent="0.25">
      <c r="A3863" s="1">
        <v>39722</v>
      </c>
      <c r="B3863" t="s">
        <v>24</v>
      </c>
      <c r="C3863" t="s">
        <v>10</v>
      </c>
      <c r="D3863">
        <v>1</v>
      </c>
      <c r="E3863" s="2">
        <v>2.3148148148148149E-4</v>
      </c>
      <c r="F3863">
        <v>0.33333333333333331</v>
      </c>
    </row>
    <row r="3864" spans="1:6" x14ac:dyDescent="0.25">
      <c r="A3864" s="1">
        <v>39722</v>
      </c>
      <c r="B3864" t="s">
        <v>24</v>
      </c>
      <c r="C3864" t="s">
        <v>11</v>
      </c>
      <c r="D3864">
        <v>23</v>
      </c>
      <c r="E3864" s="2">
        <v>1.3981481481481482E-2</v>
      </c>
      <c r="F3864">
        <v>20.133333333333333</v>
      </c>
    </row>
    <row r="3865" spans="1:6" x14ac:dyDescent="0.25">
      <c r="A3865" s="1">
        <v>39753</v>
      </c>
      <c r="B3865" t="s">
        <v>5</v>
      </c>
      <c r="C3865" t="s">
        <v>6</v>
      </c>
      <c r="D3865">
        <v>27</v>
      </c>
      <c r="E3865" s="2">
        <v>1.9837962962962963E-2</v>
      </c>
      <c r="F3865">
        <v>28.566666666666666</v>
      </c>
    </row>
    <row r="3866" spans="1:6" x14ac:dyDescent="0.25">
      <c r="A3866" s="1">
        <v>39753</v>
      </c>
      <c r="B3866" t="s">
        <v>5</v>
      </c>
      <c r="C3866" t="s">
        <v>7</v>
      </c>
      <c r="D3866">
        <v>28</v>
      </c>
      <c r="E3866" s="2">
        <v>2.3587962962962963E-2</v>
      </c>
      <c r="F3866">
        <v>33.966666666666669</v>
      </c>
    </row>
    <row r="3867" spans="1:6" x14ac:dyDescent="0.25">
      <c r="A3867" s="1">
        <v>39753</v>
      </c>
      <c r="B3867" t="s">
        <v>5</v>
      </c>
      <c r="C3867" t="s">
        <v>8</v>
      </c>
      <c r="D3867">
        <v>13</v>
      </c>
      <c r="E3867" s="2">
        <v>1.3541666666666667E-2</v>
      </c>
      <c r="F3867">
        <v>19.5</v>
      </c>
    </row>
    <row r="3868" spans="1:6" x14ac:dyDescent="0.25">
      <c r="A3868" s="1">
        <v>39753</v>
      </c>
      <c r="B3868" t="s">
        <v>5</v>
      </c>
      <c r="C3868" t="s">
        <v>9</v>
      </c>
      <c r="D3868">
        <v>6</v>
      </c>
      <c r="E3868" s="2">
        <v>2.9398148148148148E-3</v>
      </c>
      <c r="F3868">
        <v>4.2333333333333334</v>
      </c>
    </row>
    <row r="3869" spans="1:6" x14ac:dyDescent="0.25">
      <c r="A3869" s="1">
        <v>39753</v>
      </c>
      <c r="B3869" t="s">
        <v>5</v>
      </c>
      <c r="C3869" t="s">
        <v>10</v>
      </c>
      <c r="D3869">
        <v>5</v>
      </c>
      <c r="E3869" s="2">
        <v>3.0439814814814813E-3</v>
      </c>
      <c r="F3869">
        <v>4.3833333333333337</v>
      </c>
    </row>
    <row r="3870" spans="1:6" x14ac:dyDescent="0.25">
      <c r="A3870" s="1">
        <v>39753</v>
      </c>
      <c r="B3870" t="s">
        <v>5</v>
      </c>
      <c r="C3870" t="s">
        <v>11</v>
      </c>
      <c r="D3870">
        <v>10</v>
      </c>
      <c r="E3870" s="2">
        <v>4.9305555555555552E-3</v>
      </c>
      <c r="F3870">
        <v>7.1</v>
      </c>
    </row>
    <row r="3871" spans="1:6" x14ac:dyDescent="0.25">
      <c r="A3871" s="1">
        <v>39753</v>
      </c>
      <c r="B3871" t="s">
        <v>12</v>
      </c>
      <c r="C3871" t="s">
        <v>6</v>
      </c>
      <c r="D3871">
        <v>55</v>
      </c>
      <c r="E3871" s="2">
        <v>6.6284722222222217E-2</v>
      </c>
      <c r="F3871">
        <v>95.45</v>
      </c>
    </row>
    <row r="3872" spans="1:6" x14ac:dyDescent="0.25">
      <c r="A3872" s="1">
        <v>39753</v>
      </c>
      <c r="B3872" t="s">
        <v>12</v>
      </c>
      <c r="C3872" t="s">
        <v>7</v>
      </c>
      <c r="D3872">
        <v>50</v>
      </c>
      <c r="E3872" s="2">
        <v>6.7407407407407402E-2</v>
      </c>
      <c r="F3872">
        <v>97.066666666666663</v>
      </c>
    </row>
    <row r="3873" spans="1:6" x14ac:dyDescent="0.25">
      <c r="A3873" s="1">
        <v>39753</v>
      </c>
      <c r="B3873" t="s">
        <v>12</v>
      </c>
      <c r="C3873" t="s">
        <v>8</v>
      </c>
      <c r="D3873">
        <v>38</v>
      </c>
      <c r="E3873" s="2">
        <v>5.3194444444444447E-2</v>
      </c>
      <c r="F3873">
        <v>76.599999999999994</v>
      </c>
    </row>
    <row r="3874" spans="1:6" x14ac:dyDescent="0.25">
      <c r="A3874" s="1">
        <v>39753</v>
      </c>
      <c r="B3874" t="s">
        <v>12</v>
      </c>
      <c r="C3874" t="s">
        <v>9</v>
      </c>
      <c r="D3874">
        <v>24</v>
      </c>
      <c r="E3874" s="2">
        <v>1.2060185185185186E-2</v>
      </c>
      <c r="F3874">
        <v>17.366666666666667</v>
      </c>
    </row>
    <row r="3875" spans="1:6" x14ac:dyDescent="0.25">
      <c r="A3875" s="1">
        <v>39753</v>
      </c>
      <c r="B3875" t="s">
        <v>12</v>
      </c>
      <c r="C3875" t="s">
        <v>10</v>
      </c>
      <c r="D3875">
        <v>2</v>
      </c>
      <c r="E3875" s="2">
        <v>4.3981481481481481E-4</v>
      </c>
      <c r="F3875">
        <v>0.6333333333333333</v>
      </c>
    </row>
    <row r="3876" spans="1:6" x14ac:dyDescent="0.25">
      <c r="A3876" s="1">
        <v>39753</v>
      </c>
      <c r="B3876" t="s">
        <v>12</v>
      </c>
      <c r="C3876" t="s">
        <v>11</v>
      </c>
      <c r="D3876">
        <v>27</v>
      </c>
      <c r="E3876" s="2">
        <v>2.6377314814814815E-2</v>
      </c>
      <c r="F3876">
        <v>37.983333333333334</v>
      </c>
    </row>
    <row r="3877" spans="1:6" x14ac:dyDescent="0.25">
      <c r="A3877" s="1">
        <v>39753</v>
      </c>
      <c r="B3877" t="s">
        <v>13</v>
      </c>
      <c r="C3877" t="s">
        <v>6</v>
      </c>
      <c r="D3877">
        <v>79</v>
      </c>
      <c r="E3877" s="2">
        <v>8.0486111111111105E-2</v>
      </c>
      <c r="F3877">
        <v>115.9</v>
      </c>
    </row>
    <row r="3878" spans="1:6" x14ac:dyDescent="0.25">
      <c r="A3878" s="1">
        <v>39753</v>
      </c>
      <c r="B3878" t="s">
        <v>13</v>
      </c>
      <c r="C3878" t="s">
        <v>7</v>
      </c>
      <c r="D3878">
        <v>66</v>
      </c>
      <c r="E3878" s="2">
        <v>7.5289351851851857E-2</v>
      </c>
      <c r="F3878">
        <v>108.41666666666667</v>
      </c>
    </row>
    <row r="3879" spans="1:6" x14ac:dyDescent="0.25">
      <c r="A3879" s="1">
        <v>39753</v>
      </c>
      <c r="B3879" t="s">
        <v>13</v>
      </c>
      <c r="C3879" t="s">
        <v>8</v>
      </c>
      <c r="D3879">
        <v>46</v>
      </c>
      <c r="E3879" s="2">
        <v>5.6504629629629627E-2</v>
      </c>
      <c r="F3879">
        <v>81.36666666666666</v>
      </c>
    </row>
    <row r="3880" spans="1:6" x14ac:dyDescent="0.25">
      <c r="A3880" s="1">
        <v>39753</v>
      </c>
      <c r="B3880" t="s">
        <v>13</v>
      </c>
      <c r="C3880" t="s">
        <v>9</v>
      </c>
      <c r="D3880">
        <v>45</v>
      </c>
      <c r="E3880" s="2">
        <v>2.1851851851851851E-2</v>
      </c>
      <c r="F3880">
        <v>31.466666666666665</v>
      </c>
    </row>
    <row r="3881" spans="1:6" x14ac:dyDescent="0.25">
      <c r="A3881" s="1">
        <v>39753</v>
      </c>
      <c r="B3881" t="s">
        <v>13</v>
      </c>
      <c r="C3881" t="s">
        <v>10</v>
      </c>
      <c r="D3881">
        <v>51</v>
      </c>
      <c r="E3881" s="2">
        <v>5.6643518518518517E-2</v>
      </c>
      <c r="F3881">
        <v>81.566666666666663</v>
      </c>
    </row>
    <row r="3882" spans="1:6" x14ac:dyDescent="0.25">
      <c r="A3882" s="1">
        <v>39753</v>
      </c>
      <c r="B3882" t="s">
        <v>13</v>
      </c>
      <c r="C3882" t="s">
        <v>11</v>
      </c>
      <c r="D3882">
        <v>28</v>
      </c>
      <c r="E3882" s="2">
        <v>2.0833333333333332E-2</v>
      </c>
      <c r="F3882">
        <v>30</v>
      </c>
    </row>
    <row r="3883" spans="1:6" x14ac:dyDescent="0.25">
      <c r="A3883" s="1">
        <v>39753</v>
      </c>
      <c r="B3883" t="s">
        <v>14</v>
      </c>
      <c r="C3883" t="s">
        <v>6</v>
      </c>
      <c r="D3883">
        <v>12</v>
      </c>
      <c r="E3883" s="2">
        <v>1.6516203703703703E-2</v>
      </c>
      <c r="F3883">
        <v>23.783333333333335</v>
      </c>
    </row>
    <row r="3884" spans="1:6" x14ac:dyDescent="0.25">
      <c r="A3884" s="1">
        <v>39753</v>
      </c>
      <c r="B3884" t="s">
        <v>14</v>
      </c>
      <c r="C3884" t="s">
        <v>7</v>
      </c>
      <c r="D3884">
        <v>8</v>
      </c>
      <c r="E3884" s="2">
        <v>8.6458333333333335E-3</v>
      </c>
      <c r="F3884">
        <v>12.45</v>
      </c>
    </row>
    <row r="3885" spans="1:6" x14ac:dyDescent="0.25">
      <c r="A3885" s="1">
        <v>39753</v>
      </c>
      <c r="B3885" t="s">
        <v>14</v>
      </c>
      <c r="C3885" t="s">
        <v>8</v>
      </c>
      <c r="D3885">
        <v>6</v>
      </c>
      <c r="E3885" s="2">
        <v>8.3333333333333332E-3</v>
      </c>
      <c r="F3885">
        <v>12</v>
      </c>
    </row>
    <row r="3886" spans="1:6" x14ac:dyDescent="0.25">
      <c r="A3886" s="1">
        <v>39753</v>
      </c>
      <c r="B3886" t="s">
        <v>14</v>
      </c>
      <c r="C3886" t="s">
        <v>9</v>
      </c>
      <c r="D3886">
        <v>2</v>
      </c>
      <c r="E3886" s="2">
        <v>1.4930555555555556E-3</v>
      </c>
      <c r="F3886">
        <v>2.15</v>
      </c>
    </row>
    <row r="3887" spans="1:6" x14ac:dyDescent="0.25">
      <c r="A3887" s="1">
        <v>39753</v>
      </c>
      <c r="B3887" t="s">
        <v>14</v>
      </c>
      <c r="C3887" t="s">
        <v>10</v>
      </c>
      <c r="D3887">
        <v>4</v>
      </c>
      <c r="E3887" s="2">
        <v>4.0856481481481481E-3</v>
      </c>
      <c r="F3887">
        <v>5.8833333333333329</v>
      </c>
    </row>
    <row r="3888" spans="1:6" x14ac:dyDescent="0.25">
      <c r="A3888" s="1">
        <v>39753</v>
      </c>
      <c r="B3888" t="s">
        <v>14</v>
      </c>
      <c r="C3888" t="s">
        <v>11</v>
      </c>
      <c r="D3888">
        <v>4</v>
      </c>
      <c r="E3888" s="2">
        <v>3.1712962962962962E-3</v>
      </c>
      <c r="F3888">
        <v>4.5666666666666664</v>
      </c>
    </row>
    <row r="3889" spans="1:6" x14ac:dyDescent="0.25">
      <c r="A3889" s="1">
        <v>39753</v>
      </c>
      <c r="B3889" t="s">
        <v>15</v>
      </c>
      <c r="C3889" t="s">
        <v>6</v>
      </c>
      <c r="D3889">
        <v>20</v>
      </c>
      <c r="E3889" s="2">
        <v>2.0324074074074074E-2</v>
      </c>
      <c r="F3889">
        <v>29.266666666666666</v>
      </c>
    </row>
    <row r="3890" spans="1:6" x14ac:dyDescent="0.25">
      <c r="A3890" s="1">
        <v>39753</v>
      </c>
      <c r="B3890" t="s">
        <v>15</v>
      </c>
      <c r="C3890" t="s">
        <v>7</v>
      </c>
      <c r="D3890">
        <v>21</v>
      </c>
      <c r="E3890" s="2">
        <v>1.4467592592592593E-2</v>
      </c>
      <c r="F3890">
        <v>20.833333333333332</v>
      </c>
    </row>
    <row r="3891" spans="1:6" x14ac:dyDescent="0.25">
      <c r="A3891" s="1">
        <v>39753</v>
      </c>
      <c r="B3891" t="s">
        <v>15</v>
      </c>
      <c r="C3891" t="s">
        <v>8</v>
      </c>
      <c r="D3891">
        <v>9</v>
      </c>
      <c r="E3891" s="2">
        <v>6.2384259259259259E-3</v>
      </c>
      <c r="F3891">
        <v>8.9833333333333325</v>
      </c>
    </row>
    <row r="3892" spans="1:6" x14ac:dyDescent="0.25">
      <c r="A3892" s="1">
        <v>39753</v>
      </c>
      <c r="B3892" t="s">
        <v>15</v>
      </c>
      <c r="C3892" t="s">
        <v>9</v>
      </c>
      <c r="D3892">
        <v>5</v>
      </c>
      <c r="E3892" s="2">
        <v>2.5347222222222221E-3</v>
      </c>
      <c r="F3892">
        <v>3.65</v>
      </c>
    </row>
    <row r="3893" spans="1:6" x14ac:dyDescent="0.25">
      <c r="A3893" s="1">
        <v>39753</v>
      </c>
      <c r="B3893" t="s">
        <v>15</v>
      </c>
      <c r="C3893" t="s">
        <v>10</v>
      </c>
      <c r="D3893">
        <v>3</v>
      </c>
      <c r="E3893" s="2">
        <v>1.8171296296296297E-3</v>
      </c>
      <c r="F3893">
        <v>2.6166666666666667</v>
      </c>
    </row>
    <row r="3894" spans="1:6" x14ac:dyDescent="0.25">
      <c r="A3894" s="1">
        <v>39753</v>
      </c>
      <c r="B3894" t="s">
        <v>15</v>
      </c>
      <c r="C3894" t="s">
        <v>11</v>
      </c>
      <c r="D3894">
        <v>9</v>
      </c>
      <c r="E3894" s="2">
        <v>7.2453703703703708E-3</v>
      </c>
      <c r="F3894">
        <v>10.433333333333334</v>
      </c>
    </row>
    <row r="3895" spans="1:6" x14ac:dyDescent="0.25">
      <c r="A3895" s="1">
        <v>39753</v>
      </c>
      <c r="B3895" t="s">
        <v>16</v>
      </c>
      <c r="C3895" t="s">
        <v>6</v>
      </c>
      <c r="D3895">
        <v>42</v>
      </c>
      <c r="E3895" s="2">
        <v>4.3032407407407408E-2</v>
      </c>
      <c r="F3895">
        <v>61.966666666666669</v>
      </c>
    </row>
    <row r="3896" spans="1:6" x14ac:dyDescent="0.25">
      <c r="A3896" s="1">
        <v>39753</v>
      </c>
      <c r="B3896" t="s">
        <v>16</v>
      </c>
      <c r="C3896" t="s">
        <v>7</v>
      </c>
      <c r="D3896">
        <v>35</v>
      </c>
      <c r="E3896" s="2">
        <v>3.2314814814814817E-2</v>
      </c>
      <c r="F3896">
        <v>46.533333333333331</v>
      </c>
    </row>
    <row r="3897" spans="1:6" x14ac:dyDescent="0.25">
      <c r="A3897" s="1">
        <v>39753</v>
      </c>
      <c r="B3897" t="s">
        <v>16</v>
      </c>
      <c r="C3897" t="s">
        <v>8</v>
      </c>
      <c r="D3897">
        <v>26</v>
      </c>
      <c r="E3897" s="2">
        <v>2.9490740740740741E-2</v>
      </c>
      <c r="F3897">
        <v>42.466666666666669</v>
      </c>
    </row>
    <row r="3898" spans="1:6" x14ac:dyDescent="0.25">
      <c r="A3898" s="1">
        <v>39753</v>
      </c>
      <c r="B3898" t="s">
        <v>16</v>
      </c>
      <c r="C3898" t="s">
        <v>9</v>
      </c>
      <c r="D3898">
        <v>34</v>
      </c>
      <c r="E3898" s="2">
        <v>1.6782407407407409E-2</v>
      </c>
      <c r="F3898">
        <v>24.166666666666668</v>
      </c>
    </row>
    <row r="3899" spans="1:6" x14ac:dyDescent="0.25">
      <c r="A3899" s="1">
        <v>39753</v>
      </c>
      <c r="B3899" t="s">
        <v>16</v>
      </c>
      <c r="C3899" t="s">
        <v>10</v>
      </c>
      <c r="D3899">
        <v>8</v>
      </c>
      <c r="E3899" s="2">
        <v>6.6203703703703702E-3</v>
      </c>
      <c r="F3899">
        <v>9.5333333333333332</v>
      </c>
    </row>
    <row r="3900" spans="1:6" x14ac:dyDescent="0.25">
      <c r="A3900" s="1">
        <v>39753</v>
      </c>
      <c r="B3900" t="s">
        <v>16</v>
      </c>
      <c r="C3900" t="s">
        <v>11</v>
      </c>
      <c r="D3900">
        <v>25</v>
      </c>
      <c r="E3900" s="2">
        <v>1.8969907407407408E-2</v>
      </c>
      <c r="F3900">
        <v>27.316666666666666</v>
      </c>
    </row>
    <row r="3901" spans="1:6" x14ac:dyDescent="0.25">
      <c r="A3901" s="1">
        <v>39753</v>
      </c>
      <c r="B3901" t="s">
        <v>17</v>
      </c>
      <c r="C3901" t="s">
        <v>6</v>
      </c>
      <c r="D3901">
        <v>8</v>
      </c>
      <c r="E3901" s="2">
        <v>9.1550925925925931E-3</v>
      </c>
      <c r="F3901">
        <v>13.183333333333334</v>
      </c>
    </row>
    <row r="3902" spans="1:6" x14ac:dyDescent="0.25">
      <c r="A3902" s="1">
        <v>39753</v>
      </c>
      <c r="B3902" t="s">
        <v>17</v>
      </c>
      <c r="C3902" t="s">
        <v>7</v>
      </c>
      <c r="D3902">
        <v>11</v>
      </c>
      <c r="E3902" s="2">
        <v>1.0706018518518519E-2</v>
      </c>
      <c r="F3902">
        <v>15.416666666666666</v>
      </c>
    </row>
    <row r="3903" spans="1:6" x14ac:dyDescent="0.25">
      <c r="A3903" s="1">
        <v>39753</v>
      </c>
      <c r="B3903" t="s">
        <v>17</v>
      </c>
      <c r="C3903" t="s">
        <v>8</v>
      </c>
      <c r="D3903">
        <v>6</v>
      </c>
      <c r="E3903" s="2">
        <v>9.6296296296296303E-3</v>
      </c>
      <c r="F3903">
        <v>13.866666666666667</v>
      </c>
    </row>
    <row r="3904" spans="1:6" x14ac:dyDescent="0.25">
      <c r="A3904" s="1">
        <v>39753</v>
      </c>
      <c r="B3904" t="s">
        <v>17</v>
      </c>
      <c r="C3904" t="s">
        <v>9</v>
      </c>
      <c r="D3904">
        <v>3</v>
      </c>
      <c r="E3904" s="2">
        <v>2.685185185185185E-3</v>
      </c>
      <c r="F3904">
        <v>3.8666666666666667</v>
      </c>
    </row>
    <row r="3905" spans="1:6" x14ac:dyDescent="0.25">
      <c r="A3905" s="1">
        <v>39753</v>
      </c>
      <c r="B3905" t="s">
        <v>17</v>
      </c>
      <c r="C3905" t="s">
        <v>10</v>
      </c>
      <c r="D3905">
        <v>6</v>
      </c>
      <c r="E3905" s="2">
        <v>5.7523148148148151E-3</v>
      </c>
      <c r="F3905">
        <v>8.2833333333333332</v>
      </c>
    </row>
    <row r="3906" spans="1:6" x14ac:dyDescent="0.25">
      <c r="A3906" s="1">
        <v>39753</v>
      </c>
      <c r="B3906" t="s">
        <v>17</v>
      </c>
      <c r="C3906" t="s">
        <v>11</v>
      </c>
      <c r="D3906">
        <v>5</v>
      </c>
      <c r="E3906" s="2">
        <v>4.8842592592592592E-3</v>
      </c>
      <c r="F3906">
        <v>7.0333333333333332</v>
      </c>
    </row>
    <row r="3907" spans="1:6" x14ac:dyDescent="0.25">
      <c r="A3907" s="1">
        <v>39753</v>
      </c>
      <c r="B3907" t="s">
        <v>18</v>
      </c>
      <c r="C3907" t="s">
        <v>6</v>
      </c>
      <c r="D3907">
        <v>102</v>
      </c>
      <c r="E3907" s="2">
        <v>0.10104166666666667</v>
      </c>
      <c r="F3907">
        <v>145.5</v>
      </c>
    </row>
    <row r="3908" spans="1:6" x14ac:dyDescent="0.25">
      <c r="A3908" s="1">
        <v>39753</v>
      </c>
      <c r="B3908" t="s">
        <v>18</v>
      </c>
      <c r="C3908" t="s">
        <v>7</v>
      </c>
      <c r="D3908">
        <v>139</v>
      </c>
      <c r="E3908" s="2">
        <v>0.14825231481481482</v>
      </c>
      <c r="F3908">
        <v>213.48333333333332</v>
      </c>
    </row>
    <row r="3909" spans="1:6" x14ac:dyDescent="0.25">
      <c r="A3909" s="1">
        <v>39753</v>
      </c>
      <c r="B3909" t="s">
        <v>18</v>
      </c>
      <c r="C3909" t="s">
        <v>8</v>
      </c>
      <c r="D3909">
        <v>61</v>
      </c>
      <c r="E3909" s="2">
        <v>8.4687499999999999E-2</v>
      </c>
      <c r="F3909">
        <v>121.95</v>
      </c>
    </row>
    <row r="3910" spans="1:6" x14ac:dyDescent="0.25">
      <c r="A3910" s="1">
        <v>39753</v>
      </c>
      <c r="B3910" t="s">
        <v>18</v>
      </c>
      <c r="C3910" t="s">
        <v>9</v>
      </c>
      <c r="D3910">
        <v>69</v>
      </c>
      <c r="E3910" s="2">
        <v>4.5069444444444447E-2</v>
      </c>
      <c r="F3910">
        <v>64.900000000000006</v>
      </c>
    </row>
    <row r="3911" spans="1:6" x14ac:dyDescent="0.25">
      <c r="A3911" s="1">
        <v>39753</v>
      </c>
      <c r="B3911" t="s">
        <v>18</v>
      </c>
      <c r="C3911" t="s">
        <v>10</v>
      </c>
      <c r="D3911">
        <v>130</v>
      </c>
      <c r="E3911" s="2">
        <v>0.12226851851851851</v>
      </c>
      <c r="F3911">
        <v>176.06666666666666</v>
      </c>
    </row>
    <row r="3912" spans="1:6" x14ac:dyDescent="0.25">
      <c r="A3912" s="1">
        <v>39753</v>
      </c>
      <c r="B3912" t="s">
        <v>18</v>
      </c>
      <c r="C3912" t="s">
        <v>11</v>
      </c>
      <c r="D3912">
        <v>35</v>
      </c>
      <c r="E3912" s="2">
        <v>3.0983796296296297E-2</v>
      </c>
      <c r="F3912">
        <v>44.616666666666667</v>
      </c>
    </row>
    <row r="3913" spans="1:6" x14ac:dyDescent="0.25">
      <c r="A3913" s="1">
        <v>39753</v>
      </c>
      <c r="B3913" t="s">
        <v>19</v>
      </c>
      <c r="C3913" t="s">
        <v>6</v>
      </c>
      <c r="D3913">
        <v>26</v>
      </c>
      <c r="E3913" s="2">
        <v>2.1608796296296296E-2</v>
      </c>
      <c r="F3913">
        <v>31.116666666666667</v>
      </c>
    </row>
    <row r="3914" spans="1:6" x14ac:dyDescent="0.25">
      <c r="A3914" s="1">
        <v>39753</v>
      </c>
      <c r="B3914" t="s">
        <v>19</v>
      </c>
      <c r="C3914" t="s">
        <v>7</v>
      </c>
      <c r="D3914">
        <v>28</v>
      </c>
      <c r="E3914" s="2">
        <v>2.7997685185185184E-2</v>
      </c>
      <c r="F3914">
        <v>40.31666666666667</v>
      </c>
    </row>
    <row r="3915" spans="1:6" x14ac:dyDescent="0.25">
      <c r="A3915" s="1">
        <v>39753</v>
      </c>
      <c r="B3915" t="s">
        <v>19</v>
      </c>
      <c r="C3915" t="s">
        <v>8</v>
      </c>
      <c r="D3915">
        <v>24</v>
      </c>
      <c r="E3915" s="2">
        <v>2.388888888888889E-2</v>
      </c>
      <c r="F3915">
        <v>34.4</v>
      </c>
    </row>
    <row r="3916" spans="1:6" x14ac:dyDescent="0.25">
      <c r="A3916" s="1">
        <v>39753</v>
      </c>
      <c r="B3916" t="s">
        <v>19</v>
      </c>
      <c r="C3916" t="s">
        <v>9</v>
      </c>
      <c r="D3916">
        <v>29</v>
      </c>
      <c r="E3916" s="2">
        <v>1.6354166666666666E-2</v>
      </c>
      <c r="F3916">
        <v>23.55</v>
      </c>
    </row>
    <row r="3917" spans="1:6" x14ac:dyDescent="0.25">
      <c r="A3917" s="1">
        <v>39753</v>
      </c>
      <c r="B3917" t="s">
        <v>19</v>
      </c>
      <c r="C3917" t="s">
        <v>10</v>
      </c>
      <c r="D3917">
        <v>18</v>
      </c>
      <c r="E3917" s="2">
        <v>1.0567129629629629E-2</v>
      </c>
      <c r="F3917">
        <v>15.216666666666667</v>
      </c>
    </row>
    <row r="3918" spans="1:6" x14ac:dyDescent="0.25">
      <c r="A3918" s="1">
        <v>39753</v>
      </c>
      <c r="B3918" t="s">
        <v>19</v>
      </c>
      <c r="C3918" t="s">
        <v>11</v>
      </c>
      <c r="D3918">
        <v>19</v>
      </c>
      <c r="E3918" s="2">
        <v>1.3148148148148148E-2</v>
      </c>
      <c r="F3918">
        <v>18.933333333333334</v>
      </c>
    </row>
    <row r="3919" spans="1:6" x14ac:dyDescent="0.25">
      <c r="A3919" s="1">
        <v>39753</v>
      </c>
      <c r="B3919" t="s">
        <v>20</v>
      </c>
      <c r="C3919" t="s">
        <v>6</v>
      </c>
      <c r="D3919">
        <v>41</v>
      </c>
      <c r="E3919" s="2">
        <v>5.2175925925925924E-2</v>
      </c>
      <c r="F3919">
        <v>75.13333333333334</v>
      </c>
    </row>
    <row r="3920" spans="1:6" x14ac:dyDescent="0.25">
      <c r="A3920" s="1">
        <v>39753</v>
      </c>
      <c r="B3920" t="s">
        <v>20</v>
      </c>
      <c r="C3920" t="s">
        <v>7</v>
      </c>
      <c r="D3920">
        <v>57</v>
      </c>
      <c r="E3920" s="2">
        <v>5.9143518518518519E-2</v>
      </c>
      <c r="F3920">
        <v>85.166666666666671</v>
      </c>
    </row>
    <row r="3921" spans="1:6" x14ac:dyDescent="0.25">
      <c r="A3921" s="1">
        <v>39753</v>
      </c>
      <c r="B3921" t="s">
        <v>20</v>
      </c>
      <c r="C3921" t="s">
        <v>8</v>
      </c>
      <c r="D3921">
        <v>43</v>
      </c>
      <c r="E3921" s="2">
        <v>6.6400462962962967E-2</v>
      </c>
      <c r="F3921">
        <v>95.61666666666666</v>
      </c>
    </row>
    <row r="3922" spans="1:6" x14ac:dyDescent="0.25">
      <c r="A3922" s="1">
        <v>39753</v>
      </c>
      <c r="B3922" t="s">
        <v>20</v>
      </c>
      <c r="C3922" t="s">
        <v>9</v>
      </c>
      <c r="D3922">
        <v>38</v>
      </c>
      <c r="E3922" s="2">
        <v>2.78125E-2</v>
      </c>
      <c r="F3922">
        <v>40.049999999999997</v>
      </c>
    </row>
    <row r="3923" spans="1:6" x14ac:dyDescent="0.25">
      <c r="A3923" s="1">
        <v>39753</v>
      </c>
      <c r="B3923" t="s">
        <v>20</v>
      </c>
      <c r="C3923" t="s">
        <v>10</v>
      </c>
      <c r="D3923">
        <v>14</v>
      </c>
      <c r="E3923" s="2">
        <v>1.5405092592592592E-2</v>
      </c>
      <c r="F3923">
        <v>22.183333333333334</v>
      </c>
    </row>
    <row r="3924" spans="1:6" x14ac:dyDescent="0.25">
      <c r="A3924" s="1">
        <v>39753</v>
      </c>
      <c r="B3924" t="s">
        <v>20</v>
      </c>
      <c r="C3924" t="s">
        <v>11</v>
      </c>
      <c r="D3924">
        <v>23</v>
      </c>
      <c r="E3924" s="2">
        <v>2.494212962962963E-2</v>
      </c>
      <c r="F3924">
        <v>35.916666666666664</v>
      </c>
    </row>
    <row r="3925" spans="1:6" x14ac:dyDescent="0.25">
      <c r="A3925" s="1">
        <v>39753</v>
      </c>
      <c r="B3925" t="s">
        <v>21</v>
      </c>
      <c r="C3925" t="s">
        <v>6</v>
      </c>
      <c r="D3925">
        <v>21</v>
      </c>
      <c r="E3925" s="2">
        <v>2.6342592592592591E-2</v>
      </c>
      <c r="F3925">
        <v>37.93333333333333</v>
      </c>
    </row>
    <row r="3926" spans="1:6" x14ac:dyDescent="0.25">
      <c r="A3926" s="1">
        <v>39753</v>
      </c>
      <c r="B3926" t="s">
        <v>21</v>
      </c>
      <c r="C3926" t="s">
        <v>7</v>
      </c>
      <c r="D3926">
        <v>15</v>
      </c>
      <c r="E3926" s="2">
        <v>1.7152777777777777E-2</v>
      </c>
      <c r="F3926">
        <v>24.7</v>
      </c>
    </row>
    <row r="3927" spans="1:6" x14ac:dyDescent="0.25">
      <c r="A3927" s="1">
        <v>39753</v>
      </c>
      <c r="B3927" t="s">
        <v>21</v>
      </c>
      <c r="C3927" t="s">
        <v>8</v>
      </c>
      <c r="D3927">
        <v>7</v>
      </c>
      <c r="E3927" s="2">
        <v>8.9004629629629625E-3</v>
      </c>
      <c r="F3927">
        <v>12.816666666666666</v>
      </c>
    </row>
    <row r="3928" spans="1:6" x14ac:dyDescent="0.25">
      <c r="A3928" s="1">
        <v>39753</v>
      </c>
      <c r="B3928" t="s">
        <v>21</v>
      </c>
      <c r="C3928" t="s">
        <v>9</v>
      </c>
      <c r="D3928">
        <v>7</v>
      </c>
      <c r="E3928" s="2">
        <v>4.5601851851851853E-3</v>
      </c>
      <c r="F3928">
        <v>6.5666666666666664</v>
      </c>
    </row>
    <row r="3929" spans="1:6" x14ac:dyDescent="0.25">
      <c r="A3929" s="1">
        <v>39753</v>
      </c>
      <c r="B3929" t="s">
        <v>21</v>
      </c>
      <c r="C3929" t="s">
        <v>10</v>
      </c>
      <c r="D3929">
        <v>2</v>
      </c>
      <c r="E3929" s="2">
        <v>2.0833333333333333E-3</v>
      </c>
      <c r="F3929">
        <v>3</v>
      </c>
    </row>
    <row r="3930" spans="1:6" x14ac:dyDescent="0.25">
      <c r="A3930" s="1">
        <v>39753</v>
      </c>
      <c r="B3930" t="s">
        <v>21</v>
      </c>
      <c r="C3930" t="s">
        <v>11</v>
      </c>
      <c r="D3930">
        <v>8</v>
      </c>
      <c r="E3930" s="2">
        <v>6.2037037037037035E-3</v>
      </c>
      <c r="F3930">
        <v>8.9333333333333336</v>
      </c>
    </row>
    <row r="3931" spans="1:6" x14ac:dyDescent="0.25">
      <c r="A3931" s="1">
        <v>39753</v>
      </c>
      <c r="B3931" t="s">
        <v>22</v>
      </c>
      <c r="C3931" t="s">
        <v>6</v>
      </c>
      <c r="D3931">
        <v>11</v>
      </c>
      <c r="E3931" s="2">
        <v>9.0624999999999994E-3</v>
      </c>
      <c r="F3931">
        <v>13.05</v>
      </c>
    </row>
    <row r="3932" spans="1:6" x14ac:dyDescent="0.25">
      <c r="A3932" s="1">
        <v>39753</v>
      </c>
      <c r="B3932" t="s">
        <v>22</v>
      </c>
      <c r="C3932" t="s">
        <v>7</v>
      </c>
      <c r="D3932">
        <v>11</v>
      </c>
      <c r="E3932" s="2">
        <v>1.0277777777777778E-2</v>
      </c>
      <c r="F3932">
        <v>14.8</v>
      </c>
    </row>
    <row r="3933" spans="1:6" x14ac:dyDescent="0.25">
      <c r="A3933" s="1">
        <v>39753</v>
      </c>
      <c r="B3933" t="s">
        <v>22</v>
      </c>
      <c r="C3933" t="s">
        <v>8</v>
      </c>
      <c r="D3933">
        <v>9</v>
      </c>
      <c r="E3933" s="2">
        <v>1.0034722222222223E-2</v>
      </c>
      <c r="F3933">
        <v>14.45</v>
      </c>
    </row>
    <row r="3934" spans="1:6" x14ac:dyDescent="0.25">
      <c r="A3934" s="1">
        <v>39753</v>
      </c>
      <c r="B3934" t="s">
        <v>22</v>
      </c>
      <c r="C3934" t="s">
        <v>9</v>
      </c>
      <c r="D3934">
        <v>6</v>
      </c>
      <c r="E3934" s="2">
        <v>2.8240740740740739E-3</v>
      </c>
      <c r="F3934">
        <v>4.0666666666666664</v>
      </c>
    </row>
    <row r="3935" spans="1:6" x14ac:dyDescent="0.25">
      <c r="A3935" s="1">
        <v>39753</v>
      </c>
      <c r="B3935" t="s">
        <v>22</v>
      </c>
      <c r="C3935" t="s">
        <v>10</v>
      </c>
      <c r="D3935">
        <v>6</v>
      </c>
      <c r="E3935" s="2">
        <v>4.8495370370370368E-3</v>
      </c>
      <c r="F3935">
        <v>6.9833333333333334</v>
      </c>
    </row>
    <row r="3936" spans="1:6" x14ac:dyDescent="0.25">
      <c r="A3936" s="1">
        <v>39753</v>
      </c>
      <c r="B3936" t="s">
        <v>22</v>
      </c>
      <c r="C3936" t="s">
        <v>11</v>
      </c>
      <c r="D3936">
        <v>10</v>
      </c>
      <c r="E3936" s="2">
        <v>5.9837962962962961E-3</v>
      </c>
      <c r="F3936">
        <v>8.6166666666666671</v>
      </c>
    </row>
    <row r="3937" spans="1:6" x14ac:dyDescent="0.25">
      <c r="A3937" s="1">
        <v>39753</v>
      </c>
      <c r="B3937" t="s">
        <v>23</v>
      </c>
      <c r="C3937" t="s">
        <v>6</v>
      </c>
      <c r="D3937">
        <v>133</v>
      </c>
      <c r="E3937" s="2">
        <v>0.14128472222222221</v>
      </c>
      <c r="F3937">
        <v>203.45</v>
      </c>
    </row>
    <row r="3938" spans="1:6" x14ac:dyDescent="0.25">
      <c r="A3938" s="1">
        <v>39753</v>
      </c>
      <c r="B3938" t="s">
        <v>23</v>
      </c>
      <c r="C3938" t="s">
        <v>7</v>
      </c>
      <c r="D3938">
        <v>111</v>
      </c>
      <c r="E3938" s="2">
        <v>0.12099537037037036</v>
      </c>
      <c r="F3938">
        <v>174.23333333333332</v>
      </c>
    </row>
    <row r="3939" spans="1:6" x14ac:dyDescent="0.25">
      <c r="A3939" s="1">
        <v>39753</v>
      </c>
      <c r="B3939" t="s">
        <v>23</v>
      </c>
      <c r="C3939" t="s">
        <v>8</v>
      </c>
      <c r="D3939">
        <v>63</v>
      </c>
      <c r="E3939" s="2">
        <v>7.2812500000000002E-2</v>
      </c>
      <c r="F3939">
        <v>104.85</v>
      </c>
    </row>
    <row r="3940" spans="1:6" x14ac:dyDescent="0.25">
      <c r="A3940" s="1">
        <v>39753</v>
      </c>
      <c r="B3940" t="s">
        <v>23</v>
      </c>
      <c r="C3940" t="s">
        <v>9</v>
      </c>
      <c r="D3940">
        <v>74</v>
      </c>
      <c r="E3940" s="2">
        <v>4.0844907407407406E-2</v>
      </c>
      <c r="F3940">
        <v>58.81666666666667</v>
      </c>
    </row>
    <row r="3941" spans="1:6" x14ac:dyDescent="0.25">
      <c r="A3941" s="1">
        <v>39753</v>
      </c>
      <c r="B3941" t="s">
        <v>23</v>
      </c>
      <c r="C3941" t="s">
        <v>10</v>
      </c>
      <c r="D3941">
        <v>38</v>
      </c>
      <c r="E3941" s="2">
        <v>3.3472222222222223E-2</v>
      </c>
      <c r="F3941">
        <v>48.2</v>
      </c>
    </row>
    <row r="3942" spans="1:6" x14ac:dyDescent="0.25">
      <c r="A3942" s="1">
        <v>39753</v>
      </c>
      <c r="B3942" t="s">
        <v>23</v>
      </c>
      <c r="C3942" t="s">
        <v>11</v>
      </c>
      <c r="D3942">
        <v>64</v>
      </c>
      <c r="E3942" s="2">
        <v>5.0266203703703702E-2</v>
      </c>
      <c r="F3942">
        <v>72.38333333333334</v>
      </c>
    </row>
    <row r="3943" spans="1:6" x14ac:dyDescent="0.25">
      <c r="A3943" s="1">
        <v>39753</v>
      </c>
      <c r="B3943" t="s">
        <v>24</v>
      </c>
      <c r="C3943" t="s">
        <v>6</v>
      </c>
      <c r="D3943">
        <v>56</v>
      </c>
      <c r="E3943" s="2">
        <v>4.659722222222222E-2</v>
      </c>
      <c r="F3943">
        <v>67.099999999999994</v>
      </c>
    </row>
    <row r="3944" spans="1:6" x14ac:dyDescent="0.25">
      <c r="A3944" s="1">
        <v>39753</v>
      </c>
      <c r="B3944" t="s">
        <v>24</v>
      </c>
      <c r="C3944" t="s">
        <v>7</v>
      </c>
      <c r="D3944">
        <v>45</v>
      </c>
      <c r="E3944" s="2">
        <v>2.9039351851851851E-2</v>
      </c>
      <c r="F3944">
        <v>41.81666666666667</v>
      </c>
    </row>
    <row r="3945" spans="1:6" x14ac:dyDescent="0.25">
      <c r="A3945" s="1">
        <v>39753</v>
      </c>
      <c r="B3945" t="s">
        <v>24</v>
      </c>
      <c r="C3945" t="s">
        <v>8</v>
      </c>
      <c r="D3945">
        <v>20</v>
      </c>
      <c r="E3945" s="2">
        <v>2.1446759259259259E-2</v>
      </c>
      <c r="F3945">
        <v>30.883333333333333</v>
      </c>
    </row>
    <row r="3946" spans="1:6" x14ac:dyDescent="0.25">
      <c r="A3946" s="1">
        <v>39753</v>
      </c>
      <c r="B3946" t="s">
        <v>24</v>
      </c>
      <c r="C3946" t="s">
        <v>9</v>
      </c>
      <c r="D3946">
        <v>19</v>
      </c>
      <c r="E3946" s="2">
        <v>1.068287037037037E-2</v>
      </c>
      <c r="F3946">
        <v>15.383333333333333</v>
      </c>
    </row>
    <row r="3947" spans="1:6" x14ac:dyDescent="0.25">
      <c r="A3947" s="1">
        <v>39753</v>
      </c>
      <c r="B3947" t="s">
        <v>24</v>
      </c>
      <c r="C3947" t="s">
        <v>10</v>
      </c>
      <c r="D3947">
        <v>0</v>
      </c>
      <c r="E3947" s="2">
        <v>0</v>
      </c>
      <c r="F3947">
        <v>0</v>
      </c>
    </row>
    <row r="3948" spans="1:6" x14ac:dyDescent="0.25">
      <c r="A3948" s="1">
        <v>39753</v>
      </c>
      <c r="B3948" t="s">
        <v>24</v>
      </c>
      <c r="C3948" t="s">
        <v>11</v>
      </c>
      <c r="D3948">
        <v>27</v>
      </c>
      <c r="E3948" s="2">
        <v>1.5844907407407408E-2</v>
      </c>
      <c r="F3948">
        <v>22.816666666666666</v>
      </c>
    </row>
    <row r="3949" spans="1:6" x14ac:dyDescent="0.25">
      <c r="A3949" s="1">
        <v>39783</v>
      </c>
      <c r="B3949" t="s">
        <v>5</v>
      </c>
      <c r="C3949" t="s">
        <v>6</v>
      </c>
      <c r="D3949">
        <v>43</v>
      </c>
      <c r="E3949" s="2">
        <v>4.1296296296296296E-2</v>
      </c>
      <c r="F3949">
        <v>59.466666666666669</v>
      </c>
    </row>
    <row r="3950" spans="1:6" x14ac:dyDescent="0.25">
      <c r="A3950" s="1">
        <v>39783</v>
      </c>
      <c r="B3950" t="s">
        <v>5</v>
      </c>
      <c r="C3950" t="s">
        <v>7</v>
      </c>
      <c r="D3950">
        <v>40</v>
      </c>
      <c r="E3950" s="2">
        <v>2.9259259259259259E-2</v>
      </c>
      <c r="F3950">
        <v>42.133333333333333</v>
      </c>
    </row>
    <row r="3951" spans="1:6" x14ac:dyDescent="0.25">
      <c r="A3951" s="1">
        <v>39783</v>
      </c>
      <c r="B3951" t="s">
        <v>5</v>
      </c>
      <c r="C3951" t="s">
        <v>8</v>
      </c>
      <c r="D3951">
        <v>14</v>
      </c>
      <c r="E3951" s="2">
        <v>1.3333333333333334E-2</v>
      </c>
      <c r="F3951">
        <v>19.2</v>
      </c>
    </row>
    <row r="3952" spans="1:6" x14ac:dyDescent="0.25">
      <c r="A3952" s="1">
        <v>39783</v>
      </c>
      <c r="B3952" t="s">
        <v>5</v>
      </c>
      <c r="C3952" t="s">
        <v>9</v>
      </c>
      <c r="D3952">
        <v>9</v>
      </c>
      <c r="E3952" s="2">
        <v>6.0416666666666665E-3</v>
      </c>
      <c r="F3952">
        <v>8.6999999999999993</v>
      </c>
    </row>
    <row r="3953" spans="1:6" x14ac:dyDescent="0.25">
      <c r="A3953" s="1">
        <v>39783</v>
      </c>
      <c r="B3953" t="s">
        <v>5</v>
      </c>
      <c r="C3953" t="s">
        <v>10</v>
      </c>
      <c r="D3953">
        <v>2</v>
      </c>
      <c r="E3953" s="2">
        <v>4.861111111111111E-4</v>
      </c>
      <c r="F3953">
        <v>0.7</v>
      </c>
    </row>
    <row r="3954" spans="1:6" x14ac:dyDescent="0.25">
      <c r="A3954" s="1">
        <v>39783</v>
      </c>
      <c r="B3954" t="s">
        <v>5</v>
      </c>
      <c r="C3954" t="s">
        <v>11</v>
      </c>
      <c r="D3954">
        <v>13</v>
      </c>
      <c r="E3954" s="2">
        <v>9.525462962962963E-3</v>
      </c>
      <c r="F3954">
        <v>13.716666666666667</v>
      </c>
    </row>
    <row r="3955" spans="1:6" x14ac:dyDescent="0.25">
      <c r="A3955" s="1">
        <v>39783</v>
      </c>
      <c r="B3955" t="s">
        <v>12</v>
      </c>
      <c r="C3955" t="s">
        <v>6</v>
      </c>
      <c r="D3955">
        <v>83</v>
      </c>
      <c r="E3955" s="2">
        <v>9.9224537037037042E-2</v>
      </c>
      <c r="F3955">
        <v>142.88333333333333</v>
      </c>
    </row>
    <row r="3956" spans="1:6" x14ac:dyDescent="0.25">
      <c r="A3956" s="1">
        <v>39783</v>
      </c>
      <c r="B3956" t="s">
        <v>12</v>
      </c>
      <c r="C3956" t="s">
        <v>7</v>
      </c>
      <c r="D3956">
        <v>75</v>
      </c>
      <c r="E3956" s="2">
        <v>0.10690972222222223</v>
      </c>
      <c r="F3956">
        <v>153.94999999999999</v>
      </c>
    </row>
    <row r="3957" spans="1:6" x14ac:dyDescent="0.25">
      <c r="A3957" s="1">
        <v>39783</v>
      </c>
      <c r="B3957" t="s">
        <v>12</v>
      </c>
      <c r="C3957" t="s">
        <v>8</v>
      </c>
      <c r="D3957">
        <v>53</v>
      </c>
      <c r="E3957" s="2">
        <v>7.2418981481481487E-2</v>
      </c>
      <c r="F3957">
        <v>104.28333333333333</v>
      </c>
    </row>
    <row r="3958" spans="1:6" x14ac:dyDescent="0.25">
      <c r="A3958" s="1">
        <v>39783</v>
      </c>
      <c r="B3958" t="s">
        <v>12</v>
      </c>
      <c r="C3958" t="s">
        <v>9</v>
      </c>
      <c r="D3958">
        <v>27</v>
      </c>
      <c r="E3958" s="2">
        <v>1.6898148148148148E-2</v>
      </c>
      <c r="F3958">
        <v>24.333333333333332</v>
      </c>
    </row>
    <row r="3959" spans="1:6" x14ac:dyDescent="0.25">
      <c r="A3959" s="1">
        <v>39783</v>
      </c>
      <c r="B3959" t="s">
        <v>12</v>
      </c>
      <c r="C3959" t="s">
        <v>10</v>
      </c>
      <c r="D3959">
        <v>7</v>
      </c>
      <c r="E3959" s="2">
        <v>7.4421296296296293E-3</v>
      </c>
      <c r="F3959">
        <v>10.716666666666667</v>
      </c>
    </row>
    <row r="3960" spans="1:6" x14ac:dyDescent="0.25">
      <c r="A3960" s="1">
        <v>39783</v>
      </c>
      <c r="B3960" t="s">
        <v>12</v>
      </c>
      <c r="C3960" t="s">
        <v>11</v>
      </c>
      <c r="D3960">
        <v>39</v>
      </c>
      <c r="E3960" s="2">
        <v>3.802083333333333E-2</v>
      </c>
      <c r="F3960">
        <v>54.75</v>
      </c>
    </row>
    <row r="3961" spans="1:6" x14ac:dyDescent="0.25">
      <c r="A3961" s="1">
        <v>39783</v>
      </c>
      <c r="B3961" t="s">
        <v>13</v>
      </c>
      <c r="C3961" t="s">
        <v>6</v>
      </c>
      <c r="D3961">
        <v>91</v>
      </c>
      <c r="E3961" s="2">
        <v>9.0219907407407401E-2</v>
      </c>
      <c r="F3961">
        <v>129.91666666666666</v>
      </c>
    </row>
    <row r="3962" spans="1:6" x14ac:dyDescent="0.25">
      <c r="A3962" s="1">
        <v>39783</v>
      </c>
      <c r="B3962" t="s">
        <v>13</v>
      </c>
      <c r="C3962" t="s">
        <v>7</v>
      </c>
      <c r="D3962">
        <v>104</v>
      </c>
      <c r="E3962" s="2">
        <v>0.12378472222222223</v>
      </c>
      <c r="F3962">
        <v>178.25</v>
      </c>
    </row>
    <row r="3963" spans="1:6" x14ac:dyDescent="0.25">
      <c r="A3963" s="1">
        <v>39783</v>
      </c>
      <c r="B3963" t="s">
        <v>13</v>
      </c>
      <c r="C3963" t="s">
        <v>8</v>
      </c>
      <c r="D3963">
        <v>59</v>
      </c>
      <c r="E3963" s="2">
        <v>7.6203703703703704E-2</v>
      </c>
      <c r="F3963">
        <v>109.73333333333333</v>
      </c>
    </row>
    <row r="3964" spans="1:6" x14ac:dyDescent="0.25">
      <c r="A3964" s="1">
        <v>39783</v>
      </c>
      <c r="B3964" t="s">
        <v>13</v>
      </c>
      <c r="C3964" t="s">
        <v>9</v>
      </c>
      <c r="D3964">
        <v>47</v>
      </c>
      <c r="E3964" s="2">
        <v>2.837962962962963E-2</v>
      </c>
      <c r="F3964">
        <v>40.866666666666667</v>
      </c>
    </row>
    <row r="3965" spans="1:6" x14ac:dyDescent="0.25">
      <c r="A3965" s="1">
        <v>39783</v>
      </c>
      <c r="B3965" t="s">
        <v>13</v>
      </c>
      <c r="C3965" t="s">
        <v>10</v>
      </c>
      <c r="D3965">
        <v>47</v>
      </c>
      <c r="E3965" s="2">
        <v>4.7384259259259258E-2</v>
      </c>
      <c r="F3965">
        <v>68.233333333333334</v>
      </c>
    </row>
    <row r="3966" spans="1:6" x14ac:dyDescent="0.25">
      <c r="A3966" s="1">
        <v>39783</v>
      </c>
      <c r="B3966" t="s">
        <v>13</v>
      </c>
      <c r="C3966" t="s">
        <v>11</v>
      </c>
      <c r="D3966">
        <v>26</v>
      </c>
      <c r="E3966" s="2">
        <v>2.2685185185185187E-2</v>
      </c>
      <c r="F3966">
        <v>32.666666666666664</v>
      </c>
    </row>
    <row r="3967" spans="1:6" x14ac:dyDescent="0.25">
      <c r="A3967" s="1">
        <v>39783</v>
      </c>
      <c r="B3967" t="s">
        <v>14</v>
      </c>
      <c r="C3967" t="s">
        <v>6</v>
      </c>
      <c r="D3967">
        <v>19</v>
      </c>
      <c r="E3967" s="2">
        <v>1.8402777777777778E-2</v>
      </c>
      <c r="F3967">
        <v>26.5</v>
      </c>
    </row>
    <row r="3968" spans="1:6" x14ac:dyDescent="0.25">
      <c r="A3968" s="1">
        <v>39783</v>
      </c>
      <c r="B3968" t="s">
        <v>14</v>
      </c>
      <c r="C3968" t="s">
        <v>7</v>
      </c>
      <c r="D3968">
        <v>14</v>
      </c>
      <c r="E3968" s="2">
        <v>1.7766203703703704E-2</v>
      </c>
      <c r="F3968">
        <v>25.583333333333332</v>
      </c>
    </row>
    <row r="3969" spans="1:6" x14ac:dyDescent="0.25">
      <c r="A3969" s="1">
        <v>39783</v>
      </c>
      <c r="B3969" t="s">
        <v>14</v>
      </c>
      <c r="C3969" t="s">
        <v>8</v>
      </c>
      <c r="D3969">
        <v>19</v>
      </c>
      <c r="E3969" s="2">
        <v>2.1319444444444443E-2</v>
      </c>
      <c r="F3969">
        <v>30.7</v>
      </c>
    </row>
    <row r="3970" spans="1:6" x14ac:dyDescent="0.25">
      <c r="A3970" s="1">
        <v>39783</v>
      </c>
      <c r="B3970" t="s">
        <v>14</v>
      </c>
      <c r="C3970" t="s">
        <v>9</v>
      </c>
      <c r="D3970">
        <v>7</v>
      </c>
      <c r="E3970" s="2">
        <v>5.6018518518518518E-3</v>
      </c>
      <c r="F3970">
        <v>8.0666666666666664</v>
      </c>
    </row>
    <row r="3971" spans="1:6" x14ac:dyDescent="0.25">
      <c r="A3971" s="1">
        <v>39783</v>
      </c>
      <c r="B3971" t="s">
        <v>14</v>
      </c>
      <c r="C3971" t="s">
        <v>10</v>
      </c>
      <c r="D3971">
        <v>1</v>
      </c>
      <c r="E3971" s="2">
        <v>2.8935185185185184E-4</v>
      </c>
      <c r="F3971">
        <v>0.41666666666666669</v>
      </c>
    </row>
    <row r="3972" spans="1:6" x14ac:dyDescent="0.25">
      <c r="A3972" s="1">
        <v>39783</v>
      </c>
      <c r="B3972" t="s">
        <v>14</v>
      </c>
      <c r="C3972" t="s">
        <v>11</v>
      </c>
      <c r="D3972">
        <v>9</v>
      </c>
      <c r="E3972" s="2">
        <v>8.6805555555555559E-3</v>
      </c>
      <c r="F3972">
        <v>12.5</v>
      </c>
    </row>
    <row r="3973" spans="1:6" x14ac:dyDescent="0.25">
      <c r="A3973" s="1">
        <v>39783</v>
      </c>
      <c r="B3973" t="s">
        <v>15</v>
      </c>
      <c r="C3973" t="s">
        <v>6</v>
      </c>
      <c r="D3973">
        <v>62</v>
      </c>
      <c r="E3973" s="2">
        <v>5.7870370370370371E-2</v>
      </c>
      <c r="F3973">
        <v>83.333333333333329</v>
      </c>
    </row>
    <row r="3974" spans="1:6" x14ac:dyDescent="0.25">
      <c r="A3974" s="1">
        <v>39783</v>
      </c>
      <c r="B3974" t="s">
        <v>15</v>
      </c>
      <c r="C3974" t="s">
        <v>7</v>
      </c>
      <c r="D3974">
        <v>55</v>
      </c>
      <c r="E3974" s="2">
        <v>5.4502314814814816E-2</v>
      </c>
      <c r="F3974">
        <v>78.483333333333334</v>
      </c>
    </row>
    <row r="3975" spans="1:6" x14ac:dyDescent="0.25">
      <c r="A3975" s="1">
        <v>39783</v>
      </c>
      <c r="B3975" t="s">
        <v>15</v>
      </c>
      <c r="C3975" t="s">
        <v>8</v>
      </c>
      <c r="D3975">
        <v>27</v>
      </c>
      <c r="E3975" s="2">
        <v>2.4409722222222222E-2</v>
      </c>
      <c r="F3975">
        <v>35.15</v>
      </c>
    </row>
    <row r="3976" spans="1:6" x14ac:dyDescent="0.25">
      <c r="A3976" s="1">
        <v>39783</v>
      </c>
      <c r="B3976" t="s">
        <v>15</v>
      </c>
      <c r="C3976" t="s">
        <v>9</v>
      </c>
      <c r="D3976">
        <v>14</v>
      </c>
      <c r="E3976" s="2">
        <v>6.9907407407407409E-3</v>
      </c>
      <c r="F3976">
        <v>10.066666666666666</v>
      </c>
    </row>
    <row r="3977" spans="1:6" x14ac:dyDescent="0.25">
      <c r="A3977" s="1">
        <v>39783</v>
      </c>
      <c r="B3977" t="s">
        <v>15</v>
      </c>
      <c r="C3977" t="s">
        <v>10</v>
      </c>
      <c r="D3977">
        <v>10</v>
      </c>
      <c r="E3977" s="2">
        <v>1.15625E-2</v>
      </c>
      <c r="F3977">
        <v>16.649999999999999</v>
      </c>
    </row>
    <row r="3978" spans="1:6" x14ac:dyDescent="0.25">
      <c r="A3978" s="1">
        <v>39783</v>
      </c>
      <c r="B3978" t="s">
        <v>15</v>
      </c>
      <c r="C3978" t="s">
        <v>11</v>
      </c>
      <c r="D3978">
        <v>10</v>
      </c>
      <c r="E3978" s="2">
        <v>7.9166666666666673E-3</v>
      </c>
      <c r="F3978">
        <v>11.4</v>
      </c>
    </row>
    <row r="3979" spans="1:6" x14ac:dyDescent="0.25">
      <c r="A3979" s="1">
        <v>39783</v>
      </c>
      <c r="B3979" t="s">
        <v>16</v>
      </c>
      <c r="C3979" t="s">
        <v>6</v>
      </c>
      <c r="D3979">
        <v>48</v>
      </c>
      <c r="E3979" s="2">
        <v>5.1064814814814813E-2</v>
      </c>
      <c r="F3979">
        <v>73.533333333333331</v>
      </c>
    </row>
    <row r="3980" spans="1:6" x14ac:dyDescent="0.25">
      <c r="A3980" s="1">
        <v>39783</v>
      </c>
      <c r="B3980" t="s">
        <v>16</v>
      </c>
      <c r="C3980" t="s">
        <v>7</v>
      </c>
      <c r="D3980">
        <v>46</v>
      </c>
      <c r="E3980" s="2">
        <v>4.5162037037037035E-2</v>
      </c>
      <c r="F3980">
        <v>65.033333333333331</v>
      </c>
    </row>
    <row r="3981" spans="1:6" x14ac:dyDescent="0.25">
      <c r="A3981" s="1">
        <v>39783</v>
      </c>
      <c r="B3981" t="s">
        <v>16</v>
      </c>
      <c r="C3981" t="s">
        <v>8</v>
      </c>
      <c r="D3981">
        <v>39</v>
      </c>
      <c r="E3981" s="2">
        <v>4.2905092592592592E-2</v>
      </c>
      <c r="F3981">
        <v>61.783333333333331</v>
      </c>
    </row>
    <row r="3982" spans="1:6" x14ac:dyDescent="0.25">
      <c r="A3982" s="1">
        <v>39783</v>
      </c>
      <c r="B3982" t="s">
        <v>16</v>
      </c>
      <c r="C3982" t="s">
        <v>9</v>
      </c>
      <c r="D3982">
        <v>36</v>
      </c>
      <c r="E3982" s="2">
        <v>2.0266203703703703E-2</v>
      </c>
      <c r="F3982">
        <v>29.183333333333334</v>
      </c>
    </row>
    <row r="3983" spans="1:6" x14ac:dyDescent="0.25">
      <c r="A3983" s="1">
        <v>39783</v>
      </c>
      <c r="B3983" t="s">
        <v>16</v>
      </c>
      <c r="C3983" t="s">
        <v>10</v>
      </c>
      <c r="D3983">
        <v>10</v>
      </c>
      <c r="E3983" s="2">
        <v>1.0763888888888889E-2</v>
      </c>
      <c r="F3983">
        <v>15.5</v>
      </c>
    </row>
    <row r="3984" spans="1:6" x14ac:dyDescent="0.25">
      <c r="A3984" s="1">
        <v>39783</v>
      </c>
      <c r="B3984" t="s">
        <v>16</v>
      </c>
      <c r="C3984" t="s">
        <v>11</v>
      </c>
      <c r="D3984">
        <v>43</v>
      </c>
      <c r="E3984" s="2">
        <v>3.0428240740740742E-2</v>
      </c>
      <c r="F3984">
        <v>43.81666666666667</v>
      </c>
    </row>
    <row r="3985" spans="1:6" x14ac:dyDescent="0.25">
      <c r="A3985" s="1">
        <v>39783</v>
      </c>
      <c r="B3985" t="s">
        <v>17</v>
      </c>
      <c r="C3985" t="s">
        <v>6</v>
      </c>
      <c r="D3985">
        <v>5</v>
      </c>
      <c r="E3985" s="2">
        <v>2.8356481481481483E-3</v>
      </c>
      <c r="F3985">
        <v>4.083333333333333</v>
      </c>
    </row>
    <row r="3986" spans="1:6" x14ac:dyDescent="0.25">
      <c r="A3986" s="1">
        <v>39783</v>
      </c>
      <c r="B3986" t="s">
        <v>17</v>
      </c>
      <c r="C3986" t="s">
        <v>7</v>
      </c>
      <c r="D3986">
        <v>3</v>
      </c>
      <c r="E3986" s="2">
        <v>2.4421296296296296E-3</v>
      </c>
      <c r="F3986">
        <v>3.5166666666666666</v>
      </c>
    </row>
    <row r="3987" spans="1:6" x14ac:dyDescent="0.25">
      <c r="A3987" s="1">
        <v>39783</v>
      </c>
      <c r="B3987" t="s">
        <v>17</v>
      </c>
      <c r="C3987" t="s">
        <v>8</v>
      </c>
      <c r="D3987">
        <v>3</v>
      </c>
      <c r="E3987" s="2">
        <v>4.6759259259259263E-3</v>
      </c>
      <c r="F3987">
        <v>6.7333333333333334</v>
      </c>
    </row>
    <row r="3988" spans="1:6" x14ac:dyDescent="0.25">
      <c r="A3988" s="1">
        <v>39783</v>
      </c>
      <c r="B3988" t="s">
        <v>17</v>
      </c>
      <c r="C3988" t="s">
        <v>9</v>
      </c>
      <c r="D3988">
        <v>4</v>
      </c>
      <c r="E3988" s="2">
        <v>1.9675925925925924E-3</v>
      </c>
      <c r="F3988">
        <v>2.8333333333333335</v>
      </c>
    </row>
    <row r="3989" spans="1:6" x14ac:dyDescent="0.25">
      <c r="A3989" s="1">
        <v>39783</v>
      </c>
      <c r="B3989" t="s">
        <v>17</v>
      </c>
      <c r="C3989" t="s">
        <v>10</v>
      </c>
      <c r="D3989">
        <v>5</v>
      </c>
      <c r="E3989" s="2">
        <v>6.3541666666666668E-3</v>
      </c>
      <c r="F3989">
        <v>9.15</v>
      </c>
    </row>
    <row r="3990" spans="1:6" x14ac:dyDescent="0.25">
      <c r="A3990" s="1">
        <v>39783</v>
      </c>
      <c r="B3990" t="s">
        <v>17</v>
      </c>
      <c r="C3990" t="s">
        <v>11</v>
      </c>
      <c r="D3990">
        <v>4</v>
      </c>
      <c r="E3990" s="2">
        <v>2.2569444444444442E-3</v>
      </c>
      <c r="F3990">
        <v>3.25</v>
      </c>
    </row>
    <row r="3991" spans="1:6" x14ac:dyDescent="0.25">
      <c r="A3991" s="1">
        <v>39783</v>
      </c>
      <c r="B3991" t="s">
        <v>18</v>
      </c>
      <c r="C3991" t="s">
        <v>6</v>
      </c>
      <c r="D3991">
        <v>88</v>
      </c>
      <c r="E3991" s="2">
        <v>8.5972222222222228E-2</v>
      </c>
      <c r="F3991">
        <v>123.8</v>
      </c>
    </row>
    <row r="3992" spans="1:6" x14ac:dyDescent="0.25">
      <c r="A3992" s="1">
        <v>39783</v>
      </c>
      <c r="B3992" t="s">
        <v>18</v>
      </c>
      <c r="C3992" t="s">
        <v>7</v>
      </c>
      <c r="D3992">
        <v>104</v>
      </c>
      <c r="E3992" s="2">
        <v>8.6099537037037044E-2</v>
      </c>
      <c r="F3992">
        <v>123.98333333333333</v>
      </c>
    </row>
    <row r="3993" spans="1:6" x14ac:dyDescent="0.25">
      <c r="A3993" s="1">
        <v>39783</v>
      </c>
      <c r="B3993" t="s">
        <v>18</v>
      </c>
      <c r="C3993" t="s">
        <v>8</v>
      </c>
      <c r="D3993">
        <v>74</v>
      </c>
      <c r="E3993" s="2">
        <v>8.7395833333333339E-2</v>
      </c>
      <c r="F3993">
        <v>125.85</v>
      </c>
    </row>
    <row r="3994" spans="1:6" x14ac:dyDescent="0.25">
      <c r="A3994" s="1">
        <v>39783</v>
      </c>
      <c r="B3994" t="s">
        <v>18</v>
      </c>
      <c r="C3994" t="s">
        <v>9</v>
      </c>
      <c r="D3994">
        <v>88</v>
      </c>
      <c r="E3994" s="2">
        <v>5.3587962962962962E-2</v>
      </c>
      <c r="F3994">
        <v>77.166666666666671</v>
      </c>
    </row>
    <row r="3995" spans="1:6" x14ac:dyDescent="0.25">
      <c r="A3995" s="1">
        <v>39783</v>
      </c>
      <c r="B3995" t="s">
        <v>18</v>
      </c>
      <c r="C3995" t="s">
        <v>10</v>
      </c>
      <c r="D3995">
        <v>165</v>
      </c>
      <c r="E3995" s="2">
        <v>0.13545138888888889</v>
      </c>
      <c r="F3995">
        <v>195.05</v>
      </c>
    </row>
    <row r="3996" spans="1:6" x14ac:dyDescent="0.25">
      <c r="A3996" s="1">
        <v>39783</v>
      </c>
      <c r="B3996" t="s">
        <v>18</v>
      </c>
      <c r="C3996" t="s">
        <v>11</v>
      </c>
      <c r="D3996">
        <v>29</v>
      </c>
      <c r="E3996" s="2">
        <v>2.2349537037037036E-2</v>
      </c>
      <c r="F3996">
        <v>32.18333333333333</v>
      </c>
    </row>
    <row r="3997" spans="1:6" x14ac:dyDescent="0.25">
      <c r="A3997" s="1">
        <v>39783</v>
      </c>
      <c r="B3997" t="s">
        <v>19</v>
      </c>
      <c r="C3997" t="s">
        <v>6</v>
      </c>
      <c r="D3997">
        <v>38</v>
      </c>
      <c r="E3997" s="2">
        <v>4.3159722222222224E-2</v>
      </c>
      <c r="F3997">
        <v>62.15</v>
      </c>
    </row>
    <row r="3998" spans="1:6" x14ac:dyDescent="0.25">
      <c r="A3998" s="1">
        <v>39783</v>
      </c>
      <c r="B3998" t="s">
        <v>19</v>
      </c>
      <c r="C3998" t="s">
        <v>7</v>
      </c>
      <c r="D3998">
        <v>52</v>
      </c>
      <c r="E3998" s="2">
        <v>5.0277777777777775E-2</v>
      </c>
      <c r="F3998">
        <v>72.400000000000006</v>
      </c>
    </row>
    <row r="3999" spans="1:6" x14ac:dyDescent="0.25">
      <c r="A3999" s="1">
        <v>39783</v>
      </c>
      <c r="B3999" t="s">
        <v>19</v>
      </c>
      <c r="C3999" t="s">
        <v>8</v>
      </c>
      <c r="D3999">
        <v>29</v>
      </c>
      <c r="E3999" s="2">
        <v>3.2939814814814818E-2</v>
      </c>
      <c r="F3999">
        <v>47.43333333333333</v>
      </c>
    </row>
    <row r="4000" spans="1:6" x14ac:dyDescent="0.25">
      <c r="A4000" s="1">
        <v>39783</v>
      </c>
      <c r="B4000" t="s">
        <v>19</v>
      </c>
      <c r="C4000" t="s">
        <v>9</v>
      </c>
      <c r="D4000">
        <v>52</v>
      </c>
      <c r="E4000" s="2">
        <v>3.1516203703703706E-2</v>
      </c>
      <c r="F4000">
        <v>45.383333333333333</v>
      </c>
    </row>
    <row r="4001" spans="1:6" x14ac:dyDescent="0.25">
      <c r="A4001" s="1">
        <v>39783</v>
      </c>
      <c r="B4001" t="s">
        <v>19</v>
      </c>
      <c r="C4001" t="s">
        <v>10</v>
      </c>
      <c r="D4001">
        <v>22</v>
      </c>
      <c r="E4001" s="2">
        <v>2.133101851851852E-2</v>
      </c>
      <c r="F4001">
        <v>30.716666666666665</v>
      </c>
    </row>
    <row r="4002" spans="1:6" x14ac:dyDescent="0.25">
      <c r="A4002" s="1">
        <v>39783</v>
      </c>
      <c r="B4002" t="s">
        <v>19</v>
      </c>
      <c r="C4002" t="s">
        <v>11</v>
      </c>
      <c r="D4002">
        <v>26</v>
      </c>
      <c r="E4002" s="2">
        <v>1.9224537037037037E-2</v>
      </c>
      <c r="F4002">
        <v>27.683333333333334</v>
      </c>
    </row>
    <row r="4003" spans="1:6" x14ac:dyDescent="0.25">
      <c r="A4003" s="1">
        <v>39783</v>
      </c>
      <c r="B4003" t="s">
        <v>20</v>
      </c>
      <c r="C4003" t="s">
        <v>6</v>
      </c>
      <c r="D4003">
        <v>20</v>
      </c>
      <c r="E4003" s="2">
        <v>1.8807870370370371E-2</v>
      </c>
      <c r="F4003">
        <v>27.083333333333332</v>
      </c>
    </row>
    <row r="4004" spans="1:6" x14ac:dyDescent="0.25">
      <c r="A4004" s="1">
        <v>39783</v>
      </c>
      <c r="B4004" t="s">
        <v>20</v>
      </c>
      <c r="C4004" t="s">
        <v>7</v>
      </c>
      <c r="D4004">
        <v>34</v>
      </c>
      <c r="E4004" s="2">
        <v>3.125E-2</v>
      </c>
      <c r="F4004">
        <v>45</v>
      </c>
    </row>
    <row r="4005" spans="1:6" x14ac:dyDescent="0.25">
      <c r="A4005" s="1">
        <v>39783</v>
      </c>
      <c r="B4005" t="s">
        <v>20</v>
      </c>
      <c r="C4005" t="s">
        <v>8</v>
      </c>
      <c r="D4005">
        <v>23</v>
      </c>
      <c r="E4005" s="2">
        <v>3.0694444444444444E-2</v>
      </c>
      <c r="F4005">
        <v>44.2</v>
      </c>
    </row>
    <row r="4006" spans="1:6" x14ac:dyDescent="0.25">
      <c r="A4006" s="1">
        <v>39783</v>
      </c>
      <c r="B4006" t="s">
        <v>20</v>
      </c>
      <c r="C4006" t="s">
        <v>9</v>
      </c>
      <c r="D4006">
        <v>19</v>
      </c>
      <c r="E4006" s="2">
        <v>1.0324074074074074E-2</v>
      </c>
      <c r="F4006">
        <v>14.866666666666667</v>
      </c>
    </row>
    <row r="4007" spans="1:6" x14ac:dyDescent="0.25">
      <c r="A4007" s="1">
        <v>39783</v>
      </c>
      <c r="B4007" t="s">
        <v>20</v>
      </c>
      <c r="C4007" t="s">
        <v>10</v>
      </c>
      <c r="D4007">
        <v>7</v>
      </c>
      <c r="E4007" s="2">
        <v>6.076388888888889E-3</v>
      </c>
      <c r="F4007">
        <v>8.75</v>
      </c>
    </row>
    <row r="4008" spans="1:6" x14ac:dyDescent="0.25">
      <c r="A4008" s="1">
        <v>39783</v>
      </c>
      <c r="B4008" t="s">
        <v>20</v>
      </c>
      <c r="C4008" t="s">
        <v>11</v>
      </c>
      <c r="D4008">
        <v>14</v>
      </c>
      <c r="E4008" s="2">
        <v>1.1458333333333333E-2</v>
      </c>
      <c r="F4008">
        <v>16.5</v>
      </c>
    </row>
    <row r="4009" spans="1:6" x14ac:dyDescent="0.25">
      <c r="A4009" s="1">
        <v>39783</v>
      </c>
      <c r="B4009" t="s">
        <v>21</v>
      </c>
      <c r="C4009" t="s">
        <v>6</v>
      </c>
      <c r="D4009">
        <v>42</v>
      </c>
      <c r="E4009" s="2">
        <v>4.7476851851851853E-2</v>
      </c>
      <c r="F4009">
        <v>68.36666666666666</v>
      </c>
    </row>
    <row r="4010" spans="1:6" x14ac:dyDescent="0.25">
      <c r="A4010" s="1">
        <v>39783</v>
      </c>
      <c r="B4010" t="s">
        <v>21</v>
      </c>
      <c r="C4010" t="s">
        <v>7</v>
      </c>
      <c r="D4010">
        <v>43</v>
      </c>
      <c r="E4010" s="2">
        <v>5.4675925925925926E-2</v>
      </c>
      <c r="F4010">
        <v>78.733333333333334</v>
      </c>
    </row>
    <row r="4011" spans="1:6" x14ac:dyDescent="0.25">
      <c r="A4011" s="1">
        <v>39783</v>
      </c>
      <c r="B4011" t="s">
        <v>21</v>
      </c>
      <c r="C4011" t="s">
        <v>8</v>
      </c>
      <c r="D4011">
        <v>16</v>
      </c>
      <c r="E4011" s="2">
        <v>2.2847222222222224E-2</v>
      </c>
      <c r="F4011">
        <v>32.9</v>
      </c>
    </row>
    <row r="4012" spans="1:6" x14ac:dyDescent="0.25">
      <c r="A4012" s="1">
        <v>39783</v>
      </c>
      <c r="B4012" t="s">
        <v>21</v>
      </c>
      <c r="C4012" t="s">
        <v>9</v>
      </c>
      <c r="D4012">
        <v>15</v>
      </c>
      <c r="E4012" s="2">
        <v>9.7337962962962959E-3</v>
      </c>
      <c r="F4012">
        <v>14.016666666666667</v>
      </c>
    </row>
    <row r="4013" spans="1:6" x14ac:dyDescent="0.25">
      <c r="A4013" s="1">
        <v>39783</v>
      </c>
      <c r="B4013" t="s">
        <v>21</v>
      </c>
      <c r="C4013" t="s">
        <v>10</v>
      </c>
      <c r="D4013">
        <v>10</v>
      </c>
      <c r="E4013" s="2">
        <v>8.2523148148148148E-3</v>
      </c>
      <c r="F4013">
        <v>11.883333333333333</v>
      </c>
    </row>
    <row r="4014" spans="1:6" x14ac:dyDescent="0.25">
      <c r="A4014" s="1">
        <v>39783</v>
      </c>
      <c r="B4014" t="s">
        <v>21</v>
      </c>
      <c r="C4014" t="s">
        <v>11</v>
      </c>
      <c r="D4014">
        <v>21</v>
      </c>
      <c r="E4014" s="2">
        <v>1.8969907407407408E-2</v>
      </c>
      <c r="F4014">
        <v>27.316666666666666</v>
      </c>
    </row>
    <row r="4015" spans="1:6" x14ac:dyDescent="0.25">
      <c r="A4015" s="1">
        <v>39783</v>
      </c>
      <c r="B4015" t="s">
        <v>22</v>
      </c>
      <c r="C4015" t="s">
        <v>6</v>
      </c>
      <c r="D4015">
        <v>8</v>
      </c>
      <c r="E4015" s="2">
        <v>9.8842592592592593E-3</v>
      </c>
      <c r="F4015">
        <v>14.233333333333333</v>
      </c>
    </row>
    <row r="4016" spans="1:6" x14ac:dyDescent="0.25">
      <c r="A4016" s="1">
        <v>39783</v>
      </c>
      <c r="B4016" t="s">
        <v>22</v>
      </c>
      <c r="C4016" t="s">
        <v>7</v>
      </c>
      <c r="D4016">
        <v>8</v>
      </c>
      <c r="E4016" s="2">
        <v>8.5300925925925926E-3</v>
      </c>
      <c r="F4016">
        <v>12.283333333333333</v>
      </c>
    </row>
    <row r="4017" spans="1:6" x14ac:dyDescent="0.25">
      <c r="A4017" s="1">
        <v>39783</v>
      </c>
      <c r="B4017" t="s">
        <v>22</v>
      </c>
      <c r="C4017" t="s">
        <v>8</v>
      </c>
      <c r="D4017">
        <v>8</v>
      </c>
      <c r="E4017" s="2">
        <v>7.6620370370370366E-3</v>
      </c>
      <c r="F4017">
        <v>11.033333333333333</v>
      </c>
    </row>
    <row r="4018" spans="1:6" x14ac:dyDescent="0.25">
      <c r="A4018" s="1">
        <v>39783</v>
      </c>
      <c r="B4018" t="s">
        <v>22</v>
      </c>
      <c r="C4018" t="s">
        <v>9</v>
      </c>
      <c r="D4018">
        <v>3</v>
      </c>
      <c r="E4018" s="2">
        <v>1.1458333333333333E-3</v>
      </c>
      <c r="F4018">
        <v>1.65</v>
      </c>
    </row>
    <row r="4019" spans="1:6" x14ac:dyDescent="0.25">
      <c r="A4019" s="1">
        <v>39783</v>
      </c>
      <c r="B4019" t="s">
        <v>22</v>
      </c>
      <c r="C4019" t="s">
        <v>10</v>
      </c>
      <c r="D4019">
        <v>4</v>
      </c>
      <c r="E4019" s="2">
        <v>5.0462962962962961E-3</v>
      </c>
      <c r="F4019">
        <v>7.2666666666666666</v>
      </c>
    </row>
    <row r="4020" spans="1:6" x14ac:dyDescent="0.25">
      <c r="A4020" s="1">
        <v>39783</v>
      </c>
      <c r="B4020" t="s">
        <v>22</v>
      </c>
      <c r="C4020" t="s">
        <v>11</v>
      </c>
      <c r="D4020">
        <v>2</v>
      </c>
      <c r="E4020" s="2">
        <v>1.5856481481481481E-3</v>
      </c>
      <c r="F4020">
        <v>2.2833333333333332</v>
      </c>
    </row>
    <row r="4021" spans="1:6" x14ac:dyDescent="0.25">
      <c r="A4021" s="1">
        <v>39783</v>
      </c>
      <c r="B4021" t="s">
        <v>23</v>
      </c>
      <c r="C4021" t="s">
        <v>6</v>
      </c>
      <c r="D4021">
        <v>172</v>
      </c>
      <c r="E4021" s="2">
        <v>0.17616898148148147</v>
      </c>
      <c r="F4021">
        <v>253.68333333333334</v>
      </c>
    </row>
    <row r="4022" spans="1:6" x14ac:dyDescent="0.25">
      <c r="A4022" s="1">
        <v>39783</v>
      </c>
      <c r="B4022" t="s">
        <v>23</v>
      </c>
      <c r="C4022" t="s">
        <v>7</v>
      </c>
      <c r="D4022">
        <v>137</v>
      </c>
      <c r="E4022" s="2">
        <v>0.14733796296296298</v>
      </c>
      <c r="F4022">
        <v>212.16666666666666</v>
      </c>
    </row>
    <row r="4023" spans="1:6" x14ac:dyDescent="0.25">
      <c r="A4023" s="1">
        <v>39783</v>
      </c>
      <c r="B4023" t="s">
        <v>23</v>
      </c>
      <c r="C4023" t="s">
        <v>8</v>
      </c>
      <c r="D4023">
        <v>100</v>
      </c>
      <c r="E4023" s="2">
        <v>0.10965277777777778</v>
      </c>
      <c r="F4023">
        <v>157.9</v>
      </c>
    </row>
    <row r="4024" spans="1:6" x14ac:dyDescent="0.25">
      <c r="A4024" s="1">
        <v>39783</v>
      </c>
      <c r="B4024" t="s">
        <v>23</v>
      </c>
      <c r="C4024" t="s">
        <v>9</v>
      </c>
      <c r="D4024">
        <v>80</v>
      </c>
      <c r="E4024" s="2">
        <v>4.6076388888888889E-2</v>
      </c>
      <c r="F4024">
        <v>66.349999999999994</v>
      </c>
    </row>
    <row r="4025" spans="1:6" x14ac:dyDescent="0.25">
      <c r="A4025" s="1">
        <v>39783</v>
      </c>
      <c r="B4025" t="s">
        <v>23</v>
      </c>
      <c r="C4025" t="s">
        <v>10</v>
      </c>
      <c r="D4025">
        <v>55</v>
      </c>
      <c r="E4025" s="2">
        <v>7.0520833333333338E-2</v>
      </c>
      <c r="F4025">
        <v>101.55</v>
      </c>
    </row>
    <row r="4026" spans="1:6" x14ac:dyDescent="0.25">
      <c r="A4026" s="1">
        <v>39783</v>
      </c>
      <c r="B4026" t="s">
        <v>23</v>
      </c>
      <c r="C4026" t="s">
        <v>11</v>
      </c>
      <c r="D4026">
        <v>75</v>
      </c>
      <c r="E4026" s="2">
        <v>5.6099537037037038E-2</v>
      </c>
      <c r="F4026">
        <v>80.783333333333331</v>
      </c>
    </row>
    <row r="4027" spans="1:6" x14ac:dyDescent="0.25">
      <c r="A4027" s="1">
        <v>39783</v>
      </c>
      <c r="B4027" t="s">
        <v>24</v>
      </c>
      <c r="C4027" t="s">
        <v>6</v>
      </c>
      <c r="D4027">
        <v>51</v>
      </c>
      <c r="E4027" s="2">
        <v>4.8854166666666664E-2</v>
      </c>
      <c r="F4027">
        <v>70.349999999999994</v>
      </c>
    </row>
    <row r="4028" spans="1:6" x14ac:dyDescent="0.25">
      <c r="A4028" s="1">
        <v>39783</v>
      </c>
      <c r="B4028" t="s">
        <v>24</v>
      </c>
      <c r="C4028" t="s">
        <v>7</v>
      </c>
      <c r="D4028">
        <v>54</v>
      </c>
      <c r="E4028" s="2">
        <v>4.0243055555555553E-2</v>
      </c>
      <c r="F4028">
        <v>57.95</v>
      </c>
    </row>
    <row r="4029" spans="1:6" x14ac:dyDescent="0.25">
      <c r="A4029" s="1">
        <v>39783</v>
      </c>
      <c r="B4029" t="s">
        <v>24</v>
      </c>
      <c r="C4029" t="s">
        <v>8</v>
      </c>
      <c r="D4029">
        <v>37</v>
      </c>
      <c r="E4029" s="2">
        <v>3.3263888888888891E-2</v>
      </c>
      <c r="F4029">
        <v>47.9</v>
      </c>
    </row>
    <row r="4030" spans="1:6" x14ac:dyDescent="0.25">
      <c r="A4030" s="1">
        <v>39783</v>
      </c>
      <c r="B4030" t="s">
        <v>24</v>
      </c>
      <c r="C4030" t="s">
        <v>9</v>
      </c>
      <c r="D4030">
        <v>20</v>
      </c>
      <c r="E4030" s="2">
        <v>1.1331018518518518E-2</v>
      </c>
      <c r="F4030">
        <v>16.316666666666666</v>
      </c>
    </row>
    <row r="4031" spans="1:6" x14ac:dyDescent="0.25">
      <c r="A4031" s="1">
        <v>39783</v>
      </c>
      <c r="B4031" t="s">
        <v>24</v>
      </c>
      <c r="C4031" t="s">
        <v>10</v>
      </c>
      <c r="D4031">
        <v>0</v>
      </c>
      <c r="E4031" s="2">
        <v>0</v>
      </c>
      <c r="F4031">
        <v>0</v>
      </c>
    </row>
    <row r="4032" spans="1:6" x14ac:dyDescent="0.25">
      <c r="A4032" s="1">
        <v>39783</v>
      </c>
      <c r="B4032" t="s">
        <v>24</v>
      </c>
      <c r="C4032" t="s">
        <v>11</v>
      </c>
      <c r="D4032">
        <v>36</v>
      </c>
      <c r="E4032" s="2">
        <v>2.1909722222222223E-2</v>
      </c>
      <c r="F4032">
        <v>31.55</v>
      </c>
    </row>
    <row r="4033" spans="1:6" x14ac:dyDescent="0.25">
      <c r="A4033" s="1">
        <v>39814</v>
      </c>
      <c r="B4033" t="s">
        <v>5</v>
      </c>
      <c r="C4033" t="s">
        <v>6</v>
      </c>
      <c r="D4033">
        <v>70</v>
      </c>
      <c r="E4033" s="2">
        <v>7.1782407407407406E-2</v>
      </c>
      <c r="F4033">
        <v>103.36666666666666</v>
      </c>
    </row>
    <row r="4034" spans="1:6" x14ac:dyDescent="0.25">
      <c r="A4034" s="1">
        <v>39814</v>
      </c>
      <c r="B4034" t="s">
        <v>5</v>
      </c>
      <c r="C4034" t="s">
        <v>7</v>
      </c>
      <c r="D4034">
        <v>66</v>
      </c>
      <c r="E4034" s="2">
        <v>5.7129629629629627E-2</v>
      </c>
      <c r="F4034">
        <v>82.266666666666666</v>
      </c>
    </row>
    <row r="4035" spans="1:6" x14ac:dyDescent="0.25">
      <c r="A4035" s="1">
        <v>39814</v>
      </c>
      <c r="B4035" t="s">
        <v>5</v>
      </c>
      <c r="C4035" t="s">
        <v>8</v>
      </c>
      <c r="D4035">
        <v>41</v>
      </c>
      <c r="E4035" s="2">
        <v>4.9351851851851855E-2</v>
      </c>
      <c r="F4035">
        <v>71.066666666666663</v>
      </c>
    </row>
    <row r="4036" spans="1:6" x14ac:dyDescent="0.25">
      <c r="A4036" s="1">
        <v>39814</v>
      </c>
      <c r="B4036" t="s">
        <v>5</v>
      </c>
      <c r="C4036" t="s">
        <v>9</v>
      </c>
      <c r="D4036">
        <v>18</v>
      </c>
      <c r="E4036" s="2">
        <v>9.8495370370370369E-3</v>
      </c>
      <c r="F4036">
        <v>14.183333333333334</v>
      </c>
    </row>
    <row r="4037" spans="1:6" x14ac:dyDescent="0.25">
      <c r="A4037" s="1">
        <v>39814</v>
      </c>
      <c r="B4037" t="s">
        <v>5</v>
      </c>
      <c r="C4037" t="s">
        <v>10</v>
      </c>
      <c r="D4037">
        <v>5</v>
      </c>
      <c r="E4037" s="2">
        <v>1.3078703703703703E-3</v>
      </c>
      <c r="F4037">
        <v>1.8833333333333333</v>
      </c>
    </row>
    <row r="4038" spans="1:6" x14ac:dyDescent="0.25">
      <c r="A4038" s="1">
        <v>39814</v>
      </c>
      <c r="B4038" t="s">
        <v>5</v>
      </c>
      <c r="C4038" t="s">
        <v>11</v>
      </c>
      <c r="D4038">
        <v>33</v>
      </c>
      <c r="E4038" s="2">
        <v>2.9328703703703704E-2</v>
      </c>
      <c r="F4038">
        <v>42.233333333333334</v>
      </c>
    </row>
    <row r="4039" spans="1:6" x14ac:dyDescent="0.25">
      <c r="A4039" s="1">
        <v>39814</v>
      </c>
      <c r="B4039" t="s">
        <v>12</v>
      </c>
      <c r="C4039" t="s">
        <v>6</v>
      </c>
      <c r="D4039">
        <v>47</v>
      </c>
      <c r="E4039" s="2">
        <v>5.8136574074074077E-2</v>
      </c>
      <c r="F4039">
        <v>83.716666666666669</v>
      </c>
    </row>
    <row r="4040" spans="1:6" x14ac:dyDescent="0.25">
      <c r="A4040" s="1">
        <v>39814</v>
      </c>
      <c r="B4040" t="s">
        <v>12</v>
      </c>
      <c r="C4040" t="s">
        <v>7</v>
      </c>
      <c r="D4040">
        <v>48</v>
      </c>
      <c r="E4040" s="2">
        <v>5.3877314814814815E-2</v>
      </c>
      <c r="F4040">
        <v>77.583333333333329</v>
      </c>
    </row>
    <row r="4041" spans="1:6" x14ac:dyDescent="0.25">
      <c r="A4041" s="1">
        <v>39814</v>
      </c>
      <c r="B4041" t="s">
        <v>12</v>
      </c>
      <c r="C4041" t="s">
        <v>8</v>
      </c>
      <c r="D4041">
        <v>37</v>
      </c>
      <c r="E4041" s="2">
        <v>5.5347222222222221E-2</v>
      </c>
      <c r="F4041">
        <v>79.7</v>
      </c>
    </row>
    <row r="4042" spans="1:6" x14ac:dyDescent="0.25">
      <c r="A4042" s="1">
        <v>39814</v>
      </c>
      <c r="B4042" t="s">
        <v>12</v>
      </c>
      <c r="C4042" t="s">
        <v>9</v>
      </c>
      <c r="D4042">
        <v>18</v>
      </c>
      <c r="E4042" s="2">
        <v>1.0775462962962962E-2</v>
      </c>
      <c r="F4042">
        <v>15.516666666666667</v>
      </c>
    </row>
    <row r="4043" spans="1:6" x14ac:dyDescent="0.25">
      <c r="A4043" s="1">
        <v>39814</v>
      </c>
      <c r="B4043" t="s">
        <v>12</v>
      </c>
      <c r="C4043" t="s">
        <v>10</v>
      </c>
      <c r="D4043">
        <v>2</v>
      </c>
      <c r="E4043" s="2">
        <v>9.2592592592592596E-4</v>
      </c>
      <c r="F4043">
        <v>1.3333333333333333</v>
      </c>
    </row>
    <row r="4044" spans="1:6" x14ac:dyDescent="0.25">
      <c r="A4044" s="1">
        <v>39814</v>
      </c>
      <c r="B4044" t="s">
        <v>12</v>
      </c>
      <c r="C4044" t="s">
        <v>11</v>
      </c>
      <c r="D4044">
        <v>25</v>
      </c>
      <c r="E4044" s="2">
        <v>2.4571759259259258E-2</v>
      </c>
      <c r="F4044">
        <v>35.383333333333333</v>
      </c>
    </row>
    <row r="4045" spans="1:6" x14ac:dyDescent="0.25">
      <c r="A4045" s="1">
        <v>39814</v>
      </c>
      <c r="B4045" t="s">
        <v>13</v>
      </c>
      <c r="C4045" t="s">
        <v>6</v>
      </c>
      <c r="D4045">
        <v>52</v>
      </c>
      <c r="E4045" s="2">
        <v>5.4189814814814816E-2</v>
      </c>
      <c r="F4045">
        <v>78.033333333333331</v>
      </c>
    </row>
    <row r="4046" spans="1:6" x14ac:dyDescent="0.25">
      <c r="A4046" s="1">
        <v>39814</v>
      </c>
      <c r="B4046" t="s">
        <v>13</v>
      </c>
      <c r="C4046" t="s">
        <v>7</v>
      </c>
      <c r="D4046">
        <v>44</v>
      </c>
      <c r="E4046" s="2">
        <v>3.6898148148148145E-2</v>
      </c>
      <c r="F4046">
        <v>53.133333333333333</v>
      </c>
    </row>
    <row r="4047" spans="1:6" x14ac:dyDescent="0.25">
      <c r="A4047" s="1">
        <v>39814</v>
      </c>
      <c r="B4047" t="s">
        <v>13</v>
      </c>
      <c r="C4047" t="s">
        <v>8</v>
      </c>
      <c r="D4047">
        <v>30</v>
      </c>
      <c r="E4047" s="2">
        <v>3.7638888888888888E-2</v>
      </c>
      <c r="F4047">
        <v>54.2</v>
      </c>
    </row>
    <row r="4048" spans="1:6" x14ac:dyDescent="0.25">
      <c r="A4048" s="1">
        <v>39814</v>
      </c>
      <c r="B4048" t="s">
        <v>13</v>
      </c>
      <c r="C4048" t="s">
        <v>9</v>
      </c>
      <c r="D4048">
        <v>41</v>
      </c>
      <c r="E4048" s="2">
        <v>2.3449074074074074E-2</v>
      </c>
      <c r="F4048">
        <v>33.766666666666666</v>
      </c>
    </row>
    <row r="4049" spans="1:6" x14ac:dyDescent="0.25">
      <c r="A4049" s="1">
        <v>39814</v>
      </c>
      <c r="B4049" t="s">
        <v>13</v>
      </c>
      <c r="C4049" t="s">
        <v>10</v>
      </c>
      <c r="D4049">
        <v>42</v>
      </c>
      <c r="E4049" s="2">
        <v>3.8275462962962963E-2</v>
      </c>
      <c r="F4049">
        <v>55.116666666666667</v>
      </c>
    </row>
    <row r="4050" spans="1:6" x14ac:dyDescent="0.25">
      <c r="A4050" s="1">
        <v>39814</v>
      </c>
      <c r="B4050" t="s">
        <v>13</v>
      </c>
      <c r="C4050" t="s">
        <v>11</v>
      </c>
      <c r="D4050">
        <v>19</v>
      </c>
      <c r="E4050" s="2">
        <v>1.607638888888889E-2</v>
      </c>
      <c r="F4050">
        <v>23.15</v>
      </c>
    </row>
    <row r="4051" spans="1:6" x14ac:dyDescent="0.25">
      <c r="A4051" s="1">
        <v>39814</v>
      </c>
      <c r="B4051" t="s">
        <v>14</v>
      </c>
      <c r="C4051" t="s">
        <v>6</v>
      </c>
      <c r="D4051">
        <v>19</v>
      </c>
      <c r="E4051" s="2">
        <v>2.1516203703703704E-2</v>
      </c>
      <c r="F4051">
        <v>30.983333333333334</v>
      </c>
    </row>
    <row r="4052" spans="1:6" x14ac:dyDescent="0.25">
      <c r="A4052" s="1">
        <v>39814</v>
      </c>
      <c r="B4052" t="s">
        <v>14</v>
      </c>
      <c r="C4052" t="s">
        <v>7</v>
      </c>
      <c r="D4052">
        <v>12</v>
      </c>
      <c r="E4052" s="2">
        <v>1.0983796296296297E-2</v>
      </c>
      <c r="F4052">
        <v>15.816666666666666</v>
      </c>
    </row>
    <row r="4053" spans="1:6" x14ac:dyDescent="0.25">
      <c r="A4053" s="1">
        <v>39814</v>
      </c>
      <c r="B4053" t="s">
        <v>14</v>
      </c>
      <c r="C4053" t="s">
        <v>8</v>
      </c>
      <c r="D4053">
        <v>12</v>
      </c>
      <c r="E4053" s="2">
        <v>1.7025462962962964E-2</v>
      </c>
      <c r="F4053">
        <v>24.516666666666666</v>
      </c>
    </row>
    <row r="4054" spans="1:6" x14ac:dyDescent="0.25">
      <c r="A4054" s="1">
        <v>39814</v>
      </c>
      <c r="B4054" t="s">
        <v>14</v>
      </c>
      <c r="C4054" t="s">
        <v>9</v>
      </c>
      <c r="D4054">
        <v>8</v>
      </c>
      <c r="E4054" s="2">
        <v>6.5856481481481478E-3</v>
      </c>
      <c r="F4054">
        <v>9.4833333333333325</v>
      </c>
    </row>
    <row r="4055" spans="1:6" x14ac:dyDescent="0.25">
      <c r="A4055" s="1">
        <v>39814</v>
      </c>
      <c r="B4055" t="s">
        <v>14</v>
      </c>
      <c r="C4055" t="s">
        <v>10</v>
      </c>
      <c r="D4055">
        <v>5</v>
      </c>
      <c r="E4055" s="2">
        <v>4.3981481481481484E-3</v>
      </c>
      <c r="F4055">
        <v>6.333333333333333</v>
      </c>
    </row>
    <row r="4056" spans="1:6" x14ac:dyDescent="0.25">
      <c r="A4056" s="1">
        <v>39814</v>
      </c>
      <c r="B4056" t="s">
        <v>14</v>
      </c>
      <c r="C4056" t="s">
        <v>11</v>
      </c>
      <c r="D4056">
        <v>13</v>
      </c>
      <c r="E4056" s="2">
        <v>1.1226851851851852E-2</v>
      </c>
      <c r="F4056">
        <v>16.166666666666668</v>
      </c>
    </row>
    <row r="4057" spans="1:6" x14ac:dyDescent="0.25">
      <c r="A4057" s="1">
        <v>39814</v>
      </c>
      <c r="B4057" t="s">
        <v>15</v>
      </c>
      <c r="C4057" t="s">
        <v>6</v>
      </c>
      <c r="D4057">
        <v>22</v>
      </c>
      <c r="E4057" s="2">
        <v>2.3726851851851853E-2</v>
      </c>
      <c r="F4057">
        <v>34.166666666666664</v>
      </c>
    </row>
    <row r="4058" spans="1:6" x14ac:dyDescent="0.25">
      <c r="A4058" s="1">
        <v>39814</v>
      </c>
      <c r="B4058" t="s">
        <v>15</v>
      </c>
      <c r="C4058" t="s">
        <v>7</v>
      </c>
      <c r="D4058">
        <v>20</v>
      </c>
      <c r="E4058" s="2">
        <v>1.8275462962962962E-2</v>
      </c>
      <c r="F4058">
        <v>26.316666666666666</v>
      </c>
    </row>
    <row r="4059" spans="1:6" x14ac:dyDescent="0.25">
      <c r="A4059" s="1">
        <v>39814</v>
      </c>
      <c r="B4059" t="s">
        <v>15</v>
      </c>
      <c r="C4059" t="s">
        <v>8</v>
      </c>
      <c r="D4059">
        <v>13</v>
      </c>
      <c r="E4059" s="2">
        <v>1.5821759259259258E-2</v>
      </c>
      <c r="F4059">
        <v>22.783333333333335</v>
      </c>
    </row>
    <row r="4060" spans="1:6" x14ac:dyDescent="0.25">
      <c r="A4060" s="1">
        <v>39814</v>
      </c>
      <c r="B4060" t="s">
        <v>15</v>
      </c>
      <c r="C4060" t="s">
        <v>9</v>
      </c>
      <c r="D4060">
        <v>15</v>
      </c>
      <c r="E4060" s="2">
        <v>7.3263888888888892E-3</v>
      </c>
      <c r="F4060">
        <v>10.55</v>
      </c>
    </row>
    <row r="4061" spans="1:6" x14ac:dyDescent="0.25">
      <c r="A4061" s="1">
        <v>39814</v>
      </c>
      <c r="B4061" t="s">
        <v>15</v>
      </c>
      <c r="C4061" t="s">
        <v>10</v>
      </c>
      <c r="D4061">
        <v>2</v>
      </c>
      <c r="E4061" s="2">
        <v>4.861111111111111E-4</v>
      </c>
      <c r="F4061">
        <v>0.7</v>
      </c>
    </row>
    <row r="4062" spans="1:6" x14ac:dyDescent="0.25">
      <c r="A4062" s="1">
        <v>39814</v>
      </c>
      <c r="B4062" t="s">
        <v>15</v>
      </c>
      <c r="C4062" t="s">
        <v>11</v>
      </c>
      <c r="D4062">
        <v>14</v>
      </c>
      <c r="E4062" s="2">
        <v>1.125E-2</v>
      </c>
      <c r="F4062">
        <v>16.2</v>
      </c>
    </row>
    <row r="4063" spans="1:6" x14ac:dyDescent="0.25">
      <c r="A4063" s="1">
        <v>39814</v>
      </c>
      <c r="B4063" t="s">
        <v>16</v>
      </c>
      <c r="C4063" t="s">
        <v>6</v>
      </c>
      <c r="D4063">
        <v>29</v>
      </c>
      <c r="E4063" s="2">
        <v>2.9652777777777778E-2</v>
      </c>
      <c r="F4063">
        <v>42.7</v>
      </c>
    </row>
    <row r="4064" spans="1:6" x14ac:dyDescent="0.25">
      <c r="A4064" s="1">
        <v>39814</v>
      </c>
      <c r="B4064" t="s">
        <v>16</v>
      </c>
      <c r="C4064" t="s">
        <v>7</v>
      </c>
      <c r="D4064">
        <v>26</v>
      </c>
      <c r="E4064" s="2">
        <v>2.0844907407407406E-2</v>
      </c>
      <c r="F4064">
        <v>30.016666666666666</v>
      </c>
    </row>
    <row r="4065" spans="1:6" x14ac:dyDescent="0.25">
      <c r="A4065" s="1">
        <v>39814</v>
      </c>
      <c r="B4065" t="s">
        <v>16</v>
      </c>
      <c r="C4065" t="s">
        <v>8</v>
      </c>
      <c r="D4065">
        <v>17</v>
      </c>
      <c r="E4065" s="2">
        <v>1.2789351851851852E-2</v>
      </c>
      <c r="F4065">
        <v>18.416666666666668</v>
      </c>
    </row>
    <row r="4066" spans="1:6" x14ac:dyDescent="0.25">
      <c r="A4066" s="1">
        <v>39814</v>
      </c>
      <c r="B4066" t="s">
        <v>16</v>
      </c>
      <c r="C4066" t="s">
        <v>9</v>
      </c>
      <c r="D4066">
        <v>28</v>
      </c>
      <c r="E4066" s="2">
        <v>1.2638888888888889E-2</v>
      </c>
      <c r="F4066">
        <v>18.2</v>
      </c>
    </row>
    <row r="4067" spans="1:6" x14ac:dyDescent="0.25">
      <c r="A4067" s="1">
        <v>39814</v>
      </c>
      <c r="B4067" t="s">
        <v>16</v>
      </c>
      <c r="C4067" t="s">
        <v>10</v>
      </c>
      <c r="D4067">
        <v>5</v>
      </c>
      <c r="E4067" s="2">
        <v>2.0370370370370369E-3</v>
      </c>
      <c r="F4067">
        <v>2.9333333333333336</v>
      </c>
    </row>
    <row r="4068" spans="1:6" x14ac:dyDescent="0.25">
      <c r="A4068" s="1">
        <v>39814</v>
      </c>
      <c r="B4068" t="s">
        <v>16</v>
      </c>
      <c r="C4068" t="s">
        <v>11</v>
      </c>
      <c r="D4068">
        <v>24</v>
      </c>
      <c r="E4068" s="2">
        <v>1.636574074074074E-2</v>
      </c>
      <c r="F4068">
        <v>23.566666666666666</v>
      </c>
    </row>
    <row r="4069" spans="1:6" x14ac:dyDescent="0.25">
      <c r="A4069" s="1">
        <v>39814</v>
      </c>
      <c r="B4069" t="s">
        <v>17</v>
      </c>
      <c r="C4069" t="s">
        <v>6</v>
      </c>
      <c r="D4069">
        <v>10</v>
      </c>
      <c r="E4069" s="2">
        <v>9.7222222222222224E-3</v>
      </c>
      <c r="F4069">
        <v>14</v>
      </c>
    </row>
    <row r="4070" spans="1:6" x14ac:dyDescent="0.25">
      <c r="A4070" s="1">
        <v>39814</v>
      </c>
      <c r="B4070" t="s">
        <v>17</v>
      </c>
      <c r="C4070" t="s">
        <v>7</v>
      </c>
      <c r="D4070">
        <v>7</v>
      </c>
      <c r="E4070" s="2">
        <v>4.9768518518518521E-3</v>
      </c>
      <c r="F4070">
        <v>7.166666666666667</v>
      </c>
    </row>
    <row r="4071" spans="1:6" x14ac:dyDescent="0.25">
      <c r="A4071" s="1">
        <v>39814</v>
      </c>
      <c r="B4071" t="s">
        <v>17</v>
      </c>
      <c r="C4071" t="s">
        <v>8</v>
      </c>
      <c r="D4071">
        <v>4</v>
      </c>
      <c r="E4071" s="2">
        <v>2.7662037037037039E-3</v>
      </c>
      <c r="F4071">
        <v>3.9833333333333334</v>
      </c>
    </row>
    <row r="4072" spans="1:6" x14ac:dyDescent="0.25">
      <c r="A4072" s="1">
        <v>39814</v>
      </c>
      <c r="B4072" t="s">
        <v>17</v>
      </c>
      <c r="C4072" t="s">
        <v>9</v>
      </c>
      <c r="D4072">
        <v>4</v>
      </c>
      <c r="E4072" s="2">
        <v>2.2685185185185187E-3</v>
      </c>
      <c r="F4072">
        <v>3.2666666666666666</v>
      </c>
    </row>
    <row r="4073" spans="1:6" x14ac:dyDescent="0.25">
      <c r="A4073" s="1">
        <v>39814</v>
      </c>
      <c r="B4073" t="s">
        <v>17</v>
      </c>
      <c r="C4073" t="s">
        <v>10</v>
      </c>
      <c r="D4073">
        <v>5</v>
      </c>
      <c r="E4073" s="2">
        <v>9.1550925925925931E-3</v>
      </c>
      <c r="F4073">
        <v>13.183333333333334</v>
      </c>
    </row>
    <row r="4074" spans="1:6" x14ac:dyDescent="0.25">
      <c r="A4074" s="1">
        <v>39814</v>
      </c>
      <c r="B4074" t="s">
        <v>17</v>
      </c>
      <c r="C4074" t="s">
        <v>11</v>
      </c>
      <c r="D4074">
        <v>1</v>
      </c>
      <c r="E4074" s="2">
        <v>3.7037037037037035E-4</v>
      </c>
      <c r="F4074">
        <v>0.53333333333333333</v>
      </c>
    </row>
    <row r="4075" spans="1:6" x14ac:dyDescent="0.25">
      <c r="A4075" s="1">
        <v>39814</v>
      </c>
      <c r="B4075" t="s">
        <v>18</v>
      </c>
      <c r="C4075" t="s">
        <v>6</v>
      </c>
      <c r="D4075">
        <v>93</v>
      </c>
      <c r="E4075" s="2">
        <v>9.0185185185185188E-2</v>
      </c>
      <c r="F4075">
        <v>129.86666666666667</v>
      </c>
    </row>
    <row r="4076" spans="1:6" x14ac:dyDescent="0.25">
      <c r="A4076" s="1">
        <v>39814</v>
      </c>
      <c r="B4076" t="s">
        <v>18</v>
      </c>
      <c r="C4076" t="s">
        <v>7</v>
      </c>
      <c r="D4076">
        <v>135</v>
      </c>
      <c r="E4076" s="2">
        <v>0.11619212962962963</v>
      </c>
      <c r="F4076">
        <v>167.31666666666666</v>
      </c>
    </row>
    <row r="4077" spans="1:6" x14ac:dyDescent="0.25">
      <c r="A4077" s="1">
        <v>39814</v>
      </c>
      <c r="B4077" t="s">
        <v>18</v>
      </c>
      <c r="C4077" t="s">
        <v>8</v>
      </c>
      <c r="D4077">
        <v>92</v>
      </c>
      <c r="E4077" s="2">
        <v>0.12298611111111112</v>
      </c>
      <c r="F4077">
        <v>177.1</v>
      </c>
    </row>
    <row r="4078" spans="1:6" x14ac:dyDescent="0.25">
      <c r="A4078" s="1">
        <v>39814</v>
      </c>
      <c r="B4078" t="s">
        <v>18</v>
      </c>
      <c r="C4078" t="s">
        <v>9</v>
      </c>
      <c r="D4078">
        <v>93</v>
      </c>
      <c r="E4078" s="2">
        <v>6.0266203703703704E-2</v>
      </c>
      <c r="F4078">
        <v>86.783333333333331</v>
      </c>
    </row>
    <row r="4079" spans="1:6" x14ac:dyDescent="0.25">
      <c r="A4079" s="1">
        <v>39814</v>
      </c>
      <c r="B4079" t="s">
        <v>18</v>
      </c>
      <c r="C4079" t="s">
        <v>10</v>
      </c>
      <c r="D4079">
        <v>150</v>
      </c>
      <c r="E4079" s="2">
        <v>0.14226851851851852</v>
      </c>
      <c r="F4079">
        <v>204.86666666666667</v>
      </c>
    </row>
    <row r="4080" spans="1:6" x14ac:dyDescent="0.25">
      <c r="A4080" s="1">
        <v>39814</v>
      </c>
      <c r="B4080" t="s">
        <v>18</v>
      </c>
      <c r="C4080" t="s">
        <v>11</v>
      </c>
      <c r="D4080">
        <v>56</v>
      </c>
      <c r="E4080" s="2">
        <v>4.7418981481481479E-2</v>
      </c>
      <c r="F4080">
        <v>68.283333333333331</v>
      </c>
    </row>
    <row r="4081" spans="1:6" x14ac:dyDescent="0.25">
      <c r="A4081" s="1">
        <v>39814</v>
      </c>
      <c r="B4081" t="s">
        <v>19</v>
      </c>
      <c r="C4081" t="s">
        <v>6</v>
      </c>
      <c r="D4081">
        <v>21</v>
      </c>
      <c r="E4081" s="2">
        <v>2.0023148148148148E-2</v>
      </c>
      <c r="F4081">
        <v>28.833333333333332</v>
      </c>
    </row>
    <row r="4082" spans="1:6" x14ac:dyDescent="0.25">
      <c r="A4082" s="1">
        <v>39814</v>
      </c>
      <c r="B4082" t="s">
        <v>19</v>
      </c>
      <c r="C4082" t="s">
        <v>7</v>
      </c>
      <c r="D4082">
        <v>19</v>
      </c>
      <c r="E4082" s="2">
        <v>1.7071759259259259E-2</v>
      </c>
      <c r="F4082">
        <v>24.583333333333332</v>
      </c>
    </row>
    <row r="4083" spans="1:6" x14ac:dyDescent="0.25">
      <c r="A4083" s="1">
        <v>39814</v>
      </c>
      <c r="B4083" t="s">
        <v>19</v>
      </c>
      <c r="C4083" t="s">
        <v>8</v>
      </c>
      <c r="D4083">
        <v>16</v>
      </c>
      <c r="E4083" s="2">
        <v>2.0405092592592593E-2</v>
      </c>
      <c r="F4083">
        <v>29.383333333333333</v>
      </c>
    </row>
    <row r="4084" spans="1:6" x14ac:dyDescent="0.25">
      <c r="A4084" s="1">
        <v>39814</v>
      </c>
      <c r="B4084" t="s">
        <v>19</v>
      </c>
      <c r="C4084" t="s">
        <v>9</v>
      </c>
      <c r="D4084">
        <v>22</v>
      </c>
      <c r="E4084" s="2">
        <v>1.207175925925926E-2</v>
      </c>
      <c r="F4084">
        <v>17.383333333333333</v>
      </c>
    </row>
    <row r="4085" spans="1:6" x14ac:dyDescent="0.25">
      <c r="A4085" s="1">
        <v>39814</v>
      </c>
      <c r="B4085" t="s">
        <v>19</v>
      </c>
      <c r="C4085" t="s">
        <v>10</v>
      </c>
      <c r="D4085">
        <v>8</v>
      </c>
      <c r="E4085" s="2">
        <v>1.1122685185185185E-2</v>
      </c>
      <c r="F4085">
        <v>16.016666666666666</v>
      </c>
    </row>
    <row r="4086" spans="1:6" x14ac:dyDescent="0.25">
      <c r="A4086" s="1">
        <v>39814</v>
      </c>
      <c r="B4086" t="s">
        <v>19</v>
      </c>
      <c r="C4086" t="s">
        <v>11</v>
      </c>
      <c r="D4086">
        <v>11</v>
      </c>
      <c r="E4086" s="2">
        <v>8.2291666666666659E-3</v>
      </c>
      <c r="F4086">
        <v>11.85</v>
      </c>
    </row>
    <row r="4087" spans="1:6" x14ac:dyDescent="0.25">
      <c r="A4087" s="1">
        <v>39814</v>
      </c>
      <c r="B4087" t="s">
        <v>20</v>
      </c>
      <c r="C4087" t="s">
        <v>6</v>
      </c>
      <c r="D4087">
        <v>26</v>
      </c>
      <c r="E4087" s="2">
        <v>2.4918981481481483E-2</v>
      </c>
      <c r="F4087">
        <v>35.883333333333333</v>
      </c>
    </row>
    <row r="4088" spans="1:6" x14ac:dyDescent="0.25">
      <c r="A4088" s="1">
        <v>39814</v>
      </c>
      <c r="B4088" t="s">
        <v>20</v>
      </c>
      <c r="C4088" t="s">
        <v>7</v>
      </c>
      <c r="D4088">
        <v>22</v>
      </c>
      <c r="E4088" s="2">
        <v>1.9050925925925926E-2</v>
      </c>
      <c r="F4088">
        <v>27.433333333333334</v>
      </c>
    </row>
    <row r="4089" spans="1:6" x14ac:dyDescent="0.25">
      <c r="A4089" s="1">
        <v>39814</v>
      </c>
      <c r="B4089" t="s">
        <v>20</v>
      </c>
      <c r="C4089" t="s">
        <v>8</v>
      </c>
      <c r="D4089">
        <v>17</v>
      </c>
      <c r="E4089" s="2">
        <v>1.954861111111111E-2</v>
      </c>
      <c r="F4089">
        <v>28.15</v>
      </c>
    </row>
    <row r="4090" spans="1:6" x14ac:dyDescent="0.25">
      <c r="A4090" s="1">
        <v>39814</v>
      </c>
      <c r="B4090" t="s">
        <v>20</v>
      </c>
      <c r="C4090" t="s">
        <v>9</v>
      </c>
      <c r="D4090">
        <v>11</v>
      </c>
      <c r="E4090" s="2">
        <v>8.7152777777777784E-3</v>
      </c>
      <c r="F4090">
        <v>12.55</v>
      </c>
    </row>
    <row r="4091" spans="1:6" x14ac:dyDescent="0.25">
      <c r="A4091" s="1">
        <v>39814</v>
      </c>
      <c r="B4091" t="s">
        <v>20</v>
      </c>
      <c r="C4091" t="s">
        <v>10</v>
      </c>
      <c r="D4091">
        <v>6</v>
      </c>
      <c r="E4091" s="2">
        <v>5.0578703703703706E-3</v>
      </c>
      <c r="F4091">
        <v>7.2833333333333332</v>
      </c>
    </row>
    <row r="4092" spans="1:6" x14ac:dyDescent="0.25">
      <c r="A4092" s="1">
        <v>39814</v>
      </c>
      <c r="B4092" t="s">
        <v>20</v>
      </c>
      <c r="C4092" t="s">
        <v>11</v>
      </c>
      <c r="D4092">
        <v>12</v>
      </c>
      <c r="E4092" s="2">
        <v>1.0439814814814815E-2</v>
      </c>
      <c r="F4092">
        <v>15.033333333333333</v>
      </c>
    </row>
    <row r="4093" spans="1:6" x14ac:dyDescent="0.25">
      <c r="A4093" s="1">
        <v>39814</v>
      </c>
      <c r="B4093" t="s">
        <v>21</v>
      </c>
      <c r="C4093" t="s">
        <v>6</v>
      </c>
      <c r="D4093">
        <v>27</v>
      </c>
      <c r="E4093" s="2">
        <v>3.4039351851851848E-2</v>
      </c>
      <c r="F4093">
        <v>49.016666666666666</v>
      </c>
    </row>
    <row r="4094" spans="1:6" x14ac:dyDescent="0.25">
      <c r="A4094" s="1">
        <v>39814</v>
      </c>
      <c r="B4094" t="s">
        <v>21</v>
      </c>
      <c r="C4094" t="s">
        <v>7</v>
      </c>
      <c r="D4094">
        <v>30</v>
      </c>
      <c r="E4094" s="2">
        <v>3.1724537037037037E-2</v>
      </c>
      <c r="F4094">
        <v>45.68333333333333</v>
      </c>
    </row>
    <row r="4095" spans="1:6" x14ac:dyDescent="0.25">
      <c r="A4095" s="1">
        <v>39814</v>
      </c>
      <c r="B4095" t="s">
        <v>21</v>
      </c>
      <c r="C4095" t="s">
        <v>8</v>
      </c>
      <c r="D4095">
        <v>14</v>
      </c>
      <c r="E4095" s="2">
        <v>1.4733796296296297E-2</v>
      </c>
      <c r="F4095">
        <v>21.216666666666665</v>
      </c>
    </row>
    <row r="4096" spans="1:6" x14ac:dyDescent="0.25">
      <c r="A4096" s="1">
        <v>39814</v>
      </c>
      <c r="B4096" t="s">
        <v>21</v>
      </c>
      <c r="C4096" t="s">
        <v>9</v>
      </c>
      <c r="D4096">
        <v>13</v>
      </c>
      <c r="E4096" s="2">
        <v>5.5324074074074078E-3</v>
      </c>
      <c r="F4096">
        <v>7.9666666666666668</v>
      </c>
    </row>
    <row r="4097" spans="1:6" x14ac:dyDescent="0.25">
      <c r="A4097" s="1">
        <v>39814</v>
      </c>
      <c r="B4097" t="s">
        <v>21</v>
      </c>
      <c r="C4097" t="s">
        <v>10</v>
      </c>
      <c r="D4097">
        <v>5</v>
      </c>
      <c r="E4097" s="2">
        <v>1.1689814814814816E-3</v>
      </c>
      <c r="F4097">
        <v>1.6833333333333333</v>
      </c>
    </row>
    <row r="4098" spans="1:6" x14ac:dyDescent="0.25">
      <c r="A4098" s="1">
        <v>39814</v>
      </c>
      <c r="B4098" t="s">
        <v>21</v>
      </c>
      <c r="C4098" t="s">
        <v>11</v>
      </c>
      <c r="D4098">
        <v>15</v>
      </c>
      <c r="E4098" s="2">
        <v>1.1539351851851851E-2</v>
      </c>
      <c r="F4098">
        <v>16.616666666666667</v>
      </c>
    </row>
    <row r="4099" spans="1:6" x14ac:dyDescent="0.25">
      <c r="A4099" s="1">
        <v>39814</v>
      </c>
      <c r="B4099" t="s">
        <v>22</v>
      </c>
      <c r="C4099" t="s">
        <v>6</v>
      </c>
      <c r="D4099">
        <v>11</v>
      </c>
      <c r="E4099" s="2">
        <v>1.3761574074074074E-2</v>
      </c>
      <c r="F4099">
        <v>19.816666666666666</v>
      </c>
    </row>
    <row r="4100" spans="1:6" x14ac:dyDescent="0.25">
      <c r="A4100" s="1">
        <v>39814</v>
      </c>
      <c r="B4100" t="s">
        <v>22</v>
      </c>
      <c r="C4100" t="s">
        <v>7</v>
      </c>
      <c r="D4100">
        <v>2</v>
      </c>
      <c r="E4100" s="2">
        <v>2.2800925925925927E-3</v>
      </c>
      <c r="F4100">
        <v>3.2833333333333332</v>
      </c>
    </row>
    <row r="4101" spans="1:6" x14ac:dyDescent="0.25">
      <c r="A4101" s="1">
        <v>39814</v>
      </c>
      <c r="B4101" t="s">
        <v>22</v>
      </c>
      <c r="C4101" t="s">
        <v>8</v>
      </c>
      <c r="D4101">
        <v>8</v>
      </c>
      <c r="E4101" s="2">
        <v>1.1956018518518519E-2</v>
      </c>
      <c r="F4101">
        <v>17.216666666666665</v>
      </c>
    </row>
    <row r="4102" spans="1:6" x14ac:dyDescent="0.25">
      <c r="A4102" s="1">
        <v>39814</v>
      </c>
      <c r="B4102" t="s">
        <v>22</v>
      </c>
      <c r="C4102" t="s">
        <v>9</v>
      </c>
      <c r="D4102">
        <v>0</v>
      </c>
      <c r="E4102" s="2">
        <v>0</v>
      </c>
      <c r="F4102">
        <v>0</v>
      </c>
    </row>
    <row r="4103" spans="1:6" x14ac:dyDescent="0.25">
      <c r="A4103" s="1">
        <v>39814</v>
      </c>
      <c r="B4103" t="s">
        <v>22</v>
      </c>
      <c r="C4103" t="s">
        <v>10</v>
      </c>
      <c r="D4103">
        <v>2</v>
      </c>
      <c r="E4103" s="2">
        <v>4.6296296296296298E-4</v>
      </c>
      <c r="F4103">
        <v>0.66666666666666663</v>
      </c>
    </row>
    <row r="4104" spans="1:6" x14ac:dyDescent="0.25">
      <c r="A4104" s="1">
        <v>39814</v>
      </c>
      <c r="B4104" t="s">
        <v>22</v>
      </c>
      <c r="C4104" t="s">
        <v>11</v>
      </c>
      <c r="D4104">
        <v>3</v>
      </c>
      <c r="E4104" s="2">
        <v>2.0601851851851853E-3</v>
      </c>
      <c r="F4104">
        <v>2.9666666666666668</v>
      </c>
    </row>
    <row r="4105" spans="1:6" x14ac:dyDescent="0.25">
      <c r="A4105" s="1">
        <v>39814</v>
      </c>
      <c r="B4105" t="s">
        <v>23</v>
      </c>
      <c r="C4105" t="s">
        <v>6</v>
      </c>
      <c r="D4105">
        <v>110</v>
      </c>
      <c r="E4105" s="2">
        <v>0.1278125</v>
      </c>
      <c r="F4105">
        <v>184.05</v>
      </c>
    </row>
    <row r="4106" spans="1:6" x14ac:dyDescent="0.25">
      <c r="A4106" s="1">
        <v>39814</v>
      </c>
      <c r="B4106" t="s">
        <v>23</v>
      </c>
      <c r="C4106" t="s">
        <v>7</v>
      </c>
      <c r="D4106">
        <v>97</v>
      </c>
      <c r="E4106" s="2">
        <v>0.10650462962962963</v>
      </c>
      <c r="F4106">
        <v>153.36666666666667</v>
      </c>
    </row>
    <row r="4107" spans="1:6" x14ac:dyDescent="0.25">
      <c r="A4107" s="1">
        <v>39814</v>
      </c>
      <c r="B4107" t="s">
        <v>23</v>
      </c>
      <c r="C4107" t="s">
        <v>8</v>
      </c>
      <c r="D4107">
        <v>67</v>
      </c>
      <c r="E4107" s="2">
        <v>8.3101851851851857E-2</v>
      </c>
      <c r="F4107">
        <v>119.66666666666667</v>
      </c>
    </row>
    <row r="4108" spans="1:6" x14ac:dyDescent="0.25">
      <c r="A4108" s="1">
        <v>39814</v>
      </c>
      <c r="B4108" t="s">
        <v>23</v>
      </c>
      <c r="C4108" t="s">
        <v>9</v>
      </c>
      <c r="D4108">
        <v>70</v>
      </c>
      <c r="E4108" s="2">
        <v>3.4490740740740738E-2</v>
      </c>
      <c r="F4108">
        <v>49.666666666666664</v>
      </c>
    </row>
    <row r="4109" spans="1:6" x14ac:dyDescent="0.25">
      <c r="A4109" s="1">
        <v>39814</v>
      </c>
      <c r="B4109" t="s">
        <v>23</v>
      </c>
      <c r="C4109" t="s">
        <v>10</v>
      </c>
      <c r="D4109">
        <v>34</v>
      </c>
      <c r="E4109" s="2">
        <v>3.6574074074074071E-2</v>
      </c>
      <c r="F4109">
        <v>52.666666666666664</v>
      </c>
    </row>
    <row r="4110" spans="1:6" x14ac:dyDescent="0.25">
      <c r="A4110" s="1">
        <v>39814</v>
      </c>
      <c r="B4110" t="s">
        <v>23</v>
      </c>
      <c r="C4110" t="s">
        <v>11</v>
      </c>
      <c r="D4110">
        <v>38</v>
      </c>
      <c r="E4110" s="2">
        <v>3.1620370370370368E-2</v>
      </c>
      <c r="F4110">
        <v>45.533333333333331</v>
      </c>
    </row>
    <row r="4111" spans="1:6" x14ac:dyDescent="0.25">
      <c r="A4111" s="1">
        <v>39814</v>
      </c>
      <c r="B4111" t="s">
        <v>24</v>
      </c>
      <c r="C4111" t="s">
        <v>6</v>
      </c>
      <c r="D4111">
        <v>40</v>
      </c>
      <c r="E4111" s="2">
        <v>3.3171296296296296E-2</v>
      </c>
      <c r="F4111">
        <v>47.766666666666666</v>
      </c>
    </row>
    <row r="4112" spans="1:6" x14ac:dyDescent="0.25">
      <c r="A4112" s="1">
        <v>39814</v>
      </c>
      <c r="B4112" t="s">
        <v>24</v>
      </c>
      <c r="C4112" t="s">
        <v>7</v>
      </c>
      <c r="D4112">
        <v>51</v>
      </c>
      <c r="E4112" s="2">
        <v>3.5069444444444445E-2</v>
      </c>
      <c r="F4112">
        <v>50.5</v>
      </c>
    </row>
    <row r="4113" spans="1:6" x14ac:dyDescent="0.25">
      <c r="A4113" s="1">
        <v>39814</v>
      </c>
      <c r="B4113" t="s">
        <v>24</v>
      </c>
      <c r="C4113" t="s">
        <v>8</v>
      </c>
      <c r="D4113">
        <v>21</v>
      </c>
      <c r="E4113" s="2">
        <v>1.7453703703703704E-2</v>
      </c>
      <c r="F4113">
        <v>25.133333333333333</v>
      </c>
    </row>
    <row r="4114" spans="1:6" x14ac:dyDescent="0.25">
      <c r="A4114" s="1">
        <v>39814</v>
      </c>
      <c r="B4114" t="s">
        <v>24</v>
      </c>
      <c r="C4114" t="s">
        <v>9</v>
      </c>
      <c r="D4114">
        <v>17</v>
      </c>
      <c r="E4114" s="2">
        <v>7.5115740740740742E-3</v>
      </c>
      <c r="F4114">
        <v>10.816666666666666</v>
      </c>
    </row>
    <row r="4115" spans="1:6" x14ac:dyDescent="0.25">
      <c r="A4115" s="1">
        <v>39814</v>
      </c>
      <c r="B4115" t="s">
        <v>24</v>
      </c>
      <c r="C4115" t="s">
        <v>10</v>
      </c>
      <c r="D4115">
        <v>0</v>
      </c>
      <c r="E4115" s="2">
        <v>0</v>
      </c>
      <c r="F4115">
        <v>0</v>
      </c>
    </row>
    <row r="4116" spans="1:6" x14ac:dyDescent="0.25">
      <c r="A4116" s="1">
        <v>39814</v>
      </c>
      <c r="B4116" t="s">
        <v>24</v>
      </c>
      <c r="C4116" t="s">
        <v>11</v>
      </c>
      <c r="D4116">
        <v>24</v>
      </c>
      <c r="E4116" s="2">
        <v>1.3391203703703704E-2</v>
      </c>
      <c r="F4116">
        <v>19.283333333333335</v>
      </c>
    </row>
    <row r="4117" spans="1:6" x14ac:dyDescent="0.25">
      <c r="A4117" s="1">
        <v>39845</v>
      </c>
      <c r="B4117" t="s">
        <v>5</v>
      </c>
      <c r="C4117" t="s">
        <v>6</v>
      </c>
      <c r="D4117">
        <v>49</v>
      </c>
      <c r="E4117" s="2">
        <v>4.6909722222222221E-2</v>
      </c>
      <c r="F4117">
        <v>67.55</v>
      </c>
    </row>
    <row r="4118" spans="1:6" x14ac:dyDescent="0.25">
      <c r="A4118" s="1">
        <v>39845</v>
      </c>
      <c r="B4118" t="s">
        <v>5</v>
      </c>
      <c r="C4118" t="s">
        <v>7</v>
      </c>
      <c r="D4118">
        <v>33</v>
      </c>
      <c r="E4118" s="2">
        <v>2.6249999999999999E-2</v>
      </c>
      <c r="F4118">
        <v>37.799999999999997</v>
      </c>
    </row>
    <row r="4119" spans="1:6" x14ac:dyDescent="0.25">
      <c r="A4119" s="1">
        <v>39845</v>
      </c>
      <c r="B4119" t="s">
        <v>5</v>
      </c>
      <c r="C4119" t="s">
        <v>8</v>
      </c>
      <c r="D4119">
        <v>21</v>
      </c>
      <c r="E4119" s="2">
        <v>1.9166666666666665E-2</v>
      </c>
      <c r="F4119">
        <v>27.6</v>
      </c>
    </row>
    <row r="4120" spans="1:6" x14ac:dyDescent="0.25">
      <c r="A4120" s="1">
        <v>39845</v>
      </c>
      <c r="B4120" t="s">
        <v>5</v>
      </c>
      <c r="C4120" t="s">
        <v>9</v>
      </c>
      <c r="D4120">
        <v>16</v>
      </c>
      <c r="E4120" s="2">
        <v>9.7916666666666673E-3</v>
      </c>
      <c r="F4120">
        <v>14.1</v>
      </c>
    </row>
    <row r="4121" spans="1:6" x14ac:dyDescent="0.25">
      <c r="A4121" s="1">
        <v>39845</v>
      </c>
      <c r="B4121" t="s">
        <v>5</v>
      </c>
      <c r="C4121" t="s">
        <v>10</v>
      </c>
      <c r="D4121">
        <v>7</v>
      </c>
      <c r="E4121" s="2">
        <v>2.673611111111111E-3</v>
      </c>
      <c r="F4121">
        <v>3.85</v>
      </c>
    </row>
    <row r="4122" spans="1:6" x14ac:dyDescent="0.25">
      <c r="A4122" s="1">
        <v>39845</v>
      </c>
      <c r="B4122" t="s">
        <v>5</v>
      </c>
      <c r="C4122" t="s">
        <v>11</v>
      </c>
      <c r="D4122">
        <v>15</v>
      </c>
      <c r="E4122" s="2">
        <v>1.2048611111111111E-2</v>
      </c>
      <c r="F4122">
        <v>17.350000000000001</v>
      </c>
    </row>
    <row r="4123" spans="1:6" x14ac:dyDescent="0.25">
      <c r="A4123" s="1">
        <v>39845</v>
      </c>
      <c r="B4123" t="s">
        <v>12</v>
      </c>
      <c r="C4123" t="s">
        <v>6</v>
      </c>
      <c r="D4123">
        <v>47</v>
      </c>
      <c r="E4123" s="2">
        <v>5.3692129629629631E-2</v>
      </c>
      <c r="F4123">
        <v>77.316666666666663</v>
      </c>
    </row>
    <row r="4124" spans="1:6" x14ac:dyDescent="0.25">
      <c r="A4124" s="1">
        <v>39845</v>
      </c>
      <c r="B4124" t="s">
        <v>12</v>
      </c>
      <c r="C4124" t="s">
        <v>7</v>
      </c>
      <c r="D4124">
        <v>40</v>
      </c>
      <c r="E4124" s="2">
        <v>5.8576388888888886E-2</v>
      </c>
      <c r="F4124">
        <v>84.35</v>
      </c>
    </row>
    <row r="4125" spans="1:6" x14ac:dyDescent="0.25">
      <c r="A4125" s="1">
        <v>39845</v>
      </c>
      <c r="B4125" t="s">
        <v>12</v>
      </c>
      <c r="C4125" t="s">
        <v>8</v>
      </c>
      <c r="D4125">
        <v>31</v>
      </c>
      <c r="E4125" s="2">
        <v>4.6516203703703705E-2</v>
      </c>
      <c r="F4125">
        <v>66.983333333333334</v>
      </c>
    </row>
    <row r="4126" spans="1:6" x14ac:dyDescent="0.25">
      <c r="A4126" s="1">
        <v>39845</v>
      </c>
      <c r="B4126" t="s">
        <v>12</v>
      </c>
      <c r="C4126" t="s">
        <v>9</v>
      </c>
      <c r="D4126">
        <v>21</v>
      </c>
      <c r="E4126" s="2">
        <v>1.5150462962962963E-2</v>
      </c>
      <c r="F4126">
        <v>21.816666666666666</v>
      </c>
    </row>
    <row r="4127" spans="1:6" x14ac:dyDescent="0.25">
      <c r="A4127" s="1">
        <v>39845</v>
      </c>
      <c r="B4127" t="s">
        <v>12</v>
      </c>
      <c r="C4127" t="s">
        <v>10</v>
      </c>
      <c r="D4127">
        <v>5</v>
      </c>
      <c r="E4127" s="2">
        <v>5.7291666666666663E-3</v>
      </c>
      <c r="F4127">
        <v>8.25</v>
      </c>
    </row>
    <row r="4128" spans="1:6" x14ac:dyDescent="0.25">
      <c r="A4128" s="1">
        <v>39845</v>
      </c>
      <c r="B4128" t="s">
        <v>12</v>
      </c>
      <c r="C4128" t="s">
        <v>11</v>
      </c>
      <c r="D4128">
        <v>29</v>
      </c>
      <c r="E4128" s="2">
        <v>2.8958333333333332E-2</v>
      </c>
      <c r="F4128">
        <v>41.7</v>
      </c>
    </row>
    <row r="4129" spans="1:6" x14ac:dyDescent="0.25">
      <c r="A4129" s="1">
        <v>39845</v>
      </c>
      <c r="B4129" t="s">
        <v>13</v>
      </c>
      <c r="C4129" t="s">
        <v>6</v>
      </c>
      <c r="D4129">
        <v>99</v>
      </c>
      <c r="E4129" s="2">
        <v>0.10372685185185185</v>
      </c>
      <c r="F4129">
        <v>149.36666666666667</v>
      </c>
    </row>
    <row r="4130" spans="1:6" x14ac:dyDescent="0.25">
      <c r="A4130" s="1">
        <v>39845</v>
      </c>
      <c r="B4130" t="s">
        <v>13</v>
      </c>
      <c r="C4130" t="s">
        <v>7</v>
      </c>
      <c r="D4130">
        <v>83</v>
      </c>
      <c r="E4130" s="2">
        <v>8.189814814814815E-2</v>
      </c>
      <c r="F4130">
        <v>117.93333333333334</v>
      </c>
    </row>
    <row r="4131" spans="1:6" x14ac:dyDescent="0.25">
      <c r="A4131" s="1">
        <v>39845</v>
      </c>
      <c r="B4131" t="s">
        <v>13</v>
      </c>
      <c r="C4131" t="s">
        <v>8</v>
      </c>
      <c r="D4131">
        <v>51</v>
      </c>
      <c r="E4131" s="2">
        <v>5.9988425925925924E-2</v>
      </c>
      <c r="F4131">
        <v>86.38333333333334</v>
      </c>
    </row>
    <row r="4132" spans="1:6" x14ac:dyDescent="0.25">
      <c r="A4132" s="1">
        <v>39845</v>
      </c>
      <c r="B4132" t="s">
        <v>13</v>
      </c>
      <c r="C4132" t="s">
        <v>9</v>
      </c>
      <c r="D4132">
        <v>62</v>
      </c>
      <c r="E4132" s="2">
        <v>4.116898148148148E-2</v>
      </c>
      <c r="F4132">
        <v>59.283333333333331</v>
      </c>
    </row>
    <row r="4133" spans="1:6" x14ac:dyDescent="0.25">
      <c r="A4133" s="1">
        <v>39845</v>
      </c>
      <c r="B4133" t="s">
        <v>13</v>
      </c>
      <c r="C4133" t="s">
        <v>10</v>
      </c>
      <c r="D4133">
        <v>49</v>
      </c>
      <c r="E4133" s="2">
        <v>4.7650462962962964E-2</v>
      </c>
      <c r="F4133">
        <v>68.61666666666666</v>
      </c>
    </row>
    <row r="4134" spans="1:6" x14ac:dyDescent="0.25">
      <c r="A4134" s="1">
        <v>39845</v>
      </c>
      <c r="B4134" t="s">
        <v>13</v>
      </c>
      <c r="C4134" t="s">
        <v>11</v>
      </c>
      <c r="D4134">
        <v>38</v>
      </c>
      <c r="E4134" s="2">
        <v>3.0312499999999999E-2</v>
      </c>
      <c r="F4134">
        <v>43.65</v>
      </c>
    </row>
    <row r="4135" spans="1:6" x14ac:dyDescent="0.25">
      <c r="A4135" s="1">
        <v>39845</v>
      </c>
      <c r="B4135" t="s">
        <v>14</v>
      </c>
      <c r="C4135" t="s">
        <v>6</v>
      </c>
      <c r="D4135">
        <v>16</v>
      </c>
      <c r="E4135" s="2">
        <v>1.3252314814814814E-2</v>
      </c>
      <c r="F4135">
        <v>19.083333333333332</v>
      </c>
    </row>
    <row r="4136" spans="1:6" x14ac:dyDescent="0.25">
      <c r="A4136" s="1">
        <v>39845</v>
      </c>
      <c r="B4136" t="s">
        <v>14</v>
      </c>
      <c r="C4136" t="s">
        <v>7</v>
      </c>
      <c r="D4136">
        <v>19</v>
      </c>
      <c r="E4136" s="2">
        <v>2.5358796296296296E-2</v>
      </c>
      <c r="F4136">
        <v>36.516666666666666</v>
      </c>
    </row>
    <row r="4137" spans="1:6" x14ac:dyDescent="0.25">
      <c r="A4137" s="1">
        <v>39845</v>
      </c>
      <c r="B4137" t="s">
        <v>14</v>
      </c>
      <c r="C4137" t="s">
        <v>8</v>
      </c>
      <c r="D4137">
        <v>9</v>
      </c>
      <c r="E4137" s="2">
        <v>1.1539351851851851E-2</v>
      </c>
      <c r="F4137">
        <v>16.616666666666667</v>
      </c>
    </row>
    <row r="4138" spans="1:6" x14ac:dyDescent="0.25">
      <c r="A4138" s="1">
        <v>39845</v>
      </c>
      <c r="B4138" t="s">
        <v>14</v>
      </c>
      <c r="C4138" t="s">
        <v>9</v>
      </c>
      <c r="D4138">
        <v>12</v>
      </c>
      <c r="E4138" s="2">
        <v>7.037037037037037E-3</v>
      </c>
      <c r="F4138">
        <v>10.133333333333333</v>
      </c>
    </row>
    <row r="4139" spans="1:6" x14ac:dyDescent="0.25">
      <c r="A4139" s="1">
        <v>39845</v>
      </c>
      <c r="B4139" t="s">
        <v>14</v>
      </c>
      <c r="C4139" t="s">
        <v>10</v>
      </c>
      <c r="D4139">
        <v>5</v>
      </c>
      <c r="E4139" s="2">
        <v>2.9861111111111113E-3</v>
      </c>
      <c r="F4139">
        <v>4.3</v>
      </c>
    </row>
    <row r="4140" spans="1:6" x14ac:dyDescent="0.25">
      <c r="A4140" s="1">
        <v>39845</v>
      </c>
      <c r="B4140" t="s">
        <v>14</v>
      </c>
      <c r="C4140" t="s">
        <v>11</v>
      </c>
      <c r="D4140">
        <v>5</v>
      </c>
      <c r="E4140" s="2">
        <v>2.9282407407407408E-3</v>
      </c>
      <c r="F4140">
        <v>4.2166666666666668</v>
      </c>
    </row>
    <row r="4141" spans="1:6" x14ac:dyDescent="0.25">
      <c r="A4141" s="1">
        <v>39845</v>
      </c>
      <c r="B4141" t="s">
        <v>15</v>
      </c>
      <c r="C4141" t="s">
        <v>6</v>
      </c>
      <c r="D4141">
        <v>15</v>
      </c>
      <c r="E4141" s="2">
        <v>1.5266203703703704E-2</v>
      </c>
      <c r="F4141">
        <v>21.983333333333334</v>
      </c>
    </row>
    <row r="4142" spans="1:6" x14ac:dyDescent="0.25">
      <c r="A4142" s="1">
        <v>39845</v>
      </c>
      <c r="B4142" t="s">
        <v>15</v>
      </c>
      <c r="C4142" t="s">
        <v>7</v>
      </c>
      <c r="D4142">
        <v>25</v>
      </c>
      <c r="E4142" s="2">
        <v>2.329861111111111E-2</v>
      </c>
      <c r="F4142">
        <v>33.549999999999997</v>
      </c>
    </row>
    <row r="4143" spans="1:6" x14ac:dyDescent="0.25">
      <c r="A4143" s="1">
        <v>39845</v>
      </c>
      <c r="B4143" t="s">
        <v>15</v>
      </c>
      <c r="C4143" t="s">
        <v>8</v>
      </c>
      <c r="D4143">
        <v>7</v>
      </c>
      <c r="E4143" s="2">
        <v>8.0324074074074082E-3</v>
      </c>
      <c r="F4143">
        <v>11.566666666666666</v>
      </c>
    </row>
    <row r="4144" spans="1:6" x14ac:dyDescent="0.25">
      <c r="A4144" s="1">
        <v>39845</v>
      </c>
      <c r="B4144" t="s">
        <v>15</v>
      </c>
      <c r="C4144" t="s">
        <v>9</v>
      </c>
      <c r="D4144">
        <v>12</v>
      </c>
      <c r="E4144" s="2">
        <v>4.7916666666666663E-3</v>
      </c>
      <c r="F4144">
        <v>6.9</v>
      </c>
    </row>
    <row r="4145" spans="1:6" x14ac:dyDescent="0.25">
      <c r="A4145" s="1">
        <v>39845</v>
      </c>
      <c r="B4145" t="s">
        <v>15</v>
      </c>
      <c r="C4145" t="s">
        <v>10</v>
      </c>
      <c r="D4145">
        <v>2</v>
      </c>
      <c r="E4145" s="2">
        <v>1.9560185185185184E-3</v>
      </c>
      <c r="F4145">
        <v>2.8166666666666664</v>
      </c>
    </row>
    <row r="4146" spans="1:6" x14ac:dyDescent="0.25">
      <c r="A4146" s="1">
        <v>39845</v>
      </c>
      <c r="B4146" t="s">
        <v>15</v>
      </c>
      <c r="C4146" t="s">
        <v>11</v>
      </c>
      <c r="D4146">
        <v>6</v>
      </c>
      <c r="E4146" s="2">
        <v>4.5601851851851853E-3</v>
      </c>
      <c r="F4146">
        <v>6.5666666666666664</v>
      </c>
    </row>
    <row r="4147" spans="1:6" x14ac:dyDescent="0.25">
      <c r="A4147" s="1">
        <v>39845</v>
      </c>
      <c r="B4147" t="s">
        <v>16</v>
      </c>
      <c r="C4147" t="s">
        <v>6</v>
      </c>
      <c r="D4147">
        <v>26</v>
      </c>
      <c r="E4147" s="2">
        <v>2.5567129629629631E-2</v>
      </c>
      <c r="F4147">
        <v>36.81666666666667</v>
      </c>
    </row>
    <row r="4148" spans="1:6" x14ac:dyDescent="0.25">
      <c r="A4148" s="1">
        <v>39845</v>
      </c>
      <c r="B4148" t="s">
        <v>16</v>
      </c>
      <c r="C4148" t="s">
        <v>7</v>
      </c>
      <c r="D4148">
        <v>33</v>
      </c>
      <c r="E4148" s="2">
        <v>2.7870370370370372E-2</v>
      </c>
      <c r="F4148">
        <v>40.133333333333333</v>
      </c>
    </row>
    <row r="4149" spans="1:6" x14ac:dyDescent="0.25">
      <c r="A4149" s="1">
        <v>39845</v>
      </c>
      <c r="B4149" t="s">
        <v>16</v>
      </c>
      <c r="C4149" t="s">
        <v>8</v>
      </c>
      <c r="D4149">
        <v>18</v>
      </c>
      <c r="E4149" s="2">
        <v>2.2858796296296297E-2</v>
      </c>
      <c r="F4149">
        <v>32.916666666666664</v>
      </c>
    </row>
    <row r="4150" spans="1:6" x14ac:dyDescent="0.25">
      <c r="A4150" s="1">
        <v>39845</v>
      </c>
      <c r="B4150" t="s">
        <v>16</v>
      </c>
      <c r="C4150" t="s">
        <v>9</v>
      </c>
      <c r="D4150">
        <v>26</v>
      </c>
      <c r="E4150" s="2">
        <v>1.7025462962962964E-2</v>
      </c>
      <c r="F4150">
        <v>24.516666666666666</v>
      </c>
    </row>
    <row r="4151" spans="1:6" x14ac:dyDescent="0.25">
      <c r="A4151" s="1">
        <v>39845</v>
      </c>
      <c r="B4151" t="s">
        <v>16</v>
      </c>
      <c r="C4151" t="s">
        <v>10</v>
      </c>
      <c r="D4151">
        <v>2</v>
      </c>
      <c r="E4151" s="2">
        <v>4.6296296296296298E-4</v>
      </c>
      <c r="F4151">
        <v>0.66666666666666663</v>
      </c>
    </row>
    <row r="4152" spans="1:6" x14ac:dyDescent="0.25">
      <c r="A4152" s="1">
        <v>39845</v>
      </c>
      <c r="B4152" t="s">
        <v>16</v>
      </c>
      <c r="C4152" t="s">
        <v>11</v>
      </c>
      <c r="D4152">
        <v>20</v>
      </c>
      <c r="E4152" s="2">
        <v>1.6875000000000001E-2</v>
      </c>
      <c r="F4152">
        <v>24.3</v>
      </c>
    </row>
    <row r="4153" spans="1:6" x14ac:dyDescent="0.25">
      <c r="A4153" s="1">
        <v>39845</v>
      </c>
      <c r="B4153" t="s">
        <v>17</v>
      </c>
      <c r="C4153" t="s">
        <v>6</v>
      </c>
      <c r="D4153">
        <v>7</v>
      </c>
      <c r="E4153" s="2">
        <v>5.2199074074074075E-3</v>
      </c>
      <c r="F4153">
        <v>7.5166666666666666</v>
      </c>
    </row>
    <row r="4154" spans="1:6" x14ac:dyDescent="0.25">
      <c r="A4154" s="1">
        <v>39845</v>
      </c>
      <c r="B4154" t="s">
        <v>17</v>
      </c>
      <c r="C4154" t="s">
        <v>7</v>
      </c>
      <c r="D4154">
        <v>4</v>
      </c>
      <c r="E4154" s="2">
        <v>2.9629629629629628E-3</v>
      </c>
      <c r="F4154">
        <v>4.2666666666666666</v>
      </c>
    </row>
    <row r="4155" spans="1:6" x14ac:dyDescent="0.25">
      <c r="A4155" s="1">
        <v>39845</v>
      </c>
      <c r="B4155" t="s">
        <v>17</v>
      </c>
      <c r="C4155" t="s">
        <v>8</v>
      </c>
      <c r="D4155">
        <v>4</v>
      </c>
      <c r="E4155" s="2">
        <v>4.9652777777777777E-3</v>
      </c>
      <c r="F4155">
        <v>7.15</v>
      </c>
    </row>
    <row r="4156" spans="1:6" x14ac:dyDescent="0.25">
      <c r="A4156" s="1">
        <v>39845</v>
      </c>
      <c r="B4156" t="s">
        <v>17</v>
      </c>
      <c r="C4156" t="s">
        <v>9</v>
      </c>
      <c r="D4156">
        <v>3</v>
      </c>
      <c r="E4156" s="2">
        <v>1.3194444444444445E-3</v>
      </c>
      <c r="F4156">
        <v>1.9</v>
      </c>
    </row>
    <row r="4157" spans="1:6" x14ac:dyDescent="0.25">
      <c r="A4157" s="1">
        <v>39845</v>
      </c>
      <c r="B4157" t="s">
        <v>17</v>
      </c>
      <c r="C4157" t="s">
        <v>10</v>
      </c>
      <c r="D4157">
        <v>10</v>
      </c>
      <c r="E4157" s="2">
        <v>1.0601851851851852E-2</v>
      </c>
      <c r="F4157">
        <v>15.266666666666667</v>
      </c>
    </row>
    <row r="4158" spans="1:6" x14ac:dyDescent="0.25">
      <c r="A4158" s="1">
        <v>39845</v>
      </c>
      <c r="B4158" t="s">
        <v>17</v>
      </c>
      <c r="C4158" t="s">
        <v>11</v>
      </c>
      <c r="D4158">
        <v>1</v>
      </c>
      <c r="E4158" s="2">
        <v>3.1250000000000001E-4</v>
      </c>
      <c r="F4158">
        <v>0.45</v>
      </c>
    </row>
    <row r="4159" spans="1:6" x14ac:dyDescent="0.25">
      <c r="A4159" s="1">
        <v>39845</v>
      </c>
      <c r="B4159" t="s">
        <v>18</v>
      </c>
      <c r="C4159" t="s">
        <v>6</v>
      </c>
      <c r="D4159">
        <v>46</v>
      </c>
      <c r="E4159" s="2">
        <v>3.6493055555555556E-2</v>
      </c>
      <c r="F4159">
        <v>52.55</v>
      </c>
    </row>
    <row r="4160" spans="1:6" x14ac:dyDescent="0.25">
      <c r="A4160" s="1">
        <v>39845</v>
      </c>
      <c r="B4160" t="s">
        <v>18</v>
      </c>
      <c r="C4160" t="s">
        <v>7</v>
      </c>
      <c r="D4160">
        <v>52</v>
      </c>
      <c r="E4160" s="2">
        <v>3.9004629629629632E-2</v>
      </c>
      <c r="F4160">
        <v>56.166666666666664</v>
      </c>
    </row>
    <row r="4161" spans="1:6" x14ac:dyDescent="0.25">
      <c r="A4161" s="1">
        <v>39845</v>
      </c>
      <c r="B4161" t="s">
        <v>18</v>
      </c>
      <c r="C4161" t="s">
        <v>8</v>
      </c>
      <c r="D4161">
        <v>40</v>
      </c>
      <c r="E4161" s="2">
        <v>4.2361111111111113E-2</v>
      </c>
      <c r="F4161">
        <v>61</v>
      </c>
    </row>
    <row r="4162" spans="1:6" x14ac:dyDescent="0.25">
      <c r="A4162" s="1">
        <v>39845</v>
      </c>
      <c r="B4162" t="s">
        <v>18</v>
      </c>
      <c r="C4162" t="s">
        <v>9</v>
      </c>
      <c r="D4162">
        <v>54</v>
      </c>
      <c r="E4162" s="2">
        <v>2.8159722222222221E-2</v>
      </c>
      <c r="F4162">
        <v>40.549999999999997</v>
      </c>
    </row>
    <row r="4163" spans="1:6" x14ac:dyDescent="0.25">
      <c r="A4163" s="1">
        <v>39845</v>
      </c>
      <c r="B4163" t="s">
        <v>18</v>
      </c>
      <c r="C4163" t="s">
        <v>10</v>
      </c>
      <c r="D4163">
        <v>127</v>
      </c>
      <c r="E4163" s="2">
        <v>0.10993055555555556</v>
      </c>
      <c r="F4163">
        <v>158.30000000000001</v>
      </c>
    </row>
    <row r="4164" spans="1:6" x14ac:dyDescent="0.25">
      <c r="A4164" s="1">
        <v>39845</v>
      </c>
      <c r="B4164" t="s">
        <v>18</v>
      </c>
      <c r="C4164" t="s">
        <v>11</v>
      </c>
      <c r="D4164">
        <v>23</v>
      </c>
      <c r="E4164" s="2">
        <v>9.6643518518518511E-3</v>
      </c>
      <c r="F4164">
        <v>13.916666666666666</v>
      </c>
    </row>
    <row r="4165" spans="1:6" x14ac:dyDescent="0.25">
      <c r="A4165" s="1">
        <v>39845</v>
      </c>
      <c r="B4165" t="s">
        <v>19</v>
      </c>
      <c r="C4165" t="s">
        <v>6</v>
      </c>
      <c r="D4165">
        <v>44</v>
      </c>
      <c r="E4165" s="2">
        <v>5.1631944444444446E-2</v>
      </c>
      <c r="F4165">
        <v>74.349999999999994</v>
      </c>
    </row>
    <row r="4166" spans="1:6" x14ac:dyDescent="0.25">
      <c r="A4166" s="1">
        <v>39845</v>
      </c>
      <c r="B4166" t="s">
        <v>19</v>
      </c>
      <c r="C4166" t="s">
        <v>7</v>
      </c>
      <c r="D4166">
        <v>45</v>
      </c>
      <c r="E4166" s="2">
        <v>4.6064814814814815E-2</v>
      </c>
      <c r="F4166">
        <v>66.333333333333329</v>
      </c>
    </row>
    <row r="4167" spans="1:6" x14ac:dyDescent="0.25">
      <c r="A4167" s="1">
        <v>39845</v>
      </c>
      <c r="B4167" t="s">
        <v>19</v>
      </c>
      <c r="C4167" t="s">
        <v>8</v>
      </c>
      <c r="D4167">
        <v>44</v>
      </c>
      <c r="E4167" s="2">
        <v>6.2372685185185184E-2</v>
      </c>
      <c r="F4167">
        <v>89.816666666666663</v>
      </c>
    </row>
    <row r="4168" spans="1:6" x14ac:dyDescent="0.25">
      <c r="A4168" s="1">
        <v>39845</v>
      </c>
      <c r="B4168" t="s">
        <v>19</v>
      </c>
      <c r="C4168" t="s">
        <v>9</v>
      </c>
      <c r="D4168">
        <v>54</v>
      </c>
      <c r="E4168" s="2">
        <v>3.5196759259259261E-2</v>
      </c>
      <c r="F4168">
        <v>50.68333333333333</v>
      </c>
    </row>
    <row r="4169" spans="1:6" x14ac:dyDescent="0.25">
      <c r="A4169" s="1">
        <v>39845</v>
      </c>
      <c r="B4169" t="s">
        <v>19</v>
      </c>
      <c r="C4169" t="s">
        <v>10</v>
      </c>
      <c r="D4169">
        <v>13</v>
      </c>
      <c r="E4169" s="2">
        <v>1.525462962962963E-2</v>
      </c>
      <c r="F4169">
        <v>21.966666666666665</v>
      </c>
    </row>
    <row r="4170" spans="1:6" x14ac:dyDescent="0.25">
      <c r="A4170" s="1">
        <v>39845</v>
      </c>
      <c r="B4170" t="s">
        <v>19</v>
      </c>
      <c r="C4170" t="s">
        <v>11</v>
      </c>
      <c r="D4170">
        <v>36</v>
      </c>
      <c r="E4170" s="2">
        <v>2.7893518518518519E-2</v>
      </c>
      <c r="F4170">
        <v>40.166666666666664</v>
      </c>
    </row>
    <row r="4171" spans="1:6" x14ac:dyDescent="0.25">
      <c r="A4171" s="1">
        <v>39845</v>
      </c>
      <c r="B4171" t="s">
        <v>20</v>
      </c>
      <c r="C4171" t="s">
        <v>6</v>
      </c>
      <c r="D4171">
        <v>15</v>
      </c>
      <c r="E4171" s="2">
        <v>1.6458333333333332E-2</v>
      </c>
      <c r="F4171">
        <v>23.7</v>
      </c>
    </row>
    <row r="4172" spans="1:6" x14ac:dyDescent="0.25">
      <c r="A4172" s="1">
        <v>39845</v>
      </c>
      <c r="B4172" t="s">
        <v>20</v>
      </c>
      <c r="C4172" t="s">
        <v>7</v>
      </c>
      <c r="D4172">
        <v>25</v>
      </c>
      <c r="E4172" s="2">
        <v>1.9131944444444444E-2</v>
      </c>
      <c r="F4172">
        <v>27.55</v>
      </c>
    </row>
    <row r="4173" spans="1:6" x14ac:dyDescent="0.25">
      <c r="A4173" s="1">
        <v>39845</v>
      </c>
      <c r="B4173" t="s">
        <v>20</v>
      </c>
      <c r="C4173" t="s">
        <v>8</v>
      </c>
      <c r="D4173">
        <v>14</v>
      </c>
      <c r="E4173" s="2">
        <v>1.8831018518518518E-2</v>
      </c>
      <c r="F4173">
        <v>27.116666666666667</v>
      </c>
    </row>
    <row r="4174" spans="1:6" x14ac:dyDescent="0.25">
      <c r="A4174" s="1">
        <v>39845</v>
      </c>
      <c r="B4174" t="s">
        <v>20</v>
      </c>
      <c r="C4174" t="s">
        <v>9</v>
      </c>
      <c r="D4174">
        <v>12</v>
      </c>
      <c r="E4174" s="2">
        <v>7.083333333333333E-3</v>
      </c>
      <c r="F4174">
        <v>10.199999999999999</v>
      </c>
    </row>
    <row r="4175" spans="1:6" x14ac:dyDescent="0.25">
      <c r="A4175" s="1">
        <v>39845</v>
      </c>
      <c r="B4175" t="s">
        <v>20</v>
      </c>
      <c r="C4175" t="s">
        <v>10</v>
      </c>
      <c r="D4175">
        <v>5</v>
      </c>
      <c r="E4175" s="2">
        <v>4.6412037037037038E-3</v>
      </c>
      <c r="F4175">
        <v>6.6833333333333336</v>
      </c>
    </row>
    <row r="4176" spans="1:6" x14ac:dyDescent="0.25">
      <c r="A4176" s="1">
        <v>39845</v>
      </c>
      <c r="B4176" t="s">
        <v>20</v>
      </c>
      <c r="C4176" t="s">
        <v>11</v>
      </c>
      <c r="D4176">
        <v>9</v>
      </c>
      <c r="E4176" s="2">
        <v>7.7546296296296295E-3</v>
      </c>
      <c r="F4176">
        <v>11.166666666666666</v>
      </c>
    </row>
    <row r="4177" spans="1:6" x14ac:dyDescent="0.25">
      <c r="A4177" s="1">
        <v>39845</v>
      </c>
      <c r="B4177" t="s">
        <v>21</v>
      </c>
      <c r="C4177" t="s">
        <v>6</v>
      </c>
      <c r="D4177">
        <v>17</v>
      </c>
      <c r="E4177" s="2">
        <v>3.0856481481481481E-2</v>
      </c>
      <c r="F4177">
        <v>44.43333333333333</v>
      </c>
    </row>
    <row r="4178" spans="1:6" x14ac:dyDescent="0.25">
      <c r="A4178" s="1">
        <v>39845</v>
      </c>
      <c r="B4178" t="s">
        <v>21</v>
      </c>
      <c r="C4178" t="s">
        <v>7</v>
      </c>
      <c r="D4178">
        <v>15</v>
      </c>
      <c r="E4178" s="2">
        <v>1.8159722222222223E-2</v>
      </c>
      <c r="F4178">
        <v>26.15</v>
      </c>
    </row>
    <row r="4179" spans="1:6" x14ac:dyDescent="0.25">
      <c r="A4179" s="1">
        <v>39845</v>
      </c>
      <c r="B4179" t="s">
        <v>21</v>
      </c>
      <c r="C4179" t="s">
        <v>8</v>
      </c>
      <c r="D4179">
        <v>7</v>
      </c>
      <c r="E4179" s="2">
        <v>8.9004629629629625E-3</v>
      </c>
      <c r="F4179">
        <v>12.816666666666666</v>
      </c>
    </row>
    <row r="4180" spans="1:6" x14ac:dyDescent="0.25">
      <c r="A4180" s="1">
        <v>39845</v>
      </c>
      <c r="B4180" t="s">
        <v>21</v>
      </c>
      <c r="C4180" t="s">
        <v>9</v>
      </c>
      <c r="D4180">
        <v>4</v>
      </c>
      <c r="E4180" s="2">
        <v>1.9791666666666668E-3</v>
      </c>
      <c r="F4180">
        <v>2.85</v>
      </c>
    </row>
    <row r="4181" spans="1:6" x14ac:dyDescent="0.25">
      <c r="A4181" s="1">
        <v>39845</v>
      </c>
      <c r="B4181" t="s">
        <v>21</v>
      </c>
      <c r="C4181" t="s">
        <v>10</v>
      </c>
      <c r="D4181">
        <v>2</v>
      </c>
      <c r="E4181" s="2">
        <v>1.9907407407407408E-3</v>
      </c>
      <c r="F4181">
        <v>2.8666666666666667</v>
      </c>
    </row>
    <row r="4182" spans="1:6" x14ac:dyDescent="0.25">
      <c r="A4182" s="1">
        <v>39845</v>
      </c>
      <c r="B4182" t="s">
        <v>21</v>
      </c>
      <c r="C4182" t="s">
        <v>11</v>
      </c>
      <c r="D4182">
        <v>12</v>
      </c>
      <c r="E4182" s="2">
        <v>1.3344907407407408E-2</v>
      </c>
      <c r="F4182">
        <v>19.216666666666665</v>
      </c>
    </row>
    <row r="4183" spans="1:6" x14ac:dyDescent="0.25">
      <c r="A4183" s="1">
        <v>39845</v>
      </c>
      <c r="B4183" t="s">
        <v>22</v>
      </c>
      <c r="C4183" t="s">
        <v>6</v>
      </c>
      <c r="D4183">
        <v>15</v>
      </c>
      <c r="E4183" s="2">
        <v>1.3831018518518519E-2</v>
      </c>
      <c r="F4183">
        <v>19.916666666666668</v>
      </c>
    </row>
    <row r="4184" spans="1:6" x14ac:dyDescent="0.25">
      <c r="A4184" s="1">
        <v>39845</v>
      </c>
      <c r="B4184" t="s">
        <v>22</v>
      </c>
      <c r="C4184" t="s">
        <v>7</v>
      </c>
      <c r="D4184">
        <v>6</v>
      </c>
      <c r="E4184" s="2">
        <v>5.7754629629629631E-3</v>
      </c>
      <c r="F4184">
        <v>8.3166666666666664</v>
      </c>
    </row>
    <row r="4185" spans="1:6" x14ac:dyDescent="0.25">
      <c r="A4185" s="1">
        <v>39845</v>
      </c>
      <c r="B4185" t="s">
        <v>22</v>
      </c>
      <c r="C4185" t="s">
        <v>8</v>
      </c>
      <c r="D4185">
        <v>7</v>
      </c>
      <c r="E4185" s="2">
        <v>1.0891203703703703E-2</v>
      </c>
      <c r="F4185">
        <v>15.683333333333334</v>
      </c>
    </row>
    <row r="4186" spans="1:6" x14ac:dyDescent="0.25">
      <c r="A4186" s="1">
        <v>39845</v>
      </c>
      <c r="B4186" t="s">
        <v>22</v>
      </c>
      <c r="C4186" t="s">
        <v>9</v>
      </c>
      <c r="D4186">
        <v>4</v>
      </c>
      <c r="E4186" s="2">
        <v>1.3310185185185185E-3</v>
      </c>
      <c r="F4186">
        <v>1.9166666666666665</v>
      </c>
    </row>
    <row r="4187" spans="1:6" x14ac:dyDescent="0.25">
      <c r="A4187" s="1">
        <v>39845</v>
      </c>
      <c r="B4187" t="s">
        <v>22</v>
      </c>
      <c r="C4187" t="s">
        <v>10</v>
      </c>
      <c r="D4187">
        <v>1</v>
      </c>
      <c r="E4187" s="2">
        <v>1.0763888888888889E-3</v>
      </c>
      <c r="F4187">
        <v>1.55</v>
      </c>
    </row>
    <row r="4188" spans="1:6" x14ac:dyDescent="0.25">
      <c r="A4188" s="1">
        <v>39845</v>
      </c>
      <c r="B4188" t="s">
        <v>22</v>
      </c>
      <c r="C4188" t="s">
        <v>11</v>
      </c>
      <c r="D4188">
        <v>8</v>
      </c>
      <c r="E4188" s="2">
        <v>7.5694444444444446E-3</v>
      </c>
      <c r="F4188">
        <v>10.9</v>
      </c>
    </row>
    <row r="4189" spans="1:6" x14ac:dyDescent="0.25">
      <c r="A4189" s="1">
        <v>39845</v>
      </c>
      <c r="B4189" t="s">
        <v>23</v>
      </c>
      <c r="C4189" t="s">
        <v>6</v>
      </c>
      <c r="D4189">
        <v>133</v>
      </c>
      <c r="E4189" s="2">
        <v>0.13826388888888888</v>
      </c>
      <c r="F4189">
        <v>199.1</v>
      </c>
    </row>
    <row r="4190" spans="1:6" x14ac:dyDescent="0.25">
      <c r="A4190" s="1">
        <v>39845</v>
      </c>
      <c r="B4190" t="s">
        <v>23</v>
      </c>
      <c r="C4190" t="s">
        <v>7</v>
      </c>
      <c r="D4190">
        <v>126</v>
      </c>
      <c r="E4190" s="2">
        <v>0.13525462962962964</v>
      </c>
      <c r="F4190">
        <v>194.76666666666668</v>
      </c>
    </row>
    <row r="4191" spans="1:6" x14ac:dyDescent="0.25">
      <c r="A4191" s="1">
        <v>39845</v>
      </c>
      <c r="B4191" t="s">
        <v>23</v>
      </c>
      <c r="C4191" t="s">
        <v>8</v>
      </c>
      <c r="D4191">
        <v>94</v>
      </c>
      <c r="E4191" s="2">
        <v>0.12378472222222223</v>
      </c>
      <c r="F4191">
        <v>178.25</v>
      </c>
    </row>
    <row r="4192" spans="1:6" x14ac:dyDescent="0.25">
      <c r="A4192" s="1">
        <v>39845</v>
      </c>
      <c r="B4192" t="s">
        <v>23</v>
      </c>
      <c r="C4192" t="s">
        <v>9</v>
      </c>
      <c r="D4192">
        <v>66</v>
      </c>
      <c r="E4192" s="2">
        <v>3.923611111111111E-2</v>
      </c>
      <c r="F4192">
        <v>56.5</v>
      </c>
    </row>
    <row r="4193" spans="1:6" x14ac:dyDescent="0.25">
      <c r="A4193" s="1">
        <v>39845</v>
      </c>
      <c r="B4193" t="s">
        <v>23</v>
      </c>
      <c r="C4193" t="s">
        <v>10</v>
      </c>
      <c r="D4193">
        <v>56</v>
      </c>
      <c r="E4193" s="2">
        <v>5.185185185185185E-2</v>
      </c>
      <c r="F4193">
        <v>74.666666666666671</v>
      </c>
    </row>
    <row r="4194" spans="1:6" x14ac:dyDescent="0.25">
      <c r="A4194" s="1">
        <v>39845</v>
      </c>
      <c r="B4194" t="s">
        <v>23</v>
      </c>
      <c r="C4194" t="s">
        <v>11</v>
      </c>
      <c r="D4194">
        <v>69</v>
      </c>
      <c r="E4194" s="2">
        <v>5.5682870370370369E-2</v>
      </c>
      <c r="F4194">
        <v>80.183333333333337</v>
      </c>
    </row>
    <row r="4195" spans="1:6" x14ac:dyDescent="0.25">
      <c r="A4195" s="1">
        <v>39845</v>
      </c>
      <c r="B4195" t="s">
        <v>24</v>
      </c>
      <c r="C4195" t="s">
        <v>6</v>
      </c>
      <c r="D4195">
        <v>51</v>
      </c>
      <c r="E4195" s="2">
        <v>4.1261574074074076E-2</v>
      </c>
      <c r="F4195">
        <v>59.416666666666664</v>
      </c>
    </row>
    <row r="4196" spans="1:6" x14ac:dyDescent="0.25">
      <c r="A4196" s="1">
        <v>39845</v>
      </c>
      <c r="B4196" t="s">
        <v>24</v>
      </c>
      <c r="C4196" t="s">
        <v>7</v>
      </c>
      <c r="D4196">
        <v>48</v>
      </c>
      <c r="E4196" s="2">
        <v>3.2835648148148149E-2</v>
      </c>
      <c r="F4196">
        <v>47.283333333333331</v>
      </c>
    </row>
    <row r="4197" spans="1:6" x14ac:dyDescent="0.25">
      <c r="A4197" s="1">
        <v>39845</v>
      </c>
      <c r="B4197" t="s">
        <v>24</v>
      </c>
      <c r="C4197" t="s">
        <v>8</v>
      </c>
      <c r="D4197">
        <v>32</v>
      </c>
      <c r="E4197" s="2">
        <v>3.1932870370370368E-2</v>
      </c>
      <c r="F4197">
        <v>45.983333333333334</v>
      </c>
    </row>
    <row r="4198" spans="1:6" x14ac:dyDescent="0.25">
      <c r="A4198" s="1">
        <v>39845</v>
      </c>
      <c r="B4198" t="s">
        <v>24</v>
      </c>
      <c r="C4198" t="s">
        <v>9</v>
      </c>
      <c r="D4198">
        <v>16</v>
      </c>
      <c r="E4198" s="2">
        <v>6.2847222222222219E-3</v>
      </c>
      <c r="F4198">
        <v>9.0500000000000007</v>
      </c>
    </row>
    <row r="4199" spans="1:6" x14ac:dyDescent="0.25">
      <c r="A4199" s="1">
        <v>39845</v>
      </c>
      <c r="B4199" t="s">
        <v>24</v>
      </c>
      <c r="C4199" t="s">
        <v>10</v>
      </c>
      <c r="D4199">
        <v>0</v>
      </c>
      <c r="E4199" s="2">
        <v>0</v>
      </c>
      <c r="F4199">
        <v>0</v>
      </c>
    </row>
    <row r="4200" spans="1:6" x14ac:dyDescent="0.25">
      <c r="A4200" s="1">
        <v>39845</v>
      </c>
      <c r="B4200" t="s">
        <v>24</v>
      </c>
      <c r="C4200" t="s">
        <v>11</v>
      </c>
      <c r="D4200">
        <v>28</v>
      </c>
      <c r="E4200" s="2">
        <v>1.5358796296296296E-2</v>
      </c>
      <c r="F4200">
        <v>22.116666666666667</v>
      </c>
    </row>
    <row r="4201" spans="1:6" x14ac:dyDescent="0.25">
      <c r="A4201" s="1">
        <v>39873</v>
      </c>
      <c r="B4201" t="s">
        <v>5</v>
      </c>
      <c r="C4201" t="s">
        <v>6</v>
      </c>
      <c r="D4201">
        <v>23</v>
      </c>
      <c r="E4201" s="2">
        <v>2.0555555555555556E-2</v>
      </c>
      <c r="F4201">
        <v>29.6</v>
      </c>
    </row>
    <row r="4202" spans="1:6" x14ac:dyDescent="0.25">
      <c r="A4202" s="1">
        <v>39873</v>
      </c>
      <c r="B4202" t="s">
        <v>5</v>
      </c>
      <c r="C4202" t="s">
        <v>7</v>
      </c>
      <c r="D4202">
        <v>17</v>
      </c>
      <c r="E4202" s="2">
        <v>1.3009259259259259E-2</v>
      </c>
      <c r="F4202">
        <v>18.733333333333334</v>
      </c>
    </row>
    <row r="4203" spans="1:6" x14ac:dyDescent="0.25">
      <c r="A4203" s="1">
        <v>39873</v>
      </c>
      <c r="B4203" t="s">
        <v>5</v>
      </c>
      <c r="C4203" t="s">
        <v>8</v>
      </c>
      <c r="D4203">
        <v>12</v>
      </c>
      <c r="E4203" s="2">
        <v>1.0127314814814815E-2</v>
      </c>
      <c r="F4203">
        <v>14.583333333333334</v>
      </c>
    </row>
    <row r="4204" spans="1:6" x14ac:dyDescent="0.25">
      <c r="A4204" s="1">
        <v>39873</v>
      </c>
      <c r="B4204" t="s">
        <v>5</v>
      </c>
      <c r="C4204" t="s">
        <v>9</v>
      </c>
      <c r="D4204">
        <v>12</v>
      </c>
      <c r="E4204" s="2">
        <v>5.3356481481481484E-3</v>
      </c>
      <c r="F4204">
        <v>7.6833333333333336</v>
      </c>
    </row>
    <row r="4205" spans="1:6" x14ac:dyDescent="0.25">
      <c r="A4205" s="1">
        <v>39873</v>
      </c>
      <c r="B4205" t="s">
        <v>5</v>
      </c>
      <c r="C4205" t="s">
        <v>10</v>
      </c>
      <c r="D4205">
        <v>1</v>
      </c>
      <c r="E4205" s="2">
        <v>2.4305555555555555E-4</v>
      </c>
      <c r="F4205">
        <v>0.35</v>
      </c>
    </row>
    <row r="4206" spans="1:6" x14ac:dyDescent="0.25">
      <c r="A4206" s="1">
        <v>39873</v>
      </c>
      <c r="B4206" t="s">
        <v>5</v>
      </c>
      <c r="C4206" t="s">
        <v>11</v>
      </c>
      <c r="D4206">
        <v>19</v>
      </c>
      <c r="E4206" s="2">
        <v>1.4710648148148148E-2</v>
      </c>
      <c r="F4206">
        <v>21.183333333333334</v>
      </c>
    </row>
    <row r="4207" spans="1:6" x14ac:dyDescent="0.25">
      <c r="A4207" s="1">
        <v>39873</v>
      </c>
      <c r="B4207" t="s">
        <v>12</v>
      </c>
      <c r="C4207" t="s">
        <v>6</v>
      </c>
      <c r="D4207">
        <v>67</v>
      </c>
      <c r="E4207" s="2">
        <v>7.9143518518518516E-2</v>
      </c>
      <c r="F4207">
        <v>113.96666666666667</v>
      </c>
    </row>
    <row r="4208" spans="1:6" x14ac:dyDescent="0.25">
      <c r="A4208" s="1">
        <v>39873</v>
      </c>
      <c r="B4208" t="s">
        <v>12</v>
      </c>
      <c r="C4208" t="s">
        <v>7</v>
      </c>
      <c r="D4208">
        <v>65</v>
      </c>
      <c r="E4208" s="2">
        <v>7.739583333333333E-2</v>
      </c>
      <c r="F4208">
        <v>111.45</v>
      </c>
    </row>
    <row r="4209" spans="1:6" x14ac:dyDescent="0.25">
      <c r="A4209" s="1">
        <v>39873</v>
      </c>
      <c r="B4209" t="s">
        <v>12</v>
      </c>
      <c r="C4209" t="s">
        <v>8</v>
      </c>
      <c r="D4209">
        <v>50</v>
      </c>
      <c r="E4209" s="2">
        <v>7.0694444444444449E-2</v>
      </c>
      <c r="F4209">
        <v>101.8</v>
      </c>
    </row>
    <row r="4210" spans="1:6" x14ac:dyDescent="0.25">
      <c r="A4210" s="1">
        <v>39873</v>
      </c>
      <c r="B4210" t="s">
        <v>12</v>
      </c>
      <c r="C4210" t="s">
        <v>9</v>
      </c>
      <c r="D4210">
        <v>29</v>
      </c>
      <c r="E4210" s="2">
        <v>2.3495370370370371E-2</v>
      </c>
      <c r="F4210">
        <v>33.833333333333336</v>
      </c>
    </row>
    <row r="4211" spans="1:6" x14ac:dyDescent="0.25">
      <c r="A4211" s="1">
        <v>39873</v>
      </c>
      <c r="B4211" t="s">
        <v>12</v>
      </c>
      <c r="C4211" t="s">
        <v>10</v>
      </c>
      <c r="D4211">
        <v>5</v>
      </c>
      <c r="E4211" s="2">
        <v>5.1273148148148146E-3</v>
      </c>
      <c r="F4211">
        <v>7.3833333333333337</v>
      </c>
    </row>
    <row r="4212" spans="1:6" x14ac:dyDescent="0.25">
      <c r="A4212" s="1">
        <v>39873</v>
      </c>
      <c r="B4212" t="s">
        <v>12</v>
      </c>
      <c r="C4212" t="s">
        <v>11</v>
      </c>
      <c r="D4212">
        <v>33</v>
      </c>
      <c r="E4212" s="2">
        <v>3.3055555555555553E-2</v>
      </c>
      <c r="F4212">
        <v>47.6</v>
      </c>
    </row>
    <row r="4213" spans="1:6" x14ac:dyDescent="0.25">
      <c r="A4213" s="1">
        <v>39873</v>
      </c>
      <c r="B4213" t="s">
        <v>13</v>
      </c>
      <c r="C4213" t="s">
        <v>6</v>
      </c>
      <c r="D4213">
        <v>101</v>
      </c>
      <c r="E4213" s="2">
        <v>0.10472222222222222</v>
      </c>
      <c r="F4213">
        <v>150.80000000000001</v>
      </c>
    </row>
    <row r="4214" spans="1:6" x14ac:dyDescent="0.25">
      <c r="A4214" s="1">
        <v>39873</v>
      </c>
      <c r="B4214" t="s">
        <v>13</v>
      </c>
      <c r="C4214" t="s">
        <v>7</v>
      </c>
      <c r="D4214">
        <v>116</v>
      </c>
      <c r="E4214" s="2">
        <v>0.1053587962962963</v>
      </c>
      <c r="F4214">
        <v>151.71666666666667</v>
      </c>
    </row>
    <row r="4215" spans="1:6" x14ac:dyDescent="0.25">
      <c r="A4215" s="1">
        <v>39873</v>
      </c>
      <c r="B4215" t="s">
        <v>13</v>
      </c>
      <c r="C4215" t="s">
        <v>8</v>
      </c>
      <c r="D4215">
        <v>93</v>
      </c>
      <c r="E4215" s="2">
        <v>0.11383101851851851</v>
      </c>
      <c r="F4215">
        <v>163.91666666666666</v>
      </c>
    </row>
    <row r="4216" spans="1:6" x14ac:dyDescent="0.25">
      <c r="A4216" s="1">
        <v>39873</v>
      </c>
      <c r="B4216" t="s">
        <v>13</v>
      </c>
      <c r="C4216" t="s">
        <v>9</v>
      </c>
      <c r="D4216">
        <v>76</v>
      </c>
      <c r="E4216" s="2">
        <v>4.8680555555555553E-2</v>
      </c>
      <c r="F4216">
        <v>70.099999999999994</v>
      </c>
    </row>
    <row r="4217" spans="1:6" x14ac:dyDescent="0.25">
      <c r="A4217" s="1">
        <v>39873</v>
      </c>
      <c r="B4217" t="s">
        <v>13</v>
      </c>
      <c r="C4217" t="s">
        <v>10</v>
      </c>
      <c r="D4217">
        <v>53</v>
      </c>
      <c r="E4217" s="2">
        <v>6.0578703703703704E-2</v>
      </c>
      <c r="F4217">
        <v>87.233333333333334</v>
      </c>
    </row>
    <row r="4218" spans="1:6" x14ac:dyDescent="0.25">
      <c r="A4218" s="1">
        <v>39873</v>
      </c>
      <c r="B4218" t="s">
        <v>13</v>
      </c>
      <c r="C4218" t="s">
        <v>11</v>
      </c>
      <c r="D4218">
        <v>40</v>
      </c>
      <c r="E4218" s="2">
        <v>3.528935185185185E-2</v>
      </c>
      <c r="F4218">
        <v>50.81666666666667</v>
      </c>
    </row>
    <row r="4219" spans="1:6" x14ac:dyDescent="0.25">
      <c r="A4219" s="1">
        <v>39873</v>
      </c>
      <c r="B4219" t="s">
        <v>14</v>
      </c>
      <c r="C4219" t="s">
        <v>6</v>
      </c>
      <c r="D4219">
        <v>27</v>
      </c>
      <c r="E4219" s="2">
        <v>2.5810185185185186E-2</v>
      </c>
      <c r="F4219">
        <v>37.166666666666664</v>
      </c>
    </row>
    <row r="4220" spans="1:6" x14ac:dyDescent="0.25">
      <c r="A4220" s="1">
        <v>39873</v>
      </c>
      <c r="B4220" t="s">
        <v>14</v>
      </c>
      <c r="C4220" t="s">
        <v>7</v>
      </c>
      <c r="D4220">
        <v>15</v>
      </c>
      <c r="E4220" s="2">
        <v>1.6006944444444445E-2</v>
      </c>
      <c r="F4220">
        <v>23.05</v>
      </c>
    </row>
    <row r="4221" spans="1:6" x14ac:dyDescent="0.25">
      <c r="A4221" s="1">
        <v>39873</v>
      </c>
      <c r="B4221" t="s">
        <v>14</v>
      </c>
      <c r="C4221" t="s">
        <v>8</v>
      </c>
      <c r="D4221">
        <v>15</v>
      </c>
      <c r="E4221" s="2">
        <v>1.7685185185185186E-2</v>
      </c>
      <c r="F4221">
        <v>25.466666666666665</v>
      </c>
    </row>
    <row r="4222" spans="1:6" x14ac:dyDescent="0.25">
      <c r="A4222" s="1">
        <v>39873</v>
      </c>
      <c r="B4222" t="s">
        <v>14</v>
      </c>
      <c r="C4222" t="s">
        <v>9</v>
      </c>
      <c r="D4222">
        <v>7</v>
      </c>
      <c r="E4222" s="2">
        <v>3.9351851851851848E-3</v>
      </c>
      <c r="F4222">
        <v>5.666666666666667</v>
      </c>
    </row>
    <row r="4223" spans="1:6" x14ac:dyDescent="0.25">
      <c r="A4223" s="1">
        <v>39873</v>
      </c>
      <c r="B4223" t="s">
        <v>14</v>
      </c>
      <c r="C4223" t="s">
        <v>10</v>
      </c>
      <c r="D4223">
        <v>8</v>
      </c>
      <c r="E4223" s="2">
        <v>1.2164351851851852E-2</v>
      </c>
      <c r="F4223">
        <v>17.516666666666666</v>
      </c>
    </row>
    <row r="4224" spans="1:6" x14ac:dyDescent="0.25">
      <c r="A4224" s="1">
        <v>39873</v>
      </c>
      <c r="B4224" t="s">
        <v>14</v>
      </c>
      <c r="C4224" t="s">
        <v>11</v>
      </c>
      <c r="D4224">
        <v>10</v>
      </c>
      <c r="E4224" s="2">
        <v>7.9166666666666673E-3</v>
      </c>
      <c r="F4224">
        <v>11.4</v>
      </c>
    </row>
    <row r="4225" spans="1:6" x14ac:dyDescent="0.25">
      <c r="A4225" s="1">
        <v>39873</v>
      </c>
      <c r="B4225" t="s">
        <v>15</v>
      </c>
      <c r="C4225" t="s">
        <v>6</v>
      </c>
      <c r="D4225">
        <v>40</v>
      </c>
      <c r="E4225" s="2">
        <v>4.1157407407407406E-2</v>
      </c>
      <c r="F4225">
        <v>59.266666666666666</v>
      </c>
    </row>
    <row r="4226" spans="1:6" x14ac:dyDescent="0.25">
      <c r="A4226" s="1">
        <v>39873</v>
      </c>
      <c r="B4226" t="s">
        <v>15</v>
      </c>
      <c r="C4226" t="s">
        <v>7</v>
      </c>
      <c r="D4226">
        <v>19</v>
      </c>
      <c r="E4226" s="2">
        <v>1.9837962962962963E-2</v>
      </c>
      <c r="F4226">
        <v>28.566666666666666</v>
      </c>
    </row>
    <row r="4227" spans="1:6" x14ac:dyDescent="0.25">
      <c r="A4227" s="1">
        <v>39873</v>
      </c>
      <c r="B4227" t="s">
        <v>15</v>
      </c>
      <c r="C4227" t="s">
        <v>8</v>
      </c>
      <c r="D4227">
        <v>12</v>
      </c>
      <c r="E4227" s="2">
        <v>1.2916666666666667E-2</v>
      </c>
      <c r="F4227">
        <v>18.600000000000001</v>
      </c>
    </row>
    <row r="4228" spans="1:6" x14ac:dyDescent="0.25">
      <c r="A4228" s="1">
        <v>39873</v>
      </c>
      <c r="B4228" t="s">
        <v>15</v>
      </c>
      <c r="C4228" t="s">
        <v>9</v>
      </c>
      <c r="D4228">
        <v>6</v>
      </c>
      <c r="E4228" s="2">
        <v>3.5300925925925925E-3</v>
      </c>
      <c r="F4228">
        <v>5.083333333333333</v>
      </c>
    </row>
    <row r="4229" spans="1:6" x14ac:dyDescent="0.25">
      <c r="A4229" s="1">
        <v>39873</v>
      </c>
      <c r="B4229" t="s">
        <v>15</v>
      </c>
      <c r="C4229" t="s">
        <v>10</v>
      </c>
      <c r="D4229">
        <v>10</v>
      </c>
      <c r="E4229" s="2">
        <v>1.556712962962963E-2</v>
      </c>
      <c r="F4229">
        <v>22.416666666666668</v>
      </c>
    </row>
    <row r="4230" spans="1:6" x14ac:dyDescent="0.25">
      <c r="A4230" s="1">
        <v>39873</v>
      </c>
      <c r="B4230" t="s">
        <v>15</v>
      </c>
      <c r="C4230" t="s">
        <v>11</v>
      </c>
      <c r="D4230">
        <v>9</v>
      </c>
      <c r="E4230" s="2">
        <v>6.030092592592593E-3</v>
      </c>
      <c r="F4230">
        <v>8.6833333333333336</v>
      </c>
    </row>
    <row r="4231" spans="1:6" x14ac:dyDescent="0.25">
      <c r="A4231" s="1">
        <v>39873</v>
      </c>
      <c r="B4231" t="s">
        <v>16</v>
      </c>
      <c r="C4231" t="s">
        <v>6</v>
      </c>
      <c r="D4231">
        <v>37</v>
      </c>
      <c r="E4231" s="2">
        <v>3.7488425925925925E-2</v>
      </c>
      <c r="F4231">
        <v>53.983333333333334</v>
      </c>
    </row>
    <row r="4232" spans="1:6" x14ac:dyDescent="0.25">
      <c r="A4232" s="1">
        <v>39873</v>
      </c>
      <c r="B4232" t="s">
        <v>16</v>
      </c>
      <c r="C4232" t="s">
        <v>7</v>
      </c>
      <c r="D4232">
        <v>33</v>
      </c>
      <c r="E4232" s="2">
        <v>3.0185185185185186E-2</v>
      </c>
      <c r="F4232">
        <v>43.466666666666669</v>
      </c>
    </row>
    <row r="4233" spans="1:6" x14ac:dyDescent="0.25">
      <c r="A4233" s="1">
        <v>39873</v>
      </c>
      <c r="B4233" t="s">
        <v>16</v>
      </c>
      <c r="C4233" t="s">
        <v>8</v>
      </c>
      <c r="D4233">
        <v>27</v>
      </c>
      <c r="E4233" s="2">
        <v>2.6365740740740742E-2</v>
      </c>
      <c r="F4233">
        <v>37.966666666666669</v>
      </c>
    </row>
    <row r="4234" spans="1:6" x14ac:dyDescent="0.25">
      <c r="A4234" s="1">
        <v>39873</v>
      </c>
      <c r="B4234" t="s">
        <v>16</v>
      </c>
      <c r="C4234" t="s">
        <v>9</v>
      </c>
      <c r="D4234">
        <v>23</v>
      </c>
      <c r="E4234" s="2">
        <v>1.4768518518518519E-2</v>
      </c>
      <c r="F4234">
        <v>21.266666666666666</v>
      </c>
    </row>
    <row r="4235" spans="1:6" x14ac:dyDescent="0.25">
      <c r="A4235" s="1">
        <v>39873</v>
      </c>
      <c r="B4235" t="s">
        <v>16</v>
      </c>
      <c r="C4235" t="s">
        <v>10</v>
      </c>
      <c r="D4235">
        <v>11</v>
      </c>
      <c r="E4235" s="2">
        <v>6.851851851851852E-3</v>
      </c>
      <c r="F4235">
        <v>9.8666666666666671</v>
      </c>
    </row>
    <row r="4236" spans="1:6" x14ac:dyDescent="0.25">
      <c r="A4236" s="1">
        <v>39873</v>
      </c>
      <c r="B4236" t="s">
        <v>16</v>
      </c>
      <c r="C4236" t="s">
        <v>11</v>
      </c>
      <c r="D4236">
        <v>27</v>
      </c>
      <c r="E4236" s="2">
        <v>2.1226851851851851E-2</v>
      </c>
      <c r="F4236">
        <v>30.566666666666666</v>
      </c>
    </row>
    <row r="4237" spans="1:6" x14ac:dyDescent="0.25">
      <c r="A4237" s="1">
        <v>39873</v>
      </c>
      <c r="B4237" t="s">
        <v>17</v>
      </c>
      <c r="C4237" t="s">
        <v>6</v>
      </c>
      <c r="D4237">
        <v>9</v>
      </c>
      <c r="E4237" s="2">
        <v>1.207175925925926E-2</v>
      </c>
      <c r="F4237">
        <v>17.383333333333333</v>
      </c>
    </row>
    <row r="4238" spans="1:6" x14ac:dyDescent="0.25">
      <c r="A4238" s="1">
        <v>39873</v>
      </c>
      <c r="B4238" t="s">
        <v>17</v>
      </c>
      <c r="C4238" t="s">
        <v>7</v>
      </c>
      <c r="D4238">
        <v>14</v>
      </c>
      <c r="E4238" s="2">
        <v>1.5381944444444445E-2</v>
      </c>
      <c r="F4238">
        <v>22.15</v>
      </c>
    </row>
    <row r="4239" spans="1:6" x14ac:dyDescent="0.25">
      <c r="A4239" s="1">
        <v>39873</v>
      </c>
      <c r="B4239" t="s">
        <v>17</v>
      </c>
      <c r="C4239" t="s">
        <v>8</v>
      </c>
      <c r="D4239">
        <v>7</v>
      </c>
      <c r="E4239" s="2">
        <v>9.0740740740740747E-3</v>
      </c>
      <c r="F4239">
        <v>13.066666666666666</v>
      </c>
    </row>
    <row r="4240" spans="1:6" x14ac:dyDescent="0.25">
      <c r="A4240" s="1">
        <v>39873</v>
      </c>
      <c r="B4240" t="s">
        <v>17</v>
      </c>
      <c r="C4240" t="s">
        <v>9</v>
      </c>
      <c r="D4240">
        <v>4</v>
      </c>
      <c r="E4240" s="2">
        <v>3.0671296296296297E-3</v>
      </c>
      <c r="F4240">
        <v>4.416666666666667</v>
      </c>
    </row>
    <row r="4241" spans="1:6" x14ac:dyDescent="0.25">
      <c r="A4241" s="1">
        <v>39873</v>
      </c>
      <c r="B4241" t="s">
        <v>17</v>
      </c>
      <c r="C4241" t="s">
        <v>10</v>
      </c>
      <c r="D4241">
        <v>6</v>
      </c>
      <c r="E4241" s="2">
        <v>3.414351851851852E-3</v>
      </c>
      <c r="F4241">
        <v>4.916666666666667</v>
      </c>
    </row>
    <row r="4242" spans="1:6" x14ac:dyDescent="0.25">
      <c r="A4242" s="1">
        <v>39873</v>
      </c>
      <c r="B4242" t="s">
        <v>17</v>
      </c>
      <c r="C4242" t="s">
        <v>11</v>
      </c>
      <c r="D4242">
        <v>5</v>
      </c>
      <c r="E4242" s="2">
        <v>6.851851851851852E-3</v>
      </c>
      <c r="F4242">
        <v>9.8666666666666671</v>
      </c>
    </row>
    <row r="4243" spans="1:6" x14ac:dyDescent="0.25">
      <c r="A4243" s="1">
        <v>39873</v>
      </c>
      <c r="B4243" t="s">
        <v>18</v>
      </c>
      <c r="C4243" t="s">
        <v>6</v>
      </c>
      <c r="D4243">
        <v>66</v>
      </c>
      <c r="E4243" s="2">
        <v>5.5405092592592596E-2</v>
      </c>
      <c r="F4243">
        <v>79.783333333333331</v>
      </c>
    </row>
    <row r="4244" spans="1:6" x14ac:dyDescent="0.25">
      <c r="A4244" s="1">
        <v>39873</v>
      </c>
      <c r="B4244" t="s">
        <v>18</v>
      </c>
      <c r="C4244" t="s">
        <v>7</v>
      </c>
      <c r="D4244">
        <v>89</v>
      </c>
      <c r="E4244" s="2">
        <v>8.233796296296296E-2</v>
      </c>
      <c r="F4244">
        <v>118.56666666666666</v>
      </c>
    </row>
    <row r="4245" spans="1:6" x14ac:dyDescent="0.25">
      <c r="A4245" s="1">
        <v>39873</v>
      </c>
      <c r="B4245" t="s">
        <v>18</v>
      </c>
      <c r="C4245" t="s">
        <v>8</v>
      </c>
      <c r="D4245">
        <v>51</v>
      </c>
      <c r="E4245" s="2">
        <v>5.9363425925925924E-2</v>
      </c>
      <c r="F4245">
        <v>85.483333333333334</v>
      </c>
    </row>
    <row r="4246" spans="1:6" x14ac:dyDescent="0.25">
      <c r="A4246" s="1">
        <v>39873</v>
      </c>
      <c r="B4246" t="s">
        <v>18</v>
      </c>
      <c r="C4246" t="s">
        <v>9</v>
      </c>
      <c r="D4246">
        <v>81</v>
      </c>
      <c r="E4246" s="2">
        <v>4.4884259259259263E-2</v>
      </c>
      <c r="F4246">
        <v>64.63333333333334</v>
      </c>
    </row>
    <row r="4247" spans="1:6" x14ac:dyDescent="0.25">
      <c r="A4247" s="1">
        <v>39873</v>
      </c>
      <c r="B4247" t="s">
        <v>18</v>
      </c>
      <c r="C4247" t="s">
        <v>10</v>
      </c>
      <c r="D4247">
        <v>153</v>
      </c>
      <c r="E4247" s="2">
        <v>0.13491898148148149</v>
      </c>
      <c r="F4247">
        <v>194.28333333333333</v>
      </c>
    </row>
    <row r="4248" spans="1:6" x14ac:dyDescent="0.25">
      <c r="A4248" s="1">
        <v>39873</v>
      </c>
      <c r="B4248" t="s">
        <v>18</v>
      </c>
      <c r="C4248" t="s">
        <v>11</v>
      </c>
      <c r="D4248">
        <v>25</v>
      </c>
      <c r="E4248" s="2">
        <v>1.4328703703703703E-2</v>
      </c>
      <c r="F4248">
        <v>20.633333333333333</v>
      </c>
    </row>
    <row r="4249" spans="1:6" x14ac:dyDescent="0.25">
      <c r="A4249" s="1">
        <v>39873</v>
      </c>
      <c r="B4249" t="s">
        <v>19</v>
      </c>
      <c r="C4249" t="s">
        <v>6</v>
      </c>
      <c r="D4249">
        <v>41</v>
      </c>
      <c r="E4249" s="2">
        <v>4.3784722222222225E-2</v>
      </c>
      <c r="F4249">
        <v>63.05</v>
      </c>
    </row>
    <row r="4250" spans="1:6" x14ac:dyDescent="0.25">
      <c r="A4250" s="1">
        <v>39873</v>
      </c>
      <c r="B4250" t="s">
        <v>19</v>
      </c>
      <c r="C4250" t="s">
        <v>7</v>
      </c>
      <c r="D4250">
        <v>57</v>
      </c>
      <c r="E4250" s="2">
        <v>5.0567129629629629E-2</v>
      </c>
      <c r="F4250">
        <v>72.816666666666663</v>
      </c>
    </row>
    <row r="4251" spans="1:6" x14ac:dyDescent="0.25">
      <c r="A4251" s="1">
        <v>39873</v>
      </c>
      <c r="B4251" t="s">
        <v>19</v>
      </c>
      <c r="C4251" t="s">
        <v>8</v>
      </c>
      <c r="D4251">
        <v>45</v>
      </c>
      <c r="E4251" s="2">
        <v>4.7002314814814816E-2</v>
      </c>
      <c r="F4251">
        <v>67.683333333333337</v>
      </c>
    </row>
    <row r="4252" spans="1:6" x14ac:dyDescent="0.25">
      <c r="A4252" s="1">
        <v>39873</v>
      </c>
      <c r="B4252" t="s">
        <v>19</v>
      </c>
      <c r="C4252" t="s">
        <v>9</v>
      </c>
      <c r="D4252">
        <v>56</v>
      </c>
      <c r="E4252" s="2">
        <v>3.5729166666666666E-2</v>
      </c>
      <c r="F4252">
        <v>51.45</v>
      </c>
    </row>
    <row r="4253" spans="1:6" x14ac:dyDescent="0.25">
      <c r="A4253" s="1">
        <v>39873</v>
      </c>
      <c r="B4253" t="s">
        <v>19</v>
      </c>
      <c r="C4253" t="s">
        <v>10</v>
      </c>
      <c r="D4253">
        <v>36</v>
      </c>
      <c r="E4253" s="2">
        <v>2.5416666666666667E-2</v>
      </c>
      <c r="F4253">
        <v>36.6</v>
      </c>
    </row>
    <row r="4254" spans="1:6" x14ac:dyDescent="0.25">
      <c r="A4254" s="1">
        <v>39873</v>
      </c>
      <c r="B4254" t="s">
        <v>19</v>
      </c>
      <c r="C4254" t="s">
        <v>11</v>
      </c>
      <c r="D4254">
        <v>30</v>
      </c>
      <c r="E4254" s="2">
        <v>2.6979166666666665E-2</v>
      </c>
      <c r="F4254">
        <v>38.85</v>
      </c>
    </row>
    <row r="4255" spans="1:6" x14ac:dyDescent="0.25">
      <c r="A4255" s="1">
        <v>39873</v>
      </c>
      <c r="B4255" t="s">
        <v>20</v>
      </c>
      <c r="C4255" t="s">
        <v>6</v>
      </c>
      <c r="D4255">
        <v>25</v>
      </c>
      <c r="E4255" s="2">
        <v>2.4282407407407409E-2</v>
      </c>
      <c r="F4255">
        <v>34.966666666666669</v>
      </c>
    </row>
    <row r="4256" spans="1:6" x14ac:dyDescent="0.25">
      <c r="A4256" s="1">
        <v>39873</v>
      </c>
      <c r="B4256" t="s">
        <v>20</v>
      </c>
      <c r="C4256" t="s">
        <v>7</v>
      </c>
      <c r="D4256">
        <v>33</v>
      </c>
      <c r="E4256" s="2">
        <v>3.5648148148148151E-2</v>
      </c>
      <c r="F4256">
        <v>51.333333333333336</v>
      </c>
    </row>
    <row r="4257" spans="1:6" x14ac:dyDescent="0.25">
      <c r="A4257" s="1">
        <v>39873</v>
      </c>
      <c r="B4257" t="s">
        <v>20</v>
      </c>
      <c r="C4257" t="s">
        <v>8</v>
      </c>
      <c r="D4257">
        <v>23</v>
      </c>
      <c r="E4257" s="2">
        <v>2.8622685185185185E-2</v>
      </c>
      <c r="F4257">
        <v>41.216666666666669</v>
      </c>
    </row>
    <row r="4258" spans="1:6" x14ac:dyDescent="0.25">
      <c r="A4258" s="1">
        <v>39873</v>
      </c>
      <c r="B4258" t="s">
        <v>20</v>
      </c>
      <c r="C4258" t="s">
        <v>9</v>
      </c>
      <c r="D4258">
        <v>10</v>
      </c>
      <c r="E4258" s="2">
        <v>5.6944444444444447E-3</v>
      </c>
      <c r="F4258">
        <v>8.1999999999999993</v>
      </c>
    </row>
    <row r="4259" spans="1:6" x14ac:dyDescent="0.25">
      <c r="A4259" s="1">
        <v>39873</v>
      </c>
      <c r="B4259" t="s">
        <v>20</v>
      </c>
      <c r="C4259" t="s">
        <v>10</v>
      </c>
      <c r="D4259">
        <v>6</v>
      </c>
      <c r="E4259" s="2">
        <v>4.0625000000000001E-3</v>
      </c>
      <c r="F4259">
        <v>5.85</v>
      </c>
    </row>
    <row r="4260" spans="1:6" x14ac:dyDescent="0.25">
      <c r="A4260" s="1">
        <v>39873</v>
      </c>
      <c r="B4260" t="s">
        <v>20</v>
      </c>
      <c r="C4260" t="s">
        <v>11</v>
      </c>
      <c r="D4260">
        <v>13</v>
      </c>
      <c r="E4260" s="2">
        <v>1.238425925925926E-2</v>
      </c>
      <c r="F4260">
        <v>17.833333333333332</v>
      </c>
    </row>
    <row r="4261" spans="1:6" x14ac:dyDescent="0.25">
      <c r="A4261" s="1">
        <v>39873</v>
      </c>
      <c r="B4261" t="s">
        <v>21</v>
      </c>
      <c r="C4261" t="s">
        <v>6</v>
      </c>
      <c r="D4261">
        <v>34</v>
      </c>
      <c r="E4261" s="2">
        <v>4.4594907407407409E-2</v>
      </c>
      <c r="F4261">
        <v>64.216666666666669</v>
      </c>
    </row>
    <row r="4262" spans="1:6" x14ac:dyDescent="0.25">
      <c r="A4262" s="1">
        <v>39873</v>
      </c>
      <c r="B4262" t="s">
        <v>21</v>
      </c>
      <c r="C4262" t="s">
        <v>7</v>
      </c>
      <c r="D4262">
        <v>38</v>
      </c>
      <c r="E4262" s="2">
        <v>4.8993055555555554E-2</v>
      </c>
      <c r="F4262">
        <v>70.55</v>
      </c>
    </row>
    <row r="4263" spans="1:6" x14ac:dyDescent="0.25">
      <c r="A4263" s="1">
        <v>39873</v>
      </c>
      <c r="B4263" t="s">
        <v>21</v>
      </c>
      <c r="C4263" t="s">
        <v>8</v>
      </c>
      <c r="D4263">
        <v>14</v>
      </c>
      <c r="E4263" s="2">
        <v>2.3206018518518518E-2</v>
      </c>
      <c r="F4263">
        <v>33.416666666666664</v>
      </c>
    </row>
    <row r="4264" spans="1:6" x14ac:dyDescent="0.25">
      <c r="A4264" s="1">
        <v>39873</v>
      </c>
      <c r="B4264" t="s">
        <v>21</v>
      </c>
      <c r="C4264" t="s">
        <v>9</v>
      </c>
      <c r="D4264">
        <v>8</v>
      </c>
      <c r="E4264" s="2">
        <v>5.5671296296296293E-3</v>
      </c>
      <c r="F4264">
        <v>8.0166666666666675</v>
      </c>
    </row>
    <row r="4265" spans="1:6" x14ac:dyDescent="0.25">
      <c r="A4265" s="1">
        <v>39873</v>
      </c>
      <c r="B4265" t="s">
        <v>21</v>
      </c>
      <c r="C4265" t="s">
        <v>10</v>
      </c>
      <c r="D4265">
        <v>4</v>
      </c>
      <c r="E4265" s="2">
        <v>5.0347222222222225E-3</v>
      </c>
      <c r="F4265">
        <v>7.25</v>
      </c>
    </row>
    <row r="4266" spans="1:6" x14ac:dyDescent="0.25">
      <c r="A4266" s="1">
        <v>39873</v>
      </c>
      <c r="B4266" t="s">
        <v>21</v>
      </c>
      <c r="C4266" t="s">
        <v>11</v>
      </c>
      <c r="D4266">
        <v>16</v>
      </c>
      <c r="E4266" s="2">
        <v>1.5543981481481482E-2</v>
      </c>
      <c r="F4266">
        <v>22.383333333333333</v>
      </c>
    </row>
    <row r="4267" spans="1:6" x14ac:dyDescent="0.25">
      <c r="A4267" s="1">
        <v>39873</v>
      </c>
      <c r="B4267" t="s">
        <v>22</v>
      </c>
      <c r="C4267" t="s">
        <v>6</v>
      </c>
      <c r="D4267">
        <v>22</v>
      </c>
      <c r="E4267" s="2">
        <v>2.0277777777777777E-2</v>
      </c>
      <c r="F4267">
        <v>29.2</v>
      </c>
    </row>
    <row r="4268" spans="1:6" x14ac:dyDescent="0.25">
      <c r="A4268" s="1">
        <v>39873</v>
      </c>
      <c r="B4268" t="s">
        <v>22</v>
      </c>
      <c r="C4268" t="s">
        <v>7</v>
      </c>
      <c r="D4268">
        <v>14</v>
      </c>
      <c r="E4268" s="2">
        <v>1.3391203703703704E-2</v>
      </c>
      <c r="F4268">
        <v>19.283333333333335</v>
      </c>
    </row>
    <row r="4269" spans="1:6" x14ac:dyDescent="0.25">
      <c r="A4269" s="1">
        <v>39873</v>
      </c>
      <c r="B4269" t="s">
        <v>22</v>
      </c>
      <c r="C4269" t="s">
        <v>8</v>
      </c>
      <c r="D4269">
        <v>10</v>
      </c>
      <c r="E4269" s="2">
        <v>1.2766203703703703E-2</v>
      </c>
      <c r="F4269">
        <v>18.383333333333333</v>
      </c>
    </row>
    <row r="4270" spans="1:6" x14ac:dyDescent="0.25">
      <c r="A4270" s="1">
        <v>39873</v>
      </c>
      <c r="B4270" t="s">
        <v>22</v>
      </c>
      <c r="C4270" t="s">
        <v>9</v>
      </c>
      <c r="D4270">
        <v>11</v>
      </c>
      <c r="E4270" s="2">
        <v>5.5787037037037038E-3</v>
      </c>
      <c r="F4270">
        <v>8.0333333333333332</v>
      </c>
    </row>
    <row r="4271" spans="1:6" x14ac:dyDescent="0.25">
      <c r="A4271" s="1">
        <v>39873</v>
      </c>
      <c r="B4271" t="s">
        <v>22</v>
      </c>
      <c r="C4271" t="s">
        <v>10</v>
      </c>
      <c r="D4271">
        <v>8</v>
      </c>
      <c r="E4271" s="2">
        <v>6.0648148148148145E-3</v>
      </c>
      <c r="F4271">
        <v>8.7333333333333325</v>
      </c>
    </row>
    <row r="4272" spans="1:6" x14ac:dyDescent="0.25">
      <c r="A4272" s="1">
        <v>39873</v>
      </c>
      <c r="B4272" t="s">
        <v>22</v>
      </c>
      <c r="C4272" t="s">
        <v>11</v>
      </c>
      <c r="D4272">
        <v>10</v>
      </c>
      <c r="E4272" s="2">
        <v>6.6898148148148151E-3</v>
      </c>
      <c r="F4272">
        <v>9.6333333333333329</v>
      </c>
    </row>
    <row r="4273" spans="1:6" x14ac:dyDescent="0.25">
      <c r="A4273" s="1">
        <v>39873</v>
      </c>
      <c r="B4273" t="s">
        <v>23</v>
      </c>
      <c r="C4273" t="s">
        <v>6</v>
      </c>
      <c r="D4273">
        <v>174</v>
      </c>
      <c r="E4273" s="2">
        <v>0.19358796296296296</v>
      </c>
      <c r="F4273">
        <v>278.76666666666665</v>
      </c>
    </row>
    <row r="4274" spans="1:6" x14ac:dyDescent="0.25">
      <c r="A4274" s="1">
        <v>39873</v>
      </c>
      <c r="B4274" t="s">
        <v>23</v>
      </c>
      <c r="C4274" t="s">
        <v>7</v>
      </c>
      <c r="D4274">
        <v>146</v>
      </c>
      <c r="E4274" s="2">
        <v>0.15037037037037038</v>
      </c>
      <c r="F4274">
        <v>216.53333333333333</v>
      </c>
    </row>
    <row r="4275" spans="1:6" x14ac:dyDescent="0.25">
      <c r="A4275" s="1">
        <v>39873</v>
      </c>
      <c r="B4275" t="s">
        <v>23</v>
      </c>
      <c r="C4275" t="s">
        <v>8</v>
      </c>
      <c r="D4275">
        <v>113</v>
      </c>
      <c r="E4275" s="2">
        <v>0.13755787037037037</v>
      </c>
      <c r="F4275">
        <v>198.08333333333334</v>
      </c>
    </row>
    <row r="4276" spans="1:6" x14ac:dyDescent="0.25">
      <c r="A4276" s="1">
        <v>39873</v>
      </c>
      <c r="B4276" t="s">
        <v>23</v>
      </c>
      <c r="C4276" t="s">
        <v>9</v>
      </c>
      <c r="D4276">
        <v>86</v>
      </c>
      <c r="E4276" s="2">
        <v>5.4085648148148147E-2</v>
      </c>
      <c r="F4276">
        <v>77.88333333333334</v>
      </c>
    </row>
    <row r="4277" spans="1:6" x14ac:dyDescent="0.25">
      <c r="A4277" s="1">
        <v>39873</v>
      </c>
      <c r="B4277" t="s">
        <v>23</v>
      </c>
      <c r="C4277" t="s">
        <v>10</v>
      </c>
      <c r="D4277">
        <v>47</v>
      </c>
      <c r="E4277" s="2">
        <v>4.6064814814814815E-2</v>
      </c>
      <c r="F4277">
        <v>66.333333333333329</v>
      </c>
    </row>
    <row r="4278" spans="1:6" x14ac:dyDescent="0.25">
      <c r="A4278" s="1">
        <v>39873</v>
      </c>
      <c r="B4278" t="s">
        <v>23</v>
      </c>
      <c r="C4278" t="s">
        <v>11</v>
      </c>
      <c r="D4278">
        <v>93</v>
      </c>
      <c r="E4278" s="2">
        <v>7.6759259259259263E-2</v>
      </c>
      <c r="F4278">
        <v>110.53333333333333</v>
      </c>
    </row>
    <row r="4279" spans="1:6" x14ac:dyDescent="0.25">
      <c r="A4279" s="1">
        <v>39873</v>
      </c>
      <c r="B4279" t="s">
        <v>24</v>
      </c>
      <c r="C4279" t="s">
        <v>6</v>
      </c>
      <c r="D4279">
        <v>64</v>
      </c>
      <c r="E4279" s="2">
        <v>5.2233796296296299E-2</v>
      </c>
      <c r="F4279">
        <v>75.216666666666669</v>
      </c>
    </row>
    <row r="4280" spans="1:6" x14ac:dyDescent="0.25">
      <c r="A4280" s="1">
        <v>39873</v>
      </c>
      <c r="B4280" t="s">
        <v>24</v>
      </c>
      <c r="C4280" t="s">
        <v>7</v>
      </c>
      <c r="D4280">
        <v>56</v>
      </c>
      <c r="E4280" s="2">
        <v>3.0601851851851852E-2</v>
      </c>
      <c r="F4280">
        <v>44.06666666666667</v>
      </c>
    </row>
    <row r="4281" spans="1:6" x14ac:dyDescent="0.25">
      <c r="A4281" s="1">
        <v>39873</v>
      </c>
      <c r="B4281" t="s">
        <v>24</v>
      </c>
      <c r="C4281" t="s">
        <v>8</v>
      </c>
      <c r="D4281">
        <v>21</v>
      </c>
      <c r="E4281" s="2">
        <v>1.3495370370370371E-2</v>
      </c>
      <c r="F4281">
        <v>19.433333333333334</v>
      </c>
    </row>
    <row r="4282" spans="1:6" x14ac:dyDescent="0.25">
      <c r="A4282" s="1">
        <v>39873</v>
      </c>
      <c r="B4282" t="s">
        <v>24</v>
      </c>
      <c r="C4282" t="s">
        <v>9</v>
      </c>
      <c r="D4282">
        <v>9</v>
      </c>
      <c r="E4282" s="2">
        <v>4.1087962962962962E-3</v>
      </c>
      <c r="F4282">
        <v>5.916666666666667</v>
      </c>
    </row>
    <row r="4283" spans="1:6" x14ac:dyDescent="0.25">
      <c r="A4283" s="1">
        <v>39873</v>
      </c>
      <c r="B4283" t="s">
        <v>24</v>
      </c>
      <c r="C4283" t="s">
        <v>10</v>
      </c>
      <c r="D4283">
        <v>1</v>
      </c>
      <c r="E4283" s="2">
        <v>1.8171296296296297E-3</v>
      </c>
      <c r="F4283">
        <v>2.6166666666666667</v>
      </c>
    </row>
    <row r="4284" spans="1:6" x14ac:dyDescent="0.25">
      <c r="A4284" s="1">
        <v>39873</v>
      </c>
      <c r="B4284" t="s">
        <v>24</v>
      </c>
      <c r="C4284" t="s">
        <v>11</v>
      </c>
      <c r="D4284">
        <v>28</v>
      </c>
      <c r="E4284" s="2">
        <v>1.380787037037037E-2</v>
      </c>
      <c r="F4284">
        <v>19.883333333333333</v>
      </c>
    </row>
    <row r="4285" spans="1:6" x14ac:dyDescent="0.25">
      <c r="A4285" s="1">
        <v>39904</v>
      </c>
      <c r="B4285" t="s">
        <v>5</v>
      </c>
      <c r="C4285" t="s">
        <v>6</v>
      </c>
      <c r="D4285">
        <v>35</v>
      </c>
      <c r="E4285" s="2">
        <v>4.2025462962962966E-2</v>
      </c>
      <c r="F4285">
        <v>60.516666666666666</v>
      </c>
    </row>
    <row r="4286" spans="1:6" x14ac:dyDescent="0.25">
      <c r="A4286" s="1">
        <v>39904</v>
      </c>
      <c r="B4286" t="s">
        <v>5</v>
      </c>
      <c r="C4286" t="s">
        <v>7</v>
      </c>
      <c r="D4286">
        <v>32</v>
      </c>
      <c r="E4286" s="2">
        <v>2.78125E-2</v>
      </c>
      <c r="F4286">
        <v>40.049999999999997</v>
      </c>
    </row>
    <row r="4287" spans="1:6" x14ac:dyDescent="0.25">
      <c r="A4287" s="1">
        <v>39904</v>
      </c>
      <c r="B4287" t="s">
        <v>5</v>
      </c>
      <c r="C4287" t="s">
        <v>8</v>
      </c>
      <c r="D4287">
        <v>23</v>
      </c>
      <c r="E4287" s="2">
        <v>2.5231481481481483E-2</v>
      </c>
      <c r="F4287">
        <v>36.333333333333336</v>
      </c>
    </row>
    <row r="4288" spans="1:6" x14ac:dyDescent="0.25">
      <c r="A4288" s="1">
        <v>39904</v>
      </c>
      <c r="B4288" t="s">
        <v>5</v>
      </c>
      <c r="C4288" t="s">
        <v>9</v>
      </c>
      <c r="D4288">
        <v>17</v>
      </c>
      <c r="E4288" s="2">
        <v>1.3020833333333334E-2</v>
      </c>
      <c r="F4288">
        <v>18.75</v>
      </c>
    </row>
    <row r="4289" spans="1:6" x14ac:dyDescent="0.25">
      <c r="A4289" s="1">
        <v>39904</v>
      </c>
      <c r="B4289" t="s">
        <v>5</v>
      </c>
      <c r="C4289" t="s">
        <v>10</v>
      </c>
      <c r="D4289">
        <v>10</v>
      </c>
      <c r="E4289" s="2">
        <v>9.8495370370370369E-3</v>
      </c>
      <c r="F4289">
        <v>14.183333333333334</v>
      </c>
    </row>
    <row r="4290" spans="1:6" x14ac:dyDescent="0.25">
      <c r="A4290" s="1">
        <v>39904</v>
      </c>
      <c r="B4290" t="s">
        <v>5</v>
      </c>
      <c r="C4290" t="s">
        <v>11</v>
      </c>
      <c r="D4290">
        <v>20</v>
      </c>
      <c r="E4290" s="2">
        <v>1.7060185185185185E-2</v>
      </c>
      <c r="F4290">
        <v>24.566666666666666</v>
      </c>
    </row>
    <row r="4291" spans="1:6" x14ac:dyDescent="0.25">
      <c r="A4291" s="1">
        <v>39904</v>
      </c>
      <c r="B4291" t="s">
        <v>12</v>
      </c>
      <c r="C4291" t="s">
        <v>6</v>
      </c>
      <c r="D4291">
        <v>48</v>
      </c>
      <c r="E4291" s="2">
        <v>6.5543981481481481E-2</v>
      </c>
      <c r="F4291">
        <v>94.38333333333334</v>
      </c>
    </row>
    <row r="4292" spans="1:6" x14ac:dyDescent="0.25">
      <c r="A4292" s="1">
        <v>39904</v>
      </c>
      <c r="B4292" t="s">
        <v>12</v>
      </c>
      <c r="C4292" t="s">
        <v>7</v>
      </c>
      <c r="D4292">
        <v>53</v>
      </c>
      <c r="E4292" s="2">
        <v>6.6412037037037033E-2</v>
      </c>
      <c r="F4292">
        <v>95.63333333333334</v>
      </c>
    </row>
    <row r="4293" spans="1:6" x14ac:dyDescent="0.25">
      <c r="A4293" s="1">
        <v>39904</v>
      </c>
      <c r="B4293" t="s">
        <v>12</v>
      </c>
      <c r="C4293" t="s">
        <v>8</v>
      </c>
      <c r="D4293">
        <v>36</v>
      </c>
      <c r="E4293" s="2">
        <v>5.3935185185185183E-2</v>
      </c>
      <c r="F4293">
        <v>77.666666666666671</v>
      </c>
    </row>
    <row r="4294" spans="1:6" x14ac:dyDescent="0.25">
      <c r="A4294" s="1">
        <v>39904</v>
      </c>
      <c r="B4294" t="s">
        <v>12</v>
      </c>
      <c r="C4294" t="s">
        <v>9</v>
      </c>
      <c r="D4294">
        <v>21</v>
      </c>
      <c r="E4294" s="2">
        <v>1.7187500000000001E-2</v>
      </c>
      <c r="F4294">
        <v>24.75</v>
      </c>
    </row>
    <row r="4295" spans="1:6" x14ac:dyDescent="0.25">
      <c r="A4295" s="1">
        <v>39904</v>
      </c>
      <c r="B4295" t="s">
        <v>12</v>
      </c>
      <c r="C4295" t="s">
        <v>10</v>
      </c>
      <c r="D4295">
        <v>6</v>
      </c>
      <c r="E4295" s="2">
        <v>9.7337962962962959E-3</v>
      </c>
      <c r="F4295">
        <v>14.016666666666667</v>
      </c>
    </row>
    <row r="4296" spans="1:6" x14ac:dyDescent="0.25">
      <c r="A4296" s="1">
        <v>39904</v>
      </c>
      <c r="B4296" t="s">
        <v>12</v>
      </c>
      <c r="C4296" t="s">
        <v>11</v>
      </c>
      <c r="D4296">
        <v>26</v>
      </c>
      <c r="E4296" s="2">
        <v>2.8229166666666666E-2</v>
      </c>
      <c r="F4296">
        <v>40.65</v>
      </c>
    </row>
    <row r="4297" spans="1:6" x14ac:dyDescent="0.25">
      <c r="A4297" s="1">
        <v>39904</v>
      </c>
      <c r="B4297" t="s">
        <v>13</v>
      </c>
      <c r="C4297" t="s">
        <v>6</v>
      </c>
      <c r="D4297">
        <v>52</v>
      </c>
      <c r="E4297" s="2">
        <v>5.0509259259259261E-2</v>
      </c>
      <c r="F4297">
        <v>72.733333333333334</v>
      </c>
    </row>
    <row r="4298" spans="1:6" x14ac:dyDescent="0.25">
      <c r="A4298" s="1">
        <v>39904</v>
      </c>
      <c r="B4298" t="s">
        <v>13</v>
      </c>
      <c r="C4298" t="s">
        <v>7</v>
      </c>
      <c r="D4298">
        <v>49</v>
      </c>
      <c r="E4298" s="2">
        <v>4.9733796296296297E-2</v>
      </c>
      <c r="F4298">
        <v>71.61666666666666</v>
      </c>
    </row>
    <row r="4299" spans="1:6" x14ac:dyDescent="0.25">
      <c r="A4299" s="1">
        <v>39904</v>
      </c>
      <c r="B4299" t="s">
        <v>13</v>
      </c>
      <c r="C4299" t="s">
        <v>8</v>
      </c>
      <c r="D4299">
        <v>44</v>
      </c>
      <c r="E4299" s="2">
        <v>4.9004629629629627E-2</v>
      </c>
      <c r="F4299">
        <v>70.566666666666663</v>
      </c>
    </row>
    <row r="4300" spans="1:6" x14ac:dyDescent="0.25">
      <c r="A4300" s="1">
        <v>39904</v>
      </c>
      <c r="B4300" t="s">
        <v>13</v>
      </c>
      <c r="C4300" t="s">
        <v>9</v>
      </c>
      <c r="D4300">
        <v>23</v>
      </c>
      <c r="E4300" s="2">
        <v>1.5173611111111112E-2</v>
      </c>
      <c r="F4300">
        <v>21.85</v>
      </c>
    </row>
    <row r="4301" spans="1:6" x14ac:dyDescent="0.25">
      <c r="A4301" s="1">
        <v>39904</v>
      </c>
      <c r="B4301" t="s">
        <v>13</v>
      </c>
      <c r="C4301" t="s">
        <v>10</v>
      </c>
      <c r="D4301">
        <v>38</v>
      </c>
      <c r="E4301" s="2">
        <v>3.5243055555555555E-2</v>
      </c>
      <c r="F4301">
        <v>50.75</v>
      </c>
    </row>
    <row r="4302" spans="1:6" x14ac:dyDescent="0.25">
      <c r="A4302" s="1">
        <v>39904</v>
      </c>
      <c r="B4302" t="s">
        <v>13</v>
      </c>
      <c r="C4302" t="s">
        <v>11</v>
      </c>
      <c r="D4302">
        <v>33</v>
      </c>
      <c r="E4302" s="2">
        <v>1.8796296296296297E-2</v>
      </c>
      <c r="F4302">
        <v>27.066666666666666</v>
      </c>
    </row>
    <row r="4303" spans="1:6" x14ac:dyDescent="0.25">
      <c r="A4303" s="1">
        <v>39904</v>
      </c>
      <c r="B4303" t="s">
        <v>14</v>
      </c>
      <c r="C4303" t="s">
        <v>6</v>
      </c>
      <c r="D4303">
        <v>11</v>
      </c>
      <c r="E4303" s="2">
        <v>1.2974537037037038E-2</v>
      </c>
      <c r="F4303">
        <v>18.683333333333334</v>
      </c>
    </row>
    <row r="4304" spans="1:6" x14ac:dyDescent="0.25">
      <c r="A4304" s="1">
        <v>39904</v>
      </c>
      <c r="B4304" t="s">
        <v>14</v>
      </c>
      <c r="C4304" t="s">
        <v>7</v>
      </c>
      <c r="D4304">
        <v>11</v>
      </c>
      <c r="E4304" s="2">
        <v>1.474537037037037E-2</v>
      </c>
      <c r="F4304">
        <v>21.233333333333334</v>
      </c>
    </row>
    <row r="4305" spans="1:6" x14ac:dyDescent="0.25">
      <c r="A4305" s="1">
        <v>39904</v>
      </c>
      <c r="B4305" t="s">
        <v>14</v>
      </c>
      <c r="C4305" t="s">
        <v>8</v>
      </c>
      <c r="D4305">
        <v>8</v>
      </c>
      <c r="E4305" s="2">
        <v>8.9583333333333338E-3</v>
      </c>
      <c r="F4305">
        <v>12.9</v>
      </c>
    </row>
    <row r="4306" spans="1:6" x14ac:dyDescent="0.25">
      <c r="A4306" s="1">
        <v>39904</v>
      </c>
      <c r="B4306" t="s">
        <v>14</v>
      </c>
      <c r="C4306" t="s">
        <v>9</v>
      </c>
      <c r="D4306">
        <v>4</v>
      </c>
      <c r="E4306" s="2">
        <v>2.4305555555555556E-3</v>
      </c>
      <c r="F4306">
        <v>3.5</v>
      </c>
    </row>
    <row r="4307" spans="1:6" x14ac:dyDescent="0.25">
      <c r="A4307" s="1">
        <v>39904</v>
      </c>
      <c r="B4307" t="s">
        <v>14</v>
      </c>
      <c r="C4307" t="s">
        <v>10</v>
      </c>
      <c r="D4307">
        <v>2</v>
      </c>
      <c r="E4307" s="2">
        <v>1.9907407407407408E-3</v>
      </c>
      <c r="F4307">
        <v>2.8666666666666667</v>
      </c>
    </row>
    <row r="4308" spans="1:6" x14ac:dyDescent="0.25">
      <c r="A4308" s="1">
        <v>39904</v>
      </c>
      <c r="B4308" t="s">
        <v>14</v>
      </c>
      <c r="C4308" t="s">
        <v>11</v>
      </c>
      <c r="D4308">
        <v>6</v>
      </c>
      <c r="E4308" s="2">
        <v>6.5162037037037037E-3</v>
      </c>
      <c r="F4308">
        <v>9.3833333333333329</v>
      </c>
    </row>
    <row r="4309" spans="1:6" x14ac:dyDescent="0.25">
      <c r="A4309" s="1">
        <v>39904</v>
      </c>
      <c r="B4309" t="s">
        <v>15</v>
      </c>
      <c r="C4309" t="s">
        <v>6</v>
      </c>
      <c r="D4309">
        <v>11</v>
      </c>
      <c r="E4309" s="2">
        <v>1.3078703703703703E-2</v>
      </c>
      <c r="F4309">
        <v>18.833333333333332</v>
      </c>
    </row>
    <row r="4310" spans="1:6" x14ac:dyDescent="0.25">
      <c r="A4310" s="1">
        <v>39904</v>
      </c>
      <c r="B4310" t="s">
        <v>15</v>
      </c>
      <c r="C4310" t="s">
        <v>7</v>
      </c>
      <c r="D4310">
        <v>7</v>
      </c>
      <c r="E4310" s="2">
        <v>9.8611111111111104E-3</v>
      </c>
      <c r="F4310">
        <v>14.2</v>
      </c>
    </row>
    <row r="4311" spans="1:6" x14ac:dyDescent="0.25">
      <c r="A4311" s="1">
        <v>39904</v>
      </c>
      <c r="B4311" t="s">
        <v>15</v>
      </c>
      <c r="C4311" t="s">
        <v>8</v>
      </c>
      <c r="D4311">
        <v>3</v>
      </c>
      <c r="E4311" s="2">
        <v>3.9351851851851848E-3</v>
      </c>
      <c r="F4311">
        <v>5.666666666666667</v>
      </c>
    </row>
    <row r="4312" spans="1:6" x14ac:dyDescent="0.25">
      <c r="A4312" s="1">
        <v>39904</v>
      </c>
      <c r="B4312" t="s">
        <v>15</v>
      </c>
      <c r="C4312" t="s">
        <v>9</v>
      </c>
      <c r="D4312">
        <v>0</v>
      </c>
      <c r="E4312" s="2">
        <v>0</v>
      </c>
      <c r="F4312">
        <v>0</v>
      </c>
    </row>
    <row r="4313" spans="1:6" x14ac:dyDescent="0.25">
      <c r="A4313" s="1">
        <v>39904</v>
      </c>
      <c r="B4313" t="s">
        <v>15</v>
      </c>
      <c r="C4313" t="s">
        <v>10</v>
      </c>
      <c r="D4313">
        <v>6</v>
      </c>
      <c r="E4313" s="2">
        <v>4.6643518518518518E-3</v>
      </c>
      <c r="F4313">
        <v>6.7166666666666668</v>
      </c>
    </row>
    <row r="4314" spans="1:6" x14ac:dyDescent="0.25">
      <c r="A4314" s="1">
        <v>39904</v>
      </c>
      <c r="B4314" t="s">
        <v>15</v>
      </c>
      <c r="C4314" t="s">
        <v>11</v>
      </c>
      <c r="D4314">
        <v>4</v>
      </c>
      <c r="E4314" s="2">
        <v>3.3912037037037036E-3</v>
      </c>
      <c r="F4314">
        <v>4.8833333333333329</v>
      </c>
    </row>
    <row r="4315" spans="1:6" x14ac:dyDescent="0.25">
      <c r="A4315" s="1">
        <v>39904</v>
      </c>
      <c r="B4315" t="s">
        <v>16</v>
      </c>
      <c r="C4315" t="s">
        <v>6</v>
      </c>
      <c r="D4315">
        <v>21</v>
      </c>
      <c r="E4315" s="2">
        <v>2.1469907407407406E-2</v>
      </c>
      <c r="F4315">
        <v>30.916666666666668</v>
      </c>
    </row>
    <row r="4316" spans="1:6" x14ac:dyDescent="0.25">
      <c r="A4316" s="1">
        <v>39904</v>
      </c>
      <c r="B4316" t="s">
        <v>16</v>
      </c>
      <c r="C4316" t="s">
        <v>7</v>
      </c>
      <c r="D4316">
        <v>28</v>
      </c>
      <c r="E4316" s="2">
        <v>2.2476851851851852E-2</v>
      </c>
      <c r="F4316">
        <v>32.366666666666667</v>
      </c>
    </row>
    <row r="4317" spans="1:6" x14ac:dyDescent="0.25">
      <c r="A4317" s="1">
        <v>39904</v>
      </c>
      <c r="B4317" t="s">
        <v>16</v>
      </c>
      <c r="C4317" t="s">
        <v>8</v>
      </c>
      <c r="D4317">
        <v>24</v>
      </c>
      <c r="E4317" s="2">
        <v>2.2094907407407407E-2</v>
      </c>
      <c r="F4317">
        <v>31.816666666666666</v>
      </c>
    </row>
    <row r="4318" spans="1:6" x14ac:dyDescent="0.25">
      <c r="A4318" s="1">
        <v>39904</v>
      </c>
      <c r="B4318" t="s">
        <v>16</v>
      </c>
      <c r="C4318" t="s">
        <v>9</v>
      </c>
      <c r="D4318">
        <v>15</v>
      </c>
      <c r="E4318" s="2">
        <v>7.4884259259259262E-3</v>
      </c>
      <c r="F4318">
        <v>10.783333333333333</v>
      </c>
    </row>
    <row r="4319" spans="1:6" x14ac:dyDescent="0.25">
      <c r="A4319" s="1">
        <v>39904</v>
      </c>
      <c r="B4319" t="s">
        <v>16</v>
      </c>
      <c r="C4319" t="s">
        <v>10</v>
      </c>
      <c r="D4319">
        <v>5</v>
      </c>
      <c r="E4319" s="2">
        <v>2.4421296296296296E-3</v>
      </c>
      <c r="F4319">
        <v>3.5166666666666666</v>
      </c>
    </row>
    <row r="4320" spans="1:6" x14ac:dyDescent="0.25">
      <c r="A4320" s="1">
        <v>39904</v>
      </c>
      <c r="B4320" t="s">
        <v>16</v>
      </c>
      <c r="C4320" t="s">
        <v>11</v>
      </c>
      <c r="D4320">
        <v>21</v>
      </c>
      <c r="E4320" s="2">
        <v>1.4097222222222223E-2</v>
      </c>
      <c r="F4320">
        <v>20.3</v>
      </c>
    </row>
    <row r="4321" spans="1:6" x14ac:dyDescent="0.25">
      <c r="A4321" s="1">
        <v>39904</v>
      </c>
      <c r="B4321" t="s">
        <v>17</v>
      </c>
      <c r="C4321" t="s">
        <v>6</v>
      </c>
      <c r="D4321">
        <v>8</v>
      </c>
      <c r="E4321" s="2">
        <v>6.5162037037037037E-3</v>
      </c>
      <c r="F4321">
        <v>9.3833333333333329</v>
      </c>
    </row>
    <row r="4322" spans="1:6" x14ac:dyDescent="0.25">
      <c r="A4322" s="1">
        <v>39904</v>
      </c>
      <c r="B4322" t="s">
        <v>17</v>
      </c>
      <c r="C4322" t="s">
        <v>7</v>
      </c>
      <c r="D4322">
        <v>9</v>
      </c>
      <c r="E4322" s="2">
        <v>6.4351851851851853E-3</v>
      </c>
      <c r="F4322">
        <v>9.2666666666666675</v>
      </c>
    </row>
    <row r="4323" spans="1:6" x14ac:dyDescent="0.25">
      <c r="A4323" s="1">
        <v>39904</v>
      </c>
      <c r="B4323" t="s">
        <v>17</v>
      </c>
      <c r="C4323" t="s">
        <v>8</v>
      </c>
      <c r="D4323">
        <v>7</v>
      </c>
      <c r="E4323" s="2">
        <v>7.3611111111111108E-3</v>
      </c>
      <c r="F4323">
        <v>10.6</v>
      </c>
    </row>
    <row r="4324" spans="1:6" x14ac:dyDescent="0.25">
      <c r="A4324" s="1">
        <v>39904</v>
      </c>
      <c r="B4324" t="s">
        <v>17</v>
      </c>
      <c r="C4324" t="s">
        <v>9</v>
      </c>
      <c r="D4324">
        <v>8</v>
      </c>
      <c r="E4324" s="2">
        <v>4.7800925925925927E-3</v>
      </c>
      <c r="F4324">
        <v>6.8833333333333329</v>
      </c>
    </row>
    <row r="4325" spans="1:6" x14ac:dyDescent="0.25">
      <c r="A4325" s="1">
        <v>39904</v>
      </c>
      <c r="B4325" t="s">
        <v>17</v>
      </c>
      <c r="C4325" t="s">
        <v>10</v>
      </c>
      <c r="D4325">
        <v>5</v>
      </c>
      <c r="E4325" s="2">
        <v>5.0810185185185186E-3</v>
      </c>
      <c r="F4325">
        <v>7.3166666666666664</v>
      </c>
    </row>
    <row r="4326" spans="1:6" x14ac:dyDescent="0.25">
      <c r="A4326" s="1">
        <v>39904</v>
      </c>
      <c r="B4326" t="s">
        <v>17</v>
      </c>
      <c r="C4326" t="s">
        <v>11</v>
      </c>
      <c r="D4326">
        <v>4</v>
      </c>
      <c r="E4326" s="2">
        <v>2.2685185185185187E-3</v>
      </c>
      <c r="F4326">
        <v>3.2666666666666666</v>
      </c>
    </row>
    <row r="4327" spans="1:6" x14ac:dyDescent="0.25">
      <c r="A4327" s="1">
        <v>39904</v>
      </c>
      <c r="B4327" t="s">
        <v>18</v>
      </c>
      <c r="C4327" t="s">
        <v>6</v>
      </c>
      <c r="D4327">
        <v>72</v>
      </c>
      <c r="E4327" s="2">
        <v>6.6296296296296298E-2</v>
      </c>
      <c r="F4327">
        <v>95.466666666666669</v>
      </c>
    </row>
    <row r="4328" spans="1:6" x14ac:dyDescent="0.25">
      <c r="A4328" s="1">
        <v>39904</v>
      </c>
      <c r="B4328" t="s">
        <v>18</v>
      </c>
      <c r="C4328" t="s">
        <v>7</v>
      </c>
      <c r="D4328">
        <v>93</v>
      </c>
      <c r="E4328" s="2">
        <v>8.0659722222222216E-2</v>
      </c>
      <c r="F4328">
        <v>116.15</v>
      </c>
    </row>
    <row r="4329" spans="1:6" x14ac:dyDescent="0.25">
      <c r="A4329" s="1">
        <v>39904</v>
      </c>
      <c r="B4329" t="s">
        <v>18</v>
      </c>
      <c r="C4329" t="s">
        <v>8</v>
      </c>
      <c r="D4329">
        <v>69</v>
      </c>
      <c r="E4329" s="2">
        <v>8.0601851851851855E-2</v>
      </c>
      <c r="F4329">
        <v>116.06666666666666</v>
      </c>
    </row>
    <row r="4330" spans="1:6" x14ac:dyDescent="0.25">
      <c r="A4330" s="1">
        <v>39904</v>
      </c>
      <c r="B4330" t="s">
        <v>18</v>
      </c>
      <c r="C4330" t="s">
        <v>9</v>
      </c>
      <c r="D4330">
        <v>66</v>
      </c>
      <c r="E4330" s="2">
        <v>3.9594907407407405E-2</v>
      </c>
      <c r="F4330">
        <v>57.016666666666666</v>
      </c>
    </row>
    <row r="4331" spans="1:6" x14ac:dyDescent="0.25">
      <c r="A4331" s="1">
        <v>39904</v>
      </c>
      <c r="B4331" t="s">
        <v>18</v>
      </c>
      <c r="C4331" t="s">
        <v>10</v>
      </c>
      <c r="D4331">
        <v>142</v>
      </c>
      <c r="E4331" s="2">
        <v>0.1260300925925926</v>
      </c>
      <c r="F4331">
        <v>181.48333333333332</v>
      </c>
    </row>
    <row r="4332" spans="1:6" x14ac:dyDescent="0.25">
      <c r="A4332" s="1">
        <v>39904</v>
      </c>
      <c r="B4332" t="s">
        <v>18</v>
      </c>
      <c r="C4332" t="s">
        <v>11</v>
      </c>
      <c r="D4332">
        <v>41</v>
      </c>
      <c r="E4332" s="2">
        <v>2.7094907407407408E-2</v>
      </c>
      <c r="F4332">
        <v>39.016666666666666</v>
      </c>
    </row>
    <row r="4333" spans="1:6" x14ac:dyDescent="0.25">
      <c r="A4333" s="1">
        <v>39904</v>
      </c>
      <c r="B4333" t="s">
        <v>19</v>
      </c>
      <c r="C4333" t="s">
        <v>6</v>
      </c>
      <c r="D4333">
        <v>27</v>
      </c>
      <c r="E4333" s="2">
        <v>2.5972222222222223E-2</v>
      </c>
      <c r="F4333">
        <v>37.4</v>
      </c>
    </row>
    <row r="4334" spans="1:6" x14ac:dyDescent="0.25">
      <c r="A4334" s="1">
        <v>39904</v>
      </c>
      <c r="B4334" t="s">
        <v>19</v>
      </c>
      <c r="C4334" t="s">
        <v>7</v>
      </c>
      <c r="D4334">
        <v>27</v>
      </c>
      <c r="E4334" s="2">
        <v>2.8715277777777777E-2</v>
      </c>
      <c r="F4334">
        <v>41.35</v>
      </c>
    </row>
    <row r="4335" spans="1:6" x14ac:dyDescent="0.25">
      <c r="A4335" s="1">
        <v>39904</v>
      </c>
      <c r="B4335" t="s">
        <v>19</v>
      </c>
      <c r="C4335" t="s">
        <v>8</v>
      </c>
      <c r="D4335">
        <v>26</v>
      </c>
      <c r="E4335" s="2">
        <v>2.9629629629629631E-2</v>
      </c>
      <c r="F4335">
        <v>42.666666666666664</v>
      </c>
    </row>
    <row r="4336" spans="1:6" x14ac:dyDescent="0.25">
      <c r="A4336" s="1">
        <v>39904</v>
      </c>
      <c r="B4336" t="s">
        <v>19</v>
      </c>
      <c r="C4336" t="s">
        <v>9</v>
      </c>
      <c r="D4336">
        <v>30</v>
      </c>
      <c r="E4336" s="2">
        <v>1.8958333333333334E-2</v>
      </c>
      <c r="F4336">
        <v>27.3</v>
      </c>
    </row>
    <row r="4337" spans="1:6" x14ac:dyDescent="0.25">
      <c r="A4337" s="1">
        <v>39904</v>
      </c>
      <c r="B4337" t="s">
        <v>19</v>
      </c>
      <c r="C4337" t="s">
        <v>10</v>
      </c>
      <c r="D4337">
        <v>6</v>
      </c>
      <c r="E4337" s="2">
        <v>4.2245370370370371E-3</v>
      </c>
      <c r="F4337">
        <v>6.083333333333333</v>
      </c>
    </row>
    <row r="4338" spans="1:6" x14ac:dyDescent="0.25">
      <c r="A4338" s="1">
        <v>39904</v>
      </c>
      <c r="B4338" t="s">
        <v>19</v>
      </c>
      <c r="C4338" t="s">
        <v>11</v>
      </c>
      <c r="D4338">
        <v>19</v>
      </c>
      <c r="E4338" s="2">
        <v>1.525462962962963E-2</v>
      </c>
      <c r="F4338">
        <v>21.966666666666665</v>
      </c>
    </row>
    <row r="4339" spans="1:6" x14ac:dyDescent="0.25">
      <c r="A4339" s="1">
        <v>39904</v>
      </c>
      <c r="B4339" t="s">
        <v>20</v>
      </c>
      <c r="C4339" t="s">
        <v>6</v>
      </c>
      <c r="D4339">
        <v>19</v>
      </c>
      <c r="E4339" s="2">
        <v>2.0081018518518519E-2</v>
      </c>
      <c r="F4339">
        <v>28.916666666666668</v>
      </c>
    </row>
    <row r="4340" spans="1:6" x14ac:dyDescent="0.25">
      <c r="A4340" s="1">
        <v>39904</v>
      </c>
      <c r="B4340" t="s">
        <v>20</v>
      </c>
      <c r="C4340" t="s">
        <v>7</v>
      </c>
      <c r="D4340">
        <v>22</v>
      </c>
      <c r="E4340" s="2">
        <v>2.375E-2</v>
      </c>
      <c r="F4340">
        <v>34.200000000000003</v>
      </c>
    </row>
    <row r="4341" spans="1:6" x14ac:dyDescent="0.25">
      <c r="A4341" s="1">
        <v>39904</v>
      </c>
      <c r="B4341" t="s">
        <v>20</v>
      </c>
      <c r="C4341" t="s">
        <v>8</v>
      </c>
      <c r="D4341">
        <v>18</v>
      </c>
      <c r="E4341" s="2">
        <v>2.4432870370370369E-2</v>
      </c>
      <c r="F4341">
        <v>35.18333333333333</v>
      </c>
    </row>
    <row r="4342" spans="1:6" x14ac:dyDescent="0.25">
      <c r="A4342" s="1">
        <v>39904</v>
      </c>
      <c r="B4342" t="s">
        <v>20</v>
      </c>
      <c r="C4342" t="s">
        <v>9</v>
      </c>
      <c r="D4342">
        <v>12</v>
      </c>
      <c r="E4342" s="2">
        <v>9.4212962962962957E-3</v>
      </c>
      <c r="F4342">
        <v>13.566666666666666</v>
      </c>
    </row>
    <row r="4343" spans="1:6" x14ac:dyDescent="0.25">
      <c r="A4343" s="1">
        <v>39904</v>
      </c>
      <c r="B4343" t="s">
        <v>20</v>
      </c>
      <c r="C4343" t="s">
        <v>10</v>
      </c>
      <c r="D4343">
        <v>4</v>
      </c>
      <c r="E4343" s="2">
        <v>4.6527777777777774E-3</v>
      </c>
      <c r="F4343">
        <v>6.7</v>
      </c>
    </row>
    <row r="4344" spans="1:6" x14ac:dyDescent="0.25">
      <c r="A4344" s="1">
        <v>39904</v>
      </c>
      <c r="B4344" t="s">
        <v>20</v>
      </c>
      <c r="C4344" t="s">
        <v>11</v>
      </c>
      <c r="D4344">
        <v>12</v>
      </c>
      <c r="E4344" s="2">
        <v>8.0787037037037043E-3</v>
      </c>
      <c r="F4344">
        <v>11.633333333333333</v>
      </c>
    </row>
    <row r="4345" spans="1:6" x14ac:dyDescent="0.25">
      <c r="A4345" s="1">
        <v>39904</v>
      </c>
      <c r="B4345" t="s">
        <v>21</v>
      </c>
      <c r="C4345" t="s">
        <v>6</v>
      </c>
      <c r="D4345">
        <v>65</v>
      </c>
      <c r="E4345" s="2">
        <v>8.082175925925926E-2</v>
      </c>
      <c r="F4345">
        <v>116.38333333333334</v>
      </c>
    </row>
    <row r="4346" spans="1:6" x14ac:dyDescent="0.25">
      <c r="A4346" s="1">
        <v>39904</v>
      </c>
      <c r="B4346" t="s">
        <v>21</v>
      </c>
      <c r="C4346" t="s">
        <v>7</v>
      </c>
      <c r="D4346">
        <v>66</v>
      </c>
      <c r="E4346" s="2">
        <v>6.4502314814814818E-2</v>
      </c>
      <c r="F4346">
        <v>92.88333333333334</v>
      </c>
    </row>
    <row r="4347" spans="1:6" x14ac:dyDescent="0.25">
      <c r="A4347" s="1">
        <v>39904</v>
      </c>
      <c r="B4347" t="s">
        <v>21</v>
      </c>
      <c r="C4347" t="s">
        <v>8</v>
      </c>
      <c r="D4347">
        <v>31</v>
      </c>
      <c r="E4347" s="2">
        <v>4.1875000000000002E-2</v>
      </c>
      <c r="F4347">
        <v>60.3</v>
      </c>
    </row>
    <row r="4348" spans="1:6" x14ac:dyDescent="0.25">
      <c r="A4348" s="1">
        <v>39904</v>
      </c>
      <c r="B4348" t="s">
        <v>21</v>
      </c>
      <c r="C4348" t="s">
        <v>9</v>
      </c>
      <c r="D4348">
        <v>21</v>
      </c>
      <c r="E4348" s="2">
        <v>2.0497685185185185E-2</v>
      </c>
      <c r="F4348">
        <v>29.516666666666666</v>
      </c>
    </row>
    <row r="4349" spans="1:6" x14ac:dyDescent="0.25">
      <c r="A4349" s="1">
        <v>39904</v>
      </c>
      <c r="B4349" t="s">
        <v>21</v>
      </c>
      <c r="C4349" t="s">
        <v>10</v>
      </c>
      <c r="D4349">
        <v>13</v>
      </c>
      <c r="E4349" s="2">
        <v>1.7615740740740741E-2</v>
      </c>
      <c r="F4349">
        <v>25.366666666666667</v>
      </c>
    </row>
    <row r="4350" spans="1:6" x14ac:dyDescent="0.25">
      <c r="A4350" s="1">
        <v>39904</v>
      </c>
      <c r="B4350" t="s">
        <v>21</v>
      </c>
      <c r="C4350" t="s">
        <v>11</v>
      </c>
      <c r="D4350">
        <v>18</v>
      </c>
      <c r="E4350" s="2">
        <v>2.0960648148148148E-2</v>
      </c>
      <c r="F4350">
        <v>30.183333333333334</v>
      </c>
    </row>
    <row r="4351" spans="1:6" x14ac:dyDescent="0.25">
      <c r="A4351" s="1">
        <v>39904</v>
      </c>
      <c r="B4351" t="s">
        <v>22</v>
      </c>
      <c r="C4351" t="s">
        <v>6</v>
      </c>
      <c r="D4351">
        <v>15</v>
      </c>
      <c r="E4351" s="2">
        <v>2.357638888888889E-2</v>
      </c>
      <c r="F4351">
        <v>33.950000000000003</v>
      </c>
    </row>
    <row r="4352" spans="1:6" x14ac:dyDescent="0.25">
      <c r="A4352" s="1">
        <v>39904</v>
      </c>
      <c r="B4352" t="s">
        <v>22</v>
      </c>
      <c r="C4352" t="s">
        <v>7</v>
      </c>
      <c r="D4352">
        <v>7</v>
      </c>
      <c r="E4352" s="2">
        <v>9.618055555555555E-3</v>
      </c>
      <c r="F4352">
        <v>13.85</v>
      </c>
    </row>
    <row r="4353" spans="1:6" x14ac:dyDescent="0.25">
      <c r="A4353" s="1">
        <v>39904</v>
      </c>
      <c r="B4353" t="s">
        <v>22</v>
      </c>
      <c r="C4353" t="s">
        <v>8</v>
      </c>
      <c r="D4353">
        <v>6</v>
      </c>
      <c r="E4353" s="2">
        <v>7.1180555555555554E-3</v>
      </c>
      <c r="F4353">
        <v>10.25</v>
      </c>
    </row>
    <row r="4354" spans="1:6" x14ac:dyDescent="0.25">
      <c r="A4354" s="1">
        <v>39904</v>
      </c>
      <c r="B4354" t="s">
        <v>22</v>
      </c>
      <c r="C4354" t="s">
        <v>9</v>
      </c>
      <c r="D4354">
        <v>6</v>
      </c>
      <c r="E4354" s="2">
        <v>2.8819444444444444E-3</v>
      </c>
      <c r="F4354">
        <v>4.1500000000000004</v>
      </c>
    </row>
    <row r="4355" spans="1:6" x14ac:dyDescent="0.25">
      <c r="A4355" s="1">
        <v>39904</v>
      </c>
      <c r="B4355" t="s">
        <v>22</v>
      </c>
      <c r="C4355" t="s">
        <v>10</v>
      </c>
      <c r="D4355">
        <v>3</v>
      </c>
      <c r="E4355" s="2">
        <v>3.7615740740740739E-3</v>
      </c>
      <c r="F4355">
        <v>5.416666666666667</v>
      </c>
    </row>
    <row r="4356" spans="1:6" x14ac:dyDescent="0.25">
      <c r="A4356" s="1">
        <v>39904</v>
      </c>
      <c r="B4356" t="s">
        <v>22</v>
      </c>
      <c r="C4356" t="s">
        <v>11</v>
      </c>
      <c r="D4356">
        <v>2</v>
      </c>
      <c r="E4356" s="2">
        <v>1.724537037037037E-3</v>
      </c>
      <c r="F4356">
        <v>2.4833333333333334</v>
      </c>
    </row>
    <row r="4357" spans="1:6" x14ac:dyDescent="0.25">
      <c r="A4357" s="1">
        <v>39904</v>
      </c>
      <c r="B4357" t="s">
        <v>23</v>
      </c>
      <c r="C4357" t="s">
        <v>6</v>
      </c>
      <c r="D4357">
        <v>116</v>
      </c>
      <c r="E4357" s="2">
        <v>0.12493055555555556</v>
      </c>
      <c r="F4357">
        <v>179.9</v>
      </c>
    </row>
    <row r="4358" spans="1:6" x14ac:dyDescent="0.25">
      <c r="A4358" s="1">
        <v>39904</v>
      </c>
      <c r="B4358" t="s">
        <v>23</v>
      </c>
      <c r="C4358" t="s">
        <v>7</v>
      </c>
      <c r="D4358">
        <v>108</v>
      </c>
      <c r="E4358" s="2">
        <v>0.10790509259259259</v>
      </c>
      <c r="F4358">
        <v>155.38333333333333</v>
      </c>
    </row>
    <row r="4359" spans="1:6" x14ac:dyDescent="0.25">
      <c r="A4359" s="1">
        <v>39904</v>
      </c>
      <c r="B4359" t="s">
        <v>23</v>
      </c>
      <c r="C4359" t="s">
        <v>8</v>
      </c>
      <c r="D4359">
        <v>81</v>
      </c>
      <c r="E4359" s="2">
        <v>8.1331018518518525E-2</v>
      </c>
      <c r="F4359">
        <v>117.11666666666666</v>
      </c>
    </row>
    <row r="4360" spans="1:6" x14ac:dyDescent="0.25">
      <c r="A4360" s="1">
        <v>39904</v>
      </c>
      <c r="B4360" t="s">
        <v>23</v>
      </c>
      <c r="C4360" t="s">
        <v>9</v>
      </c>
      <c r="D4360">
        <v>54</v>
      </c>
      <c r="E4360" s="2">
        <v>3.6724537037037035E-2</v>
      </c>
      <c r="F4360">
        <v>52.883333333333333</v>
      </c>
    </row>
    <row r="4361" spans="1:6" x14ac:dyDescent="0.25">
      <c r="A4361" s="1">
        <v>39904</v>
      </c>
      <c r="B4361" t="s">
        <v>23</v>
      </c>
      <c r="C4361" t="s">
        <v>10</v>
      </c>
      <c r="D4361">
        <v>29</v>
      </c>
      <c r="E4361" s="2">
        <v>3.4803240740740739E-2</v>
      </c>
      <c r="F4361">
        <v>50.116666666666667</v>
      </c>
    </row>
    <row r="4362" spans="1:6" x14ac:dyDescent="0.25">
      <c r="A4362" s="1">
        <v>39904</v>
      </c>
      <c r="B4362" t="s">
        <v>23</v>
      </c>
      <c r="C4362" t="s">
        <v>11</v>
      </c>
      <c r="D4362">
        <v>71</v>
      </c>
      <c r="E4362" s="2">
        <v>5.6145833333333332E-2</v>
      </c>
      <c r="F4362">
        <v>80.849999999999994</v>
      </c>
    </row>
    <row r="4363" spans="1:6" x14ac:dyDescent="0.25">
      <c r="A4363" s="1">
        <v>39904</v>
      </c>
      <c r="B4363" t="s">
        <v>24</v>
      </c>
      <c r="C4363" t="s">
        <v>6</v>
      </c>
      <c r="D4363">
        <v>37</v>
      </c>
      <c r="E4363" s="2">
        <v>3.6099537037037034E-2</v>
      </c>
      <c r="F4363">
        <v>51.983333333333334</v>
      </c>
    </row>
    <row r="4364" spans="1:6" x14ac:dyDescent="0.25">
      <c r="A4364" s="1">
        <v>39904</v>
      </c>
      <c r="B4364" t="s">
        <v>24</v>
      </c>
      <c r="C4364" t="s">
        <v>7</v>
      </c>
      <c r="D4364">
        <v>37</v>
      </c>
      <c r="E4364" s="2">
        <v>2.3090277777777779E-2</v>
      </c>
      <c r="F4364">
        <v>33.25</v>
      </c>
    </row>
    <row r="4365" spans="1:6" x14ac:dyDescent="0.25">
      <c r="A4365" s="1">
        <v>39904</v>
      </c>
      <c r="B4365" t="s">
        <v>24</v>
      </c>
      <c r="C4365" t="s">
        <v>8</v>
      </c>
      <c r="D4365">
        <v>25</v>
      </c>
      <c r="E4365" s="2">
        <v>1.8796296296296297E-2</v>
      </c>
      <c r="F4365">
        <v>27.066666666666666</v>
      </c>
    </row>
    <row r="4366" spans="1:6" x14ac:dyDescent="0.25">
      <c r="A4366" s="1">
        <v>39904</v>
      </c>
      <c r="B4366" t="s">
        <v>24</v>
      </c>
      <c r="C4366" t="s">
        <v>9</v>
      </c>
      <c r="D4366">
        <v>15</v>
      </c>
      <c r="E4366" s="2">
        <v>8.6574074074074071E-3</v>
      </c>
      <c r="F4366">
        <v>12.466666666666667</v>
      </c>
    </row>
    <row r="4367" spans="1:6" x14ac:dyDescent="0.25">
      <c r="A4367" s="1">
        <v>39904</v>
      </c>
      <c r="B4367" t="s">
        <v>24</v>
      </c>
      <c r="C4367" t="s">
        <v>10</v>
      </c>
      <c r="D4367">
        <v>1</v>
      </c>
      <c r="E4367" s="2">
        <v>1.8749999999999999E-3</v>
      </c>
      <c r="F4367">
        <v>2.7</v>
      </c>
    </row>
    <row r="4368" spans="1:6" x14ac:dyDescent="0.25">
      <c r="A4368" s="1">
        <v>39904</v>
      </c>
      <c r="B4368" t="s">
        <v>24</v>
      </c>
      <c r="C4368" t="s">
        <v>11</v>
      </c>
      <c r="D4368">
        <v>20</v>
      </c>
      <c r="E4368" s="2">
        <v>1.1770833333333333E-2</v>
      </c>
      <c r="F4368">
        <v>16.95</v>
      </c>
    </row>
    <row r="4369" spans="1:6" x14ac:dyDescent="0.25">
      <c r="A4369" s="1">
        <v>39934</v>
      </c>
      <c r="B4369" t="s">
        <v>5</v>
      </c>
      <c r="C4369" t="s">
        <v>6</v>
      </c>
      <c r="D4369">
        <v>14</v>
      </c>
      <c r="E4369" s="2">
        <v>1.0381944444444444E-2</v>
      </c>
      <c r="F4369">
        <v>14.95</v>
      </c>
    </row>
    <row r="4370" spans="1:6" x14ac:dyDescent="0.25">
      <c r="A4370" s="1">
        <v>39934</v>
      </c>
      <c r="B4370" t="s">
        <v>5</v>
      </c>
      <c r="C4370" t="s">
        <v>7</v>
      </c>
      <c r="D4370">
        <v>16</v>
      </c>
      <c r="E4370" s="2">
        <v>1.3171296296296296E-2</v>
      </c>
      <c r="F4370">
        <v>18.966666666666665</v>
      </c>
    </row>
    <row r="4371" spans="1:6" x14ac:dyDescent="0.25">
      <c r="A4371" s="1">
        <v>39934</v>
      </c>
      <c r="B4371" t="s">
        <v>5</v>
      </c>
      <c r="C4371" t="s">
        <v>8</v>
      </c>
      <c r="D4371">
        <v>14</v>
      </c>
      <c r="E4371" s="2">
        <v>1.1226851851851852E-2</v>
      </c>
      <c r="F4371">
        <v>16.166666666666668</v>
      </c>
    </row>
    <row r="4372" spans="1:6" x14ac:dyDescent="0.25">
      <c r="A4372" s="1">
        <v>39934</v>
      </c>
      <c r="B4372" t="s">
        <v>5</v>
      </c>
      <c r="C4372" t="s">
        <v>9</v>
      </c>
      <c r="D4372">
        <v>7</v>
      </c>
      <c r="E4372" s="2">
        <v>3.6921296296296298E-3</v>
      </c>
      <c r="F4372">
        <v>5.3166666666666664</v>
      </c>
    </row>
    <row r="4373" spans="1:6" x14ac:dyDescent="0.25">
      <c r="A4373" s="1">
        <v>39934</v>
      </c>
      <c r="B4373" t="s">
        <v>5</v>
      </c>
      <c r="C4373" t="s">
        <v>10</v>
      </c>
      <c r="D4373">
        <v>5</v>
      </c>
      <c r="E4373" s="2">
        <v>3.6458333333333334E-3</v>
      </c>
      <c r="F4373">
        <v>5.25</v>
      </c>
    </row>
    <row r="4374" spans="1:6" x14ac:dyDescent="0.25">
      <c r="A4374" s="1">
        <v>39934</v>
      </c>
      <c r="B4374" t="s">
        <v>5</v>
      </c>
      <c r="C4374" t="s">
        <v>11</v>
      </c>
      <c r="D4374">
        <v>8</v>
      </c>
      <c r="E4374" s="2">
        <v>3.6574074074074074E-3</v>
      </c>
      <c r="F4374">
        <v>5.2666666666666666</v>
      </c>
    </row>
    <row r="4375" spans="1:6" x14ac:dyDescent="0.25">
      <c r="A4375" s="1">
        <v>39934</v>
      </c>
      <c r="B4375" t="s">
        <v>12</v>
      </c>
      <c r="C4375" t="s">
        <v>6</v>
      </c>
      <c r="D4375">
        <v>61</v>
      </c>
      <c r="E4375" s="2">
        <v>7.4374999999999997E-2</v>
      </c>
      <c r="F4375">
        <v>107.1</v>
      </c>
    </row>
    <row r="4376" spans="1:6" x14ac:dyDescent="0.25">
      <c r="A4376" s="1">
        <v>39934</v>
      </c>
      <c r="B4376" t="s">
        <v>12</v>
      </c>
      <c r="C4376" t="s">
        <v>7</v>
      </c>
      <c r="D4376">
        <v>68</v>
      </c>
      <c r="E4376" s="2">
        <v>8.1944444444444445E-2</v>
      </c>
      <c r="F4376">
        <v>118</v>
      </c>
    </row>
    <row r="4377" spans="1:6" x14ac:dyDescent="0.25">
      <c r="A4377" s="1">
        <v>39934</v>
      </c>
      <c r="B4377" t="s">
        <v>12</v>
      </c>
      <c r="C4377" t="s">
        <v>8</v>
      </c>
      <c r="D4377">
        <v>47</v>
      </c>
      <c r="E4377" s="2">
        <v>6.159722222222222E-2</v>
      </c>
      <c r="F4377">
        <v>88.7</v>
      </c>
    </row>
    <row r="4378" spans="1:6" x14ac:dyDescent="0.25">
      <c r="A4378" s="1">
        <v>39934</v>
      </c>
      <c r="B4378" t="s">
        <v>12</v>
      </c>
      <c r="C4378" t="s">
        <v>9</v>
      </c>
      <c r="D4378">
        <v>24</v>
      </c>
      <c r="E4378" s="2">
        <v>1.8854166666666668E-2</v>
      </c>
      <c r="F4378">
        <v>27.15</v>
      </c>
    </row>
    <row r="4379" spans="1:6" x14ac:dyDescent="0.25">
      <c r="A4379" s="1">
        <v>39934</v>
      </c>
      <c r="B4379" t="s">
        <v>12</v>
      </c>
      <c r="C4379" t="s">
        <v>10</v>
      </c>
      <c r="D4379">
        <v>3</v>
      </c>
      <c r="E4379" s="2">
        <v>3.2407407407407406E-3</v>
      </c>
      <c r="F4379">
        <v>4.666666666666667</v>
      </c>
    </row>
    <row r="4380" spans="1:6" x14ac:dyDescent="0.25">
      <c r="A4380" s="1">
        <v>39934</v>
      </c>
      <c r="B4380" t="s">
        <v>12</v>
      </c>
      <c r="C4380" t="s">
        <v>11</v>
      </c>
      <c r="D4380">
        <v>34</v>
      </c>
      <c r="E4380" s="2">
        <v>3.8182870370370367E-2</v>
      </c>
      <c r="F4380">
        <v>54.983333333333334</v>
      </c>
    </row>
    <row r="4381" spans="1:6" x14ac:dyDescent="0.25">
      <c r="A4381" s="1">
        <v>39934</v>
      </c>
      <c r="B4381" t="s">
        <v>13</v>
      </c>
      <c r="C4381" t="s">
        <v>6</v>
      </c>
      <c r="D4381">
        <v>53</v>
      </c>
      <c r="E4381" s="2">
        <v>6.222222222222222E-2</v>
      </c>
      <c r="F4381">
        <v>89.6</v>
      </c>
    </row>
    <row r="4382" spans="1:6" x14ac:dyDescent="0.25">
      <c r="A4382" s="1">
        <v>39934</v>
      </c>
      <c r="B4382" t="s">
        <v>13</v>
      </c>
      <c r="C4382" t="s">
        <v>7</v>
      </c>
      <c r="D4382">
        <v>53</v>
      </c>
      <c r="E4382" s="2">
        <v>5.4259259259259257E-2</v>
      </c>
      <c r="F4382">
        <v>78.13333333333334</v>
      </c>
    </row>
    <row r="4383" spans="1:6" x14ac:dyDescent="0.25">
      <c r="A4383" s="1">
        <v>39934</v>
      </c>
      <c r="B4383" t="s">
        <v>13</v>
      </c>
      <c r="C4383" t="s">
        <v>8</v>
      </c>
      <c r="D4383">
        <v>30</v>
      </c>
      <c r="E4383" s="2">
        <v>3.560185185185185E-2</v>
      </c>
      <c r="F4383">
        <v>51.266666666666666</v>
      </c>
    </row>
    <row r="4384" spans="1:6" x14ac:dyDescent="0.25">
      <c r="A4384" s="1">
        <v>39934</v>
      </c>
      <c r="B4384" t="s">
        <v>13</v>
      </c>
      <c r="C4384" t="s">
        <v>9</v>
      </c>
      <c r="D4384">
        <v>25</v>
      </c>
      <c r="E4384" s="2">
        <v>1.6087962962962964E-2</v>
      </c>
      <c r="F4384">
        <v>23.166666666666668</v>
      </c>
    </row>
    <row r="4385" spans="1:6" x14ac:dyDescent="0.25">
      <c r="A4385" s="1">
        <v>39934</v>
      </c>
      <c r="B4385" t="s">
        <v>13</v>
      </c>
      <c r="C4385" t="s">
        <v>10</v>
      </c>
      <c r="D4385">
        <v>36</v>
      </c>
      <c r="E4385" s="2">
        <v>3.4432870370370371E-2</v>
      </c>
      <c r="F4385">
        <v>49.583333333333336</v>
      </c>
    </row>
    <row r="4386" spans="1:6" x14ac:dyDescent="0.25">
      <c r="A4386" s="1">
        <v>39934</v>
      </c>
      <c r="B4386" t="s">
        <v>13</v>
      </c>
      <c r="C4386" t="s">
        <v>11</v>
      </c>
      <c r="D4386">
        <v>20</v>
      </c>
      <c r="E4386" s="2">
        <v>1.4895833333333334E-2</v>
      </c>
      <c r="F4386">
        <v>21.45</v>
      </c>
    </row>
    <row r="4387" spans="1:6" x14ac:dyDescent="0.25">
      <c r="A4387" s="1">
        <v>39934</v>
      </c>
      <c r="B4387" t="s">
        <v>14</v>
      </c>
      <c r="C4387" t="s">
        <v>6</v>
      </c>
      <c r="D4387">
        <v>31</v>
      </c>
      <c r="E4387" s="2">
        <v>3.6701388888888888E-2</v>
      </c>
      <c r="F4387">
        <v>52.85</v>
      </c>
    </row>
    <row r="4388" spans="1:6" x14ac:dyDescent="0.25">
      <c r="A4388" s="1">
        <v>39934</v>
      </c>
      <c r="B4388" t="s">
        <v>14</v>
      </c>
      <c r="C4388" t="s">
        <v>7</v>
      </c>
      <c r="D4388">
        <v>28</v>
      </c>
      <c r="E4388" s="2">
        <v>2.6689814814814816E-2</v>
      </c>
      <c r="F4388">
        <v>38.43333333333333</v>
      </c>
    </row>
    <row r="4389" spans="1:6" x14ac:dyDescent="0.25">
      <c r="A4389" s="1">
        <v>39934</v>
      </c>
      <c r="B4389" t="s">
        <v>14</v>
      </c>
      <c r="C4389" t="s">
        <v>8</v>
      </c>
      <c r="D4389">
        <v>16</v>
      </c>
      <c r="E4389" s="2">
        <v>1.8518518518518517E-2</v>
      </c>
      <c r="F4389">
        <v>26.666666666666668</v>
      </c>
    </row>
    <row r="4390" spans="1:6" x14ac:dyDescent="0.25">
      <c r="A4390" s="1">
        <v>39934</v>
      </c>
      <c r="B4390" t="s">
        <v>14</v>
      </c>
      <c r="C4390" t="s">
        <v>9</v>
      </c>
      <c r="D4390">
        <v>20</v>
      </c>
      <c r="E4390" s="2">
        <v>1.3078703703703703E-2</v>
      </c>
      <c r="F4390">
        <v>18.833333333333332</v>
      </c>
    </row>
    <row r="4391" spans="1:6" x14ac:dyDescent="0.25">
      <c r="A4391" s="1">
        <v>39934</v>
      </c>
      <c r="B4391" t="s">
        <v>14</v>
      </c>
      <c r="C4391" t="s">
        <v>10</v>
      </c>
      <c r="D4391">
        <v>1</v>
      </c>
      <c r="E4391" s="2">
        <v>2.1527777777777778E-3</v>
      </c>
      <c r="F4391">
        <v>3.1</v>
      </c>
    </row>
    <row r="4392" spans="1:6" x14ac:dyDescent="0.25">
      <c r="A4392" s="1">
        <v>39934</v>
      </c>
      <c r="B4392" t="s">
        <v>14</v>
      </c>
      <c r="C4392" t="s">
        <v>11</v>
      </c>
      <c r="D4392">
        <v>15</v>
      </c>
      <c r="E4392" s="2">
        <v>1.3854166666666667E-2</v>
      </c>
      <c r="F4392">
        <v>19.95</v>
      </c>
    </row>
    <row r="4393" spans="1:6" x14ac:dyDescent="0.25">
      <c r="A4393" s="1">
        <v>39934</v>
      </c>
      <c r="B4393" t="s">
        <v>15</v>
      </c>
      <c r="C4393" t="s">
        <v>6</v>
      </c>
      <c r="D4393">
        <v>32</v>
      </c>
      <c r="E4393" s="2">
        <v>3.1157407407407408E-2</v>
      </c>
      <c r="F4393">
        <v>44.866666666666667</v>
      </c>
    </row>
    <row r="4394" spans="1:6" x14ac:dyDescent="0.25">
      <c r="A4394" s="1">
        <v>39934</v>
      </c>
      <c r="B4394" t="s">
        <v>15</v>
      </c>
      <c r="C4394" t="s">
        <v>7</v>
      </c>
      <c r="D4394">
        <v>21</v>
      </c>
      <c r="E4394" s="2">
        <v>1.8449074074074073E-2</v>
      </c>
      <c r="F4394">
        <v>26.566666666666666</v>
      </c>
    </row>
    <row r="4395" spans="1:6" x14ac:dyDescent="0.25">
      <c r="A4395" s="1">
        <v>39934</v>
      </c>
      <c r="B4395" t="s">
        <v>15</v>
      </c>
      <c r="C4395" t="s">
        <v>8</v>
      </c>
      <c r="D4395">
        <v>7</v>
      </c>
      <c r="E4395" s="2">
        <v>7.7083333333333335E-3</v>
      </c>
      <c r="F4395">
        <v>11.1</v>
      </c>
    </row>
    <row r="4396" spans="1:6" x14ac:dyDescent="0.25">
      <c r="A4396" s="1">
        <v>39934</v>
      </c>
      <c r="B4396" t="s">
        <v>15</v>
      </c>
      <c r="C4396" t="s">
        <v>9</v>
      </c>
      <c r="D4396">
        <v>6</v>
      </c>
      <c r="E4396" s="2">
        <v>3.7152777777777778E-3</v>
      </c>
      <c r="F4396">
        <v>5.35</v>
      </c>
    </row>
    <row r="4397" spans="1:6" x14ac:dyDescent="0.25">
      <c r="A4397" s="1">
        <v>39934</v>
      </c>
      <c r="B4397" t="s">
        <v>15</v>
      </c>
      <c r="C4397" t="s">
        <v>10</v>
      </c>
      <c r="D4397">
        <v>1</v>
      </c>
      <c r="E4397" s="2">
        <v>2.5462962962962961E-4</v>
      </c>
      <c r="F4397">
        <v>0.36666666666666664</v>
      </c>
    </row>
    <row r="4398" spans="1:6" x14ac:dyDescent="0.25">
      <c r="A4398" s="1">
        <v>39934</v>
      </c>
      <c r="B4398" t="s">
        <v>15</v>
      </c>
      <c r="C4398" t="s">
        <v>11</v>
      </c>
      <c r="D4398">
        <v>6</v>
      </c>
      <c r="E4398" s="2">
        <v>6.4351851851851853E-3</v>
      </c>
      <c r="F4398">
        <v>9.2666666666666675</v>
      </c>
    </row>
    <row r="4399" spans="1:6" x14ac:dyDescent="0.25">
      <c r="A4399" s="1">
        <v>39934</v>
      </c>
      <c r="B4399" t="s">
        <v>16</v>
      </c>
      <c r="C4399" t="s">
        <v>6</v>
      </c>
      <c r="D4399">
        <v>40</v>
      </c>
      <c r="E4399" s="2">
        <v>3.8657407407407404E-2</v>
      </c>
      <c r="F4399">
        <v>55.666666666666664</v>
      </c>
    </row>
    <row r="4400" spans="1:6" x14ac:dyDescent="0.25">
      <c r="A4400" s="1">
        <v>39934</v>
      </c>
      <c r="B4400" t="s">
        <v>16</v>
      </c>
      <c r="C4400" t="s">
        <v>7</v>
      </c>
      <c r="D4400">
        <v>37</v>
      </c>
      <c r="E4400" s="2">
        <v>2.9618055555555557E-2</v>
      </c>
      <c r="F4400">
        <v>42.65</v>
      </c>
    </row>
    <row r="4401" spans="1:6" x14ac:dyDescent="0.25">
      <c r="A4401" s="1">
        <v>39934</v>
      </c>
      <c r="B4401" t="s">
        <v>16</v>
      </c>
      <c r="C4401" t="s">
        <v>8</v>
      </c>
      <c r="D4401">
        <v>33</v>
      </c>
      <c r="E4401" s="2">
        <v>2.9988425925925925E-2</v>
      </c>
      <c r="F4401">
        <v>43.18333333333333</v>
      </c>
    </row>
    <row r="4402" spans="1:6" x14ac:dyDescent="0.25">
      <c r="A4402" s="1">
        <v>39934</v>
      </c>
      <c r="B4402" t="s">
        <v>16</v>
      </c>
      <c r="C4402" t="s">
        <v>9</v>
      </c>
      <c r="D4402">
        <v>22</v>
      </c>
      <c r="E4402" s="2">
        <v>1.0335648148148148E-2</v>
      </c>
      <c r="F4402">
        <v>14.883333333333333</v>
      </c>
    </row>
    <row r="4403" spans="1:6" x14ac:dyDescent="0.25">
      <c r="A4403" s="1">
        <v>39934</v>
      </c>
      <c r="B4403" t="s">
        <v>16</v>
      </c>
      <c r="C4403" t="s">
        <v>10</v>
      </c>
      <c r="D4403">
        <v>3</v>
      </c>
      <c r="E4403" s="2">
        <v>7.0601851851851847E-4</v>
      </c>
      <c r="F4403">
        <v>1.0166666666666666</v>
      </c>
    </row>
    <row r="4404" spans="1:6" x14ac:dyDescent="0.25">
      <c r="A4404" s="1">
        <v>39934</v>
      </c>
      <c r="B4404" t="s">
        <v>16</v>
      </c>
      <c r="C4404" t="s">
        <v>11</v>
      </c>
      <c r="D4404">
        <v>28</v>
      </c>
      <c r="E4404" s="2">
        <v>1.8969907407407408E-2</v>
      </c>
      <c r="F4404">
        <v>27.316666666666666</v>
      </c>
    </row>
    <row r="4405" spans="1:6" x14ac:dyDescent="0.25">
      <c r="A4405" s="1">
        <v>39934</v>
      </c>
      <c r="B4405" t="s">
        <v>17</v>
      </c>
      <c r="C4405" t="s">
        <v>6</v>
      </c>
      <c r="D4405">
        <v>13</v>
      </c>
      <c r="E4405" s="2">
        <v>1.269675925925926E-2</v>
      </c>
      <c r="F4405">
        <v>18.283333333333335</v>
      </c>
    </row>
    <row r="4406" spans="1:6" x14ac:dyDescent="0.25">
      <c r="A4406" s="1">
        <v>39934</v>
      </c>
      <c r="B4406" t="s">
        <v>17</v>
      </c>
      <c r="C4406" t="s">
        <v>7</v>
      </c>
      <c r="D4406">
        <v>12</v>
      </c>
      <c r="E4406" s="2">
        <v>1.1909722222222223E-2</v>
      </c>
      <c r="F4406">
        <v>17.149999999999999</v>
      </c>
    </row>
    <row r="4407" spans="1:6" x14ac:dyDescent="0.25">
      <c r="A4407" s="1">
        <v>39934</v>
      </c>
      <c r="B4407" t="s">
        <v>17</v>
      </c>
      <c r="C4407" t="s">
        <v>8</v>
      </c>
      <c r="D4407">
        <v>7</v>
      </c>
      <c r="E4407" s="2">
        <v>4.7453703703703703E-3</v>
      </c>
      <c r="F4407">
        <v>6.833333333333333</v>
      </c>
    </row>
    <row r="4408" spans="1:6" x14ac:dyDescent="0.25">
      <c r="A4408" s="1">
        <v>39934</v>
      </c>
      <c r="B4408" t="s">
        <v>17</v>
      </c>
      <c r="C4408" t="s">
        <v>9</v>
      </c>
      <c r="D4408">
        <v>7</v>
      </c>
      <c r="E4408" s="2">
        <v>2.8703703703703703E-3</v>
      </c>
      <c r="F4408">
        <v>4.1333333333333337</v>
      </c>
    </row>
    <row r="4409" spans="1:6" x14ac:dyDescent="0.25">
      <c r="A4409" s="1">
        <v>39934</v>
      </c>
      <c r="B4409" t="s">
        <v>17</v>
      </c>
      <c r="C4409" t="s">
        <v>10</v>
      </c>
      <c r="D4409">
        <v>11</v>
      </c>
      <c r="E4409" s="2">
        <v>1.1875E-2</v>
      </c>
      <c r="F4409">
        <v>17.100000000000001</v>
      </c>
    </row>
    <row r="4410" spans="1:6" x14ac:dyDescent="0.25">
      <c r="A4410" s="1">
        <v>39934</v>
      </c>
      <c r="B4410" t="s">
        <v>17</v>
      </c>
      <c r="C4410" t="s">
        <v>11</v>
      </c>
      <c r="D4410">
        <v>6</v>
      </c>
      <c r="E4410" s="2">
        <v>3.8888888888888888E-3</v>
      </c>
      <c r="F4410">
        <v>5.6</v>
      </c>
    </row>
    <row r="4411" spans="1:6" x14ac:dyDescent="0.25">
      <c r="A4411" s="1">
        <v>39934</v>
      </c>
      <c r="B4411" t="s">
        <v>18</v>
      </c>
      <c r="C4411" t="s">
        <v>6</v>
      </c>
      <c r="D4411">
        <v>71</v>
      </c>
      <c r="E4411" s="2">
        <v>6.2129629629629632E-2</v>
      </c>
      <c r="F4411">
        <v>89.466666666666669</v>
      </c>
    </row>
    <row r="4412" spans="1:6" x14ac:dyDescent="0.25">
      <c r="A4412" s="1">
        <v>39934</v>
      </c>
      <c r="B4412" t="s">
        <v>18</v>
      </c>
      <c r="C4412" t="s">
        <v>7</v>
      </c>
      <c r="D4412">
        <v>72</v>
      </c>
      <c r="E4412" s="2">
        <v>6.0856481481481484E-2</v>
      </c>
      <c r="F4412">
        <v>87.63333333333334</v>
      </c>
    </row>
    <row r="4413" spans="1:6" x14ac:dyDescent="0.25">
      <c r="A4413" s="1">
        <v>39934</v>
      </c>
      <c r="B4413" t="s">
        <v>18</v>
      </c>
      <c r="C4413" t="s">
        <v>8</v>
      </c>
      <c r="D4413">
        <v>74</v>
      </c>
      <c r="E4413" s="2">
        <v>8.9629629629629629E-2</v>
      </c>
      <c r="F4413">
        <v>129.06666666666666</v>
      </c>
    </row>
    <row r="4414" spans="1:6" x14ac:dyDescent="0.25">
      <c r="A4414" s="1">
        <v>39934</v>
      </c>
      <c r="B4414" t="s">
        <v>18</v>
      </c>
      <c r="C4414" t="s">
        <v>9</v>
      </c>
      <c r="D4414">
        <v>56</v>
      </c>
      <c r="E4414" s="2">
        <v>3.619212962962963E-2</v>
      </c>
      <c r="F4414">
        <v>52.116666666666667</v>
      </c>
    </row>
    <row r="4415" spans="1:6" x14ac:dyDescent="0.25">
      <c r="A4415" s="1">
        <v>39934</v>
      </c>
      <c r="B4415" t="s">
        <v>18</v>
      </c>
      <c r="C4415" t="s">
        <v>10</v>
      </c>
      <c r="D4415">
        <v>142</v>
      </c>
      <c r="E4415" s="2">
        <v>0.13662037037037036</v>
      </c>
      <c r="F4415">
        <v>196.73333333333332</v>
      </c>
    </row>
    <row r="4416" spans="1:6" x14ac:dyDescent="0.25">
      <c r="A4416" s="1">
        <v>39934</v>
      </c>
      <c r="B4416" t="s">
        <v>18</v>
      </c>
      <c r="C4416" t="s">
        <v>11</v>
      </c>
      <c r="D4416">
        <v>17</v>
      </c>
      <c r="E4416" s="2">
        <v>1.1157407407407408E-2</v>
      </c>
      <c r="F4416">
        <v>16.066666666666666</v>
      </c>
    </row>
    <row r="4417" spans="1:6" x14ac:dyDescent="0.25">
      <c r="A4417" s="1">
        <v>39934</v>
      </c>
      <c r="B4417" t="s">
        <v>19</v>
      </c>
      <c r="C4417" t="s">
        <v>6</v>
      </c>
      <c r="D4417">
        <v>26</v>
      </c>
      <c r="E4417" s="2">
        <v>3.1446759259259258E-2</v>
      </c>
      <c r="F4417">
        <v>45.283333333333331</v>
      </c>
    </row>
    <row r="4418" spans="1:6" x14ac:dyDescent="0.25">
      <c r="A4418" s="1">
        <v>39934</v>
      </c>
      <c r="B4418" t="s">
        <v>19</v>
      </c>
      <c r="C4418" t="s">
        <v>7</v>
      </c>
      <c r="D4418">
        <v>41</v>
      </c>
      <c r="E4418" s="2">
        <v>4.6863425925925926E-2</v>
      </c>
      <c r="F4418">
        <v>67.483333333333334</v>
      </c>
    </row>
    <row r="4419" spans="1:6" x14ac:dyDescent="0.25">
      <c r="A4419" s="1">
        <v>39934</v>
      </c>
      <c r="B4419" t="s">
        <v>19</v>
      </c>
      <c r="C4419" t="s">
        <v>8</v>
      </c>
      <c r="D4419">
        <v>29</v>
      </c>
      <c r="E4419" s="2">
        <v>3.622685185185185E-2</v>
      </c>
      <c r="F4419">
        <v>52.166666666666664</v>
      </c>
    </row>
    <row r="4420" spans="1:6" x14ac:dyDescent="0.25">
      <c r="A4420" s="1">
        <v>39934</v>
      </c>
      <c r="B4420" t="s">
        <v>19</v>
      </c>
      <c r="C4420" t="s">
        <v>9</v>
      </c>
      <c r="D4420">
        <v>17</v>
      </c>
      <c r="E4420" s="2">
        <v>1.0671296296296297E-2</v>
      </c>
      <c r="F4420">
        <v>15.366666666666667</v>
      </c>
    </row>
    <row r="4421" spans="1:6" x14ac:dyDescent="0.25">
      <c r="A4421" s="1">
        <v>39934</v>
      </c>
      <c r="B4421" t="s">
        <v>19</v>
      </c>
      <c r="C4421" t="s">
        <v>10</v>
      </c>
      <c r="D4421">
        <v>11</v>
      </c>
      <c r="E4421" s="2">
        <v>7.2337962962962963E-3</v>
      </c>
      <c r="F4421">
        <v>10.416666666666666</v>
      </c>
    </row>
    <row r="4422" spans="1:6" x14ac:dyDescent="0.25">
      <c r="A4422" s="1">
        <v>39934</v>
      </c>
      <c r="B4422" t="s">
        <v>19</v>
      </c>
      <c r="C4422" t="s">
        <v>11</v>
      </c>
      <c r="D4422">
        <v>20</v>
      </c>
      <c r="E4422" s="2">
        <v>1.650462962962963E-2</v>
      </c>
      <c r="F4422">
        <v>23.766666666666666</v>
      </c>
    </row>
    <row r="4423" spans="1:6" x14ac:dyDescent="0.25">
      <c r="A4423" s="1">
        <v>39934</v>
      </c>
      <c r="B4423" t="s">
        <v>20</v>
      </c>
      <c r="C4423" t="s">
        <v>6</v>
      </c>
      <c r="D4423">
        <v>10</v>
      </c>
      <c r="E4423" s="2">
        <v>1.2916666666666667E-2</v>
      </c>
      <c r="F4423">
        <v>18.600000000000001</v>
      </c>
    </row>
    <row r="4424" spans="1:6" x14ac:dyDescent="0.25">
      <c r="A4424" s="1">
        <v>39934</v>
      </c>
      <c r="B4424" t="s">
        <v>20</v>
      </c>
      <c r="C4424" t="s">
        <v>7</v>
      </c>
      <c r="D4424">
        <v>22</v>
      </c>
      <c r="E4424" s="2">
        <v>1.8865740740740742E-2</v>
      </c>
      <c r="F4424">
        <v>27.166666666666668</v>
      </c>
    </row>
    <row r="4425" spans="1:6" x14ac:dyDescent="0.25">
      <c r="A4425" s="1">
        <v>39934</v>
      </c>
      <c r="B4425" t="s">
        <v>20</v>
      </c>
      <c r="C4425" t="s">
        <v>8</v>
      </c>
      <c r="D4425">
        <v>11</v>
      </c>
      <c r="E4425" s="2">
        <v>1.4189814814814815E-2</v>
      </c>
      <c r="F4425">
        <v>20.433333333333334</v>
      </c>
    </row>
    <row r="4426" spans="1:6" x14ac:dyDescent="0.25">
      <c r="A4426" s="1">
        <v>39934</v>
      </c>
      <c r="B4426" t="s">
        <v>20</v>
      </c>
      <c r="C4426" t="s">
        <v>9</v>
      </c>
      <c r="D4426">
        <v>4</v>
      </c>
      <c r="E4426" s="2">
        <v>4.6296296296296294E-3</v>
      </c>
      <c r="F4426">
        <v>6.666666666666667</v>
      </c>
    </row>
    <row r="4427" spans="1:6" x14ac:dyDescent="0.25">
      <c r="A4427" s="1">
        <v>39934</v>
      </c>
      <c r="B4427" t="s">
        <v>20</v>
      </c>
      <c r="C4427" t="s">
        <v>10</v>
      </c>
      <c r="D4427">
        <v>3</v>
      </c>
      <c r="E4427" s="2">
        <v>9.7222222222222219E-4</v>
      </c>
      <c r="F4427">
        <v>1.4</v>
      </c>
    </row>
    <row r="4428" spans="1:6" x14ac:dyDescent="0.25">
      <c r="A4428" s="1">
        <v>39934</v>
      </c>
      <c r="B4428" t="s">
        <v>20</v>
      </c>
      <c r="C4428" t="s">
        <v>11</v>
      </c>
      <c r="D4428">
        <v>3</v>
      </c>
      <c r="E4428" s="2">
        <v>3.8310185185185183E-3</v>
      </c>
      <c r="F4428">
        <v>5.5166666666666666</v>
      </c>
    </row>
    <row r="4429" spans="1:6" x14ac:dyDescent="0.25">
      <c r="A4429" s="1">
        <v>39934</v>
      </c>
      <c r="B4429" t="s">
        <v>21</v>
      </c>
      <c r="C4429" t="s">
        <v>6</v>
      </c>
      <c r="D4429">
        <v>43</v>
      </c>
      <c r="E4429" s="2">
        <v>5.2164351851851851E-2</v>
      </c>
      <c r="F4429">
        <v>75.11666666666666</v>
      </c>
    </row>
    <row r="4430" spans="1:6" x14ac:dyDescent="0.25">
      <c r="A4430" s="1">
        <v>39934</v>
      </c>
      <c r="B4430" t="s">
        <v>21</v>
      </c>
      <c r="C4430" t="s">
        <v>7</v>
      </c>
      <c r="D4430">
        <v>51</v>
      </c>
      <c r="E4430" s="2">
        <v>5.527777777777778E-2</v>
      </c>
      <c r="F4430">
        <v>79.599999999999994</v>
      </c>
    </row>
    <row r="4431" spans="1:6" x14ac:dyDescent="0.25">
      <c r="A4431" s="1">
        <v>39934</v>
      </c>
      <c r="B4431" t="s">
        <v>21</v>
      </c>
      <c r="C4431" t="s">
        <v>8</v>
      </c>
      <c r="D4431">
        <v>34</v>
      </c>
      <c r="E4431" s="2">
        <v>4.2118055555555554E-2</v>
      </c>
      <c r="F4431">
        <v>60.65</v>
      </c>
    </row>
    <row r="4432" spans="1:6" x14ac:dyDescent="0.25">
      <c r="A4432" s="1">
        <v>39934</v>
      </c>
      <c r="B4432" t="s">
        <v>21</v>
      </c>
      <c r="C4432" t="s">
        <v>9</v>
      </c>
      <c r="D4432">
        <v>11</v>
      </c>
      <c r="E4432" s="2">
        <v>7.013888888888889E-3</v>
      </c>
      <c r="F4432">
        <v>10.1</v>
      </c>
    </row>
    <row r="4433" spans="1:6" x14ac:dyDescent="0.25">
      <c r="A4433" s="1">
        <v>39934</v>
      </c>
      <c r="B4433" t="s">
        <v>21</v>
      </c>
      <c r="C4433" t="s">
        <v>10</v>
      </c>
      <c r="D4433">
        <v>12</v>
      </c>
      <c r="E4433" s="2">
        <v>1.2361111111111111E-2</v>
      </c>
      <c r="F4433">
        <v>17.8</v>
      </c>
    </row>
    <row r="4434" spans="1:6" x14ac:dyDescent="0.25">
      <c r="A4434" s="1">
        <v>39934</v>
      </c>
      <c r="B4434" t="s">
        <v>21</v>
      </c>
      <c r="C4434" t="s">
        <v>11</v>
      </c>
      <c r="D4434">
        <v>21</v>
      </c>
      <c r="E4434" s="2">
        <v>1.7303240740740741E-2</v>
      </c>
      <c r="F4434">
        <v>24.916666666666668</v>
      </c>
    </row>
    <row r="4435" spans="1:6" x14ac:dyDescent="0.25">
      <c r="A4435" s="1">
        <v>39934</v>
      </c>
      <c r="B4435" t="s">
        <v>22</v>
      </c>
      <c r="C4435" t="s">
        <v>6</v>
      </c>
      <c r="D4435">
        <v>18</v>
      </c>
      <c r="E4435" s="2">
        <v>1.7685185185185186E-2</v>
      </c>
      <c r="F4435">
        <v>25.466666666666665</v>
      </c>
    </row>
    <row r="4436" spans="1:6" x14ac:dyDescent="0.25">
      <c r="A4436" s="1">
        <v>39934</v>
      </c>
      <c r="B4436" t="s">
        <v>22</v>
      </c>
      <c r="C4436" t="s">
        <v>7</v>
      </c>
      <c r="D4436">
        <v>15</v>
      </c>
      <c r="E4436" s="2">
        <v>1.6516203703703703E-2</v>
      </c>
      <c r="F4436">
        <v>23.783333333333335</v>
      </c>
    </row>
    <row r="4437" spans="1:6" x14ac:dyDescent="0.25">
      <c r="A4437" s="1">
        <v>39934</v>
      </c>
      <c r="B4437" t="s">
        <v>22</v>
      </c>
      <c r="C4437" t="s">
        <v>8</v>
      </c>
      <c r="D4437">
        <v>8</v>
      </c>
      <c r="E4437" s="2">
        <v>9.6296296296296303E-3</v>
      </c>
      <c r="F4437">
        <v>13.866666666666667</v>
      </c>
    </row>
    <row r="4438" spans="1:6" x14ac:dyDescent="0.25">
      <c r="A4438" s="1">
        <v>39934</v>
      </c>
      <c r="B4438" t="s">
        <v>22</v>
      </c>
      <c r="C4438" t="s">
        <v>9</v>
      </c>
      <c r="D4438">
        <v>7</v>
      </c>
      <c r="E4438" s="2">
        <v>3.6921296296296298E-3</v>
      </c>
      <c r="F4438">
        <v>5.3166666666666664</v>
      </c>
    </row>
    <row r="4439" spans="1:6" x14ac:dyDescent="0.25">
      <c r="A4439" s="1">
        <v>39934</v>
      </c>
      <c r="B4439" t="s">
        <v>22</v>
      </c>
      <c r="C4439" t="s">
        <v>10</v>
      </c>
      <c r="D4439">
        <v>1</v>
      </c>
      <c r="E4439" s="2">
        <v>1.1342592592592593E-3</v>
      </c>
      <c r="F4439">
        <v>1.6333333333333333</v>
      </c>
    </row>
    <row r="4440" spans="1:6" x14ac:dyDescent="0.25">
      <c r="A4440" s="1">
        <v>39934</v>
      </c>
      <c r="B4440" t="s">
        <v>22</v>
      </c>
      <c r="C4440" t="s">
        <v>11</v>
      </c>
      <c r="D4440">
        <v>10</v>
      </c>
      <c r="E4440" s="2">
        <v>1.0347222222222223E-2</v>
      </c>
      <c r="F4440">
        <v>14.9</v>
      </c>
    </row>
    <row r="4441" spans="1:6" x14ac:dyDescent="0.25">
      <c r="A4441" s="1">
        <v>39934</v>
      </c>
      <c r="B4441" t="s">
        <v>23</v>
      </c>
      <c r="C4441" t="s">
        <v>6</v>
      </c>
      <c r="D4441">
        <v>128</v>
      </c>
      <c r="E4441" s="2">
        <v>0.12785879629629629</v>
      </c>
      <c r="F4441">
        <v>184.11666666666667</v>
      </c>
    </row>
    <row r="4442" spans="1:6" x14ac:dyDescent="0.25">
      <c r="A4442" s="1">
        <v>39934</v>
      </c>
      <c r="B4442" t="s">
        <v>23</v>
      </c>
      <c r="C4442" t="s">
        <v>7</v>
      </c>
      <c r="D4442">
        <v>121</v>
      </c>
      <c r="E4442" s="2">
        <v>0.10675925925925926</v>
      </c>
      <c r="F4442">
        <v>153.73333333333332</v>
      </c>
    </row>
    <row r="4443" spans="1:6" x14ac:dyDescent="0.25">
      <c r="A4443" s="1">
        <v>39934</v>
      </c>
      <c r="B4443" t="s">
        <v>23</v>
      </c>
      <c r="C4443" t="s">
        <v>8</v>
      </c>
      <c r="D4443">
        <v>75</v>
      </c>
      <c r="E4443" s="2">
        <v>8.3333333333333329E-2</v>
      </c>
      <c r="F4443">
        <v>120</v>
      </c>
    </row>
    <row r="4444" spans="1:6" x14ac:dyDescent="0.25">
      <c r="A4444" s="1">
        <v>39934</v>
      </c>
      <c r="B4444" t="s">
        <v>23</v>
      </c>
      <c r="C4444" t="s">
        <v>9</v>
      </c>
      <c r="D4444">
        <v>63</v>
      </c>
      <c r="E4444" s="2">
        <v>3.9467592592592596E-2</v>
      </c>
      <c r="F4444">
        <v>56.833333333333336</v>
      </c>
    </row>
    <row r="4445" spans="1:6" x14ac:dyDescent="0.25">
      <c r="A4445" s="1">
        <v>39934</v>
      </c>
      <c r="B4445" t="s">
        <v>23</v>
      </c>
      <c r="C4445" t="s">
        <v>10</v>
      </c>
      <c r="D4445">
        <v>50</v>
      </c>
      <c r="E4445" s="2">
        <v>4.1423611111111112E-2</v>
      </c>
      <c r="F4445">
        <v>59.65</v>
      </c>
    </row>
    <row r="4446" spans="1:6" x14ac:dyDescent="0.25">
      <c r="A4446" s="1">
        <v>39934</v>
      </c>
      <c r="B4446" t="s">
        <v>23</v>
      </c>
      <c r="C4446" t="s">
        <v>11</v>
      </c>
      <c r="D4446">
        <v>63</v>
      </c>
      <c r="E4446" s="2">
        <v>4.3969907407407409E-2</v>
      </c>
      <c r="F4446">
        <v>63.31666666666667</v>
      </c>
    </row>
    <row r="4447" spans="1:6" x14ac:dyDescent="0.25">
      <c r="A4447" s="1">
        <v>39934</v>
      </c>
      <c r="B4447" t="s">
        <v>24</v>
      </c>
      <c r="C4447" t="s">
        <v>6</v>
      </c>
      <c r="D4447">
        <v>43</v>
      </c>
      <c r="E4447" s="2">
        <v>3.4108796296296297E-2</v>
      </c>
      <c r="F4447">
        <v>49.116666666666667</v>
      </c>
    </row>
    <row r="4448" spans="1:6" x14ac:dyDescent="0.25">
      <c r="A4448" s="1">
        <v>39934</v>
      </c>
      <c r="B4448" t="s">
        <v>24</v>
      </c>
      <c r="C4448" t="s">
        <v>7</v>
      </c>
      <c r="D4448">
        <v>52</v>
      </c>
      <c r="E4448" s="2">
        <v>3.4641203703703702E-2</v>
      </c>
      <c r="F4448">
        <v>49.883333333333333</v>
      </c>
    </row>
    <row r="4449" spans="1:6" x14ac:dyDescent="0.25">
      <c r="A4449" s="1">
        <v>39934</v>
      </c>
      <c r="B4449" t="s">
        <v>24</v>
      </c>
      <c r="C4449" t="s">
        <v>8</v>
      </c>
      <c r="D4449">
        <v>26</v>
      </c>
      <c r="E4449" s="2">
        <v>2.1956018518518517E-2</v>
      </c>
      <c r="F4449">
        <v>31.616666666666667</v>
      </c>
    </row>
    <row r="4450" spans="1:6" x14ac:dyDescent="0.25">
      <c r="A4450" s="1">
        <v>39934</v>
      </c>
      <c r="B4450" t="s">
        <v>24</v>
      </c>
      <c r="C4450" t="s">
        <v>9</v>
      </c>
      <c r="D4450">
        <v>15</v>
      </c>
      <c r="E4450" s="2">
        <v>9.780092592592592E-3</v>
      </c>
      <c r="F4450">
        <v>14.083333333333334</v>
      </c>
    </row>
    <row r="4451" spans="1:6" x14ac:dyDescent="0.25">
      <c r="A4451" s="1">
        <v>39934</v>
      </c>
      <c r="B4451" t="s">
        <v>24</v>
      </c>
      <c r="C4451" t="s">
        <v>10</v>
      </c>
      <c r="D4451">
        <v>1</v>
      </c>
      <c r="E4451" s="2">
        <v>1.8634259259259259E-3</v>
      </c>
      <c r="F4451">
        <v>2.6833333333333336</v>
      </c>
    </row>
    <row r="4452" spans="1:6" x14ac:dyDescent="0.25">
      <c r="A4452" s="1">
        <v>39934</v>
      </c>
      <c r="B4452" t="s">
        <v>24</v>
      </c>
      <c r="C4452" t="s">
        <v>11</v>
      </c>
      <c r="D4452">
        <v>31</v>
      </c>
      <c r="E4452" s="2">
        <v>2.4108796296296295E-2</v>
      </c>
      <c r="F4452">
        <v>34.716666666666669</v>
      </c>
    </row>
    <row r="4453" spans="1:6" x14ac:dyDescent="0.25">
      <c r="A4453" s="1">
        <v>39965</v>
      </c>
      <c r="B4453" t="s">
        <v>5</v>
      </c>
      <c r="C4453" t="s">
        <v>6</v>
      </c>
      <c r="D4453">
        <v>128</v>
      </c>
      <c r="E4453" s="2">
        <v>0.13305555555555557</v>
      </c>
      <c r="F4453">
        <v>191.6</v>
      </c>
    </row>
    <row r="4454" spans="1:6" x14ac:dyDescent="0.25">
      <c r="A4454" s="1">
        <v>39965</v>
      </c>
      <c r="B4454" t="s">
        <v>5</v>
      </c>
      <c r="C4454" t="s">
        <v>7</v>
      </c>
      <c r="D4454">
        <v>131</v>
      </c>
      <c r="E4454" s="2">
        <v>0.12600694444444444</v>
      </c>
      <c r="F4454">
        <v>181.45</v>
      </c>
    </row>
    <row r="4455" spans="1:6" x14ac:dyDescent="0.25">
      <c r="A4455" s="1">
        <v>39965</v>
      </c>
      <c r="B4455" t="s">
        <v>5</v>
      </c>
      <c r="C4455" t="s">
        <v>8</v>
      </c>
      <c r="D4455">
        <v>71</v>
      </c>
      <c r="E4455" s="2">
        <v>9.0740740740740747E-2</v>
      </c>
      <c r="F4455">
        <v>130.66666666666666</v>
      </c>
    </row>
    <row r="4456" spans="1:6" x14ac:dyDescent="0.25">
      <c r="A4456" s="1">
        <v>39965</v>
      </c>
      <c r="B4456" t="s">
        <v>5</v>
      </c>
      <c r="C4456" t="s">
        <v>9</v>
      </c>
      <c r="D4456">
        <v>58</v>
      </c>
      <c r="E4456" s="2">
        <v>3.5729166666666666E-2</v>
      </c>
      <c r="F4456">
        <v>51.45</v>
      </c>
    </row>
    <row r="4457" spans="1:6" x14ac:dyDescent="0.25">
      <c r="A4457" s="1">
        <v>39965</v>
      </c>
      <c r="B4457" t="s">
        <v>5</v>
      </c>
      <c r="C4457" t="s">
        <v>10</v>
      </c>
      <c r="D4457">
        <v>22</v>
      </c>
      <c r="E4457" s="2">
        <v>1.4918981481481481E-2</v>
      </c>
      <c r="F4457">
        <v>21.483333333333334</v>
      </c>
    </row>
    <row r="4458" spans="1:6" x14ac:dyDescent="0.25">
      <c r="A4458" s="1">
        <v>39965</v>
      </c>
      <c r="B4458" t="s">
        <v>5</v>
      </c>
      <c r="C4458" t="s">
        <v>11</v>
      </c>
      <c r="D4458">
        <v>42</v>
      </c>
      <c r="E4458" s="2">
        <v>4.0879629629629627E-2</v>
      </c>
      <c r="F4458">
        <v>58.866666666666667</v>
      </c>
    </row>
    <row r="4459" spans="1:6" x14ac:dyDescent="0.25">
      <c r="A4459" s="1">
        <v>39965</v>
      </c>
      <c r="B4459" t="s">
        <v>12</v>
      </c>
      <c r="C4459" t="s">
        <v>6</v>
      </c>
      <c r="D4459">
        <v>56</v>
      </c>
      <c r="E4459" s="2">
        <v>6.6423611111111114E-2</v>
      </c>
      <c r="F4459">
        <v>95.65</v>
      </c>
    </row>
    <row r="4460" spans="1:6" x14ac:dyDescent="0.25">
      <c r="A4460" s="1">
        <v>39965</v>
      </c>
      <c r="B4460" t="s">
        <v>12</v>
      </c>
      <c r="C4460" t="s">
        <v>7</v>
      </c>
      <c r="D4460">
        <v>48</v>
      </c>
      <c r="E4460" s="2">
        <v>6.3159722222222228E-2</v>
      </c>
      <c r="F4460">
        <v>90.95</v>
      </c>
    </row>
    <row r="4461" spans="1:6" x14ac:dyDescent="0.25">
      <c r="A4461" s="1">
        <v>39965</v>
      </c>
      <c r="B4461" t="s">
        <v>12</v>
      </c>
      <c r="C4461" t="s">
        <v>8</v>
      </c>
      <c r="D4461">
        <v>35</v>
      </c>
      <c r="E4461" s="2">
        <v>5.2905092592592594E-2</v>
      </c>
      <c r="F4461">
        <v>76.183333333333337</v>
      </c>
    </row>
    <row r="4462" spans="1:6" x14ac:dyDescent="0.25">
      <c r="A4462" s="1">
        <v>39965</v>
      </c>
      <c r="B4462" t="s">
        <v>12</v>
      </c>
      <c r="C4462" t="s">
        <v>9</v>
      </c>
      <c r="D4462">
        <v>16</v>
      </c>
      <c r="E4462" s="2">
        <v>1.150462962962963E-2</v>
      </c>
      <c r="F4462">
        <v>16.566666666666666</v>
      </c>
    </row>
    <row r="4463" spans="1:6" x14ac:dyDescent="0.25">
      <c r="A4463" s="1">
        <v>39965</v>
      </c>
      <c r="B4463" t="s">
        <v>12</v>
      </c>
      <c r="C4463" t="s">
        <v>10</v>
      </c>
      <c r="D4463">
        <v>3</v>
      </c>
      <c r="E4463" s="2">
        <v>1.0648148148148149E-3</v>
      </c>
      <c r="F4463">
        <v>1.5333333333333332</v>
      </c>
    </row>
    <row r="4464" spans="1:6" x14ac:dyDescent="0.25">
      <c r="A4464" s="1">
        <v>39965</v>
      </c>
      <c r="B4464" t="s">
        <v>12</v>
      </c>
      <c r="C4464" t="s">
        <v>11</v>
      </c>
      <c r="D4464">
        <v>25</v>
      </c>
      <c r="E4464" s="2">
        <v>2.1724537037037039E-2</v>
      </c>
      <c r="F4464">
        <v>31.283333333333335</v>
      </c>
    </row>
    <row r="4465" spans="1:6" x14ac:dyDescent="0.25">
      <c r="A4465" s="1">
        <v>39965</v>
      </c>
      <c r="B4465" t="s">
        <v>13</v>
      </c>
      <c r="C4465" t="s">
        <v>6</v>
      </c>
      <c r="D4465">
        <v>54</v>
      </c>
      <c r="E4465" s="2">
        <v>5.3101851851851851E-2</v>
      </c>
      <c r="F4465">
        <v>76.466666666666669</v>
      </c>
    </row>
    <row r="4466" spans="1:6" x14ac:dyDescent="0.25">
      <c r="A4466" s="1">
        <v>39965</v>
      </c>
      <c r="B4466" t="s">
        <v>13</v>
      </c>
      <c r="C4466" t="s">
        <v>7</v>
      </c>
      <c r="D4466">
        <v>45</v>
      </c>
      <c r="E4466" s="2">
        <v>3.7164351851851851E-2</v>
      </c>
      <c r="F4466">
        <v>53.516666666666666</v>
      </c>
    </row>
    <row r="4467" spans="1:6" x14ac:dyDescent="0.25">
      <c r="A4467" s="1">
        <v>39965</v>
      </c>
      <c r="B4467" t="s">
        <v>13</v>
      </c>
      <c r="C4467" t="s">
        <v>8</v>
      </c>
      <c r="D4467">
        <v>29</v>
      </c>
      <c r="E4467" s="2">
        <v>3.6134259259259262E-2</v>
      </c>
      <c r="F4467">
        <v>52.033333333333331</v>
      </c>
    </row>
    <row r="4468" spans="1:6" x14ac:dyDescent="0.25">
      <c r="A4468" s="1">
        <v>39965</v>
      </c>
      <c r="B4468" t="s">
        <v>13</v>
      </c>
      <c r="C4468" t="s">
        <v>9</v>
      </c>
      <c r="D4468">
        <v>19</v>
      </c>
      <c r="E4468" s="2">
        <v>9.3518518518518525E-3</v>
      </c>
      <c r="F4468">
        <v>13.466666666666667</v>
      </c>
    </row>
    <row r="4469" spans="1:6" x14ac:dyDescent="0.25">
      <c r="A4469" s="1">
        <v>39965</v>
      </c>
      <c r="B4469" t="s">
        <v>13</v>
      </c>
      <c r="C4469" t="s">
        <v>10</v>
      </c>
      <c r="D4469">
        <v>48</v>
      </c>
      <c r="E4469" s="2">
        <v>3.3819444444444444E-2</v>
      </c>
      <c r="F4469">
        <v>48.7</v>
      </c>
    </row>
    <row r="4470" spans="1:6" x14ac:dyDescent="0.25">
      <c r="A4470" s="1">
        <v>39965</v>
      </c>
      <c r="B4470" t="s">
        <v>13</v>
      </c>
      <c r="C4470" t="s">
        <v>11</v>
      </c>
      <c r="D4470">
        <v>20</v>
      </c>
      <c r="E4470" s="2">
        <v>1.7453703703703704E-2</v>
      </c>
      <c r="F4470">
        <v>25.133333333333333</v>
      </c>
    </row>
    <row r="4471" spans="1:6" x14ac:dyDescent="0.25">
      <c r="A4471" s="1">
        <v>39965</v>
      </c>
      <c r="B4471" t="s">
        <v>14</v>
      </c>
      <c r="C4471" t="s">
        <v>6</v>
      </c>
      <c r="D4471">
        <v>19</v>
      </c>
      <c r="E4471" s="2">
        <v>2.1435185185185186E-2</v>
      </c>
      <c r="F4471">
        <v>30.866666666666667</v>
      </c>
    </row>
    <row r="4472" spans="1:6" x14ac:dyDescent="0.25">
      <c r="A4472" s="1">
        <v>39965</v>
      </c>
      <c r="B4472" t="s">
        <v>14</v>
      </c>
      <c r="C4472" t="s">
        <v>7</v>
      </c>
      <c r="D4472">
        <v>14</v>
      </c>
      <c r="E4472" s="2">
        <v>2.0370370370370372E-2</v>
      </c>
      <c r="F4472">
        <v>29.333333333333332</v>
      </c>
    </row>
    <row r="4473" spans="1:6" x14ac:dyDescent="0.25">
      <c r="A4473" s="1">
        <v>39965</v>
      </c>
      <c r="B4473" t="s">
        <v>14</v>
      </c>
      <c r="C4473" t="s">
        <v>8</v>
      </c>
      <c r="D4473">
        <v>10</v>
      </c>
      <c r="E4473" s="2">
        <v>1.292824074074074E-2</v>
      </c>
      <c r="F4473">
        <v>18.616666666666667</v>
      </c>
    </row>
    <row r="4474" spans="1:6" x14ac:dyDescent="0.25">
      <c r="A4474" s="1">
        <v>39965</v>
      </c>
      <c r="B4474" t="s">
        <v>14</v>
      </c>
      <c r="C4474" t="s">
        <v>9</v>
      </c>
      <c r="D4474">
        <v>5</v>
      </c>
      <c r="E4474" s="2">
        <v>2.9745370370370373E-3</v>
      </c>
      <c r="F4474">
        <v>4.2833333333333332</v>
      </c>
    </row>
    <row r="4475" spans="1:6" x14ac:dyDescent="0.25">
      <c r="A4475" s="1">
        <v>39965</v>
      </c>
      <c r="B4475" t="s">
        <v>14</v>
      </c>
      <c r="C4475" t="s">
        <v>10</v>
      </c>
      <c r="D4475">
        <v>4</v>
      </c>
      <c r="E4475" s="2">
        <v>6.6898148148148151E-3</v>
      </c>
      <c r="F4475">
        <v>9.6333333333333329</v>
      </c>
    </row>
    <row r="4476" spans="1:6" x14ac:dyDescent="0.25">
      <c r="A4476" s="1">
        <v>39965</v>
      </c>
      <c r="B4476" t="s">
        <v>14</v>
      </c>
      <c r="C4476" t="s">
        <v>11</v>
      </c>
      <c r="D4476">
        <v>12</v>
      </c>
      <c r="E4476" s="2">
        <v>1.0613425925925925E-2</v>
      </c>
      <c r="F4476">
        <v>15.283333333333333</v>
      </c>
    </row>
    <row r="4477" spans="1:6" x14ac:dyDescent="0.25">
      <c r="A4477" s="1">
        <v>39965</v>
      </c>
      <c r="B4477" t="s">
        <v>15</v>
      </c>
      <c r="C4477" t="s">
        <v>6</v>
      </c>
      <c r="D4477">
        <v>11</v>
      </c>
      <c r="E4477" s="2">
        <v>1.1759259259259259E-2</v>
      </c>
      <c r="F4477">
        <v>16.933333333333334</v>
      </c>
    </row>
    <row r="4478" spans="1:6" x14ac:dyDescent="0.25">
      <c r="A4478" s="1">
        <v>39965</v>
      </c>
      <c r="B4478" t="s">
        <v>15</v>
      </c>
      <c r="C4478" t="s">
        <v>7</v>
      </c>
      <c r="D4478">
        <v>14</v>
      </c>
      <c r="E4478" s="2">
        <v>1.5428240740740741E-2</v>
      </c>
      <c r="F4478">
        <v>22.216666666666665</v>
      </c>
    </row>
    <row r="4479" spans="1:6" x14ac:dyDescent="0.25">
      <c r="A4479" s="1">
        <v>39965</v>
      </c>
      <c r="B4479" t="s">
        <v>15</v>
      </c>
      <c r="C4479" t="s">
        <v>8</v>
      </c>
      <c r="D4479">
        <v>8</v>
      </c>
      <c r="E4479" s="2">
        <v>8.7847222222222215E-3</v>
      </c>
      <c r="F4479">
        <v>12.65</v>
      </c>
    </row>
    <row r="4480" spans="1:6" x14ac:dyDescent="0.25">
      <c r="A4480" s="1">
        <v>39965</v>
      </c>
      <c r="B4480" t="s">
        <v>15</v>
      </c>
      <c r="C4480" t="s">
        <v>9</v>
      </c>
      <c r="D4480">
        <v>2</v>
      </c>
      <c r="E4480" s="2">
        <v>6.3657407407407413E-4</v>
      </c>
      <c r="F4480">
        <v>0.91666666666666663</v>
      </c>
    </row>
    <row r="4481" spans="1:6" x14ac:dyDescent="0.25">
      <c r="A4481" s="1">
        <v>39965</v>
      </c>
      <c r="B4481" t="s">
        <v>15</v>
      </c>
      <c r="C4481" t="s">
        <v>10</v>
      </c>
      <c r="D4481">
        <v>7</v>
      </c>
      <c r="E4481" s="2">
        <v>4.0277777777777777E-3</v>
      </c>
      <c r="F4481">
        <v>5.8</v>
      </c>
    </row>
    <row r="4482" spans="1:6" x14ac:dyDescent="0.25">
      <c r="A4482" s="1">
        <v>39965</v>
      </c>
      <c r="B4482" t="s">
        <v>15</v>
      </c>
      <c r="C4482" t="s">
        <v>11</v>
      </c>
      <c r="D4482">
        <v>7</v>
      </c>
      <c r="E4482" s="2">
        <v>5.7754629629629631E-3</v>
      </c>
      <c r="F4482">
        <v>8.3166666666666664</v>
      </c>
    </row>
    <row r="4483" spans="1:6" x14ac:dyDescent="0.25">
      <c r="A4483" s="1">
        <v>39965</v>
      </c>
      <c r="B4483" t="s">
        <v>16</v>
      </c>
      <c r="C4483" t="s">
        <v>6</v>
      </c>
      <c r="D4483">
        <v>20</v>
      </c>
      <c r="E4483" s="2">
        <v>1.9386574074074073E-2</v>
      </c>
      <c r="F4483">
        <v>27.916666666666668</v>
      </c>
    </row>
    <row r="4484" spans="1:6" x14ac:dyDescent="0.25">
      <c r="A4484" s="1">
        <v>39965</v>
      </c>
      <c r="B4484" t="s">
        <v>16</v>
      </c>
      <c r="C4484" t="s">
        <v>7</v>
      </c>
      <c r="D4484">
        <v>15</v>
      </c>
      <c r="E4484" s="2">
        <v>1.3530092592592592E-2</v>
      </c>
      <c r="F4484">
        <v>19.483333333333334</v>
      </c>
    </row>
    <row r="4485" spans="1:6" x14ac:dyDescent="0.25">
      <c r="A4485" s="1">
        <v>39965</v>
      </c>
      <c r="B4485" t="s">
        <v>16</v>
      </c>
      <c r="C4485" t="s">
        <v>8</v>
      </c>
      <c r="D4485">
        <v>15</v>
      </c>
      <c r="E4485" s="2">
        <v>1.0937499999999999E-2</v>
      </c>
      <c r="F4485">
        <v>15.75</v>
      </c>
    </row>
    <row r="4486" spans="1:6" x14ac:dyDescent="0.25">
      <c r="A4486" s="1">
        <v>39965</v>
      </c>
      <c r="B4486" t="s">
        <v>16</v>
      </c>
      <c r="C4486" t="s">
        <v>9</v>
      </c>
      <c r="D4486">
        <v>17</v>
      </c>
      <c r="E4486" s="2">
        <v>7.5115740740740742E-3</v>
      </c>
      <c r="F4486">
        <v>10.816666666666666</v>
      </c>
    </row>
    <row r="4487" spans="1:6" x14ac:dyDescent="0.25">
      <c r="A4487" s="1">
        <v>39965</v>
      </c>
      <c r="B4487" t="s">
        <v>16</v>
      </c>
      <c r="C4487" t="s">
        <v>10</v>
      </c>
      <c r="D4487">
        <v>6</v>
      </c>
      <c r="E4487" s="2">
        <v>1.9907407407407408E-3</v>
      </c>
      <c r="F4487">
        <v>2.8666666666666667</v>
      </c>
    </row>
    <row r="4488" spans="1:6" x14ac:dyDescent="0.25">
      <c r="A4488" s="1">
        <v>39965</v>
      </c>
      <c r="B4488" t="s">
        <v>16</v>
      </c>
      <c r="C4488" t="s">
        <v>11</v>
      </c>
      <c r="D4488">
        <v>16</v>
      </c>
      <c r="E4488" s="2">
        <v>1.1631944444444445E-2</v>
      </c>
      <c r="F4488">
        <v>16.75</v>
      </c>
    </row>
    <row r="4489" spans="1:6" x14ac:dyDescent="0.25">
      <c r="A4489" s="1">
        <v>39965</v>
      </c>
      <c r="B4489" t="s">
        <v>17</v>
      </c>
      <c r="C4489" t="s">
        <v>6</v>
      </c>
      <c r="D4489">
        <v>65</v>
      </c>
      <c r="E4489" s="2">
        <v>9.1458333333333336E-2</v>
      </c>
      <c r="F4489">
        <v>131.69999999999999</v>
      </c>
    </row>
    <row r="4490" spans="1:6" x14ac:dyDescent="0.25">
      <c r="A4490" s="1">
        <v>39965</v>
      </c>
      <c r="B4490" t="s">
        <v>17</v>
      </c>
      <c r="C4490" t="s">
        <v>7</v>
      </c>
      <c r="D4490">
        <v>64</v>
      </c>
      <c r="E4490" s="2">
        <v>6.9467592592592595E-2</v>
      </c>
      <c r="F4490">
        <v>100.03333333333333</v>
      </c>
    </row>
    <row r="4491" spans="1:6" x14ac:dyDescent="0.25">
      <c r="A4491" s="1">
        <v>39965</v>
      </c>
      <c r="B4491" t="s">
        <v>17</v>
      </c>
      <c r="C4491" t="s">
        <v>8</v>
      </c>
      <c r="D4491">
        <v>28</v>
      </c>
      <c r="E4491" s="2">
        <v>3.7025462962962961E-2</v>
      </c>
      <c r="F4491">
        <v>53.31666666666667</v>
      </c>
    </row>
    <row r="4492" spans="1:6" x14ac:dyDescent="0.25">
      <c r="A4492" s="1">
        <v>39965</v>
      </c>
      <c r="B4492" t="s">
        <v>17</v>
      </c>
      <c r="C4492" t="s">
        <v>9</v>
      </c>
      <c r="D4492">
        <v>22</v>
      </c>
      <c r="E4492" s="2">
        <v>1.5138888888888889E-2</v>
      </c>
      <c r="F4492">
        <v>21.8</v>
      </c>
    </row>
    <row r="4493" spans="1:6" x14ac:dyDescent="0.25">
      <c r="A4493" s="1">
        <v>39965</v>
      </c>
      <c r="B4493" t="s">
        <v>17</v>
      </c>
      <c r="C4493" t="s">
        <v>10</v>
      </c>
      <c r="D4493">
        <v>12</v>
      </c>
      <c r="E4493" s="2">
        <v>1.0358796296296297E-2</v>
      </c>
      <c r="F4493">
        <v>14.916666666666666</v>
      </c>
    </row>
    <row r="4494" spans="1:6" x14ac:dyDescent="0.25">
      <c r="A4494" s="1">
        <v>39965</v>
      </c>
      <c r="B4494" t="s">
        <v>17</v>
      </c>
      <c r="C4494" t="s">
        <v>11</v>
      </c>
      <c r="D4494">
        <v>22</v>
      </c>
      <c r="E4494" s="2">
        <v>2.7986111111111111E-2</v>
      </c>
      <c r="F4494">
        <v>40.299999999999997</v>
      </c>
    </row>
    <row r="4495" spans="1:6" x14ac:dyDescent="0.25">
      <c r="A4495" s="1">
        <v>39965</v>
      </c>
      <c r="B4495" t="s">
        <v>18</v>
      </c>
      <c r="C4495" t="s">
        <v>6</v>
      </c>
      <c r="D4495">
        <v>79</v>
      </c>
      <c r="E4495" s="2">
        <v>7.5960648148148152E-2</v>
      </c>
      <c r="F4495">
        <v>109.38333333333334</v>
      </c>
    </row>
    <row r="4496" spans="1:6" x14ac:dyDescent="0.25">
      <c r="A4496" s="1">
        <v>39965</v>
      </c>
      <c r="B4496" t="s">
        <v>18</v>
      </c>
      <c r="C4496" t="s">
        <v>7</v>
      </c>
      <c r="D4496">
        <v>120</v>
      </c>
      <c r="E4496" s="2">
        <v>0.10715277777777778</v>
      </c>
      <c r="F4496">
        <v>154.30000000000001</v>
      </c>
    </row>
    <row r="4497" spans="1:6" x14ac:dyDescent="0.25">
      <c r="A4497" s="1">
        <v>39965</v>
      </c>
      <c r="B4497" t="s">
        <v>18</v>
      </c>
      <c r="C4497" t="s">
        <v>8</v>
      </c>
      <c r="D4497">
        <v>96</v>
      </c>
      <c r="E4497" s="2">
        <v>0.1146875</v>
      </c>
      <c r="F4497">
        <v>165.15</v>
      </c>
    </row>
    <row r="4498" spans="1:6" x14ac:dyDescent="0.25">
      <c r="A4498" s="1">
        <v>39965</v>
      </c>
      <c r="B4498" t="s">
        <v>18</v>
      </c>
      <c r="C4498" t="s">
        <v>9</v>
      </c>
      <c r="D4498">
        <v>74</v>
      </c>
      <c r="E4498" s="2">
        <v>4.2928240740740739E-2</v>
      </c>
      <c r="F4498">
        <v>61.81666666666667</v>
      </c>
    </row>
    <row r="4499" spans="1:6" x14ac:dyDescent="0.25">
      <c r="A4499" s="1">
        <v>39965</v>
      </c>
      <c r="B4499" t="s">
        <v>18</v>
      </c>
      <c r="C4499" t="s">
        <v>10</v>
      </c>
      <c r="D4499">
        <v>197</v>
      </c>
      <c r="E4499" s="2">
        <v>0.19465277777777779</v>
      </c>
      <c r="F4499">
        <v>280.3</v>
      </c>
    </row>
    <row r="4500" spans="1:6" x14ac:dyDescent="0.25">
      <c r="A4500" s="1">
        <v>39965</v>
      </c>
      <c r="B4500" t="s">
        <v>18</v>
      </c>
      <c r="C4500" t="s">
        <v>11</v>
      </c>
      <c r="D4500">
        <v>25</v>
      </c>
      <c r="E4500" s="2">
        <v>2.060185185185185E-2</v>
      </c>
      <c r="F4500">
        <v>29.666666666666668</v>
      </c>
    </row>
    <row r="4501" spans="1:6" x14ac:dyDescent="0.25">
      <c r="A4501" s="1">
        <v>39965</v>
      </c>
      <c r="B4501" t="s">
        <v>19</v>
      </c>
      <c r="C4501" t="s">
        <v>6</v>
      </c>
      <c r="D4501">
        <v>36</v>
      </c>
      <c r="E4501" s="2">
        <v>3.7916666666666668E-2</v>
      </c>
      <c r="F4501">
        <v>54.6</v>
      </c>
    </row>
    <row r="4502" spans="1:6" x14ac:dyDescent="0.25">
      <c r="A4502" s="1">
        <v>39965</v>
      </c>
      <c r="B4502" t="s">
        <v>19</v>
      </c>
      <c r="C4502" t="s">
        <v>7</v>
      </c>
      <c r="D4502">
        <v>33</v>
      </c>
      <c r="E4502" s="2">
        <v>3.1481481481481478E-2</v>
      </c>
      <c r="F4502">
        <v>45.333333333333336</v>
      </c>
    </row>
    <row r="4503" spans="1:6" x14ac:dyDescent="0.25">
      <c r="A4503" s="1">
        <v>39965</v>
      </c>
      <c r="B4503" t="s">
        <v>19</v>
      </c>
      <c r="C4503" t="s">
        <v>8</v>
      </c>
      <c r="D4503">
        <v>33</v>
      </c>
      <c r="E4503" s="2">
        <v>3.2256944444444442E-2</v>
      </c>
      <c r="F4503">
        <v>46.45</v>
      </c>
    </row>
    <row r="4504" spans="1:6" x14ac:dyDescent="0.25">
      <c r="A4504" s="1">
        <v>39965</v>
      </c>
      <c r="B4504" t="s">
        <v>19</v>
      </c>
      <c r="C4504" t="s">
        <v>9</v>
      </c>
      <c r="D4504">
        <v>27</v>
      </c>
      <c r="E4504" s="2">
        <v>1.7685185185185186E-2</v>
      </c>
      <c r="F4504">
        <v>25.466666666666665</v>
      </c>
    </row>
    <row r="4505" spans="1:6" x14ac:dyDescent="0.25">
      <c r="A4505" s="1">
        <v>39965</v>
      </c>
      <c r="B4505" t="s">
        <v>19</v>
      </c>
      <c r="C4505" t="s">
        <v>10</v>
      </c>
      <c r="D4505">
        <v>15</v>
      </c>
      <c r="E4505" s="2">
        <v>1.125E-2</v>
      </c>
      <c r="F4505">
        <v>16.2</v>
      </c>
    </row>
    <row r="4506" spans="1:6" x14ac:dyDescent="0.25">
      <c r="A4506" s="1">
        <v>39965</v>
      </c>
      <c r="B4506" t="s">
        <v>19</v>
      </c>
      <c r="C4506" t="s">
        <v>11</v>
      </c>
      <c r="D4506">
        <v>31</v>
      </c>
      <c r="E4506" s="2">
        <v>2.568287037037037E-2</v>
      </c>
      <c r="F4506">
        <v>36.983333333333334</v>
      </c>
    </row>
    <row r="4507" spans="1:6" x14ac:dyDescent="0.25">
      <c r="A4507" s="1">
        <v>39965</v>
      </c>
      <c r="B4507" t="s">
        <v>20</v>
      </c>
      <c r="C4507" t="s">
        <v>6</v>
      </c>
      <c r="D4507">
        <v>45</v>
      </c>
      <c r="E4507" s="2">
        <v>4.3124999999999997E-2</v>
      </c>
      <c r="F4507">
        <v>62.1</v>
      </c>
    </row>
    <row r="4508" spans="1:6" x14ac:dyDescent="0.25">
      <c r="A4508" s="1">
        <v>39965</v>
      </c>
      <c r="B4508" t="s">
        <v>20</v>
      </c>
      <c r="C4508" t="s">
        <v>7</v>
      </c>
      <c r="D4508">
        <v>53</v>
      </c>
      <c r="E4508" s="2">
        <v>4.9351851851851855E-2</v>
      </c>
      <c r="F4508">
        <v>71.066666666666663</v>
      </c>
    </row>
    <row r="4509" spans="1:6" x14ac:dyDescent="0.25">
      <c r="A4509" s="1">
        <v>39965</v>
      </c>
      <c r="B4509" t="s">
        <v>20</v>
      </c>
      <c r="C4509" t="s">
        <v>8</v>
      </c>
      <c r="D4509">
        <v>39</v>
      </c>
      <c r="E4509" s="2">
        <v>4.7453703703703706E-2</v>
      </c>
      <c r="F4509">
        <v>68.333333333333329</v>
      </c>
    </row>
    <row r="4510" spans="1:6" x14ac:dyDescent="0.25">
      <c r="A4510" s="1">
        <v>39965</v>
      </c>
      <c r="B4510" t="s">
        <v>20</v>
      </c>
      <c r="C4510" t="s">
        <v>9</v>
      </c>
      <c r="D4510">
        <v>18</v>
      </c>
      <c r="E4510" s="2">
        <v>1.0983796296296297E-2</v>
      </c>
      <c r="F4510">
        <v>15.816666666666666</v>
      </c>
    </row>
    <row r="4511" spans="1:6" x14ac:dyDescent="0.25">
      <c r="A4511" s="1">
        <v>39965</v>
      </c>
      <c r="B4511" t="s">
        <v>20</v>
      </c>
      <c r="C4511" t="s">
        <v>10</v>
      </c>
      <c r="D4511">
        <v>8</v>
      </c>
      <c r="E4511" s="2">
        <v>8.8310185185185193E-3</v>
      </c>
      <c r="F4511">
        <v>12.716666666666667</v>
      </c>
    </row>
    <row r="4512" spans="1:6" x14ac:dyDescent="0.25">
      <c r="A4512" s="1">
        <v>39965</v>
      </c>
      <c r="B4512" t="s">
        <v>20</v>
      </c>
      <c r="C4512" t="s">
        <v>11</v>
      </c>
      <c r="D4512">
        <v>10</v>
      </c>
      <c r="E4512" s="2">
        <v>1.037037037037037E-2</v>
      </c>
      <c r="F4512">
        <v>14.933333333333334</v>
      </c>
    </row>
    <row r="4513" spans="1:6" x14ac:dyDescent="0.25">
      <c r="A4513" s="1">
        <v>39965</v>
      </c>
      <c r="B4513" t="s">
        <v>21</v>
      </c>
      <c r="C4513" t="s">
        <v>6</v>
      </c>
      <c r="D4513">
        <v>58</v>
      </c>
      <c r="E4513" s="2">
        <v>6.1631944444444448E-2</v>
      </c>
      <c r="F4513">
        <v>88.75</v>
      </c>
    </row>
    <row r="4514" spans="1:6" x14ac:dyDescent="0.25">
      <c r="A4514" s="1">
        <v>39965</v>
      </c>
      <c r="B4514" t="s">
        <v>21</v>
      </c>
      <c r="C4514" t="s">
        <v>7</v>
      </c>
      <c r="D4514">
        <v>38</v>
      </c>
      <c r="E4514" s="2">
        <v>3.8877314814814816E-2</v>
      </c>
      <c r="F4514">
        <v>55.983333333333334</v>
      </c>
    </row>
    <row r="4515" spans="1:6" x14ac:dyDescent="0.25">
      <c r="A4515" s="1">
        <v>39965</v>
      </c>
      <c r="B4515" t="s">
        <v>21</v>
      </c>
      <c r="C4515" t="s">
        <v>8</v>
      </c>
      <c r="D4515">
        <v>23</v>
      </c>
      <c r="E4515" s="2">
        <v>2.9594907407407407E-2</v>
      </c>
      <c r="F4515">
        <v>42.616666666666667</v>
      </c>
    </row>
    <row r="4516" spans="1:6" x14ac:dyDescent="0.25">
      <c r="A4516" s="1">
        <v>39965</v>
      </c>
      <c r="B4516" t="s">
        <v>21</v>
      </c>
      <c r="C4516" t="s">
        <v>9</v>
      </c>
      <c r="D4516">
        <v>8</v>
      </c>
      <c r="E4516" s="2">
        <v>5.0000000000000001E-3</v>
      </c>
      <c r="F4516">
        <v>7.2</v>
      </c>
    </row>
    <row r="4517" spans="1:6" x14ac:dyDescent="0.25">
      <c r="A4517" s="1">
        <v>39965</v>
      </c>
      <c r="B4517" t="s">
        <v>21</v>
      </c>
      <c r="C4517" t="s">
        <v>10</v>
      </c>
      <c r="D4517">
        <v>5</v>
      </c>
      <c r="E4517" s="2">
        <v>5.0347222222222225E-3</v>
      </c>
      <c r="F4517">
        <v>7.25</v>
      </c>
    </row>
    <row r="4518" spans="1:6" x14ac:dyDescent="0.25">
      <c r="A4518" s="1">
        <v>39965</v>
      </c>
      <c r="B4518" t="s">
        <v>21</v>
      </c>
      <c r="C4518" t="s">
        <v>11</v>
      </c>
      <c r="D4518">
        <v>15</v>
      </c>
      <c r="E4518" s="2">
        <v>1.6342592592592593E-2</v>
      </c>
      <c r="F4518">
        <v>23.533333333333335</v>
      </c>
    </row>
    <row r="4519" spans="1:6" x14ac:dyDescent="0.25">
      <c r="A4519" s="1">
        <v>39965</v>
      </c>
      <c r="B4519" t="s">
        <v>22</v>
      </c>
      <c r="C4519" t="s">
        <v>6</v>
      </c>
      <c r="D4519">
        <v>9</v>
      </c>
      <c r="E4519" s="2">
        <v>1.0150462962962964E-2</v>
      </c>
      <c r="F4519">
        <v>14.616666666666667</v>
      </c>
    </row>
    <row r="4520" spans="1:6" x14ac:dyDescent="0.25">
      <c r="A4520" s="1">
        <v>39965</v>
      </c>
      <c r="B4520" t="s">
        <v>22</v>
      </c>
      <c r="C4520" t="s">
        <v>7</v>
      </c>
      <c r="D4520">
        <v>5</v>
      </c>
      <c r="E4520" s="2">
        <v>7.2800925925925923E-3</v>
      </c>
      <c r="F4520">
        <v>10.483333333333333</v>
      </c>
    </row>
    <row r="4521" spans="1:6" x14ac:dyDescent="0.25">
      <c r="A4521" s="1">
        <v>39965</v>
      </c>
      <c r="B4521" t="s">
        <v>22</v>
      </c>
      <c r="C4521" t="s">
        <v>8</v>
      </c>
      <c r="D4521">
        <v>2</v>
      </c>
      <c r="E4521" s="2">
        <v>1.7476851851851852E-3</v>
      </c>
      <c r="F4521">
        <v>2.5166666666666666</v>
      </c>
    </row>
    <row r="4522" spans="1:6" x14ac:dyDescent="0.25">
      <c r="A4522" s="1">
        <v>39965</v>
      </c>
      <c r="B4522" t="s">
        <v>22</v>
      </c>
      <c r="C4522" t="s">
        <v>9</v>
      </c>
      <c r="D4522">
        <v>2</v>
      </c>
      <c r="E4522" s="2">
        <v>4.861111111111111E-4</v>
      </c>
      <c r="F4522">
        <v>0.7</v>
      </c>
    </row>
    <row r="4523" spans="1:6" x14ac:dyDescent="0.25">
      <c r="A4523" s="1">
        <v>39965</v>
      </c>
      <c r="B4523" t="s">
        <v>22</v>
      </c>
      <c r="C4523" t="s">
        <v>10</v>
      </c>
      <c r="D4523">
        <v>2</v>
      </c>
      <c r="E4523" s="2">
        <v>2.488425925925926E-3</v>
      </c>
      <c r="F4523">
        <v>3.5833333333333335</v>
      </c>
    </row>
    <row r="4524" spans="1:6" x14ac:dyDescent="0.25">
      <c r="A4524" s="1">
        <v>39965</v>
      </c>
      <c r="B4524" t="s">
        <v>22</v>
      </c>
      <c r="C4524" t="s">
        <v>11</v>
      </c>
      <c r="D4524">
        <v>5</v>
      </c>
      <c r="E4524" s="2">
        <v>4.5254629629629629E-3</v>
      </c>
      <c r="F4524">
        <v>6.5166666666666666</v>
      </c>
    </row>
    <row r="4525" spans="1:6" x14ac:dyDescent="0.25">
      <c r="A4525" s="1">
        <v>39965</v>
      </c>
      <c r="B4525" t="s">
        <v>23</v>
      </c>
      <c r="C4525" t="s">
        <v>6</v>
      </c>
      <c r="D4525">
        <v>103</v>
      </c>
      <c r="E4525" s="2">
        <v>0.10633101851851852</v>
      </c>
      <c r="F4525">
        <v>153.11666666666667</v>
      </c>
    </row>
    <row r="4526" spans="1:6" x14ac:dyDescent="0.25">
      <c r="A4526" s="1">
        <v>39965</v>
      </c>
      <c r="B4526" t="s">
        <v>23</v>
      </c>
      <c r="C4526" t="s">
        <v>7</v>
      </c>
      <c r="D4526">
        <v>73</v>
      </c>
      <c r="E4526" s="2">
        <v>7.5520833333333329E-2</v>
      </c>
      <c r="F4526">
        <v>108.75</v>
      </c>
    </row>
    <row r="4527" spans="1:6" x14ac:dyDescent="0.25">
      <c r="A4527" s="1">
        <v>39965</v>
      </c>
      <c r="B4527" t="s">
        <v>23</v>
      </c>
      <c r="C4527" t="s">
        <v>8</v>
      </c>
      <c r="D4527">
        <v>63</v>
      </c>
      <c r="E4527" s="2">
        <v>7.5729166666666667E-2</v>
      </c>
      <c r="F4527">
        <v>109.05</v>
      </c>
    </row>
    <row r="4528" spans="1:6" x14ac:dyDescent="0.25">
      <c r="A4528" s="1">
        <v>39965</v>
      </c>
      <c r="B4528" t="s">
        <v>23</v>
      </c>
      <c r="C4528" t="s">
        <v>9</v>
      </c>
      <c r="D4528">
        <v>41</v>
      </c>
      <c r="E4528" s="2">
        <v>2.2210648148148149E-2</v>
      </c>
      <c r="F4528">
        <v>31.983333333333334</v>
      </c>
    </row>
    <row r="4529" spans="1:6" x14ac:dyDescent="0.25">
      <c r="A4529" s="1">
        <v>39965</v>
      </c>
      <c r="B4529" t="s">
        <v>23</v>
      </c>
      <c r="C4529" t="s">
        <v>10</v>
      </c>
      <c r="D4529">
        <v>31</v>
      </c>
      <c r="E4529" s="2">
        <v>3.8761574074074073E-2</v>
      </c>
      <c r="F4529">
        <v>55.81666666666667</v>
      </c>
    </row>
    <row r="4530" spans="1:6" x14ac:dyDescent="0.25">
      <c r="A4530" s="1">
        <v>39965</v>
      </c>
      <c r="B4530" t="s">
        <v>23</v>
      </c>
      <c r="C4530" t="s">
        <v>11</v>
      </c>
      <c r="D4530">
        <v>56</v>
      </c>
      <c r="E4530" s="2">
        <v>4.3993055555555556E-2</v>
      </c>
      <c r="F4530">
        <v>63.35</v>
      </c>
    </row>
    <row r="4531" spans="1:6" x14ac:dyDescent="0.25">
      <c r="A4531" s="1">
        <v>39965</v>
      </c>
      <c r="B4531" t="s">
        <v>24</v>
      </c>
      <c r="C4531" t="s">
        <v>6</v>
      </c>
      <c r="D4531">
        <v>72</v>
      </c>
      <c r="E4531" s="2">
        <v>5.6979166666666664E-2</v>
      </c>
      <c r="F4531">
        <v>82.05</v>
      </c>
    </row>
    <row r="4532" spans="1:6" x14ac:dyDescent="0.25">
      <c r="A4532" s="1">
        <v>39965</v>
      </c>
      <c r="B4532" t="s">
        <v>24</v>
      </c>
      <c r="C4532" t="s">
        <v>7</v>
      </c>
      <c r="D4532">
        <v>62</v>
      </c>
      <c r="E4532" s="2">
        <v>4.5821759259259257E-2</v>
      </c>
      <c r="F4532">
        <v>65.983333333333334</v>
      </c>
    </row>
    <row r="4533" spans="1:6" x14ac:dyDescent="0.25">
      <c r="A4533" s="1">
        <v>39965</v>
      </c>
      <c r="B4533" t="s">
        <v>24</v>
      </c>
      <c r="C4533" t="s">
        <v>8</v>
      </c>
      <c r="D4533">
        <v>34</v>
      </c>
      <c r="E4533" s="2">
        <v>2.7592592592592592E-2</v>
      </c>
      <c r="F4533">
        <v>39.733333333333334</v>
      </c>
    </row>
    <row r="4534" spans="1:6" x14ac:dyDescent="0.25">
      <c r="A4534" s="1">
        <v>39965</v>
      </c>
      <c r="B4534" t="s">
        <v>24</v>
      </c>
      <c r="C4534" t="s">
        <v>9</v>
      </c>
      <c r="D4534">
        <v>14</v>
      </c>
      <c r="E4534" s="2">
        <v>7.7199074074074071E-3</v>
      </c>
      <c r="F4534">
        <v>11.116666666666667</v>
      </c>
    </row>
    <row r="4535" spans="1:6" x14ac:dyDescent="0.25">
      <c r="A4535" s="1">
        <v>39965</v>
      </c>
      <c r="B4535" t="s">
        <v>24</v>
      </c>
      <c r="C4535" t="s">
        <v>10</v>
      </c>
      <c r="D4535">
        <v>0</v>
      </c>
      <c r="E4535" s="2">
        <v>0</v>
      </c>
      <c r="F4535">
        <v>0</v>
      </c>
    </row>
    <row r="4536" spans="1:6" x14ac:dyDescent="0.25">
      <c r="A4536" s="1">
        <v>39965</v>
      </c>
      <c r="B4536" t="s">
        <v>24</v>
      </c>
      <c r="C4536" t="s">
        <v>11</v>
      </c>
      <c r="D4536">
        <v>46</v>
      </c>
      <c r="E4536" s="2">
        <v>2.8576388888888887E-2</v>
      </c>
      <c r="F4536">
        <v>41.15</v>
      </c>
    </row>
    <row r="4537" spans="1:6" x14ac:dyDescent="0.25">
      <c r="A4537" s="1">
        <v>39995</v>
      </c>
      <c r="B4537" t="s">
        <v>5</v>
      </c>
      <c r="C4537" t="s">
        <v>6</v>
      </c>
      <c r="D4537">
        <v>56</v>
      </c>
      <c r="E4537" s="2">
        <v>5.545138888888889E-2</v>
      </c>
      <c r="F4537">
        <v>79.849999999999994</v>
      </c>
    </row>
    <row r="4538" spans="1:6" x14ac:dyDescent="0.25">
      <c r="A4538" s="1">
        <v>39995</v>
      </c>
      <c r="B4538" t="s">
        <v>5</v>
      </c>
      <c r="C4538" t="s">
        <v>7</v>
      </c>
      <c r="D4538">
        <v>57</v>
      </c>
      <c r="E4538" s="2">
        <v>4.6458333333333331E-2</v>
      </c>
      <c r="F4538">
        <v>66.900000000000006</v>
      </c>
    </row>
    <row r="4539" spans="1:6" x14ac:dyDescent="0.25">
      <c r="A4539" s="1">
        <v>39995</v>
      </c>
      <c r="B4539" t="s">
        <v>5</v>
      </c>
      <c r="C4539" t="s">
        <v>8</v>
      </c>
      <c r="D4539">
        <v>42</v>
      </c>
      <c r="E4539" s="2">
        <v>4.2476851851851849E-2</v>
      </c>
      <c r="F4539">
        <v>61.166666666666664</v>
      </c>
    </row>
    <row r="4540" spans="1:6" x14ac:dyDescent="0.25">
      <c r="A4540" s="1">
        <v>39995</v>
      </c>
      <c r="B4540" t="s">
        <v>5</v>
      </c>
      <c r="C4540" t="s">
        <v>9</v>
      </c>
      <c r="D4540">
        <v>26</v>
      </c>
      <c r="E4540" s="2">
        <v>1.5520833333333333E-2</v>
      </c>
      <c r="F4540">
        <v>22.35</v>
      </c>
    </row>
    <row r="4541" spans="1:6" x14ac:dyDescent="0.25">
      <c r="A4541" s="1">
        <v>39995</v>
      </c>
      <c r="B4541" t="s">
        <v>5</v>
      </c>
      <c r="C4541" t="s">
        <v>10</v>
      </c>
      <c r="D4541">
        <v>6</v>
      </c>
      <c r="E4541" s="2">
        <v>2.8819444444444444E-3</v>
      </c>
      <c r="F4541">
        <v>4.1500000000000004</v>
      </c>
    </row>
    <row r="4542" spans="1:6" x14ac:dyDescent="0.25">
      <c r="A4542" s="1">
        <v>39995</v>
      </c>
      <c r="B4542" t="s">
        <v>5</v>
      </c>
      <c r="C4542" t="s">
        <v>11</v>
      </c>
      <c r="D4542">
        <v>23</v>
      </c>
      <c r="E4542" s="2">
        <v>1.8124999999999999E-2</v>
      </c>
      <c r="F4542">
        <v>26.1</v>
      </c>
    </row>
    <row r="4543" spans="1:6" x14ac:dyDescent="0.25">
      <c r="A4543" s="1">
        <v>39995</v>
      </c>
      <c r="B4543" t="s">
        <v>12</v>
      </c>
      <c r="C4543" t="s">
        <v>6</v>
      </c>
      <c r="D4543">
        <v>63</v>
      </c>
      <c r="E4543" s="2">
        <v>7.2199074074074068E-2</v>
      </c>
      <c r="F4543">
        <v>103.96666666666667</v>
      </c>
    </row>
    <row r="4544" spans="1:6" x14ac:dyDescent="0.25">
      <c r="A4544" s="1">
        <v>39995</v>
      </c>
      <c r="B4544" t="s">
        <v>12</v>
      </c>
      <c r="C4544" t="s">
        <v>7</v>
      </c>
      <c r="D4544">
        <v>56</v>
      </c>
      <c r="E4544" s="2">
        <v>6.5578703703703708E-2</v>
      </c>
      <c r="F4544">
        <v>94.433333333333337</v>
      </c>
    </row>
    <row r="4545" spans="1:6" x14ac:dyDescent="0.25">
      <c r="A4545" s="1">
        <v>39995</v>
      </c>
      <c r="B4545" t="s">
        <v>12</v>
      </c>
      <c r="C4545" t="s">
        <v>8</v>
      </c>
      <c r="D4545">
        <v>32</v>
      </c>
      <c r="E4545" s="2">
        <v>4.6944444444444441E-2</v>
      </c>
      <c r="F4545">
        <v>67.599999999999994</v>
      </c>
    </row>
    <row r="4546" spans="1:6" x14ac:dyDescent="0.25">
      <c r="A4546" s="1">
        <v>39995</v>
      </c>
      <c r="B4546" t="s">
        <v>12</v>
      </c>
      <c r="C4546" t="s">
        <v>9</v>
      </c>
      <c r="D4546">
        <v>20</v>
      </c>
      <c r="E4546" s="2">
        <v>1.5324074074074073E-2</v>
      </c>
      <c r="F4546">
        <v>22.066666666666666</v>
      </c>
    </row>
    <row r="4547" spans="1:6" x14ac:dyDescent="0.25">
      <c r="A4547" s="1">
        <v>39995</v>
      </c>
      <c r="B4547" t="s">
        <v>12</v>
      </c>
      <c r="C4547" t="s">
        <v>10</v>
      </c>
      <c r="D4547">
        <v>8</v>
      </c>
      <c r="E4547" s="2">
        <v>9.4212962962962957E-3</v>
      </c>
      <c r="F4547">
        <v>13.566666666666666</v>
      </c>
    </row>
    <row r="4548" spans="1:6" x14ac:dyDescent="0.25">
      <c r="A4548" s="1">
        <v>39995</v>
      </c>
      <c r="B4548" t="s">
        <v>12</v>
      </c>
      <c r="C4548" t="s">
        <v>11</v>
      </c>
      <c r="D4548">
        <v>23</v>
      </c>
      <c r="E4548" s="2">
        <v>2.298611111111111E-2</v>
      </c>
      <c r="F4548">
        <v>33.1</v>
      </c>
    </row>
    <row r="4549" spans="1:6" x14ac:dyDescent="0.25">
      <c r="A4549" s="1">
        <v>39995</v>
      </c>
      <c r="B4549" t="s">
        <v>13</v>
      </c>
      <c r="C4549" t="s">
        <v>6</v>
      </c>
      <c r="D4549">
        <v>47</v>
      </c>
      <c r="E4549" s="2">
        <v>4.9872685185185187E-2</v>
      </c>
      <c r="F4549">
        <v>71.816666666666663</v>
      </c>
    </row>
    <row r="4550" spans="1:6" x14ac:dyDescent="0.25">
      <c r="A4550" s="1">
        <v>39995</v>
      </c>
      <c r="B4550" t="s">
        <v>13</v>
      </c>
      <c r="C4550" t="s">
        <v>7</v>
      </c>
      <c r="D4550">
        <v>47</v>
      </c>
      <c r="E4550" s="2">
        <v>4.5347222222222219E-2</v>
      </c>
      <c r="F4550">
        <v>65.3</v>
      </c>
    </row>
    <row r="4551" spans="1:6" x14ac:dyDescent="0.25">
      <c r="A4551" s="1">
        <v>39995</v>
      </c>
      <c r="B4551" t="s">
        <v>13</v>
      </c>
      <c r="C4551" t="s">
        <v>8</v>
      </c>
      <c r="D4551">
        <v>30</v>
      </c>
      <c r="E4551" s="2">
        <v>3.8587962962962963E-2</v>
      </c>
      <c r="F4551">
        <v>55.56666666666667</v>
      </c>
    </row>
    <row r="4552" spans="1:6" x14ac:dyDescent="0.25">
      <c r="A4552" s="1">
        <v>39995</v>
      </c>
      <c r="B4552" t="s">
        <v>13</v>
      </c>
      <c r="C4552" t="s">
        <v>9</v>
      </c>
      <c r="D4552">
        <v>17</v>
      </c>
      <c r="E4552" s="2">
        <v>1.2060185185185186E-2</v>
      </c>
      <c r="F4552">
        <v>17.366666666666667</v>
      </c>
    </row>
    <row r="4553" spans="1:6" x14ac:dyDescent="0.25">
      <c r="A4553" s="1">
        <v>39995</v>
      </c>
      <c r="B4553" t="s">
        <v>13</v>
      </c>
      <c r="C4553" t="s">
        <v>10</v>
      </c>
      <c r="D4553">
        <v>26</v>
      </c>
      <c r="E4553" s="2">
        <v>2.3090277777777779E-2</v>
      </c>
      <c r="F4553">
        <v>33.25</v>
      </c>
    </row>
    <row r="4554" spans="1:6" x14ac:dyDescent="0.25">
      <c r="A4554" s="1">
        <v>39995</v>
      </c>
      <c r="B4554" t="s">
        <v>13</v>
      </c>
      <c r="C4554" t="s">
        <v>11</v>
      </c>
      <c r="D4554">
        <v>22</v>
      </c>
      <c r="E4554" s="2">
        <v>1.5520833333333333E-2</v>
      </c>
      <c r="F4554">
        <v>22.35</v>
      </c>
    </row>
    <row r="4555" spans="1:6" x14ac:dyDescent="0.25">
      <c r="A4555" s="1">
        <v>39995</v>
      </c>
      <c r="B4555" t="s">
        <v>14</v>
      </c>
      <c r="C4555" t="s">
        <v>6</v>
      </c>
      <c r="D4555">
        <v>7</v>
      </c>
      <c r="E4555" s="2">
        <v>6.9907407407407409E-3</v>
      </c>
      <c r="F4555">
        <v>10.066666666666666</v>
      </c>
    </row>
    <row r="4556" spans="1:6" x14ac:dyDescent="0.25">
      <c r="A4556" s="1">
        <v>39995</v>
      </c>
      <c r="B4556" t="s">
        <v>14</v>
      </c>
      <c r="C4556" t="s">
        <v>7</v>
      </c>
      <c r="D4556">
        <v>8</v>
      </c>
      <c r="E4556" s="2">
        <v>6.4004629629629628E-3</v>
      </c>
      <c r="F4556">
        <v>9.2166666666666668</v>
      </c>
    </row>
    <row r="4557" spans="1:6" x14ac:dyDescent="0.25">
      <c r="A4557" s="1">
        <v>39995</v>
      </c>
      <c r="B4557" t="s">
        <v>14</v>
      </c>
      <c r="C4557" t="s">
        <v>8</v>
      </c>
      <c r="D4557">
        <v>8</v>
      </c>
      <c r="E4557" s="2">
        <v>7.1990740740740739E-3</v>
      </c>
      <c r="F4557">
        <v>10.366666666666667</v>
      </c>
    </row>
    <row r="4558" spans="1:6" x14ac:dyDescent="0.25">
      <c r="A4558" s="1">
        <v>39995</v>
      </c>
      <c r="B4558" t="s">
        <v>14</v>
      </c>
      <c r="C4558" t="s">
        <v>9</v>
      </c>
      <c r="D4558">
        <v>2</v>
      </c>
      <c r="E4558" s="2">
        <v>1.9212962962962964E-3</v>
      </c>
      <c r="F4558">
        <v>2.7666666666666666</v>
      </c>
    </row>
    <row r="4559" spans="1:6" x14ac:dyDescent="0.25">
      <c r="A4559" s="1">
        <v>39995</v>
      </c>
      <c r="B4559" t="s">
        <v>14</v>
      </c>
      <c r="C4559" t="s">
        <v>10</v>
      </c>
      <c r="D4559">
        <v>0</v>
      </c>
      <c r="E4559" s="2">
        <v>0</v>
      </c>
      <c r="F4559">
        <v>0</v>
      </c>
    </row>
    <row r="4560" spans="1:6" x14ac:dyDescent="0.25">
      <c r="A4560" s="1">
        <v>39995</v>
      </c>
      <c r="B4560" t="s">
        <v>14</v>
      </c>
      <c r="C4560" t="s">
        <v>11</v>
      </c>
      <c r="D4560">
        <v>6</v>
      </c>
      <c r="E4560" s="2">
        <v>5.4976851851851853E-3</v>
      </c>
      <c r="F4560">
        <v>7.916666666666667</v>
      </c>
    </row>
    <row r="4561" spans="1:6" x14ac:dyDescent="0.25">
      <c r="A4561" s="1">
        <v>39995</v>
      </c>
      <c r="B4561" t="s">
        <v>15</v>
      </c>
      <c r="C4561" t="s">
        <v>6</v>
      </c>
      <c r="D4561">
        <v>33</v>
      </c>
      <c r="E4561" s="2">
        <v>3.6898148148148145E-2</v>
      </c>
      <c r="F4561">
        <v>53.133333333333333</v>
      </c>
    </row>
    <row r="4562" spans="1:6" x14ac:dyDescent="0.25">
      <c r="A4562" s="1">
        <v>39995</v>
      </c>
      <c r="B4562" t="s">
        <v>15</v>
      </c>
      <c r="C4562" t="s">
        <v>7</v>
      </c>
      <c r="D4562">
        <v>21</v>
      </c>
      <c r="E4562" s="2">
        <v>2.2800925925925926E-2</v>
      </c>
      <c r="F4562">
        <v>32.833333333333336</v>
      </c>
    </row>
    <row r="4563" spans="1:6" x14ac:dyDescent="0.25">
      <c r="A4563" s="1">
        <v>39995</v>
      </c>
      <c r="B4563" t="s">
        <v>15</v>
      </c>
      <c r="C4563" t="s">
        <v>8</v>
      </c>
      <c r="D4563">
        <v>13</v>
      </c>
      <c r="E4563" s="2">
        <v>1.4097222222222223E-2</v>
      </c>
      <c r="F4563">
        <v>20.3</v>
      </c>
    </row>
    <row r="4564" spans="1:6" x14ac:dyDescent="0.25">
      <c r="A4564" s="1">
        <v>39995</v>
      </c>
      <c r="B4564" t="s">
        <v>15</v>
      </c>
      <c r="C4564" t="s">
        <v>9</v>
      </c>
      <c r="D4564">
        <v>14</v>
      </c>
      <c r="E4564" s="2">
        <v>7.8935185185185185E-3</v>
      </c>
      <c r="F4564">
        <v>11.366666666666667</v>
      </c>
    </row>
    <row r="4565" spans="1:6" x14ac:dyDescent="0.25">
      <c r="A4565" s="1">
        <v>39995</v>
      </c>
      <c r="B4565" t="s">
        <v>15</v>
      </c>
      <c r="C4565" t="s">
        <v>10</v>
      </c>
      <c r="D4565">
        <v>9</v>
      </c>
      <c r="E4565" s="2">
        <v>1.2013888888888888E-2</v>
      </c>
      <c r="F4565">
        <v>17.3</v>
      </c>
    </row>
    <row r="4566" spans="1:6" x14ac:dyDescent="0.25">
      <c r="A4566" s="1">
        <v>39995</v>
      </c>
      <c r="B4566" t="s">
        <v>15</v>
      </c>
      <c r="C4566" t="s">
        <v>11</v>
      </c>
      <c r="D4566">
        <v>9</v>
      </c>
      <c r="E4566" s="2">
        <v>7.9861111111111105E-3</v>
      </c>
      <c r="F4566">
        <v>11.5</v>
      </c>
    </row>
    <row r="4567" spans="1:6" x14ac:dyDescent="0.25">
      <c r="A4567" s="1">
        <v>39995</v>
      </c>
      <c r="B4567" t="s">
        <v>16</v>
      </c>
      <c r="C4567" t="s">
        <v>6</v>
      </c>
      <c r="D4567">
        <v>35</v>
      </c>
      <c r="E4567" s="2">
        <v>3.2974537037037038E-2</v>
      </c>
      <c r="F4567">
        <v>47.483333333333334</v>
      </c>
    </row>
    <row r="4568" spans="1:6" x14ac:dyDescent="0.25">
      <c r="A4568" s="1">
        <v>39995</v>
      </c>
      <c r="B4568" t="s">
        <v>16</v>
      </c>
      <c r="C4568" t="s">
        <v>7</v>
      </c>
      <c r="D4568">
        <v>36</v>
      </c>
      <c r="E4568" s="2">
        <v>2.6967592592592592E-2</v>
      </c>
      <c r="F4568">
        <v>38.833333333333336</v>
      </c>
    </row>
    <row r="4569" spans="1:6" x14ac:dyDescent="0.25">
      <c r="A4569" s="1">
        <v>39995</v>
      </c>
      <c r="B4569" t="s">
        <v>16</v>
      </c>
      <c r="C4569" t="s">
        <v>8</v>
      </c>
      <c r="D4569">
        <v>18</v>
      </c>
      <c r="E4569" s="2">
        <v>1.6296296296296295E-2</v>
      </c>
      <c r="F4569">
        <v>23.466666666666665</v>
      </c>
    </row>
    <row r="4570" spans="1:6" x14ac:dyDescent="0.25">
      <c r="A4570" s="1">
        <v>39995</v>
      </c>
      <c r="B4570" t="s">
        <v>16</v>
      </c>
      <c r="C4570" t="s">
        <v>9</v>
      </c>
      <c r="D4570">
        <v>18</v>
      </c>
      <c r="E4570" s="2">
        <v>1.1377314814814814E-2</v>
      </c>
      <c r="F4570">
        <v>16.383333333333333</v>
      </c>
    </row>
    <row r="4571" spans="1:6" x14ac:dyDescent="0.25">
      <c r="A4571" s="1">
        <v>39995</v>
      </c>
      <c r="B4571" t="s">
        <v>16</v>
      </c>
      <c r="C4571" t="s">
        <v>10</v>
      </c>
      <c r="D4571">
        <v>1</v>
      </c>
      <c r="E4571" s="2">
        <v>1.3310185185185185E-3</v>
      </c>
      <c r="F4571">
        <v>1.9166666666666665</v>
      </c>
    </row>
    <row r="4572" spans="1:6" x14ac:dyDescent="0.25">
      <c r="A4572" s="1">
        <v>39995</v>
      </c>
      <c r="B4572" t="s">
        <v>16</v>
      </c>
      <c r="C4572" t="s">
        <v>11</v>
      </c>
      <c r="D4572">
        <v>24</v>
      </c>
      <c r="E4572" s="2">
        <v>1.7951388888888888E-2</v>
      </c>
      <c r="F4572">
        <v>25.85</v>
      </c>
    </row>
    <row r="4573" spans="1:6" x14ac:dyDescent="0.25">
      <c r="A4573" s="1">
        <v>39995</v>
      </c>
      <c r="B4573" t="s">
        <v>17</v>
      </c>
      <c r="C4573" t="s">
        <v>6</v>
      </c>
      <c r="D4573">
        <v>52</v>
      </c>
      <c r="E4573" s="2">
        <v>8.1921296296296298E-2</v>
      </c>
      <c r="F4573">
        <v>117.96666666666667</v>
      </c>
    </row>
    <row r="4574" spans="1:6" x14ac:dyDescent="0.25">
      <c r="A4574" s="1">
        <v>39995</v>
      </c>
      <c r="B4574" t="s">
        <v>17</v>
      </c>
      <c r="C4574" t="s">
        <v>7</v>
      </c>
      <c r="D4574">
        <v>35</v>
      </c>
      <c r="E4574" s="2">
        <v>4.6689814814814816E-2</v>
      </c>
      <c r="F4574">
        <v>67.233333333333334</v>
      </c>
    </row>
    <row r="4575" spans="1:6" x14ac:dyDescent="0.25">
      <c r="A4575" s="1">
        <v>39995</v>
      </c>
      <c r="B4575" t="s">
        <v>17</v>
      </c>
      <c r="C4575" t="s">
        <v>8</v>
      </c>
      <c r="D4575">
        <v>8</v>
      </c>
      <c r="E4575" s="2">
        <v>7.8935185185185185E-3</v>
      </c>
      <c r="F4575">
        <v>11.366666666666667</v>
      </c>
    </row>
    <row r="4576" spans="1:6" x14ac:dyDescent="0.25">
      <c r="A4576" s="1">
        <v>39995</v>
      </c>
      <c r="B4576" t="s">
        <v>17</v>
      </c>
      <c r="C4576" t="s">
        <v>9</v>
      </c>
      <c r="D4576">
        <v>14</v>
      </c>
      <c r="E4576" s="2">
        <v>1.1168981481481481E-2</v>
      </c>
      <c r="F4576">
        <v>16.083333333333332</v>
      </c>
    </row>
    <row r="4577" spans="1:6" x14ac:dyDescent="0.25">
      <c r="A4577" s="1">
        <v>39995</v>
      </c>
      <c r="B4577" t="s">
        <v>17</v>
      </c>
      <c r="C4577" t="s">
        <v>10</v>
      </c>
      <c r="D4577">
        <v>9</v>
      </c>
      <c r="E4577" s="2">
        <v>5.3009259259259259E-3</v>
      </c>
      <c r="F4577">
        <v>7.6333333333333329</v>
      </c>
    </row>
    <row r="4578" spans="1:6" x14ac:dyDescent="0.25">
      <c r="A4578" s="1">
        <v>39995</v>
      </c>
      <c r="B4578" t="s">
        <v>17</v>
      </c>
      <c r="C4578" t="s">
        <v>11</v>
      </c>
      <c r="D4578">
        <v>11</v>
      </c>
      <c r="E4578" s="2">
        <v>8.86574074074074E-3</v>
      </c>
      <c r="F4578">
        <v>12.766666666666667</v>
      </c>
    </row>
    <row r="4579" spans="1:6" x14ac:dyDescent="0.25">
      <c r="A4579" s="1">
        <v>39995</v>
      </c>
      <c r="B4579" t="s">
        <v>18</v>
      </c>
      <c r="C4579" t="s">
        <v>6</v>
      </c>
      <c r="D4579">
        <v>29</v>
      </c>
      <c r="E4579" s="2">
        <v>3.0925925925925926E-2</v>
      </c>
      <c r="F4579">
        <v>44.533333333333331</v>
      </c>
    </row>
    <row r="4580" spans="1:6" x14ac:dyDescent="0.25">
      <c r="A4580" s="1">
        <v>39995</v>
      </c>
      <c r="B4580" t="s">
        <v>18</v>
      </c>
      <c r="C4580" t="s">
        <v>7</v>
      </c>
      <c r="D4580">
        <v>47</v>
      </c>
      <c r="E4580" s="2">
        <v>3.8287037037037036E-2</v>
      </c>
      <c r="F4580">
        <v>55.133333333333333</v>
      </c>
    </row>
    <row r="4581" spans="1:6" x14ac:dyDescent="0.25">
      <c r="A4581" s="1">
        <v>39995</v>
      </c>
      <c r="B4581" t="s">
        <v>18</v>
      </c>
      <c r="C4581" t="s">
        <v>8</v>
      </c>
      <c r="D4581">
        <v>41</v>
      </c>
      <c r="E4581" s="2">
        <v>4.853009259259259E-2</v>
      </c>
      <c r="F4581">
        <v>69.88333333333334</v>
      </c>
    </row>
    <row r="4582" spans="1:6" x14ac:dyDescent="0.25">
      <c r="A4582" s="1">
        <v>39995</v>
      </c>
      <c r="B4582" t="s">
        <v>18</v>
      </c>
      <c r="C4582" t="s">
        <v>9</v>
      </c>
      <c r="D4582">
        <v>49</v>
      </c>
      <c r="E4582" s="2">
        <v>2.6921296296296297E-2</v>
      </c>
      <c r="F4582">
        <v>38.766666666666666</v>
      </c>
    </row>
    <row r="4583" spans="1:6" x14ac:dyDescent="0.25">
      <c r="A4583" s="1">
        <v>39995</v>
      </c>
      <c r="B4583" t="s">
        <v>18</v>
      </c>
      <c r="C4583" t="s">
        <v>10</v>
      </c>
      <c r="D4583">
        <v>146</v>
      </c>
      <c r="E4583" s="2">
        <v>0.13130787037037037</v>
      </c>
      <c r="F4583">
        <v>189.08333333333334</v>
      </c>
    </row>
    <row r="4584" spans="1:6" x14ac:dyDescent="0.25">
      <c r="A4584" s="1">
        <v>39995</v>
      </c>
      <c r="B4584" t="s">
        <v>18</v>
      </c>
      <c r="C4584" t="s">
        <v>11</v>
      </c>
      <c r="D4584">
        <v>10</v>
      </c>
      <c r="E4584" s="2">
        <v>7.2800925925925923E-3</v>
      </c>
      <c r="F4584">
        <v>10.483333333333333</v>
      </c>
    </row>
    <row r="4585" spans="1:6" x14ac:dyDescent="0.25">
      <c r="A4585" s="1">
        <v>39995</v>
      </c>
      <c r="B4585" t="s">
        <v>19</v>
      </c>
      <c r="C4585" t="s">
        <v>6</v>
      </c>
      <c r="D4585">
        <v>15</v>
      </c>
      <c r="E4585" s="2">
        <v>1.699074074074074E-2</v>
      </c>
      <c r="F4585">
        <v>24.466666666666665</v>
      </c>
    </row>
    <row r="4586" spans="1:6" x14ac:dyDescent="0.25">
      <c r="A4586" s="1">
        <v>39995</v>
      </c>
      <c r="B4586" t="s">
        <v>19</v>
      </c>
      <c r="C4586" t="s">
        <v>7</v>
      </c>
      <c r="D4586">
        <v>20</v>
      </c>
      <c r="E4586" s="2">
        <v>2.7384259259259261E-2</v>
      </c>
      <c r="F4586">
        <v>39.43333333333333</v>
      </c>
    </row>
    <row r="4587" spans="1:6" x14ac:dyDescent="0.25">
      <c r="A4587" s="1">
        <v>39995</v>
      </c>
      <c r="B4587" t="s">
        <v>19</v>
      </c>
      <c r="C4587" t="s">
        <v>8</v>
      </c>
      <c r="D4587">
        <v>24</v>
      </c>
      <c r="E4587" s="2">
        <v>2.7939814814814813E-2</v>
      </c>
      <c r="F4587">
        <v>40.233333333333334</v>
      </c>
    </row>
    <row r="4588" spans="1:6" x14ac:dyDescent="0.25">
      <c r="A4588" s="1">
        <v>39995</v>
      </c>
      <c r="B4588" t="s">
        <v>19</v>
      </c>
      <c r="C4588" t="s">
        <v>9</v>
      </c>
      <c r="D4588">
        <v>25</v>
      </c>
      <c r="E4588" s="2">
        <v>1.5960648148148147E-2</v>
      </c>
      <c r="F4588">
        <v>22.983333333333334</v>
      </c>
    </row>
    <row r="4589" spans="1:6" x14ac:dyDescent="0.25">
      <c r="A4589" s="1">
        <v>39995</v>
      </c>
      <c r="B4589" t="s">
        <v>19</v>
      </c>
      <c r="C4589" t="s">
        <v>10</v>
      </c>
      <c r="D4589">
        <v>12</v>
      </c>
      <c r="E4589" s="2">
        <v>1.2662037037037038E-2</v>
      </c>
      <c r="F4589">
        <v>18.233333333333334</v>
      </c>
    </row>
    <row r="4590" spans="1:6" x14ac:dyDescent="0.25">
      <c r="A4590" s="1">
        <v>39995</v>
      </c>
      <c r="B4590" t="s">
        <v>19</v>
      </c>
      <c r="C4590" t="s">
        <v>11</v>
      </c>
      <c r="D4590">
        <v>10</v>
      </c>
      <c r="E4590" s="2">
        <v>8.3796296296296292E-3</v>
      </c>
      <c r="F4590">
        <v>12.066666666666666</v>
      </c>
    </row>
    <row r="4591" spans="1:6" x14ac:dyDescent="0.25">
      <c r="A4591" s="1">
        <v>39995</v>
      </c>
      <c r="B4591" t="s">
        <v>20</v>
      </c>
      <c r="C4591" t="s">
        <v>6</v>
      </c>
      <c r="D4591">
        <v>36</v>
      </c>
      <c r="E4591" s="2">
        <v>4.085648148148148E-2</v>
      </c>
      <c r="F4591">
        <v>58.833333333333336</v>
      </c>
    </row>
    <row r="4592" spans="1:6" x14ac:dyDescent="0.25">
      <c r="A4592" s="1">
        <v>39995</v>
      </c>
      <c r="B4592" t="s">
        <v>20</v>
      </c>
      <c r="C4592" t="s">
        <v>7</v>
      </c>
      <c r="D4592">
        <v>38</v>
      </c>
      <c r="E4592" s="2">
        <v>3.6180555555555556E-2</v>
      </c>
      <c r="F4592">
        <v>52.1</v>
      </c>
    </row>
    <row r="4593" spans="1:6" x14ac:dyDescent="0.25">
      <c r="A4593" s="1">
        <v>39995</v>
      </c>
      <c r="B4593" t="s">
        <v>20</v>
      </c>
      <c r="C4593" t="s">
        <v>8</v>
      </c>
      <c r="D4593">
        <v>34</v>
      </c>
      <c r="E4593" s="2">
        <v>3.8379629629629632E-2</v>
      </c>
      <c r="F4593">
        <v>55.266666666666666</v>
      </c>
    </row>
    <row r="4594" spans="1:6" x14ac:dyDescent="0.25">
      <c r="A4594" s="1">
        <v>39995</v>
      </c>
      <c r="B4594" t="s">
        <v>20</v>
      </c>
      <c r="C4594" t="s">
        <v>9</v>
      </c>
      <c r="D4594">
        <v>22</v>
      </c>
      <c r="E4594" s="2">
        <v>1.4814814814814815E-2</v>
      </c>
      <c r="F4594">
        <v>21.333333333333332</v>
      </c>
    </row>
    <row r="4595" spans="1:6" x14ac:dyDescent="0.25">
      <c r="A4595" s="1">
        <v>39995</v>
      </c>
      <c r="B4595" t="s">
        <v>20</v>
      </c>
      <c r="C4595" t="s">
        <v>10</v>
      </c>
      <c r="D4595">
        <v>10</v>
      </c>
      <c r="E4595" s="2">
        <v>7.8703703703703696E-3</v>
      </c>
      <c r="F4595">
        <v>11.333333333333334</v>
      </c>
    </row>
    <row r="4596" spans="1:6" x14ac:dyDescent="0.25">
      <c r="A4596" s="1">
        <v>39995</v>
      </c>
      <c r="B4596" t="s">
        <v>20</v>
      </c>
      <c r="C4596" t="s">
        <v>11</v>
      </c>
      <c r="D4596">
        <v>19</v>
      </c>
      <c r="E4596" s="2">
        <v>1.7025462962962964E-2</v>
      </c>
      <c r="F4596">
        <v>24.516666666666666</v>
      </c>
    </row>
    <row r="4597" spans="1:6" x14ac:dyDescent="0.25">
      <c r="A4597" s="1">
        <v>39995</v>
      </c>
      <c r="B4597" t="s">
        <v>21</v>
      </c>
      <c r="C4597" t="s">
        <v>6</v>
      </c>
      <c r="D4597">
        <v>33</v>
      </c>
      <c r="E4597" s="2">
        <v>3.6585648148148145E-2</v>
      </c>
      <c r="F4597">
        <v>52.68333333333333</v>
      </c>
    </row>
    <row r="4598" spans="1:6" x14ac:dyDescent="0.25">
      <c r="A4598" s="1">
        <v>39995</v>
      </c>
      <c r="B4598" t="s">
        <v>21</v>
      </c>
      <c r="C4598" t="s">
        <v>7</v>
      </c>
      <c r="D4598">
        <v>38</v>
      </c>
      <c r="E4598" s="2">
        <v>3.3912037037037039E-2</v>
      </c>
      <c r="F4598">
        <v>48.833333333333336</v>
      </c>
    </row>
    <row r="4599" spans="1:6" x14ac:dyDescent="0.25">
      <c r="A4599" s="1">
        <v>39995</v>
      </c>
      <c r="B4599" t="s">
        <v>21</v>
      </c>
      <c r="C4599" t="s">
        <v>8</v>
      </c>
      <c r="D4599">
        <v>23</v>
      </c>
      <c r="E4599" s="2">
        <v>2.5497685185185186E-2</v>
      </c>
      <c r="F4599">
        <v>36.716666666666669</v>
      </c>
    </row>
    <row r="4600" spans="1:6" x14ac:dyDescent="0.25">
      <c r="A4600" s="1">
        <v>39995</v>
      </c>
      <c r="B4600" t="s">
        <v>21</v>
      </c>
      <c r="C4600" t="s">
        <v>9</v>
      </c>
      <c r="D4600">
        <v>12</v>
      </c>
      <c r="E4600" s="2">
        <v>7.9976851851851858E-3</v>
      </c>
      <c r="F4600">
        <v>11.516666666666667</v>
      </c>
    </row>
    <row r="4601" spans="1:6" x14ac:dyDescent="0.25">
      <c r="A4601" s="1">
        <v>39995</v>
      </c>
      <c r="B4601" t="s">
        <v>21</v>
      </c>
      <c r="C4601" t="s">
        <v>10</v>
      </c>
      <c r="D4601">
        <v>6</v>
      </c>
      <c r="E4601" s="2">
        <v>5.115740740740741E-3</v>
      </c>
      <c r="F4601">
        <v>7.3666666666666663</v>
      </c>
    </row>
    <row r="4602" spans="1:6" x14ac:dyDescent="0.25">
      <c r="A4602" s="1">
        <v>39995</v>
      </c>
      <c r="B4602" t="s">
        <v>21</v>
      </c>
      <c r="C4602" t="s">
        <v>11</v>
      </c>
      <c r="D4602">
        <v>18</v>
      </c>
      <c r="E4602" s="2">
        <v>1.4027777777777778E-2</v>
      </c>
      <c r="F4602">
        <v>20.2</v>
      </c>
    </row>
    <row r="4603" spans="1:6" x14ac:dyDescent="0.25">
      <c r="A4603" s="1">
        <v>39995</v>
      </c>
      <c r="B4603" t="s">
        <v>22</v>
      </c>
      <c r="C4603" t="s">
        <v>6</v>
      </c>
      <c r="D4603">
        <v>27</v>
      </c>
      <c r="E4603" s="2">
        <v>3.4907407407407408E-2</v>
      </c>
      <c r="F4603">
        <v>50.266666666666666</v>
      </c>
    </row>
    <row r="4604" spans="1:6" x14ac:dyDescent="0.25">
      <c r="A4604" s="1">
        <v>39995</v>
      </c>
      <c r="B4604" t="s">
        <v>22</v>
      </c>
      <c r="C4604" t="s">
        <v>7</v>
      </c>
      <c r="D4604">
        <v>25</v>
      </c>
      <c r="E4604" s="2">
        <v>2.8738425925925924E-2</v>
      </c>
      <c r="F4604">
        <v>41.383333333333333</v>
      </c>
    </row>
    <row r="4605" spans="1:6" x14ac:dyDescent="0.25">
      <c r="A4605" s="1">
        <v>39995</v>
      </c>
      <c r="B4605" t="s">
        <v>22</v>
      </c>
      <c r="C4605" t="s">
        <v>8</v>
      </c>
      <c r="D4605">
        <v>16</v>
      </c>
      <c r="E4605" s="2">
        <v>2.1284722222222222E-2</v>
      </c>
      <c r="F4605">
        <v>30.65</v>
      </c>
    </row>
    <row r="4606" spans="1:6" x14ac:dyDescent="0.25">
      <c r="A4606" s="1">
        <v>39995</v>
      </c>
      <c r="B4606" t="s">
        <v>22</v>
      </c>
      <c r="C4606" t="s">
        <v>9</v>
      </c>
      <c r="D4606">
        <v>9</v>
      </c>
      <c r="E4606" s="2">
        <v>6.2268518518518515E-3</v>
      </c>
      <c r="F4606">
        <v>8.9666666666666668</v>
      </c>
    </row>
    <row r="4607" spans="1:6" x14ac:dyDescent="0.25">
      <c r="A4607" s="1">
        <v>39995</v>
      </c>
      <c r="B4607" t="s">
        <v>22</v>
      </c>
      <c r="C4607" t="s">
        <v>10</v>
      </c>
      <c r="D4607">
        <v>10</v>
      </c>
      <c r="E4607" s="2">
        <v>1.0011574074074074E-2</v>
      </c>
      <c r="F4607">
        <v>14.416666666666666</v>
      </c>
    </row>
    <row r="4608" spans="1:6" x14ac:dyDescent="0.25">
      <c r="A4608" s="1">
        <v>39995</v>
      </c>
      <c r="B4608" t="s">
        <v>22</v>
      </c>
      <c r="C4608" t="s">
        <v>11</v>
      </c>
      <c r="D4608">
        <v>11</v>
      </c>
      <c r="E4608" s="2">
        <v>9.525462962962963E-3</v>
      </c>
      <c r="F4608">
        <v>13.716666666666667</v>
      </c>
    </row>
    <row r="4609" spans="1:6" x14ac:dyDescent="0.25">
      <c r="A4609" s="1">
        <v>39995</v>
      </c>
      <c r="B4609" t="s">
        <v>23</v>
      </c>
      <c r="C4609" t="s">
        <v>6</v>
      </c>
      <c r="D4609">
        <v>91</v>
      </c>
      <c r="E4609" s="2">
        <v>0.10001157407407407</v>
      </c>
      <c r="F4609">
        <v>144.01666666666668</v>
      </c>
    </row>
    <row r="4610" spans="1:6" x14ac:dyDescent="0.25">
      <c r="A4610" s="1">
        <v>39995</v>
      </c>
      <c r="B4610" t="s">
        <v>23</v>
      </c>
      <c r="C4610" t="s">
        <v>7</v>
      </c>
      <c r="D4610">
        <v>82</v>
      </c>
      <c r="E4610" s="2">
        <v>8.3726851851851858E-2</v>
      </c>
      <c r="F4610">
        <v>120.56666666666666</v>
      </c>
    </row>
    <row r="4611" spans="1:6" x14ac:dyDescent="0.25">
      <c r="A4611" s="1">
        <v>39995</v>
      </c>
      <c r="B4611" t="s">
        <v>23</v>
      </c>
      <c r="C4611" t="s">
        <v>8</v>
      </c>
      <c r="D4611">
        <v>60</v>
      </c>
      <c r="E4611" s="2">
        <v>6.6932870370370365E-2</v>
      </c>
      <c r="F4611">
        <v>96.38333333333334</v>
      </c>
    </row>
    <row r="4612" spans="1:6" x14ac:dyDescent="0.25">
      <c r="A4612" s="1">
        <v>39995</v>
      </c>
      <c r="B4612" t="s">
        <v>23</v>
      </c>
      <c r="C4612" t="s">
        <v>9</v>
      </c>
      <c r="D4612">
        <v>58</v>
      </c>
      <c r="E4612" s="2">
        <v>4.144675925925926E-2</v>
      </c>
      <c r="F4612">
        <v>59.68333333333333</v>
      </c>
    </row>
    <row r="4613" spans="1:6" x14ac:dyDescent="0.25">
      <c r="A4613" s="1">
        <v>39995</v>
      </c>
      <c r="B4613" t="s">
        <v>23</v>
      </c>
      <c r="C4613" t="s">
        <v>10</v>
      </c>
      <c r="D4613">
        <v>38</v>
      </c>
      <c r="E4613" s="2">
        <v>3.7893518518518521E-2</v>
      </c>
      <c r="F4613">
        <v>54.56666666666667</v>
      </c>
    </row>
    <row r="4614" spans="1:6" x14ac:dyDescent="0.25">
      <c r="A4614" s="1">
        <v>39995</v>
      </c>
      <c r="B4614" t="s">
        <v>23</v>
      </c>
      <c r="C4614" t="s">
        <v>11</v>
      </c>
      <c r="D4614">
        <v>39</v>
      </c>
      <c r="E4614" s="2">
        <v>2.9236111111111112E-2</v>
      </c>
      <c r="F4614">
        <v>42.1</v>
      </c>
    </row>
    <row r="4615" spans="1:6" x14ac:dyDescent="0.25">
      <c r="A4615" s="1">
        <v>39995</v>
      </c>
      <c r="B4615" t="s">
        <v>24</v>
      </c>
      <c r="C4615" t="s">
        <v>6</v>
      </c>
      <c r="D4615">
        <v>66</v>
      </c>
      <c r="E4615" s="2">
        <v>5.559027777777778E-2</v>
      </c>
      <c r="F4615">
        <v>80.05</v>
      </c>
    </row>
    <row r="4616" spans="1:6" x14ac:dyDescent="0.25">
      <c r="A4616" s="1">
        <v>39995</v>
      </c>
      <c r="B4616" t="s">
        <v>24</v>
      </c>
      <c r="C4616" t="s">
        <v>7</v>
      </c>
      <c r="D4616">
        <v>67</v>
      </c>
      <c r="E4616" s="2">
        <v>5.797453703703704E-2</v>
      </c>
      <c r="F4616">
        <v>83.483333333333334</v>
      </c>
    </row>
    <row r="4617" spans="1:6" x14ac:dyDescent="0.25">
      <c r="A4617" s="1">
        <v>39995</v>
      </c>
      <c r="B4617" t="s">
        <v>24</v>
      </c>
      <c r="C4617" t="s">
        <v>8</v>
      </c>
      <c r="D4617">
        <v>37</v>
      </c>
      <c r="E4617" s="2">
        <v>3.1956018518518516E-2</v>
      </c>
      <c r="F4617">
        <v>46.016666666666666</v>
      </c>
    </row>
    <row r="4618" spans="1:6" x14ac:dyDescent="0.25">
      <c r="A4618" s="1">
        <v>39995</v>
      </c>
      <c r="B4618" t="s">
        <v>24</v>
      </c>
      <c r="C4618" t="s">
        <v>9</v>
      </c>
      <c r="D4618">
        <v>34</v>
      </c>
      <c r="E4618" s="2">
        <v>1.5659722222222221E-2</v>
      </c>
      <c r="F4618">
        <v>22.55</v>
      </c>
    </row>
    <row r="4619" spans="1:6" x14ac:dyDescent="0.25">
      <c r="A4619" s="1">
        <v>39995</v>
      </c>
      <c r="B4619" t="s">
        <v>24</v>
      </c>
      <c r="C4619" t="s">
        <v>10</v>
      </c>
      <c r="D4619">
        <v>0</v>
      </c>
      <c r="E4619" s="2">
        <v>0</v>
      </c>
      <c r="F4619">
        <v>0</v>
      </c>
    </row>
    <row r="4620" spans="1:6" x14ac:dyDescent="0.25">
      <c r="A4620" s="1">
        <v>39995</v>
      </c>
      <c r="B4620" t="s">
        <v>24</v>
      </c>
      <c r="C4620" t="s">
        <v>11</v>
      </c>
      <c r="D4620">
        <v>40</v>
      </c>
      <c r="E4620" s="2">
        <v>2.1134259259259259E-2</v>
      </c>
      <c r="F4620">
        <v>30.433333333333334</v>
      </c>
    </row>
    <row r="4621" spans="1:6" x14ac:dyDescent="0.25">
      <c r="A4621" s="1">
        <v>40026</v>
      </c>
      <c r="B4621" t="s">
        <v>5</v>
      </c>
      <c r="C4621" t="s">
        <v>6</v>
      </c>
      <c r="D4621">
        <v>33</v>
      </c>
      <c r="E4621" s="2">
        <v>2.4074074074074074E-2</v>
      </c>
      <c r="F4621">
        <v>34.666666666666664</v>
      </c>
    </row>
    <row r="4622" spans="1:6" x14ac:dyDescent="0.25">
      <c r="A4622" s="1">
        <v>40026</v>
      </c>
      <c r="B4622" t="s">
        <v>5</v>
      </c>
      <c r="C4622" t="s">
        <v>7</v>
      </c>
      <c r="D4622">
        <v>48</v>
      </c>
      <c r="E4622" s="2">
        <v>3.2395833333333332E-2</v>
      </c>
      <c r="F4622">
        <v>46.65</v>
      </c>
    </row>
    <row r="4623" spans="1:6" x14ac:dyDescent="0.25">
      <c r="A4623" s="1">
        <v>40026</v>
      </c>
      <c r="B4623" t="s">
        <v>5</v>
      </c>
      <c r="C4623" t="s">
        <v>8</v>
      </c>
      <c r="D4623">
        <v>28</v>
      </c>
      <c r="E4623" s="2">
        <v>2.013888888888889E-2</v>
      </c>
      <c r="F4623">
        <v>29</v>
      </c>
    </row>
    <row r="4624" spans="1:6" x14ac:dyDescent="0.25">
      <c r="A4624" s="1">
        <v>40026</v>
      </c>
      <c r="B4624" t="s">
        <v>5</v>
      </c>
      <c r="C4624" t="s">
        <v>9</v>
      </c>
      <c r="D4624">
        <v>19</v>
      </c>
      <c r="E4624" s="2">
        <v>1.03125E-2</v>
      </c>
      <c r="F4624">
        <v>14.85</v>
      </c>
    </row>
    <row r="4625" spans="1:6" x14ac:dyDescent="0.25">
      <c r="A4625" s="1">
        <v>40026</v>
      </c>
      <c r="B4625" t="s">
        <v>5</v>
      </c>
      <c r="C4625" t="s">
        <v>10</v>
      </c>
      <c r="D4625">
        <v>10</v>
      </c>
      <c r="E4625" s="2">
        <v>1.0856481481481481E-2</v>
      </c>
      <c r="F4625">
        <v>15.633333333333333</v>
      </c>
    </row>
    <row r="4626" spans="1:6" x14ac:dyDescent="0.25">
      <c r="A4626" s="1">
        <v>40026</v>
      </c>
      <c r="B4626" t="s">
        <v>5</v>
      </c>
      <c r="C4626" t="s">
        <v>11</v>
      </c>
      <c r="D4626">
        <v>21</v>
      </c>
      <c r="E4626" s="2">
        <v>1.3703703703703704E-2</v>
      </c>
      <c r="F4626">
        <v>19.733333333333334</v>
      </c>
    </row>
    <row r="4627" spans="1:6" x14ac:dyDescent="0.25">
      <c r="A4627" s="1">
        <v>40026</v>
      </c>
      <c r="B4627" t="s">
        <v>12</v>
      </c>
      <c r="C4627" t="s">
        <v>6</v>
      </c>
      <c r="D4627">
        <v>62</v>
      </c>
      <c r="E4627" s="2">
        <v>8.430555555555555E-2</v>
      </c>
      <c r="F4627">
        <v>121.4</v>
      </c>
    </row>
    <row r="4628" spans="1:6" x14ac:dyDescent="0.25">
      <c r="A4628" s="1">
        <v>40026</v>
      </c>
      <c r="B4628" t="s">
        <v>12</v>
      </c>
      <c r="C4628" t="s">
        <v>7</v>
      </c>
      <c r="D4628">
        <v>33</v>
      </c>
      <c r="E4628" s="2">
        <v>4.7094907407407405E-2</v>
      </c>
      <c r="F4628">
        <v>67.816666666666663</v>
      </c>
    </row>
    <row r="4629" spans="1:6" x14ac:dyDescent="0.25">
      <c r="A4629" s="1">
        <v>40026</v>
      </c>
      <c r="B4629" t="s">
        <v>12</v>
      </c>
      <c r="C4629" t="s">
        <v>8</v>
      </c>
      <c r="D4629">
        <v>29</v>
      </c>
      <c r="E4629" s="2">
        <v>4.4618055555555557E-2</v>
      </c>
      <c r="F4629">
        <v>64.25</v>
      </c>
    </row>
    <row r="4630" spans="1:6" x14ac:dyDescent="0.25">
      <c r="A4630" s="1">
        <v>40026</v>
      </c>
      <c r="B4630" t="s">
        <v>12</v>
      </c>
      <c r="C4630" t="s">
        <v>9</v>
      </c>
      <c r="D4630">
        <v>12</v>
      </c>
      <c r="E4630" s="2">
        <v>8.4606481481481477E-3</v>
      </c>
      <c r="F4630">
        <v>12.183333333333334</v>
      </c>
    </row>
    <row r="4631" spans="1:6" x14ac:dyDescent="0.25">
      <c r="A4631" s="1">
        <v>40026</v>
      </c>
      <c r="B4631" t="s">
        <v>12</v>
      </c>
      <c r="C4631" t="s">
        <v>10</v>
      </c>
      <c r="D4631">
        <v>1</v>
      </c>
      <c r="E4631" s="2">
        <v>4.3981481481481481E-4</v>
      </c>
      <c r="F4631">
        <v>0.6333333333333333</v>
      </c>
    </row>
    <row r="4632" spans="1:6" x14ac:dyDescent="0.25">
      <c r="A4632" s="1">
        <v>40026</v>
      </c>
      <c r="B4632" t="s">
        <v>12</v>
      </c>
      <c r="C4632" t="s">
        <v>11</v>
      </c>
      <c r="D4632">
        <v>27</v>
      </c>
      <c r="E4632" s="2">
        <v>2.8055555555555556E-2</v>
      </c>
      <c r="F4632">
        <v>40.4</v>
      </c>
    </row>
    <row r="4633" spans="1:6" x14ac:dyDescent="0.25">
      <c r="A4633" s="1">
        <v>40026</v>
      </c>
      <c r="B4633" t="s">
        <v>13</v>
      </c>
      <c r="C4633" t="s">
        <v>6</v>
      </c>
      <c r="D4633">
        <v>80</v>
      </c>
      <c r="E4633" s="2">
        <v>9.6793981481481481E-2</v>
      </c>
      <c r="F4633">
        <v>139.38333333333333</v>
      </c>
    </row>
    <row r="4634" spans="1:6" x14ac:dyDescent="0.25">
      <c r="A4634" s="1">
        <v>40026</v>
      </c>
      <c r="B4634" t="s">
        <v>13</v>
      </c>
      <c r="C4634" t="s">
        <v>7</v>
      </c>
      <c r="D4634">
        <v>67</v>
      </c>
      <c r="E4634" s="2">
        <v>7.0891203703703706E-2</v>
      </c>
      <c r="F4634">
        <v>102.08333333333333</v>
      </c>
    </row>
    <row r="4635" spans="1:6" x14ac:dyDescent="0.25">
      <c r="A4635" s="1">
        <v>40026</v>
      </c>
      <c r="B4635" t="s">
        <v>13</v>
      </c>
      <c r="C4635" t="s">
        <v>8</v>
      </c>
      <c r="D4635">
        <v>47</v>
      </c>
      <c r="E4635" s="2">
        <v>6.581018518518518E-2</v>
      </c>
      <c r="F4635">
        <v>94.766666666666666</v>
      </c>
    </row>
    <row r="4636" spans="1:6" x14ac:dyDescent="0.25">
      <c r="A4636" s="1">
        <v>40026</v>
      </c>
      <c r="B4636" t="s">
        <v>13</v>
      </c>
      <c r="C4636" t="s">
        <v>9</v>
      </c>
      <c r="D4636">
        <v>33</v>
      </c>
      <c r="E4636" s="2">
        <v>2.3923611111111111E-2</v>
      </c>
      <c r="F4636">
        <v>34.450000000000003</v>
      </c>
    </row>
    <row r="4637" spans="1:6" x14ac:dyDescent="0.25">
      <c r="A4637" s="1">
        <v>40026</v>
      </c>
      <c r="B4637" t="s">
        <v>13</v>
      </c>
      <c r="C4637" t="s">
        <v>10</v>
      </c>
      <c r="D4637">
        <v>26</v>
      </c>
      <c r="E4637" s="2">
        <v>2.7106481481481481E-2</v>
      </c>
      <c r="F4637">
        <v>39.033333333333331</v>
      </c>
    </row>
    <row r="4638" spans="1:6" x14ac:dyDescent="0.25">
      <c r="A4638" s="1">
        <v>40026</v>
      </c>
      <c r="B4638" t="s">
        <v>13</v>
      </c>
      <c r="C4638" t="s">
        <v>11</v>
      </c>
      <c r="D4638">
        <v>19</v>
      </c>
      <c r="E4638" s="2">
        <v>1.5300925925925926E-2</v>
      </c>
      <c r="F4638">
        <v>22.033333333333335</v>
      </c>
    </row>
    <row r="4639" spans="1:6" x14ac:dyDescent="0.25">
      <c r="A4639" s="1">
        <v>40026</v>
      </c>
      <c r="B4639" t="s">
        <v>14</v>
      </c>
      <c r="C4639" t="s">
        <v>6</v>
      </c>
      <c r="D4639">
        <v>14</v>
      </c>
      <c r="E4639" s="2">
        <v>1.90625E-2</v>
      </c>
      <c r="F4639">
        <v>27.45</v>
      </c>
    </row>
    <row r="4640" spans="1:6" x14ac:dyDescent="0.25">
      <c r="A4640" s="1">
        <v>40026</v>
      </c>
      <c r="B4640" t="s">
        <v>14</v>
      </c>
      <c r="C4640" t="s">
        <v>7</v>
      </c>
      <c r="D4640">
        <v>7</v>
      </c>
      <c r="E4640" s="2">
        <v>6.7013888888888887E-3</v>
      </c>
      <c r="F4640">
        <v>9.65</v>
      </c>
    </row>
    <row r="4641" spans="1:6" x14ac:dyDescent="0.25">
      <c r="A4641" s="1">
        <v>40026</v>
      </c>
      <c r="B4641" t="s">
        <v>14</v>
      </c>
      <c r="C4641" t="s">
        <v>8</v>
      </c>
      <c r="D4641">
        <v>8</v>
      </c>
      <c r="E4641" s="2">
        <v>1.068287037037037E-2</v>
      </c>
      <c r="F4641">
        <v>15.383333333333333</v>
      </c>
    </row>
    <row r="4642" spans="1:6" x14ac:dyDescent="0.25">
      <c r="A4642" s="1">
        <v>40026</v>
      </c>
      <c r="B4642" t="s">
        <v>14</v>
      </c>
      <c r="C4642" t="s">
        <v>9</v>
      </c>
      <c r="D4642">
        <v>3</v>
      </c>
      <c r="E4642" s="2">
        <v>2.5925925925925925E-3</v>
      </c>
      <c r="F4642">
        <v>3.7333333333333334</v>
      </c>
    </row>
    <row r="4643" spans="1:6" x14ac:dyDescent="0.25">
      <c r="A4643" s="1">
        <v>40026</v>
      </c>
      <c r="B4643" t="s">
        <v>14</v>
      </c>
      <c r="C4643" t="s">
        <v>10</v>
      </c>
      <c r="D4643">
        <v>2</v>
      </c>
      <c r="E4643" s="2">
        <v>2.2453703703703702E-3</v>
      </c>
      <c r="F4643">
        <v>3.2333333333333334</v>
      </c>
    </row>
    <row r="4644" spans="1:6" x14ac:dyDescent="0.25">
      <c r="A4644" s="1">
        <v>40026</v>
      </c>
      <c r="B4644" t="s">
        <v>14</v>
      </c>
      <c r="C4644" t="s">
        <v>11</v>
      </c>
      <c r="D4644">
        <v>5</v>
      </c>
      <c r="E4644" s="2">
        <v>5.8564814814814816E-3</v>
      </c>
      <c r="F4644">
        <v>8.4333333333333336</v>
      </c>
    </row>
    <row r="4645" spans="1:6" x14ac:dyDescent="0.25">
      <c r="A4645" s="1">
        <v>40026</v>
      </c>
      <c r="B4645" t="s">
        <v>15</v>
      </c>
      <c r="C4645" t="s">
        <v>6</v>
      </c>
      <c r="D4645">
        <v>43</v>
      </c>
      <c r="E4645" s="2">
        <v>4.6678240740740742E-2</v>
      </c>
      <c r="F4645">
        <v>67.216666666666669</v>
      </c>
    </row>
    <row r="4646" spans="1:6" x14ac:dyDescent="0.25">
      <c r="A4646" s="1">
        <v>40026</v>
      </c>
      <c r="B4646" t="s">
        <v>15</v>
      </c>
      <c r="C4646" t="s">
        <v>7</v>
      </c>
      <c r="D4646">
        <v>30</v>
      </c>
      <c r="E4646" s="2">
        <v>3.1597222222222221E-2</v>
      </c>
      <c r="F4646">
        <v>45.5</v>
      </c>
    </row>
    <row r="4647" spans="1:6" x14ac:dyDescent="0.25">
      <c r="A4647" s="1">
        <v>40026</v>
      </c>
      <c r="B4647" t="s">
        <v>15</v>
      </c>
      <c r="C4647" t="s">
        <v>8</v>
      </c>
      <c r="D4647">
        <v>16</v>
      </c>
      <c r="E4647" s="2">
        <v>1.5636574074074074E-2</v>
      </c>
      <c r="F4647">
        <v>22.516666666666666</v>
      </c>
    </row>
    <row r="4648" spans="1:6" x14ac:dyDescent="0.25">
      <c r="A4648" s="1">
        <v>40026</v>
      </c>
      <c r="B4648" t="s">
        <v>15</v>
      </c>
      <c r="C4648" t="s">
        <v>9</v>
      </c>
      <c r="D4648">
        <v>9</v>
      </c>
      <c r="E4648" s="2">
        <v>5.7175925925925927E-3</v>
      </c>
      <c r="F4648">
        <v>8.2333333333333325</v>
      </c>
    </row>
    <row r="4649" spans="1:6" x14ac:dyDescent="0.25">
      <c r="A4649" s="1">
        <v>40026</v>
      </c>
      <c r="B4649" t="s">
        <v>15</v>
      </c>
      <c r="C4649" t="s">
        <v>10</v>
      </c>
      <c r="D4649">
        <v>6</v>
      </c>
      <c r="E4649" s="2">
        <v>1.0092592592592592E-2</v>
      </c>
      <c r="F4649">
        <v>14.533333333333333</v>
      </c>
    </row>
    <row r="4650" spans="1:6" x14ac:dyDescent="0.25">
      <c r="A4650" s="1">
        <v>40026</v>
      </c>
      <c r="B4650" t="s">
        <v>15</v>
      </c>
      <c r="C4650" t="s">
        <v>11</v>
      </c>
      <c r="D4650">
        <v>10</v>
      </c>
      <c r="E4650" s="2">
        <v>7.8356481481481489E-3</v>
      </c>
      <c r="F4650">
        <v>11.283333333333333</v>
      </c>
    </row>
    <row r="4651" spans="1:6" x14ac:dyDescent="0.25">
      <c r="A4651" s="1">
        <v>40026</v>
      </c>
      <c r="B4651" t="s">
        <v>16</v>
      </c>
      <c r="C4651" t="s">
        <v>6</v>
      </c>
      <c r="D4651">
        <v>40</v>
      </c>
      <c r="E4651" s="2">
        <v>3.9837962962962964E-2</v>
      </c>
      <c r="F4651">
        <v>57.366666666666667</v>
      </c>
    </row>
    <row r="4652" spans="1:6" x14ac:dyDescent="0.25">
      <c r="A4652" s="1">
        <v>40026</v>
      </c>
      <c r="B4652" t="s">
        <v>16</v>
      </c>
      <c r="C4652" t="s">
        <v>7</v>
      </c>
      <c r="D4652">
        <v>40</v>
      </c>
      <c r="E4652" s="2">
        <v>3.7372685185185182E-2</v>
      </c>
      <c r="F4652">
        <v>53.81666666666667</v>
      </c>
    </row>
    <row r="4653" spans="1:6" x14ac:dyDescent="0.25">
      <c r="A4653" s="1">
        <v>40026</v>
      </c>
      <c r="B4653" t="s">
        <v>16</v>
      </c>
      <c r="C4653" t="s">
        <v>8</v>
      </c>
      <c r="D4653">
        <v>39</v>
      </c>
      <c r="E4653" s="2">
        <v>3.3842592592592591E-2</v>
      </c>
      <c r="F4653">
        <v>48.733333333333334</v>
      </c>
    </row>
    <row r="4654" spans="1:6" x14ac:dyDescent="0.25">
      <c r="A4654" s="1">
        <v>40026</v>
      </c>
      <c r="B4654" t="s">
        <v>16</v>
      </c>
      <c r="C4654" t="s">
        <v>9</v>
      </c>
      <c r="D4654">
        <v>34</v>
      </c>
      <c r="E4654" s="2">
        <v>2.238425925925926E-2</v>
      </c>
      <c r="F4654">
        <v>32.233333333333334</v>
      </c>
    </row>
    <row r="4655" spans="1:6" x14ac:dyDescent="0.25">
      <c r="A4655" s="1">
        <v>40026</v>
      </c>
      <c r="B4655" t="s">
        <v>16</v>
      </c>
      <c r="C4655" t="s">
        <v>10</v>
      </c>
      <c r="D4655">
        <v>9</v>
      </c>
      <c r="E4655" s="2">
        <v>9.4212962962962957E-3</v>
      </c>
      <c r="F4655">
        <v>13.566666666666666</v>
      </c>
    </row>
    <row r="4656" spans="1:6" x14ac:dyDescent="0.25">
      <c r="A4656" s="1">
        <v>40026</v>
      </c>
      <c r="B4656" t="s">
        <v>16</v>
      </c>
      <c r="C4656" t="s">
        <v>11</v>
      </c>
      <c r="D4656">
        <v>40</v>
      </c>
      <c r="E4656" s="2">
        <v>2.6550925925925926E-2</v>
      </c>
      <c r="F4656">
        <v>38.233333333333334</v>
      </c>
    </row>
    <row r="4657" spans="1:6" x14ac:dyDescent="0.25">
      <c r="A4657" s="1">
        <v>40026</v>
      </c>
      <c r="B4657" t="s">
        <v>17</v>
      </c>
      <c r="C4657" t="s">
        <v>6</v>
      </c>
      <c r="D4657">
        <v>19</v>
      </c>
      <c r="E4657" s="2">
        <v>1.6412037037037037E-2</v>
      </c>
      <c r="F4657">
        <v>23.633333333333333</v>
      </c>
    </row>
    <row r="4658" spans="1:6" x14ac:dyDescent="0.25">
      <c r="A4658" s="1">
        <v>40026</v>
      </c>
      <c r="B4658" t="s">
        <v>17</v>
      </c>
      <c r="C4658" t="s">
        <v>7</v>
      </c>
      <c r="D4658">
        <v>19</v>
      </c>
      <c r="E4658" s="2">
        <v>2.1145833333333332E-2</v>
      </c>
      <c r="F4658">
        <v>30.45</v>
      </c>
    </row>
    <row r="4659" spans="1:6" x14ac:dyDescent="0.25">
      <c r="A4659" s="1">
        <v>40026</v>
      </c>
      <c r="B4659" t="s">
        <v>17</v>
      </c>
      <c r="C4659" t="s">
        <v>8</v>
      </c>
      <c r="D4659">
        <v>8</v>
      </c>
      <c r="E4659" s="2">
        <v>8.0092592592592594E-3</v>
      </c>
      <c r="F4659">
        <v>11.533333333333333</v>
      </c>
    </row>
    <row r="4660" spans="1:6" x14ac:dyDescent="0.25">
      <c r="A4660" s="1">
        <v>40026</v>
      </c>
      <c r="B4660" t="s">
        <v>17</v>
      </c>
      <c r="C4660" t="s">
        <v>9</v>
      </c>
      <c r="D4660">
        <v>10</v>
      </c>
      <c r="E4660" s="2">
        <v>8.1365740740740738E-3</v>
      </c>
      <c r="F4660">
        <v>11.716666666666667</v>
      </c>
    </row>
    <row r="4661" spans="1:6" x14ac:dyDescent="0.25">
      <c r="A4661" s="1">
        <v>40026</v>
      </c>
      <c r="B4661" t="s">
        <v>17</v>
      </c>
      <c r="C4661" t="s">
        <v>10</v>
      </c>
      <c r="D4661">
        <v>13</v>
      </c>
      <c r="E4661" s="2">
        <v>1.2303240740740741E-2</v>
      </c>
      <c r="F4661">
        <v>17.716666666666665</v>
      </c>
    </row>
    <row r="4662" spans="1:6" x14ac:dyDescent="0.25">
      <c r="A4662" s="1">
        <v>40026</v>
      </c>
      <c r="B4662" t="s">
        <v>17</v>
      </c>
      <c r="C4662" t="s">
        <v>11</v>
      </c>
      <c r="D4662">
        <v>6</v>
      </c>
      <c r="E4662" s="2">
        <v>4.5486111111111109E-3</v>
      </c>
      <c r="F4662">
        <v>6.55</v>
      </c>
    </row>
    <row r="4663" spans="1:6" x14ac:dyDescent="0.25">
      <c r="A4663" s="1">
        <v>40026</v>
      </c>
      <c r="B4663" t="s">
        <v>18</v>
      </c>
      <c r="C4663" t="s">
        <v>6</v>
      </c>
      <c r="D4663">
        <v>51</v>
      </c>
      <c r="E4663" s="2">
        <v>4.5462962962962962E-2</v>
      </c>
      <c r="F4663">
        <v>65.466666666666669</v>
      </c>
    </row>
    <row r="4664" spans="1:6" x14ac:dyDescent="0.25">
      <c r="A4664" s="1">
        <v>40026</v>
      </c>
      <c r="B4664" t="s">
        <v>18</v>
      </c>
      <c r="C4664" t="s">
        <v>7</v>
      </c>
      <c r="D4664">
        <v>75</v>
      </c>
      <c r="E4664" s="2">
        <v>6.6608796296296291E-2</v>
      </c>
      <c r="F4664">
        <v>95.916666666666671</v>
      </c>
    </row>
    <row r="4665" spans="1:6" x14ac:dyDescent="0.25">
      <c r="A4665" s="1">
        <v>40026</v>
      </c>
      <c r="B4665" t="s">
        <v>18</v>
      </c>
      <c r="C4665" t="s">
        <v>8</v>
      </c>
      <c r="D4665">
        <v>56</v>
      </c>
      <c r="E4665" s="2">
        <v>6.5335648148148143E-2</v>
      </c>
      <c r="F4665">
        <v>94.083333333333329</v>
      </c>
    </row>
    <row r="4666" spans="1:6" x14ac:dyDescent="0.25">
      <c r="A4666" s="1">
        <v>40026</v>
      </c>
      <c r="B4666" t="s">
        <v>18</v>
      </c>
      <c r="C4666" t="s">
        <v>9</v>
      </c>
      <c r="D4666">
        <v>56</v>
      </c>
      <c r="E4666" s="2">
        <v>4.0243055555555553E-2</v>
      </c>
      <c r="F4666">
        <v>57.95</v>
      </c>
    </row>
    <row r="4667" spans="1:6" x14ac:dyDescent="0.25">
      <c r="A4667" s="1">
        <v>40026</v>
      </c>
      <c r="B4667" t="s">
        <v>18</v>
      </c>
      <c r="C4667" t="s">
        <v>10</v>
      </c>
      <c r="D4667">
        <v>131</v>
      </c>
      <c r="E4667" s="2">
        <v>0.12203703703703704</v>
      </c>
      <c r="F4667">
        <v>175.73333333333332</v>
      </c>
    </row>
    <row r="4668" spans="1:6" x14ac:dyDescent="0.25">
      <c r="A4668" s="1">
        <v>40026</v>
      </c>
      <c r="B4668" t="s">
        <v>18</v>
      </c>
      <c r="C4668" t="s">
        <v>11</v>
      </c>
      <c r="D4668">
        <v>25</v>
      </c>
      <c r="E4668" s="2">
        <v>1.8414351851851852E-2</v>
      </c>
      <c r="F4668">
        <v>26.516666666666666</v>
      </c>
    </row>
    <row r="4669" spans="1:6" x14ac:dyDescent="0.25">
      <c r="A4669" s="1">
        <v>40026</v>
      </c>
      <c r="B4669" t="s">
        <v>19</v>
      </c>
      <c r="C4669" t="s">
        <v>6</v>
      </c>
      <c r="D4669">
        <v>18</v>
      </c>
      <c r="E4669" s="2">
        <v>1.849537037037037E-2</v>
      </c>
      <c r="F4669">
        <v>26.633333333333333</v>
      </c>
    </row>
    <row r="4670" spans="1:6" x14ac:dyDescent="0.25">
      <c r="A4670" s="1">
        <v>40026</v>
      </c>
      <c r="B4670" t="s">
        <v>19</v>
      </c>
      <c r="C4670" t="s">
        <v>7</v>
      </c>
      <c r="D4670">
        <v>16</v>
      </c>
      <c r="E4670" s="2">
        <v>1.9178240740740742E-2</v>
      </c>
      <c r="F4670">
        <v>27.616666666666667</v>
      </c>
    </row>
    <row r="4671" spans="1:6" x14ac:dyDescent="0.25">
      <c r="A4671" s="1">
        <v>40026</v>
      </c>
      <c r="B4671" t="s">
        <v>19</v>
      </c>
      <c r="C4671" t="s">
        <v>8</v>
      </c>
      <c r="D4671">
        <v>10</v>
      </c>
      <c r="E4671" s="2">
        <v>9.9074074074074082E-3</v>
      </c>
      <c r="F4671">
        <v>14.266666666666667</v>
      </c>
    </row>
    <row r="4672" spans="1:6" x14ac:dyDescent="0.25">
      <c r="A4672" s="1">
        <v>40026</v>
      </c>
      <c r="B4672" t="s">
        <v>19</v>
      </c>
      <c r="C4672" t="s">
        <v>9</v>
      </c>
      <c r="D4672">
        <v>21</v>
      </c>
      <c r="E4672" s="2">
        <v>1.3958333333333333E-2</v>
      </c>
      <c r="F4672">
        <v>20.100000000000001</v>
      </c>
    </row>
    <row r="4673" spans="1:6" x14ac:dyDescent="0.25">
      <c r="A4673" s="1">
        <v>40026</v>
      </c>
      <c r="B4673" t="s">
        <v>19</v>
      </c>
      <c r="C4673" t="s">
        <v>10</v>
      </c>
      <c r="D4673">
        <v>16</v>
      </c>
      <c r="E4673" s="2">
        <v>1.238425925925926E-2</v>
      </c>
      <c r="F4673">
        <v>17.833333333333332</v>
      </c>
    </row>
    <row r="4674" spans="1:6" x14ac:dyDescent="0.25">
      <c r="A4674" s="1">
        <v>40026</v>
      </c>
      <c r="B4674" t="s">
        <v>19</v>
      </c>
      <c r="C4674" t="s">
        <v>11</v>
      </c>
      <c r="D4674">
        <v>7</v>
      </c>
      <c r="E4674" s="2">
        <v>7.2337962962962963E-3</v>
      </c>
      <c r="F4674">
        <v>10.416666666666666</v>
      </c>
    </row>
    <row r="4675" spans="1:6" x14ac:dyDescent="0.25">
      <c r="A4675" s="1">
        <v>40026</v>
      </c>
      <c r="B4675" t="s">
        <v>20</v>
      </c>
      <c r="C4675" t="s">
        <v>6</v>
      </c>
      <c r="D4675">
        <v>26</v>
      </c>
      <c r="E4675" s="2">
        <v>2.0196759259259258E-2</v>
      </c>
      <c r="F4675">
        <v>29.083333333333332</v>
      </c>
    </row>
    <row r="4676" spans="1:6" x14ac:dyDescent="0.25">
      <c r="A4676" s="1">
        <v>40026</v>
      </c>
      <c r="B4676" t="s">
        <v>20</v>
      </c>
      <c r="C4676" t="s">
        <v>7</v>
      </c>
      <c r="D4676">
        <v>27</v>
      </c>
      <c r="E4676" s="2">
        <v>2.5949074074074076E-2</v>
      </c>
      <c r="F4676">
        <v>37.366666666666667</v>
      </c>
    </row>
    <row r="4677" spans="1:6" x14ac:dyDescent="0.25">
      <c r="A4677" s="1">
        <v>40026</v>
      </c>
      <c r="B4677" t="s">
        <v>20</v>
      </c>
      <c r="C4677" t="s">
        <v>8</v>
      </c>
      <c r="D4677">
        <v>24</v>
      </c>
      <c r="E4677" s="2">
        <v>2.8761574074074075E-2</v>
      </c>
      <c r="F4677">
        <v>41.416666666666664</v>
      </c>
    </row>
    <row r="4678" spans="1:6" x14ac:dyDescent="0.25">
      <c r="A4678" s="1">
        <v>40026</v>
      </c>
      <c r="B4678" t="s">
        <v>20</v>
      </c>
      <c r="C4678" t="s">
        <v>9</v>
      </c>
      <c r="D4678">
        <v>14</v>
      </c>
      <c r="E4678" s="2">
        <v>1.0972222222222222E-2</v>
      </c>
      <c r="F4678">
        <v>15.8</v>
      </c>
    </row>
    <row r="4679" spans="1:6" x14ac:dyDescent="0.25">
      <c r="A4679" s="1">
        <v>40026</v>
      </c>
      <c r="B4679" t="s">
        <v>20</v>
      </c>
      <c r="C4679" t="s">
        <v>10</v>
      </c>
      <c r="D4679">
        <v>6</v>
      </c>
      <c r="E4679" s="2">
        <v>4.2245370370370371E-3</v>
      </c>
      <c r="F4679">
        <v>6.083333333333333</v>
      </c>
    </row>
    <row r="4680" spans="1:6" x14ac:dyDescent="0.25">
      <c r="A4680" s="1">
        <v>40026</v>
      </c>
      <c r="B4680" t="s">
        <v>20</v>
      </c>
      <c r="C4680" t="s">
        <v>11</v>
      </c>
      <c r="D4680">
        <v>12</v>
      </c>
      <c r="E4680" s="2">
        <v>7.858796296296296E-3</v>
      </c>
      <c r="F4680">
        <v>11.316666666666666</v>
      </c>
    </row>
    <row r="4681" spans="1:6" x14ac:dyDescent="0.25">
      <c r="A4681" s="1">
        <v>40026</v>
      </c>
      <c r="B4681" t="s">
        <v>21</v>
      </c>
      <c r="C4681" t="s">
        <v>6</v>
      </c>
      <c r="D4681">
        <v>36</v>
      </c>
      <c r="E4681" s="2">
        <v>4.3715277777777777E-2</v>
      </c>
      <c r="F4681">
        <v>62.95</v>
      </c>
    </row>
    <row r="4682" spans="1:6" x14ac:dyDescent="0.25">
      <c r="A4682" s="1">
        <v>40026</v>
      </c>
      <c r="B4682" t="s">
        <v>21</v>
      </c>
      <c r="C4682" t="s">
        <v>7</v>
      </c>
      <c r="D4682">
        <v>33</v>
      </c>
      <c r="E4682" s="2">
        <v>3.6446759259259262E-2</v>
      </c>
      <c r="F4682">
        <v>52.483333333333334</v>
      </c>
    </row>
    <row r="4683" spans="1:6" x14ac:dyDescent="0.25">
      <c r="A4683" s="1">
        <v>40026</v>
      </c>
      <c r="B4683" t="s">
        <v>21</v>
      </c>
      <c r="C4683" t="s">
        <v>8</v>
      </c>
      <c r="D4683">
        <v>34</v>
      </c>
      <c r="E4683" s="2">
        <v>3.9363425925925927E-2</v>
      </c>
      <c r="F4683">
        <v>56.68333333333333</v>
      </c>
    </row>
    <row r="4684" spans="1:6" x14ac:dyDescent="0.25">
      <c r="A4684" s="1">
        <v>40026</v>
      </c>
      <c r="B4684" t="s">
        <v>21</v>
      </c>
      <c r="C4684" t="s">
        <v>9</v>
      </c>
      <c r="D4684">
        <v>22</v>
      </c>
      <c r="E4684" s="2">
        <v>1.5219907407407408E-2</v>
      </c>
      <c r="F4684">
        <v>21.916666666666668</v>
      </c>
    </row>
    <row r="4685" spans="1:6" x14ac:dyDescent="0.25">
      <c r="A4685" s="1">
        <v>40026</v>
      </c>
      <c r="B4685" t="s">
        <v>21</v>
      </c>
      <c r="C4685" t="s">
        <v>10</v>
      </c>
      <c r="D4685">
        <v>11</v>
      </c>
      <c r="E4685" s="2">
        <v>8.3449074074074068E-3</v>
      </c>
      <c r="F4685">
        <v>12.016666666666667</v>
      </c>
    </row>
    <row r="4686" spans="1:6" x14ac:dyDescent="0.25">
      <c r="A4686" s="1">
        <v>40026</v>
      </c>
      <c r="B4686" t="s">
        <v>21</v>
      </c>
      <c r="C4686" t="s">
        <v>11</v>
      </c>
      <c r="D4686">
        <v>23</v>
      </c>
      <c r="E4686" s="2">
        <v>2.0509259259259258E-2</v>
      </c>
      <c r="F4686">
        <v>29.533333333333335</v>
      </c>
    </row>
    <row r="4687" spans="1:6" x14ac:dyDescent="0.25">
      <c r="A4687" s="1">
        <v>40026</v>
      </c>
      <c r="B4687" t="s">
        <v>22</v>
      </c>
      <c r="C4687" t="s">
        <v>6</v>
      </c>
      <c r="D4687">
        <v>7</v>
      </c>
      <c r="E4687" s="2">
        <v>9.0046296296296298E-3</v>
      </c>
      <c r="F4687">
        <v>12.966666666666667</v>
      </c>
    </row>
    <row r="4688" spans="1:6" x14ac:dyDescent="0.25">
      <c r="A4688" s="1">
        <v>40026</v>
      </c>
      <c r="B4688" t="s">
        <v>22</v>
      </c>
      <c r="C4688" t="s">
        <v>7</v>
      </c>
      <c r="D4688">
        <v>8</v>
      </c>
      <c r="E4688" s="2">
        <v>1.0347222222222223E-2</v>
      </c>
      <c r="F4688">
        <v>14.9</v>
      </c>
    </row>
    <row r="4689" spans="1:6" x14ac:dyDescent="0.25">
      <c r="A4689" s="1">
        <v>40026</v>
      </c>
      <c r="B4689" t="s">
        <v>22</v>
      </c>
      <c r="C4689" t="s">
        <v>8</v>
      </c>
      <c r="D4689">
        <v>5</v>
      </c>
      <c r="E4689" s="2">
        <v>6.076388888888889E-3</v>
      </c>
      <c r="F4689">
        <v>8.75</v>
      </c>
    </row>
    <row r="4690" spans="1:6" x14ac:dyDescent="0.25">
      <c r="A4690" s="1">
        <v>40026</v>
      </c>
      <c r="B4690" t="s">
        <v>22</v>
      </c>
      <c r="C4690" t="s">
        <v>9</v>
      </c>
      <c r="D4690">
        <v>2</v>
      </c>
      <c r="E4690" s="2">
        <v>8.1018518518518516E-4</v>
      </c>
      <c r="F4690">
        <v>1.1666666666666667</v>
      </c>
    </row>
    <row r="4691" spans="1:6" x14ac:dyDescent="0.25">
      <c r="A4691" s="1">
        <v>40026</v>
      </c>
      <c r="B4691" t="s">
        <v>22</v>
      </c>
      <c r="C4691" t="s">
        <v>10</v>
      </c>
      <c r="D4691">
        <v>3</v>
      </c>
      <c r="E4691" s="2">
        <v>5.0694444444444441E-3</v>
      </c>
      <c r="F4691">
        <v>7.3</v>
      </c>
    </row>
    <row r="4692" spans="1:6" x14ac:dyDescent="0.25">
      <c r="A4692" s="1">
        <v>40026</v>
      </c>
      <c r="B4692" t="s">
        <v>22</v>
      </c>
      <c r="C4692" t="s">
        <v>11</v>
      </c>
      <c r="D4692">
        <v>2</v>
      </c>
      <c r="E4692" s="2">
        <v>1.261574074074074E-3</v>
      </c>
      <c r="F4692">
        <v>1.8166666666666667</v>
      </c>
    </row>
    <row r="4693" spans="1:6" x14ac:dyDescent="0.25">
      <c r="A4693" s="1">
        <v>40026</v>
      </c>
      <c r="B4693" t="s">
        <v>23</v>
      </c>
      <c r="C4693" t="s">
        <v>6</v>
      </c>
      <c r="D4693">
        <v>87</v>
      </c>
      <c r="E4693" s="2">
        <v>9.7638888888888886E-2</v>
      </c>
      <c r="F4693">
        <v>140.6</v>
      </c>
    </row>
    <row r="4694" spans="1:6" x14ac:dyDescent="0.25">
      <c r="A4694" s="1">
        <v>40026</v>
      </c>
      <c r="B4694" t="s">
        <v>23</v>
      </c>
      <c r="C4694" t="s">
        <v>7</v>
      </c>
      <c r="D4694">
        <v>92</v>
      </c>
      <c r="E4694" s="2">
        <v>9.6516203703703701E-2</v>
      </c>
      <c r="F4694">
        <v>138.98333333333332</v>
      </c>
    </row>
    <row r="4695" spans="1:6" x14ac:dyDescent="0.25">
      <c r="A4695" s="1">
        <v>40026</v>
      </c>
      <c r="B4695" t="s">
        <v>23</v>
      </c>
      <c r="C4695" t="s">
        <v>8</v>
      </c>
      <c r="D4695">
        <v>44</v>
      </c>
      <c r="E4695" s="2">
        <v>4.3923611111111108E-2</v>
      </c>
      <c r="F4695">
        <v>63.25</v>
      </c>
    </row>
    <row r="4696" spans="1:6" x14ac:dyDescent="0.25">
      <c r="A4696" s="1">
        <v>40026</v>
      </c>
      <c r="B4696" t="s">
        <v>23</v>
      </c>
      <c r="C4696" t="s">
        <v>9</v>
      </c>
      <c r="D4696">
        <v>40</v>
      </c>
      <c r="E4696" s="2">
        <v>2.7824074074074074E-2</v>
      </c>
      <c r="F4696">
        <v>40.06666666666667</v>
      </c>
    </row>
    <row r="4697" spans="1:6" x14ac:dyDescent="0.25">
      <c r="A4697" s="1">
        <v>40026</v>
      </c>
      <c r="B4697" t="s">
        <v>23</v>
      </c>
      <c r="C4697" t="s">
        <v>10</v>
      </c>
      <c r="D4697">
        <v>26</v>
      </c>
      <c r="E4697" s="2">
        <v>3.2175925925925927E-2</v>
      </c>
      <c r="F4697">
        <v>46.333333333333336</v>
      </c>
    </row>
    <row r="4698" spans="1:6" x14ac:dyDescent="0.25">
      <c r="A4698" s="1">
        <v>40026</v>
      </c>
      <c r="B4698" t="s">
        <v>23</v>
      </c>
      <c r="C4698" t="s">
        <v>11</v>
      </c>
      <c r="D4698">
        <v>49</v>
      </c>
      <c r="E4698" s="2">
        <v>4.2442129629629628E-2</v>
      </c>
      <c r="F4698">
        <v>61.116666666666667</v>
      </c>
    </row>
    <row r="4699" spans="1:6" x14ac:dyDescent="0.25">
      <c r="A4699" s="1">
        <v>40026</v>
      </c>
      <c r="B4699" t="s">
        <v>24</v>
      </c>
      <c r="C4699" t="s">
        <v>6</v>
      </c>
      <c r="D4699">
        <v>58</v>
      </c>
      <c r="E4699" s="2">
        <v>4.3981481481481483E-2</v>
      </c>
      <c r="F4699">
        <v>63.333333333333336</v>
      </c>
    </row>
    <row r="4700" spans="1:6" x14ac:dyDescent="0.25">
      <c r="A4700" s="1">
        <v>40026</v>
      </c>
      <c r="B4700" t="s">
        <v>24</v>
      </c>
      <c r="C4700" t="s">
        <v>7</v>
      </c>
      <c r="D4700">
        <v>49</v>
      </c>
      <c r="E4700" s="2">
        <v>3.9270833333333331E-2</v>
      </c>
      <c r="F4700">
        <v>56.55</v>
      </c>
    </row>
    <row r="4701" spans="1:6" x14ac:dyDescent="0.25">
      <c r="A4701" s="1">
        <v>40026</v>
      </c>
      <c r="B4701" t="s">
        <v>24</v>
      </c>
      <c r="C4701" t="s">
        <v>8</v>
      </c>
      <c r="D4701">
        <v>24</v>
      </c>
      <c r="E4701" s="2">
        <v>2.2372685185185186E-2</v>
      </c>
      <c r="F4701">
        <v>32.216666666666669</v>
      </c>
    </row>
    <row r="4702" spans="1:6" x14ac:dyDescent="0.25">
      <c r="A4702" s="1">
        <v>40026</v>
      </c>
      <c r="B4702" t="s">
        <v>24</v>
      </c>
      <c r="C4702" t="s">
        <v>9</v>
      </c>
      <c r="D4702">
        <v>17</v>
      </c>
      <c r="E4702" s="2">
        <v>8.067129629629629E-3</v>
      </c>
      <c r="F4702">
        <v>11.616666666666667</v>
      </c>
    </row>
    <row r="4703" spans="1:6" x14ac:dyDescent="0.25">
      <c r="A4703" s="1">
        <v>40026</v>
      </c>
      <c r="B4703" t="s">
        <v>24</v>
      </c>
      <c r="C4703" t="s">
        <v>10</v>
      </c>
      <c r="D4703">
        <v>0</v>
      </c>
      <c r="E4703" s="2">
        <v>0</v>
      </c>
      <c r="F4703">
        <v>0</v>
      </c>
    </row>
    <row r="4704" spans="1:6" x14ac:dyDescent="0.25">
      <c r="A4704" s="1">
        <v>40026</v>
      </c>
      <c r="B4704" t="s">
        <v>24</v>
      </c>
      <c r="C4704" t="s">
        <v>11</v>
      </c>
      <c r="D4704">
        <v>25</v>
      </c>
      <c r="E4704" s="2">
        <v>1.0555555555555556E-2</v>
      </c>
      <c r="F4704">
        <v>15.2</v>
      </c>
    </row>
    <row r="4705" spans="1:6" x14ac:dyDescent="0.25">
      <c r="A4705" s="1">
        <v>40057</v>
      </c>
      <c r="B4705" t="s">
        <v>5</v>
      </c>
      <c r="C4705" t="s">
        <v>6</v>
      </c>
      <c r="D4705">
        <v>57</v>
      </c>
      <c r="E4705" s="2">
        <v>4.9537037037037039E-2</v>
      </c>
      <c r="F4705">
        <v>71.333333333333329</v>
      </c>
    </row>
    <row r="4706" spans="1:6" x14ac:dyDescent="0.25">
      <c r="A4706" s="1">
        <v>40057</v>
      </c>
      <c r="B4706" t="s">
        <v>5</v>
      </c>
      <c r="C4706" t="s">
        <v>7</v>
      </c>
      <c r="D4706">
        <v>41</v>
      </c>
      <c r="E4706" s="2">
        <v>2.9236111111111112E-2</v>
      </c>
      <c r="F4706">
        <v>42.1</v>
      </c>
    </row>
    <row r="4707" spans="1:6" x14ac:dyDescent="0.25">
      <c r="A4707" s="1">
        <v>40057</v>
      </c>
      <c r="B4707" t="s">
        <v>5</v>
      </c>
      <c r="C4707" t="s">
        <v>8</v>
      </c>
      <c r="D4707">
        <v>28</v>
      </c>
      <c r="E4707" s="2">
        <v>2.8067129629629629E-2</v>
      </c>
      <c r="F4707">
        <v>40.416666666666664</v>
      </c>
    </row>
    <row r="4708" spans="1:6" x14ac:dyDescent="0.25">
      <c r="A4708" s="1">
        <v>40057</v>
      </c>
      <c r="B4708" t="s">
        <v>5</v>
      </c>
      <c r="C4708" t="s">
        <v>9</v>
      </c>
      <c r="D4708">
        <v>13</v>
      </c>
      <c r="E4708" s="2">
        <v>7.6967592592592591E-3</v>
      </c>
      <c r="F4708">
        <v>11.083333333333334</v>
      </c>
    </row>
    <row r="4709" spans="1:6" x14ac:dyDescent="0.25">
      <c r="A4709" s="1">
        <v>40057</v>
      </c>
      <c r="B4709" t="s">
        <v>5</v>
      </c>
      <c r="C4709" t="s">
        <v>10</v>
      </c>
      <c r="D4709">
        <v>8</v>
      </c>
      <c r="E4709" s="2">
        <v>4.8263888888888887E-3</v>
      </c>
      <c r="F4709">
        <v>6.95</v>
      </c>
    </row>
    <row r="4710" spans="1:6" x14ac:dyDescent="0.25">
      <c r="A4710" s="1">
        <v>40057</v>
      </c>
      <c r="B4710" t="s">
        <v>5</v>
      </c>
      <c r="C4710" t="s">
        <v>11</v>
      </c>
      <c r="D4710">
        <v>18</v>
      </c>
      <c r="E4710" s="2">
        <v>1.0567129629629629E-2</v>
      </c>
      <c r="F4710">
        <v>15.216666666666667</v>
      </c>
    </row>
    <row r="4711" spans="1:6" x14ac:dyDescent="0.25">
      <c r="A4711" s="1">
        <v>40057</v>
      </c>
      <c r="B4711" t="s">
        <v>12</v>
      </c>
      <c r="C4711" t="s">
        <v>6</v>
      </c>
      <c r="D4711">
        <v>74</v>
      </c>
      <c r="E4711" s="2">
        <v>8.6041666666666669E-2</v>
      </c>
      <c r="F4711">
        <v>123.9</v>
      </c>
    </row>
    <row r="4712" spans="1:6" x14ac:dyDescent="0.25">
      <c r="A4712" s="1">
        <v>40057</v>
      </c>
      <c r="B4712" t="s">
        <v>12</v>
      </c>
      <c r="C4712" t="s">
        <v>7</v>
      </c>
      <c r="D4712">
        <v>70</v>
      </c>
      <c r="E4712" s="2">
        <v>8.863425925925926E-2</v>
      </c>
      <c r="F4712">
        <v>127.63333333333334</v>
      </c>
    </row>
    <row r="4713" spans="1:6" x14ac:dyDescent="0.25">
      <c r="A4713" s="1">
        <v>40057</v>
      </c>
      <c r="B4713" t="s">
        <v>12</v>
      </c>
      <c r="C4713" t="s">
        <v>8</v>
      </c>
      <c r="D4713">
        <v>42</v>
      </c>
      <c r="E4713" s="2">
        <v>5.4120370370370367E-2</v>
      </c>
      <c r="F4713">
        <v>77.933333333333337</v>
      </c>
    </row>
    <row r="4714" spans="1:6" x14ac:dyDescent="0.25">
      <c r="A4714" s="1">
        <v>40057</v>
      </c>
      <c r="B4714" t="s">
        <v>12</v>
      </c>
      <c r="C4714" t="s">
        <v>9</v>
      </c>
      <c r="D4714">
        <v>17</v>
      </c>
      <c r="E4714" s="2">
        <v>1.1030092592592593E-2</v>
      </c>
      <c r="F4714">
        <v>15.883333333333333</v>
      </c>
    </row>
    <row r="4715" spans="1:6" x14ac:dyDescent="0.25">
      <c r="A4715" s="1">
        <v>40057</v>
      </c>
      <c r="B4715" t="s">
        <v>12</v>
      </c>
      <c r="C4715" t="s">
        <v>10</v>
      </c>
      <c r="D4715">
        <v>2</v>
      </c>
      <c r="E4715" s="2">
        <v>2.0138888888888888E-3</v>
      </c>
      <c r="F4715">
        <v>2.9</v>
      </c>
    </row>
    <row r="4716" spans="1:6" x14ac:dyDescent="0.25">
      <c r="A4716" s="1">
        <v>40057</v>
      </c>
      <c r="B4716" t="s">
        <v>12</v>
      </c>
      <c r="C4716" t="s">
        <v>11</v>
      </c>
      <c r="D4716">
        <v>41</v>
      </c>
      <c r="E4716" s="2">
        <v>3.304398148148148E-2</v>
      </c>
      <c r="F4716">
        <v>47.583333333333336</v>
      </c>
    </row>
    <row r="4717" spans="1:6" x14ac:dyDescent="0.25">
      <c r="A4717" s="1">
        <v>40057</v>
      </c>
      <c r="B4717" t="s">
        <v>13</v>
      </c>
      <c r="C4717" t="s">
        <v>6</v>
      </c>
      <c r="D4717">
        <v>80</v>
      </c>
      <c r="E4717" s="2">
        <v>9.6226851851851855E-2</v>
      </c>
      <c r="F4717">
        <v>138.56666666666666</v>
      </c>
    </row>
    <row r="4718" spans="1:6" x14ac:dyDescent="0.25">
      <c r="A4718" s="1">
        <v>40057</v>
      </c>
      <c r="B4718" t="s">
        <v>13</v>
      </c>
      <c r="C4718" t="s">
        <v>7</v>
      </c>
      <c r="D4718">
        <v>69</v>
      </c>
      <c r="E4718" s="2">
        <v>7.6388888888888895E-2</v>
      </c>
      <c r="F4718">
        <v>110</v>
      </c>
    </row>
    <row r="4719" spans="1:6" x14ac:dyDescent="0.25">
      <c r="A4719" s="1">
        <v>40057</v>
      </c>
      <c r="B4719" t="s">
        <v>13</v>
      </c>
      <c r="C4719" t="s">
        <v>8</v>
      </c>
      <c r="D4719">
        <v>54</v>
      </c>
      <c r="E4719" s="2">
        <v>6.7199074074074078E-2</v>
      </c>
      <c r="F4719">
        <v>96.766666666666666</v>
      </c>
    </row>
    <row r="4720" spans="1:6" x14ac:dyDescent="0.25">
      <c r="A4720" s="1">
        <v>40057</v>
      </c>
      <c r="B4720" t="s">
        <v>13</v>
      </c>
      <c r="C4720" t="s">
        <v>9</v>
      </c>
      <c r="D4720">
        <v>47</v>
      </c>
      <c r="E4720" s="2">
        <v>2.207175925925926E-2</v>
      </c>
      <c r="F4720">
        <v>31.783333333333335</v>
      </c>
    </row>
    <row r="4721" spans="1:6" x14ac:dyDescent="0.25">
      <c r="A4721" s="1">
        <v>40057</v>
      </c>
      <c r="B4721" t="s">
        <v>13</v>
      </c>
      <c r="C4721" t="s">
        <v>10</v>
      </c>
      <c r="D4721">
        <v>37</v>
      </c>
      <c r="E4721" s="2">
        <v>3.5636574074074077E-2</v>
      </c>
      <c r="F4721">
        <v>51.31666666666667</v>
      </c>
    </row>
    <row r="4722" spans="1:6" x14ac:dyDescent="0.25">
      <c r="A4722" s="1">
        <v>40057</v>
      </c>
      <c r="B4722" t="s">
        <v>13</v>
      </c>
      <c r="C4722" t="s">
        <v>11</v>
      </c>
      <c r="D4722">
        <v>34</v>
      </c>
      <c r="E4722" s="2">
        <v>3.1134259259259261E-2</v>
      </c>
      <c r="F4722">
        <v>44.833333333333336</v>
      </c>
    </row>
    <row r="4723" spans="1:6" x14ac:dyDescent="0.25">
      <c r="A4723" s="1">
        <v>40057</v>
      </c>
      <c r="B4723" t="s">
        <v>14</v>
      </c>
      <c r="C4723" t="s">
        <v>6</v>
      </c>
      <c r="D4723">
        <v>28</v>
      </c>
      <c r="E4723" s="2">
        <v>3.2662037037037038E-2</v>
      </c>
      <c r="F4723">
        <v>47.033333333333331</v>
      </c>
    </row>
    <row r="4724" spans="1:6" x14ac:dyDescent="0.25">
      <c r="A4724" s="1">
        <v>40057</v>
      </c>
      <c r="B4724" t="s">
        <v>14</v>
      </c>
      <c r="C4724" t="s">
        <v>7</v>
      </c>
      <c r="D4724">
        <v>22</v>
      </c>
      <c r="E4724" s="2">
        <v>2.6261574074074073E-2</v>
      </c>
      <c r="F4724">
        <v>37.81666666666667</v>
      </c>
    </row>
    <row r="4725" spans="1:6" x14ac:dyDescent="0.25">
      <c r="A4725" s="1">
        <v>40057</v>
      </c>
      <c r="B4725" t="s">
        <v>14</v>
      </c>
      <c r="C4725" t="s">
        <v>8</v>
      </c>
      <c r="D4725">
        <v>6</v>
      </c>
      <c r="E4725" s="2">
        <v>7.1064814814814819E-3</v>
      </c>
      <c r="F4725">
        <v>10.233333333333333</v>
      </c>
    </row>
    <row r="4726" spans="1:6" x14ac:dyDescent="0.25">
      <c r="A4726" s="1">
        <v>40057</v>
      </c>
      <c r="B4726" t="s">
        <v>14</v>
      </c>
      <c r="C4726" t="s">
        <v>9</v>
      </c>
      <c r="D4726">
        <v>10</v>
      </c>
      <c r="E4726" s="2">
        <v>5.3935185185185188E-3</v>
      </c>
      <c r="F4726">
        <v>7.7666666666666666</v>
      </c>
    </row>
    <row r="4727" spans="1:6" x14ac:dyDescent="0.25">
      <c r="A4727" s="1">
        <v>40057</v>
      </c>
      <c r="B4727" t="s">
        <v>14</v>
      </c>
      <c r="C4727" t="s">
        <v>10</v>
      </c>
      <c r="D4727">
        <v>3</v>
      </c>
      <c r="E4727" s="2">
        <v>3.3449074074074076E-3</v>
      </c>
      <c r="F4727">
        <v>4.8166666666666664</v>
      </c>
    </row>
    <row r="4728" spans="1:6" x14ac:dyDescent="0.25">
      <c r="A4728" s="1">
        <v>40057</v>
      </c>
      <c r="B4728" t="s">
        <v>14</v>
      </c>
      <c r="C4728" t="s">
        <v>11</v>
      </c>
      <c r="D4728">
        <v>17</v>
      </c>
      <c r="E4728" s="2">
        <v>1.6550925925925927E-2</v>
      </c>
      <c r="F4728">
        <v>23.833333333333332</v>
      </c>
    </row>
    <row r="4729" spans="1:6" x14ac:dyDescent="0.25">
      <c r="A4729" s="1">
        <v>40057</v>
      </c>
      <c r="B4729" t="s">
        <v>15</v>
      </c>
      <c r="C4729" t="s">
        <v>6</v>
      </c>
      <c r="D4729">
        <v>35</v>
      </c>
      <c r="E4729" s="2">
        <v>5.8831018518518519E-2</v>
      </c>
      <c r="F4729">
        <v>84.716666666666669</v>
      </c>
    </row>
    <row r="4730" spans="1:6" x14ac:dyDescent="0.25">
      <c r="A4730" s="1">
        <v>40057</v>
      </c>
      <c r="B4730" t="s">
        <v>15</v>
      </c>
      <c r="C4730" t="s">
        <v>7</v>
      </c>
      <c r="D4730">
        <v>27</v>
      </c>
      <c r="E4730" s="2">
        <v>3.1851851851851853E-2</v>
      </c>
      <c r="F4730">
        <v>45.866666666666667</v>
      </c>
    </row>
    <row r="4731" spans="1:6" x14ac:dyDescent="0.25">
      <c r="A4731" s="1">
        <v>40057</v>
      </c>
      <c r="B4731" t="s">
        <v>15</v>
      </c>
      <c r="C4731" t="s">
        <v>8</v>
      </c>
      <c r="D4731">
        <v>23</v>
      </c>
      <c r="E4731" s="2">
        <v>2.2812499999999999E-2</v>
      </c>
      <c r="F4731">
        <v>32.85</v>
      </c>
    </row>
    <row r="4732" spans="1:6" x14ac:dyDescent="0.25">
      <c r="A4732" s="1">
        <v>40057</v>
      </c>
      <c r="B4732" t="s">
        <v>15</v>
      </c>
      <c r="C4732" t="s">
        <v>9</v>
      </c>
      <c r="D4732">
        <v>14</v>
      </c>
      <c r="E4732" s="2">
        <v>8.6226851851851846E-3</v>
      </c>
      <c r="F4732">
        <v>12.416666666666666</v>
      </c>
    </row>
    <row r="4733" spans="1:6" x14ac:dyDescent="0.25">
      <c r="A4733" s="1">
        <v>40057</v>
      </c>
      <c r="B4733" t="s">
        <v>15</v>
      </c>
      <c r="C4733" t="s">
        <v>10</v>
      </c>
      <c r="D4733">
        <v>9</v>
      </c>
      <c r="E4733" s="2">
        <v>6.9560185185185185E-3</v>
      </c>
      <c r="F4733">
        <v>10.016666666666667</v>
      </c>
    </row>
    <row r="4734" spans="1:6" x14ac:dyDescent="0.25">
      <c r="A4734" s="1">
        <v>40057</v>
      </c>
      <c r="B4734" t="s">
        <v>15</v>
      </c>
      <c r="C4734" t="s">
        <v>11</v>
      </c>
      <c r="D4734">
        <v>15</v>
      </c>
      <c r="E4734" s="2">
        <v>1.2233796296296296E-2</v>
      </c>
      <c r="F4734">
        <v>17.616666666666667</v>
      </c>
    </row>
    <row r="4735" spans="1:6" x14ac:dyDescent="0.25">
      <c r="A4735" s="1">
        <v>40057</v>
      </c>
      <c r="B4735" t="s">
        <v>16</v>
      </c>
      <c r="C4735" t="s">
        <v>6</v>
      </c>
      <c r="D4735">
        <v>30</v>
      </c>
      <c r="E4735" s="2">
        <v>3.09375E-2</v>
      </c>
      <c r="F4735">
        <v>44.55</v>
      </c>
    </row>
    <row r="4736" spans="1:6" x14ac:dyDescent="0.25">
      <c r="A4736" s="1">
        <v>40057</v>
      </c>
      <c r="B4736" t="s">
        <v>16</v>
      </c>
      <c r="C4736" t="s">
        <v>7</v>
      </c>
      <c r="D4736">
        <v>39</v>
      </c>
      <c r="E4736" s="2">
        <v>3.5787037037037034E-2</v>
      </c>
      <c r="F4736">
        <v>51.533333333333331</v>
      </c>
    </row>
    <row r="4737" spans="1:6" x14ac:dyDescent="0.25">
      <c r="A4737" s="1">
        <v>40057</v>
      </c>
      <c r="B4737" t="s">
        <v>16</v>
      </c>
      <c r="C4737" t="s">
        <v>8</v>
      </c>
      <c r="D4737">
        <v>28</v>
      </c>
      <c r="E4737" s="2">
        <v>2.6631944444444444E-2</v>
      </c>
      <c r="F4737">
        <v>38.35</v>
      </c>
    </row>
    <row r="4738" spans="1:6" x14ac:dyDescent="0.25">
      <c r="A4738" s="1">
        <v>40057</v>
      </c>
      <c r="B4738" t="s">
        <v>16</v>
      </c>
      <c r="C4738" t="s">
        <v>9</v>
      </c>
      <c r="D4738">
        <v>26</v>
      </c>
      <c r="E4738" s="2">
        <v>1.7094907407407406E-2</v>
      </c>
      <c r="F4738">
        <v>24.616666666666667</v>
      </c>
    </row>
    <row r="4739" spans="1:6" x14ac:dyDescent="0.25">
      <c r="A4739" s="1">
        <v>40057</v>
      </c>
      <c r="B4739" t="s">
        <v>16</v>
      </c>
      <c r="C4739" t="s">
        <v>10</v>
      </c>
      <c r="D4739">
        <v>3</v>
      </c>
      <c r="E4739" s="2">
        <v>4.5949074074074078E-3</v>
      </c>
      <c r="F4739">
        <v>6.6166666666666671</v>
      </c>
    </row>
    <row r="4740" spans="1:6" x14ac:dyDescent="0.25">
      <c r="A4740" s="1">
        <v>40057</v>
      </c>
      <c r="B4740" t="s">
        <v>16</v>
      </c>
      <c r="C4740" t="s">
        <v>11</v>
      </c>
      <c r="D4740">
        <v>22</v>
      </c>
      <c r="E4740" s="2">
        <v>1.7997685185185186E-2</v>
      </c>
      <c r="F4740">
        <v>25.916666666666668</v>
      </c>
    </row>
    <row r="4741" spans="1:6" x14ac:dyDescent="0.25">
      <c r="A4741" s="1">
        <v>40057</v>
      </c>
      <c r="B4741" t="s">
        <v>17</v>
      </c>
      <c r="C4741" t="s">
        <v>6</v>
      </c>
      <c r="D4741">
        <v>11</v>
      </c>
      <c r="E4741" s="2">
        <v>9.6643518518518511E-3</v>
      </c>
      <c r="F4741">
        <v>13.916666666666666</v>
      </c>
    </row>
    <row r="4742" spans="1:6" x14ac:dyDescent="0.25">
      <c r="A4742" s="1">
        <v>40057</v>
      </c>
      <c r="B4742" t="s">
        <v>17</v>
      </c>
      <c r="C4742" t="s">
        <v>7</v>
      </c>
      <c r="D4742">
        <v>21</v>
      </c>
      <c r="E4742" s="2">
        <v>1.9560185185185184E-2</v>
      </c>
      <c r="F4742">
        <v>28.166666666666668</v>
      </c>
    </row>
    <row r="4743" spans="1:6" x14ac:dyDescent="0.25">
      <c r="A4743" s="1">
        <v>40057</v>
      </c>
      <c r="B4743" t="s">
        <v>17</v>
      </c>
      <c r="C4743" t="s">
        <v>8</v>
      </c>
      <c r="D4743">
        <v>6</v>
      </c>
      <c r="E4743" s="2">
        <v>5.0115740740740737E-3</v>
      </c>
      <c r="F4743">
        <v>7.2166666666666668</v>
      </c>
    </row>
    <row r="4744" spans="1:6" x14ac:dyDescent="0.25">
      <c r="A4744" s="1">
        <v>40057</v>
      </c>
      <c r="B4744" t="s">
        <v>17</v>
      </c>
      <c r="C4744" t="s">
        <v>9</v>
      </c>
      <c r="D4744">
        <v>9</v>
      </c>
      <c r="E4744" s="2">
        <v>6.6087962962962966E-3</v>
      </c>
      <c r="F4744">
        <v>9.5166666666666675</v>
      </c>
    </row>
    <row r="4745" spans="1:6" x14ac:dyDescent="0.25">
      <c r="A4745" s="1">
        <v>40057</v>
      </c>
      <c r="B4745" t="s">
        <v>17</v>
      </c>
      <c r="C4745" t="s">
        <v>10</v>
      </c>
      <c r="D4745">
        <v>12</v>
      </c>
      <c r="E4745" s="2">
        <v>1.03125E-2</v>
      </c>
      <c r="F4745">
        <v>14.85</v>
      </c>
    </row>
    <row r="4746" spans="1:6" x14ac:dyDescent="0.25">
      <c r="A4746" s="1">
        <v>40057</v>
      </c>
      <c r="B4746" t="s">
        <v>17</v>
      </c>
      <c r="C4746" t="s">
        <v>11</v>
      </c>
      <c r="D4746">
        <v>14</v>
      </c>
      <c r="E4746" s="2">
        <v>7.1759259259259259E-3</v>
      </c>
      <c r="F4746">
        <v>10.333333333333334</v>
      </c>
    </row>
    <row r="4747" spans="1:6" x14ac:dyDescent="0.25">
      <c r="A4747" s="1">
        <v>40057</v>
      </c>
      <c r="B4747" t="s">
        <v>18</v>
      </c>
      <c r="C4747" t="s">
        <v>6</v>
      </c>
      <c r="D4747">
        <v>57</v>
      </c>
      <c r="E4747" s="2">
        <v>5.2488425925925924E-2</v>
      </c>
      <c r="F4747">
        <v>75.583333333333329</v>
      </c>
    </row>
    <row r="4748" spans="1:6" x14ac:dyDescent="0.25">
      <c r="A4748" s="1">
        <v>40057</v>
      </c>
      <c r="B4748" t="s">
        <v>18</v>
      </c>
      <c r="C4748" t="s">
        <v>7</v>
      </c>
      <c r="D4748">
        <v>88</v>
      </c>
      <c r="E4748" s="2">
        <v>9.1446759259259255E-2</v>
      </c>
      <c r="F4748">
        <v>131.68333333333334</v>
      </c>
    </row>
    <row r="4749" spans="1:6" x14ac:dyDescent="0.25">
      <c r="A4749" s="1">
        <v>40057</v>
      </c>
      <c r="B4749" t="s">
        <v>18</v>
      </c>
      <c r="C4749" t="s">
        <v>8</v>
      </c>
      <c r="D4749">
        <v>55</v>
      </c>
      <c r="E4749" s="2">
        <v>6.2210648148148147E-2</v>
      </c>
      <c r="F4749">
        <v>89.583333333333329</v>
      </c>
    </row>
    <row r="4750" spans="1:6" x14ac:dyDescent="0.25">
      <c r="A4750" s="1">
        <v>40057</v>
      </c>
      <c r="B4750" t="s">
        <v>18</v>
      </c>
      <c r="C4750" t="s">
        <v>9</v>
      </c>
      <c r="D4750">
        <v>60</v>
      </c>
      <c r="E4750" s="2">
        <v>3.304398148148148E-2</v>
      </c>
      <c r="F4750">
        <v>47.583333333333336</v>
      </c>
    </row>
    <row r="4751" spans="1:6" x14ac:dyDescent="0.25">
      <c r="A4751" s="1">
        <v>40057</v>
      </c>
      <c r="B4751" t="s">
        <v>18</v>
      </c>
      <c r="C4751" t="s">
        <v>10</v>
      </c>
      <c r="D4751">
        <v>186</v>
      </c>
      <c r="E4751" s="2">
        <v>0.17094907407407409</v>
      </c>
      <c r="F4751">
        <v>246.16666666666666</v>
      </c>
    </row>
    <row r="4752" spans="1:6" x14ac:dyDescent="0.25">
      <c r="A4752" s="1">
        <v>40057</v>
      </c>
      <c r="B4752" t="s">
        <v>18</v>
      </c>
      <c r="C4752" t="s">
        <v>11</v>
      </c>
      <c r="D4752">
        <v>43</v>
      </c>
      <c r="E4752" s="2">
        <v>2.2118055555555554E-2</v>
      </c>
      <c r="F4752">
        <v>31.85</v>
      </c>
    </row>
    <row r="4753" spans="1:6" x14ac:dyDescent="0.25">
      <c r="A4753" s="1">
        <v>40057</v>
      </c>
      <c r="B4753" t="s">
        <v>19</v>
      </c>
      <c r="C4753" t="s">
        <v>6</v>
      </c>
      <c r="D4753">
        <v>50</v>
      </c>
      <c r="E4753" s="2">
        <v>5.4027777777777779E-2</v>
      </c>
      <c r="F4753">
        <v>77.8</v>
      </c>
    </row>
    <row r="4754" spans="1:6" x14ac:dyDescent="0.25">
      <c r="A4754" s="1">
        <v>40057</v>
      </c>
      <c r="B4754" t="s">
        <v>19</v>
      </c>
      <c r="C4754" t="s">
        <v>7</v>
      </c>
      <c r="D4754">
        <v>45</v>
      </c>
      <c r="E4754" s="2">
        <v>5.4814814814814816E-2</v>
      </c>
      <c r="F4754">
        <v>78.933333333333337</v>
      </c>
    </row>
    <row r="4755" spans="1:6" x14ac:dyDescent="0.25">
      <c r="A4755" s="1">
        <v>40057</v>
      </c>
      <c r="B4755" t="s">
        <v>19</v>
      </c>
      <c r="C4755" t="s">
        <v>8</v>
      </c>
      <c r="D4755">
        <v>44</v>
      </c>
      <c r="E4755" s="2">
        <v>5.1157407407407408E-2</v>
      </c>
      <c r="F4755">
        <v>73.666666666666671</v>
      </c>
    </row>
    <row r="4756" spans="1:6" x14ac:dyDescent="0.25">
      <c r="A4756" s="1">
        <v>40057</v>
      </c>
      <c r="B4756" t="s">
        <v>19</v>
      </c>
      <c r="C4756" t="s">
        <v>9</v>
      </c>
      <c r="D4756">
        <v>38</v>
      </c>
      <c r="E4756" s="2">
        <v>2.1701388888888888E-2</v>
      </c>
      <c r="F4756">
        <v>31.25</v>
      </c>
    </row>
    <row r="4757" spans="1:6" x14ac:dyDescent="0.25">
      <c r="A4757" s="1">
        <v>40057</v>
      </c>
      <c r="B4757" t="s">
        <v>19</v>
      </c>
      <c r="C4757" t="s">
        <v>10</v>
      </c>
      <c r="D4757">
        <v>17</v>
      </c>
      <c r="E4757" s="2">
        <v>1.5925925925925927E-2</v>
      </c>
      <c r="F4757">
        <v>22.933333333333334</v>
      </c>
    </row>
    <row r="4758" spans="1:6" x14ac:dyDescent="0.25">
      <c r="A4758" s="1">
        <v>40057</v>
      </c>
      <c r="B4758" t="s">
        <v>19</v>
      </c>
      <c r="C4758" t="s">
        <v>11</v>
      </c>
      <c r="D4758">
        <v>44</v>
      </c>
      <c r="E4758" s="2">
        <v>3.3599537037037039E-2</v>
      </c>
      <c r="F4758">
        <v>48.383333333333333</v>
      </c>
    </row>
    <row r="4759" spans="1:6" x14ac:dyDescent="0.25">
      <c r="A4759" s="1">
        <v>40057</v>
      </c>
      <c r="B4759" t="s">
        <v>20</v>
      </c>
      <c r="C4759" t="s">
        <v>6</v>
      </c>
      <c r="D4759">
        <v>54</v>
      </c>
      <c r="E4759" s="2">
        <v>5.4340277777777779E-2</v>
      </c>
      <c r="F4759">
        <v>78.25</v>
      </c>
    </row>
    <row r="4760" spans="1:6" x14ac:dyDescent="0.25">
      <c r="A4760" s="1">
        <v>40057</v>
      </c>
      <c r="B4760" t="s">
        <v>20</v>
      </c>
      <c r="C4760" t="s">
        <v>7</v>
      </c>
      <c r="D4760">
        <v>51</v>
      </c>
      <c r="E4760" s="2">
        <v>5.5682870370370369E-2</v>
      </c>
      <c r="F4760">
        <v>80.183333333333337</v>
      </c>
    </row>
    <row r="4761" spans="1:6" x14ac:dyDescent="0.25">
      <c r="A4761" s="1">
        <v>40057</v>
      </c>
      <c r="B4761" t="s">
        <v>20</v>
      </c>
      <c r="C4761" t="s">
        <v>8</v>
      </c>
      <c r="D4761">
        <v>44</v>
      </c>
      <c r="E4761" s="2">
        <v>5.5601851851851854E-2</v>
      </c>
      <c r="F4761">
        <v>80.066666666666663</v>
      </c>
    </row>
    <row r="4762" spans="1:6" x14ac:dyDescent="0.25">
      <c r="A4762" s="1">
        <v>40057</v>
      </c>
      <c r="B4762" t="s">
        <v>20</v>
      </c>
      <c r="C4762" t="s">
        <v>9</v>
      </c>
      <c r="D4762">
        <v>32</v>
      </c>
      <c r="E4762" s="2">
        <v>2.0520833333333332E-2</v>
      </c>
      <c r="F4762">
        <v>29.55</v>
      </c>
    </row>
    <row r="4763" spans="1:6" x14ac:dyDescent="0.25">
      <c r="A4763" s="1">
        <v>40057</v>
      </c>
      <c r="B4763" t="s">
        <v>20</v>
      </c>
      <c r="C4763" t="s">
        <v>10</v>
      </c>
      <c r="D4763">
        <v>16</v>
      </c>
      <c r="E4763" s="2">
        <v>1.5185185185185185E-2</v>
      </c>
      <c r="F4763">
        <v>21.866666666666667</v>
      </c>
    </row>
    <row r="4764" spans="1:6" x14ac:dyDescent="0.25">
      <c r="A4764" s="1">
        <v>40057</v>
      </c>
      <c r="B4764" t="s">
        <v>20</v>
      </c>
      <c r="C4764" t="s">
        <v>11</v>
      </c>
      <c r="D4764">
        <v>32</v>
      </c>
      <c r="E4764" s="2">
        <v>3.0150462962962962E-2</v>
      </c>
      <c r="F4764">
        <v>43.416666666666664</v>
      </c>
    </row>
    <row r="4765" spans="1:6" x14ac:dyDescent="0.25">
      <c r="A4765" s="1">
        <v>40057</v>
      </c>
      <c r="B4765" t="s">
        <v>21</v>
      </c>
      <c r="C4765" t="s">
        <v>6</v>
      </c>
      <c r="D4765">
        <v>59</v>
      </c>
      <c r="E4765" s="2">
        <v>5.6597222222222222E-2</v>
      </c>
      <c r="F4765">
        <v>81.5</v>
      </c>
    </row>
    <row r="4766" spans="1:6" x14ac:dyDescent="0.25">
      <c r="A4766" s="1">
        <v>40057</v>
      </c>
      <c r="B4766" t="s">
        <v>21</v>
      </c>
      <c r="C4766" t="s">
        <v>7</v>
      </c>
      <c r="D4766">
        <v>58</v>
      </c>
      <c r="E4766" s="2">
        <v>6.3020833333333331E-2</v>
      </c>
      <c r="F4766">
        <v>90.75</v>
      </c>
    </row>
    <row r="4767" spans="1:6" x14ac:dyDescent="0.25">
      <c r="A4767" s="1">
        <v>40057</v>
      </c>
      <c r="B4767" t="s">
        <v>21</v>
      </c>
      <c r="C4767" t="s">
        <v>8</v>
      </c>
      <c r="D4767">
        <v>48</v>
      </c>
      <c r="E4767" s="2">
        <v>5.8344907407407408E-2</v>
      </c>
      <c r="F4767">
        <v>84.016666666666666</v>
      </c>
    </row>
    <row r="4768" spans="1:6" x14ac:dyDescent="0.25">
      <c r="A4768" s="1">
        <v>40057</v>
      </c>
      <c r="B4768" t="s">
        <v>21</v>
      </c>
      <c r="C4768" t="s">
        <v>9</v>
      </c>
      <c r="D4768">
        <v>25</v>
      </c>
      <c r="E4768" s="2">
        <v>1.5601851851851851E-2</v>
      </c>
      <c r="F4768">
        <v>22.466666666666665</v>
      </c>
    </row>
    <row r="4769" spans="1:6" x14ac:dyDescent="0.25">
      <c r="A4769" s="1">
        <v>40057</v>
      </c>
      <c r="B4769" t="s">
        <v>21</v>
      </c>
      <c r="C4769" t="s">
        <v>10</v>
      </c>
      <c r="D4769">
        <v>7</v>
      </c>
      <c r="E4769" s="2">
        <v>4.31712962962963E-3</v>
      </c>
      <c r="F4769">
        <v>6.2166666666666668</v>
      </c>
    </row>
    <row r="4770" spans="1:6" x14ac:dyDescent="0.25">
      <c r="A4770" s="1">
        <v>40057</v>
      </c>
      <c r="B4770" t="s">
        <v>21</v>
      </c>
      <c r="C4770" t="s">
        <v>11</v>
      </c>
      <c r="D4770">
        <v>35</v>
      </c>
      <c r="E4770" s="2">
        <v>2.5127314814814814E-2</v>
      </c>
      <c r="F4770">
        <v>36.18333333333333</v>
      </c>
    </row>
    <row r="4771" spans="1:6" x14ac:dyDescent="0.25">
      <c r="A4771" s="1">
        <v>40057</v>
      </c>
      <c r="B4771" t="s">
        <v>22</v>
      </c>
      <c r="C4771" t="s">
        <v>6</v>
      </c>
      <c r="D4771">
        <v>22</v>
      </c>
      <c r="E4771" s="2">
        <v>2.5706018518518517E-2</v>
      </c>
      <c r="F4771">
        <v>37.016666666666666</v>
      </c>
    </row>
    <row r="4772" spans="1:6" x14ac:dyDescent="0.25">
      <c r="A4772" s="1">
        <v>40057</v>
      </c>
      <c r="B4772" t="s">
        <v>22</v>
      </c>
      <c r="C4772" t="s">
        <v>7</v>
      </c>
      <c r="D4772">
        <v>10</v>
      </c>
      <c r="E4772" s="2">
        <v>8.2407407407407412E-3</v>
      </c>
      <c r="F4772">
        <v>11.866666666666667</v>
      </c>
    </row>
    <row r="4773" spans="1:6" x14ac:dyDescent="0.25">
      <c r="A4773" s="1">
        <v>40057</v>
      </c>
      <c r="B4773" t="s">
        <v>22</v>
      </c>
      <c r="C4773" t="s">
        <v>8</v>
      </c>
      <c r="D4773">
        <v>6</v>
      </c>
      <c r="E4773" s="2">
        <v>7.5115740740740742E-3</v>
      </c>
      <c r="F4773">
        <v>10.816666666666666</v>
      </c>
    </row>
    <row r="4774" spans="1:6" x14ac:dyDescent="0.25">
      <c r="A4774" s="1">
        <v>40057</v>
      </c>
      <c r="B4774" t="s">
        <v>22</v>
      </c>
      <c r="C4774" t="s">
        <v>9</v>
      </c>
      <c r="D4774">
        <v>1</v>
      </c>
      <c r="E4774" s="2">
        <v>6.9444444444444447E-4</v>
      </c>
      <c r="F4774">
        <v>1</v>
      </c>
    </row>
    <row r="4775" spans="1:6" x14ac:dyDescent="0.25">
      <c r="A4775" s="1">
        <v>40057</v>
      </c>
      <c r="B4775" t="s">
        <v>22</v>
      </c>
      <c r="C4775" t="s">
        <v>10</v>
      </c>
      <c r="D4775">
        <v>6</v>
      </c>
      <c r="E4775" s="2">
        <v>4.31712962962963E-3</v>
      </c>
      <c r="F4775">
        <v>6.2166666666666668</v>
      </c>
    </row>
    <row r="4776" spans="1:6" x14ac:dyDescent="0.25">
      <c r="A4776" s="1">
        <v>40057</v>
      </c>
      <c r="B4776" t="s">
        <v>22</v>
      </c>
      <c r="C4776" t="s">
        <v>11</v>
      </c>
      <c r="D4776">
        <v>5</v>
      </c>
      <c r="E4776" s="2">
        <v>4.1319444444444442E-3</v>
      </c>
      <c r="F4776">
        <v>5.95</v>
      </c>
    </row>
    <row r="4777" spans="1:6" x14ac:dyDescent="0.25">
      <c r="A4777" s="1">
        <v>40057</v>
      </c>
      <c r="B4777" t="s">
        <v>23</v>
      </c>
      <c r="C4777" t="s">
        <v>6</v>
      </c>
      <c r="D4777">
        <v>88</v>
      </c>
      <c r="E4777" s="2">
        <v>0.10510416666666667</v>
      </c>
      <c r="F4777">
        <v>151.35</v>
      </c>
    </row>
    <row r="4778" spans="1:6" x14ac:dyDescent="0.25">
      <c r="A4778" s="1">
        <v>40057</v>
      </c>
      <c r="B4778" t="s">
        <v>23</v>
      </c>
      <c r="C4778" t="s">
        <v>7</v>
      </c>
      <c r="D4778">
        <v>108</v>
      </c>
      <c r="E4778" s="2">
        <v>0.12430555555555556</v>
      </c>
      <c r="F4778">
        <v>179</v>
      </c>
    </row>
    <row r="4779" spans="1:6" x14ac:dyDescent="0.25">
      <c r="A4779" s="1">
        <v>40057</v>
      </c>
      <c r="B4779" t="s">
        <v>23</v>
      </c>
      <c r="C4779" t="s">
        <v>8</v>
      </c>
      <c r="D4779">
        <v>62</v>
      </c>
      <c r="E4779" s="2">
        <v>7.6064814814814821E-2</v>
      </c>
      <c r="F4779">
        <v>109.53333333333333</v>
      </c>
    </row>
    <row r="4780" spans="1:6" x14ac:dyDescent="0.25">
      <c r="A4780" s="1">
        <v>40057</v>
      </c>
      <c r="B4780" t="s">
        <v>23</v>
      </c>
      <c r="C4780" t="s">
        <v>9</v>
      </c>
      <c r="D4780">
        <v>66</v>
      </c>
      <c r="E4780" s="2">
        <v>3.9178240740740743E-2</v>
      </c>
      <c r="F4780">
        <v>56.416666666666664</v>
      </c>
    </row>
    <row r="4781" spans="1:6" x14ac:dyDescent="0.25">
      <c r="A4781" s="1">
        <v>40057</v>
      </c>
      <c r="B4781" t="s">
        <v>23</v>
      </c>
      <c r="C4781" t="s">
        <v>10</v>
      </c>
      <c r="D4781">
        <v>29</v>
      </c>
      <c r="E4781" s="2">
        <v>3.0451388888888889E-2</v>
      </c>
      <c r="F4781">
        <v>43.85</v>
      </c>
    </row>
    <row r="4782" spans="1:6" x14ac:dyDescent="0.25">
      <c r="A4782" s="1">
        <v>40057</v>
      </c>
      <c r="B4782" t="s">
        <v>23</v>
      </c>
      <c r="C4782" t="s">
        <v>11</v>
      </c>
      <c r="D4782">
        <v>72</v>
      </c>
      <c r="E4782" s="2">
        <v>5.5798611111111111E-2</v>
      </c>
      <c r="F4782">
        <v>80.349999999999994</v>
      </c>
    </row>
    <row r="4783" spans="1:6" x14ac:dyDescent="0.25">
      <c r="A4783" s="1">
        <v>40057</v>
      </c>
      <c r="B4783" t="s">
        <v>24</v>
      </c>
      <c r="C4783" t="s">
        <v>6</v>
      </c>
      <c r="D4783">
        <v>70</v>
      </c>
      <c r="E4783" s="2">
        <v>5.9768518518518519E-2</v>
      </c>
      <c r="F4783">
        <v>86.066666666666663</v>
      </c>
    </row>
    <row r="4784" spans="1:6" x14ac:dyDescent="0.25">
      <c r="A4784" s="1">
        <v>40057</v>
      </c>
      <c r="B4784" t="s">
        <v>24</v>
      </c>
      <c r="C4784" t="s">
        <v>7</v>
      </c>
      <c r="D4784">
        <v>55</v>
      </c>
      <c r="E4784" s="2">
        <v>3.9699074074074074E-2</v>
      </c>
      <c r="F4784">
        <v>57.166666666666664</v>
      </c>
    </row>
    <row r="4785" spans="1:6" x14ac:dyDescent="0.25">
      <c r="A4785" s="1">
        <v>40057</v>
      </c>
      <c r="B4785" t="s">
        <v>24</v>
      </c>
      <c r="C4785" t="s">
        <v>8</v>
      </c>
      <c r="D4785">
        <v>20</v>
      </c>
      <c r="E4785" s="2">
        <v>1.6261574074074074E-2</v>
      </c>
      <c r="F4785">
        <v>23.416666666666668</v>
      </c>
    </row>
    <row r="4786" spans="1:6" x14ac:dyDescent="0.25">
      <c r="A4786" s="1">
        <v>40057</v>
      </c>
      <c r="B4786" t="s">
        <v>24</v>
      </c>
      <c r="C4786" t="s">
        <v>9</v>
      </c>
      <c r="D4786">
        <v>25</v>
      </c>
      <c r="E4786" s="2">
        <v>1.8761574074074073E-2</v>
      </c>
      <c r="F4786">
        <v>27.016666666666666</v>
      </c>
    </row>
    <row r="4787" spans="1:6" x14ac:dyDescent="0.25">
      <c r="A4787" s="1">
        <v>40057</v>
      </c>
      <c r="B4787" t="s">
        <v>24</v>
      </c>
      <c r="C4787" t="s">
        <v>10</v>
      </c>
      <c r="D4787">
        <v>4</v>
      </c>
      <c r="E4787" s="2">
        <v>1.0995370370370371E-3</v>
      </c>
      <c r="F4787">
        <v>1.5833333333333335</v>
      </c>
    </row>
    <row r="4788" spans="1:6" x14ac:dyDescent="0.25">
      <c r="A4788" s="1">
        <v>40057</v>
      </c>
      <c r="B4788" t="s">
        <v>24</v>
      </c>
      <c r="C4788" t="s">
        <v>11</v>
      </c>
      <c r="D4788">
        <v>58</v>
      </c>
      <c r="E4788" s="2">
        <v>3.4386574074074076E-2</v>
      </c>
      <c r="F4788">
        <v>49.516666666666666</v>
      </c>
    </row>
    <row r="4789" spans="1:6" x14ac:dyDescent="0.25">
      <c r="A4789" s="1">
        <v>40087</v>
      </c>
      <c r="B4789" t="s">
        <v>5</v>
      </c>
      <c r="C4789" t="s">
        <v>6</v>
      </c>
      <c r="D4789">
        <v>34</v>
      </c>
      <c r="E4789" s="2">
        <v>2.929398148148148E-2</v>
      </c>
      <c r="F4789">
        <v>42.18333333333333</v>
      </c>
    </row>
    <row r="4790" spans="1:6" x14ac:dyDescent="0.25">
      <c r="A4790" s="1">
        <v>40087</v>
      </c>
      <c r="B4790" t="s">
        <v>5</v>
      </c>
      <c r="C4790" t="s">
        <v>7</v>
      </c>
      <c r="D4790">
        <v>30</v>
      </c>
      <c r="E4790" s="2">
        <v>2.5740740740740741E-2</v>
      </c>
      <c r="F4790">
        <v>37.06666666666667</v>
      </c>
    </row>
    <row r="4791" spans="1:6" x14ac:dyDescent="0.25">
      <c r="A4791" s="1">
        <v>40087</v>
      </c>
      <c r="B4791" t="s">
        <v>5</v>
      </c>
      <c r="C4791" t="s">
        <v>8</v>
      </c>
      <c r="D4791">
        <v>19</v>
      </c>
      <c r="E4791" s="2">
        <v>1.7743055555555557E-2</v>
      </c>
      <c r="F4791">
        <v>25.55</v>
      </c>
    </row>
    <row r="4792" spans="1:6" x14ac:dyDescent="0.25">
      <c r="A4792" s="1">
        <v>40087</v>
      </c>
      <c r="B4792" t="s">
        <v>5</v>
      </c>
      <c r="C4792" t="s">
        <v>9</v>
      </c>
      <c r="D4792">
        <v>11</v>
      </c>
      <c r="E4792" s="2">
        <v>6.145833333333333E-3</v>
      </c>
      <c r="F4792">
        <v>8.85</v>
      </c>
    </row>
    <row r="4793" spans="1:6" x14ac:dyDescent="0.25">
      <c r="A4793" s="1">
        <v>40087</v>
      </c>
      <c r="B4793" t="s">
        <v>5</v>
      </c>
      <c r="C4793" t="s">
        <v>10</v>
      </c>
      <c r="D4793">
        <v>5</v>
      </c>
      <c r="E4793" s="2">
        <v>2.2222222222222222E-3</v>
      </c>
      <c r="F4793">
        <v>3.2</v>
      </c>
    </row>
    <row r="4794" spans="1:6" x14ac:dyDescent="0.25">
      <c r="A4794" s="1">
        <v>40087</v>
      </c>
      <c r="B4794" t="s">
        <v>5</v>
      </c>
      <c r="C4794" t="s">
        <v>11</v>
      </c>
      <c r="D4794">
        <v>14</v>
      </c>
      <c r="E4794" s="2">
        <v>8.8078703703703704E-3</v>
      </c>
      <c r="F4794">
        <v>12.683333333333334</v>
      </c>
    </row>
    <row r="4795" spans="1:6" x14ac:dyDescent="0.25">
      <c r="A4795" s="1">
        <v>40087</v>
      </c>
      <c r="B4795" t="s">
        <v>12</v>
      </c>
      <c r="C4795" t="s">
        <v>6</v>
      </c>
      <c r="D4795">
        <v>53</v>
      </c>
      <c r="E4795" s="2">
        <v>6.5381944444444451E-2</v>
      </c>
      <c r="F4795">
        <v>94.15</v>
      </c>
    </row>
    <row r="4796" spans="1:6" x14ac:dyDescent="0.25">
      <c r="A4796" s="1">
        <v>40087</v>
      </c>
      <c r="B4796" t="s">
        <v>12</v>
      </c>
      <c r="C4796" t="s">
        <v>7</v>
      </c>
      <c r="D4796">
        <v>51</v>
      </c>
      <c r="E4796" s="2">
        <v>5.7650462962962966E-2</v>
      </c>
      <c r="F4796">
        <v>83.016666666666666</v>
      </c>
    </row>
    <row r="4797" spans="1:6" x14ac:dyDescent="0.25">
      <c r="A4797" s="1">
        <v>40087</v>
      </c>
      <c r="B4797" t="s">
        <v>12</v>
      </c>
      <c r="C4797" t="s">
        <v>8</v>
      </c>
      <c r="D4797">
        <v>38</v>
      </c>
      <c r="E4797" s="2">
        <v>4.9780092592592591E-2</v>
      </c>
      <c r="F4797">
        <v>71.683333333333337</v>
      </c>
    </row>
    <row r="4798" spans="1:6" x14ac:dyDescent="0.25">
      <c r="A4798" s="1">
        <v>40087</v>
      </c>
      <c r="B4798" t="s">
        <v>12</v>
      </c>
      <c r="C4798" t="s">
        <v>9</v>
      </c>
      <c r="D4798">
        <v>11</v>
      </c>
      <c r="E4798" s="2">
        <v>5.6134259259259262E-3</v>
      </c>
      <c r="F4798">
        <v>8.0833333333333339</v>
      </c>
    </row>
    <row r="4799" spans="1:6" x14ac:dyDescent="0.25">
      <c r="A4799" s="1">
        <v>40087</v>
      </c>
      <c r="B4799" t="s">
        <v>12</v>
      </c>
      <c r="C4799" t="s">
        <v>10</v>
      </c>
      <c r="D4799">
        <v>3</v>
      </c>
      <c r="E4799" s="2">
        <v>3.0092592592592593E-3</v>
      </c>
      <c r="F4799">
        <v>4.333333333333333</v>
      </c>
    </row>
    <row r="4800" spans="1:6" x14ac:dyDescent="0.25">
      <c r="A4800" s="1">
        <v>40087</v>
      </c>
      <c r="B4800" t="s">
        <v>12</v>
      </c>
      <c r="C4800" t="s">
        <v>11</v>
      </c>
      <c r="D4800">
        <v>19</v>
      </c>
      <c r="E4800" s="2">
        <v>1.5462962962962963E-2</v>
      </c>
      <c r="F4800">
        <v>22.266666666666666</v>
      </c>
    </row>
    <row r="4801" spans="1:6" x14ac:dyDescent="0.25">
      <c r="A4801" s="1">
        <v>40087</v>
      </c>
      <c r="B4801" t="s">
        <v>13</v>
      </c>
      <c r="C4801" t="s">
        <v>6</v>
      </c>
      <c r="D4801">
        <v>55</v>
      </c>
      <c r="E4801" s="2">
        <v>6.7997685185185189E-2</v>
      </c>
      <c r="F4801">
        <v>97.916666666666671</v>
      </c>
    </row>
    <row r="4802" spans="1:6" x14ac:dyDescent="0.25">
      <c r="A4802" s="1">
        <v>40087</v>
      </c>
      <c r="B4802" t="s">
        <v>13</v>
      </c>
      <c r="C4802" t="s">
        <v>7</v>
      </c>
      <c r="D4802">
        <v>50</v>
      </c>
      <c r="E4802" s="2">
        <v>6.3657407407407413E-2</v>
      </c>
      <c r="F4802">
        <v>91.666666666666671</v>
      </c>
    </row>
    <row r="4803" spans="1:6" x14ac:dyDescent="0.25">
      <c r="A4803" s="1">
        <v>40087</v>
      </c>
      <c r="B4803" t="s">
        <v>13</v>
      </c>
      <c r="C4803" t="s">
        <v>8</v>
      </c>
      <c r="D4803">
        <v>25</v>
      </c>
      <c r="E4803" s="2">
        <v>3.0092592592592591E-2</v>
      </c>
      <c r="F4803">
        <v>43.333333333333336</v>
      </c>
    </row>
    <row r="4804" spans="1:6" x14ac:dyDescent="0.25">
      <c r="A4804" s="1">
        <v>40087</v>
      </c>
      <c r="B4804" t="s">
        <v>13</v>
      </c>
      <c r="C4804" t="s">
        <v>9</v>
      </c>
      <c r="D4804">
        <v>30</v>
      </c>
      <c r="E4804" s="2">
        <v>1.5138888888888889E-2</v>
      </c>
      <c r="F4804">
        <v>21.8</v>
      </c>
    </row>
    <row r="4805" spans="1:6" x14ac:dyDescent="0.25">
      <c r="A4805" s="1">
        <v>40087</v>
      </c>
      <c r="B4805" t="s">
        <v>13</v>
      </c>
      <c r="C4805" t="s">
        <v>10</v>
      </c>
      <c r="D4805">
        <v>24</v>
      </c>
      <c r="E4805" s="2">
        <v>2.2951388888888889E-2</v>
      </c>
      <c r="F4805">
        <v>33.049999999999997</v>
      </c>
    </row>
    <row r="4806" spans="1:6" x14ac:dyDescent="0.25">
      <c r="A4806" s="1">
        <v>40087</v>
      </c>
      <c r="B4806" t="s">
        <v>13</v>
      </c>
      <c r="C4806" t="s">
        <v>11</v>
      </c>
      <c r="D4806">
        <v>24</v>
      </c>
      <c r="E4806" s="2">
        <v>2.1701388888888888E-2</v>
      </c>
      <c r="F4806">
        <v>31.25</v>
      </c>
    </row>
    <row r="4807" spans="1:6" x14ac:dyDescent="0.25">
      <c r="A4807" s="1">
        <v>40087</v>
      </c>
      <c r="B4807" t="s">
        <v>14</v>
      </c>
      <c r="C4807" t="s">
        <v>6</v>
      </c>
      <c r="D4807">
        <v>10</v>
      </c>
      <c r="E4807" s="2">
        <v>1.3587962962962963E-2</v>
      </c>
      <c r="F4807">
        <v>19.566666666666666</v>
      </c>
    </row>
    <row r="4808" spans="1:6" x14ac:dyDescent="0.25">
      <c r="A4808" s="1">
        <v>40087</v>
      </c>
      <c r="B4808" t="s">
        <v>14</v>
      </c>
      <c r="C4808" t="s">
        <v>7</v>
      </c>
      <c r="D4808">
        <v>15</v>
      </c>
      <c r="E4808" s="2">
        <v>2.0914351851851851E-2</v>
      </c>
      <c r="F4808">
        <v>30.116666666666667</v>
      </c>
    </row>
    <row r="4809" spans="1:6" x14ac:dyDescent="0.25">
      <c r="A4809" s="1">
        <v>40087</v>
      </c>
      <c r="B4809" t="s">
        <v>14</v>
      </c>
      <c r="C4809" t="s">
        <v>8</v>
      </c>
      <c r="D4809">
        <v>8</v>
      </c>
      <c r="E4809" s="2">
        <v>1.1863425925925927E-2</v>
      </c>
      <c r="F4809">
        <v>17.083333333333332</v>
      </c>
    </row>
    <row r="4810" spans="1:6" x14ac:dyDescent="0.25">
      <c r="A4810" s="1">
        <v>40087</v>
      </c>
      <c r="B4810" t="s">
        <v>14</v>
      </c>
      <c r="C4810" t="s">
        <v>9</v>
      </c>
      <c r="D4810">
        <v>5</v>
      </c>
      <c r="E4810" s="2">
        <v>2.673611111111111E-3</v>
      </c>
      <c r="F4810">
        <v>3.85</v>
      </c>
    </row>
    <row r="4811" spans="1:6" x14ac:dyDescent="0.25">
      <c r="A4811" s="1">
        <v>40087</v>
      </c>
      <c r="B4811" t="s">
        <v>14</v>
      </c>
      <c r="C4811" t="s">
        <v>10</v>
      </c>
      <c r="D4811">
        <v>3</v>
      </c>
      <c r="E4811" s="2">
        <v>4.0856481481481481E-3</v>
      </c>
      <c r="F4811">
        <v>5.8833333333333329</v>
      </c>
    </row>
    <row r="4812" spans="1:6" x14ac:dyDescent="0.25">
      <c r="A4812" s="1">
        <v>40087</v>
      </c>
      <c r="B4812" t="s">
        <v>14</v>
      </c>
      <c r="C4812" t="s">
        <v>11</v>
      </c>
      <c r="D4812">
        <v>10</v>
      </c>
      <c r="E4812" s="2">
        <v>8.2523148148148148E-3</v>
      </c>
      <c r="F4812">
        <v>11.883333333333333</v>
      </c>
    </row>
    <row r="4813" spans="1:6" x14ac:dyDescent="0.25">
      <c r="A4813" s="1">
        <v>40087</v>
      </c>
      <c r="B4813" t="s">
        <v>15</v>
      </c>
      <c r="C4813" t="s">
        <v>6</v>
      </c>
      <c r="D4813">
        <v>26</v>
      </c>
      <c r="E4813" s="2">
        <v>3.304398148148148E-2</v>
      </c>
      <c r="F4813">
        <v>47.583333333333336</v>
      </c>
    </row>
    <row r="4814" spans="1:6" x14ac:dyDescent="0.25">
      <c r="A4814" s="1">
        <v>40087</v>
      </c>
      <c r="B4814" t="s">
        <v>15</v>
      </c>
      <c r="C4814" t="s">
        <v>7</v>
      </c>
      <c r="D4814">
        <v>18</v>
      </c>
      <c r="E4814" s="2">
        <v>1.6203703703703703E-2</v>
      </c>
      <c r="F4814">
        <v>23.333333333333332</v>
      </c>
    </row>
    <row r="4815" spans="1:6" x14ac:dyDescent="0.25">
      <c r="A4815" s="1">
        <v>40087</v>
      </c>
      <c r="B4815" t="s">
        <v>15</v>
      </c>
      <c r="C4815" t="s">
        <v>8</v>
      </c>
      <c r="D4815">
        <v>14</v>
      </c>
      <c r="E4815" s="2">
        <v>9.479166666666667E-3</v>
      </c>
      <c r="F4815">
        <v>13.65</v>
      </c>
    </row>
    <row r="4816" spans="1:6" x14ac:dyDescent="0.25">
      <c r="A4816" s="1">
        <v>40087</v>
      </c>
      <c r="B4816" t="s">
        <v>15</v>
      </c>
      <c r="C4816" t="s">
        <v>9</v>
      </c>
      <c r="D4816">
        <v>10</v>
      </c>
      <c r="E4816" s="2">
        <v>4.7337962962962967E-3</v>
      </c>
      <c r="F4816">
        <v>6.8166666666666664</v>
      </c>
    </row>
    <row r="4817" spans="1:6" x14ac:dyDescent="0.25">
      <c r="A4817" s="1">
        <v>40087</v>
      </c>
      <c r="B4817" t="s">
        <v>15</v>
      </c>
      <c r="C4817" t="s">
        <v>10</v>
      </c>
      <c r="D4817">
        <v>11</v>
      </c>
      <c r="E4817" s="2">
        <v>1.1979166666666667E-2</v>
      </c>
      <c r="F4817">
        <v>17.25</v>
      </c>
    </row>
    <row r="4818" spans="1:6" x14ac:dyDescent="0.25">
      <c r="A4818" s="1">
        <v>40087</v>
      </c>
      <c r="B4818" t="s">
        <v>15</v>
      </c>
      <c r="C4818" t="s">
        <v>11</v>
      </c>
      <c r="D4818">
        <v>4</v>
      </c>
      <c r="E4818" s="2">
        <v>2.8356481481481483E-3</v>
      </c>
      <c r="F4818">
        <v>4.083333333333333</v>
      </c>
    </row>
    <row r="4819" spans="1:6" x14ac:dyDescent="0.25">
      <c r="A4819" s="1">
        <v>40087</v>
      </c>
      <c r="B4819" t="s">
        <v>16</v>
      </c>
      <c r="C4819" t="s">
        <v>6</v>
      </c>
      <c r="D4819">
        <v>19</v>
      </c>
      <c r="E4819" s="2">
        <v>2.3240740740740742E-2</v>
      </c>
      <c r="F4819">
        <v>33.466666666666669</v>
      </c>
    </row>
    <row r="4820" spans="1:6" x14ac:dyDescent="0.25">
      <c r="A4820" s="1">
        <v>40087</v>
      </c>
      <c r="B4820" t="s">
        <v>16</v>
      </c>
      <c r="C4820" t="s">
        <v>7</v>
      </c>
      <c r="D4820">
        <v>18</v>
      </c>
      <c r="E4820" s="2">
        <v>1.7256944444444443E-2</v>
      </c>
      <c r="F4820">
        <v>24.85</v>
      </c>
    </row>
    <row r="4821" spans="1:6" x14ac:dyDescent="0.25">
      <c r="A4821" s="1">
        <v>40087</v>
      </c>
      <c r="B4821" t="s">
        <v>16</v>
      </c>
      <c r="C4821" t="s">
        <v>8</v>
      </c>
      <c r="D4821">
        <v>12</v>
      </c>
      <c r="E4821" s="2">
        <v>1.1215277777777777E-2</v>
      </c>
      <c r="F4821">
        <v>16.149999999999999</v>
      </c>
    </row>
    <row r="4822" spans="1:6" x14ac:dyDescent="0.25">
      <c r="A4822" s="1">
        <v>40087</v>
      </c>
      <c r="B4822" t="s">
        <v>16</v>
      </c>
      <c r="C4822" t="s">
        <v>9</v>
      </c>
      <c r="D4822">
        <v>18</v>
      </c>
      <c r="E4822" s="2">
        <v>8.0902777777777778E-3</v>
      </c>
      <c r="F4822">
        <v>11.65</v>
      </c>
    </row>
    <row r="4823" spans="1:6" x14ac:dyDescent="0.25">
      <c r="A4823" s="1">
        <v>40087</v>
      </c>
      <c r="B4823" t="s">
        <v>16</v>
      </c>
      <c r="C4823" t="s">
        <v>10</v>
      </c>
      <c r="D4823">
        <v>0</v>
      </c>
      <c r="E4823" s="2">
        <v>0</v>
      </c>
      <c r="F4823">
        <v>0</v>
      </c>
    </row>
    <row r="4824" spans="1:6" x14ac:dyDescent="0.25">
      <c r="A4824" s="1">
        <v>40087</v>
      </c>
      <c r="B4824" t="s">
        <v>16</v>
      </c>
      <c r="C4824" t="s">
        <v>11</v>
      </c>
      <c r="D4824">
        <v>18</v>
      </c>
      <c r="E4824" s="2">
        <v>1.2905092592592593E-2</v>
      </c>
      <c r="F4824">
        <v>18.583333333333332</v>
      </c>
    </row>
    <row r="4825" spans="1:6" x14ac:dyDescent="0.25">
      <c r="A4825" s="1">
        <v>40087</v>
      </c>
      <c r="B4825" t="s">
        <v>17</v>
      </c>
      <c r="C4825" t="s">
        <v>6</v>
      </c>
      <c r="D4825">
        <v>4</v>
      </c>
      <c r="E4825" s="2">
        <v>2.2685185185185187E-3</v>
      </c>
      <c r="F4825">
        <v>3.2666666666666666</v>
      </c>
    </row>
    <row r="4826" spans="1:6" x14ac:dyDescent="0.25">
      <c r="A4826" s="1">
        <v>40087</v>
      </c>
      <c r="B4826" t="s">
        <v>17</v>
      </c>
      <c r="C4826" t="s">
        <v>7</v>
      </c>
      <c r="D4826">
        <v>6</v>
      </c>
      <c r="E4826" s="2">
        <v>6.0879629629629626E-3</v>
      </c>
      <c r="F4826">
        <v>8.7666666666666675</v>
      </c>
    </row>
    <row r="4827" spans="1:6" x14ac:dyDescent="0.25">
      <c r="A4827" s="1">
        <v>40087</v>
      </c>
      <c r="B4827" t="s">
        <v>17</v>
      </c>
      <c r="C4827" t="s">
        <v>8</v>
      </c>
      <c r="D4827">
        <v>3</v>
      </c>
      <c r="E4827" s="2">
        <v>3.0208333333333333E-3</v>
      </c>
      <c r="F4827">
        <v>4.3499999999999996</v>
      </c>
    </row>
    <row r="4828" spans="1:6" x14ac:dyDescent="0.25">
      <c r="A4828" s="1">
        <v>40087</v>
      </c>
      <c r="B4828" t="s">
        <v>17</v>
      </c>
      <c r="C4828" t="s">
        <v>9</v>
      </c>
      <c r="D4828">
        <v>3</v>
      </c>
      <c r="E4828" s="2">
        <v>2.0717592592592593E-3</v>
      </c>
      <c r="F4828">
        <v>2.9833333333333334</v>
      </c>
    </row>
    <row r="4829" spans="1:6" x14ac:dyDescent="0.25">
      <c r="A4829" s="1">
        <v>40087</v>
      </c>
      <c r="B4829" t="s">
        <v>17</v>
      </c>
      <c r="C4829" t="s">
        <v>10</v>
      </c>
      <c r="D4829">
        <v>7</v>
      </c>
      <c r="E4829" s="2">
        <v>5.2314814814814811E-3</v>
      </c>
      <c r="F4829">
        <v>7.5333333333333332</v>
      </c>
    </row>
    <row r="4830" spans="1:6" x14ac:dyDescent="0.25">
      <c r="A4830" s="1">
        <v>40087</v>
      </c>
      <c r="B4830" t="s">
        <v>17</v>
      </c>
      <c r="C4830" t="s">
        <v>11</v>
      </c>
      <c r="D4830">
        <v>3</v>
      </c>
      <c r="E4830" s="2">
        <v>2.9050925925925928E-3</v>
      </c>
      <c r="F4830">
        <v>4.1833333333333336</v>
      </c>
    </row>
    <row r="4831" spans="1:6" x14ac:dyDescent="0.25">
      <c r="A4831" s="1">
        <v>40087</v>
      </c>
      <c r="B4831" t="s">
        <v>18</v>
      </c>
      <c r="C4831" t="s">
        <v>6</v>
      </c>
      <c r="D4831">
        <v>44</v>
      </c>
      <c r="E4831" s="2">
        <v>3.1099537037037037E-2</v>
      </c>
      <c r="F4831">
        <v>44.783333333333331</v>
      </c>
    </row>
    <row r="4832" spans="1:6" x14ac:dyDescent="0.25">
      <c r="A4832" s="1">
        <v>40087</v>
      </c>
      <c r="B4832" t="s">
        <v>18</v>
      </c>
      <c r="C4832" t="s">
        <v>7</v>
      </c>
      <c r="D4832">
        <v>63</v>
      </c>
      <c r="E4832" s="2">
        <v>5.545138888888889E-2</v>
      </c>
      <c r="F4832">
        <v>79.849999999999994</v>
      </c>
    </row>
    <row r="4833" spans="1:6" x14ac:dyDescent="0.25">
      <c r="A4833" s="1">
        <v>40087</v>
      </c>
      <c r="B4833" t="s">
        <v>18</v>
      </c>
      <c r="C4833" t="s">
        <v>8</v>
      </c>
      <c r="D4833">
        <v>50</v>
      </c>
      <c r="E4833" s="2">
        <v>5.0821759259259261E-2</v>
      </c>
      <c r="F4833">
        <v>73.183333333333337</v>
      </c>
    </row>
    <row r="4834" spans="1:6" x14ac:dyDescent="0.25">
      <c r="A4834" s="1">
        <v>40087</v>
      </c>
      <c r="B4834" t="s">
        <v>18</v>
      </c>
      <c r="C4834" t="s">
        <v>9</v>
      </c>
      <c r="D4834">
        <v>46</v>
      </c>
      <c r="E4834" s="2">
        <v>2.5752314814814815E-2</v>
      </c>
      <c r="F4834">
        <v>37.083333333333336</v>
      </c>
    </row>
    <row r="4835" spans="1:6" x14ac:dyDescent="0.25">
      <c r="A4835" s="1">
        <v>40087</v>
      </c>
      <c r="B4835" t="s">
        <v>18</v>
      </c>
      <c r="C4835" t="s">
        <v>10</v>
      </c>
      <c r="D4835">
        <v>145</v>
      </c>
      <c r="E4835" s="2">
        <v>0.13005787037037037</v>
      </c>
      <c r="F4835">
        <v>187.28333333333333</v>
      </c>
    </row>
    <row r="4836" spans="1:6" x14ac:dyDescent="0.25">
      <c r="A4836" s="1">
        <v>40087</v>
      </c>
      <c r="B4836" t="s">
        <v>18</v>
      </c>
      <c r="C4836" t="s">
        <v>11</v>
      </c>
      <c r="D4836">
        <v>42</v>
      </c>
      <c r="E4836" s="2">
        <v>2.0046296296296295E-2</v>
      </c>
      <c r="F4836">
        <v>28.866666666666667</v>
      </c>
    </row>
    <row r="4837" spans="1:6" x14ac:dyDescent="0.25">
      <c r="A4837" s="1">
        <v>40087</v>
      </c>
      <c r="B4837" t="s">
        <v>19</v>
      </c>
      <c r="C4837" t="s">
        <v>6</v>
      </c>
      <c r="D4837">
        <v>67</v>
      </c>
      <c r="E4837" s="2">
        <v>6.7303240740740747E-2</v>
      </c>
      <c r="F4837">
        <v>96.916666666666671</v>
      </c>
    </row>
    <row r="4838" spans="1:6" x14ac:dyDescent="0.25">
      <c r="A4838" s="1">
        <v>40087</v>
      </c>
      <c r="B4838" t="s">
        <v>19</v>
      </c>
      <c r="C4838" t="s">
        <v>7</v>
      </c>
      <c r="D4838">
        <v>54</v>
      </c>
      <c r="E4838" s="2">
        <v>5.8321759259259261E-2</v>
      </c>
      <c r="F4838">
        <v>83.983333333333334</v>
      </c>
    </row>
    <row r="4839" spans="1:6" x14ac:dyDescent="0.25">
      <c r="A4839" s="1">
        <v>40087</v>
      </c>
      <c r="B4839" t="s">
        <v>19</v>
      </c>
      <c r="C4839" t="s">
        <v>8</v>
      </c>
      <c r="D4839">
        <v>50</v>
      </c>
      <c r="E4839" s="2">
        <v>5.7881944444444444E-2</v>
      </c>
      <c r="F4839">
        <v>83.35</v>
      </c>
    </row>
    <row r="4840" spans="1:6" x14ac:dyDescent="0.25">
      <c r="A4840" s="1">
        <v>40087</v>
      </c>
      <c r="B4840" t="s">
        <v>19</v>
      </c>
      <c r="C4840" t="s">
        <v>9</v>
      </c>
      <c r="D4840">
        <v>62</v>
      </c>
      <c r="E4840" s="2">
        <v>4.4814814814814814E-2</v>
      </c>
      <c r="F4840">
        <v>64.533333333333331</v>
      </c>
    </row>
    <row r="4841" spans="1:6" x14ac:dyDescent="0.25">
      <c r="A4841" s="1">
        <v>40087</v>
      </c>
      <c r="B4841" t="s">
        <v>19</v>
      </c>
      <c r="C4841" t="s">
        <v>10</v>
      </c>
      <c r="D4841">
        <v>20</v>
      </c>
      <c r="E4841" s="2">
        <v>9.9305555555555553E-3</v>
      </c>
      <c r="F4841">
        <v>14.3</v>
      </c>
    </row>
    <row r="4842" spans="1:6" x14ac:dyDescent="0.25">
      <c r="A4842" s="1">
        <v>40087</v>
      </c>
      <c r="B4842" t="s">
        <v>19</v>
      </c>
      <c r="C4842" t="s">
        <v>11</v>
      </c>
      <c r="D4842">
        <v>65</v>
      </c>
      <c r="E4842" s="2">
        <v>4.9479166666666664E-2</v>
      </c>
      <c r="F4842">
        <v>71.25</v>
      </c>
    </row>
    <row r="4843" spans="1:6" x14ac:dyDescent="0.25">
      <c r="A4843" s="1">
        <v>40087</v>
      </c>
      <c r="B4843" t="s">
        <v>20</v>
      </c>
      <c r="C4843" t="s">
        <v>6</v>
      </c>
      <c r="D4843">
        <v>36</v>
      </c>
      <c r="E4843" s="2">
        <v>3.9421296296296295E-2</v>
      </c>
      <c r="F4843">
        <v>56.766666666666666</v>
      </c>
    </row>
    <row r="4844" spans="1:6" x14ac:dyDescent="0.25">
      <c r="A4844" s="1">
        <v>40087</v>
      </c>
      <c r="B4844" t="s">
        <v>20</v>
      </c>
      <c r="C4844" t="s">
        <v>7</v>
      </c>
      <c r="D4844">
        <v>54</v>
      </c>
      <c r="E4844" s="2">
        <v>6.0057870370370373E-2</v>
      </c>
      <c r="F4844">
        <v>86.483333333333334</v>
      </c>
    </row>
    <row r="4845" spans="1:6" x14ac:dyDescent="0.25">
      <c r="A4845" s="1">
        <v>40087</v>
      </c>
      <c r="B4845" t="s">
        <v>20</v>
      </c>
      <c r="C4845" t="s">
        <v>8</v>
      </c>
      <c r="D4845">
        <v>28</v>
      </c>
      <c r="E4845" s="2">
        <v>3.5937499999999997E-2</v>
      </c>
      <c r="F4845">
        <v>51.75</v>
      </c>
    </row>
    <row r="4846" spans="1:6" x14ac:dyDescent="0.25">
      <c r="A4846" s="1">
        <v>40087</v>
      </c>
      <c r="B4846" t="s">
        <v>20</v>
      </c>
      <c r="C4846" t="s">
        <v>9</v>
      </c>
      <c r="D4846">
        <v>21</v>
      </c>
      <c r="E4846" s="2">
        <v>1.3738425925925926E-2</v>
      </c>
      <c r="F4846">
        <v>19.783333333333335</v>
      </c>
    </row>
    <row r="4847" spans="1:6" x14ac:dyDescent="0.25">
      <c r="A4847" s="1">
        <v>40087</v>
      </c>
      <c r="B4847" t="s">
        <v>20</v>
      </c>
      <c r="C4847" t="s">
        <v>10</v>
      </c>
      <c r="D4847">
        <v>14</v>
      </c>
      <c r="E4847" s="2">
        <v>1.7881944444444443E-2</v>
      </c>
      <c r="F4847">
        <v>25.75</v>
      </c>
    </row>
    <row r="4848" spans="1:6" x14ac:dyDescent="0.25">
      <c r="A4848" s="1">
        <v>40087</v>
      </c>
      <c r="B4848" t="s">
        <v>20</v>
      </c>
      <c r="C4848" t="s">
        <v>11</v>
      </c>
      <c r="D4848">
        <v>41</v>
      </c>
      <c r="E4848" s="2">
        <v>2.2893518518518518E-2</v>
      </c>
      <c r="F4848">
        <v>32.966666666666669</v>
      </c>
    </row>
    <row r="4849" spans="1:6" x14ac:dyDescent="0.25">
      <c r="A4849" s="1">
        <v>40087</v>
      </c>
      <c r="B4849" t="s">
        <v>21</v>
      </c>
      <c r="C4849" t="s">
        <v>6</v>
      </c>
      <c r="D4849">
        <v>45</v>
      </c>
      <c r="E4849" s="2">
        <v>5.2916666666666667E-2</v>
      </c>
      <c r="F4849">
        <v>76.2</v>
      </c>
    </row>
    <row r="4850" spans="1:6" x14ac:dyDescent="0.25">
      <c r="A4850" s="1">
        <v>40087</v>
      </c>
      <c r="B4850" t="s">
        <v>21</v>
      </c>
      <c r="C4850" t="s">
        <v>7</v>
      </c>
      <c r="D4850">
        <v>24</v>
      </c>
      <c r="E4850" s="2">
        <v>2.6527777777777779E-2</v>
      </c>
      <c r="F4850">
        <v>38.200000000000003</v>
      </c>
    </row>
    <row r="4851" spans="1:6" x14ac:dyDescent="0.25">
      <c r="A4851" s="1">
        <v>40087</v>
      </c>
      <c r="B4851" t="s">
        <v>21</v>
      </c>
      <c r="C4851" t="s">
        <v>8</v>
      </c>
      <c r="D4851">
        <v>20</v>
      </c>
      <c r="E4851" s="2">
        <v>2.6840277777777779E-2</v>
      </c>
      <c r="F4851">
        <v>38.65</v>
      </c>
    </row>
    <row r="4852" spans="1:6" x14ac:dyDescent="0.25">
      <c r="A4852" s="1">
        <v>40087</v>
      </c>
      <c r="B4852" t="s">
        <v>21</v>
      </c>
      <c r="C4852" t="s">
        <v>9</v>
      </c>
      <c r="D4852">
        <v>17</v>
      </c>
      <c r="E4852" s="2">
        <v>8.0787037037037043E-3</v>
      </c>
      <c r="F4852">
        <v>11.633333333333333</v>
      </c>
    </row>
    <row r="4853" spans="1:6" x14ac:dyDescent="0.25">
      <c r="A4853" s="1">
        <v>40087</v>
      </c>
      <c r="B4853" t="s">
        <v>21</v>
      </c>
      <c r="C4853" t="s">
        <v>10</v>
      </c>
      <c r="D4853">
        <v>11</v>
      </c>
      <c r="E4853" s="2">
        <v>1.2465277777777778E-2</v>
      </c>
      <c r="F4853">
        <v>17.95</v>
      </c>
    </row>
    <row r="4854" spans="1:6" x14ac:dyDescent="0.25">
      <c r="A4854" s="1">
        <v>40087</v>
      </c>
      <c r="B4854" t="s">
        <v>21</v>
      </c>
      <c r="C4854" t="s">
        <v>11</v>
      </c>
      <c r="D4854">
        <v>18</v>
      </c>
      <c r="E4854" s="2">
        <v>1.2210648148148148E-2</v>
      </c>
      <c r="F4854">
        <v>17.583333333333332</v>
      </c>
    </row>
    <row r="4855" spans="1:6" x14ac:dyDescent="0.25">
      <c r="A4855" s="1">
        <v>40087</v>
      </c>
      <c r="B4855" t="s">
        <v>22</v>
      </c>
      <c r="C4855" t="s">
        <v>6</v>
      </c>
      <c r="D4855">
        <v>16</v>
      </c>
      <c r="E4855" s="2">
        <v>1.8275462962962962E-2</v>
      </c>
      <c r="F4855">
        <v>26.316666666666666</v>
      </c>
    </row>
    <row r="4856" spans="1:6" x14ac:dyDescent="0.25">
      <c r="A4856" s="1">
        <v>40087</v>
      </c>
      <c r="B4856" t="s">
        <v>22</v>
      </c>
      <c r="C4856" t="s">
        <v>7</v>
      </c>
      <c r="D4856">
        <v>12</v>
      </c>
      <c r="E4856" s="2">
        <v>1.2199074074074074E-2</v>
      </c>
      <c r="F4856">
        <v>17.566666666666666</v>
      </c>
    </row>
    <row r="4857" spans="1:6" x14ac:dyDescent="0.25">
      <c r="A4857" s="1">
        <v>40087</v>
      </c>
      <c r="B4857" t="s">
        <v>22</v>
      </c>
      <c r="C4857" t="s">
        <v>8</v>
      </c>
      <c r="D4857">
        <v>12</v>
      </c>
      <c r="E4857" s="2">
        <v>1.9004629629629628E-2</v>
      </c>
      <c r="F4857">
        <v>27.366666666666667</v>
      </c>
    </row>
    <row r="4858" spans="1:6" x14ac:dyDescent="0.25">
      <c r="A4858" s="1">
        <v>40087</v>
      </c>
      <c r="B4858" t="s">
        <v>22</v>
      </c>
      <c r="C4858" t="s">
        <v>9</v>
      </c>
      <c r="D4858">
        <v>5</v>
      </c>
      <c r="E4858" s="2">
        <v>2.9513888888888888E-3</v>
      </c>
      <c r="F4858">
        <v>4.25</v>
      </c>
    </row>
    <row r="4859" spans="1:6" x14ac:dyDescent="0.25">
      <c r="A4859" s="1">
        <v>40087</v>
      </c>
      <c r="B4859" t="s">
        <v>22</v>
      </c>
      <c r="C4859" t="s">
        <v>10</v>
      </c>
      <c r="D4859">
        <v>11</v>
      </c>
      <c r="E4859" s="2">
        <v>7.905092592592592E-3</v>
      </c>
      <c r="F4859">
        <v>11.383333333333333</v>
      </c>
    </row>
    <row r="4860" spans="1:6" x14ac:dyDescent="0.25">
      <c r="A4860" s="1">
        <v>40087</v>
      </c>
      <c r="B4860" t="s">
        <v>22</v>
      </c>
      <c r="C4860" t="s">
        <v>11</v>
      </c>
      <c r="D4860">
        <v>10</v>
      </c>
      <c r="E4860" s="2">
        <v>8.3217592592592596E-3</v>
      </c>
      <c r="F4860">
        <v>11.983333333333333</v>
      </c>
    </row>
    <row r="4861" spans="1:6" x14ac:dyDescent="0.25">
      <c r="A4861" s="1">
        <v>40087</v>
      </c>
      <c r="B4861" t="s">
        <v>23</v>
      </c>
      <c r="C4861" t="s">
        <v>6</v>
      </c>
      <c r="D4861">
        <v>103</v>
      </c>
      <c r="E4861" s="2">
        <v>0.10545138888888889</v>
      </c>
      <c r="F4861">
        <v>151.85</v>
      </c>
    </row>
    <row r="4862" spans="1:6" x14ac:dyDescent="0.25">
      <c r="A4862" s="1">
        <v>40087</v>
      </c>
      <c r="B4862" t="s">
        <v>23</v>
      </c>
      <c r="C4862" t="s">
        <v>7</v>
      </c>
      <c r="D4862">
        <v>79</v>
      </c>
      <c r="E4862" s="2">
        <v>8.2650462962962967E-2</v>
      </c>
      <c r="F4862">
        <v>119.01666666666667</v>
      </c>
    </row>
    <row r="4863" spans="1:6" x14ac:dyDescent="0.25">
      <c r="A4863" s="1">
        <v>40087</v>
      </c>
      <c r="B4863" t="s">
        <v>23</v>
      </c>
      <c r="C4863" t="s">
        <v>8</v>
      </c>
      <c r="D4863">
        <v>75</v>
      </c>
      <c r="E4863" s="2">
        <v>8.1041666666666665E-2</v>
      </c>
      <c r="F4863">
        <v>116.7</v>
      </c>
    </row>
    <row r="4864" spans="1:6" x14ac:dyDescent="0.25">
      <c r="A4864" s="1">
        <v>40087</v>
      </c>
      <c r="B4864" t="s">
        <v>23</v>
      </c>
      <c r="C4864" t="s">
        <v>9</v>
      </c>
      <c r="D4864">
        <v>61</v>
      </c>
      <c r="E4864" s="2">
        <v>3.6087962962962961E-2</v>
      </c>
      <c r="F4864">
        <v>51.966666666666669</v>
      </c>
    </row>
    <row r="4865" spans="1:6" x14ac:dyDescent="0.25">
      <c r="A4865" s="1">
        <v>40087</v>
      </c>
      <c r="B4865" t="s">
        <v>23</v>
      </c>
      <c r="C4865" t="s">
        <v>10</v>
      </c>
      <c r="D4865">
        <v>30</v>
      </c>
      <c r="E4865" s="2">
        <v>3.1261574074074074E-2</v>
      </c>
      <c r="F4865">
        <v>45.016666666666666</v>
      </c>
    </row>
    <row r="4866" spans="1:6" x14ac:dyDescent="0.25">
      <c r="A4866" s="1">
        <v>40087</v>
      </c>
      <c r="B4866" t="s">
        <v>23</v>
      </c>
      <c r="C4866" t="s">
        <v>11</v>
      </c>
      <c r="D4866">
        <v>86</v>
      </c>
      <c r="E4866" s="2">
        <v>6.2662037037037044E-2</v>
      </c>
      <c r="F4866">
        <v>90.233333333333334</v>
      </c>
    </row>
    <row r="4867" spans="1:6" x14ac:dyDescent="0.25">
      <c r="A4867" s="1">
        <v>40087</v>
      </c>
      <c r="B4867" t="s">
        <v>24</v>
      </c>
      <c r="C4867" t="s">
        <v>6</v>
      </c>
      <c r="D4867">
        <v>61</v>
      </c>
      <c r="E4867" s="2">
        <v>5.7094907407407407E-2</v>
      </c>
      <c r="F4867">
        <v>82.216666666666669</v>
      </c>
    </row>
    <row r="4868" spans="1:6" x14ac:dyDescent="0.25">
      <c r="A4868" s="1">
        <v>40087</v>
      </c>
      <c r="B4868" t="s">
        <v>24</v>
      </c>
      <c r="C4868" t="s">
        <v>7</v>
      </c>
      <c r="D4868">
        <v>42</v>
      </c>
      <c r="E4868" s="2">
        <v>3.3831018518518517E-2</v>
      </c>
      <c r="F4868">
        <v>48.716666666666669</v>
      </c>
    </row>
    <row r="4869" spans="1:6" x14ac:dyDescent="0.25">
      <c r="A4869" s="1">
        <v>40087</v>
      </c>
      <c r="B4869" t="s">
        <v>24</v>
      </c>
      <c r="C4869" t="s">
        <v>8</v>
      </c>
      <c r="D4869">
        <v>25</v>
      </c>
      <c r="E4869" s="2">
        <v>2.6180555555555554E-2</v>
      </c>
      <c r="F4869">
        <v>37.700000000000003</v>
      </c>
    </row>
    <row r="4870" spans="1:6" x14ac:dyDescent="0.25">
      <c r="A4870" s="1">
        <v>40087</v>
      </c>
      <c r="B4870" t="s">
        <v>24</v>
      </c>
      <c r="C4870" t="s">
        <v>9</v>
      </c>
      <c r="D4870">
        <v>15</v>
      </c>
      <c r="E4870" s="2">
        <v>9.5601851851851855E-3</v>
      </c>
      <c r="F4870">
        <v>13.766666666666667</v>
      </c>
    </row>
    <row r="4871" spans="1:6" x14ac:dyDescent="0.25">
      <c r="A4871" s="1">
        <v>40087</v>
      </c>
      <c r="B4871" t="s">
        <v>24</v>
      </c>
      <c r="C4871" t="s">
        <v>10</v>
      </c>
      <c r="D4871">
        <v>0</v>
      </c>
      <c r="E4871" s="2">
        <v>0</v>
      </c>
      <c r="F4871">
        <v>0</v>
      </c>
    </row>
    <row r="4872" spans="1:6" x14ac:dyDescent="0.25">
      <c r="A4872" s="1">
        <v>40087</v>
      </c>
      <c r="B4872" t="s">
        <v>24</v>
      </c>
      <c r="C4872" t="s">
        <v>11</v>
      </c>
      <c r="D4872">
        <v>50</v>
      </c>
      <c r="E4872" s="2">
        <v>2.1770833333333333E-2</v>
      </c>
      <c r="F4872">
        <v>31.35</v>
      </c>
    </row>
    <row r="4873" spans="1:6" x14ac:dyDescent="0.25">
      <c r="A4873" s="1">
        <v>40118</v>
      </c>
      <c r="B4873" t="s">
        <v>5</v>
      </c>
      <c r="C4873" t="s">
        <v>6</v>
      </c>
      <c r="D4873">
        <v>34</v>
      </c>
      <c r="E4873" s="2">
        <v>2.3518518518518518E-2</v>
      </c>
      <c r="F4873">
        <v>33.866666666666667</v>
      </c>
    </row>
    <row r="4874" spans="1:6" x14ac:dyDescent="0.25">
      <c r="A4874" s="1">
        <v>40118</v>
      </c>
      <c r="B4874" t="s">
        <v>5</v>
      </c>
      <c r="C4874" t="s">
        <v>7</v>
      </c>
      <c r="D4874">
        <v>21</v>
      </c>
      <c r="E4874" s="2">
        <v>1.4652777777777778E-2</v>
      </c>
      <c r="F4874">
        <v>21.1</v>
      </c>
    </row>
    <row r="4875" spans="1:6" x14ac:dyDescent="0.25">
      <c r="A4875" s="1">
        <v>40118</v>
      </c>
      <c r="B4875" t="s">
        <v>5</v>
      </c>
      <c r="C4875" t="s">
        <v>8</v>
      </c>
      <c r="D4875">
        <v>14</v>
      </c>
      <c r="E4875" s="2">
        <v>1.2604166666666666E-2</v>
      </c>
      <c r="F4875">
        <v>18.149999999999999</v>
      </c>
    </row>
    <row r="4876" spans="1:6" x14ac:dyDescent="0.25">
      <c r="A4876" s="1">
        <v>40118</v>
      </c>
      <c r="B4876" t="s">
        <v>5</v>
      </c>
      <c r="C4876" t="s">
        <v>9</v>
      </c>
      <c r="D4876">
        <v>4</v>
      </c>
      <c r="E4876" s="2">
        <v>9.837962962962962E-4</v>
      </c>
      <c r="F4876">
        <v>1.4166666666666667</v>
      </c>
    </row>
    <row r="4877" spans="1:6" x14ac:dyDescent="0.25">
      <c r="A4877" s="1">
        <v>40118</v>
      </c>
      <c r="B4877" t="s">
        <v>5</v>
      </c>
      <c r="C4877" t="s">
        <v>10</v>
      </c>
      <c r="D4877">
        <v>5</v>
      </c>
      <c r="E4877" s="2">
        <v>1.2037037037037038E-3</v>
      </c>
      <c r="F4877">
        <v>1.7333333333333334</v>
      </c>
    </row>
    <row r="4878" spans="1:6" x14ac:dyDescent="0.25">
      <c r="A4878" s="1">
        <v>40118</v>
      </c>
      <c r="B4878" t="s">
        <v>5</v>
      </c>
      <c r="C4878" t="s">
        <v>11</v>
      </c>
      <c r="D4878">
        <v>13</v>
      </c>
      <c r="E4878" s="2">
        <v>5.5324074074074078E-3</v>
      </c>
      <c r="F4878">
        <v>7.9666666666666668</v>
      </c>
    </row>
    <row r="4879" spans="1:6" x14ac:dyDescent="0.25">
      <c r="A4879" s="1">
        <v>40118</v>
      </c>
      <c r="B4879" t="s">
        <v>12</v>
      </c>
      <c r="C4879" t="s">
        <v>6</v>
      </c>
      <c r="D4879">
        <v>51</v>
      </c>
      <c r="E4879" s="2">
        <v>7.5185185185185188E-2</v>
      </c>
      <c r="F4879">
        <v>108.26666666666667</v>
      </c>
    </row>
    <row r="4880" spans="1:6" x14ac:dyDescent="0.25">
      <c r="A4880" s="1">
        <v>40118</v>
      </c>
      <c r="B4880" t="s">
        <v>12</v>
      </c>
      <c r="C4880" t="s">
        <v>7</v>
      </c>
      <c r="D4880">
        <v>45</v>
      </c>
      <c r="E4880" s="2">
        <v>5.7094907407407407E-2</v>
      </c>
      <c r="F4880">
        <v>82.216666666666669</v>
      </c>
    </row>
    <row r="4881" spans="1:6" x14ac:dyDescent="0.25">
      <c r="A4881" s="1">
        <v>40118</v>
      </c>
      <c r="B4881" t="s">
        <v>12</v>
      </c>
      <c r="C4881" t="s">
        <v>8</v>
      </c>
      <c r="D4881">
        <v>32</v>
      </c>
      <c r="E4881" s="2">
        <v>4.9004629629629627E-2</v>
      </c>
      <c r="F4881">
        <v>70.566666666666663</v>
      </c>
    </row>
    <row r="4882" spans="1:6" x14ac:dyDescent="0.25">
      <c r="A4882" s="1">
        <v>40118</v>
      </c>
      <c r="B4882" t="s">
        <v>12</v>
      </c>
      <c r="C4882" t="s">
        <v>9</v>
      </c>
      <c r="D4882">
        <v>11</v>
      </c>
      <c r="E4882" s="2">
        <v>5.208333333333333E-3</v>
      </c>
      <c r="F4882">
        <v>7.5</v>
      </c>
    </row>
    <row r="4883" spans="1:6" x14ac:dyDescent="0.25">
      <c r="A4883" s="1">
        <v>40118</v>
      </c>
      <c r="B4883" t="s">
        <v>12</v>
      </c>
      <c r="C4883" t="s">
        <v>10</v>
      </c>
      <c r="D4883">
        <v>4</v>
      </c>
      <c r="E4883" s="2">
        <v>3.3101851851851851E-3</v>
      </c>
      <c r="F4883">
        <v>4.7666666666666666</v>
      </c>
    </row>
    <row r="4884" spans="1:6" x14ac:dyDescent="0.25">
      <c r="A4884" s="1">
        <v>40118</v>
      </c>
      <c r="B4884" t="s">
        <v>12</v>
      </c>
      <c r="C4884" t="s">
        <v>11</v>
      </c>
      <c r="D4884">
        <v>16</v>
      </c>
      <c r="E4884" s="2">
        <v>1.4340277777777778E-2</v>
      </c>
      <c r="F4884">
        <v>20.65</v>
      </c>
    </row>
    <row r="4885" spans="1:6" x14ac:dyDescent="0.25">
      <c r="A4885" s="1">
        <v>40118</v>
      </c>
      <c r="B4885" t="s">
        <v>13</v>
      </c>
      <c r="C4885" t="s">
        <v>6</v>
      </c>
      <c r="D4885">
        <v>45</v>
      </c>
      <c r="E4885" s="2">
        <v>5.1504629629629629E-2</v>
      </c>
      <c r="F4885">
        <v>74.166666666666671</v>
      </c>
    </row>
    <row r="4886" spans="1:6" x14ac:dyDescent="0.25">
      <c r="A4886" s="1">
        <v>40118</v>
      </c>
      <c r="B4886" t="s">
        <v>13</v>
      </c>
      <c r="C4886" t="s">
        <v>7</v>
      </c>
      <c r="D4886">
        <v>35</v>
      </c>
      <c r="E4886" s="2">
        <v>4.0798611111111112E-2</v>
      </c>
      <c r="F4886">
        <v>58.75</v>
      </c>
    </row>
    <row r="4887" spans="1:6" x14ac:dyDescent="0.25">
      <c r="A4887" s="1">
        <v>40118</v>
      </c>
      <c r="B4887" t="s">
        <v>13</v>
      </c>
      <c r="C4887" t="s">
        <v>8</v>
      </c>
      <c r="D4887">
        <v>23</v>
      </c>
      <c r="E4887" s="2">
        <v>2.4930555555555556E-2</v>
      </c>
      <c r="F4887">
        <v>35.9</v>
      </c>
    </row>
    <row r="4888" spans="1:6" x14ac:dyDescent="0.25">
      <c r="A4888" s="1">
        <v>40118</v>
      </c>
      <c r="B4888" t="s">
        <v>13</v>
      </c>
      <c r="C4888" t="s">
        <v>9</v>
      </c>
      <c r="D4888">
        <v>13</v>
      </c>
      <c r="E4888" s="2">
        <v>9.571759259259259E-3</v>
      </c>
      <c r="F4888">
        <v>13.783333333333333</v>
      </c>
    </row>
    <row r="4889" spans="1:6" x14ac:dyDescent="0.25">
      <c r="A4889" s="1">
        <v>40118</v>
      </c>
      <c r="B4889" t="s">
        <v>13</v>
      </c>
      <c r="C4889" t="s">
        <v>10</v>
      </c>
      <c r="D4889">
        <v>17</v>
      </c>
      <c r="E4889" s="2">
        <v>1.8831018518518518E-2</v>
      </c>
      <c r="F4889">
        <v>27.116666666666667</v>
      </c>
    </row>
    <row r="4890" spans="1:6" x14ac:dyDescent="0.25">
      <c r="A4890" s="1">
        <v>40118</v>
      </c>
      <c r="B4890" t="s">
        <v>13</v>
      </c>
      <c r="C4890" t="s">
        <v>11</v>
      </c>
      <c r="D4890">
        <v>32</v>
      </c>
      <c r="E4890" s="2">
        <v>2.5231481481481483E-2</v>
      </c>
      <c r="F4890">
        <v>36.333333333333336</v>
      </c>
    </row>
    <row r="4891" spans="1:6" x14ac:dyDescent="0.25">
      <c r="A4891" s="1">
        <v>40118</v>
      </c>
      <c r="B4891" t="s">
        <v>14</v>
      </c>
      <c r="C4891" t="s">
        <v>6</v>
      </c>
      <c r="D4891">
        <v>6</v>
      </c>
      <c r="E4891" s="2">
        <v>7.4189814814814813E-3</v>
      </c>
      <c r="F4891">
        <v>10.683333333333334</v>
      </c>
    </row>
    <row r="4892" spans="1:6" x14ac:dyDescent="0.25">
      <c r="A4892" s="1">
        <v>40118</v>
      </c>
      <c r="B4892" t="s">
        <v>14</v>
      </c>
      <c r="C4892" t="s">
        <v>7</v>
      </c>
      <c r="D4892">
        <v>4</v>
      </c>
      <c r="E4892" s="2">
        <v>4.4444444444444444E-3</v>
      </c>
      <c r="F4892">
        <v>6.4</v>
      </c>
    </row>
    <row r="4893" spans="1:6" x14ac:dyDescent="0.25">
      <c r="A4893" s="1">
        <v>40118</v>
      </c>
      <c r="B4893" t="s">
        <v>14</v>
      </c>
      <c r="C4893" t="s">
        <v>8</v>
      </c>
      <c r="D4893">
        <v>7</v>
      </c>
      <c r="E4893" s="2">
        <v>9.9884259259259266E-3</v>
      </c>
      <c r="F4893">
        <v>14.383333333333333</v>
      </c>
    </row>
    <row r="4894" spans="1:6" x14ac:dyDescent="0.25">
      <c r="A4894" s="1">
        <v>40118</v>
      </c>
      <c r="B4894" t="s">
        <v>14</v>
      </c>
      <c r="C4894" t="s">
        <v>9</v>
      </c>
      <c r="D4894">
        <v>3</v>
      </c>
      <c r="E4894" s="2">
        <v>2.1180555555555558E-3</v>
      </c>
      <c r="F4894">
        <v>3.05</v>
      </c>
    </row>
    <row r="4895" spans="1:6" x14ac:dyDescent="0.25">
      <c r="A4895" s="1">
        <v>40118</v>
      </c>
      <c r="B4895" t="s">
        <v>14</v>
      </c>
      <c r="C4895" t="s">
        <v>10</v>
      </c>
      <c r="D4895">
        <v>1</v>
      </c>
      <c r="E4895" s="2">
        <v>1.724537037037037E-3</v>
      </c>
      <c r="F4895">
        <v>2.4833333333333334</v>
      </c>
    </row>
    <row r="4896" spans="1:6" x14ac:dyDescent="0.25">
      <c r="A4896" s="1">
        <v>40118</v>
      </c>
      <c r="B4896" t="s">
        <v>14</v>
      </c>
      <c r="C4896" t="s">
        <v>11</v>
      </c>
      <c r="D4896">
        <v>0</v>
      </c>
      <c r="E4896" s="2">
        <v>0</v>
      </c>
      <c r="F4896">
        <v>0</v>
      </c>
    </row>
    <row r="4897" spans="1:6" x14ac:dyDescent="0.25">
      <c r="A4897" s="1">
        <v>40118</v>
      </c>
      <c r="B4897" t="s">
        <v>15</v>
      </c>
      <c r="C4897" t="s">
        <v>6</v>
      </c>
      <c r="D4897">
        <v>27</v>
      </c>
      <c r="E4897" s="2">
        <v>2.988425925925926E-2</v>
      </c>
      <c r="F4897">
        <v>43.033333333333331</v>
      </c>
    </row>
    <row r="4898" spans="1:6" x14ac:dyDescent="0.25">
      <c r="A4898" s="1">
        <v>40118</v>
      </c>
      <c r="B4898" t="s">
        <v>15</v>
      </c>
      <c r="C4898" t="s">
        <v>7</v>
      </c>
      <c r="D4898">
        <v>22</v>
      </c>
      <c r="E4898" s="2">
        <v>2.2858796296296297E-2</v>
      </c>
      <c r="F4898">
        <v>32.916666666666664</v>
      </c>
    </row>
    <row r="4899" spans="1:6" x14ac:dyDescent="0.25">
      <c r="A4899" s="1">
        <v>40118</v>
      </c>
      <c r="B4899" t="s">
        <v>15</v>
      </c>
      <c r="C4899" t="s">
        <v>8</v>
      </c>
      <c r="D4899">
        <v>9</v>
      </c>
      <c r="E4899" s="2">
        <v>1.238425925925926E-2</v>
      </c>
      <c r="F4899">
        <v>17.833333333333332</v>
      </c>
    </row>
    <row r="4900" spans="1:6" x14ac:dyDescent="0.25">
      <c r="A4900" s="1">
        <v>40118</v>
      </c>
      <c r="B4900" t="s">
        <v>15</v>
      </c>
      <c r="C4900" t="s">
        <v>9</v>
      </c>
      <c r="D4900">
        <v>8</v>
      </c>
      <c r="E4900" s="2">
        <v>3.8541666666666668E-3</v>
      </c>
      <c r="F4900">
        <v>5.55</v>
      </c>
    </row>
    <row r="4901" spans="1:6" x14ac:dyDescent="0.25">
      <c r="A4901" s="1">
        <v>40118</v>
      </c>
      <c r="B4901" t="s">
        <v>15</v>
      </c>
      <c r="C4901" t="s">
        <v>10</v>
      </c>
      <c r="D4901">
        <v>9</v>
      </c>
      <c r="E4901" s="2">
        <v>1.1111111111111112E-2</v>
      </c>
      <c r="F4901">
        <v>16</v>
      </c>
    </row>
    <row r="4902" spans="1:6" x14ac:dyDescent="0.25">
      <c r="A4902" s="1">
        <v>40118</v>
      </c>
      <c r="B4902" t="s">
        <v>15</v>
      </c>
      <c r="C4902" t="s">
        <v>11</v>
      </c>
      <c r="D4902">
        <v>9</v>
      </c>
      <c r="E4902" s="2">
        <v>6.9791666666666665E-3</v>
      </c>
      <c r="F4902">
        <v>10.050000000000001</v>
      </c>
    </row>
    <row r="4903" spans="1:6" x14ac:dyDescent="0.25">
      <c r="A4903" s="1">
        <v>40118</v>
      </c>
      <c r="B4903" t="s">
        <v>16</v>
      </c>
      <c r="C4903" t="s">
        <v>6</v>
      </c>
      <c r="D4903">
        <v>43</v>
      </c>
      <c r="E4903" s="2">
        <v>4.3240740740740739E-2</v>
      </c>
      <c r="F4903">
        <v>62.266666666666666</v>
      </c>
    </row>
    <row r="4904" spans="1:6" x14ac:dyDescent="0.25">
      <c r="A4904" s="1">
        <v>40118</v>
      </c>
      <c r="B4904" t="s">
        <v>16</v>
      </c>
      <c r="C4904" t="s">
        <v>7</v>
      </c>
      <c r="D4904">
        <v>43</v>
      </c>
      <c r="E4904" s="2">
        <v>3.8761574074074073E-2</v>
      </c>
      <c r="F4904">
        <v>55.81666666666667</v>
      </c>
    </row>
    <row r="4905" spans="1:6" x14ac:dyDescent="0.25">
      <c r="A4905" s="1">
        <v>40118</v>
      </c>
      <c r="B4905" t="s">
        <v>16</v>
      </c>
      <c r="C4905" t="s">
        <v>8</v>
      </c>
      <c r="D4905">
        <v>22</v>
      </c>
      <c r="E4905" s="2">
        <v>1.6979166666666667E-2</v>
      </c>
      <c r="F4905">
        <v>24.45</v>
      </c>
    </row>
    <row r="4906" spans="1:6" x14ac:dyDescent="0.25">
      <c r="A4906" s="1">
        <v>40118</v>
      </c>
      <c r="B4906" t="s">
        <v>16</v>
      </c>
      <c r="C4906" t="s">
        <v>9</v>
      </c>
      <c r="D4906">
        <v>20</v>
      </c>
      <c r="E4906" s="2">
        <v>1.3125E-2</v>
      </c>
      <c r="F4906">
        <v>18.899999999999999</v>
      </c>
    </row>
    <row r="4907" spans="1:6" x14ac:dyDescent="0.25">
      <c r="A4907" s="1">
        <v>40118</v>
      </c>
      <c r="B4907" t="s">
        <v>16</v>
      </c>
      <c r="C4907" t="s">
        <v>10</v>
      </c>
      <c r="D4907">
        <v>2</v>
      </c>
      <c r="E4907" s="2">
        <v>1.5162037037037036E-3</v>
      </c>
      <c r="F4907">
        <v>2.1833333333333331</v>
      </c>
    </row>
    <row r="4908" spans="1:6" x14ac:dyDescent="0.25">
      <c r="A4908" s="1">
        <v>40118</v>
      </c>
      <c r="B4908" t="s">
        <v>16</v>
      </c>
      <c r="C4908" t="s">
        <v>11</v>
      </c>
      <c r="D4908">
        <v>46</v>
      </c>
      <c r="E4908" s="2">
        <v>2.0613425925925927E-2</v>
      </c>
      <c r="F4908">
        <v>29.683333333333334</v>
      </c>
    </row>
    <row r="4909" spans="1:6" x14ac:dyDescent="0.25">
      <c r="A4909" s="1">
        <v>40118</v>
      </c>
      <c r="B4909" t="s">
        <v>17</v>
      </c>
      <c r="C4909" t="s">
        <v>6</v>
      </c>
      <c r="D4909">
        <v>26</v>
      </c>
      <c r="E4909" s="2">
        <v>2.8877314814814814E-2</v>
      </c>
      <c r="F4909">
        <v>41.583333333333336</v>
      </c>
    </row>
    <row r="4910" spans="1:6" x14ac:dyDescent="0.25">
      <c r="A4910" s="1">
        <v>40118</v>
      </c>
      <c r="B4910" t="s">
        <v>17</v>
      </c>
      <c r="C4910" t="s">
        <v>7</v>
      </c>
      <c r="D4910">
        <v>32</v>
      </c>
      <c r="E4910" s="2">
        <v>3.2928240740740744E-2</v>
      </c>
      <c r="F4910">
        <v>47.416666666666664</v>
      </c>
    </row>
    <row r="4911" spans="1:6" x14ac:dyDescent="0.25">
      <c r="A4911" s="1">
        <v>40118</v>
      </c>
      <c r="B4911" t="s">
        <v>17</v>
      </c>
      <c r="C4911" t="s">
        <v>8</v>
      </c>
      <c r="D4911">
        <v>39</v>
      </c>
      <c r="E4911" s="2">
        <v>5.2002314814814814E-2</v>
      </c>
      <c r="F4911">
        <v>74.88333333333334</v>
      </c>
    </row>
    <row r="4912" spans="1:6" x14ac:dyDescent="0.25">
      <c r="A4912" s="1">
        <v>40118</v>
      </c>
      <c r="B4912" t="s">
        <v>17</v>
      </c>
      <c r="C4912" t="s">
        <v>9</v>
      </c>
      <c r="D4912">
        <v>10</v>
      </c>
      <c r="E4912" s="2">
        <v>8.5879629629629622E-3</v>
      </c>
      <c r="F4912">
        <v>12.366666666666667</v>
      </c>
    </row>
    <row r="4913" spans="1:6" x14ac:dyDescent="0.25">
      <c r="A4913" s="1">
        <v>40118</v>
      </c>
      <c r="B4913" t="s">
        <v>17</v>
      </c>
      <c r="C4913" t="s">
        <v>10</v>
      </c>
      <c r="D4913">
        <v>31</v>
      </c>
      <c r="E4913" s="2">
        <v>3.664351851851852E-2</v>
      </c>
      <c r="F4913">
        <v>52.766666666666666</v>
      </c>
    </row>
    <row r="4914" spans="1:6" x14ac:dyDescent="0.25">
      <c r="A4914" s="1">
        <v>40118</v>
      </c>
      <c r="B4914" t="s">
        <v>17</v>
      </c>
      <c r="C4914" t="s">
        <v>11</v>
      </c>
      <c r="D4914">
        <v>17</v>
      </c>
      <c r="E4914" s="2">
        <v>1.3773148148148149E-2</v>
      </c>
      <c r="F4914">
        <v>19.833333333333332</v>
      </c>
    </row>
    <row r="4915" spans="1:6" x14ac:dyDescent="0.25">
      <c r="A4915" s="1">
        <v>40118</v>
      </c>
      <c r="B4915" t="s">
        <v>18</v>
      </c>
      <c r="C4915" t="s">
        <v>6</v>
      </c>
      <c r="D4915">
        <v>29</v>
      </c>
      <c r="E4915" s="2">
        <v>2.4085648148148148E-2</v>
      </c>
      <c r="F4915">
        <v>34.68333333333333</v>
      </c>
    </row>
    <row r="4916" spans="1:6" x14ac:dyDescent="0.25">
      <c r="A4916" s="1">
        <v>40118</v>
      </c>
      <c r="B4916" t="s">
        <v>18</v>
      </c>
      <c r="C4916" t="s">
        <v>7</v>
      </c>
      <c r="D4916">
        <v>45</v>
      </c>
      <c r="E4916" s="2">
        <v>3.4756944444444444E-2</v>
      </c>
      <c r="F4916">
        <v>50.05</v>
      </c>
    </row>
    <row r="4917" spans="1:6" x14ac:dyDescent="0.25">
      <c r="A4917" s="1">
        <v>40118</v>
      </c>
      <c r="B4917" t="s">
        <v>18</v>
      </c>
      <c r="C4917" t="s">
        <v>8</v>
      </c>
      <c r="D4917">
        <v>37</v>
      </c>
      <c r="E4917" s="2">
        <v>4.0196759259259258E-2</v>
      </c>
      <c r="F4917">
        <v>57.883333333333333</v>
      </c>
    </row>
    <row r="4918" spans="1:6" x14ac:dyDescent="0.25">
      <c r="A4918" s="1">
        <v>40118</v>
      </c>
      <c r="B4918" t="s">
        <v>18</v>
      </c>
      <c r="C4918" t="s">
        <v>9</v>
      </c>
      <c r="D4918">
        <v>48</v>
      </c>
      <c r="E4918" s="2">
        <v>2.931712962962963E-2</v>
      </c>
      <c r="F4918">
        <v>42.216666666666669</v>
      </c>
    </row>
    <row r="4919" spans="1:6" x14ac:dyDescent="0.25">
      <c r="A4919" s="1">
        <v>40118</v>
      </c>
      <c r="B4919" t="s">
        <v>18</v>
      </c>
      <c r="C4919" t="s">
        <v>10</v>
      </c>
      <c r="D4919">
        <v>111</v>
      </c>
      <c r="E4919" s="2">
        <v>0.10047453703703704</v>
      </c>
      <c r="F4919">
        <v>144.68333333333334</v>
      </c>
    </row>
    <row r="4920" spans="1:6" x14ac:dyDescent="0.25">
      <c r="A4920" s="1">
        <v>40118</v>
      </c>
      <c r="B4920" t="s">
        <v>18</v>
      </c>
      <c r="C4920" t="s">
        <v>11</v>
      </c>
      <c r="D4920">
        <v>36</v>
      </c>
      <c r="E4920" s="2">
        <v>1.5949074074074074E-2</v>
      </c>
      <c r="F4920">
        <v>22.966666666666665</v>
      </c>
    </row>
    <row r="4921" spans="1:6" x14ac:dyDescent="0.25">
      <c r="A4921" s="1">
        <v>40118</v>
      </c>
      <c r="B4921" t="s">
        <v>19</v>
      </c>
      <c r="C4921" t="s">
        <v>6</v>
      </c>
      <c r="D4921">
        <v>38</v>
      </c>
      <c r="E4921" s="2">
        <v>3.4722222222222224E-2</v>
      </c>
      <c r="F4921">
        <v>50</v>
      </c>
    </row>
    <row r="4922" spans="1:6" x14ac:dyDescent="0.25">
      <c r="A4922" s="1">
        <v>40118</v>
      </c>
      <c r="B4922" t="s">
        <v>19</v>
      </c>
      <c r="C4922" t="s">
        <v>7</v>
      </c>
      <c r="D4922">
        <v>36</v>
      </c>
      <c r="E4922" s="2">
        <v>4.521990740740741E-2</v>
      </c>
      <c r="F4922">
        <v>65.11666666666666</v>
      </c>
    </row>
    <row r="4923" spans="1:6" x14ac:dyDescent="0.25">
      <c r="A4923" s="1">
        <v>40118</v>
      </c>
      <c r="B4923" t="s">
        <v>19</v>
      </c>
      <c r="C4923" t="s">
        <v>8</v>
      </c>
      <c r="D4923">
        <v>38</v>
      </c>
      <c r="E4923" s="2">
        <v>4.8032407407407406E-2</v>
      </c>
      <c r="F4923">
        <v>69.166666666666671</v>
      </c>
    </row>
    <row r="4924" spans="1:6" x14ac:dyDescent="0.25">
      <c r="A4924" s="1">
        <v>40118</v>
      </c>
      <c r="B4924" t="s">
        <v>19</v>
      </c>
      <c r="C4924" t="s">
        <v>9</v>
      </c>
      <c r="D4924">
        <v>26</v>
      </c>
      <c r="E4924" s="2">
        <v>1.7939814814814815E-2</v>
      </c>
      <c r="F4924">
        <v>25.833333333333332</v>
      </c>
    </row>
    <row r="4925" spans="1:6" x14ac:dyDescent="0.25">
      <c r="A4925" s="1">
        <v>40118</v>
      </c>
      <c r="B4925" t="s">
        <v>19</v>
      </c>
      <c r="C4925" t="s">
        <v>10</v>
      </c>
      <c r="D4925">
        <v>24</v>
      </c>
      <c r="E4925" s="2">
        <v>1.3009259259259259E-2</v>
      </c>
      <c r="F4925">
        <v>18.733333333333334</v>
      </c>
    </row>
    <row r="4926" spans="1:6" x14ac:dyDescent="0.25">
      <c r="A4926" s="1">
        <v>40118</v>
      </c>
      <c r="B4926" t="s">
        <v>19</v>
      </c>
      <c r="C4926" t="s">
        <v>11</v>
      </c>
      <c r="D4926">
        <v>42</v>
      </c>
      <c r="E4926" s="2">
        <v>2.9965277777777778E-2</v>
      </c>
      <c r="F4926">
        <v>43.15</v>
      </c>
    </row>
    <row r="4927" spans="1:6" x14ac:dyDescent="0.25">
      <c r="A4927" s="1">
        <v>40118</v>
      </c>
      <c r="B4927" t="s">
        <v>20</v>
      </c>
      <c r="C4927" t="s">
        <v>6</v>
      </c>
      <c r="D4927">
        <v>27</v>
      </c>
      <c r="E4927" s="2">
        <v>2.2743055555555555E-2</v>
      </c>
      <c r="F4927">
        <v>32.75</v>
      </c>
    </row>
    <row r="4928" spans="1:6" x14ac:dyDescent="0.25">
      <c r="A4928" s="1">
        <v>40118</v>
      </c>
      <c r="B4928" t="s">
        <v>20</v>
      </c>
      <c r="C4928" t="s">
        <v>7</v>
      </c>
      <c r="D4928">
        <v>34</v>
      </c>
      <c r="E4928" s="2">
        <v>3.4386574074074076E-2</v>
      </c>
      <c r="F4928">
        <v>49.516666666666666</v>
      </c>
    </row>
    <row r="4929" spans="1:6" x14ac:dyDescent="0.25">
      <c r="A4929" s="1">
        <v>40118</v>
      </c>
      <c r="B4929" t="s">
        <v>20</v>
      </c>
      <c r="C4929" t="s">
        <v>8</v>
      </c>
      <c r="D4929">
        <v>32</v>
      </c>
      <c r="E4929" s="2">
        <v>3.5787037037037034E-2</v>
      </c>
      <c r="F4929">
        <v>51.533333333333331</v>
      </c>
    </row>
    <row r="4930" spans="1:6" x14ac:dyDescent="0.25">
      <c r="A4930" s="1">
        <v>40118</v>
      </c>
      <c r="B4930" t="s">
        <v>20</v>
      </c>
      <c r="C4930" t="s">
        <v>9</v>
      </c>
      <c r="D4930">
        <v>19</v>
      </c>
      <c r="E4930" s="2">
        <v>1.3460648148148149E-2</v>
      </c>
      <c r="F4930">
        <v>19.383333333333333</v>
      </c>
    </row>
    <row r="4931" spans="1:6" x14ac:dyDescent="0.25">
      <c r="A4931" s="1">
        <v>40118</v>
      </c>
      <c r="B4931" t="s">
        <v>20</v>
      </c>
      <c r="C4931" t="s">
        <v>10</v>
      </c>
      <c r="D4931">
        <v>10</v>
      </c>
      <c r="E4931" s="2">
        <v>8.0324074074074082E-3</v>
      </c>
      <c r="F4931">
        <v>11.566666666666666</v>
      </c>
    </row>
    <row r="4932" spans="1:6" x14ac:dyDescent="0.25">
      <c r="A4932" s="1">
        <v>40118</v>
      </c>
      <c r="B4932" t="s">
        <v>20</v>
      </c>
      <c r="C4932" t="s">
        <v>11</v>
      </c>
      <c r="D4932">
        <v>18</v>
      </c>
      <c r="E4932" s="2">
        <v>1.5277777777777777E-2</v>
      </c>
      <c r="F4932">
        <v>22</v>
      </c>
    </row>
    <row r="4933" spans="1:6" x14ac:dyDescent="0.25">
      <c r="A4933" s="1">
        <v>40118</v>
      </c>
      <c r="B4933" t="s">
        <v>21</v>
      </c>
      <c r="C4933" t="s">
        <v>6</v>
      </c>
      <c r="D4933">
        <v>58</v>
      </c>
      <c r="E4933" s="2">
        <v>6.7581018518518512E-2</v>
      </c>
      <c r="F4933">
        <v>97.316666666666663</v>
      </c>
    </row>
    <row r="4934" spans="1:6" x14ac:dyDescent="0.25">
      <c r="A4934" s="1">
        <v>40118</v>
      </c>
      <c r="B4934" t="s">
        <v>21</v>
      </c>
      <c r="C4934" t="s">
        <v>7</v>
      </c>
      <c r="D4934">
        <v>63</v>
      </c>
      <c r="E4934" s="2">
        <v>6.7766203703703703E-2</v>
      </c>
      <c r="F4934">
        <v>97.583333333333329</v>
      </c>
    </row>
    <row r="4935" spans="1:6" x14ac:dyDescent="0.25">
      <c r="A4935" s="1">
        <v>40118</v>
      </c>
      <c r="B4935" t="s">
        <v>21</v>
      </c>
      <c r="C4935" t="s">
        <v>8</v>
      </c>
      <c r="D4935">
        <v>37</v>
      </c>
      <c r="E4935" s="2">
        <v>5.0370370370370371E-2</v>
      </c>
      <c r="F4935">
        <v>72.533333333333331</v>
      </c>
    </row>
    <row r="4936" spans="1:6" x14ac:dyDescent="0.25">
      <c r="A4936" s="1">
        <v>40118</v>
      </c>
      <c r="B4936" t="s">
        <v>21</v>
      </c>
      <c r="C4936" t="s">
        <v>9</v>
      </c>
      <c r="D4936">
        <v>24</v>
      </c>
      <c r="E4936" s="2">
        <v>1.8310185185185186E-2</v>
      </c>
      <c r="F4936">
        <v>26.366666666666667</v>
      </c>
    </row>
    <row r="4937" spans="1:6" x14ac:dyDescent="0.25">
      <c r="A4937" s="1">
        <v>40118</v>
      </c>
      <c r="B4937" t="s">
        <v>21</v>
      </c>
      <c r="C4937" t="s">
        <v>10</v>
      </c>
      <c r="D4937">
        <v>8</v>
      </c>
      <c r="E4937" s="2">
        <v>6.6550925925925927E-3</v>
      </c>
      <c r="F4937">
        <v>9.5833333333333339</v>
      </c>
    </row>
    <row r="4938" spans="1:6" x14ac:dyDescent="0.25">
      <c r="A4938" s="1">
        <v>40118</v>
      </c>
      <c r="B4938" t="s">
        <v>21</v>
      </c>
      <c r="C4938" t="s">
        <v>11</v>
      </c>
      <c r="D4938">
        <v>33</v>
      </c>
      <c r="E4938" s="2">
        <v>2.4872685185185185E-2</v>
      </c>
      <c r="F4938">
        <v>35.81666666666667</v>
      </c>
    </row>
    <row r="4939" spans="1:6" x14ac:dyDescent="0.25">
      <c r="A4939" s="1">
        <v>40118</v>
      </c>
      <c r="B4939" t="s">
        <v>22</v>
      </c>
      <c r="C4939" t="s">
        <v>6</v>
      </c>
      <c r="D4939">
        <v>13</v>
      </c>
      <c r="E4939" s="2">
        <v>1.5740740740740739E-2</v>
      </c>
      <c r="F4939">
        <v>22.666666666666668</v>
      </c>
    </row>
    <row r="4940" spans="1:6" x14ac:dyDescent="0.25">
      <c r="A4940" s="1">
        <v>40118</v>
      </c>
      <c r="B4940" t="s">
        <v>22</v>
      </c>
      <c r="C4940" t="s">
        <v>7</v>
      </c>
      <c r="D4940">
        <v>11</v>
      </c>
      <c r="E4940" s="2">
        <v>7.4074074074074077E-3</v>
      </c>
      <c r="F4940">
        <v>10.666666666666666</v>
      </c>
    </row>
    <row r="4941" spans="1:6" x14ac:dyDescent="0.25">
      <c r="A4941" s="1">
        <v>40118</v>
      </c>
      <c r="B4941" t="s">
        <v>22</v>
      </c>
      <c r="C4941" t="s">
        <v>8</v>
      </c>
      <c r="D4941">
        <v>3</v>
      </c>
      <c r="E4941" s="2">
        <v>3.0555555555555557E-3</v>
      </c>
      <c r="F4941">
        <v>4.4000000000000004</v>
      </c>
    </row>
    <row r="4942" spans="1:6" x14ac:dyDescent="0.25">
      <c r="A4942" s="1">
        <v>40118</v>
      </c>
      <c r="B4942" t="s">
        <v>22</v>
      </c>
      <c r="C4942" t="s">
        <v>9</v>
      </c>
      <c r="D4942">
        <v>1</v>
      </c>
      <c r="E4942" s="2">
        <v>3.4722222222222224E-4</v>
      </c>
      <c r="F4942">
        <v>0.5</v>
      </c>
    </row>
    <row r="4943" spans="1:6" x14ac:dyDescent="0.25">
      <c r="A4943" s="1">
        <v>40118</v>
      </c>
      <c r="B4943" t="s">
        <v>22</v>
      </c>
      <c r="C4943" t="s">
        <v>10</v>
      </c>
      <c r="D4943">
        <v>6</v>
      </c>
      <c r="E4943" s="2">
        <v>7.5347222222222222E-3</v>
      </c>
      <c r="F4943">
        <v>10.85</v>
      </c>
    </row>
    <row r="4944" spans="1:6" x14ac:dyDescent="0.25">
      <c r="A4944" s="1">
        <v>40118</v>
      </c>
      <c r="B4944" t="s">
        <v>22</v>
      </c>
      <c r="C4944" t="s">
        <v>11</v>
      </c>
      <c r="D4944">
        <v>2</v>
      </c>
      <c r="E4944" s="2">
        <v>1.5972222222222223E-3</v>
      </c>
      <c r="F4944">
        <v>2.2999999999999998</v>
      </c>
    </row>
    <row r="4945" spans="1:6" x14ac:dyDescent="0.25">
      <c r="A4945" s="1">
        <v>40118</v>
      </c>
      <c r="B4945" t="s">
        <v>23</v>
      </c>
      <c r="C4945" t="s">
        <v>6</v>
      </c>
      <c r="D4945">
        <v>105</v>
      </c>
      <c r="E4945" s="2">
        <v>0.10979166666666666</v>
      </c>
      <c r="F4945">
        <v>158.1</v>
      </c>
    </row>
    <row r="4946" spans="1:6" x14ac:dyDescent="0.25">
      <c r="A4946" s="1">
        <v>40118</v>
      </c>
      <c r="B4946" t="s">
        <v>23</v>
      </c>
      <c r="C4946" t="s">
        <v>7</v>
      </c>
      <c r="D4946">
        <v>88</v>
      </c>
      <c r="E4946" s="2">
        <v>0.10181712962962963</v>
      </c>
      <c r="F4946">
        <v>146.61666666666667</v>
      </c>
    </row>
    <row r="4947" spans="1:6" x14ac:dyDescent="0.25">
      <c r="A4947" s="1">
        <v>40118</v>
      </c>
      <c r="B4947" t="s">
        <v>23</v>
      </c>
      <c r="C4947" t="s">
        <v>8</v>
      </c>
      <c r="D4947">
        <v>50</v>
      </c>
      <c r="E4947" s="2">
        <v>6.0717592592592594E-2</v>
      </c>
      <c r="F4947">
        <v>87.433333333333337</v>
      </c>
    </row>
    <row r="4948" spans="1:6" x14ac:dyDescent="0.25">
      <c r="A4948" s="1">
        <v>40118</v>
      </c>
      <c r="B4948" t="s">
        <v>23</v>
      </c>
      <c r="C4948" t="s">
        <v>9</v>
      </c>
      <c r="D4948">
        <v>50</v>
      </c>
      <c r="E4948" s="2">
        <v>3.2696759259259259E-2</v>
      </c>
      <c r="F4948">
        <v>47.083333333333336</v>
      </c>
    </row>
    <row r="4949" spans="1:6" x14ac:dyDescent="0.25">
      <c r="A4949" s="1">
        <v>40118</v>
      </c>
      <c r="B4949" t="s">
        <v>23</v>
      </c>
      <c r="C4949" t="s">
        <v>10</v>
      </c>
      <c r="D4949">
        <v>40</v>
      </c>
      <c r="E4949" s="2">
        <v>4.1979166666666665E-2</v>
      </c>
      <c r="F4949">
        <v>60.45</v>
      </c>
    </row>
    <row r="4950" spans="1:6" x14ac:dyDescent="0.25">
      <c r="A4950" s="1">
        <v>40118</v>
      </c>
      <c r="B4950" t="s">
        <v>23</v>
      </c>
      <c r="C4950" t="s">
        <v>11</v>
      </c>
      <c r="D4950">
        <v>81</v>
      </c>
      <c r="E4950" s="2">
        <v>6.0428240740740741E-2</v>
      </c>
      <c r="F4950">
        <v>87.016666666666666</v>
      </c>
    </row>
    <row r="4951" spans="1:6" x14ac:dyDescent="0.25">
      <c r="A4951" s="1">
        <v>40118</v>
      </c>
      <c r="B4951" t="s">
        <v>24</v>
      </c>
      <c r="C4951" t="s">
        <v>6</v>
      </c>
      <c r="D4951">
        <v>75</v>
      </c>
      <c r="E4951" s="2">
        <v>6.4525462962962965E-2</v>
      </c>
      <c r="F4951">
        <v>92.916666666666671</v>
      </c>
    </row>
    <row r="4952" spans="1:6" x14ac:dyDescent="0.25">
      <c r="A4952" s="1">
        <v>40118</v>
      </c>
      <c r="B4952" t="s">
        <v>24</v>
      </c>
      <c r="C4952" t="s">
        <v>7</v>
      </c>
      <c r="D4952">
        <v>56</v>
      </c>
      <c r="E4952" s="2">
        <v>4.5393518518518521E-2</v>
      </c>
      <c r="F4952">
        <v>65.36666666666666</v>
      </c>
    </row>
    <row r="4953" spans="1:6" x14ac:dyDescent="0.25">
      <c r="A4953" s="1">
        <v>40118</v>
      </c>
      <c r="B4953" t="s">
        <v>24</v>
      </c>
      <c r="C4953" t="s">
        <v>8</v>
      </c>
      <c r="D4953">
        <v>25</v>
      </c>
      <c r="E4953" s="2">
        <v>2.3425925925925926E-2</v>
      </c>
      <c r="F4953">
        <v>33.733333333333334</v>
      </c>
    </row>
    <row r="4954" spans="1:6" x14ac:dyDescent="0.25">
      <c r="A4954" s="1">
        <v>40118</v>
      </c>
      <c r="B4954" t="s">
        <v>24</v>
      </c>
      <c r="C4954" t="s">
        <v>9</v>
      </c>
      <c r="D4954">
        <v>30</v>
      </c>
      <c r="E4954" s="2">
        <v>1.9618055555555555E-2</v>
      </c>
      <c r="F4954">
        <v>28.25</v>
      </c>
    </row>
    <row r="4955" spans="1:6" x14ac:dyDescent="0.25">
      <c r="A4955" s="1">
        <v>40118</v>
      </c>
      <c r="B4955" t="s">
        <v>24</v>
      </c>
      <c r="C4955" t="s">
        <v>10</v>
      </c>
      <c r="D4955">
        <v>5</v>
      </c>
      <c r="E4955" s="2">
        <v>4.43287037037037E-3</v>
      </c>
      <c r="F4955">
        <v>6.3833333333333337</v>
      </c>
    </row>
    <row r="4956" spans="1:6" x14ac:dyDescent="0.25">
      <c r="A4956" s="1">
        <v>40118</v>
      </c>
      <c r="B4956" t="s">
        <v>24</v>
      </c>
      <c r="C4956" t="s">
        <v>11</v>
      </c>
      <c r="D4956">
        <v>76</v>
      </c>
      <c r="E4956" s="2">
        <v>4.2789351851851849E-2</v>
      </c>
      <c r="F4956">
        <v>61.616666666666667</v>
      </c>
    </row>
    <row r="4957" spans="1:6" x14ac:dyDescent="0.25">
      <c r="A4957" s="1">
        <v>40148</v>
      </c>
      <c r="B4957" t="s">
        <v>5</v>
      </c>
      <c r="C4957" t="s">
        <v>6</v>
      </c>
      <c r="D4957">
        <v>63</v>
      </c>
      <c r="E4957" s="2">
        <v>5.9710648148148152E-2</v>
      </c>
      <c r="F4957">
        <v>85.983333333333334</v>
      </c>
    </row>
    <row r="4958" spans="1:6" x14ac:dyDescent="0.25">
      <c r="A4958" s="1">
        <v>40148</v>
      </c>
      <c r="B4958" t="s">
        <v>5</v>
      </c>
      <c r="C4958" t="s">
        <v>7</v>
      </c>
      <c r="D4958">
        <v>45</v>
      </c>
      <c r="E4958" s="2">
        <v>3.1944444444444442E-2</v>
      </c>
      <c r="F4958">
        <v>46</v>
      </c>
    </row>
    <row r="4959" spans="1:6" x14ac:dyDescent="0.25">
      <c r="A4959" s="1">
        <v>40148</v>
      </c>
      <c r="B4959" t="s">
        <v>5</v>
      </c>
      <c r="C4959" t="s">
        <v>8</v>
      </c>
      <c r="D4959">
        <v>30</v>
      </c>
      <c r="E4959" s="2">
        <v>2.2268518518518517E-2</v>
      </c>
      <c r="F4959">
        <v>32.06666666666667</v>
      </c>
    </row>
    <row r="4960" spans="1:6" x14ac:dyDescent="0.25">
      <c r="A4960" s="1">
        <v>40148</v>
      </c>
      <c r="B4960" t="s">
        <v>5</v>
      </c>
      <c r="C4960" t="s">
        <v>9</v>
      </c>
      <c r="D4960">
        <v>13</v>
      </c>
      <c r="E4960" s="2">
        <v>6.7476851851851856E-3</v>
      </c>
      <c r="F4960">
        <v>9.7166666666666668</v>
      </c>
    </row>
    <row r="4961" spans="1:6" x14ac:dyDescent="0.25">
      <c r="A4961" s="1">
        <v>40148</v>
      </c>
      <c r="B4961" t="s">
        <v>5</v>
      </c>
      <c r="C4961" t="s">
        <v>10</v>
      </c>
      <c r="D4961">
        <v>3</v>
      </c>
      <c r="E4961" s="2">
        <v>3.1828703703703702E-3</v>
      </c>
      <c r="F4961">
        <v>4.583333333333333</v>
      </c>
    </row>
    <row r="4962" spans="1:6" x14ac:dyDescent="0.25">
      <c r="A4962" s="1">
        <v>40148</v>
      </c>
      <c r="B4962" t="s">
        <v>5</v>
      </c>
      <c r="C4962" t="s">
        <v>11</v>
      </c>
      <c r="D4962">
        <v>29</v>
      </c>
      <c r="E4962" s="2">
        <v>1.6736111111111111E-2</v>
      </c>
      <c r="F4962">
        <v>24.1</v>
      </c>
    </row>
    <row r="4963" spans="1:6" x14ac:dyDescent="0.25">
      <c r="A4963" s="1">
        <v>40148</v>
      </c>
      <c r="B4963" t="s">
        <v>12</v>
      </c>
      <c r="C4963" t="s">
        <v>6</v>
      </c>
      <c r="D4963">
        <v>61</v>
      </c>
      <c r="E4963" s="2">
        <v>7.7187500000000006E-2</v>
      </c>
      <c r="F4963">
        <v>111.15</v>
      </c>
    </row>
    <row r="4964" spans="1:6" x14ac:dyDescent="0.25">
      <c r="A4964" s="1">
        <v>40148</v>
      </c>
      <c r="B4964" t="s">
        <v>12</v>
      </c>
      <c r="C4964" t="s">
        <v>7</v>
      </c>
      <c r="D4964">
        <v>65</v>
      </c>
      <c r="E4964" s="2">
        <v>8.5520833333333338E-2</v>
      </c>
      <c r="F4964">
        <v>123.15</v>
      </c>
    </row>
    <row r="4965" spans="1:6" x14ac:dyDescent="0.25">
      <c r="A4965" s="1">
        <v>40148</v>
      </c>
      <c r="B4965" t="s">
        <v>12</v>
      </c>
      <c r="C4965" t="s">
        <v>8</v>
      </c>
      <c r="D4965">
        <v>43</v>
      </c>
      <c r="E4965" s="2">
        <v>6.446759259259259E-2</v>
      </c>
      <c r="F4965">
        <v>92.833333333333329</v>
      </c>
    </row>
    <row r="4966" spans="1:6" x14ac:dyDescent="0.25">
      <c r="A4966" s="1">
        <v>40148</v>
      </c>
      <c r="B4966" t="s">
        <v>12</v>
      </c>
      <c r="C4966" t="s">
        <v>9</v>
      </c>
      <c r="D4966">
        <v>9</v>
      </c>
      <c r="E4966" s="2">
        <v>4.5138888888888885E-3</v>
      </c>
      <c r="F4966">
        <v>6.5</v>
      </c>
    </row>
    <row r="4967" spans="1:6" x14ac:dyDescent="0.25">
      <c r="A4967" s="1">
        <v>40148</v>
      </c>
      <c r="B4967" t="s">
        <v>12</v>
      </c>
      <c r="C4967" t="s">
        <v>10</v>
      </c>
      <c r="D4967">
        <v>4</v>
      </c>
      <c r="E4967" s="2">
        <v>3.460648148148148E-3</v>
      </c>
      <c r="F4967">
        <v>4.9833333333333334</v>
      </c>
    </row>
    <row r="4968" spans="1:6" x14ac:dyDescent="0.25">
      <c r="A4968" s="1">
        <v>40148</v>
      </c>
      <c r="B4968" t="s">
        <v>12</v>
      </c>
      <c r="C4968" t="s">
        <v>11</v>
      </c>
      <c r="D4968">
        <v>26</v>
      </c>
      <c r="E4968" s="2">
        <v>2.1597222222222223E-2</v>
      </c>
      <c r="F4968">
        <v>31.1</v>
      </c>
    </row>
    <row r="4969" spans="1:6" x14ac:dyDescent="0.25">
      <c r="A4969" s="1">
        <v>40148</v>
      </c>
      <c r="B4969" t="s">
        <v>13</v>
      </c>
      <c r="C4969" t="s">
        <v>6</v>
      </c>
      <c r="D4969">
        <v>62</v>
      </c>
      <c r="E4969" s="2">
        <v>7.3888888888888893E-2</v>
      </c>
      <c r="F4969">
        <v>106.4</v>
      </c>
    </row>
    <row r="4970" spans="1:6" x14ac:dyDescent="0.25">
      <c r="A4970" s="1">
        <v>40148</v>
      </c>
      <c r="B4970" t="s">
        <v>13</v>
      </c>
      <c r="C4970" t="s">
        <v>7</v>
      </c>
      <c r="D4970">
        <v>46</v>
      </c>
      <c r="E4970" s="2">
        <v>5.5289351851851853E-2</v>
      </c>
      <c r="F4970">
        <v>79.61666666666666</v>
      </c>
    </row>
    <row r="4971" spans="1:6" x14ac:dyDescent="0.25">
      <c r="A4971" s="1">
        <v>40148</v>
      </c>
      <c r="B4971" t="s">
        <v>13</v>
      </c>
      <c r="C4971" t="s">
        <v>8</v>
      </c>
      <c r="D4971">
        <v>28</v>
      </c>
      <c r="E4971" s="2">
        <v>3.7210648148148145E-2</v>
      </c>
      <c r="F4971">
        <v>53.583333333333336</v>
      </c>
    </row>
    <row r="4972" spans="1:6" x14ac:dyDescent="0.25">
      <c r="A4972" s="1">
        <v>40148</v>
      </c>
      <c r="B4972" t="s">
        <v>13</v>
      </c>
      <c r="C4972" t="s">
        <v>9</v>
      </c>
      <c r="D4972">
        <v>17</v>
      </c>
      <c r="E4972" s="2">
        <v>1.3622685185185186E-2</v>
      </c>
      <c r="F4972">
        <v>19.616666666666667</v>
      </c>
    </row>
    <row r="4973" spans="1:6" x14ac:dyDescent="0.25">
      <c r="A4973" s="1">
        <v>40148</v>
      </c>
      <c r="B4973" t="s">
        <v>13</v>
      </c>
      <c r="C4973" t="s">
        <v>10</v>
      </c>
      <c r="D4973">
        <v>36</v>
      </c>
      <c r="E4973" s="2">
        <v>3.0844907407407408E-2</v>
      </c>
      <c r="F4973">
        <v>44.416666666666664</v>
      </c>
    </row>
    <row r="4974" spans="1:6" x14ac:dyDescent="0.25">
      <c r="A4974" s="1">
        <v>40148</v>
      </c>
      <c r="B4974" t="s">
        <v>13</v>
      </c>
      <c r="C4974" t="s">
        <v>11</v>
      </c>
      <c r="D4974">
        <v>26</v>
      </c>
      <c r="E4974" s="2">
        <v>2.2013888888888888E-2</v>
      </c>
      <c r="F4974">
        <v>31.7</v>
      </c>
    </row>
    <row r="4975" spans="1:6" x14ac:dyDescent="0.25">
      <c r="A4975" s="1">
        <v>40148</v>
      </c>
      <c r="B4975" t="s">
        <v>14</v>
      </c>
      <c r="C4975" t="s">
        <v>6</v>
      </c>
      <c r="D4975">
        <v>6</v>
      </c>
      <c r="E4975" s="2">
        <v>5.7523148148148151E-3</v>
      </c>
      <c r="F4975">
        <v>8.2833333333333332</v>
      </c>
    </row>
    <row r="4976" spans="1:6" x14ac:dyDescent="0.25">
      <c r="A4976" s="1">
        <v>40148</v>
      </c>
      <c r="B4976" t="s">
        <v>14</v>
      </c>
      <c r="C4976" t="s">
        <v>7</v>
      </c>
      <c r="D4976">
        <v>4</v>
      </c>
      <c r="E4976" s="2">
        <v>6.122685185185185E-3</v>
      </c>
      <c r="F4976">
        <v>8.8166666666666664</v>
      </c>
    </row>
    <row r="4977" spans="1:6" x14ac:dyDescent="0.25">
      <c r="A4977" s="1">
        <v>40148</v>
      </c>
      <c r="B4977" t="s">
        <v>14</v>
      </c>
      <c r="C4977" t="s">
        <v>8</v>
      </c>
      <c r="D4977">
        <v>5</v>
      </c>
      <c r="E4977" s="2">
        <v>6.2268518518518515E-3</v>
      </c>
      <c r="F4977">
        <v>8.9666666666666668</v>
      </c>
    </row>
    <row r="4978" spans="1:6" x14ac:dyDescent="0.25">
      <c r="A4978" s="1">
        <v>40148</v>
      </c>
      <c r="B4978" t="s">
        <v>14</v>
      </c>
      <c r="C4978" t="s">
        <v>9</v>
      </c>
      <c r="D4978">
        <v>2</v>
      </c>
      <c r="E4978" s="2">
        <v>7.6388888888888893E-4</v>
      </c>
      <c r="F4978">
        <v>1.1000000000000001</v>
      </c>
    </row>
    <row r="4979" spans="1:6" x14ac:dyDescent="0.25">
      <c r="A4979" s="1">
        <v>40148</v>
      </c>
      <c r="B4979" t="s">
        <v>14</v>
      </c>
      <c r="C4979" t="s">
        <v>10</v>
      </c>
      <c r="D4979">
        <v>4</v>
      </c>
      <c r="E4979" s="2">
        <v>4.5601851851851853E-3</v>
      </c>
      <c r="F4979">
        <v>6.5666666666666664</v>
      </c>
    </row>
    <row r="4980" spans="1:6" x14ac:dyDescent="0.25">
      <c r="A4980" s="1">
        <v>40148</v>
      </c>
      <c r="B4980" t="s">
        <v>14</v>
      </c>
      <c r="C4980" t="s">
        <v>11</v>
      </c>
      <c r="D4980">
        <v>2</v>
      </c>
      <c r="E4980" s="2">
        <v>2.4074074074074076E-3</v>
      </c>
      <c r="F4980">
        <v>3.4666666666666668</v>
      </c>
    </row>
    <row r="4981" spans="1:6" x14ac:dyDescent="0.25">
      <c r="A4981" s="1">
        <v>40148</v>
      </c>
      <c r="B4981" t="s">
        <v>15</v>
      </c>
      <c r="C4981" t="s">
        <v>6</v>
      </c>
      <c r="D4981">
        <v>63</v>
      </c>
      <c r="E4981" s="2">
        <v>7.7291666666666661E-2</v>
      </c>
      <c r="F4981">
        <v>111.3</v>
      </c>
    </row>
    <row r="4982" spans="1:6" x14ac:dyDescent="0.25">
      <c r="A4982" s="1">
        <v>40148</v>
      </c>
      <c r="B4982" t="s">
        <v>15</v>
      </c>
      <c r="C4982" t="s">
        <v>7</v>
      </c>
      <c r="D4982">
        <v>53</v>
      </c>
      <c r="E4982" s="2">
        <v>6.0555555555555557E-2</v>
      </c>
      <c r="F4982">
        <v>87.2</v>
      </c>
    </row>
    <row r="4983" spans="1:6" x14ac:dyDescent="0.25">
      <c r="A4983" s="1">
        <v>40148</v>
      </c>
      <c r="B4983" t="s">
        <v>15</v>
      </c>
      <c r="C4983" t="s">
        <v>8</v>
      </c>
      <c r="D4983">
        <v>58</v>
      </c>
      <c r="E4983" s="2">
        <v>9.0462962962962967E-2</v>
      </c>
      <c r="F4983">
        <v>130.26666666666668</v>
      </c>
    </row>
    <row r="4984" spans="1:6" x14ac:dyDescent="0.25">
      <c r="A4984" s="1">
        <v>40148</v>
      </c>
      <c r="B4984" t="s">
        <v>15</v>
      </c>
      <c r="C4984" t="s">
        <v>9</v>
      </c>
      <c r="D4984">
        <v>27</v>
      </c>
      <c r="E4984" s="2">
        <v>1.8576388888888889E-2</v>
      </c>
      <c r="F4984">
        <v>26.75</v>
      </c>
    </row>
    <row r="4985" spans="1:6" x14ac:dyDescent="0.25">
      <c r="A4985" s="1">
        <v>40148</v>
      </c>
      <c r="B4985" t="s">
        <v>15</v>
      </c>
      <c r="C4985" t="s">
        <v>10</v>
      </c>
      <c r="D4985">
        <v>32</v>
      </c>
      <c r="E4985" s="2">
        <v>4.3981481481481483E-2</v>
      </c>
      <c r="F4985">
        <v>63.333333333333336</v>
      </c>
    </row>
    <row r="4986" spans="1:6" x14ac:dyDescent="0.25">
      <c r="A4986" s="1">
        <v>40148</v>
      </c>
      <c r="B4986" t="s">
        <v>15</v>
      </c>
      <c r="C4986" t="s">
        <v>11</v>
      </c>
      <c r="D4986">
        <v>29</v>
      </c>
      <c r="E4986" s="2">
        <v>2.0798611111111111E-2</v>
      </c>
      <c r="F4986">
        <v>29.95</v>
      </c>
    </row>
    <row r="4987" spans="1:6" x14ac:dyDescent="0.25">
      <c r="A4987" s="1">
        <v>40148</v>
      </c>
      <c r="B4987" t="s">
        <v>16</v>
      </c>
      <c r="C4987" t="s">
        <v>6</v>
      </c>
      <c r="D4987">
        <v>50</v>
      </c>
      <c r="E4987" s="2">
        <v>4.8541666666666664E-2</v>
      </c>
      <c r="F4987">
        <v>69.900000000000006</v>
      </c>
    </row>
    <row r="4988" spans="1:6" x14ac:dyDescent="0.25">
      <c r="A4988" s="1">
        <v>40148</v>
      </c>
      <c r="B4988" t="s">
        <v>16</v>
      </c>
      <c r="C4988" t="s">
        <v>7</v>
      </c>
      <c r="D4988">
        <v>53</v>
      </c>
      <c r="E4988" s="2">
        <v>3.996527777777778E-2</v>
      </c>
      <c r="F4988">
        <v>57.55</v>
      </c>
    </row>
    <row r="4989" spans="1:6" x14ac:dyDescent="0.25">
      <c r="A4989" s="1">
        <v>40148</v>
      </c>
      <c r="B4989" t="s">
        <v>16</v>
      </c>
      <c r="C4989" t="s">
        <v>8</v>
      </c>
      <c r="D4989">
        <v>41</v>
      </c>
      <c r="E4989" s="2">
        <v>3.9664351851851853E-2</v>
      </c>
      <c r="F4989">
        <v>57.116666666666667</v>
      </c>
    </row>
    <row r="4990" spans="1:6" x14ac:dyDescent="0.25">
      <c r="A4990" s="1">
        <v>40148</v>
      </c>
      <c r="B4990" t="s">
        <v>16</v>
      </c>
      <c r="C4990" t="s">
        <v>9</v>
      </c>
      <c r="D4990">
        <v>23</v>
      </c>
      <c r="E4990" s="2">
        <v>1.5393518518518518E-2</v>
      </c>
      <c r="F4990">
        <v>22.166666666666668</v>
      </c>
    </row>
    <row r="4991" spans="1:6" x14ac:dyDescent="0.25">
      <c r="A4991" s="1">
        <v>40148</v>
      </c>
      <c r="B4991" t="s">
        <v>16</v>
      </c>
      <c r="C4991" t="s">
        <v>10</v>
      </c>
      <c r="D4991">
        <v>5</v>
      </c>
      <c r="E4991" s="2">
        <v>2.9629629629629628E-3</v>
      </c>
      <c r="F4991">
        <v>4.2666666666666666</v>
      </c>
    </row>
    <row r="4992" spans="1:6" x14ac:dyDescent="0.25">
      <c r="A4992" s="1">
        <v>40148</v>
      </c>
      <c r="B4992" t="s">
        <v>16</v>
      </c>
      <c r="C4992" t="s">
        <v>11</v>
      </c>
      <c r="D4992">
        <v>55</v>
      </c>
      <c r="E4992" s="2">
        <v>2.7291666666666665E-2</v>
      </c>
      <c r="F4992">
        <v>39.299999999999997</v>
      </c>
    </row>
    <row r="4993" spans="1:6" x14ac:dyDescent="0.25">
      <c r="A4993" s="1">
        <v>40148</v>
      </c>
      <c r="B4993" t="s">
        <v>17</v>
      </c>
      <c r="C4993" t="s">
        <v>6</v>
      </c>
      <c r="D4993">
        <v>5</v>
      </c>
      <c r="E4993" s="2">
        <v>4.5138888888888885E-3</v>
      </c>
      <c r="F4993">
        <v>6.5</v>
      </c>
    </row>
    <row r="4994" spans="1:6" x14ac:dyDescent="0.25">
      <c r="A4994" s="1">
        <v>40148</v>
      </c>
      <c r="B4994" t="s">
        <v>17</v>
      </c>
      <c r="C4994" t="s">
        <v>7</v>
      </c>
      <c r="D4994">
        <v>10</v>
      </c>
      <c r="E4994" s="2">
        <v>8.2986111111111108E-3</v>
      </c>
      <c r="F4994">
        <v>11.95</v>
      </c>
    </row>
    <row r="4995" spans="1:6" x14ac:dyDescent="0.25">
      <c r="A4995" s="1">
        <v>40148</v>
      </c>
      <c r="B4995" t="s">
        <v>17</v>
      </c>
      <c r="C4995" t="s">
        <v>8</v>
      </c>
      <c r="D4995">
        <v>7</v>
      </c>
      <c r="E4995" s="2">
        <v>6.7245370370370367E-3</v>
      </c>
      <c r="F4995">
        <v>9.6833333333333336</v>
      </c>
    </row>
    <row r="4996" spans="1:6" x14ac:dyDescent="0.25">
      <c r="A4996" s="1">
        <v>40148</v>
      </c>
      <c r="B4996" t="s">
        <v>17</v>
      </c>
      <c r="C4996" t="s">
        <v>9</v>
      </c>
      <c r="D4996">
        <v>5</v>
      </c>
      <c r="E4996" s="2">
        <v>2.3726851851851851E-3</v>
      </c>
      <c r="F4996">
        <v>3.4166666666666665</v>
      </c>
    </row>
    <row r="4997" spans="1:6" x14ac:dyDescent="0.25">
      <c r="A4997" s="1">
        <v>40148</v>
      </c>
      <c r="B4997" t="s">
        <v>17</v>
      </c>
      <c r="C4997" t="s">
        <v>10</v>
      </c>
      <c r="D4997">
        <v>11</v>
      </c>
      <c r="E4997" s="2">
        <v>1.2500000000000001E-2</v>
      </c>
      <c r="F4997">
        <v>18</v>
      </c>
    </row>
    <row r="4998" spans="1:6" x14ac:dyDescent="0.25">
      <c r="A4998" s="1">
        <v>40148</v>
      </c>
      <c r="B4998" t="s">
        <v>17</v>
      </c>
      <c r="C4998" t="s">
        <v>11</v>
      </c>
      <c r="D4998">
        <v>3</v>
      </c>
      <c r="E4998" s="2">
        <v>1.9675925925925924E-3</v>
      </c>
      <c r="F4998">
        <v>2.8333333333333335</v>
      </c>
    </row>
    <row r="4999" spans="1:6" x14ac:dyDescent="0.25">
      <c r="A4999" s="1">
        <v>40148</v>
      </c>
      <c r="B4999" t="s">
        <v>18</v>
      </c>
      <c r="C4999" t="s">
        <v>6</v>
      </c>
      <c r="D4999">
        <v>52</v>
      </c>
      <c r="E4999" s="2">
        <v>4.5729166666666668E-2</v>
      </c>
      <c r="F4999">
        <v>65.849999999999994</v>
      </c>
    </row>
    <row r="5000" spans="1:6" x14ac:dyDescent="0.25">
      <c r="A5000" s="1">
        <v>40148</v>
      </c>
      <c r="B5000" t="s">
        <v>18</v>
      </c>
      <c r="C5000" t="s">
        <v>7</v>
      </c>
      <c r="D5000">
        <v>72</v>
      </c>
      <c r="E5000" s="2">
        <v>6.4618055555555554E-2</v>
      </c>
      <c r="F5000">
        <v>93.05</v>
      </c>
    </row>
    <row r="5001" spans="1:6" x14ac:dyDescent="0.25">
      <c r="A5001" s="1">
        <v>40148</v>
      </c>
      <c r="B5001" t="s">
        <v>18</v>
      </c>
      <c r="C5001" t="s">
        <v>8</v>
      </c>
      <c r="D5001">
        <v>51</v>
      </c>
      <c r="E5001" s="2">
        <v>5.3356481481481484E-2</v>
      </c>
      <c r="F5001">
        <v>76.833333333333329</v>
      </c>
    </row>
    <row r="5002" spans="1:6" x14ac:dyDescent="0.25">
      <c r="A5002" s="1">
        <v>40148</v>
      </c>
      <c r="B5002" t="s">
        <v>18</v>
      </c>
      <c r="C5002" t="s">
        <v>9</v>
      </c>
      <c r="D5002">
        <v>60</v>
      </c>
      <c r="E5002" s="2">
        <v>3.9895833333333332E-2</v>
      </c>
      <c r="F5002">
        <v>57.45</v>
      </c>
    </row>
    <row r="5003" spans="1:6" x14ac:dyDescent="0.25">
      <c r="A5003" s="1">
        <v>40148</v>
      </c>
      <c r="B5003" t="s">
        <v>18</v>
      </c>
      <c r="C5003" t="s">
        <v>10</v>
      </c>
      <c r="D5003">
        <v>150</v>
      </c>
      <c r="E5003" s="2">
        <v>0.13763888888888889</v>
      </c>
      <c r="F5003">
        <v>198.2</v>
      </c>
    </row>
    <row r="5004" spans="1:6" x14ac:dyDescent="0.25">
      <c r="A5004" s="1">
        <v>40148</v>
      </c>
      <c r="B5004" t="s">
        <v>18</v>
      </c>
      <c r="C5004" t="s">
        <v>11</v>
      </c>
      <c r="D5004">
        <v>40</v>
      </c>
      <c r="E5004" s="2">
        <v>2.3587962962962963E-2</v>
      </c>
      <c r="F5004">
        <v>33.966666666666669</v>
      </c>
    </row>
    <row r="5005" spans="1:6" x14ac:dyDescent="0.25">
      <c r="A5005" s="1">
        <v>40148</v>
      </c>
      <c r="B5005" t="s">
        <v>19</v>
      </c>
      <c r="C5005" t="s">
        <v>6</v>
      </c>
      <c r="D5005">
        <v>53</v>
      </c>
      <c r="E5005" s="2">
        <v>6.1307870370370374E-2</v>
      </c>
      <c r="F5005">
        <v>88.283333333333331</v>
      </c>
    </row>
    <row r="5006" spans="1:6" x14ac:dyDescent="0.25">
      <c r="A5006" s="1">
        <v>40148</v>
      </c>
      <c r="B5006" t="s">
        <v>19</v>
      </c>
      <c r="C5006" t="s">
        <v>7</v>
      </c>
      <c r="D5006">
        <v>26</v>
      </c>
      <c r="E5006" s="2">
        <v>2.869212962962963E-2</v>
      </c>
      <c r="F5006">
        <v>41.31666666666667</v>
      </c>
    </row>
    <row r="5007" spans="1:6" x14ac:dyDescent="0.25">
      <c r="A5007" s="1">
        <v>40148</v>
      </c>
      <c r="B5007" t="s">
        <v>19</v>
      </c>
      <c r="C5007" t="s">
        <v>8</v>
      </c>
      <c r="D5007">
        <v>25</v>
      </c>
      <c r="E5007" s="2">
        <v>2.8645833333333332E-2</v>
      </c>
      <c r="F5007">
        <v>41.25</v>
      </c>
    </row>
    <row r="5008" spans="1:6" x14ac:dyDescent="0.25">
      <c r="A5008" s="1">
        <v>40148</v>
      </c>
      <c r="B5008" t="s">
        <v>19</v>
      </c>
      <c r="C5008" t="s">
        <v>9</v>
      </c>
      <c r="D5008">
        <v>17</v>
      </c>
      <c r="E5008" s="2">
        <v>1.2361111111111111E-2</v>
      </c>
      <c r="F5008">
        <v>17.8</v>
      </c>
    </row>
    <row r="5009" spans="1:6" x14ac:dyDescent="0.25">
      <c r="A5009" s="1">
        <v>40148</v>
      </c>
      <c r="B5009" t="s">
        <v>19</v>
      </c>
      <c r="C5009" t="s">
        <v>10</v>
      </c>
      <c r="D5009">
        <v>20</v>
      </c>
      <c r="E5009" s="2">
        <v>1.8518518518518517E-2</v>
      </c>
      <c r="F5009">
        <v>26.666666666666668</v>
      </c>
    </row>
    <row r="5010" spans="1:6" x14ac:dyDescent="0.25">
      <c r="A5010" s="1">
        <v>40148</v>
      </c>
      <c r="B5010" t="s">
        <v>19</v>
      </c>
      <c r="C5010" t="s">
        <v>11</v>
      </c>
      <c r="D5010">
        <v>39</v>
      </c>
      <c r="E5010" s="2">
        <v>2.0081018518518519E-2</v>
      </c>
      <c r="F5010">
        <v>28.916666666666668</v>
      </c>
    </row>
    <row r="5011" spans="1:6" x14ac:dyDescent="0.25">
      <c r="A5011" s="1">
        <v>40148</v>
      </c>
      <c r="B5011" t="s">
        <v>20</v>
      </c>
      <c r="C5011" t="s">
        <v>6</v>
      </c>
      <c r="D5011">
        <v>23</v>
      </c>
      <c r="E5011" s="2">
        <v>1.7337962962962961E-2</v>
      </c>
      <c r="F5011">
        <v>24.966666666666665</v>
      </c>
    </row>
    <row r="5012" spans="1:6" x14ac:dyDescent="0.25">
      <c r="A5012" s="1">
        <v>40148</v>
      </c>
      <c r="B5012" t="s">
        <v>20</v>
      </c>
      <c r="C5012" t="s">
        <v>7</v>
      </c>
      <c r="D5012">
        <v>27</v>
      </c>
      <c r="E5012" s="2">
        <v>2.5555555555555557E-2</v>
      </c>
      <c r="F5012">
        <v>36.799999999999997</v>
      </c>
    </row>
    <row r="5013" spans="1:6" x14ac:dyDescent="0.25">
      <c r="A5013" s="1">
        <v>40148</v>
      </c>
      <c r="B5013" t="s">
        <v>20</v>
      </c>
      <c r="C5013" t="s">
        <v>8</v>
      </c>
      <c r="D5013">
        <v>11</v>
      </c>
      <c r="E5013" s="2">
        <v>1.8194444444444444E-2</v>
      </c>
      <c r="F5013">
        <v>26.2</v>
      </c>
    </row>
    <row r="5014" spans="1:6" x14ac:dyDescent="0.25">
      <c r="A5014" s="1">
        <v>40148</v>
      </c>
      <c r="B5014" t="s">
        <v>20</v>
      </c>
      <c r="C5014" t="s">
        <v>9</v>
      </c>
      <c r="D5014">
        <v>4</v>
      </c>
      <c r="E5014" s="2">
        <v>2.5231481481481481E-3</v>
      </c>
      <c r="F5014">
        <v>3.6333333333333333</v>
      </c>
    </row>
    <row r="5015" spans="1:6" x14ac:dyDescent="0.25">
      <c r="A5015" s="1">
        <v>40148</v>
      </c>
      <c r="B5015" t="s">
        <v>20</v>
      </c>
      <c r="C5015" t="s">
        <v>10</v>
      </c>
      <c r="D5015">
        <v>5</v>
      </c>
      <c r="E5015" s="2">
        <v>7.4305555555555557E-3</v>
      </c>
      <c r="F5015">
        <v>10.7</v>
      </c>
    </row>
    <row r="5016" spans="1:6" x14ac:dyDescent="0.25">
      <c r="A5016" s="1">
        <v>40148</v>
      </c>
      <c r="B5016" t="s">
        <v>20</v>
      </c>
      <c r="C5016" t="s">
        <v>11</v>
      </c>
      <c r="D5016">
        <v>22</v>
      </c>
      <c r="E5016" s="2">
        <v>1.8541666666666668E-2</v>
      </c>
      <c r="F5016">
        <v>26.7</v>
      </c>
    </row>
    <row r="5017" spans="1:6" x14ac:dyDescent="0.25">
      <c r="A5017" s="1">
        <v>40148</v>
      </c>
      <c r="B5017" t="s">
        <v>21</v>
      </c>
      <c r="C5017" t="s">
        <v>6</v>
      </c>
      <c r="D5017">
        <v>54</v>
      </c>
      <c r="E5017" s="2">
        <v>5.2534722222222219E-2</v>
      </c>
      <c r="F5017">
        <v>75.650000000000006</v>
      </c>
    </row>
    <row r="5018" spans="1:6" x14ac:dyDescent="0.25">
      <c r="A5018" s="1">
        <v>40148</v>
      </c>
      <c r="B5018" t="s">
        <v>21</v>
      </c>
      <c r="C5018" t="s">
        <v>7</v>
      </c>
      <c r="D5018">
        <v>57</v>
      </c>
      <c r="E5018" s="2">
        <v>6.2280092592592595E-2</v>
      </c>
      <c r="F5018">
        <v>89.683333333333337</v>
      </c>
    </row>
    <row r="5019" spans="1:6" x14ac:dyDescent="0.25">
      <c r="A5019" s="1">
        <v>40148</v>
      </c>
      <c r="B5019" t="s">
        <v>21</v>
      </c>
      <c r="C5019" t="s">
        <v>8</v>
      </c>
      <c r="D5019">
        <v>35</v>
      </c>
      <c r="E5019" s="2">
        <v>4.5254629629629631E-2</v>
      </c>
      <c r="F5019">
        <v>65.166666666666671</v>
      </c>
    </row>
    <row r="5020" spans="1:6" x14ac:dyDescent="0.25">
      <c r="A5020" s="1">
        <v>40148</v>
      </c>
      <c r="B5020" t="s">
        <v>21</v>
      </c>
      <c r="C5020" t="s">
        <v>9</v>
      </c>
      <c r="D5020">
        <v>21</v>
      </c>
      <c r="E5020" s="2">
        <v>1.5694444444444445E-2</v>
      </c>
      <c r="F5020">
        <v>22.6</v>
      </c>
    </row>
    <row r="5021" spans="1:6" x14ac:dyDescent="0.25">
      <c r="A5021" s="1">
        <v>40148</v>
      </c>
      <c r="B5021" t="s">
        <v>21</v>
      </c>
      <c r="C5021" t="s">
        <v>10</v>
      </c>
      <c r="D5021">
        <v>9</v>
      </c>
      <c r="E5021" s="2">
        <v>1.0648148148148148E-2</v>
      </c>
      <c r="F5021">
        <v>15.333333333333334</v>
      </c>
    </row>
    <row r="5022" spans="1:6" x14ac:dyDescent="0.25">
      <c r="A5022" s="1">
        <v>40148</v>
      </c>
      <c r="B5022" t="s">
        <v>21</v>
      </c>
      <c r="C5022" t="s">
        <v>11</v>
      </c>
      <c r="D5022">
        <v>45</v>
      </c>
      <c r="E5022" s="2">
        <v>3.8854166666666669E-2</v>
      </c>
      <c r="F5022">
        <v>55.95</v>
      </c>
    </row>
    <row r="5023" spans="1:6" x14ac:dyDescent="0.25">
      <c r="A5023" s="1">
        <v>40148</v>
      </c>
      <c r="B5023" t="s">
        <v>22</v>
      </c>
      <c r="C5023" t="s">
        <v>6</v>
      </c>
      <c r="D5023">
        <v>6</v>
      </c>
      <c r="E5023" s="2">
        <v>8.0324074074074082E-3</v>
      </c>
      <c r="F5023">
        <v>11.566666666666666</v>
      </c>
    </row>
    <row r="5024" spans="1:6" x14ac:dyDescent="0.25">
      <c r="A5024" s="1">
        <v>40148</v>
      </c>
      <c r="B5024" t="s">
        <v>22</v>
      </c>
      <c r="C5024" t="s">
        <v>7</v>
      </c>
      <c r="D5024">
        <v>10</v>
      </c>
      <c r="E5024" s="2">
        <v>1.3310185185185185E-2</v>
      </c>
      <c r="F5024">
        <v>19.166666666666668</v>
      </c>
    </row>
    <row r="5025" spans="1:6" x14ac:dyDescent="0.25">
      <c r="A5025" s="1">
        <v>40148</v>
      </c>
      <c r="B5025" t="s">
        <v>22</v>
      </c>
      <c r="C5025" t="s">
        <v>8</v>
      </c>
      <c r="D5025">
        <v>3</v>
      </c>
      <c r="E5025" s="2">
        <v>5.6944444444444447E-3</v>
      </c>
      <c r="F5025">
        <v>8.1999999999999993</v>
      </c>
    </row>
    <row r="5026" spans="1:6" x14ac:dyDescent="0.25">
      <c r="A5026" s="1">
        <v>40148</v>
      </c>
      <c r="B5026" t="s">
        <v>22</v>
      </c>
      <c r="C5026" t="s">
        <v>9</v>
      </c>
      <c r="D5026">
        <v>3</v>
      </c>
      <c r="E5026" s="2">
        <v>1.5162037037037036E-3</v>
      </c>
      <c r="F5026">
        <v>2.1833333333333331</v>
      </c>
    </row>
    <row r="5027" spans="1:6" x14ac:dyDescent="0.25">
      <c r="A5027" s="1">
        <v>40148</v>
      </c>
      <c r="B5027" t="s">
        <v>22</v>
      </c>
      <c r="C5027" t="s">
        <v>10</v>
      </c>
      <c r="D5027">
        <v>3</v>
      </c>
      <c r="E5027" s="2">
        <v>1.724537037037037E-3</v>
      </c>
      <c r="F5027">
        <v>2.4833333333333334</v>
      </c>
    </row>
    <row r="5028" spans="1:6" x14ac:dyDescent="0.25">
      <c r="A5028" s="1">
        <v>40148</v>
      </c>
      <c r="B5028" t="s">
        <v>22</v>
      </c>
      <c r="C5028" t="s">
        <v>11</v>
      </c>
      <c r="D5028">
        <v>3</v>
      </c>
      <c r="E5028" s="2">
        <v>2.5578703703703705E-3</v>
      </c>
      <c r="F5028">
        <v>3.6833333333333336</v>
      </c>
    </row>
    <row r="5029" spans="1:6" x14ac:dyDescent="0.25">
      <c r="A5029" s="1">
        <v>40148</v>
      </c>
      <c r="B5029" t="s">
        <v>23</v>
      </c>
      <c r="C5029" t="s">
        <v>6</v>
      </c>
      <c r="D5029">
        <v>159</v>
      </c>
      <c r="E5029" s="2">
        <v>0.17190972222222223</v>
      </c>
      <c r="F5029">
        <v>247.55</v>
      </c>
    </row>
    <row r="5030" spans="1:6" x14ac:dyDescent="0.25">
      <c r="A5030" s="1">
        <v>40148</v>
      </c>
      <c r="B5030" t="s">
        <v>23</v>
      </c>
      <c r="C5030" t="s">
        <v>7</v>
      </c>
      <c r="D5030">
        <v>166</v>
      </c>
      <c r="E5030" s="2">
        <v>0.17744212962962963</v>
      </c>
      <c r="F5030">
        <v>255.51666666666668</v>
      </c>
    </row>
    <row r="5031" spans="1:6" x14ac:dyDescent="0.25">
      <c r="A5031" s="1">
        <v>40148</v>
      </c>
      <c r="B5031" t="s">
        <v>23</v>
      </c>
      <c r="C5031" t="s">
        <v>8</v>
      </c>
      <c r="D5031">
        <v>101</v>
      </c>
      <c r="E5031" s="2">
        <v>0.1188425925925926</v>
      </c>
      <c r="F5031">
        <v>171.13333333333333</v>
      </c>
    </row>
    <row r="5032" spans="1:6" x14ac:dyDescent="0.25">
      <c r="A5032" s="1">
        <v>40148</v>
      </c>
      <c r="B5032" t="s">
        <v>23</v>
      </c>
      <c r="C5032" t="s">
        <v>9</v>
      </c>
      <c r="D5032">
        <v>76</v>
      </c>
      <c r="E5032" s="2">
        <v>5.1574074074074071E-2</v>
      </c>
      <c r="F5032">
        <v>74.266666666666666</v>
      </c>
    </row>
    <row r="5033" spans="1:6" x14ac:dyDescent="0.25">
      <c r="A5033" s="1">
        <v>40148</v>
      </c>
      <c r="B5033" t="s">
        <v>23</v>
      </c>
      <c r="C5033" t="s">
        <v>10</v>
      </c>
      <c r="D5033">
        <v>49</v>
      </c>
      <c r="E5033" s="2">
        <v>4.974537037037037E-2</v>
      </c>
      <c r="F5033">
        <v>71.63333333333334</v>
      </c>
    </row>
    <row r="5034" spans="1:6" x14ac:dyDescent="0.25">
      <c r="A5034" s="1">
        <v>40148</v>
      </c>
      <c r="B5034" t="s">
        <v>23</v>
      </c>
      <c r="C5034" t="s">
        <v>11</v>
      </c>
      <c r="D5034">
        <v>122</v>
      </c>
      <c r="E5034" s="2">
        <v>8.0289351851851848E-2</v>
      </c>
      <c r="F5034">
        <v>115.61666666666666</v>
      </c>
    </row>
    <row r="5035" spans="1:6" x14ac:dyDescent="0.25">
      <c r="A5035" s="1">
        <v>40148</v>
      </c>
      <c r="B5035" t="s">
        <v>24</v>
      </c>
      <c r="C5035" t="s">
        <v>6</v>
      </c>
      <c r="D5035">
        <v>43</v>
      </c>
      <c r="E5035" s="2">
        <v>4.2418981481481481E-2</v>
      </c>
      <c r="F5035">
        <v>61.083333333333336</v>
      </c>
    </row>
    <row r="5036" spans="1:6" x14ac:dyDescent="0.25">
      <c r="A5036" s="1">
        <v>40148</v>
      </c>
      <c r="B5036" t="s">
        <v>24</v>
      </c>
      <c r="C5036" t="s">
        <v>7</v>
      </c>
      <c r="D5036">
        <v>43</v>
      </c>
      <c r="E5036" s="2">
        <v>3.7939814814814815E-2</v>
      </c>
      <c r="F5036">
        <v>54.633333333333333</v>
      </c>
    </row>
    <row r="5037" spans="1:6" x14ac:dyDescent="0.25">
      <c r="A5037" s="1">
        <v>40148</v>
      </c>
      <c r="B5037" t="s">
        <v>24</v>
      </c>
      <c r="C5037" t="s">
        <v>8</v>
      </c>
      <c r="D5037">
        <v>16</v>
      </c>
      <c r="E5037" s="2">
        <v>1.5196759259259259E-2</v>
      </c>
      <c r="F5037">
        <v>21.883333333333333</v>
      </c>
    </row>
    <row r="5038" spans="1:6" x14ac:dyDescent="0.25">
      <c r="A5038" s="1">
        <v>40148</v>
      </c>
      <c r="B5038" t="s">
        <v>24</v>
      </c>
      <c r="C5038" t="s">
        <v>9</v>
      </c>
      <c r="D5038">
        <v>16</v>
      </c>
      <c r="E5038" s="2">
        <v>1.0995370370370371E-2</v>
      </c>
      <c r="F5038">
        <v>15.833333333333334</v>
      </c>
    </row>
    <row r="5039" spans="1:6" x14ac:dyDescent="0.25">
      <c r="A5039" s="1">
        <v>40148</v>
      </c>
      <c r="B5039" t="s">
        <v>24</v>
      </c>
      <c r="C5039" t="s">
        <v>10</v>
      </c>
      <c r="D5039">
        <v>0</v>
      </c>
      <c r="E5039" s="2">
        <v>0</v>
      </c>
      <c r="F5039">
        <v>0</v>
      </c>
    </row>
    <row r="5040" spans="1:6" x14ac:dyDescent="0.25">
      <c r="A5040" s="1">
        <v>40148</v>
      </c>
      <c r="B5040" t="s">
        <v>24</v>
      </c>
      <c r="C5040" t="s">
        <v>11</v>
      </c>
      <c r="D5040">
        <v>56</v>
      </c>
      <c r="E5040" s="2">
        <v>2.8587962962962964E-2</v>
      </c>
      <c r="F5040">
        <v>41.166666666666664</v>
      </c>
    </row>
    <row r="5041" spans="1:6" x14ac:dyDescent="0.25">
      <c r="A5041" s="1">
        <v>40179</v>
      </c>
      <c r="B5041" t="s">
        <v>5</v>
      </c>
      <c r="C5041" t="s">
        <v>6</v>
      </c>
      <c r="D5041">
        <v>162</v>
      </c>
      <c r="E5041" s="2">
        <v>0.17553240740740741</v>
      </c>
      <c r="F5041">
        <v>252.76666666666668</v>
      </c>
    </row>
    <row r="5042" spans="1:6" x14ac:dyDescent="0.25">
      <c r="A5042" s="1">
        <v>40179</v>
      </c>
      <c r="B5042" t="s">
        <v>5</v>
      </c>
      <c r="C5042" t="s">
        <v>7</v>
      </c>
      <c r="D5042">
        <v>129</v>
      </c>
      <c r="E5042" s="2">
        <v>0.13953703703703704</v>
      </c>
      <c r="F5042">
        <v>200.93333333333334</v>
      </c>
    </row>
    <row r="5043" spans="1:6" x14ac:dyDescent="0.25">
      <c r="A5043" s="1">
        <v>40179</v>
      </c>
      <c r="B5043" t="s">
        <v>5</v>
      </c>
      <c r="C5043" t="s">
        <v>8</v>
      </c>
      <c r="D5043">
        <v>93</v>
      </c>
      <c r="E5043" s="2">
        <v>0.11060185185185185</v>
      </c>
      <c r="F5043">
        <v>159.26666666666668</v>
      </c>
    </row>
    <row r="5044" spans="1:6" x14ac:dyDescent="0.25">
      <c r="A5044" s="1">
        <v>40179</v>
      </c>
      <c r="B5044" t="s">
        <v>5</v>
      </c>
      <c r="C5044" t="s">
        <v>9</v>
      </c>
      <c r="D5044">
        <v>54</v>
      </c>
      <c r="E5044" s="2">
        <v>4.0833333333333333E-2</v>
      </c>
      <c r="F5044">
        <v>58.8</v>
      </c>
    </row>
    <row r="5045" spans="1:6" x14ac:dyDescent="0.25">
      <c r="A5045" s="1">
        <v>40179</v>
      </c>
      <c r="B5045" t="s">
        <v>5</v>
      </c>
      <c r="C5045" t="s">
        <v>10</v>
      </c>
      <c r="D5045">
        <v>40</v>
      </c>
      <c r="E5045" s="2">
        <v>5.0995370370370371E-2</v>
      </c>
      <c r="F5045">
        <v>73.433333333333337</v>
      </c>
    </row>
    <row r="5046" spans="1:6" x14ac:dyDescent="0.25">
      <c r="A5046" s="1">
        <v>40179</v>
      </c>
      <c r="B5046" t="s">
        <v>5</v>
      </c>
      <c r="C5046" t="s">
        <v>11</v>
      </c>
      <c r="D5046">
        <v>94</v>
      </c>
      <c r="E5046" s="2">
        <v>7.1087962962962964E-2</v>
      </c>
      <c r="F5046">
        <v>102.36666666666666</v>
      </c>
    </row>
    <row r="5047" spans="1:6" x14ac:dyDescent="0.25">
      <c r="A5047" s="1">
        <v>40179</v>
      </c>
      <c r="B5047" t="s">
        <v>12</v>
      </c>
      <c r="C5047" t="s">
        <v>6</v>
      </c>
      <c r="D5047">
        <v>50</v>
      </c>
      <c r="E5047" s="2">
        <v>5.2314814814814814E-2</v>
      </c>
      <c r="F5047">
        <v>75.333333333333329</v>
      </c>
    </row>
    <row r="5048" spans="1:6" x14ac:dyDescent="0.25">
      <c r="A5048" s="1">
        <v>40179</v>
      </c>
      <c r="B5048" t="s">
        <v>12</v>
      </c>
      <c r="C5048" t="s">
        <v>7</v>
      </c>
      <c r="D5048">
        <v>38</v>
      </c>
      <c r="E5048" s="2">
        <v>4.8483796296296296E-2</v>
      </c>
      <c r="F5048">
        <v>69.816666666666663</v>
      </c>
    </row>
    <row r="5049" spans="1:6" x14ac:dyDescent="0.25">
      <c r="A5049" s="1">
        <v>40179</v>
      </c>
      <c r="B5049" t="s">
        <v>12</v>
      </c>
      <c r="C5049" t="s">
        <v>8</v>
      </c>
      <c r="D5049">
        <v>31</v>
      </c>
      <c r="E5049" s="2">
        <v>4.8125000000000001E-2</v>
      </c>
      <c r="F5049">
        <v>69.3</v>
      </c>
    </row>
    <row r="5050" spans="1:6" x14ac:dyDescent="0.25">
      <c r="A5050" s="1">
        <v>40179</v>
      </c>
      <c r="B5050" t="s">
        <v>12</v>
      </c>
      <c r="C5050" t="s">
        <v>9</v>
      </c>
      <c r="D5050">
        <v>8</v>
      </c>
      <c r="E5050" s="2">
        <v>4.2824074074074075E-3</v>
      </c>
      <c r="F5050">
        <v>6.166666666666667</v>
      </c>
    </row>
    <row r="5051" spans="1:6" x14ac:dyDescent="0.25">
      <c r="A5051" s="1">
        <v>40179</v>
      </c>
      <c r="B5051" t="s">
        <v>12</v>
      </c>
      <c r="C5051" t="s">
        <v>10</v>
      </c>
      <c r="D5051">
        <v>60</v>
      </c>
      <c r="E5051" s="2">
        <v>9.331018518518519E-2</v>
      </c>
      <c r="F5051">
        <v>134.36666666666667</v>
      </c>
    </row>
    <row r="5052" spans="1:6" x14ac:dyDescent="0.25">
      <c r="A5052" s="1">
        <v>40179</v>
      </c>
      <c r="B5052" t="s">
        <v>12</v>
      </c>
      <c r="C5052" t="s">
        <v>11</v>
      </c>
      <c r="D5052">
        <v>23</v>
      </c>
      <c r="E5052" s="2">
        <v>1.9351851851851853E-2</v>
      </c>
      <c r="F5052">
        <v>27.866666666666667</v>
      </c>
    </row>
    <row r="5053" spans="1:6" x14ac:dyDescent="0.25">
      <c r="A5053" s="1">
        <v>40179</v>
      </c>
      <c r="B5053" t="s">
        <v>13</v>
      </c>
      <c r="C5053" t="s">
        <v>6</v>
      </c>
      <c r="D5053">
        <v>37</v>
      </c>
      <c r="E5053" s="2">
        <v>3.3981481481481481E-2</v>
      </c>
      <c r="F5053">
        <v>48.93333333333333</v>
      </c>
    </row>
    <row r="5054" spans="1:6" x14ac:dyDescent="0.25">
      <c r="A5054" s="1">
        <v>40179</v>
      </c>
      <c r="B5054" t="s">
        <v>13</v>
      </c>
      <c r="C5054" t="s">
        <v>7</v>
      </c>
      <c r="D5054">
        <v>28</v>
      </c>
      <c r="E5054" s="2">
        <v>3.30787037037037E-2</v>
      </c>
      <c r="F5054">
        <v>47.633333333333333</v>
      </c>
    </row>
    <row r="5055" spans="1:6" x14ac:dyDescent="0.25">
      <c r="A5055" s="1">
        <v>40179</v>
      </c>
      <c r="B5055" t="s">
        <v>13</v>
      </c>
      <c r="C5055" t="s">
        <v>8</v>
      </c>
      <c r="D5055">
        <v>21</v>
      </c>
      <c r="E5055" s="2">
        <v>2.1562499999999998E-2</v>
      </c>
      <c r="F5055">
        <v>31.05</v>
      </c>
    </row>
    <row r="5056" spans="1:6" x14ac:dyDescent="0.25">
      <c r="A5056" s="1">
        <v>40179</v>
      </c>
      <c r="B5056" t="s">
        <v>13</v>
      </c>
      <c r="C5056" t="s">
        <v>9</v>
      </c>
      <c r="D5056">
        <v>19</v>
      </c>
      <c r="E5056" s="2">
        <v>1.193287037037037E-2</v>
      </c>
      <c r="F5056">
        <v>17.183333333333334</v>
      </c>
    </row>
    <row r="5057" spans="1:6" x14ac:dyDescent="0.25">
      <c r="A5057" s="1">
        <v>40179</v>
      </c>
      <c r="B5057" t="s">
        <v>13</v>
      </c>
      <c r="C5057" t="s">
        <v>10</v>
      </c>
      <c r="D5057">
        <v>26</v>
      </c>
      <c r="E5057" s="2">
        <v>3.1157407407407408E-2</v>
      </c>
      <c r="F5057">
        <v>44.866666666666667</v>
      </c>
    </row>
    <row r="5058" spans="1:6" x14ac:dyDescent="0.25">
      <c r="A5058" s="1">
        <v>40179</v>
      </c>
      <c r="B5058" t="s">
        <v>13</v>
      </c>
      <c r="C5058" t="s">
        <v>11</v>
      </c>
      <c r="D5058">
        <v>33</v>
      </c>
      <c r="E5058" s="2">
        <v>2.8819444444444446E-2</v>
      </c>
      <c r="F5058">
        <v>41.5</v>
      </c>
    </row>
    <row r="5059" spans="1:6" x14ac:dyDescent="0.25">
      <c r="A5059" s="1">
        <v>40179</v>
      </c>
      <c r="B5059" t="s">
        <v>14</v>
      </c>
      <c r="C5059" t="s">
        <v>6</v>
      </c>
      <c r="D5059">
        <v>18</v>
      </c>
      <c r="E5059" s="2">
        <v>2.1342592592592594E-2</v>
      </c>
      <c r="F5059">
        <v>30.733333333333334</v>
      </c>
    </row>
    <row r="5060" spans="1:6" x14ac:dyDescent="0.25">
      <c r="A5060" s="1">
        <v>40179</v>
      </c>
      <c r="B5060" t="s">
        <v>14</v>
      </c>
      <c r="C5060" t="s">
        <v>7</v>
      </c>
      <c r="D5060">
        <v>12</v>
      </c>
      <c r="E5060" s="2">
        <v>1.8715277777777779E-2</v>
      </c>
      <c r="F5060">
        <v>26.95</v>
      </c>
    </row>
    <row r="5061" spans="1:6" x14ac:dyDescent="0.25">
      <c r="A5061" s="1">
        <v>40179</v>
      </c>
      <c r="B5061" t="s">
        <v>14</v>
      </c>
      <c r="C5061" t="s">
        <v>8</v>
      </c>
      <c r="D5061">
        <v>14</v>
      </c>
      <c r="E5061" s="2">
        <v>1.8368055555555554E-2</v>
      </c>
      <c r="F5061">
        <v>26.45</v>
      </c>
    </row>
    <row r="5062" spans="1:6" x14ac:dyDescent="0.25">
      <c r="A5062" s="1">
        <v>40179</v>
      </c>
      <c r="B5062" t="s">
        <v>14</v>
      </c>
      <c r="C5062" t="s">
        <v>9</v>
      </c>
      <c r="D5062">
        <v>7</v>
      </c>
      <c r="E5062" s="2">
        <v>3.9236111111111112E-3</v>
      </c>
      <c r="F5062">
        <v>5.65</v>
      </c>
    </row>
    <row r="5063" spans="1:6" x14ac:dyDescent="0.25">
      <c r="A5063" s="1">
        <v>40179</v>
      </c>
      <c r="B5063" t="s">
        <v>14</v>
      </c>
      <c r="C5063" t="s">
        <v>10</v>
      </c>
      <c r="D5063">
        <v>0</v>
      </c>
      <c r="E5063" s="2">
        <v>0</v>
      </c>
      <c r="F5063">
        <v>0</v>
      </c>
    </row>
    <row r="5064" spans="1:6" x14ac:dyDescent="0.25">
      <c r="A5064" s="1">
        <v>40179</v>
      </c>
      <c r="B5064" t="s">
        <v>14</v>
      </c>
      <c r="C5064" t="s">
        <v>11</v>
      </c>
      <c r="D5064">
        <v>9</v>
      </c>
      <c r="E5064" s="2">
        <v>6.4120370370370373E-3</v>
      </c>
      <c r="F5064">
        <v>9.2333333333333325</v>
      </c>
    </row>
    <row r="5065" spans="1:6" x14ac:dyDescent="0.25">
      <c r="A5065" s="1">
        <v>40179</v>
      </c>
      <c r="B5065" t="s">
        <v>15</v>
      </c>
      <c r="C5065" t="s">
        <v>6</v>
      </c>
      <c r="D5065">
        <v>36</v>
      </c>
      <c r="E5065" s="2">
        <v>3.3715277777777775E-2</v>
      </c>
      <c r="F5065">
        <v>48.55</v>
      </c>
    </row>
    <row r="5066" spans="1:6" x14ac:dyDescent="0.25">
      <c r="A5066" s="1">
        <v>40179</v>
      </c>
      <c r="B5066" t="s">
        <v>15</v>
      </c>
      <c r="C5066" t="s">
        <v>7</v>
      </c>
      <c r="D5066">
        <v>24</v>
      </c>
      <c r="E5066" s="2">
        <v>1.7893518518518517E-2</v>
      </c>
      <c r="F5066">
        <v>25.766666666666666</v>
      </c>
    </row>
    <row r="5067" spans="1:6" x14ac:dyDescent="0.25">
      <c r="A5067" s="1">
        <v>40179</v>
      </c>
      <c r="B5067" t="s">
        <v>15</v>
      </c>
      <c r="C5067" t="s">
        <v>8</v>
      </c>
      <c r="D5067">
        <v>16</v>
      </c>
      <c r="E5067" s="2">
        <v>1.525462962962963E-2</v>
      </c>
      <c r="F5067">
        <v>21.966666666666665</v>
      </c>
    </row>
    <row r="5068" spans="1:6" x14ac:dyDescent="0.25">
      <c r="A5068" s="1">
        <v>40179</v>
      </c>
      <c r="B5068" t="s">
        <v>15</v>
      </c>
      <c r="C5068" t="s">
        <v>9</v>
      </c>
      <c r="D5068">
        <v>6</v>
      </c>
      <c r="E5068" s="2">
        <v>1.9444444444444444E-3</v>
      </c>
      <c r="F5068">
        <v>2.8</v>
      </c>
    </row>
    <row r="5069" spans="1:6" x14ac:dyDescent="0.25">
      <c r="A5069" s="1">
        <v>40179</v>
      </c>
      <c r="B5069" t="s">
        <v>15</v>
      </c>
      <c r="C5069" t="s">
        <v>10</v>
      </c>
      <c r="D5069">
        <v>5</v>
      </c>
      <c r="E5069" s="2">
        <v>6.4467592592592588E-3</v>
      </c>
      <c r="F5069">
        <v>9.2833333333333332</v>
      </c>
    </row>
    <row r="5070" spans="1:6" x14ac:dyDescent="0.25">
      <c r="A5070" s="1">
        <v>40179</v>
      </c>
      <c r="B5070" t="s">
        <v>15</v>
      </c>
      <c r="C5070" t="s">
        <v>11</v>
      </c>
      <c r="D5070">
        <v>16</v>
      </c>
      <c r="E5070" s="2">
        <v>9.3981481481481485E-3</v>
      </c>
      <c r="F5070">
        <v>13.533333333333333</v>
      </c>
    </row>
    <row r="5071" spans="1:6" x14ac:dyDescent="0.25">
      <c r="A5071" s="1">
        <v>40179</v>
      </c>
      <c r="B5071" t="s">
        <v>16</v>
      </c>
      <c r="C5071" t="s">
        <v>6</v>
      </c>
      <c r="D5071">
        <v>22</v>
      </c>
      <c r="E5071" s="2">
        <v>1.6226851851851853E-2</v>
      </c>
      <c r="F5071">
        <v>23.366666666666667</v>
      </c>
    </row>
    <row r="5072" spans="1:6" x14ac:dyDescent="0.25">
      <c r="A5072" s="1">
        <v>40179</v>
      </c>
      <c r="B5072" t="s">
        <v>16</v>
      </c>
      <c r="C5072" t="s">
        <v>7</v>
      </c>
      <c r="D5072">
        <v>18</v>
      </c>
      <c r="E5072" s="2">
        <v>1.5358796296296296E-2</v>
      </c>
      <c r="F5072">
        <v>22.116666666666667</v>
      </c>
    </row>
    <row r="5073" spans="1:6" x14ac:dyDescent="0.25">
      <c r="A5073" s="1">
        <v>40179</v>
      </c>
      <c r="B5073" t="s">
        <v>16</v>
      </c>
      <c r="C5073" t="s">
        <v>8</v>
      </c>
      <c r="D5073">
        <v>19</v>
      </c>
      <c r="E5073" s="2">
        <v>1.9178240740740742E-2</v>
      </c>
      <c r="F5073">
        <v>27.616666666666667</v>
      </c>
    </row>
    <row r="5074" spans="1:6" x14ac:dyDescent="0.25">
      <c r="A5074" s="1">
        <v>40179</v>
      </c>
      <c r="B5074" t="s">
        <v>16</v>
      </c>
      <c r="C5074" t="s">
        <v>9</v>
      </c>
      <c r="D5074">
        <v>7</v>
      </c>
      <c r="E5074" s="2">
        <v>2.7083333333333334E-3</v>
      </c>
      <c r="F5074">
        <v>3.9</v>
      </c>
    </row>
    <row r="5075" spans="1:6" x14ac:dyDescent="0.25">
      <c r="A5075" s="1">
        <v>40179</v>
      </c>
      <c r="B5075" t="s">
        <v>16</v>
      </c>
      <c r="C5075" t="s">
        <v>10</v>
      </c>
      <c r="D5075">
        <v>0</v>
      </c>
      <c r="E5075" s="2">
        <v>0</v>
      </c>
      <c r="F5075">
        <v>0</v>
      </c>
    </row>
    <row r="5076" spans="1:6" x14ac:dyDescent="0.25">
      <c r="A5076" s="1">
        <v>40179</v>
      </c>
      <c r="B5076" t="s">
        <v>16</v>
      </c>
      <c r="C5076" t="s">
        <v>11</v>
      </c>
      <c r="D5076">
        <v>28</v>
      </c>
      <c r="E5076" s="2">
        <v>1.3935185185185186E-2</v>
      </c>
      <c r="F5076">
        <v>20.066666666666666</v>
      </c>
    </row>
    <row r="5077" spans="1:6" x14ac:dyDescent="0.25">
      <c r="A5077" s="1">
        <v>40179</v>
      </c>
      <c r="B5077" t="s">
        <v>17</v>
      </c>
      <c r="C5077" t="s">
        <v>6</v>
      </c>
      <c r="D5077">
        <v>10</v>
      </c>
      <c r="E5077" s="2">
        <v>1.019675925925926E-2</v>
      </c>
      <c r="F5077">
        <v>14.683333333333334</v>
      </c>
    </row>
    <row r="5078" spans="1:6" x14ac:dyDescent="0.25">
      <c r="A5078" s="1">
        <v>40179</v>
      </c>
      <c r="B5078" t="s">
        <v>17</v>
      </c>
      <c r="C5078" t="s">
        <v>7</v>
      </c>
      <c r="D5078">
        <v>21</v>
      </c>
      <c r="E5078" s="2">
        <v>2.4444444444444446E-2</v>
      </c>
      <c r="F5078">
        <v>35.200000000000003</v>
      </c>
    </row>
    <row r="5079" spans="1:6" x14ac:dyDescent="0.25">
      <c r="A5079" s="1">
        <v>40179</v>
      </c>
      <c r="B5079" t="s">
        <v>17</v>
      </c>
      <c r="C5079" t="s">
        <v>8</v>
      </c>
      <c r="D5079">
        <v>18</v>
      </c>
      <c r="E5079" s="2">
        <v>1.8217592592592594E-2</v>
      </c>
      <c r="F5079">
        <v>26.233333333333334</v>
      </c>
    </row>
    <row r="5080" spans="1:6" x14ac:dyDescent="0.25">
      <c r="A5080" s="1">
        <v>40179</v>
      </c>
      <c r="B5080" t="s">
        <v>17</v>
      </c>
      <c r="C5080" t="s">
        <v>9</v>
      </c>
      <c r="D5080">
        <v>10</v>
      </c>
      <c r="E5080" s="2">
        <v>6.6782407407407407E-3</v>
      </c>
      <c r="F5080">
        <v>9.6166666666666671</v>
      </c>
    </row>
    <row r="5081" spans="1:6" x14ac:dyDescent="0.25">
      <c r="A5081" s="1">
        <v>40179</v>
      </c>
      <c r="B5081" t="s">
        <v>17</v>
      </c>
      <c r="C5081" t="s">
        <v>10</v>
      </c>
      <c r="D5081">
        <v>6</v>
      </c>
      <c r="E5081" s="2">
        <v>8.7615740740740744E-3</v>
      </c>
      <c r="F5081">
        <v>12.616666666666667</v>
      </c>
    </row>
    <row r="5082" spans="1:6" x14ac:dyDescent="0.25">
      <c r="A5082" s="1">
        <v>40179</v>
      </c>
      <c r="B5082" t="s">
        <v>17</v>
      </c>
      <c r="C5082" t="s">
        <v>11</v>
      </c>
      <c r="D5082">
        <v>9</v>
      </c>
      <c r="E5082" s="2">
        <v>6.5624999999999998E-3</v>
      </c>
      <c r="F5082">
        <v>9.4499999999999993</v>
      </c>
    </row>
    <row r="5083" spans="1:6" x14ac:dyDescent="0.25">
      <c r="A5083" s="1">
        <v>40179</v>
      </c>
      <c r="B5083" t="s">
        <v>18</v>
      </c>
      <c r="C5083" t="s">
        <v>6</v>
      </c>
      <c r="D5083">
        <v>42</v>
      </c>
      <c r="E5083" s="2">
        <v>3.0300925925925926E-2</v>
      </c>
      <c r="F5083">
        <v>43.633333333333333</v>
      </c>
    </row>
    <row r="5084" spans="1:6" x14ac:dyDescent="0.25">
      <c r="A5084" s="1">
        <v>40179</v>
      </c>
      <c r="B5084" t="s">
        <v>18</v>
      </c>
      <c r="C5084" t="s">
        <v>7</v>
      </c>
      <c r="D5084">
        <v>54</v>
      </c>
      <c r="E5084" s="2">
        <v>4.7372685185185184E-2</v>
      </c>
      <c r="F5084">
        <v>68.216666666666669</v>
      </c>
    </row>
    <row r="5085" spans="1:6" x14ac:dyDescent="0.25">
      <c r="A5085" s="1">
        <v>40179</v>
      </c>
      <c r="B5085" t="s">
        <v>18</v>
      </c>
      <c r="C5085" t="s">
        <v>8</v>
      </c>
      <c r="D5085">
        <v>36</v>
      </c>
      <c r="E5085" s="2">
        <v>3.9479166666666669E-2</v>
      </c>
      <c r="F5085">
        <v>56.85</v>
      </c>
    </row>
    <row r="5086" spans="1:6" x14ac:dyDescent="0.25">
      <c r="A5086" s="1">
        <v>40179</v>
      </c>
      <c r="B5086" t="s">
        <v>18</v>
      </c>
      <c r="C5086" t="s">
        <v>9</v>
      </c>
      <c r="D5086">
        <v>50</v>
      </c>
      <c r="E5086" s="2">
        <v>2.9791666666666668E-2</v>
      </c>
      <c r="F5086">
        <v>42.9</v>
      </c>
    </row>
    <row r="5087" spans="1:6" x14ac:dyDescent="0.25">
      <c r="A5087" s="1">
        <v>40179</v>
      </c>
      <c r="B5087" t="s">
        <v>18</v>
      </c>
      <c r="C5087" t="s">
        <v>10</v>
      </c>
      <c r="D5087">
        <v>96</v>
      </c>
      <c r="E5087" s="2">
        <v>9.3182870370370374E-2</v>
      </c>
      <c r="F5087">
        <v>134.18333333333334</v>
      </c>
    </row>
    <row r="5088" spans="1:6" x14ac:dyDescent="0.25">
      <c r="A5088" s="1">
        <v>40179</v>
      </c>
      <c r="B5088" t="s">
        <v>18</v>
      </c>
      <c r="C5088" t="s">
        <v>11</v>
      </c>
      <c r="D5088">
        <v>36</v>
      </c>
      <c r="E5088" s="2">
        <v>2.101851851851852E-2</v>
      </c>
      <c r="F5088">
        <v>30.266666666666666</v>
      </c>
    </row>
    <row r="5089" spans="1:6" x14ac:dyDescent="0.25">
      <c r="A5089" s="1">
        <v>40179</v>
      </c>
      <c r="B5089" t="s">
        <v>19</v>
      </c>
      <c r="C5089" t="s">
        <v>6</v>
      </c>
      <c r="D5089">
        <v>28</v>
      </c>
      <c r="E5089" s="2">
        <v>3.3923611111111113E-2</v>
      </c>
      <c r="F5089">
        <v>48.85</v>
      </c>
    </row>
    <row r="5090" spans="1:6" x14ac:dyDescent="0.25">
      <c r="A5090" s="1">
        <v>40179</v>
      </c>
      <c r="B5090" t="s">
        <v>19</v>
      </c>
      <c r="C5090" t="s">
        <v>7</v>
      </c>
      <c r="D5090">
        <v>20</v>
      </c>
      <c r="E5090" s="2">
        <v>2.6145833333333333E-2</v>
      </c>
      <c r="F5090">
        <v>37.65</v>
      </c>
    </row>
    <row r="5091" spans="1:6" x14ac:dyDescent="0.25">
      <c r="A5091" s="1">
        <v>40179</v>
      </c>
      <c r="B5091" t="s">
        <v>19</v>
      </c>
      <c r="C5091" t="s">
        <v>8</v>
      </c>
      <c r="D5091">
        <v>8</v>
      </c>
      <c r="E5091" s="2">
        <v>7.083333333333333E-3</v>
      </c>
      <c r="F5091">
        <v>10.199999999999999</v>
      </c>
    </row>
    <row r="5092" spans="1:6" x14ac:dyDescent="0.25">
      <c r="A5092" s="1">
        <v>40179</v>
      </c>
      <c r="B5092" t="s">
        <v>19</v>
      </c>
      <c r="C5092" t="s">
        <v>9</v>
      </c>
      <c r="D5092">
        <v>13</v>
      </c>
      <c r="E5092" s="2">
        <v>8.3333333333333332E-3</v>
      </c>
      <c r="F5092">
        <v>12</v>
      </c>
    </row>
    <row r="5093" spans="1:6" x14ac:dyDescent="0.25">
      <c r="A5093" s="1">
        <v>40179</v>
      </c>
      <c r="B5093" t="s">
        <v>19</v>
      </c>
      <c r="C5093" t="s">
        <v>10</v>
      </c>
      <c r="D5093">
        <v>15</v>
      </c>
      <c r="E5093" s="2">
        <v>1.4849537037037038E-2</v>
      </c>
      <c r="F5093">
        <v>21.383333333333333</v>
      </c>
    </row>
    <row r="5094" spans="1:6" x14ac:dyDescent="0.25">
      <c r="A5094" s="1">
        <v>40179</v>
      </c>
      <c r="B5094" t="s">
        <v>19</v>
      </c>
      <c r="C5094" t="s">
        <v>11</v>
      </c>
      <c r="D5094">
        <v>15</v>
      </c>
      <c r="E5094" s="2">
        <v>8.6226851851851846E-3</v>
      </c>
      <c r="F5094">
        <v>12.416666666666666</v>
      </c>
    </row>
    <row r="5095" spans="1:6" x14ac:dyDescent="0.25">
      <c r="A5095" s="1">
        <v>40179</v>
      </c>
      <c r="B5095" t="s">
        <v>20</v>
      </c>
      <c r="C5095" t="s">
        <v>6</v>
      </c>
      <c r="D5095">
        <v>37</v>
      </c>
      <c r="E5095" s="2">
        <v>2.6608796296296297E-2</v>
      </c>
      <c r="F5095">
        <v>38.31666666666667</v>
      </c>
    </row>
    <row r="5096" spans="1:6" x14ac:dyDescent="0.25">
      <c r="A5096" s="1">
        <v>40179</v>
      </c>
      <c r="B5096" t="s">
        <v>20</v>
      </c>
      <c r="C5096" t="s">
        <v>7</v>
      </c>
      <c r="D5096">
        <v>29</v>
      </c>
      <c r="E5096" s="2">
        <v>2.045138888888889E-2</v>
      </c>
      <c r="F5096">
        <v>29.45</v>
      </c>
    </row>
    <row r="5097" spans="1:6" x14ac:dyDescent="0.25">
      <c r="A5097" s="1">
        <v>40179</v>
      </c>
      <c r="B5097" t="s">
        <v>20</v>
      </c>
      <c r="C5097" t="s">
        <v>8</v>
      </c>
      <c r="D5097">
        <v>31</v>
      </c>
      <c r="E5097" s="2">
        <v>3.1655092592592596E-2</v>
      </c>
      <c r="F5097">
        <v>45.583333333333336</v>
      </c>
    </row>
    <row r="5098" spans="1:6" x14ac:dyDescent="0.25">
      <c r="A5098" s="1">
        <v>40179</v>
      </c>
      <c r="B5098" t="s">
        <v>20</v>
      </c>
      <c r="C5098" t="s">
        <v>9</v>
      </c>
      <c r="D5098">
        <v>17</v>
      </c>
      <c r="E5098" s="2">
        <v>1.4247685185185184E-2</v>
      </c>
      <c r="F5098">
        <v>20.516666666666666</v>
      </c>
    </row>
    <row r="5099" spans="1:6" x14ac:dyDescent="0.25">
      <c r="A5099" s="1">
        <v>40179</v>
      </c>
      <c r="B5099" t="s">
        <v>20</v>
      </c>
      <c r="C5099" t="s">
        <v>10</v>
      </c>
      <c r="D5099">
        <v>6</v>
      </c>
      <c r="E5099" s="2">
        <v>6.9328703703703705E-3</v>
      </c>
      <c r="F5099">
        <v>9.9833333333333325</v>
      </c>
    </row>
    <row r="5100" spans="1:6" x14ac:dyDescent="0.25">
      <c r="A5100" s="1">
        <v>40179</v>
      </c>
      <c r="B5100" t="s">
        <v>20</v>
      </c>
      <c r="C5100" t="s">
        <v>11</v>
      </c>
      <c r="D5100">
        <v>19</v>
      </c>
      <c r="E5100" s="2">
        <v>1.2986111111111111E-2</v>
      </c>
      <c r="F5100">
        <v>18.7</v>
      </c>
    </row>
    <row r="5101" spans="1:6" x14ac:dyDescent="0.25">
      <c r="A5101" s="1">
        <v>40179</v>
      </c>
      <c r="B5101" t="s">
        <v>21</v>
      </c>
      <c r="C5101" t="s">
        <v>6</v>
      </c>
      <c r="D5101">
        <v>20</v>
      </c>
      <c r="E5101" s="2">
        <v>2.3113425925925926E-2</v>
      </c>
      <c r="F5101">
        <v>33.283333333333331</v>
      </c>
    </row>
    <row r="5102" spans="1:6" x14ac:dyDescent="0.25">
      <c r="A5102" s="1">
        <v>40179</v>
      </c>
      <c r="B5102" t="s">
        <v>21</v>
      </c>
      <c r="C5102" t="s">
        <v>7</v>
      </c>
      <c r="D5102">
        <v>16</v>
      </c>
      <c r="E5102" s="2">
        <v>1.7395833333333333E-2</v>
      </c>
      <c r="F5102">
        <v>25.05</v>
      </c>
    </row>
    <row r="5103" spans="1:6" x14ac:dyDescent="0.25">
      <c r="A5103" s="1">
        <v>40179</v>
      </c>
      <c r="B5103" t="s">
        <v>21</v>
      </c>
      <c r="C5103" t="s">
        <v>8</v>
      </c>
      <c r="D5103">
        <v>20</v>
      </c>
      <c r="E5103" s="2">
        <v>2.2870370370370371E-2</v>
      </c>
      <c r="F5103">
        <v>32.93333333333333</v>
      </c>
    </row>
    <row r="5104" spans="1:6" x14ac:dyDescent="0.25">
      <c r="A5104" s="1">
        <v>40179</v>
      </c>
      <c r="B5104" t="s">
        <v>21</v>
      </c>
      <c r="C5104" t="s">
        <v>9</v>
      </c>
      <c r="D5104">
        <v>6</v>
      </c>
      <c r="E5104" s="2">
        <v>4.8148148148148152E-3</v>
      </c>
      <c r="F5104">
        <v>6.9333333333333336</v>
      </c>
    </row>
    <row r="5105" spans="1:6" x14ac:dyDescent="0.25">
      <c r="A5105" s="1">
        <v>40179</v>
      </c>
      <c r="B5105" t="s">
        <v>21</v>
      </c>
      <c r="C5105" t="s">
        <v>10</v>
      </c>
      <c r="D5105">
        <v>8</v>
      </c>
      <c r="E5105" s="2">
        <v>8.0439814814814818E-3</v>
      </c>
      <c r="F5105">
        <v>11.583333333333334</v>
      </c>
    </row>
    <row r="5106" spans="1:6" x14ac:dyDescent="0.25">
      <c r="A5106" s="1">
        <v>40179</v>
      </c>
      <c r="B5106" t="s">
        <v>21</v>
      </c>
      <c r="C5106" t="s">
        <v>11</v>
      </c>
      <c r="D5106">
        <v>16</v>
      </c>
      <c r="E5106" s="2">
        <v>1.480324074074074E-2</v>
      </c>
      <c r="F5106">
        <v>21.316666666666666</v>
      </c>
    </row>
    <row r="5107" spans="1:6" x14ac:dyDescent="0.25">
      <c r="A5107" s="1">
        <v>40179</v>
      </c>
      <c r="B5107" t="s">
        <v>22</v>
      </c>
      <c r="C5107" t="s">
        <v>6</v>
      </c>
      <c r="D5107">
        <v>9</v>
      </c>
      <c r="E5107" s="2">
        <v>1.0625000000000001E-2</v>
      </c>
      <c r="F5107">
        <v>15.3</v>
      </c>
    </row>
    <row r="5108" spans="1:6" x14ac:dyDescent="0.25">
      <c r="A5108" s="1">
        <v>40179</v>
      </c>
      <c r="B5108" t="s">
        <v>22</v>
      </c>
      <c r="C5108" t="s">
        <v>7</v>
      </c>
      <c r="D5108">
        <v>4</v>
      </c>
      <c r="E5108" s="2">
        <v>5.3935185185185188E-3</v>
      </c>
      <c r="F5108">
        <v>7.7666666666666666</v>
      </c>
    </row>
    <row r="5109" spans="1:6" x14ac:dyDescent="0.25">
      <c r="A5109" s="1">
        <v>40179</v>
      </c>
      <c r="B5109" t="s">
        <v>22</v>
      </c>
      <c r="C5109" t="s">
        <v>8</v>
      </c>
      <c r="D5109">
        <v>2</v>
      </c>
      <c r="E5109" s="2">
        <v>3.0092592592592593E-3</v>
      </c>
      <c r="F5109">
        <v>4.333333333333333</v>
      </c>
    </row>
    <row r="5110" spans="1:6" x14ac:dyDescent="0.25">
      <c r="A5110" s="1">
        <v>40179</v>
      </c>
      <c r="B5110" t="s">
        <v>22</v>
      </c>
      <c r="C5110" t="s">
        <v>9</v>
      </c>
      <c r="D5110">
        <v>4</v>
      </c>
      <c r="E5110" s="2">
        <v>2.1643518518518518E-3</v>
      </c>
      <c r="F5110">
        <v>3.1166666666666667</v>
      </c>
    </row>
    <row r="5111" spans="1:6" x14ac:dyDescent="0.25">
      <c r="A5111" s="1">
        <v>40179</v>
      </c>
      <c r="B5111" t="s">
        <v>22</v>
      </c>
      <c r="C5111" t="s">
        <v>10</v>
      </c>
      <c r="D5111">
        <v>3</v>
      </c>
      <c r="E5111" s="2">
        <v>2.0370370370370369E-3</v>
      </c>
      <c r="F5111">
        <v>2.9333333333333336</v>
      </c>
    </row>
    <row r="5112" spans="1:6" x14ac:dyDescent="0.25">
      <c r="A5112" s="1">
        <v>40179</v>
      </c>
      <c r="B5112" t="s">
        <v>22</v>
      </c>
      <c r="C5112" t="s">
        <v>11</v>
      </c>
      <c r="D5112">
        <v>4</v>
      </c>
      <c r="E5112" s="2">
        <v>2.8703703703703703E-3</v>
      </c>
      <c r="F5112">
        <v>4.1333333333333337</v>
      </c>
    </row>
    <row r="5113" spans="1:6" x14ac:dyDescent="0.25">
      <c r="A5113" s="1">
        <v>40179</v>
      </c>
      <c r="B5113" t="s">
        <v>23</v>
      </c>
      <c r="C5113" t="s">
        <v>6</v>
      </c>
      <c r="D5113">
        <v>104</v>
      </c>
      <c r="E5113" s="2">
        <v>0.12069444444444444</v>
      </c>
      <c r="F5113">
        <v>173.8</v>
      </c>
    </row>
    <row r="5114" spans="1:6" x14ac:dyDescent="0.25">
      <c r="A5114" s="1">
        <v>40179</v>
      </c>
      <c r="B5114" t="s">
        <v>23</v>
      </c>
      <c r="C5114" t="s">
        <v>7</v>
      </c>
      <c r="D5114">
        <v>96</v>
      </c>
      <c r="E5114" s="2">
        <v>0.11222222222222222</v>
      </c>
      <c r="F5114">
        <v>161.6</v>
      </c>
    </row>
    <row r="5115" spans="1:6" x14ac:dyDescent="0.25">
      <c r="A5115" s="1">
        <v>40179</v>
      </c>
      <c r="B5115" t="s">
        <v>23</v>
      </c>
      <c r="C5115" t="s">
        <v>8</v>
      </c>
      <c r="D5115">
        <v>64</v>
      </c>
      <c r="E5115" s="2">
        <v>7.03125E-2</v>
      </c>
      <c r="F5115">
        <v>101.25</v>
      </c>
    </row>
    <row r="5116" spans="1:6" x14ac:dyDescent="0.25">
      <c r="A5116" s="1">
        <v>40179</v>
      </c>
      <c r="B5116" t="s">
        <v>23</v>
      </c>
      <c r="C5116" t="s">
        <v>9</v>
      </c>
      <c r="D5116">
        <v>62</v>
      </c>
      <c r="E5116" s="2">
        <v>4.1956018518518517E-2</v>
      </c>
      <c r="F5116">
        <v>60.416666666666664</v>
      </c>
    </row>
    <row r="5117" spans="1:6" x14ac:dyDescent="0.25">
      <c r="A5117" s="1">
        <v>40179</v>
      </c>
      <c r="B5117" t="s">
        <v>23</v>
      </c>
      <c r="C5117" t="s">
        <v>10</v>
      </c>
      <c r="D5117">
        <v>45</v>
      </c>
      <c r="E5117" s="2">
        <v>4.3217592592592592E-2</v>
      </c>
      <c r="F5117">
        <v>62.233333333333334</v>
      </c>
    </row>
    <row r="5118" spans="1:6" x14ac:dyDescent="0.25">
      <c r="A5118" s="1">
        <v>40179</v>
      </c>
      <c r="B5118" t="s">
        <v>23</v>
      </c>
      <c r="C5118" t="s">
        <v>11</v>
      </c>
      <c r="D5118">
        <v>73</v>
      </c>
      <c r="E5118" s="2">
        <v>4.9583333333333333E-2</v>
      </c>
      <c r="F5118">
        <v>71.400000000000006</v>
      </c>
    </row>
    <row r="5119" spans="1:6" x14ac:dyDescent="0.25">
      <c r="A5119" s="1">
        <v>40179</v>
      </c>
      <c r="B5119" t="s">
        <v>24</v>
      </c>
      <c r="C5119" t="s">
        <v>6</v>
      </c>
      <c r="D5119">
        <v>48</v>
      </c>
      <c r="E5119" s="2">
        <v>3.0879629629629628E-2</v>
      </c>
      <c r="F5119">
        <v>44.466666666666669</v>
      </c>
    </row>
    <row r="5120" spans="1:6" x14ac:dyDescent="0.25">
      <c r="A5120" s="1">
        <v>40179</v>
      </c>
      <c r="B5120" t="s">
        <v>24</v>
      </c>
      <c r="C5120" t="s">
        <v>7</v>
      </c>
      <c r="D5120">
        <v>37</v>
      </c>
      <c r="E5120" s="2">
        <v>2.4988425925925924E-2</v>
      </c>
      <c r="F5120">
        <v>35.983333333333334</v>
      </c>
    </row>
    <row r="5121" spans="1:6" x14ac:dyDescent="0.25">
      <c r="A5121" s="1">
        <v>40179</v>
      </c>
      <c r="B5121" t="s">
        <v>24</v>
      </c>
      <c r="C5121" t="s">
        <v>8</v>
      </c>
      <c r="D5121">
        <v>12</v>
      </c>
      <c r="E5121" s="2">
        <v>7.3263888888888892E-3</v>
      </c>
      <c r="F5121">
        <v>10.55</v>
      </c>
    </row>
    <row r="5122" spans="1:6" x14ac:dyDescent="0.25">
      <c r="A5122" s="1">
        <v>40179</v>
      </c>
      <c r="B5122" t="s">
        <v>24</v>
      </c>
      <c r="C5122" t="s">
        <v>9</v>
      </c>
      <c r="D5122">
        <v>2</v>
      </c>
      <c r="E5122" s="2">
        <v>1.6203703703703703E-3</v>
      </c>
      <c r="F5122">
        <v>2.3333333333333335</v>
      </c>
    </row>
    <row r="5123" spans="1:6" x14ac:dyDescent="0.25">
      <c r="A5123" s="1">
        <v>40179</v>
      </c>
      <c r="B5123" t="s">
        <v>24</v>
      </c>
      <c r="C5123" t="s">
        <v>10</v>
      </c>
      <c r="D5123">
        <v>1</v>
      </c>
      <c r="E5123" s="2">
        <v>1.9675925925925924E-3</v>
      </c>
      <c r="F5123">
        <v>2.8333333333333335</v>
      </c>
    </row>
    <row r="5124" spans="1:6" x14ac:dyDescent="0.25">
      <c r="A5124" s="1">
        <v>40179</v>
      </c>
      <c r="B5124" t="s">
        <v>24</v>
      </c>
      <c r="C5124" t="s">
        <v>11</v>
      </c>
      <c r="D5124">
        <v>37</v>
      </c>
      <c r="E5124" s="2">
        <v>1.4201388888888888E-2</v>
      </c>
      <c r="F5124">
        <v>20.45</v>
      </c>
    </row>
    <row r="5125" spans="1:6" x14ac:dyDescent="0.25">
      <c r="A5125" s="1">
        <v>40210</v>
      </c>
      <c r="B5125" t="s">
        <v>5</v>
      </c>
      <c r="C5125" t="s">
        <v>6</v>
      </c>
      <c r="D5125">
        <v>65</v>
      </c>
      <c r="E5125" s="2">
        <v>5.9722222222222225E-2</v>
      </c>
      <c r="F5125">
        <v>86</v>
      </c>
    </row>
    <row r="5126" spans="1:6" x14ac:dyDescent="0.25">
      <c r="A5126" s="1">
        <v>40210</v>
      </c>
      <c r="B5126" t="s">
        <v>5</v>
      </c>
      <c r="C5126" t="s">
        <v>7</v>
      </c>
      <c r="D5126">
        <v>52</v>
      </c>
      <c r="E5126" s="2">
        <v>5.0219907407407408E-2</v>
      </c>
      <c r="F5126">
        <v>72.316666666666663</v>
      </c>
    </row>
    <row r="5127" spans="1:6" x14ac:dyDescent="0.25">
      <c r="A5127" s="1">
        <v>40210</v>
      </c>
      <c r="B5127" t="s">
        <v>5</v>
      </c>
      <c r="C5127" t="s">
        <v>8</v>
      </c>
      <c r="D5127">
        <v>37</v>
      </c>
      <c r="E5127" s="2">
        <v>3.6793981481481483E-2</v>
      </c>
      <c r="F5127">
        <v>52.983333333333334</v>
      </c>
    </row>
    <row r="5128" spans="1:6" x14ac:dyDescent="0.25">
      <c r="A5128" s="1">
        <v>40210</v>
      </c>
      <c r="B5128" t="s">
        <v>5</v>
      </c>
      <c r="C5128" t="s">
        <v>9</v>
      </c>
      <c r="D5128">
        <v>26</v>
      </c>
      <c r="E5128" s="2">
        <v>1.7523148148148149E-2</v>
      </c>
      <c r="F5128">
        <v>25.233333333333334</v>
      </c>
    </row>
    <row r="5129" spans="1:6" x14ac:dyDescent="0.25">
      <c r="A5129" s="1">
        <v>40210</v>
      </c>
      <c r="B5129" t="s">
        <v>5</v>
      </c>
      <c r="C5129" t="s">
        <v>10</v>
      </c>
      <c r="D5129">
        <v>11</v>
      </c>
      <c r="E5129" s="2">
        <v>1.1134259259259259E-2</v>
      </c>
      <c r="F5129">
        <v>16.033333333333335</v>
      </c>
    </row>
    <row r="5130" spans="1:6" x14ac:dyDescent="0.25">
      <c r="A5130" s="1">
        <v>40210</v>
      </c>
      <c r="B5130" t="s">
        <v>5</v>
      </c>
      <c r="C5130" t="s">
        <v>11</v>
      </c>
      <c r="D5130">
        <v>35</v>
      </c>
      <c r="E5130" s="2">
        <v>2.1678240740740741E-2</v>
      </c>
      <c r="F5130">
        <v>31.216666666666665</v>
      </c>
    </row>
    <row r="5131" spans="1:6" x14ac:dyDescent="0.25">
      <c r="A5131" s="1">
        <v>40210</v>
      </c>
      <c r="B5131" t="s">
        <v>12</v>
      </c>
      <c r="C5131" t="s">
        <v>6</v>
      </c>
      <c r="D5131">
        <v>56</v>
      </c>
      <c r="E5131" s="2">
        <v>8.0949074074074076E-2</v>
      </c>
      <c r="F5131">
        <v>116.56666666666666</v>
      </c>
    </row>
    <row r="5132" spans="1:6" x14ac:dyDescent="0.25">
      <c r="A5132" s="1">
        <v>40210</v>
      </c>
      <c r="B5132" t="s">
        <v>12</v>
      </c>
      <c r="C5132" t="s">
        <v>7</v>
      </c>
      <c r="D5132">
        <v>42</v>
      </c>
      <c r="E5132" s="2">
        <v>4.6469907407407404E-2</v>
      </c>
      <c r="F5132">
        <v>66.916666666666671</v>
      </c>
    </row>
    <row r="5133" spans="1:6" x14ac:dyDescent="0.25">
      <c r="A5133" s="1">
        <v>40210</v>
      </c>
      <c r="B5133" t="s">
        <v>12</v>
      </c>
      <c r="C5133" t="s">
        <v>8</v>
      </c>
      <c r="D5133">
        <v>25</v>
      </c>
      <c r="E5133" s="2">
        <v>3.8587962962962963E-2</v>
      </c>
      <c r="F5133">
        <v>55.56666666666667</v>
      </c>
    </row>
    <row r="5134" spans="1:6" x14ac:dyDescent="0.25">
      <c r="A5134" s="1">
        <v>40210</v>
      </c>
      <c r="B5134" t="s">
        <v>12</v>
      </c>
      <c r="C5134" t="s">
        <v>9</v>
      </c>
      <c r="D5134">
        <v>18</v>
      </c>
      <c r="E5134" s="2">
        <v>9.4675925925925934E-3</v>
      </c>
      <c r="F5134">
        <v>13.633333333333333</v>
      </c>
    </row>
    <row r="5135" spans="1:6" x14ac:dyDescent="0.25">
      <c r="A5135" s="1">
        <v>40210</v>
      </c>
      <c r="B5135" t="s">
        <v>12</v>
      </c>
      <c r="C5135" t="s">
        <v>10</v>
      </c>
      <c r="D5135">
        <v>96</v>
      </c>
      <c r="E5135" s="2">
        <v>0.13511574074074073</v>
      </c>
      <c r="F5135">
        <v>194.56666666666666</v>
      </c>
    </row>
    <row r="5136" spans="1:6" x14ac:dyDescent="0.25">
      <c r="A5136" s="1">
        <v>40210</v>
      </c>
      <c r="B5136" t="s">
        <v>12</v>
      </c>
      <c r="C5136" t="s">
        <v>11</v>
      </c>
      <c r="D5136">
        <v>21</v>
      </c>
      <c r="E5136" s="2">
        <v>1.6863425925925928E-2</v>
      </c>
      <c r="F5136">
        <v>24.283333333333335</v>
      </c>
    </row>
    <row r="5137" spans="1:6" x14ac:dyDescent="0.25">
      <c r="A5137" s="1">
        <v>40210</v>
      </c>
      <c r="B5137" t="s">
        <v>13</v>
      </c>
      <c r="C5137" t="s">
        <v>6</v>
      </c>
      <c r="D5137">
        <v>47</v>
      </c>
      <c r="E5137" s="2">
        <v>5.6157407407407406E-2</v>
      </c>
      <c r="F5137">
        <v>80.86666666666666</v>
      </c>
    </row>
    <row r="5138" spans="1:6" x14ac:dyDescent="0.25">
      <c r="A5138" s="1">
        <v>40210</v>
      </c>
      <c r="B5138" t="s">
        <v>13</v>
      </c>
      <c r="C5138" t="s">
        <v>7</v>
      </c>
      <c r="D5138">
        <v>39</v>
      </c>
      <c r="E5138" s="2">
        <v>5.0543981481481481E-2</v>
      </c>
      <c r="F5138">
        <v>72.783333333333331</v>
      </c>
    </row>
    <row r="5139" spans="1:6" x14ac:dyDescent="0.25">
      <c r="A5139" s="1">
        <v>40210</v>
      </c>
      <c r="B5139" t="s">
        <v>13</v>
      </c>
      <c r="C5139" t="s">
        <v>8</v>
      </c>
      <c r="D5139">
        <v>21</v>
      </c>
      <c r="E5139" s="2">
        <v>2.914351851851852E-2</v>
      </c>
      <c r="F5139">
        <v>41.966666666666669</v>
      </c>
    </row>
    <row r="5140" spans="1:6" x14ac:dyDescent="0.25">
      <c r="A5140" s="1">
        <v>40210</v>
      </c>
      <c r="B5140" t="s">
        <v>13</v>
      </c>
      <c r="C5140" t="s">
        <v>9</v>
      </c>
      <c r="D5140">
        <v>27</v>
      </c>
      <c r="E5140" s="2">
        <v>1.9398148148148147E-2</v>
      </c>
      <c r="F5140">
        <v>27.933333333333334</v>
      </c>
    </row>
    <row r="5141" spans="1:6" x14ac:dyDescent="0.25">
      <c r="A5141" s="1">
        <v>40210</v>
      </c>
      <c r="B5141" t="s">
        <v>13</v>
      </c>
      <c r="C5141" t="s">
        <v>10</v>
      </c>
      <c r="D5141">
        <v>32</v>
      </c>
      <c r="E5141" s="2">
        <v>3.5173611111111114E-2</v>
      </c>
      <c r="F5141">
        <v>50.65</v>
      </c>
    </row>
    <row r="5142" spans="1:6" x14ac:dyDescent="0.25">
      <c r="A5142" s="1">
        <v>40210</v>
      </c>
      <c r="B5142" t="s">
        <v>13</v>
      </c>
      <c r="C5142" t="s">
        <v>11</v>
      </c>
      <c r="D5142">
        <v>26</v>
      </c>
      <c r="E5142" s="2">
        <v>2.056712962962963E-2</v>
      </c>
      <c r="F5142">
        <v>29.616666666666667</v>
      </c>
    </row>
    <row r="5143" spans="1:6" x14ac:dyDescent="0.25">
      <c r="A5143" s="1">
        <v>40210</v>
      </c>
      <c r="B5143" t="s">
        <v>14</v>
      </c>
      <c r="C5143" t="s">
        <v>6</v>
      </c>
      <c r="D5143">
        <v>25</v>
      </c>
      <c r="E5143" s="2">
        <v>2.7314814814814816E-2</v>
      </c>
      <c r="F5143">
        <v>39.333333333333336</v>
      </c>
    </row>
    <row r="5144" spans="1:6" x14ac:dyDescent="0.25">
      <c r="A5144" s="1">
        <v>40210</v>
      </c>
      <c r="B5144" t="s">
        <v>14</v>
      </c>
      <c r="C5144" t="s">
        <v>7</v>
      </c>
      <c r="D5144">
        <v>15</v>
      </c>
      <c r="E5144" s="2">
        <v>1.5439814814814814E-2</v>
      </c>
      <c r="F5144">
        <v>22.233333333333334</v>
      </c>
    </row>
    <row r="5145" spans="1:6" x14ac:dyDescent="0.25">
      <c r="A5145" s="1">
        <v>40210</v>
      </c>
      <c r="B5145" t="s">
        <v>14</v>
      </c>
      <c r="C5145" t="s">
        <v>8</v>
      </c>
      <c r="D5145">
        <v>17</v>
      </c>
      <c r="E5145" s="2">
        <v>2.3796296296296298E-2</v>
      </c>
      <c r="F5145">
        <v>34.266666666666666</v>
      </c>
    </row>
    <row r="5146" spans="1:6" x14ac:dyDescent="0.25">
      <c r="A5146" s="1">
        <v>40210</v>
      </c>
      <c r="B5146" t="s">
        <v>14</v>
      </c>
      <c r="C5146" t="s">
        <v>9</v>
      </c>
      <c r="D5146">
        <v>15</v>
      </c>
      <c r="E5146" s="2">
        <v>6.3773148148148148E-3</v>
      </c>
      <c r="F5146">
        <v>9.1833333333333336</v>
      </c>
    </row>
    <row r="5147" spans="1:6" x14ac:dyDescent="0.25">
      <c r="A5147" s="1">
        <v>40210</v>
      </c>
      <c r="B5147" t="s">
        <v>14</v>
      </c>
      <c r="C5147" t="s">
        <v>10</v>
      </c>
      <c r="D5147">
        <v>4</v>
      </c>
      <c r="E5147" s="2">
        <v>5.5439814814814813E-3</v>
      </c>
      <c r="F5147">
        <v>7.9833333333333334</v>
      </c>
    </row>
    <row r="5148" spans="1:6" x14ac:dyDescent="0.25">
      <c r="A5148" s="1">
        <v>40210</v>
      </c>
      <c r="B5148" t="s">
        <v>14</v>
      </c>
      <c r="C5148" t="s">
        <v>11</v>
      </c>
      <c r="D5148">
        <v>15</v>
      </c>
      <c r="E5148" s="2">
        <v>1.1273148148148148E-2</v>
      </c>
      <c r="F5148">
        <v>16.233333333333334</v>
      </c>
    </row>
    <row r="5149" spans="1:6" x14ac:dyDescent="0.25">
      <c r="A5149" s="1">
        <v>40210</v>
      </c>
      <c r="B5149" t="s">
        <v>15</v>
      </c>
      <c r="C5149" t="s">
        <v>6</v>
      </c>
      <c r="D5149">
        <v>34</v>
      </c>
      <c r="E5149" s="2">
        <v>3.3310185185185186E-2</v>
      </c>
      <c r="F5149">
        <v>47.966666666666669</v>
      </c>
    </row>
    <row r="5150" spans="1:6" x14ac:dyDescent="0.25">
      <c r="A5150" s="1">
        <v>40210</v>
      </c>
      <c r="B5150" t="s">
        <v>15</v>
      </c>
      <c r="C5150" t="s">
        <v>7</v>
      </c>
      <c r="D5150">
        <v>20</v>
      </c>
      <c r="E5150" s="2">
        <v>1.9467592592592592E-2</v>
      </c>
      <c r="F5150">
        <v>28.033333333333335</v>
      </c>
    </row>
    <row r="5151" spans="1:6" x14ac:dyDescent="0.25">
      <c r="A5151" s="1">
        <v>40210</v>
      </c>
      <c r="B5151" t="s">
        <v>15</v>
      </c>
      <c r="C5151" t="s">
        <v>8</v>
      </c>
      <c r="D5151">
        <v>13</v>
      </c>
      <c r="E5151" s="2">
        <v>1.173611111111111E-2</v>
      </c>
      <c r="F5151">
        <v>16.899999999999999</v>
      </c>
    </row>
    <row r="5152" spans="1:6" x14ac:dyDescent="0.25">
      <c r="A5152" s="1">
        <v>40210</v>
      </c>
      <c r="B5152" t="s">
        <v>15</v>
      </c>
      <c r="C5152" t="s">
        <v>9</v>
      </c>
      <c r="D5152">
        <v>4</v>
      </c>
      <c r="E5152" s="2">
        <v>2.3726851851851851E-3</v>
      </c>
      <c r="F5152">
        <v>3.4166666666666665</v>
      </c>
    </row>
    <row r="5153" spans="1:6" x14ac:dyDescent="0.25">
      <c r="A5153" s="1">
        <v>40210</v>
      </c>
      <c r="B5153" t="s">
        <v>15</v>
      </c>
      <c r="C5153" t="s">
        <v>10</v>
      </c>
      <c r="D5153">
        <v>3</v>
      </c>
      <c r="E5153" s="2">
        <v>2.9166666666666668E-3</v>
      </c>
      <c r="F5153">
        <v>4.2</v>
      </c>
    </row>
    <row r="5154" spans="1:6" x14ac:dyDescent="0.25">
      <c r="A5154" s="1">
        <v>40210</v>
      </c>
      <c r="B5154" t="s">
        <v>15</v>
      </c>
      <c r="C5154" t="s">
        <v>11</v>
      </c>
      <c r="D5154">
        <v>13</v>
      </c>
      <c r="E5154" s="2">
        <v>8.2291666666666659E-3</v>
      </c>
      <c r="F5154">
        <v>11.85</v>
      </c>
    </row>
    <row r="5155" spans="1:6" x14ac:dyDescent="0.25">
      <c r="A5155" s="1">
        <v>40210</v>
      </c>
      <c r="B5155" t="s">
        <v>16</v>
      </c>
      <c r="C5155" t="s">
        <v>6</v>
      </c>
      <c r="D5155">
        <v>28</v>
      </c>
      <c r="E5155" s="2">
        <v>2.9421296296296296E-2</v>
      </c>
      <c r="F5155">
        <v>42.366666666666667</v>
      </c>
    </row>
    <row r="5156" spans="1:6" x14ac:dyDescent="0.25">
      <c r="A5156" s="1">
        <v>40210</v>
      </c>
      <c r="B5156" t="s">
        <v>16</v>
      </c>
      <c r="C5156" t="s">
        <v>7</v>
      </c>
      <c r="D5156">
        <v>16</v>
      </c>
      <c r="E5156" s="2">
        <v>1.6493055555555556E-2</v>
      </c>
      <c r="F5156">
        <v>23.75</v>
      </c>
    </row>
    <row r="5157" spans="1:6" x14ac:dyDescent="0.25">
      <c r="A5157" s="1">
        <v>40210</v>
      </c>
      <c r="B5157" t="s">
        <v>16</v>
      </c>
      <c r="C5157" t="s">
        <v>8</v>
      </c>
      <c r="D5157">
        <v>21</v>
      </c>
      <c r="E5157" s="2">
        <v>1.6840277777777777E-2</v>
      </c>
      <c r="F5157">
        <v>24.25</v>
      </c>
    </row>
    <row r="5158" spans="1:6" x14ac:dyDescent="0.25">
      <c r="A5158" s="1">
        <v>40210</v>
      </c>
      <c r="B5158" t="s">
        <v>16</v>
      </c>
      <c r="C5158" t="s">
        <v>9</v>
      </c>
      <c r="D5158">
        <v>12</v>
      </c>
      <c r="E5158" s="2">
        <v>5.7986111111111112E-3</v>
      </c>
      <c r="F5158">
        <v>8.35</v>
      </c>
    </row>
    <row r="5159" spans="1:6" x14ac:dyDescent="0.25">
      <c r="A5159" s="1">
        <v>40210</v>
      </c>
      <c r="B5159" t="s">
        <v>16</v>
      </c>
      <c r="C5159" t="s">
        <v>10</v>
      </c>
      <c r="D5159">
        <v>8</v>
      </c>
      <c r="E5159" s="2">
        <v>1.1145833333333334E-2</v>
      </c>
      <c r="F5159">
        <v>16.05</v>
      </c>
    </row>
    <row r="5160" spans="1:6" x14ac:dyDescent="0.25">
      <c r="A5160" s="1">
        <v>40210</v>
      </c>
      <c r="B5160" t="s">
        <v>16</v>
      </c>
      <c r="C5160" t="s">
        <v>11</v>
      </c>
      <c r="D5160">
        <v>27</v>
      </c>
      <c r="E5160" s="2">
        <v>1.2731481481481481E-2</v>
      </c>
      <c r="F5160">
        <v>18.333333333333332</v>
      </c>
    </row>
    <row r="5161" spans="1:6" x14ac:dyDescent="0.25">
      <c r="A5161" s="1">
        <v>40210</v>
      </c>
      <c r="B5161" t="s">
        <v>17</v>
      </c>
      <c r="C5161" t="s">
        <v>6</v>
      </c>
      <c r="D5161">
        <v>13</v>
      </c>
      <c r="E5161" s="2">
        <v>1.1863425925925927E-2</v>
      </c>
      <c r="F5161">
        <v>17.083333333333332</v>
      </c>
    </row>
    <row r="5162" spans="1:6" x14ac:dyDescent="0.25">
      <c r="A5162" s="1">
        <v>40210</v>
      </c>
      <c r="B5162" t="s">
        <v>17</v>
      </c>
      <c r="C5162" t="s">
        <v>7</v>
      </c>
      <c r="D5162">
        <v>4</v>
      </c>
      <c r="E5162" s="2">
        <v>4.9768518518518521E-3</v>
      </c>
      <c r="F5162">
        <v>7.166666666666667</v>
      </c>
    </row>
    <row r="5163" spans="1:6" x14ac:dyDescent="0.25">
      <c r="A5163" s="1">
        <v>40210</v>
      </c>
      <c r="B5163" t="s">
        <v>17</v>
      </c>
      <c r="C5163" t="s">
        <v>8</v>
      </c>
      <c r="D5163">
        <v>8</v>
      </c>
      <c r="E5163" s="2">
        <v>8.773148148148148E-3</v>
      </c>
      <c r="F5163">
        <v>12.633333333333333</v>
      </c>
    </row>
    <row r="5164" spans="1:6" x14ac:dyDescent="0.25">
      <c r="A5164" s="1">
        <v>40210</v>
      </c>
      <c r="B5164" t="s">
        <v>17</v>
      </c>
      <c r="C5164" t="s">
        <v>9</v>
      </c>
      <c r="D5164">
        <v>8</v>
      </c>
      <c r="E5164" s="2">
        <v>4.2476851851851851E-3</v>
      </c>
      <c r="F5164">
        <v>6.1166666666666663</v>
      </c>
    </row>
    <row r="5165" spans="1:6" x14ac:dyDescent="0.25">
      <c r="A5165" s="1">
        <v>40210</v>
      </c>
      <c r="B5165" t="s">
        <v>17</v>
      </c>
      <c r="C5165" t="s">
        <v>10</v>
      </c>
      <c r="D5165">
        <v>7</v>
      </c>
      <c r="E5165" s="2">
        <v>7.858796296296296E-3</v>
      </c>
      <c r="F5165">
        <v>11.316666666666666</v>
      </c>
    </row>
    <row r="5166" spans="1:6" x14ac:dyDescent="0.25">
      <c r="A5166" s="1">
        <v>40210</v>
      </c>
      <c r="B5166" t="s">
        <v>17</v>
      </c>
      <c r="C5166" t="s">
        <v>11</v>
      </c>
      <c r="D5166">
        <v>6</v>
      </c>
      <c r="E5166" s="2">
        <v>1.8749999999999999E-3</v>
      </c>
      <c r="F5166">
        <v>2.7</v>
      </c>
    </row>
    <row r="5167" spans="1:6" x14ac:dyDescent="0.25">
      <c r="A5167" s="1">
        <v>40210</v>
      </c>
      <c r="B5167" t="s">
        <v>18</v>
      </c>
      <c r="C5167" t="s">
        <v>6</v>
      </c>
      <c r="D5167">
        <v>34</v>
      </c>
      <c r="E5167" s="2">
        <v>2.7025462962962963E-2</v>
      </c>
      <c r="F5167">
        <v>38.916666666666664</v>
      </c>
    </row>
    <row r="5168" spans="1:6" x14ac:dyDescent="0.25">
      <c r="A5168" s="1">
        <v>40210</v>
      </c>
      <c r="B5168" t="s">
        <v>18</v>
      </c>
      <c r="C5168" t="s">
        <v>7</v>
      </c>
      <c r="D5168">
        <v>47</v>
      </c>
      <c r="E5168" s="2">
        <v>3.9606481481481479E-2</v>
      </c>
      <c r="F5168">
        <v>57.033333333333331</v>
      </c>
    </row>
    <row r="5169" spans="1:6" x14ac:dyDescent="0.25">
      <c r="A5169" s="1">
        <v>40210</v>
      </c>
      <c r="B5169" t="s">
        <v>18</v>
      </c>
      <c r="C5169" t="s">
        <v>8</v>
      </c>
      <c r="D5169">
        <v>36</v>
      </c>
      <c r="E5169" s="2">
        <v>3.3819444444444444E-2</v>
      </c>
      <c r="F5169">
        <v>48.7</v>
      </c>
    </row>
    <row r="5170" spans="1:6" x14ac:dyDescent="0.25">
      <c r="A5170" s="1">
        <v>40210</v>
      </c>
      <c r="B5170" t="s">
        <v>18</v>
      </c>
      <c r="C5170" t="s">
        <v>9</v>
      </c>
      <c r="D5170">
        <v>44</v>
      </c>
      <c r="E5170" s="2">
        <v>2.7013888888888889E-2</v>
      </c>
      <c r="F5170">
        <v>38.9</v>
      </c>
    </row>
    <row r="5171" spans="1:6" x14ac:dyDescent="0.25">
      <c r="A5171" s="1">
        <v>40210</v>
      </c>
      <c r="B5171" t="s">
        <v>18</v>
      </c>
      <c r="C5171" t="s">
        <v>10</v>
      </c>
      <c r="D5171">
        <v>81</v>
      </c>
      <c r="E5171" s="2">
        <v>8.3032407407407402E-2</v>
      </c>
      <c r="F5171">
        <v>119.56666666666666</v>
      </c>
    </row>
    <row r="5172" spans="1:6" x14ac:dyDescent="0.25">
      <c r="A5172" s="1">
        <v>40210</v>
      </c>
      <c r="B5172" t="s">
        <v>18</v>
      </c>
      <c r="C5172" t="s">
        <v>11</v>
      </c>
      <c r="D5172">
        <v>31</v>
      </c>
      <c r="E5172" s="2">
        <v>1.846064814814815E-2</v>
      </c>
      <c r="F5172">
        <v>26.583333333333332</v>
      </c>
    </row>
    <row r="5173" spans="1:6" x14ac:dyDescent="0.25">
      <c r="A5173" s="1">
        <v>40210</v>
      </c>
      <c r="B5173" t="s">
        <v>19</v>
      </c>
      <c r="C5173" t="s">
        <v>6</v>
      </c>
      <c r="D5173">
        <v>29</v>
      </c>
      <c r="E5173" s="2">
        <v>3.7986111111111109E-2</v>
      </c>
      <c r="F5173">
        <v>54.7</v>
      </c>
    </row>
    <row r="5174" spans="1:6" x14ac:dyDescent="0.25">
      <c r="A5174" s="1">
        <v>40210</v>
      </c>
      <c r="B5174" t="s">
        <v>19</v>
      </c>
      <c r="C5174" t="s">
        <v>7</v>
      </c>
      <c r="D5174">
        <v>24</v>
      </c>
      <c r="E5174" s="2">
        <v>3.184027777777778E-2</v>
      </c>
      <c r="F5174">
        <v>45.85</v>
      </c>
    </row>
    <row r="5175" spans="1:6" x14ac:dyDescent="0.25">
      <c r="A5175" s="1">
        <v>40210</v>
      </c>
      <c r="B5175" t="s">
        <v>19</v>
      </c>
      <c r="C5175" t="s">
        <v>8</v>
      </c>
      <c r="D5175">
        <v>31</v>
      </c>
      <c r="E5175" s="2">
        <v>3.7685185185185183E-2</v>
      </c>
      <c r="F5175">
        <v>54.266666666666666</v>
      </c>
    </row>
    <row r="5176" spans="1:6" x14ac:dyDescent="0.25">
      <c r="A5176" s="1">
        <v>40210</v>
      </c>
      <c r="B5176" t="s">
        <v>19</v>
      </c>
      <c r="C5176" t="s">
        <v>9</v>
      </c>
      <c r="D5176">
        <v>10</v>
      </c>
      <c r="E5176" s="2">
        <v>6.9328703703703705E-3</v>
      </c>
      <c r="F5176">
        <v>9.9833333333333325</v>
      </c>
    </row>
    <row r="5177" spans="1:6" x14ac:dyDescent="0.25">
      <c r="A5177" s="1">
        <v>40210</v>
      </c>
      <c r="B5177" t="s">
        <v>19</v>
      </c>
      <c r="C5177" t="s">
        <v>10</v>
      </c>
      <c r="D5177">
        <v>10</v>
      </c>
      <c r="E5177" s="2">
        <v>1.3032407407407407E-2</v>
      </c>
      <c r="F5177">
        <v>18.766666666666666</v>
      </c>
    </row>
    <row r="5178" spans="1:6" x14ac:dyDescent="0.25">
      <c r="A5178" s="1">
        <v>40210</v>
      </c>
      <c r="B5178" t="s">
        <v>19</v>
      </c>
      <c r="C5178" t="s">
        <v>11</v>
      </c>
      <c r="D5178">
        <v>27</v>
      </c>
      <c r="E5178" s="2">
        <v>1.4108796296296296E-2</v>
      </c>
      <c r="F5178">
        <v>20.316666666666666</v>
      </c>
    </row>
    <row r="5179" spans="1:6" x14ac:dyDescent="0.25">
      <c r="A5179" s="1">
        <v>40210</v>
      </c>
      <c r="B5179" t="s">
        <v>20</v>
      </c>
      <c r="C5179" t="s">
        <v>6</v>
      </c>
      <c r="D5179">
        <v>38</v>
      </c>
      <c r="E5179" s="2">
        <v>3.4953703703703702E-2</v>
      </c>
      <c r="F5179">
        <v>50.333333333333336</v>
      </c>
    </row>
    <row r="5180" spans="1:6" x14ac:dyDescent="0.25">
      <c r="A5180" s="1">
        <v>40210</v>
      </c>
      <c r="B5180" t="s">
        <v>20</v>
      </c>
      <c r="C5180" t="s">
        <v>7</v>
      </c>
      <c r="D5180">
        <v>43</v>
      </c>
      <c r="E5180" s="2">
        <v>3.9490740740740743E-2</v>
      </c>
      <c r="F5180">
        <v>56.866666666666667</v>
      </c>
    </row>
    <row r="5181" spans="1:6" x14ac:dyDescent="0.25">
      <c r="A5181" s="1">
        <v>40210</v>
      </c>
      <c r="B5181" t="s">
        <v>20</v>
      </c>
      <c r="C5181" t="s">
        <v>8</v>
      </c>
      <c r="D5181">
        <v>31</v>
      </c>
      <c r="E5181" s="2">
        <v>3.6666666666666667E-2</v>
      </c>
      <c r="F5181">
        <v>52.8</v>
      </c>
    </row>
    <row r="5182" spans="1:6" x14ac:dyDescent="0.25">
      <c r="A5182" s="1">
        <v>40210</v>
      </c>
      <c r="B5182" t="s">
        <v>20</v>
      </c>
      <c r="C5182" t="s">
        <v>9</v>
      </c>
      <c r="D5182">
        <v>14</v>
      </c>
      <c r="E5182" s="2">
        <v>1.1539351851851851E-2</v>
      </c>
      <c r="F5182">
        <v>16.616666666666667</v>
      </c>
    </row>
    <row r="5183" spans="1:6" x14ac:dyDescent="0.25">
      <c r="A5183" s="1">
        <v>40210</v>
      </c>
      <c r="B5183" t="s">
        <v>20</v>
      </c>
      <c r="C5183" t="s">
        <v>10</v>
      </c>
      <c r="D5183">
        <v>6</v>
      </c>
      <c r="E5183" s="2">
        <v>7.4768518518518517E-3</v>
      </c>
      <c r="F5183">
        <v>10.766666666666667</v>
      </c>
    </row>
    <row r="5184" spans="1:6" x14ac:dyDescent="0.25">
      <c r="A5184" s="1">
        <v>40210</v>
      </c>
      <c r="B5184" t="s">
        <v>20</v>
      </c>
      <c r="C5184" t="s">
        <v>11</v>
      </c>
      <c r="D5184">
        <v>20</v>
      </c>
      <c r="E5184" s="2">
        <v>1.3761574074074074E-2</v>
      </c>
      <c r="F5184">
        <v>19.816666666666666</v>
      </c>
    </row>
    <row r="5185" spans="1:6" x14ac:dyDescent="0.25">
      <c r="A5185" s="1">
        <v>40210</v>
      </c>
      <c r="B5185" t="s">
        <v>21</v>
      </c>
      <c r="C5185" t="s">
        <v>6</v>
      </c>
      <c r="D5185">
        <v>14</v>
      </c>
      <c r="E5185" s="2">
        <v>1.8541666666666668E-2</v>
      </c>
      <c r="F5185">
        <v>26.7</v>
      </c>
    </row>
    <row r="5186" spans="1:6" x14ac:dyDescent="0.25">
      <c r="A5186" s="1">
        <v>40210</v>
      </c>
      <c r="B5186" t="s">
        <v>21</v>
      </c>
      <c r="C5186" t="s">
        <v>7</v>
      </c>
      <c r="D5186">
        <v>11</v>
      </c>
      <c r="E5186" s="2">
        <v>2.0474537037037038E-2</v>
      </c>
      <c r="F5186">
        <v>29.483333333333334</v>
      </c>
    </row>
    <row r="5187" spans="1:6" x14ac:dyDescent="0.25">
      <c r="A5187" s="1">
        <v>40210</v>
      </c>
      <c r="B5187" t="s">
        <v>21</v>
      </c>
      <c r="C5187" t="s">
        <v>8</v>
      </c>
      <c r="D5187">
        <v>9</v>
      </c>
      <c r="E5187" s="2">
        <v>1.3356481481481481E-2</v>
      </c>
      <c r="F5187">
        <v>19.233333333333334</v>
      </c>
    </row>
    <row r="5188" spans="1:6" x14ac:dyDescent="0.25">
      <c r="A5188" s="1">
        <v>40210</v>
      </c>
      <c r="B5188" t="s">
        <v>21</v>
      </c>
      <c r="C5188" t="s">
        <v>9</v>
      </c>
      <c r="D5188">
        <v>7</v>
      </c>
      <c r="E5188" s="2">
        <v>4.5254629629629629E-3</v>
      </c>
      <c r="F5188">
        <v>6.5166666666666666</v>
      </c>
    </row>
    <row r="5189" spans="1:6" x14ac:dyDescent="0.25">
      <c r="A5189" s="1">
        <v>40210</v>
      </c>
      <c r="B5189" t="s">
        <v>21</v>
      </c>
      <c r="C5189" t="s">
        <v>10</v>
      </c>
      <c r="D5189">
        <v>3</v>
      </c>
      <c r="E5189" s="2">
        <v>4.6412037037037038E-3</v>
      </c>
      <c r="F5189">
        <v>6.6833333333333336</v>
      </c>
    </row>
    <row r="5190" spans="1:6" x14ac:dyDescent="0.25">
      <c r="A5190" s="1">
        <v>40210</v>
      </c>
      <c r="B5190" t="s">
        <v>21</v>
      </c>
      <c r="C5190" t="s">
        <v>11</v>
      </c>
      <c r="D5190">
        <v>11</v>
      </c>
      <c r="E5190" s="2">
        <v>9.5949074074074079E-3</v>
      </c>
      <c r="F5190">
        <v>13.816666666666666</v>
      </c>
    </row>
    <row r="5191" spans="1:6" x14ac:dyDescent="0.25">
      <c r="A5191" s="1">
        <v>40210</v>
      </c>
      <c r="B5191" t="s">
        <v>22</v>
      </c>
      <c r="C5191" t="s">
        <v>6</v>
      </c>
      <c r="D5191">
        <v>11</v>
      </c>
      <c r="E5191" s="2">
        <v>1.4050925925925927E-2</v>
      </c>
      <c r="F5191">
        <v>20.233333333333334</v>
      </c>
    </row>
    <row r="5192" spans="1:6" x14ac:dyDescent="0.25">
      <c r="A5192" s="1">
        <v>40210</v>
      </c>
      <c r="B5192" t="s">
        <v>22</v>
      </c>
      <c r="C5192" t="s">
        <v>7</v>
      </c>
      <c r="D5192">
        <v>12</v>
      </c>
      <c r="E5192" s="2">
        <v>1.2766203703703703E-2</v>
      </c>
      <c r="F5192">
        <v>18.383333333333333</v>
      </c>
    </row>
    <row r="5193" spans="1:6" x14ac:dyDescent="0.25">
      <c r="A5193" s="1">
        <v>40210</v>
      </c>
      <c r="B5193" t="s">
        <v>22</v>
      </c>
      <c r="C5193" t="s">
        <v>8</v>
      </c>
      <c r="D5193">
        <v>3</v>
      </c>
      <c r="E5193" s="2">
        <v>2.9513888888888888E-3</v>
      </c>
      <c r="F5193">
        <v>4.25</v>
      </c>
    </row>
    <row r="5194" spans="1:6" x14ac:dyDescent="0.25">
      <c r="A5194" s="1">
        <v>40210</v>
      </c>
      <c r="B5194" t="s">
        <v>22</v>
      </c>
      <c r="C5194" t="s">
        <v>9</v>
      </c>
      <c r="D5194">
        <v>5</v>
      </c>
      <c r="E5194" s="2">
        <v>2.8356481481481483E-3</v>
      </c>
      <c r="F5194">
        <v>4.083333333333333</v>
      </c>
    </row>
    <row r="5195" spans="1:6" x14ac:dyDescent="0.25">
      <c r="A5195" s="1">
        <v>40210</v>
      </c>
      <c r="B5195" t="s">
        <v>22</v>
      </c>
      <c r="C5195" t="s">
        <v>10</v>
      </c>
      <c r="D5195">
        <v>4</v>
      </c>
      <c r="E5195" s="2">
        <v>5.324074074074074E-3</v>
      </c>
      <c r="F5195">
        <v>7.666666666666667</v>
      </c>
    </row>
    <row r="5196" spans="1:6" x14ac:dyDescent="0.25">
      <c r="A5196" s="1">
        <v>40210</v>
      </c>
      <c r="B5196" t="s">
        <v>22</v>
      </c>
      <c r="C5196" t="s">
        <v>11</v>
      </c>
      <c r="D5196">
        <v>7</v>
      </c>
      <c r="E5196" s="2">
        <v>6.2731481481481484E-3</v>
      </c>
      <c r="F5196">
        <v>9.0333333333333332</v>
      </c>
    </row>
    <row r="5197" spans="1:6" x14ac:dyDescent="0.25">
      <c r="A5197" s="1">
        <v>40210</v>
      </c>
      <c r="B5197" t="s">
        <v>23</v>
      </c>
      <c r="C5197" t="s">
        <v>6</v>
      </c>
      <c r="D5197">
        <v>111</v>
      </c>
      <c r="E5197" s="2">
        <v>0.11484953703703704</v>
      </c>
      <c r="F5197">
        <v>165.38333333333333</v>
      </c>
    </row>
    <row r="5198" spans="1:6" x14ac:dyDescent="0.25">
      <c r="A5198" s="1">
        <v>40210</v>
      </c>
      <c r="B5198" t="s">
        <v>23</v>
      </c>
      <c r="C5198" t="s">
        <v>7</v>
      </c>
      <c r="D5198">
        <v>134</v>
      </c>
      <c r="E5198" s="2">
        <v>0.13945601851851852</v>
      </c>
      <c r="F5198">
        <v>200.81666666666666</v>
      </c>
    </row>
    <row r="5199" spans="1:6" x14ac:dyDescent="0.25">
      <c r="A5199" s="1">
        <v>40210</v>
      </c>
      <c r="B5199" t="s">
        <v>23</v>
      </c>
      <c r="C5199" t="s">
        <v>8</v>
      </c>
      <c r="D5199">
        <v>73</v>
      </c>
      <c r="E5199" s="2">
        <v>7.9652777777777781E-2</v>
      </c>
      <c r="F5199">
        <v>114.7</v>
      </c>
    </row>
    <row r="5200" spans="1:6" x14ac:dyDescent="0.25">
      <c r="A5200" s="1">
        <v>40210</v>
      </c>
      <c r="B5200" t="s">
        <v>23</v>
      </c>
      <c r="C5200" t="s">
        <v>9</v>
      </c>
      <c r="D5200">
        <v>70</v>
      </c>
      <c r="E5200" s="2">
        <v>4.7650462962962964E-2</v>
      </c>
      <c r="F5200">
        <v>68.61666666666666</v>
      </c>
    </row>
    <row r="5201" spans="1:6" x14ac:dyDescent="0.25">
      <c r="A5201" s="1">
        <v>40210</v>
      </c>
      <c r="B5201" t="s">
        <v>23</v>
      </c>
      <c r="C5201" t="s">
        <v>10</v>
      </c>
      <c r="D5201">
        <v>49</v>
      </c>
      <c r="E5201" s="2">
        <v>5.4479166666666669E-2</v>
      </c>
      <c r="F5201">
        <v>78.45</v>
      </c>
    </row>
    <row r="5202" spans="1:6" x14ac:dyDescent="0.25">
      <c r="A5202" s="1">
        <v>40210</v>
      </c>
      <c r="B5202" t="s">
        <v>23</v>
      </c>
      <c r="C5202" t="s">
        <v>11</v>
      </c>
      <c r="D5202">
        <v>83</v>
      </c>
      <c r="E5202" s="2">
        <v>6.0613425925925925E-2</v>
      </c>
      <c r="F5202">
        <v>87.283333333333331</v>
      </c>
    </row>
    <row r="5203" spans="1:6" x14ac:dyDescent="0.25">
      <c r="A5203" s="1">
        <v>40210</v>
      </c>
      <c r="B5203" t="s">
        <v>24</v>
      </c>
      <c r="C5203" t="s">
        <v>6</v>
      </c>
      <c r="D5203">
        <v>60</v>
      </c>
      <c r="E5203" s="2">
        <v>5.7870370370370371E-2</v>
      </c>
      <c r="F5203">
        <v>83.333333333333329</v>
      </c>
    </row>
    <row r="5204" spans="1:6" x14ac:dyDescent="0.25">
      <c r="A5204" s="1">
        <v>40210</v>
      </c>
      <c r="B5204" t="s">
        <v>24</v>
      </c>
      <c r="C5204" t="s">
        <v>7</v>
      </c>
      <c r="D5204">
        <v>69</v>
      </c>
      <c r="E5204" s="2">
        <v>6.0196759259259262E-2</v>
      </c>
      <c r="F5204">
        <v>86.683333333333337</v>
      </c>
    </row>
    <row r="5205" spans="1:6" x14ac:dyDescent="0.25">
      <c r="A5205" s="1">
        <v>40210</v>
      </c>
      <c r="B5205" t="s">
        <v>24</v>
      </c>
      <c r="C5205" t="s">
        <v>8</v>
      </c>
      <c r="D5205">
        <v>26</v>
      </c>
      <c r="E5205" s="2">
        <v>2.960648148148148E-2</v>
      </c>
      <c r="F5205">
        <v>42.633333333333333</v>
      </c>
    </row>
    <row r="5206" spans="1:6" x14ac:dyDescent="0.25">
      <c r="A5206" s="1">
        <v>40210</v>
      </c>
      <c r="B5206" t="s">
        <v>24</v>
      </c>
      <c r="C5206" t="s">
        <v>9</v>
      </c>
      <c r="D5206">
        <v>12</v>
      </c>
      <c r="E5206" s="2">
        <v>7.4074074074074077E-3</v>
      </c>
      <c r="F5206">
        <v>10.666666666666666</v>
      </c>
    </row>
    <row r="5207" spans="1:6" x14ac:dyDescent="0.25">
      <c r="A5207" s="1">
        <v>40210</v>
      </c>
      <c r="B5207" t="s">
        <v>24</v>
      </c>
      <c r="C5207" t="s">
        <v>10</v>
      </c>
      <c r="D5207">
        <v>4</v>
      </c>
      <c r="E5207" s="2">
        <v>4.5601851851851853E-3</v>
      </c>
      <c r="F5207">
        <v>6.5666666666666664</v>
      </c>
    </row>
    <row r="5208" spans="1:6" x14ac:dyDescent="0.25">
      <c r="A5208" s="1">
        <v>40210</v>
      </c>
      <c r="B5208" t="s">
        <v>24</v>
      </c>
      <c r="C5208" t="s">
        <v>11</v>
      </c>
      <c r="D5208">
        <v>61</v>
      </c>
      <c r="E5208" s="2">
        <v>3.8460648148148147E-2</v>
      </c>
      <c r="F5208">
        <v>55.383333333333333</v>
      </c>
    </row>
    <row r="5209" spans="1:6" x14ac:dyDescent="0.25">
      <c r="A5209" s="1">
        <v>40238</v>
      </c>
      <c r="B5209" t="s">
        <v>5</v>
      </c>
      <c r="C5209" t="s">
        <v>6</v>
      </c>
      <c r="D5209">
        <v>134</v>
      </c>
      <c r="E5209" s="2">
        <v>0.1350462962962963</v>
      </c>
      <c r="F5209">
        <v>194.46666666666667</v>
      </c>
    </row>
    <row r="5210" spans="1:6" x14ac:dyDescent="0.25">
      <c r="A5210" s="1">
        <v>40238</v>
      </c>
      <c r="B5210" t="s">
        <v>5</v>
      </c>
      <c r="C5210" t="s">
        <v>7</v>
      </c>
      <c r="D5210">
        <v>98</v>
      </c>
      <c r="E5210" s="2">
        <v>9.2766203703703698E-2</v>
      </c>
      <c r="F5210">
        <v>133.58333333333334</v>
      </c>
    </row>
    <row r="5211" spans="1:6" x14ac:dyDescent="0.25">
      <c r="A5211" s="1">
        <v>40238</v>
      </c>
      <c r="B5211" t="s">
        <v>5</v>
      </c>
      <c r="C5211" t="s">
        <v>8</v>
      </c>
      <c r="D5211">
        <v>78</v>
      </c>
      <c r="E5211" s="2">
        <v>7.4872685185185181E-2</v>
      </c>
      <c r="F5211">
        <v>107.81666666666666</v>
      </c>
    </row>
    <row r="5212" spans="1:6" x14ac:dyDescent="0.25">
      <c r="A5212" s="1">
        <v>40238</v>
      </c>
      <c r="B5212" t="s">
        <v>5</v>
      </c>
      <c r="C5212" t="s">
        <v>9</v>
      </c>
      <c r="D5212">
        <v>42</v>
      </c>
      <c r="E5212" s="2">
        <v>2.7800925925925927E-2</v>
      </c>
      <c r="F5212">
        <v>40.033333333333331</v>
      </c>
    </row>
    <row r="5213" spans="1:6" x14ac:dyDescent="0.25">
      <c r="A5213" s="1">
        <v>40238</v>
      </c>
      <c r="B5213" t="s">
        <v>5</v>
      </c>
      <c r="C5213" t="s">
        <v>10</v>
      </c>
      <c r="D5213">
        <v>11</v>
      </c>
      <c r="E5213" s="2">
        <v>1.0104166666666666E-2</v>
      </c>
      <c r="F5213">
        <v>14.55</v>
      </c>
    </row>
    <row r="5214" spans="1:6" x14ac:dyDescent="0.25">
      <c r="A5214" s="1">
        <v>40238</v>
      </c>
      <c r="B5214" t="s">
        <v>5</v>
      </c>
      <c r="C5214" t="s">
        <v>11</v>
      </c>
      <c r="D5214">
        <v>69</v>
      </c>
      <c r="E5214" s="2">
        <v>4.8969907407407406E-2</v>
      </c>
      <c r="F5214">
        <v>70.516666666666666</v>
      </c>
    </row>
    <row r="5215" spans="1:6" x14ac:dyDescent="0.25">
      <c r="A5215" s="1">
        <v>40238</v>
      </c>
      <c r="B5215" t="s">
        <v>12</v>
      </c>
      <c r="C5215" t="s">
        <v>6</v>
      </c>
      <c r="D5215">
        <v>50</v>
      </c>
      <c r="E5215" s="2">
        <v>5.994212962962963E-2</v>
      </c>
      <c r="F5215">
        <v>86.316666666666663</v>
      </c>
    </row>
    <row r="5216" spans="1:6" x14ac:dyDescent="0.25">
      <c r="A5216" s="1">
        <v>40238</v>
      </c>
      <c r="B5216" t="s">
        <v>12</v>
      </c>
      <c r="C5216" t="s">
        <v>7</v>
      </c>
      <c r="D5216">
        <v>47</v>
      </c>
      <c r="E5216" s="2">
        <v>5.5798611111111111E-2</v>
      </c>
      <c r="F5216">
        <v>80.349999999999994</v>
      </c>
    </row>
    <row r="5217" spans="1:6" x14ac:dyDescent="0.25">
      <c r="A5217" s="1">
        <v>40238</v>
      </c>
      <c r="B5217" t="s">
        <v>12</v>
      </c>
      <c r="C5217" t="s">
        <v>8</v>
      </c>
      <c r="D5217">
        <v>29</v>
      </c>
      <c r="E5217" s="2">
        <v>4.4236111111111108E-2</v>
      </c>
      <c r="F5217">
        <v>63.7</v>
      </c>
    </row>
    <row r="5218" spans="1:6" x14ac:dyDescent="0.25">
      <c r="A5218" s="1">
        <v>40238</v>
      </c>
      <c r="B5218" t="s">
        <v>12</v>
      </c>
      <c r="C5218" t="s">
        <v>9</v>
      </c>
      <c r="D5218">
        <v>13</v>
      </c>
      <c r="E5218" s="2">
        <v>9.5486111111111119E-3</v>
      </c>
      <c r="F5218">
        <v>13.75</v>
      </c>
    </row>
    <row r="5219" spans="1:6" x14ac:dyDescent="0.25">
      <c r="A5219" s="1">
        <v>40238</v>
      </c>
      <c r="B5219" t="s">
        <v>12</v>
      </c>
      <c r="C5219" t="s">
        <v>10</v>
      </c>
      <c r="D5219">
        <v>90</v>
      </c>
      <c r="E5219" s="2">
        <v>0.15004629629629629</v>
      </c>
      <c r="F5219">
        <v>216.06666666666666</v>
      </c>
    </row>
    <row r="5220" spans="1:6" x14ac:dyDescent="0.25">
      <c r="A5220" s="1">
        <v>40238</v>
      </c>
      <c r="B5220" t="s">
        <v>12</v>
      </c>
      <c r="C5220" t="s">
        <v>11</v>
      </c>
      <c r="D5220">
        <v>27</v>
      </c>
      <c r="E5220" s="2">
        <v>2.8518518518518519E-2</v>
      </c>
      <c r="F5220">
        <v>41.06666666666667</v>
      </c>
    </row>
    <row r="5221" spans="1:6" x14ac:dyDescent="0.25">
      <c r="A5221" s="1">
        <v>40238</v>
      </c>
      <c r="B5221" t="s">
        <v>13</v>
      </c>
      <c r="C5221" t="s">
        <v>6</v>
      </c>
      <c r="D5221">
        <v>48</v>
      </c>
      <c r="E5221" s="2">
        <v>4.4976851851851851E-2</v>
      </c>
      <c r="F5221">
        <v>64.766666666666666</v>
      </c>
    </row>
    <row r="5222" spans="1:6" x14ac:dyDescent="0.25">
      <c r="A5222" s="1">
        <v>40238</v>
      </c>
      <c r="B5222" t="s">
        <v>13</v>
      </c>
      <c r="C5222" t="s">
        <v>7</v>
      </c>
      <c r="D5222">
        <v>50</v>
      </c>
      <c r="E5222" s="2">
        <v>5.4537037037037037E-2</v>
      </c>
      <c r="F5222">
        <v>78.533333333333331</v>
      </c>
    </row>
    <row r="5223" spans="1:6" x14ac:dyDescent="0.25">
      <c r="A5223" s="1">
        <v>40238</v>
      </c>
      <c r="B5223" t="s">
        <v>13</v>
      </c>
      <c r="C5223" t="s">
        <v>8</v>
      </c>
      <c r="D5223">
        <v>31</v>
      </c>
      <c r="E5223" s="2">
        <v>3.457175925925926E-2</v>
      </c>
      <c r="F5223">
        <v>49.783333333333331</v>
      </c>
    </row>
    <row r="5224" spans="1:6" x14ac:dyDescent="0.25">
      <c r="A5224" s="1">
        <v>40238</v>
      </c>
      <c r="B5224" t="s">
        <v>13</v>
      </c>
      <c r="C5224" t="s">
        <v>9</v>
      </c>
      <c r="D5224">
        <v>25</v>
      </c>
      <c r="E5224" s="2">
        <v>1.5972222222222221E-2</v>
      </c>
      <c r="F5224">
        <v>23</v>
      </c>
    </row>
    <row r="5225" spans="1:6" x14ac:dyDescent="0.25">
      <c r="A5225" s="1">
        <v>40238</v>
      </c>
      <c r="B5225" t="s">
        <v>13</v>
      </c>
      <c r="C5225" t="s">
        <v>10</v>
      </c>
      <c r="D5225">
        <v>56</v>
      </c>
      <c r="E5225" s="2">
        <v>9.8796296296296299E-2</v>
      </c>
      <c r="F5225">
        <v>142.26666666666668</v>
      </c>
    </row>
    <row r="5226" spans="1:6" x14ac:dyDescent="0.25">
      <c r="A5226" s="1">
        <v>40238</v>
      </c>
      <c r="B5226" t="s">
        <v>13</v>
      </c>
      <c r="C5226" t="s">
        <v>11</v>
      </c>
      <c r="D5226">
        <v>24</v>
      </c>
      <c r="E5226" s="2">
        <v>1.9108796296296297E-2</v>
      </c>
      <c r="F5226">
        <v>27.516666666666666</v>
      </c>
    </row>
    <row r="5227" spans="1:6" x14ac:dyDescent="0.25">
      <c r="A5227" s="1">
        <v>40238</v>
      </c>
      <c r="B5227" t="s">
        <v>14</v>
      </c>
      <c r="C5227" t="s">
        <v>6</v>
      </c>
      <c r="D5227">
        <v>14</v>
      </c>
      <c r="E5227" s="2">
        <v>1.6192129629629629E-2</v>
      </c>
      <c r="F5227">
        <v>23.316666666666666</v>
      </c>
    </row>
    <row r="5228" spans="1:6" x14ac:dyDescent="0.25">
      <c r="A5228" s="1">
        <v>40238</v>
      </c>
      <c r="B5228" t="s">
        <v>14</v>
      </c>
      <c r="C5228" t="s">
        <v>7</v>
      </c>
      <c r="D5228">
        <v>12</v>
      </c>
      <c r="E5228" s="2">
        <v>1.34375E-2</v>
      </c>
      <c r="F5228">
        <v>19.350000000000001</v>
      </c>
    </row>
    <row r="5229" spans="1:6" x14ac:dyDescent="0.25">
      <c r="A5229" s="1">
        <v>40238</v>
      </c>
      <c r="B5229" t="s">
        <v>14</v>
      </c>
      <c r="C5229" t="s">
        <v>8</v>
      </c>
      <c r="D5229">
        <v>8</v>
      </c>
      <c r="E5229" s="2">
        <v>1.074074074074074E-2</v>
      </c>
      <c r="F5229">
        <v>15.466666666666667</v>
      </c>
    </row>
    <row r="5230" spans="1:6" x14ac:dyDescent="0.25">
      <c r="A5230" s="1">
        <v>40238</v>
      </c>
      <c r="B5230" t="s">
        <v>14</v>
      </c>
      <c r="C5230" t="s">
        <v>9</v>
      </c>
      <c r="D5230">
        <v>5</v>
      </c>
      <c r="E5230" s="2">
        <v>4.363425925925926E-3</v>
      </c>
      <c r="F5230">
        <v>6.2833333333333332</v>
      </c>
    </row>
    <row r="5231" spans="1:6" x14ac:dyDescent="0.25">
      <c r="A5231" s="1">
        <v>40238</v>
      </c>
      <c r="B5231" t="s">
        <v>14</v>
      </c>
      <c r="C5231" t="s">
        <v>10</v>
      </c>
      <c r="D5231">
        <v>3</v>
      </c>
      <c r="E5231" s="2">
        <v>4.7569444444444447E-3</v>
      </c>
      <c r="F5231">
        <v>6.85</v>
      </c>
    </row>
    <row r="5232" spans="1:6" x14ac:dyDescent="0.25">
      <c r="A5232" s="1">
        <v>40238</v>
      </c>
      <c r="B5232" t="s">
        <v>14</v>
      </c>
      <c r="C5232" t="s">
        <v>11</v>
      </c>
      <c r="D5232">
        <v>12</v>
      </c>
      <c r="E5232" s="2">
        <v>9.6412037037037039E-3</v>
      </c>
      <c r="F5232">
        <v>13.883333333333333</v>
      </c>
    </row>
    <row r="5233" spans="1:6" x14ac:dyDescent="0.25">
      <c r="A5233" s="1">
        <v>40238</v>
      </c>
      <c r="B5233" t="s">
        <v>15</v>
      </c>
      <c r="C5233" t="s">
        <v>6</v>
      </c>
      <c r="D5233">
        <v>33</v>
      </c>
      <c r="E5233" s="2">
        <v>4.1585648148148149E-2</v>
      </c>
      <c r="F5233">
        <v>59.883333333333333</v>
      </c>
    </row>
    <row r="5234" spans="1:6" x14ac:dyDescent="0.25">
      <c r="A5234" s="1">
        <v>40238</v>
      </c>
      <c r="B5234" t="s">
        <v>15</v>
      </c>
      <c r="C5234" t="s">
        <v>7</v>
      </c>
      <c r="D5234">
        <v>25</v>
      </c>
      <c r="E5234" s="2">
        <v>2.1886574074074076E-2</v>
      </c>
      <c r="F5234">
        <v>31.516666666666666</v>
      </c>
    </row>
    <row r="5235" spans="1:6" x14ac:dyDescent="0.25">
      <c r="A5235" s="1">
        <v>40238</v>
      </c>
      <c r="B5235" t="s">
        <v>15</v>
      </c>
      <c r="C5235" t="s">
        <v>8</v>
      </c>
      <c r="D5235">
        <v>22</v>
      </c>
      <c r="E5235" s="2">
        <v>2.6215277777777778E-2</v>
      </c>
      <c r="F5235">
        <v>37.75</v>
      </c>
    </row>
    <row r="5236" spans="1:6" x14ac:dyDescent="0.25">
      <c r="A5236" s="1">
        <v>40238</v>
      </c>
      <c r="B5236" t="s">
        <v>15</v>
      </c>
      <c r="C5236" t="s">
        <v>9</v>
      </c>
      <c r="D5236">
        <v>10</v>
      </c>
      <c r="E5236" s="2">
        <v>6.6666666666666671E-3</v>
      </c>
      <c r="F5236">
        <v>9.6</v>
      </c>
    </row>
    <row r="5237" spans="1:6" x14ac:dyDescent="0.25">
      <c r="A5237" s="1">
        <v>40238</v>
      </c>
      <c r="B5237" t="s">
        <v>15</v>
      </c>
      <c r="C5237" t="s">
        <v>10</v>
      </c>
      <c r="D5237">
        <v>9</v>
      </c>
      <c r="E5237" s="2">
        <v>2.6215277777777778E-2</v>
      </c>
      <c r="F5237">
        <v>37.75</v>
      </c>
    </row>
    <row r="5238" spans="1:6" x14ac:dyDescent="0.25">
      <c r="A5238" s="1">
        <v>40238</v>
      </c>
      <c r="B5238" t="s">
        <v>15</v>
      </c>
      <c r="C5238" t="s">
        <v>11</v>
      </c>
      <c r="D5238">
        <v>18</v>
      </c>
      <c r="E5238" s="2">
        <v>1.6828703703703703E-2</v>
      </c>
      <c r="F5238">
        <v>24.233333333333334</v>
      </c>
    </row>
    <row r="5239" spans="1:6" x14ac:dyDescent="0.25">
      <c r="A5239" s="1">
        <v>40238</v>
      </c>
      <c r="B5239" t="s">
        <v>16</v>
      </c>
      <c r="C5239" t="s">
        <v>6</v>
      </c>
      <c r="D5239">
        <v>30</v>
      </c>
      <c r="E5239" s="2">
        <v>2.7581018518518519E-2</v>
      </c>
      <c r="F5239">
        <v>39.716666666666669</v>
      </c>
    </row>
    <row r="5240" spans="1:6" x14ac:dyDescent="0.25">
      <c r="A5240" s="1">
        <v>40238</v>
      </c>
      <c r="B5240" t="s">
        <v>16</v>
      </c>
      <c r="C5240" t="s">
        <v>7</v>
      </c>
      <c r="D5240">
        <v>29</v>
      </c>
      <c r="E5240" s="2">
        <v>2.6909722222222224E-2</v>
      </c>
      <c r="F5240">
        <v>38.75</v>
      </c>
    </row>
    <row r="5241" spans="1:6" x14ac:dyDescent="0.25">
      <c r="A5241" s="1">
        <v>40238</v>
      </c>
      <c r="B5241" t="s">
        <v>16</v>
      </c>
      <c r="C5241" t="s">
        <v>8</v>
      </c>
      <c r="D5241">
        <v>20</v>
      </c>
      <c r="E5241" s="2">
        <v>2.4143518518518519E-2</v>
      </c>
      <c r="F5241">
        <v>34.766666666666666</v>
      </c>
    </row>
    <row r="5242" spans="1:6" x14ac:dyDescent="0.25">
      <c r="A5242" s="1">
        <v>40238</v>
      </c>
      <c r="B5242" t="s">
        <v>16</v>
      </c>
      <c r="C5242" t="s">
        <v>9</v>
      </c>
      <c r="D5242">
        <v>24</v>
      </c>
      <c r="E5242" s="2">
        <v>1.5428240740740741E-2</v>
      </c>
      <c r="F5242">
        <v>22.216666666666665</v>
      </c>
    </row>
    <row r="5243" spans="1:6" x14ac:dyDescent="0.25">
      <c r="A5243" s="1">
        <v>40238</v>
      </c>
      <c r="B5243" t="s">
        <v>16</v>
      </c>
      <c r="C5243" t="s">
        <v>10</v>
      </c>
      <c r="D5243">
        <v>8</v>
      </c>
      <c r="E5243" s="2">
        <v>9.5949074074074079E-3</v>
      </c>
      <c r="F5243">
        <v>13.816666666666666</v>
      </c>
    </row>
    <row r="5244" spans="1:6" x14ac:dyDescent="0.25">
      <c r="A5244" s="1">
        <v>40238</v>
      </c>
      <c r="B5244" t="s">
        <v>16</v>
      </c>
      <c r="C5244" t="s">
        <v>11</v>
      </c>
      <c r="D5244">
        <v>37</v>
      </c>
      <c r="E5244" s="2">
        <v>2.3287037037037037E-2</v>
      </c>
      <c r="F5244">
        <v>33.533333333333331</v>
      </c>
    </row>
    <row r="5245" spans="1:6" x14ac:dyDescent="0.25">
      <c r="A5245" s="1">
        <v>40238</v>
      </c>
      <c r="B5245" t="s">
        <v>17</v>
      </c>
      <c r="C5245" t="s">
        <v>6</v>
      </c>
      <c r="D5245">
        <v>15</v>
      </c>
      <c r="E5245" s="2">
        <v>1.8645833333333334E-2</v>
      </c>
      <c r="F5245">
        <v>26.85</v>
      </c>
    </row>
    <row r="5246" spans="1:6" x14ac:dyDescent="0.25">
      <c r="A5246" s="1">
        <v>40238</v>
      </c>
      <c r="B5246" t="s">
        <v>17</v>
      </c>
      <c r="C5246" t="s">
        <v>7</v>
      </c>
      <c r="D5246">
        <v>15</v>
      </c>
      <c r="E5246" s="2">
        <v>1.2291666666666666E-2</v>
      </c>
      <c r="F5246">
        <v>17.7</v>
      </c>
    </row>
    <row r="5247" spans="1:6" x14ac:dyDescent="0.25">
      <c r="A5247" s="1">
        <v>40238</v>
      </c>
      <c r="B5247" t="s">
        <v>17</v>
      </c>
      <c r="C5247" t="s">
        <v>8</v>
      </c>
      <c r="D5247">
        <v>7</v>
      </c>
      <c r="E5247" s="2">
        <v>7.951388888888888E-3</v>
      </c>
      <c r="F5247">
        <v>11.45</v>
      </c>
    </row>
    <row r="5248" spans="1:6" x14ac:dyDescent="0.25">
      <c r="A5248" s="1">
        <v>40238</v>
      </c>
      <c r="B5248" t="s">
        <v>17</v>
      </c>
      <c r="C5248" t="s">
        <v>9</v>
      </c>
      <c r="D5248">
        <v>4</v>
      </c>
      <c r="E5248" s="2">
        <v>2.476851851851852E-3</v>
      </c>
      <c r="F5248">
        <v>3.5666666666666664</v>
      </c>
    </row>
    <row r="5249" spans="1:6" x14ac:dyDescent="0.25">
      <c r="A5249" s="1">
        <v>40238</v>
      </c>
      <c r="B5249" t="s">
        <v>17</v>
      </c>
      <c r="C5249" t="s">
        <v>10</v>
      </c>
      <c r="D5249">
        <v>6</v>
      </c>
      <c r="E5249" s="2">
        <v>8.5069444444444437E-3</v>
      </c>
      <c r="F5249">
        <v>12.25</v>
      </c>
    </row>
    <row r="5250" spans="1:6" x14ac:dyDescent="0.25">
      <c r="A5250" s="1">
        <v>40238</v>
      </c>
      <c r="B5250" t="s">
        <v>17</v>
      </c>
      <c r="C5250" t="s">
        <v>11</v>
      </c>
      <c r="D5250">
        <v>5</v>
      </c>
      <c r="E5250" s="2">
        <v>4.7453703703703703E-3</v>
      </c>
      <c r="F5250">
        <v>6.833333333333333</v>
      </c>
    </row>
    <row r="5251" spans="1:6" x14ac:dyDescent="0.25">
      <c r="A5251" s="1">
        <v>40238</v>
      </c>
      <c r="B5251" t="s">
        <v>18</v>
      </c>
      <c r="C5251" t="s">
        <v>6</v>
      </c>
      <c r="D5251">
        <v>37</v>
      </c>
      <c r="E5251" s="2">
        <v>3.0266203703703705E-2</v>
      </c>
      <c r="F5251">
        <v>43.583333333333336</v>
      </c>
    </row>
    <row r="5252" spans="1:6" x14ac:dyDescent="0.25">
      <c r="A5252" s="1">
        <v>40238</v>
      </c>
      <c r="B5252" t="s">
        <v>18</v>
      </c>
      <c r="C5252" t="s">
        <v>7</v>
      </c>
      <c r="D5252">
        <v>49</v>
      </c>
      <c r="E5252" s="2">
        <v>3.2638888888888891E-2</v>
      </c>
      <c r="F5252">
        <v>47</v>
      </c>
    </row>
    <row r="5253" spans="1:6" x14ac:dyDescent="0.25">
      <c r="A5253" s="1">
        <v>40238</v>
      </c>
      <c r="B5253" t="s">
        <v>18</v>
      </c>
      <c r="C5253" t="s">
        <v>8</v>
      </c>
      <c r="D5253">
        <v>43</v>
      </c>
      <c r="E5253" s="2">
        <v>6.0127314814814814E-2</v>
      </c>
      <c r="F5253">
        <v>86.583333333333329</v>
      </c>
    </row>
    <row r="5254" spans="1:6" x14ac:dyDescent="0.25">
      <c r="A5254" s="1">
        <v>40238</v>
      </c>
      <c r="B5254" t="s">
        <v>18</v>
      </c>
      <c r="C5254" t="s">
        <v>9</v>
      </c>
      <c r="D5254">
        <v>43</v>
      </c>
      <c r="E5254" s="2">
        <v>2.7002314814814816E-2</v>
      </c>
      <c r="F5254">
        <v>38.883333333333333</v>
      </c>
    </row>
    <row r="5255" spans="1:6" x14ac:dyDescent="0.25">
      <c r="A5255" s="1">
        <v>40238</v>
      </c>
      <c r="B5255" t="s">
        <v>18</v>
      </c>
      <c r="C5255" t="s">
        <v>10</v>
      </c>
      <c r="D5255">
        <v>123</v>
      </c>
      <c r="E5255" s="2">
        <v>0.11831018518518518</v>
      </c>
      <c r="F5255">
        <v>170.36666666666667</v>
      </c>
    </row>
    <row r="5256" spans="1:6" x14ac:dyDescent="0.25">
      <c r="A5256" s="1">
        <v>40238</v>
      </c>
      <c r="B5256" t="s">
        <v>18</v>
      </c>
      <c r="C5256" t="s">
        <v>11</v>
      </c>
      <c r="D5256">
        <v>30</v>
      </c>
      <c r="E5256" s="2">
        <v>1.8749999999999999E-2</v>
      </c>
      <c r="F5256">
        <v>27</v>
      </c>
    </row>
    <row r="5257" spans="1:6" x14ac:dyDescent="0.25">
      <c r="A5257" s="1">
        <v>40238</v>
      </c>
      <c r="B5257" t="s">
        <v>19</v>
      </c>
      <c r="C5257" t="s">
        <v>6</v>
      </c>
      <c r="D5257">
        <v>39</v>
      </c>
      <c r="E5257" s="2">
        <v>3.6168981481481483E-2</v>
      </c>
      <c r="F5257">
        <v>52.083333333333336</v>
      </c>
    </row>
    <row r="5258" spans="1:6" x14ac:dyDescent="0.25">
      <c r="A5258" s="1">
        <v>40238</v>
      </c>
      <c r="B5258" t="s">
        <v>19</v>
      </c>
      <c r="C5258" t="s">
        <v>7</v>
      </c>
      <c r="D5258">
        <v>38</v>
      </c>
      <c r="E5258" s="2">
        <v>5.334490740740741E-2</v>
      </c>
      <c r="F5258">
        <v>76.816666666666663</v>
      </c>
    </row>
    <row r="5259" spans="1:6" x14ac:dyDescent="0.25">
      <c r="A5259" s="1">
        <v>40238</v>
      </c>
      <c r="B5259" t="s">
        <v>19</v>
      </c>
      <c r="C5259" t="s">
        <v>8</v>
      </c>
      <c r="D5259">
        <v>31</v>
      </c>
      <c r="E5259" s="2">
        <v>3.6863425925925924E-2</v>
      </c>
      <c r="F5259">
        <v>53.083333333333336</v>
      </c>
    </row>
    <row r="5260" spans="1:6" x14ac:dyDescent="0.25">
      <c r="A5260" s="1">
        <v>40238</v>
      </c>
      <c r="B5260" t="s">
        <v>19</v>
      </c>
      <c r="C5260" t="s">
        <v>9</v>
      </c>
      <c r="D5260">
        <v>28</v>
      </c>
      <c r="E5260" s="2">
        <v>1.9780092592592592E-2</v>
      </c>
      <c r="F5260">
        <v>28.483333333333334</v>
      </c>
    </row>
    <row r="5261" spans="1:6" x14ac:dyDescent="0.25">
      <c r="A5261" s="1">
        <v>40238</v>
      </c>
      <c r="B5261" t="s">
        <v>19</v>
      </c>
      <c r="C5261" t="s">
        <v>10</v>
      </c>
      <c r="D5261">
        <v>17</v>
      </c>
      <c r="E5261" s="2">
        <v>3.9988425925925927E-2</v>
      </c>
      <c r="F5261">
        <v>57.583333333333336</v>
      </c>
    </row>
    <row r="5262" spans="1:6" x14ac:dyDescent="0.25">
      <c r="A5262" s="1">
        <v>40238</v>
      </c>
      <c r="B5262" t="s">
        <v>19</v>
      </c>
      <c r="C5262" t="s">
        <v>11</v>
      </c>
      <c r="D5262">
        <v>34</v>
      </c>
      <c r="E5262" s="2">
        <v>1.8668981481481481E-2</v>
      </c>
      <c r="F5262">
        <v>26.883333333333333</v>
      </c>
    </row>
    <row r="5263" spans="1:6" x14ac:dyDescent="0.25">
      <c r="A5263" s="1">
        <v>40238</v>
      </c>
      <c r="B5263" t="s">
        <v>20</v>
      </c>
      <c r="C5263" t="s">
        <v>6</v>
      </c>
      <c r="D5263">
        <v>75</v>
      </c>
      <c r="E5263" s="2">
        <v>9.9375000000000005E-2</v>
      </c>
      <c r="F5263">
        <v>143.1</v>
      </c>
    </row>
    <row r="5264" spans="1:6" x14ac:dyDescent="0.25">
      <c r="A5264" s="1">
        <v>40238</v>
      </c>
      <c r="B5264" t="s">
        <v>20</v>
      </c>
      <c r="C5264" t="s">
        <v>7</v>
      </c>
      <c r="D5264">
        <v>98</v>
      </c>
      <c r="E5264" s="2">
        <v>0.10983796296296296</v>
      </c>
      <c r="F5264">
        <v>158.16666666666666</v>
      </c>
    </row>
    <row r="5265" spans="1:6" x14ac:dyDescent="0.25">
      <c r="A5265" s="1">
        <v>40238</v>
      </c>
      <c r="B5265" t="s">
        <v>20</v>
      </c>
      <c r="C5265" t="s">
        <v>8</v>
      </c>
      <c r="D5265">
        <v>75</v>
      </c>
      <c r="E5265" s="2">
        <v>9.5532407407407413E-2</v>
      </c>
      <c r="F5265">
        <v>137.56666666666666</v>
      </c>
    </row>
    <row r="5266" spans="1:6" x14ac:dyDescent="0.25">
      <c r="A5266" s="1">
        <v>40238</v>
      </c>
      <c r="B5266" t="s">
        <v>20</v>
      </c>
      <c r="C5266" t="s">
        <v>9</v>
      </c>
      <c r="D5266">
        <v>32</v>
      </c>
      <c r="E5266" s="2">
        <v>2.508101851851852E-2</v>
      </c>
      <c r="F5266">
        <v>36.116666666666667</v>
      </c>
    </row>
    <row r="5267" spans="1:6" x14ac:dyDescent="0.25">
      <c r="A5267" s="1">
        <v>40238</v>
      </c>
      <c r="B5267" t="s">
        <v>20</v>
      </c>
      <c r="C5267" t="s">
        <v>10</v>
      </c>
      <c r="D5267">
        <v>20</v>
      </c>
      <c r="E5267" s="2">
        <v>2.582175925925926E-2</v>
      </c>
      <c r="F5267">
        <v>37.18333333333333</v>
      </c>
    </row>
    <row r="5268" spans="1:6" x14ac:dyDescent="0.25">
      <c r="A5268" s="1">
        <v>40238</v>
      </c>
      <c r="B5268" t="s">
        <v>20</v>
      </c>
      <c r="C5268" t="s">
        <v>11</v>
      </c>
      <c r="D5268">
        <v>69</v>
      </c>
      <c r="E5268" s="2">
        <v>6.1481481481481484E-2</v>
      </c>
      <c r="F5268">
        <v>88.533333333333331</v>
      </c>
    </row>
    <row r="5269" spans="1:6" x14ac:dyDescent="0.25">
      <c r="A5269" s="1">
        <v>40238</v>
      </c>
      <c r="B5269" t="s">
        <v>21</v>
      </c>
      <c r="C5269" t="s">
        <v>6</v>
      </c>
      <c r="D5269">
        <v>22</v>
      </c>
      <c r="E5269" s="2">
        <v>2.9386574074074075E-2</v>
      </c>
      <c r="F5269">
        <v>42.31666666666667</v>
      </c>
    </row>
    <row r="5270" spans="1:6" x14ac:dyDescent="0.25">
      <c r="A5270" s="1">
        <v>40238</v>
      </c>
      <c r="B5270" t="s">
        <v>21</v>
      </c>
      <c r="C5270" t="s">
        <v>7</v>
      </c>
      <c r="D5270">
        <v>23</v>
      </c>
      <c r="E5270" s="2">
        <v>2.9259259259259259E-2</v>
      </c>
      <c r="F5270">
        <v>42.133333333333333</v>
      </c>
    </row>
    <row r="5271" spans="1:6" x14ac:dyDescent="0.25">
      <c r="A5271" s="1">
        <v>40238</v>
      </c>
      <c r="B5271" t="s">
        <v>21</v>
      </c>
      <c r="C5271" t="s">
        <v>8</v>
      </c>
      <c r="D5271">
        <v>13</v>
      </c>
      <c r="E5271" s="2">
        <v>2.1898148148148149E-2</v>
      </c>
      <c r="F5271">
        <v>31.533333333333335</v>
      </c>
    </row>
    <row r="5272" spans="1:6" x14ac:dyDescent="0.25">
      <c r="A5272" s="1">
        <v>40238</v>
      </c>
      <c r="B5272" t="s">
        <v>21</v>
      </c>
      <c r="C5272" t="s">
        <v>9</v>
      </c>
      <c r="D5272">
        <v>8</v>
      </c>
      <c r="E5272" s="2">
        <v>5.2893518518518515E-3</v>
      </c>
      <c r="F5272">
        <v>7.6166666666666671</v>
      </c>
    </row>
    <row r="5273" spans="1:6" x14ac:dyDescent="0.25">
      <c r="A5273" s="1">
        <v>40238</v>
      </c>
      <c r="B5273" t="s">
        <v>21</v>
      </c>
      <c r="C5273" t="s">
        <v>10</v>
      </c>
      <c r="D5273">
        <v>3</v>
      </c>
      <c r="E5273" s="2">
        <v>6.3657407407407404E-3</v>
      </c>
      <c r="F5273">
        <v>9.1666666666666661</v>
      </c>
    </row>
    <row r="5274" spans="1:6" x14ac:dyDescent="0.25">
      <c r="A5274" s="1">
        <v>40238</v>
      </c>
      <c r="B5274" t="s">
        <v>21</v>
      </c>
      <c r="C5274" t="s">
        <v>11</v>
      </c>
      <c r="D5274">
        <v>21</v>
      </c>
      <c r="E5274" s="2">
        <v>1.7858796296296296E-2</v>
      </c>
      <c r="F5274">
        <v>25.716666666666665</v>
      </c>
    </row>
    <row r="5275" spans="1:6" x14ac:dyDescent="0.25">
      <c r="A5275" s="1">
        <v>40238</v>
      </c>
      <c r="B5275" t="s">
        <v>22</v>
      </c>
      <c r="C5275" t="s">
        <v>6</v>
      </c>
      <c r="D5275">
        <v>10</v>
      </c>
      <c r="E5275" s="2">
        <v>1.105324074074074E-2</v>
      </c>
      <c r="F5275">
        <v>15.916666666666666</v>
      </c>
    </row>
    <row r="5276" spans="1:6" x14ac:dyDescent="0.25">
      <c r="A5276" s="1">
        <v>40238</v>
      </c>
      <c r="B5276" t="s">
        <v>22</v>
      </c>
      <c r="C5276" t="s">
        <v>7</v>
      </c>
      <c r="D5276">
        <v>6</v>
      </c>
      <c r="E5276" s="2">
        <v>6.898148148148148E-3</v>
      </c>
      <c r="F5276">
        <v>9.9333333333333336</v>
      </c>
    </row>
    <row r="5277" spans="1:6" x14ac:dyDescent="0.25">
      <c r="A5277" s="1">
        <v>40238</v>
      </c>
      <c r="B5277" t="s">
        <v>22</v>
      </c>
      <c r="C5277" t="s">
        <v>8</v>
      </c>
      <c r="D5277">
        <v>5</v>
      </c>
      <c r="E5277" s="2">
        <v>7.0023148148148145E-3</v>
      </c>
      <c r="F5277">
        <v>10.083333333333334</v>
      </c>
    </row>
    <row r="5278" spans="1:6" x14ac:dyDescent="0.25">
      <c r="A5278" s="1">
        <v>40238</v>
      </c>
      <c r="B5278" t="s">
        <v>22</v>
      </c>
      <c r="C5278" t="s">
        <v>9</v>
      </c>
      <c r="D5278">
        <v>6</v>
      </c>
      <c r="E5278" s="2">
        <v>3.7037037037037038E-3</v>
      </c>
      <c r="F5278">
        <v>5.333333333333333</v>
      </c>
    </row>
    <row r="5279" spans="1:6" x14ac:dyDescent="0.25">
      <c r="A5279" s="1">
        <v>40238</v>
      </c>
      <c r="B5279" t="s">
        <v>22</v>
      </c>
      <c r="C5279" t="s">
        <v>10</v>
      </c>
      <c r="D5279">
        <v>5</v>
      </c>
      <c r="E5279" s="2">
        <v>6.5856481481481478E-3</v>
      </c>
      <c r="F5279">
        <v>9.4833333333333325</v>
      </c>
    </row>
    <row r="5280" spans="1:6" x14ac:dyDescent="0.25">
      <c r="A5280" s="1">
        <v>40238</v>
      </c>
      <c r="B5280" t="s">
        <v>22</v>
      </c>
      <c r="C5280" t="s">
        <v>11</v>
      </c>
      <c r="D5280">
        <v>6</v>
      </c>
      <c r="E5280" s="2">
        <v>5.4282407407407404E-3</v>
      </c>
      <c r="F5280">
        <v>7.8166666666666664</v>
      </c>
    </row>
    <row r="5281" spans="1:6" x14ac:dyDescent="0.25">
      <c r="A5281" s="1">
        <v>40238</v>
      </c>
      <c r="B5281" t="s">
        <v>23</v>
      </c>
      <c r="C5281" t="s">
        <v>6</v>
      </c>
      <c r="D5281">
        <v>126</v>
      </c>
      <c r="E5281" s="2">
        <v>0.12758101851851852</v>
      </c>
      <c r="F5281">
        <v>183.71666666666667</v>
      </c>
    </row>
    <row r="5282" spans="1:6" x14ac:dyDescent="0.25">
      <c r="A5282" s="1">
        <v>40238</v>
      </c>
      <c r="B5282" t="s">
        <v>23</v>
      </c>
      <c r="C5282" t="s">
        <v>7</v>
      </c>
      <c r="D5282">
        <v>88</v>
      </c>
      <c r="E5282" s="2">
        <v>0.10361111111111111</v>
      </c>
      <c r="F5282">
        <v>149.19999999999999</v>
      </c>
    </row>
    <row r="5283" spans="1:6" x14ac:dyDescent="0.25">
      <c r="A5283" s="1">
        <v>40238</v>
      </c>
      <c r="B5283" t="s">
        <v>23</v>
      </c>
      <c r="C5283" t="s">
        <v>8</v>
      </c>
      <c r="D5283">
        <v>77</v>
      </c>
      <c r="E5283" s="2">
        <v>8.1921296296296298E-2</v>
      </c>
      <c r="F5283">
        <v>117.96666666666667</v>
      </c>
    </row>
    <row r="5284" spans="1:6" x14ac:dyDescent="0.25">
      <c r="A5284" s="1">
        <v>40238</v>
      </c>
      <c r="B5284" t="s">
        <v>23</v>
      </c>
      <c r="C5284" t="s">
        <v>9</v>
      </c>
      <c r="D5284">
        <v>65</v>
      </c>
      <c r="E5284" s="2">
        <v>4.5462962962962962E-2</v>
      </c>
      <c r="F5284">
        <v>65.466666666666669</v>
      </c>
    </row>
    <row r="5285" spans="1:6" x14ac:dyDescent="0.25">
      <c r="A5285" s="1">
        <v>40238</v>
      </c>
      <c r="B5285" t="s">
        <v>23</v>
      </c>
      <c r="C5285" t="s">
        <v>10</v>
      </c>
      <c r="D5285">
        <v>51</v>
      </c>
      <c r="E5285" s="2">
        <v>6.5497685185185187E-2</v>
      </c>
      <c r="F5285">
        <v>94.316666666666663</v>
      </c>
    </row>
    <row r="5286" spans="1:6" x14ac:dyDescent="0.25">
      <c r="A5286" s="1">
        <v>40238</v>
      </c>
      <c r="B5286" t="s">
        <v>23</v>
      </c>
      <c r="C5286" t="s">
        <v>11</v>
      </c>
      <c r="D5286">
        <v>86</v>
      </c>
      <c r="E5286" s="2">
        <v>5.5914351851851854E-2</v>
      </c>
      <c r="F5286">
        <v>80.516666666666666</v>
      </c>
    </row>
    <row r="5287" spans="1:6" x14ac:dyDescent="0.25">
      <c r="A5287" s="1">
        <v>40238</v>
      </c>
      <c r="B5287" t="s">
        <v>24</v>
      </c>
      <c r="C5287" t="s">
        <v>6</v>
      </c>
      <c r="D5287">
        <v>46</v>
      </c>
      <c r="E5287" s="2">
        <v>3.619212962962963E-2</v>
      </c>
      <c r="F5287">
        <v>52.116666666666667</v>
      </c>
    </row>
    <row r="5288" spans="1:6" x14ac:dyDescent="0.25">
      <c r="A5288" s="1">
        <v>40238</v>
      </c>
      <c r="B5288" t="s">
        <v>24</v>
      </c>
      <c r="C5288" t="s">
        <v>7</v>
      </c>
      <c r="D5288">
        <v>65</v>
      </c>
      <c r="E5288" s="2">
        <v>4.6053240740740742E-2</v>
      </c>
      <c r="F5288">
        <v>66.316666666666663</v>
      </c>
    </row>
    <row r="5289" spans="1:6" x14ac:dyDescent="0.25">
      <c r="A5289" s="1">
        <v>40238</v>
      </c>
      <c r="B5289" t="s">
        <v>24</v>
      </c>
      <c r="C5289" t="s">
        <v>8</v>
      </c>
      <c r="D5289">
        <v>24</v>
      </c>
      <c r="E5289" s="2">
        <v>2.5162037037037038E-2</v>
      </c>
      <c r="F5289">
        <v>36.233333333333334</v>
      </c>
    </row>
    <row r="5290" spans="1:6" x14ac:dyDescent="0.25">
      <c r="A5290" s="1">
        <v>40238</v>
      </c>
      <c r="B5290" t="s">
        <v>24</v>
      </c>
      <c r="C5290" t="s">
        <v>9</v>
      </c>
      <c r="D5290">
        <v>19</v>
      </c>
      <c r="E5290" s="2">
        <v>1.1516203703703704E-2</v>
      </c>
      <c r="F5290">
        <v>16.583333333333332</v>
      </c>
    </row>
    <row r="5291" spans="1:6" x14ac:dyDescent="0.25">
      <c r="A5291" s="1">
        <v>40238</v>
      </c>
      <c r="B5291" t="s">
        <v>24</v>
      </c>
      <c r="C5291" t="s">
        <v>10</v>
      </c>
      <c r="D5291">
        <v>0</v>
      </c>
      <c r="E5291" s="2">
        <v>0</v>
      </c>
      <c r="F5291">
        <v>0</v>
      </c>
    </row>
    <row r="5292" spans="1:6" x14ac:dyDescent="0.25">
      <c r="A5292" s="1">
        <v>40238</v>
      </c>
      <c r="B5292" t="s">
        <v>24</v>
      </c>
      <c r="C5292" t="s">
        <v>11</v>
      </c>
      <c r="D5292">
        <v>60</v>
      </c>
      <c r="E5292" s="2">
        <v>2.8217592592592593E-2</v>
      </c>
      <c r="F5292">
        <v>40.633333333333333</v>
      </c>
    </row>
    <row r="5293" spans="1:6" x14ac:dyDescent="0.25">
      <c r="A5293" s="1">
        <v>40269</v>
      </c>
      <c r="B5293" t="s">
        <v>5</v>
      </c>
      <c r="C5293" t="s">
        <v>6</v>
      </c>
      <c r="D5293">
        <v>87</v>
      </c>
      <c r="E5293" s="2">
        <v>8.5682870370370368E-2</v>
      </c>
      <c r="F5293">
        <v>123.38333333333334</v>
      </c>
    </row>
    <row r="5294" spans="1:6" x14ac:dyDescent="0.25">
      <c r="A5294" s="1">
        <v>40269</v>
      </c>
      <c r="B5294" t="s">
        <v>5</v>
      </c>
      <c r="C5294" t="s">
        <v>7</v>
      </c>
      <c r="D5294">
        <v>68</v>
      </c>
      <c r="E5294" s="2">
        <v>6.3078703703703706E-2</v>
      </c>
      <c r="F5294">
        <v>90.833333333333329</v>
      </c>
    </row>
    <row r="5295" spans="1:6" x14ac:dyDescent="0.25">
      <c r="A5295" s="1">
        <v>40269</v>
      </c>
      <c r="B5295" t="s">
        <v>5</v>
      </c>
      <c r="C5295" t="s">
        <v>8</v>
      </c>
      <c r="D5295">
        <v>46</v>
      </c>
      <c r="E5295" s="2">
        <v>5.1631944444444446E-2</v>
      </c>
      <c r="F5295">
        <v>74.349999999999994</v>
      </c>
    </row>
    <row r="5296" spans="1:6" x14ac:dyDescent="0.25">
      <c r="A5296" s="1">
        <v>40269</v>
      </c>
      <c r="B5296" t="s">
        <v>5</v>
      </c>
      <c r="C5296" t="s">
        <v>9</v>
      </c>
      <c r="D5296">
        <v>21</v>
      </c>
      <c r="E5296" s="2">
        <v>1.3217592592592593E-2</v>
      </c>
      <c r="F5296">
        <v>19.033333333333335</v>
      </c>
    </row>
    <row r="5297" spans="1:6" x14ac:dyDescent="0.25">
      <c r="A5297" s="1">
        <v>40269</v>
      </c>
      <c r="B5297" t="s">
        <v>5</v>
      </c>
      <c r="C5297" t="s">
        <v>10</v>
      </c>
      <c r="D5297">
        <v>20</v>
      </c>
      <c r="E5297" s="2">
        <v>2.0324074074074074E-2</v>
      </c>
      <c r="F5297">
        <v>29.266666666666666</v>
      </c>
    </row>
    <row r="5298" spans="1:6" x14ac:dyDescent="0.25">
      <c r="A5298" s="1">
        <v>40269</v>
      </c>
      <c r="B5298" t="s">
        <v>5</v>
      </c>
      <c r="C5298" t="s">
        <v>11</v>
      </c>
      <c r="D5298">
        <v>50</v>
      </c>
      <c r="E5298" s="2">
        <v>3.1967592592592596E-2</v>
      </c>
      <c r="F5298">
        <v>46.033333333333331</v>
      </c>
    </row>
    <row r="5299" spans="1:6" x14ac:dyDescent="0.25">
      <c r="A5299" s="1">
        <v>40269</v>
      </c>
      <c r="B5299" t="s">
        <v>12</v>
      </c>
      <c r="C5299" t="s">
        <v>6</v>
      </c>
      <c r="D5299">
        <v>51</v>
      </c>
      <c r="E5299" s="2">
        <v>6.2291666666666669E-2</v>
      </c>
      <c r="F5299">
        <v>89.7</v>
      </c>
    </row>
    <row r="5300" spans="1:6" x14ac:dyDescent="0.25">
      <c r="A5300" s="1">
        <v>40269</v>
      </c>
      <c r="B5300" t="s">
        <v>12</v>
      </c>
      <c r="C5300" t="s">
        <v>7</v>
      </c>
      <c r="D5300">
        <v>39</v>
      </c>
      <c r="E5300" s="2">
        <v>5.2152777777777777E-2</v>
      </c>
      <c r="F5300">
        <v>75.099999999999994</v>
      </c>
    </row>
    <row r="5301" spans="1:6" x14ac:dyDescent="0.25">
      <c r="A5301" s="1">
        <v>40269</v>
      </c>
      <c r="B5301" t="s">
        <v>12</v>
      </c>
      <c r="C5301" t="s">
        <v>8</v>
      </c>
      <c r="D5301">
        <v>22</v>
      </c>
      <c r="E5301" s="2">
        <v>3.4074074074074076E-2</v>
      </c>
      <c r="F5301">
        <v>49.06666666666667</v>
      </c>
    </row>
    <row r="5302" spans="1:6" x14ac:dyDescent="0.25">
      <c r="A5302" s="1">
        <v>40269</v>
      </c>
      <c r="B5302" t="s">
        <v>12</v>
      </c>
      <c r="C5302" t="s">
        <v>9</v>
      </c>
      <c r="D5302">
        <v>6</v>
      </c>
      <c r="E5302" s="2">
        <v>3.7384259259259259E-3</v>
      </c>
      <c r="F5302">
        <v>5.3833333333333337</v>
      </c>
    </row>
    <row r="5303" spans="1:6" x14ac:dyDescent="0.25">
      <c r="A5303" s="1">
        <v>40269</v>
      </c>
      <c r="B5303" t="s">
        <v>12</v>
      </c>
      <c r="C5303" t="s">
        <v>10</v>
      </c>
      <c r="D5303">
        <v>74</v>
      </c>
      <c r="E5303" s="2">
        <v>0.12918981481481481</v>
      </c>
      <c r="F5303">
        <v>186.03333333333333</v>
      </c>
    </row>
    <row r="5304" spans="1:6" x14ac:dyDescent="0.25">
      <c r="A5304" s="1">
        <v>40269</v>
      </c>
      <c r="B5304" t="s">
        <v>12</v>
      </c>
      <c r="C5304" t="s">
        <v>11</v>
      </c>
      <c r="D5304">
        <v>27</v>
      </c>
      <c r="E5304" s="2">
        <v>2.4224537037037037E-2</v>
      </c>
      <c r="F5304">
        <v>34.883333333333333</v>
      </c>
    </row>
    <row r="5305" spans="1:6" x14ac:dyDescent="0.25">
      <c r="A5305" s="1">
        <v>40269</v>
      </c>
      <c r="B5305" t="s">
        <v>13</v>
      </c>
      <c r="C5305" t="s">
        <v>6</v>
      </c>
      <c r="D5305">
        <v>41</v>
      </c>
      <c r="E5305" s="2">
        <v>4.6331018518518521E-2</v>
      </c>
      <c r="F5305">
        <v>66.716666666666669</v>
      </c>
    </row>
    <row r="5306" spans="1:6" x14ac:dyDescent="0.25">
      <c r="A5306" s="1">
        <v>40269</v>
      </c>
      <c r="B5306" t="s">
        <v>13</v>
      </c>
      <c r="C5306" t="s">
        <v>7</v>
      </c>
      <c r="D5306">
        <v>42</v>
      </c>
      <c r="E5306" s="2">
        <v>4.1666666666666664E-2</v>
      </c>
      <c r="F5306">
        <v>60</v>
      </c>
    </row>
    <row r="5307" spans="1:6" x14ac:dyDescent="0.25">
      <c r="A5307" s="1">
        <v>40269</v>
      </c>
      <c r="B5307" t="s">
        <v>13</v>
      </c>
      <c r="C5307" t="s">
        <v>8</v>
      </c>
      <c r="D5307">
        <v>26</v>
      </c>
      <c r="E5307" s="2">
        <v>2.8402777777777777E-2</v>
      </c>
      <c r="F5307">
        <v>40.9</v>
      </c>
    </row>
    <row r="5308" spans="1:6" x14ac:dyDescent="0.25">
      <c r="A5308" s="1">
        <v>40269</v>
      </c>
      <c r="B5308" t="s">
        <v>13</v>
      </c>
      <c r="C5308" t="s">
        <v>9</v>
      </c>
      <c r="D5308">
        <v>18</v>
      </c>
      <c r="E5308" s="2">
        <v>1.2476851851851852E-2</v>
      </c>
      <c r="F5308">
        <v>17.966666666666665</v>
      </c>
    </row>
    <row r="5309" spans="1:6" x14ac:dyDescent="0.25">
      <c r="A5309" s="1">
        <v>40269</v>
      </c>
      <c r="B5309" t="s">
        <v>13</v>
      </c>
      <c r="C5309" t="s">
        <v>10</v>
      </c>
      <c r="D5309">
        <v>21</v>
      </c>
      <c r="E5309" s="2">
        <v>2.6886574074074073E-2</v>
      </c>
      <c r="F5309">
        <v>38.716666666666669</v>
      </c>
    </row>
    <row r="5310" spans="1:6" x14ac:dyDescent="0.25">
      <c r="A5310" s="1">
        <v>40269</v>
      </c>
      <c r="B5310" t="s">
        <v>13</v>
      </c>
      <c r="C5310" t="s">
        <v>11</v>
      </c>
      <c r="D5310">
        <v>34</v>
      </c>
      <c r="E5310" s="2">
        <v>2.4224537037037037E-2</v>
      </c>
      <c r="F5310">
        <v>34.883333333333333</v>
      </c>
    </row>
    <row r="5311" spans="1:6" x14ac:dyDescent="0.25">
      <c r="A5311" s="1">
        <v>40269</v>
      </c>
      <c r="B5311" t="s">
        <v>14</v>
      </c>
      <c r="C5311" t="s">
        <v>6</v>
      </c>
      <c r="D5311">
        <v>16</v>
      </c>
      <c r="E5311" s="2">
        <v>2.1203703703703704E-2</v>
      </c>
      <c r="F5311">
        <v>30.533333333333335</v>
      </c>
    </row>
    <row r="5312" spans="1:6" x14ac:dyDescent="0.25">
      <c r="A5312" s="1">
        <v>40269</v>
      </c>
      <c r="B5312" t="s">
        <v>14</v>
      </c>
      <c r="C5312" t="s">
        <v>7</v>
      </c>
      <c r="D5312">
        <v>10</v>
      </c>
      <c r="E5312" s="2">
        <v>1.556712962962963E-2</v>
      </c>
      <c r="F5312">
        <v>22.416666666666668</v>
      </c>
    </row>
    <row r="5313" spans="1:6" x14ac:dyDescent="0.25">
      <c r="A5313" s="1">
        <v>40269</v>
      </c>
      <c r="B5313" t="s">
        <v>14</v>
      </c>
      <c r="C5313" t="s">
        <v>8</v>
      </c>
      <c r="D5313">
        <v>6</v>
      </c>
      <c r="E5313" s="2">
        <v>1.068287037037037E-2</v>
      </c>
      <c r="F5313">
        <v>15.383333333333333</v>
      </c>
    </row>
    <row r="5314" spans="1:6" x14ac:dyDescent="0.25">
      <c r="A5314" s="1">
        <v>40269</v>
      </c>
      <c r="B5314" t="s">
        <v>14</v>
      </c>
      <c r="C5314" t="s">
        <v>9</v>
      </c>
      <c r="D5314">
        <v>3</v>
      </c>
      <c r="E5314" s="2">
        <v>1.3194444444444445E-3</v>
      </c>
      <c r="F5314">
        <v>1.9</v>
      </c>
    </row>
    <row r="5315" spans="1:6" x14ac:dyDescent="0.25">
      <c r="A5315" s="1">
        <v>40269</v>
      </c>
      <c r="B5315" t="s">
        <v>14</v>
      </c>
      <c r="C5315" t="s">
        <v>10</v>
      </c>
      <c r="D5315">
        <v>4</v>
      </c>
      <c r="E5315" s="2">
        <v>7.4537037037037037E-3</v>
      </c>
      <c r="F5315">
        <v>10.733333333333333</v>
      </c>
    </row>
    <row r="5316" spans="1:6" x14ac:dyDescent="0.25">
      <c r="A5316" s="1">
        <v>40269</v>
      </c>
      <c r="B5316" t="s">
        <v>14</v>
      </c>
      <c r="C5316" t="s">
        <v>11</v>
      </c>
      <c r="D5316">
        <v>12</v>
      </c>
      <c r="E5316" s="2">
        <v>1.2222222222222223E-2</v>
      </c>
      <c r="F5316">
        <v>17.600000000000001</v>
      </c>
    </row>
    <row r="5317" spans="1:6" x14ac:dyDescent="0.25">
      <c r="A5317" s="1">
        <v>40269</v>
      </c>
      <c r="B5317" t="s">
        <v>15</v>
      </c>
      <c r="C5317" t="s">
        <v>6</v>
      </c>
      <c r="D5317">
        <v>29</v>
      </c>
      <c r="E5317" s="2">
        <v>2.9236111111111112E-2</v>
      </c>
      <c r="F5317">
        <v>42.1</v>
      </c>
    </row>
    <row r="5318" spans="1:6" x14ac:dyDescent="0.25">
      <c r="A5318" s="1">
        <v>40269</v>
      </c>
      <c r="B5318" t="s">
        <v>15</v>
      </c>
      <c r="C5318" t="s">
        <v>7</v>
      </c>
      <c r="D5318">
        <v>28</v>
      </c>
      <c r="E5318" s="2">
        <v>2.4918981481481483E-2</v>
      </c>
      <c r="F5318">
        <v>35.883333333333333</v>
      </c>
    </row>
    <row r="5319" spans="1:6" x14ac:dyDescent="0.25">
      <c r="A5319" s="1">
        <v>40269</v>
      </c>
      <c r="B5319" t="s">
        <v>15</v>
      </c>
      <c r="C5319" t="s">
        <v>8</v>
      </c>
      <c r="D5319">
        <v>21</v>
      </c>
      <c r="E5319" s="2">
        <v>2.1817129629629631E-2</v>
      </c>
      <c r="F5319">
        <v>31.416666666666668</v>
      </c>
    </row>
    <row r="5320" spans="1:6" x14ac:dyDescent="0.25">
      <c r="A5320" s="1">
        <v>40269</v>
      </c>
      <c r="B5320" t="s">
        <v>15</v>
      </c>
      <c r="C5320" t="s">
        <v>9</v>
      </c>
      <c r="D5320">
        <v>11</v>
      </c>
      <c r="E5320" s="2">
        <v>5.2546296296296299E-3</v>
      </c>
      <c r="F5320">
        <v>7.5666666666666664</v>
      </c>
    </row>
    <row r="5321" spans="1:6" x14ac:dyDescent="0.25">
      <c r="A5321" s="1">
        <v>40269</v>
      </c>
      <c r="B5321" t="s">
        <v>15</v>
      </c>
      <c r="C5321" t="s">
        <v>10</v>
      </c>
      <c r="D5321">
        <v>5</v>
      </c>
      <c r="E5321" s="2">
        <v>4.6990740740740743E-3</v>
      </c>
      <c r="F5321">
        <v>6.7666666666666666</v>
      </c>
    </row>
    <row r="5322" spans="1:6" x14ac:dyDescent="0.25">
      <c r="A5322" s="1">
        <v>40269</v>
      </c>
      <c r="B5322" t="s">
        <v>15</v>
      </c>
      <c r="C5322" t="s">
        <v>11</v>
      </c>
      <c r="D5322">
        <v>13</v>
      </c>
      <c r="E5322" s="2">
        <v>1.0277777777777778E-2</v>
      </c>
      <c r="F5322">
        <v>14.8</v>
      </c>
    </row>
    <row r="5323" spans="1:6" x14ac:dyDescent="0.25">
      <c r="A5323" s="1">
        <v>40269</v>
      </c>
      <c r="B5323" t="s">
        <v>16</v>
      </c>
      <c r="C5323" t="s">
        <v>6</v>
      </c>
      <c r="D5323">
        <v>26</v>
      </c>
      <c r="E5323" s="2">
        <v>2.3275462962962963E-2</v>
      </c>
      <c r="F5323">
        <v>33.516666666666666</v>
      </c>
    </row>
    <row r="5324" spans="1:6" x14ac:dyDescent="0.25">
      <c r="A5324" s="1">
        <v>40269</v>
      </c>
      <c r="B5324" t="s">
        <v>16</v>
      </c>
      <c r="C5324" t="s">
        <v>7</v>
      </c>
      <c r="D5324">
        <v>18</v>
      </c>
      <c r="E5324" s="2">
        <v>2.0023148148148148E-2</v>
      </c>
      <c r="F5324">
        <v>28.833333333333332</v>
      </c>
    </row>
    <row r="5325" spans="1:6" x14ac:dyDescent="0.25">
      <c r="A5325" s="1">
        <v>40269</v>
      </c>
      <c r="B5325" t="s">
        <v>16</v>
      </c>
      <c r="C5325" t="s">
        <v>8</v>
      </c>
      <c r="D5325">
        <v>22</v>
      </c>
      <c r="E5325" s="2">
        <v>2.2025462962962962E-2</v>
      </c>
      <c r="F5325">
        <v>31.716666666666665</v>
      </c>
    </row>
    <row r="5326" spans="1:6" x14ac:dyDescent="0.25">
      <c r="A5326" s="1">
        <v>40269</v>
      </c>
      <c r="B5326" t="s">
        <v>16</v>
      </c>
      <c r="C5326" t="s">
        <v>9</v>
      </c>
      <c r="D5326">
        <v>16</v>
      </c>
      <c r="E5326" s="2">
        <v>1.3483796296296296E-2</v>
      </c>
      <c r="F5326">
        <v>19.416666666666668</v>
      </c>
    </row>
    <row r="5327" spans="1:6" x14ac:dyDescent="0.25">
      <c r="A5327" s="1">
        <v>40269</v>
      </c>
      <c r="B5327" t="s">
        <v>16</v>
      </c>
      <c r="C5327" t="s">
        <v>10</v>
      </c>
      <c r="D5327">
        <v>0</v>
      </c>
      <c r="E5327" s="2">
        <v>0</v>
      </c>
      <c r="F5327">
        <v>0</v>
      </c>
    </row>
    <row r="5328" spans="1:6" x14ac:dyDescent="0.25">
      <c r="A5328" s="1">
        <v>40269</v>
      </c>
      <c r="B5328" t="s">
        <v>16</v>
      </c>
      <c r="C5328" t="s">
        <v>11</v>
      </c>
      <c r="D5328">
        <v>35</v>
      </c>
      <c r="E5328" s="2">
        <v>2.3993055555555556E-2</v>
      </c>
      <c r="F5328">
        <v>34.549999999999997</v>
      </c>
    </row>
    <row r="5329" spans="1:6" x14ac:dyDescent="0.25">
      <c r="A5329" s="1">
        <v>40269</v>
      </c>
      <c r="B5329" t="s">
        <v>17</v>
      </c>
      <c r="C5329" t="s">
        <v>6</v>
      </c>
      <c r="D5329">
        <v>12</v>
      </c>
      <c r="E5329" s="2">
        <v>7.8009259259259256E-3</v>
      </c>
      <c r="F5329">
        <v>11.233333333333333</v>
      </c>
    </row>
    <row r="5330" spans="1:6" x14ac:dyDescent="0.25">
      <c r="A5330" s="1">
        <v>40269</v>
      </c>
      <c r="B5330" t="s">
        <v>17</v>
      </c>
      <c r="C5330" t="s">
        <v>7</v>
      </c>
      <c r="D5330">
        <v>18</v>
      </c>
      <c r="E5330" s="2">
        <v>1.2511574074074074E-2</v>
      </c>
      <c r="F5330">
        <v>18.016666666666666</v>
      </c>
    </row>
    <row r="5331" spans="1:6" x14ac:dyDescent="0.25">
      <c r="A5331" s="1">
        <v>40269</v>
      </c>
      <c r="B5331" t="s">
        <v>17</v>
      </c>
      <c r="C5331" t="s">
        <v>8</v>
      </c>
      <c r="D5331">
        <v>13</v>
      </c>
      <c r="E5331" s="2">
        <v>1.3252314814814814E-2</v>
      </c>
      <c r="F5331">
        <v>19.083333333333332</v>
      </c>
    </row>
    <row r="5332" spans="1:6" x14ac:dyDescent="0.25">
      <c r="A5332" s="1">
        <v>40269</v>
      </c>
      <c r="B5332" t="s">
        <v>17</v>
      </c>
      <c r="C5332" t="s">
        <v>9</v>
      </c>
      <c r="D5332">
        <v>8</v>
      </c>
      <c r="E5332" s="2">
        <v>5.9953703703703705E-3</v>
      </c>
      <c r="F5332">
        <v>8.6333333333333329</v>
      </c>
    </row>
    <row r="5333" spans="1:6" x14ac:dyDescent="0.25">
      <c r="A5333" s="1">
        <v>40269</v>
      </c>
      <c r="B5333" t="s">
        <v>17</v>
      </c>
      <c r="C5333" t="s">
        <v>10</v>
      </c>
      <c r="D5333">
        <v>13</v>
      </c>
      <c r="E5333" s="2">
        <v>1.494212962962963E-2</v>
      </c>
      <c r="F5333">
        <v>21.516666666666666</v>
      </c>
    </row>
    <row r="5334" spans="1:6" x14ac:dyDescent="0.25">
      <c r="A5334" s="1">
        <v>40269</v>
      </c>
      <c r="B5334" t="s">
        <v>17</v>
      </c>
      <c r="C5334" t="s">
        <v>11</v>
      </c>
      <c r="D5334">
        <v>13</v>
      </c>
      <c r="E5334" s="2">
        <v>8.0092592592592594E-3</v>
      </c>
      <c r="F5334">
        <v>11.533333333333333</v>
      </c>
    </row>
    <row r="5335" spans="1:6" x14ac:dyDescent="0.25">
      <c r="A5335" s="1">
        <v>40269</v>
      </c>
      <c r="B5335" t="s">
        <v>18</v>
      </c>
      <c r="C5335" t="s">
        <v>6</v>
      </c>
      <c r="D5335">
        <v>33</v>
      </c>
      <c r="E5335" s="2">
        <v>2.4594907407407409E-2</v>
      </c>
      <c r="F5335">
        <v>35.416666666666664</v>
      </c>
    </row>
    <row r="5336" spans="1:6" x14ac:dyDescent="0.25">
      <c r="A5336" s="1">
        <v>40269</v>
      </c>
      <c r="B5336" t="s">
        <v>18</v>
      </c>
      <c r="C5336" t="s">
        <v>7</v>
      </c>
      <c r="D5336">
        <v>50</v>
      </c>
      <c r="E5336" s="2">
        <v>3.8773148148148147E-2</v>
      </c>
      <c r="F5336">
        <v>55.833333333333336</v>
      </c>
    </row>
    <row r="5337" spans="1:6" x14ac:dyDescent="0.25">
      <c r="A5337" s="1">
        <v>40269</v>
      </c>
      <c r="B5337" t="s">
        <v>18</v>
      </c>
      <c r="C5337" t="s">
        <v>8</v>
      </c>
      <c r="D5337">
        <v>38</v>
      </c>
      <c r="E5337" s="2">
        <v>4.0706018518518516E-2</v>
      </c>
      <c r="F5337">
        <v>58.616666666666667</v>
      </c>
    </row>
    <row r="5338" spans="1:6" x14ac:dyDescent="0.25">
      <c r="A5338" s="1">
        <v>40269</v>
      </c>
      <c r="B5338" t="s">
        <v>18</v>
      </c>
      <c r="C5338" t="s">
        <v>9</v>
      </c>
      <c r="D5338">
        <v>40</v>
      </c>
      <c r="E5338" s="2">
        <v>2.1863425925925925E-2</v>
      </c>
      <c r="F5338">
        <v>31.483333333333334</v>
      </c>
    </row>
    <row r="5339" spans="1:6" x14ac:dyDescent="0.25">
      <c r="A5339" s="1">
        <v>40269</v>
      </c>
      <c r="B5339" t="s">
        <v>18</v>
      </c>
      <c r="C5339" t="s">
        <v>10</v>
      </c>
      <c r="D5339">
        <v>112</v>
      </c>
      <c r="E5339" s="2">
        <v>0.11552083333333334</v>
      </c>
      <c r="F5339">
        <v>166.35</v>
      </c>
    </row>
    <row r="5340" spans="1:6" x14ac:dyDescent="0.25">
      <c r="A5340" s="1">
        <v>40269</v>
      </c>
      <c r="B5340" t="s">
        <v>18</v>
      </c>
      <c r="C5340" t="s">
        <v>11</v>
      </c>
      <c r="D5340">
        <v>20</v>
      </c>
      <c r="E5340" s="2">
        <v>7.8472222222222224E-3</v>
      </c>
      <c r="F5340">
        <v>11.3</v>
      </c>
    </row>
    <row r="5341" spans="1:6" x14ac:dyDescent="0.25">
      <c r="A5341" s="1">
        <v>40269</v>
      </c>
      <c r="B5341" t="s">
        <v>19</v>
      </c>
      <c r="C5341" t="s">
        <v>6</v>
      </c>
      <c r="D5341">
        <v>31</v>
      </c>
      <c r="E5341" s="2">
        <v>3.1666666666666669E-2</v>
      </c>
      <c r="F5341">
        <v>45.6</v>
      </c>
    </row>
    <row r="5342" spans="1:6" x14ac:dyDescent="0.25">
      <c r="A5342" s="1">
        <v>40269</v>
      </c>
      <c r="B5342" t="s">
        <v>19</v>
      </c>
      <c r="C5342" t="s">
        <v>7</v>
      </c>
      <c r="D5342">
        <v>21</v>
      </c>
      <c r="E5342" s="2">
        <v>2.0277777777777777E-2</v>
      </c>
      <c r="F5342">
        <v>29.2</v>
      </c>
    </row>
    <row r="5343" spans="1:6" x14ac:dyDescent="0.25">
      <c r="A5343" s="1">
        <v>40269</v>
      </c>
      <c r="B5343" t="s">
        <v>19</v>
      </c>
      <c r="C5343" t="s">
        <v>8</v>
      </c>
      <c r="D5343">
        <v>23</v>
      </c>
      <c r="E5343" s="2">
        <v>2.4583333333333332E-2</v>
      </c>
      <c r="F5343">
        <v>35.4</v>
      </c>
    </row>
    <row r="5344" spans="1:6" x14ac:dyDescent="0.25">
      <c r="A5344" s="1">
        <v>40269</v>
      </c>
      <c r="B5344" t="s">
        <v>19</v>
      </c>
      <c r="C5344" t="s">
        <v>9</v>
      </c>
      <c r="D5344">
        <v>26</v>
      </c>
      <c r="E5344" s="2">
        <v>1.9398148148148147E-2</v>
      </c>
      <c r="F5344">
        <v>27.933333333333334</v>
      </c>
    </row>
    <row r="5345" spans="1:6" x14ac:dyDescent="0.25">
      <c r="A5345" s="1">
        <v>40269</v>
      </c>
      <c r="B5345" t="s">
        <v>19</v>
      </c>
      <c r="C5345" t="s">
        <v>10</v>
      </c>
      <c r="D5345">
        <v>11</v>
      </c>
      <c r="E5345" s="2">
        <v>1.0729166666666666E-2</v>
      </c>
      <c r="F5345">
        <v>15.45</v>
      </c>
    </row>
    <row r="5346" spans="1:6" x14ac:dyDescent="0.25">
      <c r="A5346" s="1">
        <v>40269</v>
      </c>
      <c r="B5346" t="s">
        <v>19</v>
      </c>
      <c r="C5346" t="s">
        <v>11</v>
      </c>
      <c r="D5346">
        <v>30</v>
      </c>
      <c r="E5346" s="2">
        <v>1.9131944444444444E-2</v>
      </c>
      <c r="F5346">
        <v>27.55</v>
      </c>
    </row>
    <row r="5347" spans="1:6" x14ac:dyDescent="0.25">
      <c r="A5347" s="1">
        <v>40269</v>
      </c>
      <c r="B5347" t="s">
        <v>20</v>
      </c>
      <c r="C5347" t="s">
        <v>6</v>
      </c>
      <c r="D5347">
        <v>15</v>
      </c>
      <c r="E5347" s="2">
        <v>1.5949074074074074E-2</v>
      </c>
      <c r="F5347">
        <v>22.966666666666665</v>
      </c>
    </row>
    <row r="5348" spans="1:6" x14ac:dyDescent="0.25">
      <c r="A5348" s="1">
        <v>40269</v>
      </c>
      <c r="B5348" t="s">
        <v>20</v>
      </c>
      <c r="C5348" t="s">
        <v>7</v>
      </c>
      <c r="D5348">
        <v>12</v>
      </c>
      <c r="E5348" s="2">
        <v>1.34375E-2</v>
      </c>
      <c r="F5348">
        <v>19.350000000000001</v>
      </c>
    </row>
    <row r="5349" spans="1:6" x14ac:dyDescent="0.25">
      <c r="A5349" s="1">
        <v>40269</v>
      </c>
      <c r="B5349" t="s">
        <v>20</v>
      </c>
      <c r="C5349" t="s">
        <v>8</v>
      </c>
      <c r="D5349">
        <v>4</v>
      </c>
      <c r="E5349" s="2">
        <v>4.1550925925925922E-3</v>
      </c>
      <c r="F5349">
        <v>5.9833333333333334</v>
      </c>
    </row>
    <row r="5350" spans="1:6" x14ac:dyDescent="0.25">
      <c r="A5350" s="1">
        <v>40269</v>
      </c>
      <c r="B5350" t="s">
        <v>20</v>
      </c>
      <c r="C5350" t="s">
        <v>9</v>
      </c>
      <c r="D5350">
        <v>5</v>
      </c>
      <c r="E5350" s="2">
        <v>2.7662037037037039E-3</v>
      </c>
      <c r="F5350">
        <v>3.9833333333333334</v>
      </c>
    </row>
    <row r="5351" spans="1:6" x14ac:dyDescent="0.25">
      <c r="A5351" s="1">
        <v>40269</v>
      </c>
      <c r="B5351" t="s">
        <v>20</v>
      </c>
      <c r="C5351" t="s">
        <v>10</v>
      </c>
      <c r="D5351">
        <v>2</v>
      </c>
      <c r="E5351" s="2">
        <v>1.3310185185185185E-3</v>
      </c>
      <c r="F5351">
        <v>1.9166666666666665</v>
      </c>
    </row>
    <row r="5352" spans="1:6" x14ac:dyDescent="0.25">
      <c r="A5352" s="1">
        <v>40269</v>
      </c>
      <c r="B5352" t="s">
        <v>20</v>
      </c>
      <c r="C5352" t="s">
        <v>11</v>
      </c>
      <c r="D5352">
        <v>7</v>
      </c>
      <c r="E5352" s="2">
        <v>5.6944444444444447E-3</v>
      </c>
      <c r="F5352">
        <v>8.1999999999999993</v>
      </c>
    </row>
    <row r="5353" spans="1:6" x14ac:dyDescent="0.25">
      <c r="A5353" s="1">
        <v>40269</v>
      </c>
      <c r="B5353" t="s">
        <v>21</v>
      </c>
      <c r="C5353" t="s">
        <v>6</v>
      </c>
      <c r="D5353">
        <v>15</v>
      </c>
      <c r="E5353" s="2">
        <v>1.6377314814814813E-2</v>
      </c>
      <c r="F5353">
        <v>23.583333333333332</v>
      </c>
    </row>
    <row r="5354" spans="1:6" x14ac:dyDescent="0.25">
      <c r="A5354" s="1">
        <v>40269</v>
      </c>
      <c r="B5354" t="s">
        <v>21</v>
      </c>
      <c r="C5354" t="s">
        <v>7</v>
      </c>
      <c r="D5354">
        <v>18</v>
      </c>
      <c r="E5354" s="2">
        <v>3.4108796296296297E-2</v>
      </c>
      <c r="F5354">
        <v>49.116666666666667</v>
      </c>
    </row>
    <row r="5355" spans="1:6" x14ac:dyDescent="0.25">
      <c r="A5355" s="1">
        <v>40269</v>
      </c>
      <c r="B5355" t="s">
        <v>21</v>
      </c>
      <c r="C5355" t="s">
        <v>8</v>
      </c>
      <c r="D5355">
        <v>18</v>
      </c>
      <c r="E5355" s="2">
        <v>2.2997685185185184E-2</v>
      </c>
      <c r="F5355">
        <v>33.116666666666667</v>
      </c>
    </row>
    <row r="5356" spans="1:6" x14ac:dyDescent="0.25">
      <c r="A5356" s="1">
        <v>40269</v>
      </c>
      <c r="B5356" t="s">
        <v>21</v>
      </c>
      <c r="C5356" t="s">
        <v>9</v>
      </c>
      <c r="D5356">
        <v>4</v>
      </c>
      <c r="E5356" s="2">
        <v>2.4189814814814816E-3</v>
      </c>
      <c r="F5356">
        <v>3.4833333333333334</v>
      </c>
    </row>
    <row r="5357" spans="1:6" x14ac:dyDescent="0.25">
      <c r="A5357" s="1">
        <v>40269</v>
      </c>
      <c r="B5357" t="s">
        <v>21</v>
      </c>
      <c r="C5357" t="s">
        <v>10</v>
      </c>
      <c r="D5357">
        <v>0</v>
      </c>
      <c r="E5357" s="2">
        <v>0</v>
      </c>
      <c r="F5357">
        <v>0</v>
      </c>
    </row>
    <row r="5358" spans="1:6" x14ac:dyDescent="0.25">
      <c r="A5358" s="1">
        <v>40269</v>
      </c>
      <c r="B5358" t="s">
        <v>21</v>
      </c>
      <c r="C5358" t="s">
        <v>11</v>
      </c>
      <c r="D5358">
        <v>12</v>
      </c>
      <c r="E5358" s="2">
        <v>9.3055555555555548E-3</v>
      </c>
      <c r="F5358">
        <v>13.4</v>
      </c>
    </row>
    <row r="5359" spans="1:6" x14ac:dyDescent="0.25">
      <c r="A5359" s="1">
        <v>40269</v>
      </c>
      <c r="B5359" t="s">
        <v>22</v>
      </c>
      <c r="C5359" t="s">
        <v>6</v>
      </c>
      <c r="D5359">
        <v>9</v>
      </c>
      <c r="E5359" s="2">
        <v>9.2476851851851852E-3</v>
      </c>
      <c r="F5359">
        <v>13.316666666666666</v>
      </c>
    </row>
    <row r="5360" spans="1:6" x14ac:dyDescent="0.25">
      <c r="A5360" s="1">
        <v>40269</v>
      </c>
      <c r="B5360" t="s">
        <v>22</v>
      </c>
      <c r="C5360" t="s">
        <v>7</v>
      </c>
      <c r="D5360">
        <v>4</v>
      </c>
      <c r="E5360" s="2">
        <v>4.2129629629629626E-3</v>
      </c>
      <c r="F5360">
        <v>6.0666666666666664</v>
      </c>
    </row>
    <row r="5361" spans="1:6" x14ac:dyDescent="0.25">
      <c r="A5361" s="1">
        <v>40269</v>
      </c>
      <c r="B5361" t="s">
        <v>22</v>
      </c>
      <c r="C5361" t="s">
        <v>8</v>
      </c>
      <c r="D5361">
        <v>3</v>
      </c>
      <c r="E5361" s="2">
        <v>2.9976851851851853E-3</v>
      </c>
      <c r="F5361">
        <v>4.3166666666666664</v>
      </c>
    </row>
    <row r="5362" spans="1:6" x14ac:dyDescent="0.25">
      <c r="A5362" s="1">
        <v>40269</v>
      </c>
      <c r="B5362" t="s">
        <v>22</v>
      </c>
      <c r="C5362" t="s">
        <v>9</v>
      </c>
      <c r="D5362">
        <v>0</v>
      </c>
      <c r="E5362" s="2">
        <v>0</v>
      </c>
      <c r="F5362">
        <v>0</v>
      </c>
    </row>
    <row r="5363" spans="1:6" x14ac:dyDescent="0.25">
      <c r="A5363" s="1">
        <v>40269</v>
      </c>
      <c r="B5363" t="s">
        <v>22</v>
      </c>
      <c r="C5363" t="s">
        <v>10</v>
      </c>
      <c r="D5363">
        <v>4</v>
      </c>
      <c r="E5363" s="2">
        <v>4.31712962962963E-3</v>
      </c>
      <c r="F5363">
        <v>6.2166666666666668</v>
      </c>
    </row>
    <row r="5364" spans="1:6" x14ac:dyDescent="0.25">
      <c r="A5364" s="1">
        <v>40269</v>
      </c>
      <c r="B5364" t="s">
        <v>22</v>
      </c>
      <c r="C5364" t="s">
        <v>11</v>
      </c>
      <c r="D5364">
        <v>7</v>
      </c>
      <c r="E5364" s="2">
        <v>4.5023148148148149E-3</v>
      </c>
      <c r="F5364">
        <v>6.4833333333333334</v>
      </c>
    </row>
    <row r="5365" spans="1:6" x14ac:dyDescent="0.25">
      <c r="A5365" s="1">
        <v>40269</v>
      </c>
      <c r="B5365" t="s">
        <v>23</v>
      </c>
      <c r="C5365" t="s">
        <v>6</v>
      </c>
      <c r="D5365">
        <v>184</v>
      </c>
      <c r="E5365" s="2">
        <v>0.19351851851851851</v>
      </c>
      <c r="F5365">
        <v>278.66666666666669</v>
      </c>
    </row>
    <row r="5366" spans="1:6" x14ac:dyDescent="0.25">
      <c r="A5366" s="1">
        <v>40269</v>
      </c>
      <c r="B5366" t="s">
        <v>23</v>
      </c>
      <c r="C5366" t="s">
        <v>7</v>
      </c>
      <c r="D5366">
        <v>174</v>
      </c>
      <c r="E5366" s="2">
        <v>0.19497685185185185</v>
      </c>
      <c r="F5366">
        <v>280.76666666666665</v>
      </c>
    </row>
    <row r="5367" spans="1:6" x14ac:dyDescent="0.25">
      <c r="A5367" s="1">
        <v>40269</v>
      </c>
      <c r="B5367" t="s">
        <v>23</v>
      </c>
      <c r="C5367" t="s">
        <v>8</v>
      </c>
      <c r="D5367">
        <v>125</v>
      </c>
      <c r="E5367" s="2">
        <v>0.14660879629629631</v>
      </c>
      <c r="F5367">
        <v>211.11666666666667</v>
      </c>
    </row>
    <row r="5368" spans="1:6" x14ac:dyDescent="0.25">
      <c r="A5368" s="1">
        <v>40269</v>
      </c>
      <c r="B5368" t="s">
        <v>23</v>
      </c>
      <c r="C5368" t="s">
        <v>9</v>
      </c>
      <c r="D5368">
        <v>78</v>
      </c>
      <c r="E5368" s="2">
        <v>5.5439814814814817E-2</v>
      </c>
      <c r="F5368">
        <v>79.833333333333329</v>
      </c>
    </row>
    <row r="5369" spans="1:6" x14ac:dyDescent="0.25">
      <c r="A5369" s="1">
        <v>40269</v>
      </c>
      <c r="B5369" t="s">
        <v>23</v>
      </c>
      <c r="C5369" t="s">
        <v>10</v>
      </c>
      <c r="D5369">
        <v>56</v>
      </c>
      <c r="E5369" s="2">
        <v>6.7546296296296299E-2</v>
      </c>
      <c r="F5369">
        <v>97.266666666666666</v>
      </c>
    </row>
    <row r="5370" spans="1:6" x14ac:dyDescent="0.25">
      <c r="A5370" s="1">
        <v>40269</v>
      </c>
      <c r="B5370" t="s">
        <v>23</v>
      </c>
      <c r="C5370" t="s">
        <v>11</v>
      </c>
      <c r="D5370">
        <v>129</v>
      </c>
      <c r="E5370" s="2">
        <v>9.4629629629629633E-2</v>
      </c>
      <c r="F5370">
        <v>136.26666666666668</v>
      </c>
    </row>
    <row r="5371" spans="1:6" x14ac:dyDescent="0.25">
      <c r="A5371" s="1">
        <v>40269</v>
      </c>
      <c r="B5371" t="s">
        <v>24</v>
      </c>
      <c r="C5371" t="s">
        <v>6</v>
      </c>
      <c r="D5371">
        <v>39</v>
      </c>
      <c r="E5371" s="2">
        <v>2.9270833333333333E-2</v>
      </c>
      <c r="F5371">
        <v>42.15</v>
      </c>
    </row>
    <row r="5372" spans="1:6" x14ac:dyDescent="0.25">
      <c r="A5372" s="1">
        <v>40269</v>
      </c>
      <c r="B5372" t="s">
        <v>24</v>
      </c>
      <c r="C5372" t="s">
        <v>7</v>
      </c>
      <c r="D5372">
        <v>33</v>
      </c>
      <c r="E5372" s="2">
        <v>2.2789351851851852E-2</v>
      </c>
      <c r="F5372">
        <v>32.81666666666667</v>
      </c>
    </row>
    <row r="5373" spans="1:6" x14ac:dyDescent="0.25">
      <c r="A5373" s="1">
        <v>40269</v>
      </c>
      <c r="B5373" t="s">
        <v>24</v>
      </c>
      <c r="C5373" t="s">
        <v>8</v>
      </c>
      <c r="D5373">
        <v>16</v>
      </c>
      <c r="E5373" s="2">
        <v>1.5590277777777778E-2</v>
      </c>
      <c r="F5373">
        <v>22.45</v>
      </c>
    </row>
    <row r="5374" spans="1:6" x14ac:dyDescent="0.25">
      <c r="A5374" s="1">
        <v>40269</v>
      </c>
      <c r="B5374" t="s">
        <v>24</v>
      </c>
      <c r="C5374" t="s">
        <v>9</v>
      </c>
      <c r="D5374">
        <v>14</v>
      </c>
      <c r="E5374" s="2">
        <v>9.8958333333333329E-3</v>
      </c>
      <c r="F5374">
        <v>14.25</v>
      </c>
    </row>
    <row r="5375" spans="1:6" x14ac:dyDescent="0.25">
      <c r="A5375" s="1">
        <v>40269</v>
      </c>
      <c r="B5375" t="s">
        <v>24</v>
      </c>
      <c r="C5375" t="s">
        <v>10</v>
      </c>
      <c r="D5375">
        <v>0</v>
      </c>
      <c r="E5375" s="2">
        <v>0</v>
      </c>
      <c r="F5375">
        <v>0</v>
      </c>
    </row>
    <row r="5376" spans="1:6" x14ac:dyDescent="0.25">
      <c r="A5376" s="1">
        <v>40269</v>
      </c>
      <c r="B5376" t="s">
        <v>24</v>
      </c>
      <c r="C5376" t="s">
        <v>11</v>
      </c>
      <c r="D5376">
        <v>44</v>
      </c>
      <c r="E5376" s="2">
        <v>1.9409722222222221E-2</v>
      </c>
      <c r="F5376">
        <v>27.95</v>
      </c>
    </row>
    <row r="5377" spans="1:6" x14ac:dyDescent="0.25">
      <c r="A5377" s="1">
        <v>40299</v>
      </c>
      <c r="B5377" t="s">
        <v>5</v>
      </c>
      <c r="C5377" t="s">
        <v>6</v>
      </c>
      <c r="D5377">
        <v>30</v>
      </c>
      <c r="E5377" s="2">
        <v>2.5706018518518517E-2</v>
      </c>
      <c r="F5377">
        <v>37.016666666666666</v>
      </c>
    </row>
    <row r="5378" spans="1:6" x14ac:dyDescent="0.25">
      <c r="A5378" s="1">
        <v>40299</v>
      </c>
      <c r="B5378" t="s">
        <v>5</v>
      </c>
      <c r="C5378" t="s">
        <v>7</v>
      </c>
      <c r="D5378">
        <v>23</v>
      </c>
      <c r="E5378" s="2">
        <v>1.5069444444444444E-2</v>
      </c>
      <c r="F5378">
        <v>21.7</v>
      </c>
    </row>
    <row r="5379" spans="1:6" x14ac:dyDescent="0.25">
      <c r="A5379" s="1">
        <v>40299</v>
      </c>
      <c r="B5379" t="s">
        <v>5</v>
      </c>
      <c r="C5379" t="s">
        <v>8</v>
      </c>
      <c r="D5379">
        <v>17</v>
      </c>
      <c r="E5379" s="2">
        <v>1.3599537037037037E-2</v>
      </c>
      <c r="F5379">
        <v>19.583333333333332</v>
      </c>
    </row>
    <row r="5380" spans="1:6" x14ac:dyDescent="0.25">
      <c r="A5380" s="1">
        <v>40299</v>
      </c>
      <c r="B5380" t="s">
        <v>5</v>
      </c>
      <c r="C5380" t="s">
        <v>9</v>
      </c>
      <c r="D5380">
        <v>13</v>
      </c>
      <c r="E5380" s="2">
        <v>6.9097222222222225E-3</v>
      </c>
      <c r="F5380">
        <v>9.9499999999999993</v>
      </c>
    </row>
    <row r="5381" spans="1:6" x14ac:dyDescent="0.25">
      <c r="A5381" s="1">
        <v>40299</v>
      </c>
      <c r="B5381" t="s">
        <v>5</v>
      </c>
      <c r="C5381" t="s">
        <v>10</v>
      </c>
      <c r="D5381">
        <v>14</v>
      </c>
      <c r="E5381" s="2">
        <v>1.0671296296296297E-2</v>
      </c>
      <c r="F5381">
        <v>15.366666666666667</v>
      </c>
    </row>
    <row r="5382" spans="1:6" x14ac:dyDescent="0.25">
      <c r="A5382" s="1">
        <v>40299</v>
      </c>
      <c r="B5382" t="s">
        <v>5</v>
      </c>
      <c r="C5382" t="s">
        <v>11</v>
      </c>
      <c r="D5382">
        <v>19</v>
      </c>
      <c r="E5382" s="2">
        <v>1.3495370370370371E-2</v>
      </c>
      <c r="F5382">
        <v>19.433333333333334</v>
      </c>
    </row>
    <row r="5383" spans="1:6" x14ac:dyDescent="0.25">
      <c r="A5383" s="1">
        <v>40299</v>
      </c>
      <c r="B5383" t="s">
        <v>12</v>
      </c>
      <c r="C5383" t="s">
        <v>6</v>
      </c>
      <c r="D5383">
        <v>53</v>
      </c>
      <c r="E5383" s="2">
        <v>6.5474537037037039E-2</v>
      </c>
      <c r="F5383">
        <v>94.283333333333331</v>
      </c>
    </row>
    <row r="5384" spans="1:6" x14ac:dyDescent="0.25">
      <c r="A5384" s="1">
        <v>40299</v>
      </c>
      <c r="B5384" t="s">
        <v>12</v>
      </c>
      <c r="C5384" t="s">
        <v>7</v>
      </c>
      <c r="D5384">
        <v>49</v>
      </c>
      <c r="E5384" s="2">
        <v>6.1979166666666669E-2</v>
      </c>
      <c r="F5384">
        <v>89.25</v>
      </c>
    </row>
    <row r="5385" spans="1:6" x14ac:dyDescent="0.25">
      <c r="A5385" s="1">
        <v>40299</v>
      </c>
      <c r="B5385" t="s">
        <v>12</v>
      </c>
      <c r="C5385" t="s">
        <v>8</v>
      </c>
      <c r="D5385">
        <v>37</v>
      </c>
      <c r="E5385" s="2">
        <v>5.0104166666666665E-2</v>
      </c>
      <c r="F5385">
        <v>72.150000000000006</v>
      </c>
    </row>
    <row r="5386" spans="1:6" x14ac:dyDescent="0.25">
      <c r="A5386" s="1">
        <v>40299</v>
      </c>
      <c r="B5386" t="s">
        <v>12</v>
      </c>
      <c r="C5386" t="s">
        <v>9</v>
      </c>
      <c r="D5386">
        <v>11</v>
      </c>
      <c r="E5386" s="2">
        <v>8.1712962962962963E-3</v>
      </c>
      <c r="F5386">
        <v>11.766666666666667</v>
      </c>
    </row>
    <row r="5387" spans="1:6" x14ac:dyDescent="0.25">
      <c r="A5387" s="1">
        <v>40299</v>
      </c>
      <c r="B5387" t="s">
        <v>12</v>
      </c>
      <c r="C5387" t="s">
        <v>10</v>
      </c>
      <c r="D5387">
        <v>79</v>
      </c>
      <c r="E5387" s="2">
        <v>0.11983796296296297</v>
      </c>
      <c r="F5387">
        <v>172.56666666666666</v>
      </c>
    </row>
    <row r="5388" spans="1:6" x14ac:dyDescent="0.25">
      <c r="A5388" s="1">
        <v>40299</v>
      </c>
      <c r="B5388" t="s">
        <v>12</v>
      </c>
      <c r="C5388" t="s">
        <v>11</v>
      </c>
      <c r="D5388">
        <v>37</v>
      </c>
      <c r="E5388" s="2">
        <v>3.6863425925925924E-2</v>
      </c>
      <c r="F5388">
        <v>53.083333333333336</v>
      </c>
    </row>
    <row r="5389" spans="1:6" x14ac:dyDescent="0.25">
      <c r="A5389" s="1">
        <v>40299</v>
      </c>
      <c r="B5389" t="s">
        <v>13</v>
      </c>
      <c r="C5389" t="s">
        <v>6</v>
      </c>
      <c r="D5389">
        <v>49</v>
      </c>
      <c r="E5389" s="2">
        <v>5.8321759259259261E-2</v>
      </c>
      <c r="F5389">
        <v>83.983333333333334</v>
      </c>
    </row>
    <row r="5390" spans="1:6" x14ac:dyDescent="0.25">
      <c r="A5390" s="1">
        <v>40299</v>
      </c>
      <c r="B5390" t="s">
        <v>13</v>
      </c>
      <c r="C5390" t="s">
        <v>7</v>
      </c>
      <c r="D5390">
        <v>79</v>
      </c>
      <c r="E5390" s="2">
        <v>7.075231481481481E-2</v>
      </c>
      <c r="F5390">
        <v>101.88333333333334</v>
      </c>
    </row>
    <row r="5391" spans="1:6" x14ac:dyDescent="0.25">
      <c r="A5391" s="1">
        <v>40299</v>
      </c>
      <c r="B5391" t="s">
        <v>13</v>
      </c>
      <c r="C5391" t="s">
        <v>8</v>
      </c>
      <c r="D5391">
        <v>34</v>
      </c>
      <c r="E5391" s="2">
        <v>4.3541666666666666E-2</v>
      </c>
      <c r="F5391">
        <v>62.7</v>
      </c>
    </row>
    <row r="5392" spans="1:6" x14ac:dyDescent="0.25">
      <c r="A5392" s="1">
        <v>40299</v>
      </c>
      <c r="B5392" t="s">
        <v>13</v>
      </c>
      <c r="C5392" t="s">
        <v>9</v>
      </c>
      <c r="D5392">
        <v>29</v>
      </c>
      <c r="E5392" s="2">
        <v>1.6782407407407409E-2</v>
      </c>
      <c r="F5392">
        <v>24.166666666666668</v>
      </c>
    </row>
    <row r="5393" spans="1:6" x14ac:dyDescent="0.25">
      <c r="A5393" s="1">
        <v>40299</v>
      </c>
      <c r="B5393" t="s">
        <v>13</v>
      </c>
      <c r="C5393" t="s">
        <v>10</v>
      </c>
      <c r="D5393">
        <v>37</v>
      </c>
      <c r="E5393" s="2">
        <v>4.8402777777777781E-2</v>
      </c>
      <c r="F5393">
        <v>69.7</v>
      </c>
    </row>
    <row r="5394" spans="1:6" x14ac:dyDescent="0.25">
      <c r="A5394" s="1">
        <v>40299</v>
      </c>
      <c r="B5394" t="s">
        <v>13</v>
      </c>
      <c r="C5394" t="s">
        <v>11</v>
      </c>
      <c r="D5394">
        <v>52</v>
      </c>
      <c r="E5394" s="2">
        <v>4.0081018518518516E-2</v>
      </c>
      <c r="F5394">
        <v>57.716666666666669</v>
      </c>
    </row>
    <row r="5395" spans="1:6" x14ac:dyDescent="0.25">
      <c r="A5395" s="1">
        <v>40299</v>
      </c>
      <c r="B5395" t="s">
        <v>14</v>
      </c>
      <c r="C5395" t="s">
        <v>6</v>
      </c>
      <c r="D5395">
        <v>11</v>
      </c>
      <c r="E5395" s="2">
        <v>1.2476851851851852E-2</v>
      </c>
      <c r="F5395">
        <v>17.966666666666665</v>
      </c>
    </row>
    <row r="5396" spans="1:6" x14ac:dyDescent="0.25">
      <c r="A5396" s="1">
        <v>40299</v>
      </c>
      <c r="B5396" t="s">
        <v>14</v>
      </c>
      <c r="C5396" t="s">
        <v>7</v>
      </c>
      <c r="D5396">
        <v>12</v>
      </c>
      <c r="E5396" s="2">
        <v>1.636574074074074E-2</v>
      </c>
      <c r="F5396">
        <v>23.566666666666666</v>
      </c>
    </row>
    <row r="5397" spans="1:6" x14ac:dyDescent="0.25">
      <c r="A5397" s="1">
        <v>40299</v>
      </c>
      <c r="B5397" t="s">
        <v>14</v>
      </c>
      <c r="C5397" t="s">
        <v>8</v>
      </c>
      <c r="D5397">
        <v>9</v>
      </c>
      <c r="E5397" s="2">
        <v>1.3298611111111112E-2</v>
      </c>
      <c r="F5397">
        <v>19.149999999999999</v>
      </c>
    </row>
    <row r="5398" spans="1:6" x14ac:dyDescent="0.25">
      <c r="A5398" s="1">
        <v>40299</v>
      </c>
      <c r="B5398" t="s">
        <v>14</v>
      </c>
      <c r="C5398" t="s">
        <v>9</v>
      </c>
      <c r="D5398">
        <v>3</v>
      </c>
      <c r="E5398" s="2">
        <v>2.9513888888888888E-3</v>
      </c>
      <c r="F5398">
        <v>4.25</v>
      </c>
    </row>
    <row r="5399" spans="1:6" x14ac:dyDescent="0.25">
      <c r="A5399" s="1">
        <v>40299</v>
      </c>
      <c r="B5399" t="s">
        <v>14</v>
      </c>
      <c r="C5399" t="s">
        <v>10</v>
      </c>
      <c r="D5399">
        <v>0</v>
      </c>
      <c r="E5399" s="2">
        <v>0</v>
      </c>
      <c r="F5399">
        <v>0</v>
      </c>
    </row>
    <row r="5400" spans="1:6" x14ac:dyDescent="0.25">
      <c r="A5400" s="1">
        <v>40299</v>
      </c>
      <c r="B5400" t="s">
        <v>14</v>
      </c>
      <c r="C5400" t="s">
        <v>11</v>
      </c>
      <c r="D5400">
        <v>10</v>
      </c>
      <c r="E5400" s="2">
        <v>8.773148148148148E-3</v>
      </c>
      <c r="F5400">
        <v>12.633333333333333</v>
      </c>
    </row>
    <row r="5401" spans="1:6" x14ac:dyDescent="0.25">
      <c r="A5401" s="1">
        <v>40299</v>
      </c>
      <c r="B5401" t="s">
        <v>15</v>
      </c>
      <c r="C5401" t="s">
        <v>6</v>
      </c>
      <c r="D5401">
        <v>74</v>
      </c>
      <c r="E5401" s="2">
        <v>8.188657407407407E-2</v>
      </c>
      <c r="F5401">
        <v>117.91666666666667</v>
      </c>
    </row>
    <row r="5402" spans="1:6" x14ac:dyDescent="0.25">
      <c r="A5402" s="1">
        <v>40299</v>
      </c>
      <c r="B5402" t="s">
        <v>15</v>
      </c>
      <c r="C5402" t="s">
        <v>7</v>
      </c>
      <c r="D5402">
        <v>47</v>
      </c>
      <c r="E5402" s="2">
        <v>4.1192129629629627E-2</v>
      </c>
      <c r="F5402">
        <v>59.31666666666667</v>
      </c>
    </row>
    <row r="5403" spans="1:6" x14ac:dyDescent="0.25">
      <c r="A5403" s="1">
        <v>40299</v>
      </c>
      <c r="B5403" t="s">
        <v>15</v>
      </c>
      <c r="C5403" t="s">
        <v>8</v>
      </c>
      <c r="D5403">
        <v>39</v>
      </c>
      <c r="E5403" s="2">
        <v>4.673611111111111E-2</v>
      </c>
      <c r="F5403">
        <v>67.3</v>
      </c>
    </row>
    <row r="5404" spans="1:6" x14ac:dyDescent="0.25">
      <c r="A5404" s="1">
        <v>40299</v>
      </c>
      <c r="B5404" t="s">
        <v>15</v>
      </c>
      <c r="C5404" t="s">
        <v>9</v>
      </c>
      <c r="D5404">
        <v>23</v>
      </c>
      <c r="E5404" s="2">
        <v>1.5497685185185186E-2</v>
      </c>
      <c r="F5404">
        <v>22.316666666666666</v>
      </c>
    </row>
    <row r="5405" spans="1:6" x14ac:dyDescent="0.25">
      <c r="A5405" s="1">
        <v>40299</v>
      </c>
      <c r="B5405" t="s">
        <v>15</v>
      </c>
      <c r="C5405" t="s">
        <v>10</v>
      </c>
      <c r="D5405">
        <v>23</v>
      </c>
      <c r="E5405" s="2">
        <v>2.1585648148148149E-2</v>
      </c>
      <c r="F5405">
        <v>31.083333333333332</v>
      </c>
    </row>
    <row r="5406" spans="1:6" x14ac:dyDescent="0.25">
      <c r="A5406" s="1">
        <v>40299</v>
      </c>
      <c r="B5406" t="s">
        <v>15</v>
      </c>
      <c r="C5406" t="s">
        <v>11</v>
      </c>
      <c r="D5406">
        <v>40</v>
      </c>
      <c r="E5406" s="2">
        <v>2.9687499999999999E-2</v>
      </c>
      <c r="F5406">
        <v>42.75</v>
      </c>
    </row>
    <row r="5407" spans="1:6" x14ac:dyDescent="0.25">
      <c r="A5407" s="1">
        <v>40299</v>
      </c>
      <c r="B5407" t="s">
        <v>16</v>
      </c>
      <c r="C5407" t="s">
        <v>6</v>
      </c>
      <c r="D5407">
        <v>39</v>
      </c>
      <c r="E5407" s="2">
        <v>3.3553240740740738E-2</v>
      </c>
      <c r="F5407">
        <v>48.31666666666667</v>
      </c>
    </row>
    <row r="5408" spans="1:6" x14ac:dyDescent="0.25">
      <c r="A5408" s="1">
        <v>40299</v>
      </c>
      <c r="B5408" t="s">
        <v>16</v>
      </c>
      <c r="C5408" t="s">
        <v>7</v>
      </c>
      <c r="D5408">
        <v>27</v>
      </c>
      <c r="E5408" s="2">
        <v>2.193287037037037E-2</v>
      </c>
      <c r="F5408">
        <v>31.583333333333332</v>
      </c>
    </row>
    <row r="5409" spans="1:6" x14ac:dyDescent="0.25">
      <c r="A5409" s="1">
        <v>40299</v>
      </c>
      <c r="B5409" t="s">
        <v>16</v>
      </c>
      <c r="C5409" t="s">
        <v>8</v>
      </c>
      <c r="D5409">
        <v>21</v>
      </c>
      <c r="E5409" s="2">
        <v>2.0358796296296295E-2</v>
      </c>
      <c r="F5409">
        <v>29.316666666666666</v>
      </c>
    </row>
    <row r="5410" spans="1:6" x14ac:dyDescent="0.25">
      <c r="A5410" s="1">
        <v>40299</v>
      </c>
      <c r="B5410" t="s">
        <v>16</v>
      </c>
      <c r="C5410" t="s">
        <v>9</v>
      </c>
      <c r="D5410">
        <v>19</v>
      </c>
      <c r="E5410" s="2">
        <v>1.2268518518518519E-2</v>
      </c>
      <c r="F5410">
        <v>17.666666666666668</v>
      </c>
    </row>
    <row r="5411" spans="1:6" x14ac:dyDescent="0.25">
      <c r="A5411" s="1">
        <v>40299</v>
      </c>
      <c r="B5411" t="s">
        <v>16</v>
      </c>
      <c r="C5411" t="s">
        <v>10</v>
      </c>
      <c r="D5411">
        <v>1</v>
      </c>
      <c r="E5411" s="2">
        <v>7.291666666666667E-4</v>
      </c>
      <c r="F5411">
        <v>1.05</v>
      </c>
    </row>
    <row r="5412" spans="1:6" x14ac:dyDescent="0.25">
      <c r="A5412" s="1">
        <v>40299</v>
      </c>
      <c r="B5412" t="s">
        <v>16</v>
      </c>
      <c r="C5412" t="s">
        <v>11</v>
      </c>
      <c r="D5412">
        <v>33</v>
      </c>
      <c r="E5412" s="2">
        <v>1.8749999999999999E-2</v>
      </c>
      <c r="F5412">
        <v>27</v>
      </c>
    </row>
    <row r="5413" spans="1:6" x14ac:dyDescent="0.25">
      <c r="A5413" s="1">
        <v>40299</v>
      </c>
      <c r="B5413" t="s">
        <v>17</v>
      </c>
      <c r="C5413" t="s">
        <v>6</v>
      </c>
      <c r="D5413">
        <v>9</v>
      </c>
      <c r="E5413" s="2">
        <v>9.618055555555555E-3</v>
      </c>
      <c r="F5413">
        <v>13.85</v>
      </c>
    </row>
    <row r="5414" spans="1:6" x14ac:dyDescent="0.25">
      <c r="A5414" s="1">
        <v>40299</v>
      </c>
      <c r="B5414" t="s">
        <v>17</v>
      </c>
      <c r="C5414" t="s">
        <v>7</v>
      </c>
      <c r="D5414">
        <v>8</v>
      </c>
      <c r="E5414" s="2">
        <v>6.076388888888889E-3</v>
      </c>
      <c r="F5414">
        <v>8.75</v>
      </c>
    </row>
    <row r="5415" spans="1:6" x14ac:dyDescent="0.25">
      <c r="A5415" s="1">
        <v>40299</v>
      </c>
      <c r="B5415" t="s">
        <v>17</v>
      </c>
      <c r="C5415" t="s">
        <v>8</v>
      </c>
      <c r="D5415">
        <v>6</v>
      </c>
      <c r="E5415" s="2">
        <v>5.7754629629629631E-3</v>
      </c>
      <c r="F5415">
        <v>8.3166666666666664</v>
      </c>
    </row>
    <row r="5416" spans="1:6" x14ac:dyDescent="0.25">
      <c r="A5416" s="1">
        <v>40299</v>
      </c>
      <c r="B5416" t="s">
        <v>17</v>
      </c>
      <c r="C5416" t="s">
        <v>9</v>
      </c>
      <c r="D5416">
        <v>0</v>
      </c>
      <c r="E5416" s="2">
        <v>0</v>
      </c>
      <c r="F5416">
        <v>0</v>
      </c>
    </row>
    <row r="5417" spans="1:6" x14ac:dyDescent="0.25">
      <c r="A5417" s="1">
        <v>40299</v>
      </c>
      <c r="B5417" t="s">
        <v>17</v>
      </c>
      <c r="C5417" t="s">
        <v>10</v>
      </c>
      <c r="D5417">
        <v>7</v>
      </c>
      <c r="E5417" s="2">
        <v>5.2777777777777779E-3</v>
      </c>
      <c r="F5417">
        <v>7.6</v>
      </c>
    </row>
    <row r="5418" spans="1:6" x14ac:dyDescent="0.25">
      <c r="A5418" s="1">
        <v>40299</v>
      </c>
      <c r="B5418" t="s">
        <v>17</v>
      </c>
      <c r="C5418" t="s">
        <v>11</v>
      </c>
      <c r="D5418">
        <v>3</v>
      </c>
      <c r="E5418" s="2">
        <v>1.0648148148148149E-3</v>
      </c>
      <c r="F5418">
        <v>1.5333333333333332</v>
      </c>
    </row>
    <row r="5419" spans="1:6" x14ac:dyDescent="0.25">
      <c r="A5419" s="1">
        <v>40299</v>
      </c>
      <c r="B5419" t="s">
        <v>18</v>
      </c>
      <c r="C5419" t="s">
        <v>6</v>
      </c>
      <c r="D5419">
        <v>52</v>
      </c>
      <c r="E5419" s="2">
        <v>4.6631944444444441E-2</v>
      </c>
      <c r="F5419">
        <v>67.150000000000006</v>
      </c>
    </row>
    <row r="5420" spans="1:6" x14ac:dyDescent="0.25">
      <c r="A5420" s="1">
        <v>40299</v>
      </c>
      <c r="B5420" t="s">
        <v>18</v>
      </c>
      <c r="C5420" t="s">
        <v>7</v>
      </c>
      <c r="D5420">
        <v>87</v>
      </c>
      <c r="E5420" s="2">
        <v>7.768518518518519E-2</v>
      </c>
      <c r="F5420">
        <v>111.86666666666666</v>
      </c>
    </row>
    <row r="5421" spans="1:6" x14ac:dyDescent="0.25">
      <c r="A5421" s="1">
        <v>40299</v>
      </c>
      <c r="B5421" t="s">
        <v>18</v>
      </c>
      <c r="C5421" t="s">
        <v>8</v>
      </c>
      <c r="D5421">
        <v>51</v>
      </c>
      <c r="E5421" s="2">
        <v>5.5937500000000001E-2</v>
      </c>
      <c r="F5421">
        <v>80.55</v>
      </c>
    </row>
    <row r="5422" spans="1:6" x14ac:dyDescent="0.25">
      <c r="A5422" s="1">
        <v>40299</v>
      </c>
      <c r="B5422" t="s">
        <v>18</v>
      </c>
      <c r="C5422" t="s">
        <v>9</v>
      </c>
      <c r="D5422">
        <v>54</v>
      </c>
      <c r="E5422" s="2">
        <v>3.7175925925925925E-2</v>
      </c>
      <c r="F5422">
        <v>53.533333333333331</v>
      </c>
    </row>
    <row r="5423" spans="1:6" x14ac:dyDescent="0.25">
      <c r="A5423" s="1">
        <v>40299</v>
      </c>
      <c r="B5423" t="s">
        <v>18</v>
      </c>
      <c r="C5423" t="s">
        <v>10</v>
      </c>
      <c r="D5423">
        <v>92</v>
      </c>
      <c r="E5423" s="2">
        <v>0.10568287037037037</v>
      </c>
      <c r="F5423">
        <v>152.18333333333334</v>
      </c>
    </row>
    <row r="5424" spans="1:6" x14ac:dyDescent="0.25">
      <c r="A5424" s="1">
        <v>40299</v>
      </c>
      <c r="B5424" t="s">
        <v>18</v>
      </c>
      <c r="C5424" t="s">
        <v>11</v>
      </c>
      <c r="D5424">
        <v>39</v>
      </c>
      <c r="E5424" s="2">
        <v>2.4432870370370369E-2</v>
      </c>
      <c r="F5424">
        <v>35.18333333333333</v>
      </c>
    </row>
    <row r="5425" spans="1:6" x14ac:dyDescent="0.25">
      <c r="A5425" s="1">
        <v>40299</v>
      </c>
      <c r="B5425" t="s">
        <v>19</v>
      </c>
      <c r="C5425" t="s">
        <v>6</v>
      </c>
      <c r="D5425">
        <v>26</v>
      </c>
      <c r="E5425" s="2">
        <v>2.9201388888888888E-2</v>
      </c>
      <c r="F5425">
        <v>42.05</v>
      </c>
    </row>
    <row r="5426" spans="1:6" x14ac:dyDescent="0.25">
      <c r="A5426" s="1">
        <v>40299</v>
      </c>
      <c r="B5426" t="s">
        <v>19</v>
      </c>
      <c r="C5426" t="s">
        <v>7</v>
      </c>
      <c r="D5426">
        <v>37</v>
      </c>
      <c r="E5426" s="2">
        <v>3.7777777777777778E-2</v>
      </c>
      <c r="F5426">
        <v>54.4</v>
      </c>
    </row>
    <row r="5427" spans="1:6" x14ac:dyDescent="0.25">
      <c r="A5427" s="1">
        <v>40299</v>
      </c>
      <c r="B5427" t="s">
        <v>19</v>
      </c>
      <c r="C5427" t="s">
        <v>8</v>
      </c>
      <c r="D5427">
        <v>22</v>
      </c>
      <c r="E5427" s="2">
        <v>2.9849537037037036E-2</v>
      </c>
      <c r="F5427">
        <v>42.983333333333334</v>
      </c>
    </row>
    <row r="5428" spans="1:6" x14ac:dyDescent="0.25">
      <c r="A5428" s="1">
        <v>40299</v>
      </c>
      <c r="B5428" t="s">
        <v>19</v>
      </c>
      <c r="C5428" t="s">
        <v>9</v>
      </c>
      <c r="D5428">
        <v>21</v>
      </c>
      <c r="E5428" s="2">
        <v>1.4548611111111111E-2</v>
      </c>
      <c r="F5428">
        <v>20.95</v>
      </c>
    </row>
    <row r="5429" spans="1:6" x14ac:dyDescent="0.25">
      <c r="A5429" s="1">
        <v>40299</v>
      </c>
      <c r="B5429" t="s">
        <v>19</v>
      </c>
      <c r="C5429" t="s">
        <v>10</v>
      </c>
      <c r="D5429">
        <v>5</v>
      </c>
      <c r="E5429" s="2">
        <v>5.3819444444444444E-3</v>
      </c>
      <c r="F5429">
        <v>7.75</v>
      </c>
    </row>
    <row r="5430" spans="1:6" x14ac:dyDescent="0.25">
      <c r="A5430" s="1">
        <v>40299</v>
      </c>
      <c r="B5430" t="s">
        <v>19</v>
      </c>
      <c r="C5430" t="s">
        <v>11</v>
      </c>
      <c r="D5430">
        <v>32</v>
      </c>
      <c r="E5430" s="2">
        <v>2.2951388888888889E-2</v>
      </c>
      <c r="F5430">
        <v>33.049999999999997</v>
      </c>
    </row>
    <row r="5431" spans="1:6" x14ac:dyDescent="0.25">
      <c r="A5431" s="1">
        <v>40299</v>
      </c>
      <c r="B5431" t="s">
        <v>20</v>
      </c>
      <c r="C5431" t="s">
        <v>6</v>
      </c>
      <c r="D5431">
        <v>15</v>
      </c>
      <c r="E5431" s="2">
        <v>1.324074074074074E-2</v>
      </c>
      <c r="F5431">
        <v>19.066666666666666</v>
      </c>
    </row>
    <row r="5432" spans="1:6" x14ac:dyDescent="0.25">
      <c r="A5432" s="1">
        <v>40299</v>
      </c>
      <c r="B5432" t="s">
        <v>20</v>
      </c>
      <c r="C5432" t="s">
        <v>7</v>
      </c>
      <c r="D5432">
        <v>14</v>
      </c>
      <c r="E5432" s="2">
        <v>1.6087962962962964E-2</v>
      </c>
      <c r="F5432">
        <v>23.166666666666668</v>
      </c>
    </row>
    <row r="5433" spans="1:6" x14ac:dyDescent="0.25">
      <c r="A5433" s="1">
        <v>40299</v>
      </c>
      <c r="B5433" t="s">
        <v>20</v>
      </c>
      <c r="C5433" t="s">
        <v>8</v>
      </c>
      <c r="D5433">
        <v>9</v>
      </c>
      <c r="E5433" s="2">
        <v>1.4456018518518519E-2</v>
      </c>
      <c r="F5433">
        <v>20.816666666666666</v>
      </c>
    </row>
    <row r="5434" spans="1:6" x14ac:dyDescent="0.25">
      <c r="A5434" s="1">
        <v>40299</v>
      </c>
      <c r="B5434" t="s">
        <v>20</v>
      </c>
      <c r="C5434" t="s">
        <v>9</v>
      </c>
      <c r="D5434">
        <v>3</v>
      </c>
      <c r="E5434" s="2">
        <v>2.9282407407407408E-3</v>
      </c>
      <c r="F5434">
        <v>4.2166666666666668</v>
      </c>
    </row>
    <row r="5435" spans="1:6" x14ac:dyDescent="0.25">
      <c r="A5435" s="1">
        <v>40299</v>
      </c>
      <c r="B5435" t="s">
        <v>20</v>
      </c>
      <c r="C5435" t="s">
        <v>10</v>
      </c>
      <c r="D5435">
        <v>2</v>
      </c>
      <c r="E5435" s="2">
        <v>2.3958333333333331E-3</v>
      </c>
      <c r="F5435">
        <v>3.45</v>
      </c>
    </row>
    <row r="5436" spans="1:6" x14ac:dyDescent="0.25">
      <c r="A5436" s="1">
        <v>40299</v>
      </c>
      <c r="B5436" t="s">
        <v>20</v>
      </c>
      <c r="C5436" t="s">
        <v>11</v>
      </c>
      <c r="D5436">
        <v>16</v>
      </c>
      <c r="E5436" s="2">
        <v>1.2650462962962962E-2</v>
      </c>
      <c r="F5436">
        <v>18.216666666666665</v>
      </c>
    </row>
    <row r="5437" spans="1:6" x14ac:dyDescent="0.25">
      <c r="A5437" s="1">
        <v>40299</v>
      </c>
      <c r="B5437" t="s">
        <v>21</v>
      </c>
      <c r="C5437" t="s">
        <v>6</v>
      </c>
      <c r="D5437">
        <v>21</v>
      </c>
      <c r="E5437" s="2">
        <v>2.6898148148148147E-2</v>
      </c>
      <c r="F5437">
        <v>38.733333333333334</v>
      </c>
    </row>
    <row r="5438" spans="1:6" x14ac:dyDescent="0.25">
      <c r="A5438" s="1">
        <v>40299</v>
      </c>
      <c r="B5438" t="s">
        <v>21</v>
      </c>
      <c r="C5438" t="s">
        <v>7</v>
      </c>
      <c r="D5438">
        <v>17</v>
      </c>
      <c r="E5438" s="2">
        <v>2.6180555555555554E-2</v>
      </c>
      <c r="F5438">
        <v>37.700000000000003</v>
      </c>
    </row>
    <row r="5439" spans="1:6" x14ac:dyDescent="0.25">
      <c r="A5439" s="1">
        <v>40299</v>
      </c>
      <c r="B5439" t="s">
        <v>21</v>
      </c>
      <c r="C5439" t="s">
        <v>8</v>
      </c>
      <c r="D5439">
        <v>13</v>
      </c>
      <c r="E5439" s="2">
        <v>1.5856481481481482E-2</v>
      </c>
      <c r="F5439">
        <v>22.833333333333332</v>
      </c>
    </row>
    <row r="5440" spans="1:6" x14ac:dyDescent="0.25">
      <c r="A5440" s="1">
        <v>40299</v>
      </c>
      <c r="B5440" t="s">
        <v>21</v>
      </c>
      <c r="C5440" t="s">
        <v>9</v>
      </c>
      <c r="D5440">
        <v>5</v>
      </c>
      <c r="E5440" s="2">
        <v>5.3125000000000004E-3</v>
      </c>
      <c r="F5440">
        <v>7.65</v>
      </c>
    </row>
    <row r="5441" spans="1:6" x14ac:dyDescent="0.25">
      <c r="A5441" s="1">
        <v>40299</v>
      </c>
      <c r="B5441" t="s">
        <v>21</v>
      </c>
      <c r="C5441" t="s">
        <v>10</v>
      </c>
      <c r="D5441">
        <v>6</v>
      </c>
      <c r="E5441" s="2">
        <v>7.5462962962962966E-3</v>
      </c>
      <c r="F5441">
        <v>10.866666666666667</v>
      </c>
    </row>
    <row r="5442" spans="1:6" x14ac:dyDescent="0.25">
      <c r="A5442" s="1">
        <v>40299</v>
      </c>
      <c r="B5442" t="s">
        <v>21</v>
      </c>
      <c r="C5442" t="s">
        <v>11</v>
      </c>
      <c r="D5442">
        <v>11</v>
      </c>
      <c r="E5442" s="2">
        <v>9.6527777777777775E-3</v>
      </c>
      <c r="F5442">
        <v>13.9</v>
      </c>
    </row>
    <row r="5443" spans="1:6" x14ac:dyDescent="0.25">
      <c r="A5443" s="1">
        <v>40299</v>
      </c>
      <c r="B5443" t="s">
        <v>22</v>
      </c>
      <c r="C5443" t="s">
        <v>6</v>
      </c>
      <c r="D5443">
        <v>11</v>
      </c>
      <c r="E5443" s="2">
        <v>1.5381944444444445E-2</v>
      </c>
      <c r="F5443">
        <v>22.15</v>
      </c>
    </row>
    <row r="5444" spans="1:6" x14ac:dyDescent="0.25">
      <c r="A5444" s="1">
        <v>40299</v>
      </c>
      <c r="B5444" t="s">
        <v>22</v>
      </c>
      <c r="C5444" t="s">
        <v>7</v>
      </c>
      <c r="D5444">
        <v>2</v>
      </c>
      <c r="E5444" s="2">
        <v>2.7199074074074074E-3</v>
      </c>
      <c r="F5444">
        <v>3.9166666666666665</v>
      </c>
    </row>
    <row r="5445" spans="1:6" x14ac:dyDescent="0.25">
      <c r="A5445" s="1">
        <v>40299</v>
      </c>
      <c r="B5445" t="s">
        <v>22</v>
      </c>
      <c r="C5445" t="s">
        <v>8</v>
      </c>
      <c r="D5445">
        <v>3</v>
      </c>
      <c r="E5445" s="2">
        <v>5.1041666666666666E-3</v>
      </c>
      <c r="F5445">
        <v>7.35</v>
      </c>
    </row>
    <row r="5446" spans="1:6" x14ac:dyDescent="0.25">
      <c r="A5446" s="1">
        <v>40299</v>
      </c>
      <c r="B5446" t="s">
        <v>22</v>
      </c>
      <c r="C5446" t="s">
        <v>9</v>
      </c>
      <c r="D5446">
        <v>3</v>
      </c>
      <c r="E5446" s="2">
        <v>1.4583333333333334E-3</v>
      </c>
      <c r="F5446">
        <v>2.1</v>
      </c>
    </row>
    <row r="5447" spans="1:6" x14ac:dyDescent="0.25">
      <c r="A5447" s="1">
        <v>40299</v>
      </c>
      <c r="B5447" t="s">
        <v>22</v>
      </c>
      <c r="C5447" t="s">
        <v>10</v>
      </c>
      <c r="D5447">
        <v>3</v>
      </c>
      <c r="E5447" s="2">
        <v>2.2453703703703702E-3</v>
      </c>
      <c r="F5447">
        <v>3.2333333333333334</v>
      </c>
    </row>
    <row r="5448" spans="1:6" x14ac:dyDescent="0.25">
      <c r="A5448" s="1">
        <v>40299</v>
      </c>
      <c r="B5448" t="s">
        <v>22</v>
      </c>
      <c r="C5448" t="s">
        <v>11</v>
      </c>
      <c r="D5448">
        <v>3</v>
      </c>
      <c r="E5448" s="2">
        <v>1.724537037037037E-3</v>
      </c>
      <c r="F5448">
        <v>2.4833333333333334</v>
      </c>
    </row>
    <row r="5449" spans="1:6" x14ac:dyDescent="0.25">
      <c r="A5449" s="1">
        <v>40299</v>
      </c>
      <c r="B5449" t="s">
        <v>23</v>
      </c>
      <c r="C5449" t="s">
        <v>6</v>
      </c>
      <c r="D5449">
        <v>123</v>
      </c>
      <c r="E5449" s="2">
        <v>0.12217592592592592</v>
      </c>
      <c r="F5449">
        <v>175.93333333333334</v>
      </c>
    </row>
    <row r="5450" spans="1:6" x14ac:dyDescent="0.25">
      <c r="A5450" s="1">
        <v>40299</v>
      </c>
      <c r="B5450" t="s">
        <v>23</v>
      </c>
      <c r="C5450" t="s">
        <v>7</v>
      </c>
      <c r="D5450">
        <v>95</v>
      </c>
      <c r="E5450" s="2">
        <v>0.10556712962962964</v>
      </c>
      <c r="F5450">
        <v>152.01666666666668</v>
      </c>
    </row>
    <row r="5451" spans="1:6" x14ac:dyDescent="0.25">
      <c r="A5451" s="1">
        <v>40299</v>
      </c>
      <c r="B5451" t="s">
        <v>23</v>
      </c>
      <c r="C5451" t="s">
        <v>8</v>
      </c>
      <c r="D5451">
        <v>76</v>
      </c>
      <c r="E5451" s="2">
        <v>9.0300925925925923E-2</v>
      </c>
      <c r="F5451">
        <v>130.03333333333333</v>
      </c>
    </row>
    <row r="5452" spans="1:6" x14ac:dyDescent="0.25">
      <c r="A5452" s="1">
        <v>40299</v>
      </c>
      <c r="B5452" t="s">
        <v>23</v>
      </c>
      <c r="C5452" t="s">
        <v>9</v>
      </c>
      <c r="D5452">
        <v>53</v>
      </c>
      <c r="E5452" s="2">
        <v>3.8344907407407404E-2</v>
      </c>
      <c r="F5452">
        <v>55.216666666666669</v>
      </c>
    </row>
    <row r="5453" spans="1:6" x14ac:dyDescent="0.25">
      <c r="A5453" s="1">
        <v>40299</v>
      </c>
      <c r="B5453" t="s">
        <v>23</v>
      </c>
      <c r="C5453" t="s">
        <v>10</v>
      </c>
      <c r="D5453">
        <v>38</v>
      </c>
      <c r="E5453" s="2">
        <v>4.476851851851852E-2</v>
      </c>
      <c r="F5453">
        <v>64.466666666666669</v>
      </c>
    </row>
    <row r="5454" spans="1:6" x14ac:dyDescent="0.25">
      <c r="A5454" s="1">
        <v>40299</v>
      </c>
      <c r="B5454" t="s">
        <v>23</v>
      </c>
      <c r="C5454" t="s">
        <v>11</v>
      </c>
      <c r="D5454">
        <v>60</v>
      </c>
      <c r="E5454" s="2">
        <v>4.3171296296296298E-2</v>
      </c>
      <c r="F5454">
        <v>62.166666666666664</v>
      </c>
    </row>
    <row r="5455" spans="1:6" x14ac:dyDescent="0.25">
      <c r="A5455" s="1">
        <v>40299</v>
      </c>
      <c r="B5455" t="s">
        <v>24</v>
      </c>
      <c r="C5455" t="s">
        <v>6</v>
      </c>
      <c r="D5455">
        <v>64</v>
      </c>
      <c r="E5455" s="2">
        <v>6.850694444444444E-2</v>
      </c>
      <c r="F5455">
        <v>98.65</v>
      </c>
    </row>
    <row r="5456" spans="1:6" x14ac:dyDescent="0.25">
      <c r="A5456" s="1">
        <v>40299</v>
      </c>
      <c r="B5456" t="s">
        <v>24</v>
      </c>
      <c r="C5456" t="s">
        <v>7</v>
      </c>
      <c r="D5456">
        <v>66</v>
      </c>
      <c r="E5456" s="2">
        <v>5.9143518518518519E-2</v>
      </c>
      <c r="F5456">
        <v>85.166666666666671</v>
      </c>
    </row>
    <row r="5457" spans="1:6" x14ac:dyDescent="0.25">
      <c r="A5457" s="1">
        <v>40299</v>
      </c>
      <c r="B5457" t="s">
        <v>24</v>
      </c>
      <c r="C5457" t="s">
        <v>8</v>
      </c>
      <c r="D5457">
        <v>31</v>
      </c>
      <c r="E5457" s="2">
        <v>2.931712962962963E-2</v>
      </c>
      <c r="F5457">
        <v>42.216666666666669</v>
      </c>
    </row>
    <row r="5458" spans="1:6" x14ac:dyDescent="0.25">
      <c r="A5458" s="1">
        <v>40299</v>
      </c>
      <c r="B5458" t="s">
        <v>24</v>
      </c>
      <c r="C5458" t="s">
        <v>9</v>
      </c>
      <c r="D5458">
        <v>18</v>
      </c>
      <c r="E5458" s="2">
        <v>1.119212962962963E-2</v>
      </c>
      <c r="F5458">
        <v>16.116666666666667</v>
      </c>
    </row>
    <row r="5459" spans="1:6" x14ac:dyDescent="0.25">
      <c r="A5459" s="1">
        <v>40299</v>
      </c>
      <c r="B5459" t="s">
        <v>24</v>
      </c>
      <c r="C5459" t="s">
        <v>10</v>
      </c>
      <c r="D5459">
        <v>0</v>
      </c>
      <c r="E5459" s="2">
        <v>0</v>
      </c>
      <c r="F5459">
        <v>0</v>
      </c>
    </row>
    <row r="5460" spans="1:6" x14ac:dyDescent="0.25">
      <c r="A5460" s="1">
        <v>40299</v>
      </c>
      <c r="B5460" t="s">
        <v>24</v>
      </c>
      <c r="C5460" t="s">
        <v>11</v>
      </c>
      <c r="D5460">
        <v>56</v>
      </c>
      <c r="E5460" s="2">
        <v>3.6157407407407409E-2</v>
      </c>
      <c r="F5460">
        <v>52.06666666666667</v>
      </c>
    </row>
    <row r="5461" spans="1:6" x14ac:dyDescent="0.25">
      <c r="A5461" s="1">
        <v>40330</v>
      </c>
      <c r="B5461" t="s">
        <v>5</v>
      </c>
      <c r="C5461" t="s">
        <v>6</v>
      </c>
      <c r="D5461">
        <v>64</v>
      </c>
      <c r="E5461" s="2">
        <v>5.6041666666666663E-2</v>
      </c>
      <c r="F5461">
        <v>80.7</v>
      </c>
    </row>
    <row r="5462" spans="1:6" x14ac:dyDescent="0.25">
      <c r="A5462" s="1">
        <v>40330</v>
      </c>
      <c r="B5462" t="s">
        <v>5</v>
      </c>
      <c r="C5462" t="s">
        <v>7</v>
      </c>
      <c r="D5462">
        <v>45</v>
      </c>
      <c r="E5462" s="2">
        <v>3.6666666666666667E-2</v>
      </c>
      <c r="F5462">
        <v>52.8</v>
      </c>
    </row>
    <row r="5463" spans="1:6" x14ac:dyDescent="0.25">
      <c r="A5463" s="1">
        <v>40330</v>
      </c>
      <c r="B5463" t="s">
        <v>5</v>
      </c>
      <c r="C5463" t="s">
        <v>8</v>
      </c>
      <c r="D5463">
        <v>33</v>
      </c>
      <c r="E5463" s="2">
        <v>3.6874999999999998E-2</v>
      </c>
      <c r="F5463">
        <v>53.1</v>
      </c>
    </row>
    <row r="5464" spans="1:6" x14ac:dyDescent="0.25">
      <c r="A5464" s="1">
        <v>40330</v>
      </c>
      <c r="B5464" t="s">
        <v>5</v>
      </c>
      <c r="C5464" t="s">
        <v>9</v>
      </c>
      <c r="D5464">
        <v>28</v>
      </c>
      <c r="E5464" s="2">
        <v>1.7592592592592594E-2</v>
      </c>
      <c r="F5464">
        <v>25.333333333333332</v>
      </c>
    </row>
    <row r="5465" spans="1:6" x14ac:dyDescent="0.25">
      <c r="A5465" s="1">
        <v>40330</v>
      </c>
      <c r="B5465" t="s">
        <v>5</v>
      </c>
      <c r="C5465" t="s">
        <v>10</v>
      </c>
      <c r="D5465">
        <v>8</v>
      </c>
      <c r="E5465" s="2">
        <v>4.3055555555555555E-3</v>
      </c>
      <c r="F5465">
        <v>6.2</v>
      </c>
    </row>
    <row r="5466" spans="1:6" x14ac:dyDescent="0.25">
      <c r="A5466" s="1">
        <v>40330</v>
      </c>
      <c r="B5466" t="s">
        <v>5</v>
      </c>
      <c r="C5466" t="s">
        <v>11</v>
      </c>
      <c r="D5466">
        <v>41</v>
      </c>
      <c r="E5466" s="2">
        <v>2.6747685185185187E-2</v>
      </c>
      <c r="F5466">
        <v>38.516666666666666</v>
      </c>
    </row>
    <row r="5467" spans="1:6" x14ac:dyDescent="0.25">
      <c r="A5467" s="1">
        <v>40330</v>
      </c>
      <c r="B5467" t="s">
        <v>12</v>
      </c>
      <c r="C5467" t="s">
        <v>6</v>
      </c>
      <c r="D5467">
        <v>35</v>
      </c>
      <c r="E5467" s="2">
        <v>4.2002314814814812E-2</v>
      </c>
      <c r="F5467">
        <v>60.483333333333334</v>
      </c>
    </row>
    <row r="5468" spans="1:6" x14ac:dyDescent="0.25">
      <c r="A5468" s="1">
        <v>40330</v>
      </c>
      <c r="B5468" t="s">
        <v>12</v>
      </c>
      <c r="C5468" t="s">
        <v>7</v>
      </c>
      <c r="D5468">
        <v>32</v>
      </c>
      <c r="E5468" s="2">
        <v>3.6689814814814814E-2</v>
      </c>
      <c r="F5468">
        <v>52.833333333333336</v>
      </c>
    </row>
    <row r="5469" spans="1:6" x14ac:dyDescent="0.25">
      <c r="A5469" s="1">
        <v>40330</v>
      </c>
      <c r="B5469" t="s">
        <v>12</v>
      </c>
      <c r="C5469" t="s">
        <v>8</v>
      </c>
      <c r="D5469">
        <v>31</v>
      </c>
      <c r="E5469" s="2">
        <v>4.6631944444444441E-2</v>
      </c>
      <c r="F5469">
        <v>67.150000000000006</v>
      </c>
    </row>
    <row r="5470" spans="1:6" x14ac:dyDescent="0.25">
      <c r="A5470" s="1">
        <v>40330</v>
      </c>
      <c r="B5470" t="s">
        <v>12</v>
      </c>
      <c r="C5470" t="s">
        <v>9</v>
      </c>
      <c r="D5470">
        <v>11</v>
      </c>
      <c r="E5470" s="2">
        <v>7.083333333333333E-3</v>
      </c>
      <c r="F5470">
        <v>10.199999999999999</v>
      </c>
    </row>
    <row r="5471" spans="1:6" x14ac:dyDescent="0.25">
      <c r="A5471" s="1">
        <v>40330</v>
      </c>
      <c r="B5471" t="s">
        <v>12</v>
      </c>
      <c r="C5471" t="s">
        <v>10</v>
      </c>
      <c r="D5471">
        <v>86</v>
      </c>
      <c r="E5471" s="2">
        <v>0.1502199074074074</v>
      </c>
      <c r="F5471">
        <v>216.31666666666666</v>
      </c>
    </row>
    <row r="5472" spans="1:6" x14ac:dyDescent="0.25">
      <c r="A5472" s="1">
        <v>40330</v>
      </c>
      <c r="B5472" t="s">
        <v>12</v>
      </c>
      <c r="C5472" t="s">
        <v>11</v>
      </c>
      <c r="D5472">
        <v>23</v>
      </c>
      <c r="E5472" s="2">
        <v>2.4340277777777777E-2</v>
      </c>
      <c r="F5472">
        <v>35.049999999999997</v>
      </c>
    </row>
    <row r="5473" spans="1:6" x14ac:dyDescent="0.25">
      <c r="A5473" s="1">
        <v>40330</v>
      </c>
      <c r="B5473" t="s">
        <v>13</v>
      </c>
      <c r="C5473" t="s">
        <v>6</v>
      </c>
      <c r="D5473">
        <v>36</v>
      </c>
      <c r="E5473" s="2">
        <v>2.8194444444444446E-2</v>
      </c>
      <c r="F5473">
        <v>40.6</v>
      </c>
    </row>
    <row r="5474" spans="1:6" x14ac:dyDescent="0.25">
      <c r="A5474" s="1">
        <v>40330</v>
      </c>
      <c r="B5474" t="s">
        <v>13</v>
      </c>
      <c r="C5474" t="s">
        <v>7</v>
      </c>
      <c r="D5474">
        <v>38</v>
      </c>
      <c r="E5474" s="2">
        <v>4.3981481481481483E-2</v>
      </c>
      <c r="F5474">
        <v>63.333333333333336</v>
      </c>
    </row>
    <row r="5475" spans="1:6" x14ac:dyDescent="0.25">
      <c r="A5475" s="1">
        <v>40330</v>
      </c>
      <c r="B5475" t="s">
        <v>13</v>
      </c>
      <c r="C5475" t="s">
        <v>8</v>
      </c>
      <c r="D5475">
        <v>36</v>
      </c>
      <c r="E5475" s="2">
        <v>4.5925925925925926E-2</v>
      </c>
      <c r="F5475">
        <v>66.13333333333334</v>
      </c>
    </row>
    <row r="5476" spans="1:6" x14ac:dyDescent="0.25">
      <c r="A5476" s="1">
        <v>40330</v>
      </c>
      <c r="B5476" t="s">
        <v>13</v>
      </c>
      <c r="C5476" t="s">
        <v>9</v>
      </c>
      <c r="D5476">
        <v>16</v>
      </c>
      <c r="E5476" s="2">
        <v>8.4953703703703701E-3</v>
      </c>
      <c r="F5476">
        <v>12.233333333333333</v>
      </c>
    </row>
    <row r="5477" spans="1:6" x14ac:dyDescent="0.25">
      <c r="A5477" s="1">
        <v>40330</v>
      </c>
      <c r="B5477" t="s">
        <v>13</v>
      </c>
      <c r="C5477" t="s">
        <v>10</v>
      </c>
      <c r="D5477">
        <v>20</v>
      </c>
      <c r="E5477" s="2">
        <v>2.4039351851851853E-2</v>
      </c>
      <c r="F5477">
        <v>34.616666666666667</v>
      </c>
    </row>
    <row r="5478" spans="1:6" x14ac:dyDescent="0.25">
      <c r="A5478" s="1">
        <v>40330</v>
      </c>
      <c r="B5478" t="s">
        <v>13</v>
      </c>
      <c r="C5478" t="s">
        <v>11</v>
      </c>
      <c r="D5478">
        <v>29</v>
      </c>
      <c r="E5478" s="2">
        <v>2.2962962962962963E-2</v>
      </c>
      <c r="F5478">
        <v>33.06666666666667</v>
      </c>
    </row>
    <row r="5479" spans="1:6" x14ac:dyDescent="0.25">
      <c r="A5479" s="1">
        <v>40330</v>
      </c>
      <c r="B5479" t="s">
        <v>14</v>
      </c>
      <c r="C5479" t="s">
        <v>6</v>
      </c>
      <c r="D5479">
        <v>19</v>
      </c>
      <c r="E5479" s="2">
        <v>2.420138888888889E-2</v>
      </c>
      <c r="F5479">
        <v>34.85</v>
      </c>
    </row>
    <row r="5480" spans="1:6" x14ac:dyDescent="0.25">
      <c r="A5480" s="1">
        <v>40330</v>
      </c>
      <c r="B5480" t="s">
        <v>14</v>
      </c>
      <c r="C5480" t="s">
        <v>7</v>
      </c>
      <c r="D5480">
        <v>16</v>
      </c>
      <c r="E5480" s="2">
        <v>2.5833333333333333E-2</v>
      </c>
      <c r="F5480">
        <v>37.200000000000003</v>
      </c>
    </row>
    <row r="5481" spans="1:6" x14ac:dyDescent="0.25">
      <c r="A5481" s="1">
        <v>40330</v>
      </c>
      <c r="B5481" t="s">
        <v>14</v>
      </c>
      <c r="C5481" t="s">
        <v>8</v>
      </c>
      <c r="D5481">
        <v>10</v>
      </c>
      <c r="E5481" s="2">
        <v>1.3506944444444445E-2</v>
      </c>
      <c r="F5481">
        <v>19.45</v>
      </c>
    </row>
    <row r="5482" spans="1:6" x14ac:dyDescent="0.25">
      <c r="A5482" s="1">
        <v>40330</v>
      </c>
      <c r="B5482" t="s">
        <v>14</v>
      </c>
      <c r="C5482" t="s">
        <v>9</v>
      </c>
      <c r="D5482">
        <v>6</v>
      </c>
      <c r="E5482" s="2">
        <v>5.347222222222222E-3</v>
      </c>
      <c r="F5482">
        <v>7.7</v>
      </c>
    </row>
    <row r="5483" spans="1:6" x14ac:dyDescent="0.25">
      <c r="A5483" s="1">
        <v>40330</v>
      </c>
      <c r="B5483" t="s">
        <v>14</v>
      </c>
      <c r="C5483" t="s">
        <v>10</v>
      </c>
      <c r="D5483">
        <v>5</v>
      </c>
      <c r="E5483" s="2">
        <v>9.7685185185185184E-3</v>
      </c>
      <c r="F5483">
        <v>14.066666666666666</v>
      </c>
    </row>
    <row r="5484" spans="1:6" x14ac:dyDescent="0.25">
      <c r="A5484" s="1">
        <v>40330</v>
      </c>
      <c r="B5484" t="s">
        <v>14</v>
      </c>
      <c r="C5484" t="s">
        <v>11</v>
      </c>
      <c r="D5484">
        <v>11</v>
      </c>
      <c r="E5484" s="2">
        <v>1.3553240740740741E-2</v>
      </c>
      <c r="F5484">
        <v>19.516666666666666</v>
      </c>
    </row>
    <row r="5485" spans="1:6" x14ac:dyDescent="0.25">
      <c r="A5485" s="1">
        <v>40330</v>
      </c>
      <c r="B5485" t="s">
        <v>15</v>
      </c>
      <c r="C5485" t="s">
        <v>6</v>
      </c>
      <c r="D5485">
        <v>40</v>
      </c>
      <c r="E5485" s="2">
        <v>3.8032407407407411E-2</v>
      </c>
      <c r="F5485">
        <v>54.766666666666666</v>
      </c>
    </row>
    <row r="5486" spans="1:6" x14ac:dyDescent="0.25">
      <c r="A5486" s="1">
        <v>40330</v>
      </c>
      <c r="B5486" t="s">
        <v>15</v>
      </c>
      <c r="C5486" t="s">
        <v>7</v>
      </c>
      <c r="D5486">
        <v>20</v>
      </c>
      <c r="E5486" s="2">
        <v>1.8657407407407407E-2</v>
      </c>
      <c r="F5486">
        <v>26.866666666666667</v>
      </c>
    </row>
    <row r="5487" spans="1:6" x14ac:dyDescent="0.25">
      <c r="A5487" s="1">
        <v>40330</v>
      </c>
      <c r="B5487" t="s">
        <v>15</v>
      </c>
      <c r="C5487" t="s">
        <v>8</v>
      </c>
      <c r="D5487">
        <v>12</v>
      </c>
      <c r="E5487" s="2">
        <v>1.1377314814814814E-2</v>
      </c>
      <c r="F5487">
        <v>16.383333333333333</v>
      </c>
    </row>
    <row r="5488" spans="1:6" x14ac:dyDescent="0.25">
      <c r="A5488" s="1">
        <v>40330</v>
      </c>
      <c r="B5488" t="s">
        <v>15</v>
      </c>
      <c r="C5488" t="s">
        <v>9</v>
      </c>
      <c r="D5488">
        <v>9</v>
      </c>
      <c r="E5488" s="2">
        <v>5.5787037037037038E-3</v>
      </c>
      <c r="F5488">
        <v>8.0333333333333332</v>
      </c>
    </row>
    <row r="5489" spans="1:6" x14ac:dyDescent="0.25">
      <c r="A5489" s="1">
        <v>40330</v>
      </c>
      <c r="B5489" t="s">
        <v>15</v>
      </c>
      <c r="C5489" t="s">
        <v>10</v>
      </c>
      <c r="D5489">
        <v>21</v>
      </c>
      <c r="E5489" s="2">
        <v>1.6712962962962964E-2</v>
      </c>
      <c r="F5489">
        <v>24.066666666666666</v>
      </c>
    </row>
    <row r="5490" spans="1:6" x14ac:dyDescent="0.25">
      <c r="A5490" s="1">
        <v>40330</v>
      </c>
      <c r="B5490" t="s">
        <v>15</v>
      </c>
      <c r="C5490" t="s">
        <v>11</v>
      </c>
      <c r="D5490">
        <v>20</v>
      </c>
      <c r="E5490" s="2">
        <v>1.2037037037037037E-2</v>
      </c>
      <c r="F5490">
        <v>17.333333333333332</v>
      </c>
    </row>
    <row r="5491" spans="1:6" x14ac:dyDescent="0.25">
      <c r="A5491" s="1">
        <v>40330</v>
      </c>
      <c r="B5491" t="s">
        <v>16</v>
      </c>
      <c r="C5491" t="s">
        <v>6</v>
      </c>
      <c r="D5491">
        <v>37</v>
      </c>
      <c r="E5491" s="2">
        <v>3.8449074074074073E-2</v>
      </c>
      <c r="F5491">
        <v>55.366666666666667</v>
      </c>
    </row>
    <row r="5492" spans="1:6" x14ac:dyDescent="0.25">
      <c r="A5492" s="1">
        <v>40330</v>
      </c>
      <c r="B5492" t="s">
        <v>16</v>
      </c>
      <c r="C5492" t="s">
        <v>7</v>
      </c>
      <c r="D5492">
        <v>28</v>
      </c>
      <c r="E5492" s="2">
        <v>2.5763888888888888E-2</v>
      </c>
      <c r="F5492">
        <v>37.1</v>
      </c>
    </row>
    <row r="5493" spans="1:6" x14ac:dyDescent="0.25">
      <c r="A5493" s="1">
        <v>40330</v>
      </c>
      <c r="B5493" t="s">
        <v>16</v>
      </c>
      <c r="C5493" t="s">
        <v>8</v>
      </c>
      <c r="D5493">
        <v>19</v>
      </c>
      <c r="E5493" s="2">
        <v>1.9837962962962963E-2</v>
      </c>
      <c r="F5493">
        <v>28.566666666666666</v>
      </c>
    </row>
    <row r="5494" spans="1:6" x14ac:dyDescent="0.25">
      <c r="A5494" s="1">
        <v>40330</v>
      </c>
      <c r="B5494" t="s">
        <v>16</v>
      </c>
      <c r="C5494" t="s">
        <v>9</v>
      </c>
      <c r="D5494">
        <v>20</v>
      </c>
      <c r="E5494" s="2">
        <v>1.2511574074074074E-2</v>
      </c>
      <c r="F5494">
        <v>18.016666666666666</v>
      </c>
    </row>
    <row r="5495" spans="1:6" x14ac:dyDescent="0.25">
      <c r="A5495" s="1">
        <v>40330</v>
      </c>
      <c r="B5495" t="s">
        <v>16</v>
      </c>
      <c r="C5495" t="s">
        <v>10</v>
      </c>
      <c r="D5495">
        <v>3</v>
      </c>
      <c r="E5495" s="2">
        <v>3.7847222222222223E-3</v>
      </c>
      <c r="F5495">
        <v>5.45</v>
      </c>
    </row>
    <row r="5496" spans="1:6" x14ac:dyDescent="0.25">
      <c r="A5496" s="1">
        <v>40330</v>
      </c>
      <c r="B5496" t="s">
        <v>16</v>
      </c>
      <c r="C5496" t="s">
        <v>11</v>
      </c>
      <c r="D5496">
        <v>40</v>
      </c>
      <c r="E5496" s="2">
        <v>2.7685185185185184E-2</v>
      </c>
      <c r="F5496">
        <v>39.866666666666667</v>
      </c>
    </row>
    <row r="5497" spans="1:6" x14ac:dyDescent="0.25">
      <c r="A5497" s="1">
        <v>40330</v>
      </c>
      <c r="B5497" t="s">
        <v>17</v>
      </c>
      <c r="C5497" t="s">
        <v>6</v>
      </c>
      <c r="D5497">
        <v>17</v>
      </c>
      <c r="E5497" s="2">
        <v>1.4930555555555556E-2</v>
      </c>
      <c r="F5497">
        <v>21.5</v>
      </c>
    </row>
    <row r="5498" spans="1:6" x14ac:dyDescent="0.25">
      <c r="A5498" s="1">
        <v>40330</v>
      </c>
      <c r="B5498" t="s">
        <v>17</v>
      </c>
      <c r="C5498" t="s">
        <v>7</v>
      </c>
      <c r="D5498">
        <v>18</v>
      </c>
      <c r="E5498" s="2">
        <v>1.8680555555555554E-2</v>
      </c>
      <c r="F5498">
        <v>26.9</v>
      </c>
    </row>
    <row r="5499" spans="1:6" x14ac:dyDescent="0.25">
      <c r="A5499" s="1">
        <v>40330</v>
      </c>
      <c r="B5499" t="s">
        <v>17</v>
      </c>
      <c r="C5499" t="s">
        <v>8</v>
      </c>
      <c r="D5499">
        <v>15</v>
      </c>
      <c r="E5499" s="2">
        <v>1.5173611111111112E-2</v>
      </c>
      <c r="F5499">
        <v>21.85</v>
      </c>
    </row>
    <row r="5500" spans="1:6" x14ac:dyDescent="0.25">
      <c r="A5500" s="1">
        <v>40330</v>
      </c>
      <c r="B5500" t="s">
        <v>17</v>
      </c>
      <c r="C5500" t="s">
        <v>9</v>
      </c>
      <c r="D5500">
        <v>10</v>
      </c>
      <c r="E5500" s="2">
        <v>5.7060185185185183E-3</v>
      </c>
      <c r="F5500">
        <v>8.2166666666666668</v>
      </c>
    </row>
    <row r="5501" spans="1:6" x14ac:dyDescent="0.25">
      <c r="A5501" s="1">
        <v>40330</v>
      </c>
      <c r="B5501" t="s">
        <v>17</v>
      </c>
      <c r="C5501" t="s">
        <v>10</v>
      </c>
      <c r="D5501">
        <v>7</v>
      </c>
      <c r="E5501" s="2">
        <v>9.4444444444444445E-3</v>
      </c>
      <c r="F5501">
        <v>13.6</v>
      </c>
    </row>
    <row r="5502" spans="1:6" x14ac:dyDescent="0.25">
      <c r="A5502" s="1">
        <v>40330</v>
      </c>
      <c r="B5502" t="s">
        <v>17</v>
      </c>
      <c r="C5502" t="s">
        <v>11</v>
      </c>
      <c r="D5502">
        <v>14</v>
      </c>
      <c r="E5502" s="2">
        <v>8.8078703703703704E-3</v>
      </c>
      <c r="F5502">
        <v>12.683333333333334</v>
      </c>
    </row>
    <row r="5503" spans="1:6" x14ac:dyDescent="0.25">
      <c r="A5503" s="1">
        <v>40330</v>
      </c>
      <c r="B5503" t="s">
        <v>18</v>
      </c>
      <c r="C5503" t="s">
        <v>6</v>
      </c>
      <c r="D5503">
        <v>58</v>
      </c>
      <c r="E5503" s="2">
        <v>4.3935185185185188E-2</v>
      </c>
      <c r="F5503">
        <v>63.266666666666666</v>
      </c>
    </row>
    <row r="5504" spans="1:6" x14ac:dyDescent="0.25">
      <c r="A5504" s="1">
        <v>40330</v>
      </c>
      <c r="B5504" t="s">
        <v>18</v>
      </c>
      <c r="C5504" t="s">
        <v>7</v>
      </c>
      <c r="D5504">
        <v>68</v>
      </c>
      <c r="E5504" s="2">
        <v>6.3912037037037031E-2</v>
      </c>
      <c r="F5504">
        <v>92.033333333333331</v>
      </c>
    </row>
    <row r="5505" spans="1:6" x14ac:dyDescent="0.25">
      <c r="A5505" s="1">
        <v>40330</v>
      </c>
      <c r="B5505" t="s">
        <v>18</v>
      </c>
      <c r="C5505" t="s">
        <v>8</v>
      </c>
      <c r="D5505">
        <v>65</v>
      </c>
      <c r="E5505" s="2">
        <v>6.6122685185185187E-2</v>
      </c>
      <c r="F5505">
        <v>95.216666666666669</v>
      </c>
    </row>
    <row r="5506" spans="1:6" x14ac:dyDescent="0.25">
      <c r="A5506" s="1">
        <v>40330</v>
      </c>
      <c r="B5506" t="s">
        <v>18</v>
      </c>
      <c r="C5506" t="s">
        <v>9</v>
      </c>
      <c r="D5506">
        <v>53</v>
      </c>
      <c r="E5506" s="2">
        <v>3.2731481481481479E-2</v>
      </c>
      <c r="F5506">
        <v>47.133333333333333</v>
      </c>
    </row>
    <row r="5507" spans="1:6" x14ac:dyDescent="0.25">
      <c r="A5507" s="1">
        <v>40330</v>
      </c>
      <c r="B5507" t="s">
        <v>18</v>
      </c>
      <c r="C5507" t="s">
        <v>10</v>
      </c>
      <c r="D5507">
        <v>150</v>
      </c>
      <c r="E5507" s="2">
        <v>0.17211805555555557</v>
      </c>
      <c r="F5507">
        <v>247.85</v>
      </c>
    </row>
    <row r="5508" spans="1:6" x14ac:dyDescent="0.25">
      <c r="A5508" s="1">
        <v>40330</v>
      </c>
      <c r="B5508" t="s">
        <v>18</v>
      </c>
      <c r="C5508" t="s">
        <v>11</v>
      </c>
      <c r="D5508">
        <v>36</v>
      </c>
      <c r="E5508" s="2">
        <v>2.1226851851851851E-2</v>
      </c>
      <c r="F5508">
        <v>30.566666666666666</v>
      </c>
    </row>
    <row r="5509" spans="1:6" x14ac:dyDescent="0.25">
      <c r="A5509" s="1">
        <v>40330</v>
      </c>
      <c r="B5509" t="s">
        <v>19</v>
      </c>
      <c r="C5509" t="s">
        <v>6</v>
      </c>
      <c r="D5509">
        <v>25</v>
      </c>
      <c r="E5509" s="2">
        <v>2.5706018518518517E-2</v>
      </c>
      <c r="F5509">
        <v>37.016666666666666</v>
      </c>
    </row>
    <row r="5510" spans="1:6" x14ac:dyDescent="0.25">
      <c r="A5510" s="1">
        <v>40330</v>
      </c>
      <c r="B5510" t="s">
        <v>19</v>
      </c>
      <c r="C5510" t="s">
        <v>7</v>
      </c>
      <c r="D5510">
        <v>38</v>
      </c>
      <c r="E5510" s="2">
        <v>4.6631944444444441E-2</v>
      </c>
      <c r="F5510">
        <v>67.150000000000006</v>
      </c>
    </row>
    <row r="5511" spans="1:6" x14ac:dyDescent="0.25">
      <c r="A5511" s="1">
        <v>40330</v>
      </c>
      <c r="B5511" t="s">
        <v>19</v>
      </c>
      <c r="C5511" t="s">
        <v>8</v>
      </c>
      <c r="D5511">
        <v>39</v>
      </c>
      <c r="E5511" s="2">
        <v>4.5682870370370374E-2</v>
      </c>
      <c r="F5511">
        <v>65.783333333333331</v>
      </c>
    </row>
    <row r="5512" spans="1:6" x14ac:dyDescent="0.25">
      <c r="A5512" s="1">
        <v>40330</v>
      </c>
      <c r="B5512" t="s">
        <v>19</v>
      </c>
      <c r="C5512" t="s">
        <v>9</v>
      </c>
      <c r="D5512">
        <v>30</v>
      </c>
      <c r="E5512" s="2">
        <v>2.4039351851851853E-2</v>
      </c>
      <c r="F5512">
        <v>34.616666666666667</v>
      </c>
    </row>
    <row r="5513" spans="1:6" x14ac:dyDescent="0.25">
      <c r="A5513" s="1">
        <v>40330</v>
      </c>
      <c r="B5513" t="s">
        <v>19</v>
      </c>
      <c r="C5513" t="s">
        <v>10</v>
      </c>
      <c r="D5513">
        <v>17</v>
      </c>
      <c r="E5513" s="2">
        <v>1.8101851851851852E-2</v>
      </c>
      <c r="F5513">
        <v>26.066666666666666</v>
      </c>
    </row>
    <row r="5514" spans="1:6" x14ac:dyDescent="0.25">
      <c r="A5514" s="1">
        <v>40330</v>
      </c>
      <c r="B5514" t="s">
        <v>19</v>
      </c>
      <c r="C5514" t="s">
        <v>11</v>
      </c>
      <c r="D5514">
        <v>39</v>
      </c>
      <c r="E5514" s="2">
        <v>2.3310185185185184E-2</v>
      </c>
      <c r="F5514">
        <v>33.56666666666667</v>
      </c>
    </row>
    <row r="5515" spans="1:6" x14ac:dyDescent="0.25">
      <c r="A5515" s="1">
        <v>40330</v>
      </c>
      <c r="B5515" t="s">
        <v>20</v>
      </c>
      <c r="C5515" t="s">
        <v>6</v>
      </c>
      <c r="D5515">
        <v>33</v>
      </c>
      <c r="E5515" s="2">
        <v>4.1099537037037039E-2</v>
      </c>
      <c r="F5515">
        <v>59.18333333333333</v>
      </c>
    </row>
    <row r="5516" spans="1:6" x14ac:dyDescent="0.25">
      <c r="A5516" s="1">
        <v>40330</v>
      </c>
      <c r="B5516" t="s">
        <v>20</v>
      </c>
      <c r="C5516" t="s">
        <v>7</v>
      </c>
      <c r="D5516">
        <v>52</v>
      </c>
      <c r="E5516" s="2">
        <v>5.6770833333333333E-2</v>
      </c>
      <c r="F5516">
        <v>81.75</v>
      </c>
    </row>
    <row r="5517" spans="1:6" x14ac:dyDescent="0.25">
      <c r="A5517" s="1">
        <v>40330</v>
      </c>
      <c r="B5517" t="s">
        <v>20</v>
      </c>
      <c r="C5517" t="s">
        <v>8</v>
      </c>
      <c r="D5517">
        <v>33</v>
      </c>
      <c r="E5517" s="2">
        <v>4.1956018518518517E-2</v>
      </c>
      <c r="F5517">
        <v>60.416666666666664</v>
      </c>
    </row>
    <row r="5518" spans="1:6" x14ac:dyDescent="0.25">
      <c r="A5518" s="1">
        <v>40330</v>
      </c>
      <c r="B5518" t="s">
        <v>20</v>
      </c>
      <c r="C5518" t="s">
        <v>9</v>
      </c>
      <c r="D5518">
        <v>19</v>
      </c>
      <c r="E5518" s="2">
        <v>1.5856481481481482E-2</v>
      </c>
      <c r="F5518">
        <v>22.833333333333332</v>
      </c>
    </row>
    <row r="5519" spans="1:6" x14ac:dyDescent="0.25">
      <c r="A5519" s="1">
        <v>40330</v>
      </c>
      <c r="B5519" t="s">
        <v>20</v>
      </c>
      <c r="C5519" t="s">
        <v>10</v>
      </c>
      <c r="D5519">
        <v>8</v>
      </c>
      <c r="E5519" s="2">
        <v>1.1064814814814816E-2</v>
      </c>
      <c r="F5519">
        <v>15.933333333333334</v>
      </c>
    </row>
    <row r="5520" spans="1:6" x14ac:dyDescent="0.25">
      <c r="A5520" s="1">
        <v>40330</v>
      </c>
      <c r="B5520" t="s">
        <v>20</v>
      </c>
      <c r="C5520" t="s">
        <v>11</v>
      </c>
      <c r="D5520">
        <v>22</v>
      </c>
      <c r="E5520" s="2">
        <v>1.5162037037037036E-2</v>
      </c>
      <c r="F5520">
        <v>21.833333333333332</v>
      </c>
    </row>
    <row r="5521" spans="1:6" x14ac:dyDescent="0.25">
      <c r="A5521" s="1">
        <v>40330</v>
      </c>
      <c r="B5521" t="s">
        <v>21</v>
      </c>
      <c r="C5521" t="s">
        <v>6</v>
      </c>
      <c r="D5521">
        <v>17</v>
      </c>
      <c r="E5521" s="2">
        <v>2.1990740740740741E-2</v>
      </c>
      <c r="F5521">
        <v>31.666666666666668</v>
      </c>
    </row>
    <row r="5522" spans="1:6" x14ac:dyDescent="0.25">
      <c r="A5522" s="1">
        <v>40330</v>
      </c>
      <c r="B5522" t="s">
        <v>21</v>
      </c>
      <c r="C5522" t="s">
        <v>7</v>
      </c>
      <c r="D5522">
        <v>11</v>
      </c>
      <c r="E5522" s="2">
        <v>1.6134259259259258E-2</v>
      </c>
      <c r="F5522">
        <v>23.233333333333334</v>
      </c>
    </row>
    <row r="5523" spans="1:6" x14ac:dyDescent="0.25">
      <c r="A5523" s="1">
        <v>40330</v>
      </c>
      <c r="B5523" t="s">
        <v>21</v>
      </c>
      <c r="C5523" t="s">
        <v>8</v>
      </c>
      <c r="D5523">
        <v>9</v>
      </c>
      <c r="E5523" s="2">
        <v>1.2939814814814815E-2</v>
      </c>
      <c r="F5523">
        <v>18.633333333333333</v>
      </c>
    </row>
    <row r="5524" spans="1:6" x14ac:dyDescent="0.25">
      <c r="A5524" s="1">
        <v>40330</v>
      </c>
      <c r="B5524" t="s">
        <v>21</v>
      </c>
      <c r="C5524" t="s">
        <v>9</v>
      </c>
      <c r="D5524">
        <v>8</v>
      </c>
      <c r="E5524" s="2">
        <v>4.4791666666666669E-3</v>
      </c>
      <c r="F5524">
        <v>6.45</v>
      </c>
    </row>
    <row r="5525" spans="1:6" x14ac:dyDescent="0.25">
      <c r="A5525" s="1">
        <v>40330</v>
      </c>
      <c r="B5525" t="s">
        <v>21</v>
      </c>
      <c r="C5525" t="s">
        <v>10</v>
      </c>
      <c r="D5525">
        <v>4</v>
      </c>
      <c r="E5525" s="2">
        <v>6.030092592592593E-3</v>
      </c>
      <c r="F5525">
        <v>8.6833333333333336</v>
      </c>
    </row>
    <row r="5526" spans="1:6" x14ac:dyDescent="0.25">
      <c r="A5526" s="1">
        <v>40330</v>
      </c>
      <c r="B5526" t="s">
        <v>21</v>
      </c>
      <c r="C5526" t="s">
        <v>11</v>
      </c>
      <c r="D5526">
        <v>10</v>
      </c>
      <c r="E5526" s="2">
        <v>1.1585648148148149E-2</v>
      </c>
      <c r="F5526">
        <v>16.683333333333334</v>
      </c>
    </row>
    <row r="5527" spans="1:6" x14ac:dyDescent="0.25">
      <c r="A5527" s="1">
        <v>40330</v>
      </c>
      <c r="B5527" t="s">
        <v>22</v>
      </c>
      <c r="C5527" t="s">
        <v>6</v>
      </c>
      <c r="D5527">
        <v>6</v>
      </c>
      <c r="E5527" s="2">
        <v>6.076388888888889E-3</v>
      </c>
      <c r="F5527">
        <v>8.75</v>
      </c>
    </row>
    <row r="5528" spans="1:6" x14ac:dyDescent="0.25">
      <c r="A5528" s="1">
        <v>40330</v>
      </c>
      <c r="B5528" t="s">
        <v>22</v>
      </c>
      <c r="C5528" t="s">
        <v>7</v>
      </c>
      <c r="D5528">
        <v>6</v>
      </c>
      <c r="E5528" s="2">
        <v>8.8425925925925929E-3</v>
      </c>
      <c r="F5528">
        <v>12.733333333333333</v>
      </c>
    </row>
    <row r="5529" spans="1:6" x14ac:dyDescent="0.25">
      <c r="A5529" s="1">
        <v>40330</v>
      </c>
      <c r="B5529" t="s">
        <v>22</v>
      </c>
      <c r="C5529" t="s">
        <v>8</v>
      </c>
      <c r="D5529">
        <v>5</v>
      </c>
      <c r="E5529" s="2">
        <v>6.4351851851851853E-3</v>
      </c>
      <c r="F5529">
        <v>9.2666666666666675</v>
      </c>
    </row>
    <row r="5530" spans="1:6" x14ac:dyDescent="0.25">
      <c r="A5530" s="1">
        <v>40330</v>
      </c>
      <c r="B5530" t="s">
        <v>22</v>
      </c>
      <c r="C5530" t="s">
        <v>9</v>
      </c>
      <c r="D5530">
        <v>6</v>
      </c>
      <c r="E5530" s="2">
        <v>4.2361111111111115E-3</v>
      </c>
      <c r="F5530">
        <v>6.1</v>
      </c>
    </row>
    <row r="5531" spans="1:6" x14ac:dyDescent="0.25">
      <c r="A5531" s="1">
        <v>40330</v>
      </c>
      <c r="B5531" t="s">
        <v>22</v>
      </c>
      <c r="C5531" t="s">
        <v>10</v>
      </c>
      <c r="D5531">
        <v>2</v>
      </c>
      <c r="E5531" s="2">
        <v>2.8240740740740739E-3</v>
      </c>
      <c r="F5531">
        <v>4.0666666666666664</v>
      </c>
    </row>
    <row r="5532" spans="1:6" x14ac:dyDescent="0.25">
      <c r="A5532" s="1">
        <v>40330</v>
      </c>
      <c r="B5532" t="s">
        <v>22</v>
      </c>
      <c r="C5532" t="s">
        <v>11</v>
      </c>
      <c r="D5532">
        <v>6</v>
      </c>
      <c r="E5532" s="2">
        <v>3.6458333333333334E-3</v>
      </c>
      <c r="F5532">
        <v>5.25</v>
      </c>
    </row>
    <row r="5533" spans="1:6" x14ac:dyDescent="0.25">
      <c r="A5533" s="1">
        <v>40330</v>
      </c>
      <c r="B5533" t="s">
        <v>23</v>
      </c>
      <c r="C5533" t="s">
        <v>6</v>
      </c>
      <c r="D5533">
        <v>100</v>
      </c>
      <c r="E5533" s="2">
        <v>0.11387731481481482</v>
      </c>
      <c r="F5533">
        <v>163.98333333333332</v>
      </c>
    </row>
    <row r="5534" spans="1:6" x14ac:dyDescent="0.25">
      <c r="A5534" s="1">
        <v>40330</v>
      </c>
      <c r="B5534" t="s">
        <v>23</v>
      </c>
      <c r="C5534" t="s">
        <v>7</v>
      </c>
      <c r="D5534">
        <v>86</v>
      </c>
      <c r="E5534" s="2">
        <v>9.0023148148148144E-2</v>
      </c>
      <c r="F5534">
        <v>129.63333333333333</v>
      </c>
    </row>
    <row r="5535" spans="1:6" x14ac:dyDescent="0.25">
      <c r="A5535" s="1">
        <v>40330</v>
      </c>
      <c r="B5535" t="s">
        <v>23</v>
      </c>
      <c r="C5535" t="s">
        <v>8</v>
      </c>
      <c r="D5535">
        <v>79</v>
      </c>
      <c r="E5535" s="2">
        <v>7.7037037037037043E-2</v>
      </c>
      <c r="F5535">
        <v>110.93333333333334</v>
      </c>
    </row>
    <row r="5536" spans="1:6" x14ac:dyDescent="0.25">
      <c r="A5536" s="1">
        <v>40330</v>
      </c>
      <c r="B5536" t="s">
        <v>23</v>
      </c>
      <c r="C5536" t="s">
        <v>9</v>
      </c>
      <c r="D5536">
        <v>42</v>
      </c>
      <c r="E5536" s="2">
        <v>2.883101851851852E-2</v>
      </c>
      <c r="F5536">
        <v>41.516666666666666</v>
      </c>
    </row>
    <row r="5537" spans="1:6" x14ac:dyDescent="0.25">
      <c r="A5537" s="1">
        <v>40330</v>
      </c>
      <c r="B5537" t="s">
        <v>23</v>
      </c>
      <c r="C5537" t="s">
        <v>10</v>
      </c>
      <c r="D5537">
        <v>28</v>
      </c>
      <c r="E5537" s="2">
        <v>3.9016203703703706E-2</v>
      </c>
      <c r="F5537">
        <v>56.18333333333333</v>
      </c>
    </row>
    <row r="5538" spans="1:6" x14ac:dyDescent="0.25">
      <c r="A5538" s="1">
        <v>40330</v>
      </c>
      <c r="B5538" t="s">
        <v>23</v>
      </c>
      <c r="C5538" t="s">
        <v>11</v>
      </c>
      <c r="D5538">
        <v>70</v>
      </c>
      <c r="E5538" s="2">
        <v>5.5787037037037038E-2</v>
      </c>
      <c r="F5538">
        <v>80.333333333333329</v>
      </c>
    </row>
    <row r="5539" spans="1:6" x14ac:dyDescent="0.25">
      <c r="A5539" s="1">
        <v>40330</v>
      </c>
      <c r="B5539" t="s">
        <v>24</v>
      </c>
      <c r="C5539" t="s">
        <v>6</v>
      </c>
      <c r="D5539">
        <v>178</v>
      </c>
      <c r="E5539" s="2">
        <v>0.18076388888888889</v>
      </c>
      <c r="F5539">
        <v>260.3</v>
      </c>
    </row>
    <row r="5540" spans="1:6" x14ac:dyDescent="0.25">
      <c r="A5540" s="1">
        <v>40330</v>
      </c>
      <c r="B5540" t="s">
        <v>24</v>
      </c>
      <c r="C5540" t="s">
        <v>7</v>
      </c>
      <c r="D5540">
        <v>160</v>
      </c>
      <c r="E5540" s="2">
        <v>0.14752314814814815</v>
      </c>
      <c r="F5540">
        <v>212.43333333333334</v>
      </c>
    </row>
    <row r="5541" spans="1:6" x14ac:dyDescent="0.25">
      <c r="A5541" s="1">
        <v>40330</v>
      </c>
      <c r="B5541" t="s">
        <v>24</v>
      </c>
      <c r="C5541" t="s">
        <v>8</v>
      </c>
      <c r="D5541">
        <v>93</v>
      </c>
      <c r="E5541" s="2">
        <v>9.3773148148148147E-2</v>
      </c>
      <c r="F5541">
        <v>135.03333333333333</v>
      </c>
    </row>
    <row r="5542" spans="1:6" x14ac:dyDescent="0.25">
      <c r="A5542" s="1">
        <v>40330</v>
      </c>
      <c r="B5542" t="s">
        <v>24</v>
      </c>
      <c r="C5542" t="s">
        <v>9</v>
      </c>
      <c r="D5542">
        <v>76</v>
      </c>
      <c r="E5542" s="2">
        <v>5.2939814814814815E-2</v>
      </c>
      <c r="F5542">
        <v>76.233333333333334</v>
      </c>
    </row>
    <row r="5543" spans="1:6" x14ac:dyDescent="0.25">
      <c r="A5543" s="1">
        <v>40330</v>
      </c>
      <c r="B5543" t="s">
        <v>24</v>
      </c>
      <c r="C5543" t="s">
        <v>10</v>
      </c>
      <c r="D5543">
        <v>17</v>
      </c>
      <c r="E5543" s="2">
        <v>2.6481481481481481E-2</v>
      </c>
      <c r="F5543">
        <v>38.133333333333333</v>
      </c>
    </row>
    <row r="5544" spans="1:6" x14ac:dyDescent="0.25">
      <c r="A5544" s="1">
        <v>40330</v>
      </c>
      <c r="B5544" t="s">
        <v>24</v>
      </c>
      <c r="C5544" t="s">
        <v>11</v>
      </c>
      <c r="D5544">
        <v>127</v>
      </c>
      <c r="E5544" s="2">
        <v>9.9375000000000005E-2</v>
      </c>
      <c r="F5544">
        <v>143.1</v>
      </c>
    </row>
    <row r="5545" spans="1:6" x14ac:dyDescent="0.25">
      <c r="A5545" s="1">
        <v>40360</v>
      </c>
      <c r="B5545" t="s">
        <v>5</v>
      </c>
      <c r="C5545" t="s">
        <v>6</v>
      </c>
      <c r="D5545">
        <v>38</v>
      </c>
      <c r="E5545" s="2">
        <v>3.0254629629629631E-2</v>
      </c>
      <c r="F5545">
        <v>43.56666666666667</v>
      </c>
    </row>
    <row r="5546" spans="1:6" x14ac:dyDescent="0.25">
      <c r="A5546" s="1">
        <v>40360</v>
      </c>
      <c r="B5546" t="s">
        <v>5</v>
      </c>
      <c r="C5546" t="s">
        <v>7</v>
      </c>
      <c r="D5546">
        <v>28</v>
      </c>
      <c r="E5546" s="2">
        <v>2.4305555555555556E-2</v>
      </c>
      <c r="F5546">
        <v>35</v>
      </c>
    </row>
    <row r="5547" spans="1:6" x14ac:dyDescent="0.25">
      <c r="A5547" s="1">
        <v>40360</v>
      </c>
      <c r="B5547" t="s">
        <v>5</v>
      </c>
      <c r="C5547" t="s">
        <v>8</v>
      </c>
      <c r="D5547">
        <v>20</v>
      </c>
      <c r="E5547" s="2">
        <v>1.8657407407407407E-2</v>
      </c>
      <c r="F5547">
        <v>26.866666666666667</v>
      </c>
    </row>
    <row r="5548" spans="1:6" x14ac:dyDescent="0.25">
      <c r="A5548" s="1">
        <v>40360</v>
      </c>
      <c r="B5548" t="s">
        <v>5</v>
      </c>
      <c r="C5548" t="s">
        <v>9</v>
      </c>
      <c r="D5548">
        <v>18</v>
      </c>
      <c r="E5548" s="2">
        <v>7.4537037037037037E-3</v>
      </c>
      <c r="F5548">
        <v>10.733333333333333</v>
      </c>
    </row>
    <row r="5549" spans="1:6" x14ac:dyDescent="0.25">
      <c r="A5549" s="1">
        <v>40360</v>
      </c>
      <c r="B5549" t="s">
        <v>5</v>
      </c>
      <c r="C5549" t="s">
        <v>10</v>
      </c>
      <c r="D5549">
        <v>9</v>
      </c>
      <c r="E5549" s="2">
        <v>7.3842592592592597E-3</v>
      </c>
      <c r="F5549">
        <v>10.633333333333333</v>
      </c>
    </row>
    <row r="5550" spans="1:6" x14ac:dyDescent="0.25">
      <c r="A5550" s="1">
        <v>40360</v>
      </c>
      <c r="B5550" t="s">
        <v>5</v>
      </c>
      <c r="C5550" t="s">
        <v>11</v>
      </c>
      <c r="D5550">
        <v>31</v>
      </c>
      <c r="E5550" s="2">
        <v>1.5787037037037037E-2</v>
      </c>
      <c r="F5550">
        <v>22.733333333333334</v>
      </c>
    </row>
    <row r="5551" spans="1:6" x14ac:dyDescent="0.25">
      <c r="A5551" s="1">
        <v>40360</v>
      </c>
      <c r="B5551" t="s">
        <v>12</v>
      </c>
      <c r="C5551" t="s">
        <v>6</v>
      </c>
      <c r="D5551">
        <v>59</v>
      </c>
      <c r="E5551" s="2">
        <v>7.5358796296296299E-2</v>
      </c>
      <c r="F5551">
        <v>108.51666666666667</v>
      </c>
    </row>
    <row r="5552" spans="1:6" x14ac:dyDescent="0.25">
      <c r="A5552" s="1">
        <v>40360</v>
      </c>
      <c r="B5552" t="s">
        <v>12</v>
      </c>
      <c r="C5552" t="s">
        <v>7</v>
      </c>
      <c r="D5552">
        <v>51</v>
      </c>
      <c r="E5552" s="2">
        <v>6.0046296296296299E-2</v>
      </c>
      <c r="F5552">
        <v>86.466666666666669</v>
      </c>
    </row>
    <row r="5553" spans="1:6" x14ac:dyDescent="0.25">
      <c r="A5553" s="1">
        <v>40360</v>
      </c>
      <c r="B5553" t="s">
        <v>12</v>
      </c>
      <c r="C5553" t="s">
        <v>8</v>
      </c>
      <c r="D5553">
        <v>40</v>
      </c>
      <c r="E5553" s="2">
        <v>5.9918981481481483E-2</v>
      </c>
      <c r="F5553">
        <v>86.283333333333331</v>
      </c>
    </row>
    <row r="5554" spans="1:6" x14ac:dyDescent="0.25">
      <c r="A5554" s="1">
        <v>40360</v>
      </c>
      <c r="B5554" t="s">
        <v>12</v>
      </c>
      <c r="C5554" t="s">
        <v>9</v>
      </c>
      <c r="D5554">
        <v>14</v>
      </c>
      <c r="E5554" s="2">
        <v>1.037037037037037E-2</v>
      </c>
      <c r="F5554">
        <v>14.933333333333334</v>
      </c>
    </row>
    <row r="5555" spans="1:6" x14ac:dyDescent="0.25">
      <c r="A5555" s="1">
        <v>40360</v>
      </c>
      <c r="B5555" t="s">
        <v>12</v>
      </c>
      <c r="C5555" t="s">
        <v>10</v>
      </c>
      <c r="D5555">
        <v>90</v>
      </c>
      <c r="E5555" s="2">
        <v>0.16438657407407409</v>
      </c>
      <c r="F5555">
        <v>236.71666666666667</v>
      </c>
    </row>
    <row r="5556" spans="1:6" x14ac:dyDescent="0.25">
      <c r="A5556" s="1">
        <v>40360</v>
      </c>
      <c r="B5556" t="s">
        <v>12</v>
      </c>
      <c r="C5556" t="s">
        <v>11</v>
      </c>
      <c r="D5556">
        <v>28</v>
      </c>
      <c r="E5556" s="2">
        <v>2.4259259259259258E-2</v>
      </c>
      <c r="F5556">
        <v>34.93333333333333</v>
      </c>
    </row>
    <row r="5557" spans="1:6" x14ac:dyDescent="0.25">
      <c r="A5557" s="1">
        <v>40360</v>
      </c>
      <c r="B5557" t="s">
        <v>13</v>
      </c>
      <c r="C5557" t="s">
        <v>6</v>
      </c>
      <c r="D5557">
        <v>31</v>
      </c>
      <c r="E5557" s="2">
        <v>4.0752314814814818E-2</v>
      </c>
      <c r="F5557">
        <v>58.68333333333333</v>
      </c>
    </row>
    <row r="5558" spans="1:6" x14ac:dyDescent="0.25">
      <c r="A5558" s="1">
        <v>40360</v>
      </c>
      <c r="B5558" t="s">
        <v>13</v>
      </c>
      <c r="C5558" t="s">
        <v>7</v>
      </c>
      <c r="D5558">
        <v>23</v>
      </c>
      <c r="E5558" s="2">
        <v>2.7233796296296298E-2</v>
      </c>
      <c r="F5558">
        <v>39.216666666666669</v>
      </c>
    </row>
    <row r="5559" spans="1:6" x14ac:dyDescent="0.25">
      <c r="A5559" s="1">
        <v>40360</v>
      </c>
      <c r="B5559" t="s">
        <v>13</v>
      </c>
      <c r="C5559" t="s">
        <v>8</v>
      </c>
      <c r="D5559">
        <v>14</v>
      </c>
      <c r="E5559" s="2">
        <v>2.2326388888888889E-2</v>
      </c>
      <c r="F5559">
        <v>32.15</v>
      </c>
    </row>
    <row r="5560" spans="1:6" x14ac:dyDescent="0.25">
      <c r="A5560" s="1">
        <v>40360</v>
      </c>
      <c r="B5560" t="s">
        <v>13</v>
      </c>
      <c r="C5560" t="s">
        <v>9</v>
      </c>
      <c r="D5560">
        <v>11</v>
      </c>
      <c r="E5560" s="2">
        <v>9.8726851851851857E-3</v>
      </c>
      <c r="F5560">
        <v>14.216666666666667</v>
      </c>
    </row>
    <row r="5561" spans="1:6" x14ac:dyDescent="0.25">
      <c r="A5561" s="1">
        <v>40360</v>
      </c>
      <c r="B5561" t="s">
        <v>13</v>
      </c>
      <c r="C5561" t="s">
        <v>10</v>
      </c>
      <c r="D5561">
        <v>17</v>
      </c>
      <c r="E5561" s="2">
        <v>2.4849537037037038E-2</v>
      </c>
      <c r="F5561">
        <v>35.783333333333331</v>
      </c>
    </row>
    <row r="5562" spans="1:6" x14ac:dyDescent="0.25">
      <c r="A5562" s="1">
        <v>40360</v>
      </c>
      <c r="B5562" t="s">
        <v>13</v>
      </c>
      <c r="C5562" t="s">
        <v>11</v>
      </c>
      <c r="D5562">
        <v>19</v>
      </c>
      <c r="E5562" s="2">
        <v>1.7384259259259259E-2</v>
      </c>
      <c r="F5562">
        <v>25.033333333333335</v>
      </c>
    </row>
    <row r="5563" spans="1:6" x14ac:dyDescent="0.25">
      <c r="A5563" s="1">
        <v>40360</v>
      </c>
      <c r="B5563" t="s">
        <v>14</v>
      </c>
      <c r="C5563" t="s">
        <v>6</v>
      </c>
      <c r="D5563">
        <v>5</v>
      </c>
      <c r="E5563" s="2">
        <v>5.7407407407407407E-3</v>
      </c>
      <c r="F5563">
        <v>8.2666666666666675</v>
      </c>
    </row>
    <row r="5564" spans="1:6" x14ac:dyDescent="0.25">
      <c r="A5564" s="1">
        <v>40360</v>
      </c>
      <c r="B5564" t="s">
        <v>14</v>
      </c>
      <c r="C5564" t="s">
        <v>7</v>
      </c>
      <c r="D5564">
        <v>5</v>
      </c>
      <c r="E5564" s="2">
        <v>5.9606481481481481E-3</v>
      </c>
      <c r="F5564">
        <v>8.5833333333333339</v>
      </c>
    </row>
    <row r="5565" spans="1:6" x14ac:dyDescent="0.25">
      <c r="A5565" s="1">
        <v>40360</v>
      </c>
      <c r="B5565" t="s">
        <v>14</v>
      </c>
      <c r="C5565" t="s">
        <v>8</v>
      </c>
      <c r="D5565">
        <v>3</v>
      </c>
      <c r="E5565" s="2">
        <v>4.4907407407407405E-3</v>
      </c>
      <c r="F5565">
        <v>6.4666666666666668</v>
      </c>
    </row>
    <row r="5566" spans="1:6" x14ac:dyDescent="0.25">
      <c r="A5566" s="1">
        <v>40360</v>
      </c>
      <c r="B5566" t="s">
        <v>14</v>
      </c>
      <c r="C5566" t="s">
        <v>9</v>
      </c>
      <c r="D5566">
        <v>3</v>
      </c>
      <c r="E5566" s="2">
        <v>3.0324074074074073E-3</v>
      </c>
      <c r="F5566">
        <v>4.3666666666666663</v>
      </c>
    </row>
    <row r="5567" spans="1:6" x14ac:dyDescent="0.25">
      <c r="A5567" s="1">
        <v>40360</v>
      </c>
      <c r="B5567" t="s">
        <v>14</v>
      </c>
      <c r="C5567" t="s">
        <v>10</v>
      </c>
      <c r="D5567">
        <v>2</v>
      </c>
      <c r="E5567" s="2">
        <v>2.9166666666666668E-3</v>
      </c>
      <c r="F5567">
        <v>4.2</v>
      </c>
    </row>
    <row r="5568" spans="1:6" x14ac:dyDescent="0.25">
      <c r="A5568" s="1">
        <v>40360</v>
      </c>
      <c r="B5568" t="s">
        <v>14</v>
      </c>
      <c r="C5568" t="s">
        <v>11</v>
      </c>
      <c r="D5568">
        <v>8</v>
      </c>
      <c r="E5568" s="2">
        <v>5.5324074074074078E-3</v>
      </c>
      <c r="F5568">
        <v>7.9666666666666668</v>
      </c>
    </row>
    <row r="5569" spans="1:6" x14ac:dyDescent="0.25">
      <c r="A5569" s="1">
        <v>40360</v>
      </c>
      <c r="B5569" t="s">
        <v>15</v>
      </c>
      <c r="C5569" t="s">
        <v>6</v>
      </c>
      <c r="D5569">
        <v>43</v>
      </c>
      <c r="E5569" s="2">
        <v>4.5740740740740742E-2</v>
      </c>
      <c r="F5569">
        <v>65.86666666666666</v>
      </c>
    </row>
    <row r="5570" spans="1:6" x14ac:dyDescent="0.25">
      <c r="A5570" s="1">
        <v>40360</v>
      </c>
      <c r="B5570" t="s">
        <v>15</v>
      </c>
      <c r="C5570" t="s">
        <v>7</v>
      </c>
      <c r="D5570">
        <v>29</v>
      </c>
      <c r="E5570" s="2">
        <v>2.5405092592592594E-2</v>
      </c>
      <c r="F5570">
        <v>36.583333333333336</v>
      </c>
    </row>
    <row r="5571" spans="1:6" x14ac:dyDescent="0.25">
      <c r="A5571" s="1">
        <v>40360</v>
      </c>
      <c r="B5571" t="s">
        <v>15</v>
      </c>
      <c r="C5571" t="s">
        <v>8</v>
      </c>
      <c r="D5571">
        <v>20</v>
      </c>
      <c r="E5571" s="2">
        <v>1.8784722222222223E-2</v>
      </c>
      <c r="F5571">
        <v>27.05</v>
      </c>
    </row>
    <row r="5572" spans="1:6" x14ac:dyDescent="0.25">
      <c r="A5572" s="1">
        <v>40360</v>
      </c>
      <c r="B5572" t="s">
        <v>15</v>
      </c>
      <c r="C5572" t="s">
        <v>9</v>
      </c>
      <c r="D5572">
        <v>11</v>
      </c>
      <c r="E5572" s="2">
        <v>6.5856481481481478E-3</v>
      </c>
      <c r="F5572">
        <v>9.4833333333333325</v>
      </c>
    </row>
    <row r="5573" spans="1:6" x14ac:dyDescent="0.25">
      <c r="A5573" s="1">
        <v>40360</v>
      </c>
      <c r="B5573" t="s">
        <v>15</v>
      </c>
      <c r="C5573" t="s">
        <v>10</v>
      </c>
      <c r="D5573">
        <v>16</v>
      </c>
      <c r="E5573" s="2">
        <v>1.5462962962962963E-2</v>
      </c>
      <c r="F5573">
        <v>22.266666666666666</v>
      </c>
    </row>
    <row r="5574" spans="1:6" x14ac:dyDescent="0.25">
      <c r="A5574" s="1">
        <v>40360</v>
      </c>
      <c r="B5574" t="s">
        <v>15</v>
      </c>
      <c r="C5574" t="s">
        <v>11</v>
      </c>
      <c r="D5574">
        <v>23</v>
      </c>
      <c r="E5574" s="2">
        <v>1.4861111111111111E-2</v>
      </c>
      <c r="F5574">
        <v>21.4</v>
      </c>
    </row>
    <row r="5575" spans="1:6" x14ac:dyDescent="0.25">
      <c r="A5575" s="1">
        <v>40360</v>
      </c>
      <c r="B5575" t="s">
        <v>16</v>
      </c>
      <c r="C5575" t="s">
        <v>6</v>
      </c>
      <c r="D5575">
        <v>32</v>
      </c>
      <c r="E5575" s="2">
        <v>3.1539351851851853E-2</v>
      </c>
      <c r="F5575">
        <v>45.416666666666664</v>
      </c>
    </row>
    <row r="5576" spans="1:6" x14ac:dyDescent="0.25">
      <c r="A5576" s="1">
        <v>40360</v>
      </c>
      <c r="B5576" t="s">
        <v>16</v>
      </c>
      <c r="C5576" t="s">
        <v>7</v>
      </c>
      <c r="D5576">
        <v>28</v>
      </c>
      <c r="E5576" s="2">
        <v>2.3553240740740739E-2</v>
      </c>
      <c r="F5576">
        <v>33.916666666666664</v>
      </c>
    </row>
    <row r="5577" spans="1:6" x14ac:dyDescent="0.25">
      <c r="A5577" s="1">
        <v>40360</v>
      </c>
      <c r="B5577" t="s">
        <v>16</v>
      </c>
      <c r="C5577" t="s">
        <v>8</v>
      </c>
      <c r="D5577">
        <v>22</v>
      </c>
      <c r="E5577" s="2">
        <v>2.3009259259259261E-2</v>
      </c>
      <c r="F5577">
        <v>33.133333333333333</v>
      </c>
    </row>
    <row r="5578" spans="1:6" x14ac:dyDescent="0.25">
      <c r="A5578" s="1">
        <v>40360</v>
      </c>
      <c r="B5578" t="s">
        <v>16</v>
      </c>
      <c r="C5578" t="s">
        <v>9</v>
      </c>
      <c r="D5578">
        <v>14</v>
      </c>
      <c r="E5578" s="2">
        <v>9.9652777777777778E-3</v>
      </c>
      <c r="F5578">
        <v>14.35</v>
      </c>
    </row>
    <row r="5579" spans="1:6" x14ac:dyDescent="0.25">
      <c r="A5579" s="1">
        <v>40360</v>
      </c>
      <c r="B5579" t="s">
        <v>16</v>
      </c>
      <c r="C5579" t="s">
        <v>10</v>
      </c>
      <c r="D5579">
        <v>7</v>
      </c>
      <c r="E5579" s="2">
        <v>6.4236111111111108E-3</v>
      </c>
      <c r="F5579">
        <v>9.25</v>
      </c>
    </row>
    <row r="5580" spans="1:6" x14ac:dyDescent="0.25">
      <c r="A5580" s="1">
        <v>40360</v>
      </c>
      <c r="B5580" t="s">
        <v>16</v>
      </c>
      <c r="C5580" t="s">
        <v>11</v>
      </c>
      <c r="D5580">
        <v>26</v>
      </c>
      <c r="E5580" s="2">
        <v>1.4456018518518519E-2</v>
      </c>
      <c r="F5580">
        <v>20.816666666666666</v>
      </c>
    </row>
    <row r="5581" spans="1:6" x14ac:dyDescent="0.25">
      <c r="A5581" s="1">
        <v>40360</v>
      </c>
      <c r="B5581" t="s">
        <v>17</v>
      </c>
      <c r="C5581" t="s">
        <v>6</v>
      </c>
      <c r="D5581">
        <v>10</v>
      </c>
      <c r="E5581" s="2">
        <v>1.6643518518518519E-2</v>
      </c>
      <c r="F5581">
        <v>23.966666666666665</v>
      </c>
    </row>
    <row r="5582" spans="1:6" x14ac:dyDescent="0.25">
      <c r="A5582" s="1">
        <v>40360</v>
      </c>
      <c r="B5582" t="s">
        <v>17</v>
      </c>
      <c r="C5582" t="s">
        <v>7</v>
      </c>
      <c r="D5582">
        <v>20</v>
      </c>
      <c r="E5582" s="2">
        <v>2.449074074074074E-2</v>
      </c>
      <c r="F5582">
        <v>35.266666666666666</v>
      </c>
    </row>
    <row r="5583" spans="1:6" x14ac:dyDescent="0.25">
      <c r="A5583" s="1">
        <v>40360</v>
      </c>
      <c r="B5583" t="s">
        <v>17</v>
      </c>
      <c r="C5583" t="s">
        <v>8</v>
      </c>
      <c r="D5583">
        <v>10</v>
      </c>
      <c r="E5583" s="2">
        <v>1.1608796296296296E-2</v>
      </c>
      <c r="F5583">
        <v>16.716666666666665</v>
      </c>
    </row>
    <row r="5584" spans="1:6" x14ac:dyDescent="0.25">
      <c r="A5584" s="1">
        <v>40360</v>
      </c>
      <c r="B5584" t="s">
        <v>17</v>
      </c>
      <c r="C5584" t="s">
        <v>9</v>
      </c>
      <c r="D5584">
        <v>4</v>
      </c>
      <c r="E5584" s="2">
        <v>1.3425925925925925E-3</v>
      </c>
      <c r="F5584">
        <v>1.9333333333333333</v>
      </c>
    </row>
    <row r="5585" spans="1:6" x14ac:dyDescent="0.25">
      <c r="A5585" s="1">
        <v>40360</v>
      </c>
      <c r="B5585" t="s">
        <v>17</v>
      </c>
      <c r="C5585" t="s">
        <v>10</v>
      </c>
      <c r="D5585">
        <v>3</v>
      </c>
      <c r="E5585" s="2">
        <v>3.460648148148148E-3</v>
      </c>
      <c r="F5585">
        <v>4.9833333333333334</v>
      </c>
    </row>
    <row r="5586" spans="1:6" x14ac:dyDescent="0.25">
      <c r="A5586" s="1">
        <v>40360</v>
      </c>
      <c r="B5586" t="s">
        <v>17</v>
      </c>
      <c r="C5586" t="s">
        <v>11</v>
      </c>
      <c r="D5586">
        <v>10</v>
      </c>
      <c r="E5586" s="2">
        <v>7.8240740740740736E-3</v>
      </c>
      <c r="F5586">
        <v>11.266666666666667</v>
      </c>
    </row>
    <row r="5587" spans="1:6" x14ac:dyDescent="0.25">
      <c r="A5587" s="1">
        <v>40360</v>
      </c>
      <c r="B5587" t="s">
        <v>18</v>
      </c>
      <c r="C5587" t="s">
        <v>6</v>
      </c>
      <c r="D5587">
        <v>29</v>
      </c>
      <c r="E5587" s="2">
        <v>2.207175925925926E-2</v>
      </c>
      <c r="F5587">
        <v>31.783333333333335</v>
      </c>
    </row>
    <row r="5588" spans="1:6" x14ac:dyDescent="0.25">
      <c r="A5588" s="1">
        <v>40360</v>
      </c>
      <c r="B5588" t="s">
        <v>18</v>
      </c>
      <c r="C5588" t="s">
        <v>7</v>
      </c>
      <c r="D5588">
        <v>64</v>
      </c>
      <c r="E5588" s="2">
        <v>3.9641203703703706E-2</v>
      </c>
      <c r="F5588">
        <v>57.083333333333336</v>
      </c>
    </row>
    <row r="5589" spans="1:6" x14ac:dyDescent="0.25">
      <c r="A5589" s="1">
        <v>40360</v>
      </c>
      <c r="B5589" t="s">
        <v>18</v>
      </c>
      <c r="C5589" t="s">
        <v>8</v>
      </c>
      <c r="D5589">
        <v>55</v>
      </c>
      <c r="E5589" s="2">
        <v>4.1122685185185186E-2</v>
      </c>
      <c r="F5589">
        <v>59.216666666666669</v>
      </c>
    </row>
    <row r="5590" spans="1:6" x14ac:dyDescent="0.25">
      <c r="A5590" s="1">
        <v>40360</v>
      </c>
      <c r="B5590" t="s">
        <v>18</v>
      </c>
      <c r="C5590" t="s">
        <v>9</v>
      </c>
      <c r="D5590">
        <v>35</v>
      </c>
      <c r="E5590" s="2">
        <v>2.2905092592592591E-2</v>
      </c>
      <c r="F5590">
        <v>32.983333333333334</v>
      </c>
    </row>
    <row r="5591" spans="1:6" x14ac:dyDescent="0.25">
      <c r="A5591" s="1">
        <v>40360</v>
      </c>
      <c r="B5591" t="s">
        <v>18</v>
      </c>
      <c r="C5591" t="s">
        <v>10</v>
      </c>
      <c r="D5591">
        <v>87</v>
      </c>
      <c r="E5591" s="2">
        <v>8.7951388888888885E-2</v>
      </c>
      <c r="F5591">
        <v>126.65</v>
      </c>
    </row>
    <row r="5592" spans="1:6" x14ac:dyDescent="0.25">
      <c r="A5592" s="1">
        <v>40360</v>
      </c>
      <c r="B5592" t="s">
        <v>18</v>
      </c>
      <c r="C5592" t="s">
        <v>11</v>
      </c>
      <c r="D5592">
        <v>27</v>
      </c>
      <c r="E5592" s="2">
        <v>1.5092592592592593E-2</v>
      </c>
      <c r="F5592">
        <v>21.733333333333334</v>
      </c>
    </row>
    <row r="5593" spans="1:6" x14ac:dyDescent="0.25">
      <c r="A5593" s="1">
        <v>40360</v>
      </c>
      <c r="B5593" t="s">
        <v>19</v>
      </c>
      <c r="C5593" t="s">
        <v>6</v>
      </c>
      <c r="D5593">
        <v>25</v>
      </c>
      <c r="E5593" s="2">
        <v>2.4814814814814814E-2</v>
      </c>
      <c r="F5593">
        <v>35.733333333333334</v>
      </c>
    </row>
    <row r="5594" spans="1:6" x14ac:dyDescent="0.25">
      <c r="A5594" s="1">
        <v>40360</v>
      </c>
      <c r="B5594" t="s">
        <v>19</v>
      </c>
      <c r="C5594" t="s">
        <v>7</v>
      </c>
      <c r="D5594">
        <v>40</v>
      </c>
      <c r="E5594" s="2">
        <v>3.2407407407407406E-2</v>
      </c>
      <c r="F5594">
        <v>46.666666666666664</v>
      </c>
    </row>
    <row r="5595" spans="1:6" x14ac:dyDescent="0.25">
      <c r="A5595" s="1">
        <v>40360</v>
      </c>
      <c r="B5595" t="s">
        <v>19</v>
      </c>
      <c r="C5595" t="s">
        <v>8</v>
      </c>
      <c r="D5595">
        <v>20</v>
      </c>
      <c r="E5595" s="2">
        <v>2.4675925925925928E-2</v>
      </c>
      <c r="F5595">
        <v>35.533333333333331</v>
      </c>
    </row>
    <row r="5596" spans="1:6" x14ac:dyDescent="0.25">
      <c r="A5596" s="1">
        <v>40360</v>
      </c>
      <c r="B5596" t="s">
        <v>19</v>
      </c>
      <c r="C5596" t="s">
        <v>9</v>
      </c>
      <c r="D5596">
        <v>36</v>
      </c>
      <c r="E5596" s="2">
        <v>2.4398148148148148E-2</v>
      </c>
      <c r="F5596">
        <v>35.133333333333333</v>
      </c>
    </row>
    <row r="5597" spans="1:6" x14ac:dyDescent="0.25">
      <c r="A5597" s="1">
        <v>40360</v>
      </c>
      <c r="B5597" t="s">
        <v>19</v>
      </c>
      <c r="C5597" t="s">
        <v>10</v>
      </c>
      <c r="D5597">
        <v>10</v>
      </c>
      <c r="E5597" s="2">
        <v>1.3113425925925926E-2</v>
      </c>
      <c r="F5597">
        <v>18.883333333333333</v>
      </c>
    </row>
    <row r="5598" spans="1:6" x14ac:dyDescent="0.25">
      <c r="A5598" s="1">
        <v>40360</v>
      </c>
      <c r="B5598" t="s">
        <v>19</v>
      </c>
      <c r="C5598" t="s">
        <v>11</v>
      </c>
      <c r="D5598">
        <v>44</v>
      </c>
      <c r="E5598" s="2">
        <v>2.9756944444444444E-2</v>
      </c>
      <c r="F5598">
        <v>42.85</v>
      </c>
    </row>
    <row r="5599" spans="1:6" x14ac:dyDescent="0.25">
      <c r="A5599" s="1">
        <v>40360</v>
      </c>
      <c r="B5599" t="s">
        <v>20</v>
      </c>
      <c r="C5599" t="s">
        <v>6</v>
      </c>
      <c r="D5599">
        <v>65</v>
      </c>
      <c r="E5599" s="2">
        <v>7.7499999999999999E-2</v>
      </c>
      <c r="F5599">
        <v>111.6</v>
      </c>
    </row>
    <row r="5600" spans="1:6" x14ac:dyDescent="0.25">
      <c r="A5600" s="1">
        <v>40360</v>
      </c>
      <c r="B5600" t="s">
        <v>20</v>
      </c>
      <c r="C5600" t="s">
        <v>7</v>
      </c>
      <c r="D5600">
        <v>64</v>
      </c>
      <c r="E5600" s="2">
        <v>6.2997685185185184E-2</v>
      </c>
      <c r="F5600">
        <v>90.716666666666669</v>
      </c>
    </row>
    <row r="5601" spans="1:6" x14ac:dyDescent="0.25">
      <c r="A5601" s="1">
        <v>40360</v>
      </c>
      <c r="B5601" t="s">
        <v>20</v>
      </c>
      <c r="C5601" t="s">
        <v>8</v>
      </c>
      <c r="D5601">
        <v>51</v>
      </c>
      <c r="E5601" s="2">
        <v>6.6574074074074077E-2</v>
      </c>
      <c r="F5601">
        <v>95.86666666666666</v>
      </c>
    </row>
    <row r="5602" spans="1:6" x14ac:dyDescent="0.25">
      <c r="A5602" s="1">
        <v>40360</v>
      </c>
      <c r="B5602" t="s">
        <v>20</v>
      </c>
      <c r="C5602" t="s">
        <v>9</v>
      </c>
      <c r="D5602">
        <v>36</v>
      </c>
      <c r="E5602" s="2">
        <v>2.8252314814814813E-2</v>
      </c>
      <c r="F5602">
        <v>40.68333333333333</v>
      </c>
    </row>
    <row r="5603" spans="1:6" x14ac:dyDescent="0.25">
      <c r="A5603" s="1">
        <v>40360</v>
      </c>
      <c r="B5603" t="s">
        <v>20</v>
      </c>
      <c r="C5603" t="s">
        <v>10</v>
      </c>
      <c r="D5603">
        <v>17</v>
      </c>
      <c r="E5603" s="2">
        <v>2.2858796296296297E-2</v>
      </c>
      <c r="F5603">
        <v>32.916666666666664</v>
      </c>
    </row>
    <row r="5604" spans="1:6" x14ac:dyDescent="0.25">
      <c r="A5604" s="1">
        <v>40360</v>
      </c>
      <c r="B5604" t="s">
        <v>20</v>
      </c>
      <c r="C5604" t="s">
        <v>11</v>
      </c>
      <c r="D5604">
        <v>36</v>
      </c>
      <c r="E5604" s="2">
        <v>2.8587962962962964E-2</v>
      </c>
      <c r="F5604">
        <v>41.166666666666664</v>
      </c>
    </row>
    <row r="5605" spans="1:6" x14ac:dyDescent="0.25">
      <c r="A5605" s="1">
        <v>40360</v>
      </c>
      <c r="B5605" t="s">
        <v>21</v>
      </c>
      <c r="C5605" t="s">
        <v>6</v>
      </c>
      <c r="D5605">
        <v>26</v>
      </c>
      <c r="E5605" s="2">
        <v>3.1319444444444441E-2</v>
      </c>
      <c r="F5605">
        <v>45.1</v>
      </c>
    </row>
    <row r="5606" spans="1:6" x14ac:dyDescent="0.25">
      <c r="A5606" s="1">
        <v>40360</v>
      </c>
      <c r="B5606" t="s">
        <v>21</v>
      </c>
      <c r="C5606" t="s">
        <v>7</v>
      </c>
      <c r="D5606">
        <v>26</v>
      </c>
      <c r="E5606" s="2">
        <v>3.138888888888889E-2</v>
      </c>
      <c r="F5606">
        <v>45.2</v>
      </c>
    </row>
    <row r="5607" spans="1:6" x14ac:dyDescent="0.25">
      <c r="A5607" s="1">
        <v>40360</v>
      </c>
      <c r="B5607" t="s">
        <v>21</v>
      </c>
      <c r="C5607" t="s">
        <v>8</v>
      </c>
      <c r="D5607">
        <v>14</v>
      </c>
      <c r="E5607" s="2">
        <v>1.861111111111111E-2</v>
      </c>
      <c r="F5607">
        <v>26.8</v>
      </c>
    </row>
    <row r="5608" spans="1:6" x14ac:dyDescent="0.25">
      <c r="A5608" s="1">
        <v>40360</v>
      </c>
      <c r="B5608" t="s">
        <v>21</v>
      </c>
      <c r="C5608" t="s">
        <v>9</v>
      </c>
      <c r="D5608">
        <v>11</v>
      </c>
      <c r="E5608" s="2">
        <v>9.7106481481481488E-3</v>
      </c>
      <c r="F5608">
        <v>13.983333333333333</v>
      </c>
    </row>
    <row r="5609" spans="1:6" x14ac:dyDescent="0.25">
      <c r="A5609" s="1">
        <v>40360</v>
      </c>
      <c r="B5609" t="s">
        <v>21</v>
      </c>
      <c r="C5609" t="s">
        <v>10</v>
      </c>
      <c r="D5609">
        <v>2</v>
      </c>
      <c r="E5609" s="2">
        <v>2.650462962962963E-3</v>
      </c>
      <c r="F5609">
        <v>3.8166666666666664</v>
      </c>
    </row>
    <row r="5610" spans="1:6" x14ac:dyDescent="0.25">
      <c r="A5610" s="1">
        <v>40360</v>
      </c>
      <c r="B5610" t="s">
        <v>21</v>
      </c>
      <c r="C5610" t="s">
        <v>11</v>
      </c>
      <c r="D5610">
        <v>21</v>
      </c>
      <c r="E5610" s="2">
        <v>1.9178240740740742E-2</v>
      </c>
      <c r="F5610">
        <v>27.616666666666667</v>
      </c>
    </row>
    <row r="5611" spans="1:6" x14ac:dyDescent="0.25">
      <c r="A5611" s="1">
        <v>40360</v>
      </c>
      <c r="B5611" t="s">
        <v>22</v>
      </c>
      <c r="C5611" t="s">
        <v>6</v>
      </c>
      <c r="D5611">
        <v>12</v>
      </c>
      <c r="E5611" s="2">
        <v>1.224537037037037E-2</v>
      </c>
      <c r="F5611">
        <v>17.633333333333333</v>
      </c>
    </row>
    <row r="5612" spans="1:6" x14ac:dyDescent="0.25">
      <c r="A5612" s="1">
        <v>40360</v>
      </c>
      <c r="B5612" t="s">
        <v>22</v>
      </c>
      <c r="C5612" t="s">
        <v>7</v>
      </c>
      <c r="D5612">
        <v>4</v>
      </c>
      <c r="E5612" s="2">
        <v>4.4791666666666669E-3</v>
      </c>
      <c r="F5612">
        <v>6.45</v>
      </c>
    </row>
    <row r="5613" spans="1:6" x14ac:dyDescent="0.25">
      <c r="A5613" s="1">
        <v>40360</v>
      </c>
      <c r="B5613" t="s">
        <v>22</v>
      </c>
      <c r="C5613" t="s">
        <v>8</v>
      </c>
      <c r="D5613">
        <v>3</v>
      </c>
      <c r="E5613" s="2">
        <v>4.6643518518518518E-3</v>
      </c>
      <c r="F5613">
        <v>6.7166666666666668</v>
      </c>
    </row>
    <row r="5614" spans="1:6" x14ac:dyDescent="0.25">
      <c r="A5614" s="1">
        <v>40360</v>
      </c>
      <c r="B5614" t="s">
        <v>22</v>
      </c>
      <c r="C5614" t="s">
        <v>9</v>
      </c>
      <c r="D5614">
        <v>4</v>
      </c>
      <c r="E5614" s="2">
        <v>1.8518518518518519E-3</v>
      </c>
      <c r="F5614">
        <v>2.6666666666666665</v>
      </c>
    </row>
    <row r="5615" spans="1:6" x14ac:dyDescent="0.25">
      <c r="A5615" s="1">
        <v>40360</v>
      </c>
      <c r="B5615" t="s">
        <v>22</v>
      </c>
      <c r="C5615" t="s">
        <v>10</v>
      </c>
      <c r="D5615">
        <v>2</v>
      </c>
      <c r="E5615" s="2">
        <v>3.1944444444444446E-3</v>
      </c>
      <c r="F5615">
        <v>4.5999999999999996</v>
      </c>
    </row>
    <row r="5616" spans="1:6" x14ac:dyDescent="0.25">
      <c r="A5616" s="1">
        <v>40360</v>
      </c>
      <c r="B5616" t="s">
        <v>22</v>
      </c>
      <c r="C5616" t="s">
        <v>11</v>
      </c>
      <c r="D5616">
        <v>7</v>
      </c>
      <c r="E5616" s="2">
        <v>4.7800925925925927E-3</v>
      </c>
      <c r="F5616">
        <v>6.8833333333333329</v>
      </c>
    </row>
    <row r="5617" spans="1:6" x14ac:dyDescent="0.25">
      <c r="A5617" s="1">
        <v>40360</v>
      </c>
      <c r="B5617" t="s">
        <v>23</v>
      </c>
      <c r="C5617" t="s">
        <v>6</v>
      </c>
      <c r="D5617">
        <v>83</v>
      </c>
      <c r="E5617" s="2">
        <v>8.6759259259259258E-2</v>
      </c>
      <c r="F5617">
        <v>124.93333333333334</v>
      </c>
    </row>
    <row r="5618" spans="1:6" x14ac:dyDescent="0.25">
      <c r="A5618" s="1">
        <v>40360</v>
      </c>
      <c r="B5618" t="s">
        <v>23</v>
      </c>
      <c r="C5618" t="s">
        <v>7</v>
      </c>
      <c r="D5618">
        <v>87</v>
      </c>
      <c r="E5618" s="2">
        <v>9.6493055555555554E-2</v>
      </c>
      <c r="F5618">
        <v>138.94999999999999</v>
      </c>
    </row>
    <row r="5619" spans="1:6" x14ac:dyDescent="0.25">
      <c r="A5619" s="1">
        <v>40360</v>
      </c>
      <c r="B5619" t="s">
        <v>23</v>
      </c>
      <c r="C5619" t="s">
        <v>8</v>
      </c>
      <c r="D5619">
        <v>65</v>
      </c>
      <c r="E5619" s="2">
        <v>7.0416666666666669E-2</v>
      </c>
      <c r="F5619">
        <v>101.4</v>
      </c>
    </row>
    <row r="5620" spans="1:6" x14ac:dyDescent="0.25">
      <c r="A5620" s="1">
        <v>40360</v>
      </c>
      <c r="B5620" t="s">
        <v>23</v>
      </c>
      <c r="C5620" t="s">
        <v>9</v>
      </c>
      <c r="D5620">
        <v>52</v>
      </c>
      <c r="E5620" s="2">
        <v>3.6712962962962961E-2</v>
      </c>
      <c r="F5620">
        <v>52.866666666666667</v>
      </c>
    </row>
    <row r="5621" spans="1:6" x14ac:dyDescent="0.25">
      <c r="A5621" s="1">
        <v>40360</v>
      </c>
      <c r="B5621" t="s">
        <v>23</v>
      </c>
      <c r="C5621" t="s">
        <v>10</v>
      </c>
      <c r="D5621">
        <v>32</v>
      </c>
      <c r="E5621" s="2">
        <v>4.2638888888888886E-2</v>
      </c>
      <c r="F5621">
        <v>61.4</v>
      </c>
    </row>
    <row r="5622" spans="1:6" x14ac:dyDescent="0.25">
      <c r="A5622" s="1">
        <v>40360</v>
      </c>
      <c r="B5622" t="s">
        <v>23</v>
      </c>
      <c r="C5622" t="s">
        <v>11</v>
      </c>
      <c r="D5622">
        <v>86</v>
      </c>
      <c r="E5622" s="2">
        <v>6.4282407407407413E-2</v>
      </c>
      <c r="F5622">
        <v>92.566666666666663</v>
      </c>
    </row>
    <row r="5623" spans="1:6" x14ac:dyDescent="0.25">
      <c r="A5623" s="1">
        <v>40360</v>
      </c>
      <c r="B5623" t="s">
        <v>24</v>
      </c>
      <c r="C5623" t="s">
        <v>6</v>
      </c>
      <c r="D5623">
        <v>74</v>
      </c>
      <c r="E5623" s="2">
        <v>6.8009259259259255E-2</v>
      </c>
      <c r="F5623">
        <v>97.933333333333337</v>
      </c>
    </row>
    <row r="5624" spans="1:6" x14ac:dyDescent="0.25">
      <c r="A5624" s="1">
        <v>40360</v>
      </c>
      <c r="B5624" t="s">
        <v>24</v>
      </c>
      <c r="C5624" t="s">
        <v>7</v>
      </c>
      <c r="D5624">
        <v>85</v>
      </c>
      <c r="E5624" s="2">
        <v>6.9236111111111109E-2</v>
      </c>
      <c r="F5624">
        <v>99.7</v>
      </c>
    </row>
    <row r="5625" spans="1:6" x14ac:dyDescent="0.25">
      <c r="A5625" s="1">
        <v>40360</v>
      </c>
      <c r="B5625" t="s">
        <v>24</v>
      </c>
      <c r="C5625" t="s">
        <v>8</v>
      </c>
      <c r="D5625">
        <v>61</v>
      </c>
      <c r="E5625" s="2">
        <v>6.025462962962963E-2</v>
      </c>
      <c r="F5625">
        <v>86.766666666666666</v>
      </c>
    </row>
    <row r="5626" spans="1:6" x14ac:dyDescent="0.25">
      <c r="A5626" s="1">
        <v>40360</v>
      </c>
      <c r="B5626" t="s">
        <v>24</v>
      </c>
      <c r="C5626" t="s">
        <v>9</v>
      </c>
      <c r="D5626">
        <v>44</v>
      </c>
      <c r="E5626" s="2">
        <v>2.6111111111111113E-2</v>
      </c>
      <c r="F5626">
        <v>37.6</v>
      </c>
    </row>
    <row r="5627" spans="1:6" x14ac:dyDescent="0.25">
      <c r="A5627" s="1">
        <v>40360</v>
      </c>
      <c r="B5627" t="s">
        <v>24</v>
      </c>
      <c r="C5627" t="s">
        <v>10</v>
      </c>
      <c r="D5627">
        <v>5</v>
      </c>
      <c r="E5627" s="2">
        <v>5.8101851851851856E-3</v>
      </c>
      <c r="F5627">
        <v>8.3666666666666671</v>
      </c>
    </row>
    <row r="5628" spans="1:6" x14ac:dyDescent="0.25">
      <c r="A5628" s="1">
        <v>40360</v>
      </c>
      <c r="B5628" t="s">
        <v>24</v>
      </c>
      <c r="C5628" t="s">
        <v>11</v>
      </c>
      <c r="D5628">
        <v>69</v>
      </c>
      <c r="E5628" s="2">
        <v>4.2581018518518518E-2</v>
      </c>
      <c r="F5628">
        <v>61.31666666666667</v>
      </c>
    </row>
    <row r="5629" spans="1:6" x14ac:dyDescent="0.25">
      <c r="A5629" s="1">
        <v>40391</v>
      </c>
      <c r="B5629" t="s">
        <v>5</v>
      </c>
      <c r="C5629" t="s">
        <v>6</v>
      </c>
      <c r="D5629">
        <v>75</v>
      </c>
      <c r="E5629" s="2">
        <v>6.5231481481481488E-2</v>
      </c>
      <c r="F5629">
        <v>93.933333333333337</v>
      </c>
    </row>
    <row r="5630" spans="1:6" x14ac:dyDescent="0.25">
      <c r="A5630" s="1">
        <v>40391</v>
      </c>
      <c r="B5630" t="s">
        <v>5</v>
      </c>
      <c r="C5630" t="s">
        <v>7</v>
      </c>
      <c r="D5630">
        <v>88</v>
      </c>
      <c r="E5630" s="2">
        <v>7.7245370370370367E-2</v>
      </c>
      <c r="F5630">
        <v>111.23333333333333</v>
      </c>
    </row>
    <row r="5631" spans="1:6" x14ac:dyDescent="0.25">
      <c r="A5631" s="1">
        <v>40391</v>
      </c>
      <c r="B5631" t="s">
        <v>5</v>
      </c>
      <c r="C5631" t="s">
        <v>8</v>
      </c>
      <c r="D5631">
        <v>69</v>
      </c>
      <c r="E5631" s="2">
        <v>6.6469907407407408E-2</v>
      </c>
      <c r="F5631">
        <v>95.716666666666669</v>
      </c>
    </row>
    <row r="5632" spans="1:6" x14ac:dyDescent="0.25">
      <c r="A5632" s="1">
        <v>40391</v>
      </c>
      <c r="B5632" t="s">
        <v>5</v>
      </c>
      <c r="C5632" t="s">
        <v>9</v>
      </c>
      <c r="D5632">
        <v>61</v>
      </c>
      <c r="E5632" s="2">
        <v>3.7951388888888889E-2</v>
      </c>
      <c r="F5632">
        <v>54.65</v>
      </c>
    </row>
    <row r="5633" spans="1:6" x14ac:dyDescent="0.25">
      <c r="A5633" s="1">
        <v>40391</v>
      </c>
      <c r="B5633" t="s">
        <v>5</v>
      </c>
      <c r="C5633" t="s">
        <v>10</v>
      </c>
      <c r="D5633">
        <v>55</v>
      </c>
      <c r="E5633" s="2">
        <v>5.7256944444444444E-2</v>
      </c>
      <c r="F5633">
        <v>82.45</v>
      </c>
    </row>
    <row r="5634" spans="1:6" x14ac:dyDescent="0.25">
      <c r="A5634" s="1">
        <v>40391</v>
      </c>
      <c r="B5634" t="s">
        <v>5</v>
      </c>
      <c r="C5634" t="s">
        <v>11</v>
      </c>
      <c r="D5634">
        <v>58</v>
      </c>
      <c r="E5634" s="2">
        <v>3.3032407407407406E-2</v>
      </c>
      <c r="F5634">
        <v>47.56666666666667</v>
      </c>
    </row>
    <row r="5635" spans="1:6" x14ac:dyDescent="0.25">
      <c r="A5635" s="1">
        <v>40391</v>
      </c>
      <c r="B5635" t="s">
        <v>12</v>
      </c>
      <c r="C5635" t="s">
        <v>6</v>
      </c>
      <c r="D5635">
        <v>65</v>
      </c>
      <c r="E5635" s="2">
        <v>8.1782407407407401E-2</v>
      </c>
      <c r="F5635">
        <v>117.76666666666667</v>
      </c>
    </row>
    <row r="5636" spans="1:6" x14ac:dyDescent="0.25">
      <c r="A5636" s="1">
        <v>40391</v>
      </c>
      <c r="B5636" t="s">
        <v>12</v>
      </c>
      <c r="C5636" t="s">
        <v>7</v>
      </c>
      <c r="D5636">
        <v>51</v>
      </c>
      <c r="E5636" s="2">
        <v>7.3923611111111107E-2</v>
      </c>
      <c r="F5636">
        <v>106.45</v>
      </c>
    </row>
    <row r="5637" spans="1:6" x14ac:dyDescent="0.25">
      <c r="A5637" s="1">
        <v>40391</v>
      </c>
      <c r="B5637" t="s">
        <v>12</v>
      </c>
      <c r="C5637" t="s">
        <v>8</v>
      </c>
      <c r="D5637">
        <v>41</v>
      </c>
      <c r="E5637" s="2">
        <v>6.1041666666666668E-2</v>
      </c>
      <c r="F5637">
        <v>87.9</v>
      </c>
    </row>
    <row r="5638" spans="1:6" x14ac:dyDescent="0.25">
      <c r="A5638" s="1">
        <v>40391</v>
      </c>
      <c r="B5638" t="s">
        <v>12</v>
      </c>
      <c r="C5638" t="s">
        <v>9</v>
      </c>
      <c r="D5638">
        <v>11</v>
      </c>
      <c r="E5638" s="2">
        <v>6.8402777777777776E-3</v>
      </c>
      <c r="F5638">
        <v>9.85</v>
      </c>
    </row>
    <row r="5639" spans="1:6" x14ac:dyDescent="0.25">
      <c r="A5639" s="1">
        <v>40391</v>
      </c>
      <c r="B5639" t="s">
        <v>12</v>
      </c>
      <c r="C5639" t="s">
        <v>10</v>
      </c>
      <c r="D5639">
        <v>84</v>
      </c>
      <c r="E5639" s="2">
        <v>0.18106481481481482</v>
      </c>
      <c r="F5639">
        <v>260.73333333333335</v>
      </c>
    </row>
    <row r="5640" spans="1:6" x14ac:dyDescent="0.25">
      <c r="A5640" s="1">
        <v>40391</v>
      </c>
      <c r="B5640" t="s">
        <v>12</v>
      </c>
      <c r="C5640" t="s">
        <v>11</v>
      </c>
      <c r="D5640">
        <v>32</v>
      </c>
      <c r="E5640" s="2">
        <v>2.9930555555555554E-2</v>
      </c>
      <c r="F5640">
        <v>43.1</v>
      </c>
    </row>
    <row r="5641" spans="1:6" x14ac:dyDescent="0.25">
      <c r="A5641" s="1">
        <v>40391</v>
      </c>
      <c r="B5641" t="s">
        <v>13</v>
      </c>
      <c r="C5641" t="s">
        <v>6</v>
      </c>
      <c r="D5641">
        <v>67</v>
      </c>
      <c r="E5641" s="2">
        <v>7.991898148148148E-2</v>
      </c>
      <c r="F5641">
        <v>115.08333333333333</v>
      </c>
    </row>
    <row r="5642" spans="1:6" x14ac:dyDescent="0.25">
      <c r="A5642" s="1">
        <v>40391</v>
      </c>
      <c r="B5642" t="s">
        <v>13</v>
      </c>
      <c r="C5642" t="s">
        <v>7</v>
      </c>
      <c r="D5642">
        <v>66</v>
      </c>
      <c r="E5642" s="2">
        <v>7.9444444444444443E-2</v>
      </c>
      <c r="F5642">
        <v>114.4</v>
      </c>
    </row>
    <row r="5643" spans="1:6" x14ac:dyDescent="0.25">
      <c r="A5643" s="1">
        <v>40391</v>
      </c>
      <c r="B5643" t="s">
        <v>13</v>
      </c>
      <c r="C5643" t="s">
        <v>8</v>
      </c>
      <c r="D5643">
        <v>32</v>
      </c>
      <c r="E5643" s="2">
        <v>3.6967592592592594E-2</v>
      </c>
      <c r="F5643">
        <v>53.233333333333334</v>
      </c>
    </row>
    <row r="5644" spans="1:6" x14ac:dyDescent="0.25">
      <c r="A5644" s="1">
        <v>40391</v>
      </c>
      <c r="B5644" t="s">
        <v>13</v>
      </c>
      <c r="C5644" t="s">
        <v>9</v>
      </c>
      <c r="D5644">
        <v>26</v>
      </c>
      <c r="E5644" s="2">
        <v>2.2951388888888889E-2</v>
      </c>
      <c r="F5644">
        <v>33.049999999999997</v>
      </c>
    </row>
    <row r="5645" spans="1:6" x14ac:dyDescent="0.25">
      <c r="A5645" s="1">
        <v>40391</v>
      </c>
      <c r="B5645" t="s">
        <v>13</v>
      </c>
      <c r="C5645" t="s">
        <v>10</v>
      </c>
      <c r="D5645">
        <v>19</v>
      </c>
      <c r="E5645" s="2">
        <v>2.5648148148148149E-2</v>
      </c>
      <c r="F5645">
        <v>36.93333333333333</v>
      </c>
    </row>
    <row r="5646" spans="1:6" x14ac:dyDescent="0.25">
      <c r="A5646" s="1">
        <v>40391</v>
      </c>
      <c r="B5646" t="s">
        <v>13</v>
      </c>
      <c r="C5646" t="s">
        <v>11</v>
      </c>
      <c r="D5646">
        <v>36</v>
      </c>
      <c r="E5646" s="2">
        <v>3.3460648148148149E-2</v>
      </c>
      <c r="F5646">
        <v>48.18333333333333</v>
      </c>
    </row>
    <row r="5647" spans="1:6" x14ac:dyDescent="0.25">
      <c r="A5647" s="1">
        <v>40391</v>
      </c>
      <c r="B5647" t="s">
        <v>14</v>
      </c>
      <c r="C5647" t="s">
        <v>6</v>
      </c>
      <c r="D5647">
        <v>24</v>
      </c>
      <c r="E5647" s="2">
        <v>2.9212962962962961E-2</v>
      </c>
      <c r="F5647">
        <v>42.06666666666667</v>
      </c>
    </row>
    <row r="5648" spans="1:6" x14ac:dyDescent="0.25">
      <c r="A5648" s="1">
        <v>40391</v>
      </c>
      <c r="B5648" t="s">
        <v>14</v>
      </c>
      <c r="C5648" t="s">
        <v>7</v>
      </c>
      <c r="D5648">
        <v>20</v>
      </c>
      <c r="E5648" s="2">
        <v>2.7673611111111111E-2</v>
      </c>
      <c r="F5648">
        <v>39.85</v>
      </c>
    </row>
    <row r="5649" spans="1:6" x14ac:dyDescent="0.25">
      <c r="A5649" s="1">
        <v>40391</v>
      </c>
      <c r="B5649" t="s">
        <v>14</v>
      </c>
      <c r="C5649" t="s">
        <v>8</v>
      </c>
      <c r="D5649">
        <v>17</v>
      </c>
      <c r="E5649" s="2">
        <v>2.2650462962962963E-2</v>
      </c>
      <c r="F5649">
        <v>32.616666666666667</v>
      </c>
    </row>
    <row r="5650" spans="1:6" x14ac:dyDescent="0.25">
      <c r="A5650" s="1">
        <v>40391</v>
      </c>
      <c r="B5650" t="s">
        <v>14</v>
      </c>
      <c r="C5650" t="s">
        <v>9</v>
      </c>
      <c r="D5650">
        <v>5</v>
      </c>
      <c r="E5650" s="2">
        <v>4.1550925925925922E-3</v>
      </c>
      <c r="F5650">
        <v>5.9833333333333334</v>
      </c>
    </row>
    <row r="5651" spans="1:6" x14ac:dyDescent="0.25">
      <c r="A5651" s="1">
        <v>40391</v>
      </c>
      <c r="B5651" t="s">
        <v>14</v>
      </c>
      <c r="C5651" t="s">
        <v>10</v>
      </c>
      <c r="D5651">
        <v>1</v>
      </c>
      <c r="E5651" s="2">
        <v>1.3425925925925925E-3</v>
      </c>
      <c r="F5651">
        <v>1.9333333333333333</v>
      </c>
    </row>
    <row r="5652" spans="1:6" x14ac:dyDescent="0.25">
      <c r="A5652" s="1">
        <v>40391</v>
      </c>
      <c r="B5652" t="s">
        <v>14</v>
      </c>
      <c r="C5652" t="s">
        <v>11</v>
      </c>
      <c r="D5652">
        <v>19</v>
      </c>
      <c r="E5652" s="2">
        <v>2.1840277777777778E-2</v>
      </c>
      <c r="F5652">
        <v>31.45</v>
      </c>
    </row>
    <row r="5653" spans="1:6" x14ac:dyDescent="0.25">
      <c r="A5653" s="1">
        <v>40391</v>
      </c>
      <c r="B5653" t="s">
        <v>15</v>
      </c>
      <c r="C5653" t="s">
        <v>6</v>
      </c>
      <c r="D5653">
        <v>50</v>
      </c>
      <c r="E5653" s="2">
        <v>5.903935185185185E-2</v>
      </c>
      <c r="F5653">
        <v>85.016666666666666</v>
      </c>
    </row>
    <row r="5654" spans="1:6" x14ac:dyDescent="0.25">
      <c r="A5654" s="1">
        <v>40391</v>
      </c>
      <c r="B5654" t="s">
        <v>15</v>
      </c>
      <c r="C5654" t="s">
        <v>7</v>
      </c>
      <c r="D5654">
        <v>29</v>
      </c>
      <c r="E5654" s="2">
        <v>2.5567129629629631E-2</v>
      </c>
      <c r="F5654">
        <v>36.81666666666667</v>
      </c>
    </row>
    <row r="5655" spans="1:6" x14ac:dyDescent="0.25">
      <c r="A5655" s="1">
        <v>40391</v>
      </c>
      <c r="B5655" t="s">
        <v>15</v>
      </c>
      <c r="C5655" t="s">
        <v>8</v>
      </c>
      <c r="D5655">
        <v>14</v>
      </c>
      <c r="E5655" s="2">
        <v>1.5428240740740741E-2</v>
      </c>
      <c r="F5655">
        <v>22.216666666666665</v>
      </c>
    </row>
    <row r="5656" spans="1:6" x14ac:dyDescent="0.25">
      <c r="A5656" s="1">
        <v>40391</v>
      </c>
      <c r="B5656" t="s">
        <v>15</v>
      </c>
      <c r="C5656" t="s">
        <v>9</v>
      </c>
      <c r="D5656">
        <v>10</v>
      </c>
      <c r="E5656" s="2">
        <v>5.1967592592592595E-3</v>
      </c>
      <c r="F5656">
        <v>7.4833333333333334</v>
      </c>
    </row>
    <row r="5657" spans="1:6" x14ac:dyDescent="0.25">
      <c r="A5657" s="1">
        <v>40391</v>
      </c>
      <c r="B5657" t="s">
        <v>15</v>
      </c>
      <c r="C5657" t="s">
        <v>10</v>
      </c>
      <c r="D5657">
        <v>19</v>
      </c>
      <c r="E5657" s="2">
        <v>2.6967592592592592E-2</v>
      </c>
      <c r="F5657">
        <v>38.833333333333336</v>
      </c>
    </row>
    <row r="5658" spans="1:6" x14ac:dyDescent="0.25">
      <c r="A5658" s="1">
        <v>40391</v>
      </c>
      <c r="B5658" t="s">
        <v>15</v>
      </c>
      <c r="C5658" t="s">
        <v>11</v>
      </c>
      <c r="D5658">
        <v>20</v>
      </c>
      <c r="E5658" s="2">
        <v>1.5972222222222221E-2</v>
      </c>
      <c r="F5658">
        <v>23</v>
      </c>
    </row>
    <row r="5659" spans="1:6" x14ac:dyDescent="0.25">
      <c r="A5659" s="1">
        <v>40391</v>
      </c>
      <c r="B5659" t="s">
        <v>16</v>
      </c>
      <c r="C5659" t="s">
        <v>6</v>
      </c>
      <c r="D5659">
        <v>37</v>
      </c>
      <c r="E5659" s="2">
        <v>3.3067129629629627E-2</v>
      </c>
      <c r="F5659">
        <v>47.616666666666667</v>
      </c>
    </row>
    <row r="5660" spans="1:6" x14ac:dyDescent="0.25">
      <c r="A5660" s="1">
        <v>40391</v>
      </c>
      <c r="B5660" t="s">
        <v>16</v>
      </c>
      <c r="C5660" t="s">
        <v>7</v>
      </c>
      <c r="D5660">
        <v>28</v>
      </c>
      <c r="E5660" s="2">
        <v>2.9259259259259259E-2</v>
      </c>
      <c r="F5660">
        <v>42.133333333333333</v>
      </c>
    </row>
    <row r="5661" spans="1:6" x14ac:dyDescent="0.25">
      <c r="A5661" s="1">
        <v>40391</v>
      </c>
      <c r="B5661" t="s">
        <v>16</v>
      </c>
      <c r="C5661" t="s">
        <v>8</v>
      </c>
      <c r="D5661">
        <v>23</v>
      </c>
      <c r="E5661" s="2">
        <v>1.7013888888888887E-2</v>
      </c>
      <c r="F5661">
        <v>24.5</v>
      </c>
    </row>
    <row r="5662" spans="1:6" x14ac:dyDescent="0.25">
      <c r="A5662" s="1">
        <v>40391</v>
      </c>
      <c r="B5662" t="s">
        <v>16</v>
      </c>
      <c r="C5662" t="s">
        <v>9</v>
      </c>
      <c r="D5662">
        <v>15</v>
      </c>
      <c r="E5662" s="2">
        <v>7.3379629629629628E-3</v>
      </c>
      <c r="F5662">
        <v>10.566666666666666</v>
      </c>
    </row>
    <row r="5663" spans="1:6" x14ac:dyDescent="0.25">
      <c r="A5663" s="1">
        <v>40391</v>
      </c>
      <c r="B5663" t="s">
        <v>16</v>
      </c>
      <c r="C5663" t="s">
        <v>10</v>
      </c>
      <c r="D5663">
        <v>3</v>
      </c>
      <c r="E5663" s="2">
        <v>2.9282407407407408E-3</v>
      </c>
      <c r="F5663">
        <v>4.2166666666666668</v>
      </c>
    </row>
    <row r="5664" spans="1:6" x14ac:dyDescent="0.25">
      <c r="A5664" s="1">
        <v>40391</v>
      </c>
      <c r="B5664" t="s">
        <v>16</v>
      </c>
      <c r="C5664" t="s">
        <v>11</v>
      </c>
      <c r="D5664">
        <v>35</v>
      </c>
      <c r="E5664" s="2">
        <v>2.1527777777777778E-2</v>
      </c>
      <c r="F5664">
        <v>31</v>
      </c>
    </row>
    <row r="5665" spans="1:6" x14ac:dyDescent="0.25">
      <c r="A5665" s="1">
        <v>40391</v>
      </c>
      <c r="B5665" t="s">
        <v>17</v>
      </c>
      <c r="C5665" t="s">
        <v>6</v>
      </c>
      <c r="D5665">
        <v>13</v>
      </c>
      <c r="E5665" s="2">
        <v>1.4999999999999999E-2</v>
      </c>
      <c r="F5665">
        <v>21.6</v>
      </c>
    </row>
    <row r="5666" spans="1:6" x14ac:dyDescent="0.25">
      <c r="A5666" s="1">
        <v>40391</v>
      </c>
      <c r="B5666" t="s">
        <v>17</v>
      </c>
      <c r="C5666" t="s">
        <v>7</v>
      </c>
      <c r="D5666">
        <v>6</v>
      </c>
      <c r="E5666" s="2">
        <v>5.7870370370370367E-3</v>
      </c>
      <c r="F5666">
        <v>8.3333333333333339</v>
      </c>
    </row>
    <row r="5667" spans="1:6" x14ac:dyDescent="0.25">
      <c r="A5667" s="1">
        <v>40391</v>
      </c>
      <c r="B5667" t="s">
        <v>17</v>
      </c>
      <c r="C5667" t="s">
        <v>8</v>
      </c>
      <c r="D5667">
        <v>3</v>
      </c>
      <c r="E5667" s="2">
        <v>3.0787037037037037E-3</v>
      </c>
      <c r="F5667">
        <v>4.4333333333333336</v>
      </c>
    </row>
    <row r="5668" spans="1:6" x14ac:dyDescent="0.25">
      <c r="A5668" s="1">
        <v>40391</v>
      </c>
      <c r="B5668" t="s">
        <v>17</v>
      </c>
      <c r="C5668" t="s">
        <v>9</v>
      </c>
      <c r="D5668">
        <v>4</v>
      </c>
      <c r="E5668" s="2">
        <v>3.5879629629629629E-3</v>
      </c>
      <c r="F5668">
        <v>5.166666666666667</v>
      </c>
    </row>
    <row r="5669" spans="1:6" x14ac:dyDescent="0.25">
      <c r="A5669" s="1">
        <v>40391</v>
      </c>
      <c r="B5669" t="s">
        <v>17</v>
      </c>
      <c r="C5669" t="s">
        <v>10</v>
      </c>
      <c r="D5669">
        <v>8</v>
      </c>
      <c r="E5669" s="2">
        <v>0.01</v>
      </c>
      <c r="F5669">
        <v>14.4</v>
      </c>
    </row>
    <row r="5670" spans="1:6" x14ac:dyDescent="0.25">
      <c r="A5670" s="1">
        <v>40391</v>
      </c>
      <c r="B5670" t="s">
        <v>17</v>
      </c>
      <c r="C5670" t="s">
        <v>11</v>
      </c>
      <c r="D5670">
        <v>4</v>
      </c>
      <c r="E5670" s="2">
        <v>2.0138888888888888E-3</v>
      </c>
      <c r="F5670">
        <v>2.9</v>
      </c>
    </row>
    <row r="5671" spans="1:6" x14ac:dyDescent="0.25">
      <c r="A5671" s="1">
        <v>40391</v>
      </c>
      <c r="B5671" t="s">
        <v>18</v>
      </c>
      <c r="C5671" t="s">
        <v>6</v>
      </c>
      <c r="D5671">
        <v>37</v>
      </c>
      <c r="E5671" s="2">
        <v>3.7037037037037035E-2</v>
      </c>
      <c r="F5671">
        <v>53.333333333333336</v>
      </c>
    </row>
    <row r="5672" spans="1:6" x14ac:dyDescent="0.25">
      <c r="A5672" s="1">
        <v>40391</v>
      </c>
      <c r="B5672" t="s">
        <v>18</v>
      </c>
      <c r="C5672" t="s">
        <v>7</v>
      </c>
      <c r="D5672">
        <v>71</v>
      </c>
      <c r="E5672" s="2">
        <v>4.9664351851851848E-2</v>
      </c>
      <c r="F5672">
        <v>71.516666666666666</v>
      </c>
    </row>
    <row r="5673" spans="1:6" x14ac:dyDescent="0.25">
      <c r="A5673" s="1">
        <v>40391</v>
      </c>
      <c r="B5673" t="s">
        <v>18</v>
      </c>
      <c r="C5673" t="s">
        <v>8</v>
      </c>
      <c r="D5673">
        <v>57</v>
      </c>
      <c r="E5673" s="2">
        <v>4.6851851851851853E-2</v>
      </c>
      <c r="F5673">
        <v>67.466666666666669</v>
      </c>
    </row>
    <row r="5674" spans="1:6" x14ac:dyDescent="0.25">
      <c r="A5674" s="1">
        <v>40391</v>
      </c>
      <c r="B5674" t="s">
        <v>18</v>
      </c>
      <c r="C5674" t="s">
        <v>9</v>
      </c>
      <c r="D5674">
        <v>35</v>
      </c>
      <c r="E5674" s="2">
        <v>2.1284722222222222E-2</v>
      </c>
      <c r="F5674">
        <v>30.65</v>
      </c>
    </row>
    <row r="5675" spans="1:6" x14ac:dyDescent="0.25">
      <c r="A5675" s="1">
        <v>40391</v>
      </c>
      <c r="B5675" t="s">
        <v>18</v>
      </c>
      <c r="C5675" t="s">
        <v>10</v>
      </c>
      <c r="D5675">
        <v>99</v>
      </c>
      <c r="E5675" s="2">
        <v>0.12268518518518519</v>
      </c>
      <c r="F5675">
        <v>176.66666666666666</v>
      </c>
    </row>
    <row r="5676" spans="1:6" x14ac:dyDescent="0.25">
      <c r="A5676" s="1">
        <v>40391</v>
      </c>
      <c r="B5676" t="s">
        <v>18</v>
      </c>
      <c r="C5676" t="s">
        <v>11</v>
      </c>
      <c r="D5676">
        <v>37</v>
      </c>
      <c r="E5676" s="2">
        <v>2.6157407407407407E-2</v>
      </c>
      <c r="F5676">
        <v>37.666666666666664</v>
      </c>
    </row>
    <row r="5677" spans="1:6" x14ac:dyDescent="0.25">
      <c r="A5677" s="1">
        <v>40391</v>
      </c>
      <c r="B5677" t="s">
        <v>19</v>
      </c>
      <c r="C5677" t="s">
        <v>6</v>
      </c>
      <c r="D5677">
        <v>22</v>
      </c>
      <c r="E5677" s="2">
        <v>2.4826388888888887E-2</v>
      </c>
      <c r="F5677">
        <v>35.75</v>
      </c>
    </row>
    <row r="5678" spans="1:6" x14ac:dyDescent="0.25">
      <c r="A5678" s="1">
        <v>40391</v>
      </c>
      <c r="B5678" t="s">
        <v>19</v>
      </c>
      <c r="C5678" t="s">
        <v>7</v>
      </c>
      <c r="D5678">
        <v>27</v>
      </c>
      <c r="E5678" s="2">
        <v>3.2488425925925928E-2</v>
      </c>
      <c r="F5678">
        <v>46.783333333333331</v>
      </c>
    </row>
    <row r="5679" spans="1:6" x14ac:dyDescent="0.25">
      <c r="A5679" s="1">
        <v>40391</v>
      </c>
      <c r="B5679" t="s">
        <v>19</v>
      </c>
      <c r="C5679" t="s">
        <v>8</v>
      </c>
      <c r="D5679">
        <v>25</v>
      </c>
      <c r="E5679" s="2">
        <v>2.6979166666666665E-2</v>
      </c>
      <c r="F5679">
        <v>38.85</v>
      </c>
    </row>
    <row r="5680" spans="1:6" x14ac:dyDescent="0.25">
      <c r="A5680" s="1">
        <v>40391</v>
      </c>
      <c r="B5680" t="s">
        <v>19</v>
      </c>
      <c r="C5680" t="s">
        <v>9</v>
      </c>
      <c r="D5680">
        <v>15</v>
      </c>
      <c r="E5680" s="2">
        <v>1.1747685185185186E-2</v>
      </c>
      <c r="F5680">
        <v>16.916666666666668</v>
      </c>
    </row>
    <row r="5681" spans="1:6" x14ac:dyDescent="0.25">
      <c r="A5681" s="1">
        <v>40391</v>
      </c>
      <c r="B5681" t="s">
        <v>19</v>
      </c>
      <c r="C5681" t="s">
        <v>10</v>
      </c>
      <c r="D5681">
        <v>4</v>
      </c>
      <c r="E5681" s="2">
        <v>5.1273148148148146E-3</v>
      </c>
      <c r="F5681">
        <v>7.3833333333333337</v>
      </c>
    </row>
    <row r="5682" spans="1:6" x14ac:dyDescent="0.25">
      <c r="A5682" s="1">
        <v>40391</v>
      </c>
      <c r="B5682" t="s">
        <v>19</v>
      </c>
      <c r="C5682" t="s">
        <v>11</v>
      </c>
      <c r="D5682">
        <v>28</v>
      </c>
      <c r="E5682" s="2">
        <v>1.511574074074074E-2</v>
      </c>
      <c r="F5682">
        <v>21.766666666666666</v>
      </c>
    </row>
    <row r="5683" spans="1:6" x14ac:dyDescent="0.25">
      <c r="A5683" s="1">
        <v>40391</v>
      </c>
      <c r="B5683" t="s">
        <v>20</v>
      </c>
      <c r="C5683" t="s">
        <v>6</v>
      </c>
      <c r="D5683">
        <v>59</v>
      </c>
      <c r="E5683" s="2">
        <v>7.3935185185185187E-2</v>
      </c>
      <c r="F5683">
        <v>106.46666666666667</v>
      </c>
    </row>
    <row r="5684" spans="1:6" x14ac:dyDescent="0.25">
      <c r="A5684" s="1">
        <v>40391</v>
      </c>
      <c r="B5684" t="s">
        <v>20</v>
      </c>
      <c r="C5684" t="s">
        <v>7</v>
      </c>
      <c r="D5684">
        <v>73</v>
      </c>
      <c r="E5684" s="2">
        <v>7.0266203703703706E-2</v>
      </c>
      <c r="F5684">
        <v>101.18333333333334</v>
      </c>
    </row>
    <row r="5685" spans="1:6" x14ac:dyDescent="0.25">
      <c r="A5685" s="1">
        <v>40391</v>
      </c>
      <c r="B5685" t="s">
        <v>20</v>
      </c>
      <c r="C5685" t="s">
        <v>8</v>
      </c>
      <c r="D5685">
        <v>46</v>
      </c>
      <c r="E5685" s="2">
        <v>5.6956018518518517E-2</v>
      </c>
      <c r="F5685">
        <v>82.016666666666666</v>
      </c>
    </row>
    <row r="5686" spans="1:6" x14ac:dyDescent="0.25">
      <c r="A5686" s="1">
        <v>40391</v>
      </c>
      <c r="B5686" t="s">
        <v>20</v>
      </c>
      <c r="C5686" t="s">
        <v>9</v>
      </c>
      <c r="D5686">
        <v>51</v>
      </c>
      <c r="E5686" s="2">
        <v>4.0520833333333332E-2</v>
      </c>
      <c r="F5686">
        <v>58.35</v>
      </c>
    </row>
    <row r="5687" spans="1:6" x14ac:dyDescent="0.25">
      <c r="A5687" s="1">
        <v>40391</v>
      </c>
      <c r="B5687" t="s">
        <v>20</v>
      </c>
      <c r="C5687" t="s">
        <v>10</v>
      </c>
      <c r="D5687">
        <v>18</v>
      </c>
      <c r="E5687" s="2">
        <v>2.5648148148148149E-2</v>
      </c>
      <c r="F5687">
        <v>36.93333333333333</v>
      </c>
    </row>
    <row r="5688" spans="1:6" x14ac:dyDescent="0.25">
      <c r="A5688" s="1">
        <v>40391</v>
      </c>
      <c r="B5688" t="s">
        <v>20</v>
      </c>
      <c r="C5688" t="s">
        <v>11</v>
      </c>
      <c r="D5688">
        <v>46</v>
      </c>
      <c r="E5688" s="2">
        <v>3.7685185185185183E-2</v>
      </c>
      <c r="F5688">
        <v>54.266666666666666</v>
      </c>
    </row>
    <row r="5689" spans="1:6" x14ac:dyDescent="0.25">
      <c r="A5689" s="1">
        <v>40391</v>
      </c>
      <c r="B5689" t="s">
        <v>21</v>
      </c>
      <c r="C5689" t="s">
        <v>6</v>
      </c>
      <c r="D5689">
        <v>16</v>
      </c>
      <c r="E5689" s="2">
        <v>2.4618055555555556E-2</v>
      </c>
      <c r="F5689">
        <v>35.450000000000003</v>
      </c>
    </row>
    <row r="5690" spans="1:6" x14ac:dyDescent="0.25">
      <c r="A5690" s="1">
        <v>40391</v>
      </c>
      <c r="B5690" t="s">
        <v>21</v>
      </c>
      <c r="C5690" t="s">
        <v>7</v>
      </c>
      <c r="D5690">
        <v>13</v>
      </c>
      <c r="E5690" s="2">
        <v>1.4826388888888889E-2</v>
      </c>
      <c r="F5690">
        <v>21.35</v>
      </c>
    </row>
    <row r="5691" spans="1:6" x14ac:dyDescent="0.25">
      <c r="A5691" s="1">
        <v>40391</v>
      </c>
      <c r="B5691" t="s">
        <v>21</v>
      </c>
      <c r="C5691" t="s">
        <v>8</v>
      </c>
      <c r="D5691">
        <v>16</v>
      </c>
      <c r="E5691" s="2">
        <v>2.1689814814814815E-2</v>
      </c>
      <c r="F5691">
        <v>31.233333333333334</v>
      </c>
    </row>
    <row r="5692" spans="1:6" x14ac:dyDescent="0.25">
      <c r="A5692" s="1">
        <v>40391</v>
      </c>
      <c r="B5692" t="s">
        <v>21</v>
      </c>
      <c r="C5692" t="s">
        <v>9</v>
      </c>
      <c r="D5692">
        <v>6</v>
      </c>
      <c r="E5692" s="2">
        <v>5.0578703703703706E-3</v>
      </c>
      <c r="F5692">
        <v>7.2833333333333332</v>
      </c>
    </row>
    <row r="5693" spans="1:6" x14ac:dyDescent="0.25">
      <c r="A5693" s="1">
        <v>40391</v>
      </c>
      <c r="B5693" t="s">
        <v>21</v>
      </c>
      <c r="C5693" t="s">
        <v>10</v>
      </c>
      <c r="D5693">
        <v>3</v>
      </c>
      <c r="E5693" s="2">
        <v>3.8078703703703703E-3</v>
      </c>
      <c r="F5693">
        <v>5.4833333333333334</v>
      </c>
    </row>
    <row r="5694" spans="1:6" x14ac:dyDescent="0.25">
      <c r="A5694" s="1">
        <v>40391</v>
      </c>
      <c r="B5694" t="s">
        <v>21</v>
      </c>
      <c r="C5694" t="s">
        <v>11</v>
      </c>
      <c r="D5694">
        <v>12</v>
      </c>
      <c r="E5694" s="2">
        <v>1.2604166666666666E-2</v>
      </c>
      <c r="F5694">
        <v>18.149999999999999</v>
      </c>
    </row>
    <row r="5695" spans="1:6" x14ac:dyDescent="0.25">
      <c r="A5695" s="1">
        <v>40391</v>
      </c>
      <c r="B5695" t="s">
        <v>22</v>
      </c>
      <c r="C5695" t="s">
        <v>6</v>
      </c>
      <c r="D5695">
        <v>12</v>
      </c>
      <c r="E5695" s="2">
        <v>1.3715277777777778E-2</v>
      </c>
      <c r="F5695">
        <v>19.75</v>
      </c>
    </row>
    <row r="5696" spans="1:6" x14ac:dyDescent="0.25">
      <c r="A5696" s="1">
        <v>40391</v>
      </c>
      <c r="B5696" t="s">
        <v>22</v>
      </c>
      <c r="C5696" t="s">
        <v>7</v>
      </c>
      <c r="D5696">
        <v>9</v>
      </c>
      <c r="E5696" s="2">
        <v>1.0081018518518519E-2</v>
      </c>
      <c r="F5696">
        <v>14.516666666666667</v>
      </c>
    </row>
    <row r="5697" spans="1:6" x14ac:dyDescent="0.25">
      <c r="A5697" s="1">
        <v>40391</v>
      </c>
      <c r="B5697" t="s">
        <v>22</v>
      </c>
      <c r="C5697" t="s">
        <v>8</v>
      </c>
      <c r="D5697">
        <v>8</v>
      </c>
      <c r="E5697" s="2">
        <v>1.2129629629629629E-2</v>
      </c>
      <c r="F5697">
        <v>17.466666666666665</v>
      </c>
    </row>
    <row r="5698" spans="1:6" x14ac:dyDescent="0.25">
      <c r="A5698" s="1">
        <v>40391</v>
      </c>
      <c r="B5698" t="s">
        <v>22</v>
      </c>
      <c r="C5698" t="s">
        <v>9</v>
      </c>
      <c r="D5698">
        <v>4</v>
      </c>
      <c r="E5698" s="2">
        <v>1.5972222222222223E-3</v>
      </c>
      <c r="F5698">
        <v>2.2999999999999998</v>
      </c>
    </row>
    <row r="5699" spans="1:6" x14ac:dyDescent="0.25">
      <c r="A5699" s="1">
        <v>40391</v>
      </c>
      <c r="B5699" t="s">
        <v>22</v>
      </c>
      <c r="C5699" t="s">
        <v>10</v>
      </c>
      <c r="D5699">
        <v>2</v>
      </c>
      <c r="E5699" s="2">
        <v>1.9328703703703704E-3</v>
      </c>
      <c r="F5699">
        <v>2.7833333333333332</v>
      </c>
    </row>
    <row r="5700" spans="1:6" x14ac:dyDescent="0.25">
      <c r="A5700" s="1">
        <v>40391</v>
      </c>
      <c r="B5700" t="s">
        <v>22</v>
      </c>
      <c r="C5700" t="s">
        <v>11</v>
      </c>
      <c r="D5700">
        <v>8</v>
      </c>
      <c r="E5700" s="2">
        <v>7.7546296296296295E-3</v>
      </c>
      <c r="F5700">
        <v>11.166666666666666</v>
      </c>
    </row>
    <row r="5701" spans="1:6" x14ac:dyDescent="0.25">
      <c r="A5701" s="1">
        <v>40391</v>
      </c>
      <c r="B5701" t="s">
        <v>23</v>
      </c>
      <c r="C5701" t="s">
        <v>6</v>
      </c>
      <c r="D5701">
        <v>138</v>
      </c>
      <c r="E5701" s="2">
        <v>0.15861111111111112</v>
      </c>
      <c r="F5701">
        <v>228.4</v>
      </c>
    </row>
    <row r="5702" spans="1:6" x14ac:dyDescent="0.25">
      <c r="A5702" s="1">
        <v>40391</v>
      </c>
      <c r="B5702" t="s">
        <v>23</v>
      </c>
      <c r="C5702" t="s">
        <v>7</v>
      </c>
      <c r="D5702">
        <v>105</v>
      </c>
      <c r="E5702" s="2">
        <v>0.12219907407407407</v>
      </c>
      <c r="F5702">
        <v>175.96666666666667</v>
      </c>
    </row>
    <row r="5703" spans="1:6" x14ac:dyDescent="0.25">
      <c r="A5703" s="1">
        <v>40391</v>
      </c>
      <c r="B5703" t="s">
        <v>23</v>
      </c>
      <c r="C5703" t="s">
        <v>8</v>
      </c>
      <c r="D5703">
        <v>80</v>
      </c>
      <c r="E5703" s="2">
        <v>0.10020833333333333</v>
      </c>
      <c r="F5703">
        <v>144.30000000000001</v>
      </c>
    </row>
    <row r="5704" spans="1:6" x14ac:dyDescent="0.25">
      <c r="A5704" s="1">
        <v>40391</v>
      </c>
      <c r="B5704" t="s">
        <v>23</v>
      </c>
      <c r="C5704" t="s">
        <v>9</v>
      </c>
      <c r="D5704">
        <v>60</v>
      </c>
      <c r="E5704" s="2">
        <v>3.7048611111111109E-2</v>
      </c>
      <c r="F5704">
        <v>53.35</v>
      </c>
    </row>
    <row r="5705" spans="1:6" x14ac:dyDescent="0.25">
      <c r="A5705" s="1">
        <v>40391</v>
      </c>
      <c r="B5705" t="s">
        <v>23</v>
      </c>
      <c r="C5705" t="s">
        <v>10</v>
      </c>
      <c r="D5705">
        <v>28</v>
      </c>
      <c r="E5705" s="2">
        <v>3.7384259259259256E-2</v>
      </c>
      <c r="F5705">
        <v>53.833333333333336</v>
      </c>
    </row>
    <row r="5706" spans="1:6" x14ac:dyDescent="0.25">
      <c r="A5706" s="1">
        <v>40391</v>
      </c>
      <c r="B5706" t="s">
        <v>23</v>
      </c>
      <c r="C5706" t="s">
        <v>11</v>
      </c>
      <c r="D5706">
        <v>82</v>
      </c>
      <c r="E5706" s="2">
        <v>6.7581018518518512E-2</v>
      </c>
      <c r="F5706">
        <v>97.316666666666663</v>
      </c>
    </row>
    <row r="5707" spans="1:6" x14ac:dyDescent="0.25">
      <c r="A5707" s="1">
        <v>40391</v>
      </c>
      <c r="B5707" t="s">
        <v>24</v>
      </c>
      <c r="C5707" t="s">
        <v>6</v>
      </c>
      <c r="D5707">
        <v>80</v>
      </c>
      <c r="E5707" s="2">
        <v>8.3888888888888888E-2</v>
      </c>
      <c r="F5707">
        <v>120.8</v>
      </c>
    </row>
    <row r="5708" spans="1:6" x14ac:dyDescent="0.25">
      <c r="A5708" s="1">
        <v>40391</v>
      </c>
      <c r="B5708" t="s">
        <v>24</v>
      </c>
      <c r="C5708" t="s">
        <v>7</v>
      </c>
      <c r="D5708">
        <v>73</v>
      </c>
      <c r="E5708" s="2">
        <v>8.5613425925925926E-2</v>
      </c>
      <c r="F5708">
        <v>123.28333333333333</v>
      </c>
    </row>
    <row r="5709" spans="1:6" x14ac:dyDescent="0.25">
      <c r="A5709" s="1">
        <v>40391</v>
      </c>
      <c r="B5709" t="s">
        <v>24</v>
      </c>
      <c r="C5709" t="s">
        <v>8</v>
      </c>
      <c r="D5709">
        <v>55</v>
      </c>
      <c r="E5709" s="2">
        <v>6.3969907407407406E-2</v>
      </c>
      <c r="F5709">
        <v>92.11666666666666</v>
      </c>
    </row>
    <row r="5710" spans="1:6" x14ac:dyDescent="0.25">
      <c r="A5710" s="1">
        <v>40391</v>
      </c>
      <c r="B5710" t="s">
        <v>24</v>
      </c>
      <c r="C5710" t="s">
        <v>9</v>
      </c>
      <c r="D5710">
        <v>41</v>
      </c>
      <c r="E5710" s="2">
        <v>2.9641203703703704E-2</v>
      </c>
      <c r="F5710">
        <v>42.68333333333333</v>
      </c>
    </row>
    <row r="5711" spans="1:6" x14ac:dyDescent="0.25">
      <c r="A5711" s="1">
        <v>40391</v>
      </c>
      <c r="B5711" t="s">
        <v>24</v>
      </c>
      <c r="C5711" t="s">
        <v>10</v>
      </c>
      <c r="D5711">
        <v>0</v>
      </c>
      <c r="E5711" s="2">
        <v>0</v>
      </c>
      <c r="F5711">
        <v>0</v>
      </c>
    </row>
    <row r="5712" spans="1:6" x14ac:dyDescent="0.25">
      <c r="A5712" s="1">
        <v>40391</v>
      </c>
      <c r="B5712" t="s">
        <v>24</v>
      </c>
      <c r="C5712" t="s">
        <v>11</v>
      </c>
      <c r="D5712">
        <v>64</v>
      </c>
      <c r="E5712" s="2">
        <v>4.4282407407407409E-2</v>
      </c>
      <c r="F5712">
        <v>63.766666666666666</v>
      </c>
    </row>
    <row r="5713" spans="1:6" x14ac:dyDescent="0.25">
      <c r="A5713" s="1">
        <v>40422</v>
      </c>
      <c r="B5713" t="s">
        <v>5</v>
      </c>
      <c r="C5713" t="s">
        <v>6</v>
      </c>
      <c r="D5713">
        <v>25</v>
      </c>
      <c r="E5713" s="2">
        <v>1.8645833333333334E-2</v>
      </c>
      <c r="F5713">
        <v>26.85</v>
      </c>
    </row>
    <row r="5714" spans="1:6" x14ac:dyDescent="0.25">
      <c r="A5714" s="1">
        <v>40422</v>
      </c>
      <c r="B5714" t="s">
        <v>5</v>
      </c>
      <c r="C5714" t="s">
        <v>7</v>
      </c>
      <c r="D5714">
        <v>24</v>
      </c>
      <c r="E5714" s="2">
        <v>1.96875E-2</v>
      </c>
      <c r="F5714">
        <v>28.35</v>
      </c>
    </row>
    <row r="5715" spans="1:6" x14ac:dyDescent="0.25">
      <c r="A5715" s="1">
        <v>40422</v>
      </c>
      <c r="B5715" t="s">
        <v>5</v>
      </c>
      <c r="C5715" t="s">
        <v>8</v>
      </c>
      <c r="D5715">
        <v>15</v>
      </c>
      <c r="E5715" s="2">
        <v>1.0347222222222223E-2</v>
      </c>
      <c r="F5715">
        <v>14.9</v>
      </c>
    </row>
    <row r="5716" spans="1:6" x14ac:dyDescent="0.25">
      <c r="A5716" s="1">
        <v>40422</v>
      </c>
      <c r="B5716" t="s">
        <v>5</v>
      </c>
      <c r="C5716" t="s">
        <v>9</v>
      </c>
      <c r="D5716">
        <v>10</v>
      </c>
      <c r="E5716" s="2">
        <v>4.8263888888888887E-3</v>
      </c>
      <c r="F5716">
        <v>6.95</v>
      </c>
    </row>
    <row r="5717" spans="1:6" x14ac:dyDescent="0.25">
      <c r="A5717" s="1">
        <v>40422</v>
      </c>
      <c r="B5717" t="s">
        <v>5</v>
      </c>
      <c r="C5717" t="s">
        <v>10</v>
      </c>
      <c r="D5717">
        <v>9</v>
      </c>
      <c r="E5717" s="2">
        <v>7.9629629629629634E-3</v>
      </c>
      <c r="F5717">
        <v>11.466666666666667</v>
      </c>
    </row>
    <row r="5718" spans="1:6" x14ac:dyDescent="0.25">
      <c r="A5718" s="1">
        <v>40422</v>
      </c>
      <c r="B5718" t="s">
        <v>5</v>
      </c>
      <c r="C5718" t="s">
        <v>11</v>
      </c>
      <c r="D5718">
        <v>20</v>
      </c>
      <c r="E5718" s="2">
        <v>1.3530092592592592E-2</v>
      </c>
      <c r="F5718">
        <v>19.483333333333334</v>
      </c>
    </row>
    <row r="5719" spans="1:6" x14ac:dyDescent="0.25">
      <c r="A5719" s="1">
        <v>40422</v>
      </c>
      <c r="B5719" t="s">
        <v>12</v>
      </c>
      <c r="C5719" t="s">
        <v>6</v>
      </c>
      <c r="D5719">
        <v>60</v>
      </c>
      <c r="E5719" s="2">
        <v>6.7685185185185182E-2</v>
      </c>
      <c r="F5719">
        <v>97.466666666666669</v>
      </c>
    </row>
    <row r="5720" spans="1:6" x14ac:dyDescent="0.25">
      <c r="A5720" s="1">
        <v>40422</v>
      </c>
      <c r="B5720" t="s">
        <v>12</v>
      </c>
      <c r="C5720" t="s">
        <v>7</v>
      </c>
      <c r="D5720">
        <v>45</v>
      </c>
      <c r="E5720" s="2">
        <v>6.236111111111111E-2</v>
      </c>
      <c r="F5720">
        <v>89.8</v>
      </c>
    </row>
    <row r="5721" spans="1:6" x14ac:dyDescent="0.25">
      <c r="A5721" s="1">
        <v>40422</v>
      </c>
      <c r="B5721" t="s">
        <v>12</v>
      </c>
      <c r="C5721" t="s">
        <v>8</v>
      </c>
      <c r="D5721">
        <v>40</v>
      </c>
      <c r="E5721" s="2">
        <v>5.5381944444444442E-2</v>
      </c>
      <c r="F5721">
        <v>79.75</v>
      </c>
    </row>
    <row r="5722" spans="1:6" x14ac:dyDescent="0.25">
      <c r="A5722" s="1">
        <v>40422</v>
      </c>
      <c r="B5722" t="s">
        <v>12</v>
      </c>
      <c r="C5722" t="s">
        <v>9</v>
      </c>
      <c r="D5722">
        <v>9</v>
      </c>
      <c r="E5722" s="2">
        <v>8.7152777777777784E-3</v>
      </c>
      <c r="F5722">
        <v>12.55</v>
      </c>
    </row>
    <row r="5723" spans="1:6" x14ac:dyDescent="0.25">
      <c r="A5723" s="1">
        <v>40422</v>
      </c>
      <c r="B5723" t="s">
        <v>12</v>
      </c>
      <c r="C5723" t="s">
        <v>10</v>
      </c>
      <c r="D5723">
        <v>74</v>
      </c>
      <c r="E5723" s="2">
        <v>0.12163194444444445</v>
      </c>
      <c r="F5723">
        <v>175.15</v>
      </c>
    </row>
    <row r="5724" spans="1:6" x14ac:dyDescent="0.25">
      <c r="A5724" s="1">
        <v>40422</v>
      </c>
      <c r="B5724" t="s">
        <v>12</v>
      </c>
      <c r="C5724" t="s">
        <v>11</v>
      </c>
      <c r="D5724">
        <v>37</v>
      </c>
      <c r="E5724" s="2">
        <v>3.6018518518518519E-2</v>
      </c>
      <c r="F5724">
        <v>51.866666666666667</v>
      </c>
    </row>
    <row r="5725" spans="1:6" x14ac:dyDescent="0.25">
      <c r="A5725" s="1">
        <v>40422</v>
      </c>
      <c r="B5725" t="s">
        <v>13</v>
      </c>
      <c r="C5725" t="s">
        <v>6</v>
      </c>
      <c r="D5725">
        <v>45</v>
      </c>
      <c r="E5725" s="2">
        <v>5.1562499999999997E-2</v>
      </c>
      <c r="F5725">
        <v>74.25</v>
      </c>
    </row>
    <row r="5726" spans="1:6" x14ac:dyDescent="0.25">
      <c r="A5726" s="1">
        <v>40422</v>
      </c>
      <c r="B5726" t="s">
        <v>13</v>
      </c>
      <c r="C5726" t="s">
        <v>7</v>
      </c>
      <c r="D5726">
        <v>32</v>
      </c>
      <c r="E5726" s="2">
        <v>4.0694444444444443E-2</v>
      </c>
      <c r="F5726">
        <v>58.6</v>
      </c>
    </row>
    <row r="5727" spans="1:6" x14ac:dyDescent="0.25">
      <c r="A5727" s="1">
        <v>40422</v>
      </c>
      <c r="B5727" t="s">
        <v>13</v>
      </c>
      <c r="C5727" t="s">
        <v>8</v>
      </c>
      <c r="D5727">
        <v>29</v>
      </c>
      <c r="E5727" s="2">
        <v>3.3935185185185186E-2</v>
      </c>
      <c r="F5727">
        <v>48.866666666666667</v>
      </c>
    </row>
    <row r="5728" spans="1:6" x14ac:dyDescent="0.25">
      <c r="A5728" s="1">
        <v>40422</v>
      </c>
      <c r="B5728" t="s">
        <v>13</v>
      </c>
      <c r="C5728" t="s">
        <v>9</v>
      </c>
      <c r="D5728">
        <v>20</v>
      </c>
      <c r="E5728" s="2">
        <v>1.2974537037037038E-2</v>
      </c>
      <c r="F5728">
        <v>18.683333333333334</v>
      </c>
    </row>
    <row r="5729" spans="1:6" x14ac:dyDescent="0.25">
      <c r="A5729" s="1">
        <v>40422</v>
      </c>
      <c r="B5729" t="s">
        <v>13</v>
      </c>
      <c r="C5729" t="s">
        <v>10</v>
      </c>
      <c r="D5729">
        <v>13</v>
      </c>
      <c r="E5729" s="2">
        <v>1.9201388888888889E-2</v>
      </c>
      <c r="F5729">
        <v>27.65</v>
      </c>
    </row>
    <row r="5730" spans="1:6" x14ac:dyDescent="0.25">
      <c r="A5730" s="1">
        <v>40422</v>
      </c>
      <c r="B5730" t="s">
        <v>13</v>
      </c>
      <c r="C5730" t="s">
        <v>11</v>
      </c>
      <c r="D5730">
        <v>19</v>
      </c>
      <c r="E5730" s="2">
        <v>1.9120370370370371E-2</v>
      </c>
      <c r="F5730">
        <v>27.533333333333335</v>
      </c>
    </row>
    <row r="5731" spans="1:6" x14ac:dyDescent="0.25">
      <c r="A5731" s="1">
        <v>40422</v>
      </c>
      <c r="B5731" t="s">
        <v>14</v>
      </c>
      <c r="C5731" t="s">
        <v>6</v>
      </c>
      <c r="D5731">
        <v>19</v>
      </c>
      <c r="E5731" s="2">
        <v>2.1562499999999998E-2</v>
      </c>
      <c r="F5731">
        <v>31.05</v>
      </c>
    </row>
    <row r="5732" spans="1:6" x14ac:dyDescent="0.25">
      <c r="A5732" s="1">
        <v>40422</v>
      </c>
      <c r="B5732" t="s">
        <v>14</v>
      </c>
      <c r="C5732" t="s">
        <v>7</v>
      </c>
      <c r="D5732">
        <v>11</v>
      </c>
      <c r="E5732" s="2">
        <v>1.5810185185185184E-2</v>
      </c>
      <c r="F5732">
        <v>22.766666666666666</v>
      </c>
    </row>
    <row r="5733" spans="1:6" x14ac:dyDescent="0.25">
      <c r="A5733" s="1">
        <v>40422</v>
      </c>
      <c r="B5733" t="s">
        <v>14</v>
      </c>
      <c r="C5733" t="s">
        <v>8</v>
      </c>
      <c r="D5733">
        <v>8</v>
      </c>
      <c r="E5733" s="2">
        <v>1.0648148148148148E-2</v>
      </c>
      <c r="F5733">
        <v>15.333333333333334</v>
      </c>
    </row>
    <row r="5734" spans="1:6" x14ac:dyDescent="0.25">
      <c r="A5734" s="1">
        <v>40422</v>
      </c>
      <c r="B5734" t="s">
        <v>14</v>
      </c>
      <c r="C5734" t="s">
        <v>9</v>
      </c>
      <c r="D5734">
        <v>3</v>
      </c>
      <c r="E5734" s="2">
        <v>1.6087962962962963E-3</v>
      </c>
      <c r="F5734">
        <v>2.3166666666666664</v>
      </c>
    </row>
    <row r="5735" spans="1:6" x14ac:dyDescent="0.25">
      <c r="A5735" s="1">
        <v>40422</v>
      </c>
      <c r="B5735" t="s">
        <v>14</v>
      </c>
      <c r="C5735" t="s">
        <v>10</v>
      </c>
      <c r="D5735">
        <v>1</v>
      </c>
      <c r="E5735" s="2">
        <v>2.685185185185185E-3</v>
      </c>
      <c r="F5735">
        <v>3.8666666666666667</v>
      </c>
    </row>
    <row r="5736" spans="1:6" x14ac:dyDescent="0.25">
      <c r="A5736" s="1">
        <v>40422</v>
      </c>
      <c r="B5736" t="s">
        <v>14</v>
      </c>
      <c r="C5736" t="s">
        <v>11</v>
      </c>
      <c r="D5736">
        <v>9</v>
      </c>
      <c r="E5736" s="2">
        <v>8.0092592592592594E-3</v>
      </c>
      <c r="F5736">
        <v>11.533333333333333</v>
      </c>
    </row>
    <row r="5737" spans="1:6" x14ac:dyDescent="0.25">
      <c r="A5737" s="1">
        <v>40422</v>
      </c>
      <c r="B5737" t="s">
        <v>15</v>
      </c>
      <c r="C5737" t="s">
        <v>6</v>
      </c>
      <c r="D5737">
        <v>19</v>
      </c>
      <c r="E5737" s="2">
        <v>2.6747685185185187E-2</v>
      </c>
      <c r="F5737">
        <v>38.516666666666666</v>
      </c>
    </row>
    <row r="5738" spans="1:6" x14ac:dyDescent="0.25">
      <c r="A5738" s="1">
        <v>40422</v>
      </c>
      <c r="B5738" t="s">
        <v>15</v>
      </c>
      <c r="C5738" t="s">
        <v>7</v>
      </c>
      <c r="D5738">
        <v>14</v>
      </c>
      <c r="E5738" s="2">
        <v>1.1828703703703704E-2</v>
      </c>
      <c r="F5738">
        <v>17.033333333333335</v>
      </c>
    </row>
    <row r="5739" spans="1:6" x14ac:dyDescent="0.25">
      <c r="A5739" s="1">
        <v>40422</v>
      </c>
      <c r="B5739" t="s">
        <v>15</v>
      </c>
      <c r="C5739" t="s">
        <v>8</v>
      </c>
      <c r="D5739">
        <v>5</v>
      </c>
      <c r="E5739" s="2">
        <v>5.9375000000000001E-3</v>
      </c>
      <c r="F5739">
        <v>8.5500000000000007</v>
      </c>
    </row>
    <row r="5740" spans="1:6" x14ac:dyDescent="0.25">
      <c r="A5740" s="1">
        <v>40422</v>
      </c>
      <c r="B5740" t="s">
        <v>15</v>
      </c>
      <c r="C5740" t="s">
        <v>9</v>
      </c>
      <c r="D5740">
        <v>7</v>
      </c>
      <c r="E5740" s="2">
        <v>3.4375E-3</v>
      </c>
      <c r="F5740">
        <v>4.95</v>
      </c>
    </row>
    <row r="5741" spans="1:6" x14ac:dyDescent="0.25">
      <c r="A5741" s="1">
        <v>40422</v>
      </c>
      <c r="B5741" t="s">
        <v>15</v>
      </c>
      <c r="C5741" t="s">
        <v>10</v>
      </c>
      <c r="D5741">
        <v>2</v>
      </c>
      <c r="E5741" s="2">
        <v>2.1180555555555558E-3</v>
      </c>
      <c r="F5741">
        <v>3.05</v>
      </c>
    </row>
    <row r="5742" spans="1:6" x14ac:dyDescent="0.25">
      <c r="A5742" s="1">
        <v>40422</v>
      </c>
      <c r="B5742" t="s">
        <v>15</v>
      </c>
      <c r="C5742" t="s">
        <v>11</v>
      </c>
      <c r="D5742">
        <v>4</v>
      </c>
      <c r="E5742" s="2">
        <v>5.0810185185185186E-3</v>
      </c>
      <c r="F5742">
        <v>7.3166666666666664</v>
      </c>
    </row>
    <row r="5743" spans="1:6" x14ac:dyDescent="0.25">
      <c r="A5743" s="1">
        <v>40422</v>
      </c>
      <c r="B5743" t="s">
        <v>16</v>
      </c>
      <c r="C5743" t="s">
        <v>6</v>
      </c>
      <c r="D5743">
        <v>19</v>
      </c>
      <c r="E5743" s="2">
        <v>1.8391203703703705E-2</v>
      </c>
      <c r="F5743">
        <v>26.483333333333334</v>
      </c>
    </row>
    <row r="5744" spans="1:6" x14ac:dyDescent="0.25">
      <c r="A5744" s="1">
        <v>40422</v>
      </c>
      <c r="B5744" t="s">
        <v>16</v>
      </c>
      <c r="C5744" t="s">
        <v>7</v>
      </c>
      <c r="D5744">
        <v>19</v>
      </c>
      <c r="E5744" s="2">
        <v>1.6701388888888891E-2</v>
      </c>
      <c r="F5744">
        <v>24.05</v>
      </c>
    </row>
    <row r="5745" spans="1:6" x14ac:dyDescent="0.25">
      <c r="A5745" s="1">
        <v>40422</v>
      </c>
      <c r="B5745" t="s">
        <v>16</v>
      </c>
      <c r="C5745" t="s">
        <v>8</v>
      </c>
      <c r="D5745">
        <v>20</v>
      </c>
      <c r="E5745" s="2">
        <v>1.8645833333333334E-2</v>
      </c>
      <c r="F5745">
        <v>26.85</v>
      </c>
    </row>
    <row r="5746" spans="1:6" x14ac:dyDescent="0.25">
      <c r="A5746" s="1">
        <v>40422</v>
      </c>
      <c r="B5746" t="s">
        <v>16</v>
      </c>
      <c r="C5746" t="s">
        <v>9</v>
      </c>
      <c r="D5746">
        <v>9</v>
      </c>
      <c r="E5746" s="2">
        <v>4.9305555555555552E-3</v>
      </c>
      <c r="F5746">
        <v>7.1</v>
      </c>
    </row>
    <row r="5747" spans="1:6" x14ac:dyDescent="0.25">
      <c r="A5747" s="1">
        <v>40422</v>
      </c>
      <c r="B5747" t="s">
        <v>16</v>
      </c>
      <c r="C5747" t="s">
        <v>10</v>
      </c>
      <c r="D5747">
        <v>3</v>
      </c>
      <c r="E5747" s="2">
        <v>1.4236111111111112E-3</v>
      </c>
      <c r="F5747">
        <v>2.0499999999999998</v>
      </c>
    </row>
    <row r="5748" spans="1:6" x14ac:dyDescent="0.25">
      <c r="A5748" s="1">
        <v>40422</v>
      </c>
      <c r="B5748" t="s">
        <v>16</v>
      </c>
      <c r="C5748" t="s">
        <v>11</v>
      </c>
      <c r="D5748">
        <v>27</v>
      </c>
      <c r="E5748" s="2">
        <v>1.9791666666666666E-2</v>
      </c>
      <c r="F5748">
        <v>28.5</v>
      </c>
    </row>
    <row r="5749" spans="1:6" x14ac:dyDescent="0.25">
      <c r="A5749" s="1">
        <v>40422</v>
      </c>
      <c r="B5749" t="s">
        <v>17</v>
      </c>
      <c r="C5749" t="s">
        <v>6</v>
      </c>
      <c r="D5749">
        <v>17</v>
      </c>
      <c r="E5749" s="2">
        <v>1.9027777777777779E-2</v>
      </c>
      <c r="F5749">
        <v>27.4</v>
      </c>
    </row>
    <row r="5750" spans="1:6" x14ac:dyDescent="0.25">
      <c r="A5750" s="1">
        <v>40422</v>
      </c>
      <c r="B5750" t="s">
        <v>17</v>
      </c>
      <c r="C5750" t="s">
        <v>7</v>
      </c>
      <c r="D5750">
        <v>12</v>
      </c>
      <c r="E5750" s="2">
        <v>1.2268518518518519E-2</v>
      </c>
      <c r="F5750">
        <v>17.666666666666668</v>
      </c>
    </row>
    <row r="5751" spans="1:6" x14ac:dyDescent="0.25">
      <c r="A5751" s="1">
        <v>40422</v>
      </c>
      <c r="B5751" t="s">
        <v>17</v>
      </c>
      <c r="C5751" t="s">
        <v>8</v>
      </c>
      <c r="D5751">
        <v>13</v>
      </c>
      <c r="E5751" s="2">
        <v>1.7881944444444443E-2</v>
      </c>
      <c r="F5751">
        <v>25.75</v>
      </c>
    </row>
    <row r="5752" spans="1:6" x14ac:dyDescent="0.25">
      <c r="A5752" s="1">
        <v>40422</v>
      </c>
      <c r="B5752" t="s">
        <v>17</v>
      </c>
      <c r="C5752" t="s">
        <v>9</v>
      </c>
      <c r="D5752">
        <v>7</v>
      </c>
      <c r="E5752" s="2">
        <v>5.7754629629629631E-3</v>
      </c>
      <c r="F5752">
        <v>8.3166666666666664</v>
      </c>
    </row>
    <row r="5753" spans="1:6" x14ac:dyDescent="0.25">
      <c r="A5753" s="1">
        <v>40422</v>
      </c>
      <c r="B5753" t="s">
        <v>17</v>
      </c>
      <c r="C5753" t="s">
        <v>10</v>
      </c>
      <c r="D5753">
        <v>13</v>
      </c>
      <c r="E5753" s="2">
        <v>2.2812499999999999E-2</v>
      </c>
      <c r="F5753">
        <v>32.85</v>
      </c>
    </row>
    <row r="5754" spans="1:6" x14ac:dyDescent="0.25">
      <c r="A5754" s="1">
        <v>40422</v>
      </c>
      <c r="B5754" t="s">
        <v>17</v>
      </c>
      <c r="C5754" t="s">
        <v>11</v>
      </c>
      <c r="D5754">
        <v>13</v>
      </c>
      <c r="E5754" s="2">
        <v>1.3310185185185185E-2</v>
      </c>
      <c r="F5754">
        <v>19.166666666666668</v>
      </c>
    </row>
    <row r="5755" spans="1:6" x14ac:dyDescent="0.25">
      <c r="A5755" s="1">
        <v>40422</v>
      </c>
      <c r="B5755" t="s">
        <v>18</v>
      </c>
      <c r="C5755" t="s">
        <v>6</v>
      </c>
      <c r="D5755">
        <v>70</v>
      </c>
      <c r="E5755" s="2">
        <v>6.6064814814814812E-2</v>
      </c>
      <c r="F5755">
        <v>95.13333333333334</v>
      </c>
    </row>
    <row r="5756" spans="1:6" x14ac:dyDescent="0.25">
      <c r="A5756" s="1">
        <v>40422</v>
      </c>
      <c r="B5756" t="s">
        <v>18</v>
      </c>
      <c r="C5756" t="s">
        <v>7</v>
      </c>
      <c r="D5756">
        <v>98</v>
      </c>
      <c r="E5756" s="2">
        <v>8.2129629629629636E-2</v>
      </c>
      <c r="F5756">
        <v>118.26666666666667</v>
      </c>
    </row>
    <row r="5757" spans="1:6" x14ac:dyDescent="0.25">
      <c r="A5757" s="1">
        <v>40422</v>
      </c>
      <c r="B5757" t="s">
        <v>18</v>
      </c>
      <c r="C5757" t="s">
        <v>8</v>
      </c>
      <c r="D5757">
        <v>81</v>
      </c>
      <c r="E5757" s="2">
        <v>7.0023148148148154E-2</v>
      </c>
      <c r="F5757">
        <v>100.83333333333333</v>
      </c>
    </row>
    <row r="5758" spans="1:6" x14ac:dyDescent="0.25">
      <c r="A5758" s="1">
        <v>40422</v>
      </c>
      <c r="B5758" t="s">
        <v>18</v>
      </c>
      <c r="C5758" t="s">
        <v>9</v>
      </c>
      <c r="D5758">
        <v>58</v>
      </c>
      <c r="E5758" s="2">
        <v>4.2314814814814812E-2</v>
      </c>
      <c r="F5758">
        <v>60.93333333333333</v>
      </c>
    </row>
    <row r="5759" spans="1:6" x14ac:dyDescent="0.25">
      <c r="A5759" s="1">
        <v>40422</v>
      </c>
      <c r="B5759" t="s">
        <v>18</v>
      </c>
      <c r="C5759" t="s">
        <v>10</v>
      </c>
      <c r="D5759">
        <v>115</v>
      </c>
      <c r="E5759" s="2">
        <v>0.1160763888888889</v>
      </c>
      <c r="F5759">
        <v>167.15</v>
      </c>
    </row>
    <row r="5760" spans="1:6" x14ac:dyDescent="0.25">
      <c r="A5760" s="1">
        <v>40422</v>
      </c>
      <c r="B5760" t="s">
        <v>18</v>
      </c>
      <c r="C5760" t="s">
        <v>11</v>
      </c>
      <c r="D5760">
        <v>43</v>
      </c>
      <c r="E5760" s="2">
        <v>2.539351851851852E-2</v>
      </c>
      <c r="F5760">
        <v>36.56666666666667</v>
      </c>
    </row>
    <row r="5761" spans="1:6" x14ac:dyDescent="0.25">
      <c r="A5761" s="1">
        <v>40422</v>
      </c>
      <c r="B5761" t="s">
        <v>19</v>
      </c>
      <c r="C5761" t="s">
        <v>6</v>
      </c>
      <c r="D5761">
        <v>24</v>
      </c>
      <c r="E5761" s="2">
        <v>2.449074074074074E-2</v>
      </c>
      <c r="F5761">
        <v>35.266666666666666</v>
      </c>
    </row>
    <row r="5762" spans="1:6" x14ac:dyDescent="0.25">
      <c r="A5762" s="1">
        <v>40422</v>
      </c>
      <c r="B5762" t="s">
        <v>19</v>
      </c>
      <c r="C5762" t="s">
        <v>7</v>
      </c>
      <c r="D5762">
        <v>27</v>
      </c>
      <c r="E5762" s="2">
        <v>3.1655092592592596E-2</v>
      </c>
      <c r="F5762">
        <v>45.583333333333336</v>
      </c>
    </row>
    <row r="5763" spans="1:6" x14ac:dyDescent="0.25">
      <c r="A5763" s="1">
        <v>40422</v>
      </c>
      <c r="B5763" t="s">
        <v>19</v>
      </c>
      <c r="C5763" t="s">
        <v>8</v>
      </c>
      <c r="D5763">
        <v>29</v>
      </c>
      <c r="E5763" s="2">
        <v>2.7581018518518519E-2</v>
      </c>
      <c r="F5763">
        <v>39.716666666666669</v>
      </c>
    </row>
    <row r="5764" spans="1:6" x14ac:dyDescent="0.25">
      <c r="A5764" s="1">
        <v>40422</v>
      </c>
      <c r="B5764" t="s">
        <v>19</v>
      </c>
      <c r="C5764" t="s">
        <v>9</v>
      </c>
      <c r="D5764">
        <v>24</v>
      </c>
      <c r="E5764" s="2">
        <v>1.5995370370370372E-2</v>
      </c>
      <c r="F5764">
        <v>23.033333333333335</v>
      </c>
    </row>
    <row r="5765" spans="1:6" x14ac:dyDescent="0.25">
      <c r="A5765" s="1">
        <v>40422</v>
      </c>
      <c r="B5765" t="s">
        <v>19</v>
      </c>
      <c r="C5765" t="s">
        <v>10</v>
      </c>
      <c r="D5765">
        <v>4</v>
      </c>
      <c r="E5765" s="2">
        <v>2.4189814814814816E-3</v>
      </c>
      <c r="F5765">
        <v>3.4833333333333334</v>
      </c>
    </row>
    <row r="5766" spans="1:6" x14ac:dyDescent="0.25">
      <c r="A5766" s="1">
        <v>40422</v>
      </c>
      <c r="B5766" t="s">
        <v>19</v>
      </c>
      <c r="C5766" t="s">
        <v>11</v>
      </c>
      <c r="D5766">
        <v>29</v>
      </c>
      <c r="E5766" s="2">
        <v>1.8680555555555554E-2</v>
      </c>
      <c r="F5766">
        <v>26.9</v>
      </c>
    </row>
    <row r="5767" spans="1:6" x14ac:dyDescent="0.25">
      <c r="A5767" s="1">
        <v>40422</v>
      </c>
      <c r="B5767" t="s">
        <v>20</v>
      </c>
      <c r="C5767" t="s">
        <v>6</v>
      </c>
      <c r="D5767">
        <v>40</v>
      </c>
      <c r="E5767" s="2">
        <v>3.7546296296296293E-2</v>
      </c>
      <c r="F5767">
        <v>54.06666666666667</v>
      </c>
    </row>
    <row r="5768" spans="1:6" x14ac:dyDescent="0.25">
      <c r="A5768" s="1">
        <v>40422</v>
      </c>
      <c r="B5768" t="s">
        <v>20</v>
      </c>
      <c r="C5768" t="s">
        <v>7</v>
      </c>
      <c r="D5768">
        <v>45</v>
      </c>
      <c r="E5768" s="2">
        <v>4.5810185185185183E-2</v>
      </c>
      <c r="F5768">
        <v>65.966666666666669</v>
      </c>
    </row>
    <row r="5769" spans="1:6" x14ac:dyDescent="0.25">
      <c r="A5769" s="1">
        <v>40422</v>
      </c>
      <c r="B5769" t="s">
        <v>20</v>
      </c>
      <c r="C5769" t="s">
        <v>8</v>
      </c>
      <c r="D5769">
        <v>26</v>
      </c>
      <c r="E5769" s="2">
        <v>2.9282407407407406E-2</v>
      </c>
      <c r="F5769">
        <v>42.166666666666664</v>
      </c>
    </row>
    <row r="5770" spans="1:6" x14ac:dyDescent="0.25">
      <c r="A5770" s="1">
        <v>40422</v>
      </c>
      <c r="B5770" t="s">
        <v>20</v>
      </c>
      <c r="C5770" t="s">
        <v>9</v>
      </c>
      <c r="D5770">
        <v>23</v>
      </c>
      <c r="E5770" s="2">
        <v>1.6423611111111111E-2</v>
      </c>
      <c r="F5770">
        <v>23.65</v>
      </c>
    </row>
    <row r="5771" spans="1:6" x14ac:dyDescent="0.25">
      <c r="A5771" s="1">
        <v>40422</v>
      </c>
      <c r="B5771" t="s">
        <v>20</v>
      </c>
      <c r="C5771" t="s">
        <v>10</v>
      </c>
      <c r="D5771">
        <v>11</v>
      </c>
      <c r="E5771" s="2">
        <v>1.5543981481481482E-2</v>
      </c>
      <c r="F5771">
        <v>22.383333333333333</v>
      </c>
    </row>
    <row r="5772" spans="1:6" x14ac:dyDescent="0.25">
      <c r="A5772" s="1">
        <v>40422</v>
      </c>
      <c r="B5772" t="s">
        <v>20</v>
      </c>
      <c r="C5772" t="s">
        <v>11</v>
      </c>
      <c r="D5772">
        <v>28</v>
      </c>
      <c r="E5772" s="2">
        <v>1.7384259259259259E-2</v>
      </c>
      <c r="F5772">
        <v>25.033333333333335</v>
      </c>
    </row>
    <row r="5773" spans="1:6" x14ac:dyDescent="0.25">
      <c r="A5773" s="1">
        <v>40422</v>
      </c>
      <c r="B5773" t="s">
        <v>21</v>
      </c>
      <c r="C5773" t="s">
        <v>6</v>
      </c>
      <c r="D5773">
        <v>24</v>
      </c>
      <c r="E5773" s="2">
        <v>2.6574074074074073E-2</v>
      </c>
      <c r="F5773">
        <v>38.266666666666666</v>
      </c>
    </row>
    <row r="5774" spans="1:6" x14ac:dyDescent="0.25">
      <c r="A5774" s="1">
        <v>40422</v>
      </c>
      <c r="B5774" t="s">
        <v>21</v>
      </c>
      <c r="C5774" t="s">
        <v>7</v>
      </c>
      <c r="D5774">
        <v>24</v>
      </c>
      <c r="E5774" s="2">
        <v>2.8344907407407409E-2</v>
      </c>
      <c r="F5774">
        <v>40.81666666666667</v>
      </c>
    </row>
    <row r="5775" spans="1:6" x14ac:dyDescent="0.25">
      <c r="A5775" s="1">
        <v>40422</v>
      </c>
      <c r="B5775" t="s">
        <v>21</v>
      </c>
      <c r="C5775" t="s">
        <v>8</v>
      </c>
      <c r="D5775">
        <v>17</v>
      </c>
      <c r="E5775" s="2">
        <v>2.3935185185185184E-2</v>
      </c>
      <c r="F5775">
        <v>34.466666666666669</v>
      </c>
    </row>
    <row r="5776" spans="1:6" x14ac:dyDescent="0.25">
      <c r="A5776" s="1">
        <v>40422</v>
      </c>
      <c r="B5776" t="s">
        <v>21</v>
      </c>
      <c r="C5776" t="s">
        <v>9</v>
      </c>
      <c r="D5776">
        <v>5</v>
      </c>
      <c r="E5776" s="2">
        <v>4.0625000000000001E-3</v>
      </c>
      <c r="F5776">
        <v>5.85</v>
      </c>
    </row>
    <row r="5777" spans="1:6" x14ac:dyDescent="0.25">
      <c r="A5777" s="1">
        <v>40422</v>
      </c>
      <c r="B5777" t="s">
        <v>21</v>
      </c>
      <c r="C5777" t="s">
        <v>10</v>
      </c>
      <c r="D5777">
        <v>1</v>
      </c>
      <c r="E5777" s="2">
        <v>2.4652777777777776E-3</v>
      </c>
      <c r="F5777">
        <v>3.55</v>
      </c>
    </row>
    <row r="5778" spans="1:6" x14ac:dyDescent="0.25">
      <c r="A5778" s="1">
        <v>40422</v>
      </c>
      <c r="B5778" t="s">
        <v>21</v>
      </c>
      <c r="C5778" t="s">
        <v>11</v>
      </c>
      <c r="D5778">
        <v>17</v>
      </c>
      <c r="E5778" s="2">
        <v>1.6296296296296295E-2</v>
      </c>
      <c r="F5778">
        <v>23.466666666666665</v>
      </c>
    </row>
    <row r="5779" spans="1:6" x14ac:dyDescent="0.25">
      <c r="A5779" s="1">
        <v>40422</v>
      </c>
      <c r="B5779" t="s">
        <v>22</v>
      </c>
      <c r="C5779" t="s">
        <v>6</v>
      </c>
      <c r="D5779">
        <v>12</v>
      </c>
      <c r="E5779" s="2">
        <v>1.53125E-2</v>
      </c>
      <c r="F5779">
        <v>22.05</v>
      </c>
    </row>
    <row r="5780" spans="1:6" x14ac:dyDescent="0.25">
      <c r="A5780" s="1">
        <v>40422</v>
      </c>
      <c r="B5780" t="s">
        <v>22</v>
      </c>
      <c r="C5780" t="s">
        <v>7</v>
      </c>
      <c r="D5780">
        <v>9</v>
      </c>
      <c r="E5780" s="2">
        <v>1.0844907407407407E-2</v>
      </c>
      <c r="F5780">
        <v>15.616666666666667</v>
      </c>
    </row>
    <row r="5781" spans="1:6" x14ac:dyDescent="0.25">
      <c r="A5781" s="1">
        <v>40422</v>
      </c>
      <c r="B5781" t="s">
        <v>22</v>
      </c>
      <c r="C5781" t="s">
        <v>8</v>
      </c>
      <c r="D5781">
        <v>4</v>
      </c>
      <c r="E5781" s="2">
        <v>5.4976851851851853E-3</v>
      </c>
      <c r="F5781">
        <v>7.916666666666667</v>
      </c>
    </row>
    <row r="5782" spans="1:6" x14ac:dyDescent="0.25">
      <c r="A5782" s="1">
        <v>40422</v>
      </c>
      <c r="B5782" t="s">
        <v>22</v>
      </c>
      <c r="C5782" t="s">
        <v>9</v>
      </c>
      <c r="D5782">
        <v>4</v>
      </c>
      <c r="E5782" s="2">
        <v>2.0486111111111113E-3</v>
      </c>
      <c r="F5782">
        <v>2.95</v>
      </c>
    </row>
    <row r="5783" spans="1:6" x14ac:dyDescent="0.25">
      <c r="A5783" s="1">
        <v>40422</v>
      </c>
      <c r="B5783" t="s">
        <v>22</v>
      </c>
      <c r="C5783" t="s">
        <v>10</v>
      </c>
      <c r="D5783">
        <v>7</v>
      </c>
      <c r="E5783" s="2">
        <v>9.2939814814814812E-3</v>
      </c>
      <c r="F5783">
        <v>13.383333333333333</v>
      </c>
    </row>
    <row r="5784" spans="1:6" x14ac:dyDescent="0.25">
      <c r="A5784" s="1">
        <v>40422</v>
      </c>
      <c r="B5784" t="s">
        <v>22</v>
      </c>
      <c r="C5784" t="s">
        <v>11</v>
      </c>
      <c r="D5784">
        <v>3</v>
      </c>
      <c r="E5784" s="2">
        <v>2.5000000000000001E-3</v>
      </c>
      <c r="F5784">
        <v>3.6</v>
      </c>
    </row>
    <row r="5785" spans="1:6" x14ac:dyDescent="0.25">
      <c r="A5785" s="1">
        <v>40422</v>
      </c>
      <c r="B5785" t="s">
        <v>23</v>
      </c>
      <c r="C5785" t="s">
        <v>6</v>
      </c>
      <c r="D5785">
        <v>123</v>
      </c>
      <c r="E5785" s="2">
        <v>0.16038194444444445</v>
      </c>
      <c r="F5785">
        <v>230.95</v>
      </c>
    </row>
    <row r="5786" spans="1:6" x14ac:dyDescent="0.25">
      <c r="A5786" s="1">
        <v>40422</v>
      </c>
      <c r="B5786" t="s">
        <v>23</v>
      </c>
      <c r="C5786" t="s">
        <v>7</v>
      </c>
      <c r="D5786">
        <v>114</v>
      </c>
      <c r="E5786" s="2">
        <v>0.14987268518518518</v>
      </c>
      <c r="F5786">
        <v>215.81666666666666</v>
      </c>
    </row>
    <row r="5787" spans="1:6" x14ac:dyDescent="0.25">
      <c r="A5787" s="1">
        <v>40422</v>
      </c>
      <c r="B5787" t="s">
        <v>23</v>
      </c>
      <c r="C5787" t="s">
        <v>8</v>
      </c>
      <c r="D5787">
        <v>106</v>
      </c>
      <c r="E5787" s="2">
        <v>0.12405092592592593</v>
      </c>
      <c r="F5787">
        <v>178.63333333333333</v>
      </c>
    </row>
    <row r="5788" spans="1:6" x14ac:dyDescent="0.25">
      <c r="A5788" s="1">
        <v>40422</v>
      </c>
      <c r="B5788" t="s">
        <v>23</v>
      </c>
      <c r="C5788" t="s">
        <v>9</v>
      </c>
      <c r="D5788">
        <v>80</v>
      </c>
      <c r="E5788" s="2">
        <v>5.7928240740740738E-2</v>
      </c>
      <c r="F5788">
        <v>83.416666666666671</v>
      </c>
    </row>
    <row r="5789" spans="1:6" x14ac:dyDescent="0.25">
      <c r="A5789" s="1">
        <v>40422</v>
      </c>
      <c r="B5789" t="s">
        <v>23</v>
      </c>
      <c r="C5789" t="s">
        <v>10</v>
      </c>
      <c r="D5789">
        <v>51</v>
      </c>
      <c r="E5789" s="2">
        <v>7.013888888888889E-2</v>
      </c>
      <c r="F5789">
        <v>101</v>
      </c>
    </row>
    <row r="5790" spans="1:6" x14ac:dyDescent="0.25">
      <c r="A5790" s="1">
        <v>40422</v>
      </c>
      <c r="B5790" t="s">
        <v>23</v>
      </c>
      <c r="C5790" t="s">
        <v>11</v>
      </c>
      <c r="D5790">
        <v>90</v>
      </c>
      <c r="E5790" s="2">
        <v>7.7638888888888882E-2</v>
      </c>
      <c r="F5790">
        <v>111.8</v>
      </c>
    </row>
    <row r="5791" spans="1:6" x14ac:dyDescent="0.25">
      <c r="A5791" s="1">
        <v>40422</v>
      </c>
      <c r="B5791" t="s">
        <v>24</v>
      </c>
      <c r="C5791" t="s">
        <v>6</v>
      </c>
      <c r="D5791">
        <v>43</v>
      </c>
      <c r="E5791" s="2">
        <v>4.4884259259259263E-2</v>
      </c>
      <c r="F5791">
        <v>64.63333333333334</v>
      </c>
    </row>
    <row r="5792" spans="1:6" x14ac:dyDescent="0.25">
      <c r="A5792" s="1">
        <v>40422</v>
      </c>
      <c r="B5792" t="s">
        <v>24</v>
      </c>
      <c r="C5792" t="s">
        <v>7</v>
      </c>
      <c r="D5792">
        <v>35</v>
      </c>
      <c r="E5792" s="2">
        <v>2.792824074074074E-2</v>
      </c>
      <c r="F5792">
        <v>40.216666666666669</v>
      </c>
    </row>
    <row r="5793" spans="1:6" x14ac:dyDescent="0.25">
      <c r="A5793" s="1">
        <v>40422</v>
      </c>
      <c r="B5793" t="s">
        <v>24</v>
      </c>
      <c r="C5793" t="s">
        <v>8</v>
      </c>
      <c r="D5793">
        <v>20</v>
      </c>
      <c r="E5793" s="2">
        <v>1.9444444444444445E-2</v>
      </c>
      <c r="F5793">
        <v>28</v>
      </c>
    </row>
    <row r="5794" spans="1:6" x14ac:dyDescent="0.25">
      <c r="A5794" s="1">
        <v>40422</v>
      </c>
      <c r="B5794" t="s">
        <v>24</v>
      </c>
      <c r="C5794" t="s">
        <v>9</v>
      </c>
      <c r="D5794">
        <v>10</v>
      </c>
      <c r="E5794" s="2">
        <v>7.6388888888888886E-3</v>
      </c>
      <c r="F5794">
        <v>11</v>
      </c>
    </row>
    <row r="5795" spans="1:6" x14ac:dyDescent="0.25">
      <c r="A5795" s="1">
        <v>40422</v>
      </c>
      <c r="B5795" t="s">
        <v>24</v>
      </c>
      <c r="C5795" t="s">
        <v>10</v>
      </c>
      <c r="D5795">
        <v>0</v>
      </c>
      <c r="E5795" s="2">
        <v>0</v>
      </c>
      <c r="F5795">
        <v>0</v>
      </c>
    </row>
    <row r="5796" spans="1:6" x14ac:dyDescent="0.25">
      <c r="A5796" s="1">
        <v>40422</v>
      </c>
      <c r="B5796" t="s">
        <v>24</v>
      </c>
      <c r="C5796" t="s">
        <v>11</v>
      </c>
      <c r="D5796">
        <v>40</v>
      </c>
      <c r="E5796" s="2">
        <v>2.6793981481481481E-2</v>
      </c>
      <c r="F5796">
        <v>38.583333333333336</v>
      </c>
    </row>
    <row r="5797" spans="1:6" x14ac:dyDescent="0.25">
      <c r="A5797" s="1">
        <v>40452</v>
      </c>
      <c r="B5797" t="s">
        <v>5</v>
      </c>
      <c r="C5797" t="s">
        <v>6</v>
      </c>
      <c r="D5797">
        <v>31</v>
      </c>
      <c r="E5797" s="2">
        <v>2.7511574074074074E-2</v>
      </c>
      <c r="F5797">
        <v>39.616666666666667</v>
      </c>
    </row>
    <row r="5798" spans="1:6" x14ac:dyDescent="0.25">
      <c r="A5798" s="1">
        <v>40452</v>
      </c>
      <c r="B5798" t="s">
        <v>5</v>
      </c>
      <c r="C5798" t="s">
        <v>7</v>
      </c>
      <c r="D5798">
        <v>27</v>
      </c>
      <c r="E5798" s="2">
        <v>2.0729166666666667E-2</v>
      </c>
      <c r="F5798">
        <v>29.85</v>
      </c>
    </row>
    <row r="5799" spans="1:6" x14ac:dyDescent="0.25">
      <c r="A5799" s="1">
        <v>40452</v>
      </c>
      <c r="B5799" t="s">
        <v>5</v>
      </c>
      <c r="C5799" t="s">
        <v>8</v>
      </c>
      <c r="D5799">
        <v>14</v>
      </c>
      <c r="E5799" s="2">
        <v>9.8032407407407408E-3</v>
      </c>
      <c r="F5799">
        <v>14.116666666666667</v>
      </c>
    </row>
    <row r="5800" spans="1:6" x14ac:dyDescent="0.25">
      <c r="A5800" s="1">
        <v>40452</v>
      </c>
      <c r="B5800" t="s">
        <v>5</v>
      </c>
      <c r="C5800" t="s">
        <v>9</v>
      </c>
      <c r="D5800">
        <v>15</v>
      </c>
      <c r="E5800" s="2">
        <v>9.7453703703703695E-3</v>
      </c>
      <c r="F5800">
        <v>14.033333333333333</v>
      </c>
    </row>
    <row r="5801" spans="1:6" x14ac:dyDescent="0.25">
      <c r="A5801" s="1">
        <v>40452</v>
      </c>
      <c r="B5801" t="s">
        <v>5</v>
      </c>
      <c r="C5801" t="s">
        <v>10</v>
      </c>
      <c r="D5801">
        <v>12</v>
      </c>
      <c r="E5801" s="2">
        <v>9.0393518518518522E-3</v>
      </c>
      <c r="F5801">
        <v>13.016666666666667</v>
      </c>
    </row>
    <row r="5802" spans="1:6" x14ac:dyDescent="0.25">
      <c r="A5802" s="1">
        <v>40452</v>
      </c>
      <c r="B5802" t="s">
        <v>5</v>
      </c>
      <c r="C5802" t="s">
        <v>11</v>
      </c>
      <c r="D5802">
        <v>28</v>
      </c>
      <c r="E5802" s="2">
        <v>2.0243055555555556E-2</v>
      </c>
      <c r="F5802">
        <v>29.15</v>
      </c>
    </row>
    <row r="5803" spans="1:6" x14ac:dyDescent="0.25">
      <c r="A5803" s="1">
        <v>40452</v>
      </c>
      <c r="B5803" t="s">
        <v>12</v>
      </c>
      <c r="C5803" t="s">
        <v>6</v>
      </c>
      <c r="D5803">
        <v>52</v>
      </c>
      <c r="E5803" s="2">
        <v>6.474537037037037E-2</v>
      </c>
      <c r="F5803">
        <v>93.233333333333334</v>
      </c>
    </row>
    <row r="5804" spans="1:6" x14ac:dyDescent="0.25">
      <c r="A5804" s="1">
        <v>40452</v>
      </c>
      <c r="B5804" t="s">
        <v>12</v>
      </c>
      <c r="C5804" t="s">
        <v>7</v>
      </c>
      <c r="D5804">
        <v>43</v>
      </c>
      <c r="E5804" s="2">
        <v>5.6493055555555553E-2</v>
      </c>
      <c r="F5804">
        <v>81.349999999999994</v>
      </c>
    </row>
    <row r="5805" spans="1:6" x14ac:dyDescent="0.25">
      <c r="A5805" s="1">
        <v>40452</v>
      </c>
      <c r="B5805" t="s">
        <v>12</v>
      </c>
      <c r="C5805" t="s">
        <v>8</v>
      </c>
      <c r="D5805">
        <v>35</v>
      </c>
      <c r="E5805" s="2">
        <v>4.9212962962962965E-2</v>
      </c>
      <c r="F5805">
        <v>70.86666666666666</v>
      </c>
    </row>
    <row r="5806" spans="1:6" x14ac:dyDescent="0.25">
      <c r="A5806" s="1">
        <v>40452</v>
      </c>
      <c r="B5806" t="s">
        <v>12</v>
      </c>
      <c r="C5806" t="s">
        <v>9</v>
      </c>
      <c r="D5806">
        <v>10</v>
      </c>
      <c r="E5806" s="2">
        <v>6.053240740740741E-3</v>
      </c>
      <c r="F5806">
        <v>8.7166666666666668</v>
      </c>
    </row>
    <row r="5807" spans="1:6" x14ac:dyDescent="0.25">
      <c r="A5807" s="1">
        <v>40452</v>
      </c>
      <c r="B5807" t="s">
        <v>12</v>
      </c>
      <c r="C5807" t="s">
        <v>10</v>
      </c>
      <c r="D5807">
        <v>86</v>
      </c>
      <c r="E5807" s="2">
        <v>0.14034722222222223</v>
      </c>
      <c r="F5807">
        <v>202.1</v>
      </c>
    </row>
    <row r="5808" spans="1:6" x14ac:dyDescent="0.25">
      <c r="A5808" s="1">
        <v>40452</v>
      </c>
      <c r="B5808" t="s">
        <v>12</v>
      </c>
      <c r="C5808" t="s">
        <v>11</v>
      </c>
      <c r="D5808">
        <v>42</v>
      </c>
      <c r="E5808" s="2">
        <v>4.2187500000000003E-2</v>
      </c>
      <c r="F5808">
        <v>60.75</v>
      </c>
    </row>
    <row r="5809" spans="1:6" x14ac:dyDescent="0.25">
      <c r="A5809" s="1">
        <v>40452</v>
      </c>
      <c r="B5809" t="s">
        <v>13</v>
      </c>
      <c r="C5809" t="s">
        <v>6</v>
      </c>
      <c r="D5809">
        <v>32</v>
      </c>
      <c r="E5809" s="2">
        <v>3.5243055555555555E-2</v>
      </c>
      <c r="F5809">
        <v>50.75</v>
      </c>
    </row>
    <row r="5810" spans="1:6" x14ac:dyDescent="0.25">
      <c r="A5810" s="1">
        <v>40452</v>
      </c>
      <c r="B5810" t="s">
        <v>13</v>
      </c>
      <c r="C5810" t="s">
        <v>7</v>
      </c>
      <c r="D5810">
        <v>32</v>
      </c>
      <c r="E5810" s="2">
        <v>4.0185185185185185E-2</v>
      </c>
      <c r="F5810">
        <v>57.866666666666667</v>
      </c>
    </row>
    <row r="5811" spans="1:6" x14ac:dyDescent="0.25">
      <c r="A5811" s="1">
        <v>40452</v>
      </c>
      <c r="B5811" t="s">
        <v>13</v>
      </c>
      <c r="C5811" t="s">
        <v>8</v>
      </c>
      <c r="D5811">
        <v>18</v>
      </c>
      <c r="E5811" s="2">
        <v>1.9756944444444445E-2</v>
      </c>
      <c r="F5811">
        <v>28.45</v>
      </c>
    </row>
    <row r="5812" spans="1:6" x14ac:dyDescent="0.25">
      <c r="A5812" s="1">
        <v>40452</v>
      </c>
      <c r="B5812" t="s">
        <v>13</v>
      </c>
      <c r="C5812" t="s">
        <v>9</v>
      </c>
      <c r="D5812">
        <v>12</v>
      </c>
      <c r="E5812" s="2">
        <v>1.0347222222222223E-2</v>
      </c>
      <c r="F5812">
        <v>14.9</v>
      </c>
    </row>
    <row r="5813" spans="1:6" x14ac:dyDescent="0.25">
      <c r="A5813" s="1">
        <v>40452</v>
      </c>
      <c r="B5813" t="s">
        <v>13</v>
      </c>
      <c r="C5813" t="s">
        <v>10</v>
      </c>
      <c r="D5813">
        <v>16</v>
      </c>
      <c r="E5813" s="2">
        <v>1.6006944444444445E-2</v>
      </c>
      <c r="F5813">
        <v>23.05</v>
      </c>
    </row>
    <row r="5814" spans="1:6" x14ac:dyDescent="0.25">
      <c r="A5814" s="1">
        <v>40452</v>
      </c>
      <c r="B5814" t="s">
        <v>13</v>
      </c>
      <c r="C5814" t="s">
        <v>11</v>
      </c>
      <c r="D5814">
        <v>14</v>
      </c>
      <c r="E5814" s="2">
        <v>1.545138888888889E-2</v>
      </c>
      <c r="F5814">
        <v>22.25</v>
      </c>
    </row>
    <row r="5815" spans="1:6" x14ac:dyDescent="0.25">
      <c r="A5815" s="1">
        <v>40452</v>
      </c>
      <c r="B5815" t="s">
        <v>14</v>
      </c>
      <c r="C5815" t="s">
        <v>6</v>
      </c>
      <c r="D5815">
        <v>9</v>
      </c>
      <c r="E5815" s="2">
        <v>1.3449074074074073E-2</v>
      </c>
      <c r="F5815">
        <v>19.366666666666667</v>
      </c>
    </row>
    <row r="5816" spans="1:6" x14ac:dyDescent="0.25">
      <c r="A5816" s="1">
        <v>40452</v>
      </c>
      <c r="B5816" t="s">
        <v>14</v>
      </c>
      <c r="C5816" t="s">
        <v>7</v>
      </c>
      <c r="D5816">
        <v>5</v>
      </c>
      <c r="E5816" s="2">
        <v>6.9444444444444441E-3</v>
      </c>
      <c r="F5816">
        <v>10</v>
      </c>
    </row>
    <row r="5817" spans="1:6" x14ac:dyDescent="0.25">
      <c r="A5817" s="1">
        <v>40452</v>
      </c>
      <c r="B5817" t="s">
        <v>14</v>
      </c>
      <c r="C5817" t="s">
        <v>8</v>
      </c>
      <c r="D5817">
        <v>2</v>
      </c>
      <c r="E5817" s="2">
        <v>1.3078703703703703E-3</v>
      </c>
      <c r="F5817">
        <v>1.8833333333333333</v>
      </c>
    </row>
    <row r="5818" spans="1:6" x14ac:dyDescent="0.25">
      <c r="A5818" s="1">
        <v>40452</v>
      </c>
      <c r="B5818" t="s">
        <v>14</v>
      </c>
      <c r="C5818" t="s">
        <v>9</v>
      </c>
      <c r="D5818">
        <v>2</v>
      </c>
      <c r="E5818" s="2">
        <v>1.5625000000000001E-3</v>
      </c>
      <c r="F5818">
        <v>2.25</v>
      </c>
    </row>
    <row r="5819" spans="1:6" x14ac:dyDescent="0.25">
      <c r="A5819" s="1">
        <v>40452</v>
      </c>
      <c r="B5819" t="s">
        <v>14</v>
      </c>
      <c r="C5819" t="s">
        <v>10</v>
      </c>
      <c r="D5819">
        <v>0</v>
      </c>
      <c r="E5819" s="2">
        <v>0</v>
      </c>
      <c r="F5819">
        <v>0</v>
      </c>
    </row>
    <row r="5820" spans="1:6" x14ac:dyDescent="0.25">
      <c r="A5820" s="1">
        <v>40452</v>
      </c>
      <c r="B5820" t="s">
        <v>14</v>
      </c>
      <c r="C5820" t="s">
        <v>11</v>
      </c>
      <c r="D5820">
        <v>1</v>
      </c>
      <c r="E5820" s="2">
        <v>1.5393518518518519E-3</v>
      </c>
      <c r="F5820">
        <v>2.2166666666666668</v>
      </c>
    </row>
    <row r="5821" spans="1:6" x14ac:dyDescent="0.25">
      <c r="A5821" s="1">
        <v>40452</v>
      </c>
      <c r="B5821" t="s">
        <v>15</v>
      </c>
      <c r="C5821" t="s">
        <v>6</v>
      </c>
      <c r="D5821">
        <v>28</v>
      </c>
      <c r="E5821" s="2">
        <v>3.516203703703704E-2</v>
      </c>
      <c r="F5821">
        <v>50.633333333333333</v>
      </c>
    </row>
    <row r="5822" spans="1:6" x14ac:dyDescent="0.25">
      <c r="A5822" s="1">
        <v>40452</v>
      </c>
      <c r="B5822" t="s">
        <v>15</v>
      </c>
      <c r="C5822" t="s">
        <v>7</v>
      </c>
      <c r="D5822">
        <v>16</v>
      </c>
      <c r="E5822" s="2">
        <v>1.3506944444444445E-2</v>
      </c>
      <c r="F5822">
        <v>19.45</v>
      </c>
    </row>
    <row r="5823" spans="1:6" x14ac:dyDescent="0.25">
      <c r="A5823" s="1">
        <v>40452</v>
      </c>
      <c r="B5823" t="s">
        <v>15</v>
      </c>
      <c r="C5823" t="s">
        <v>8</v>
      </c>
      <c r="D5823">
        <v>18</v>
      </c>
      <c r="E5823" s="2">
        <v>1.9490740740740739E-2</v>
      </c>
      <c r="F5823">
        <v>28.066666666666666</v>
      </c>
    </row>
    <row r="5824" spans="1:6" x14ac:dyDescent="0.25">
      <c r="A5824" s="1">
        <v>40452</v>
      </c>
      <c r="B5824" t="s">
        <v>15</v>
      </c>
      <c r="C5824" t="s">
        <v>9</v>
      </c>
      <c r="D5824">
        <v>8</v>
      </c>
      <c r="E5824" s="2">
        <v>4.8032407407407407E-3</v>
      </c>
      <c r="F5824">
        <v>6.916666666666667</v>
      </c>
    </row>
    <row r="5825" spans="1:6" x14ac:dyDescent="0.25">
      <c r="A5825" s="1">
        <v>40452</v>
      </c>
      <c r="B5825" t="s">
        <v>15</v>
      </c>
      <c r="C5825" t="s">
        <v>10</v>
      </c>
      <c r="D5825">
        <v>12</v>
      </c>
      <c r="E5825" s="2">
        <v>1.5752314814814816E-2</v>
      </c>
      <c r="F5825">
        <v>22.683333333333334</v>
      </c>
    </row>
    <row r="5826" spans="1:6" x14ac:dyDescent="0.25">
      <c r="A5826" s="1">
        <v>40452</v>
      </c>
      <c r="B5826" t="s">
        <v>15</v>
      </c>
      <c r="C5826" t="s">
        <v>11</v>
      </c>
      <c r="D5826">
        <v>14</v>
      </c>
      <c r="E5826" s="2">
        <v>1.1863425925925927E-2</v>
      </c>
      <c r="F5826">
        <v>17.083333333333332</v>
      </c>
    </row>
    <row r="5827" spans="1:6" x14ac:dyDescent="0.25">
      <c r="A5827" s="1">
        <v>40452</v>
      </c>
      <c r="B5827" t="s">
        <v>16</v>
      </c>
      <c r="C5827" t="s">
        <v>6</v>
      </c>
      <c r="D5827">
        <v>22</v>
      </c>
      <c r="E5827" s="2">
        <v>1.8865740740740742E-2</v>
      </c>
      <c r="F5827">
        <v>27.166666666666668</v>
      </c>
    </row>
    <row r="5828" spans="1:6" x14ac:dyDescent="0.25">
      <c r="A5828" s="1">
        <v>40452</v>
      </c>
      <c r="B5828" t="s">
        <v>16</v>
      </c>
      <c r="C5828" t="s">
        <v>7</v>
      </c>
      <c r="D5828">
        <v>16</v>
      </c>
      <c r="E5828" s="2">
        <v>1.3206018518518518E-2</v>
      </c>
      <c r="F5828">
        <v>19.016666666666666</v>
      </c>
    </row>
    <row r="5829" spans="1:6" x14ac:dyDescent="0.25">
      <c r="A5829" s="1">
        <v>40452</v>
      </c>
      <c r="B5829" t="s">
        <v>16</v>
      </c>
      <c r="C5829" t="s">
        <v>8</v>
      </c>
      <c r="D5829">
        <v>26</v>
      </c>
      <c r="E5829" s="2">
        <v>2.2905092592592591E-2</v>
      </c>
      <c r="F5829">
        <v>32.983333333333334</v>
      </c>
    </row>
    <row r="5830" spans="1:6" x14ac:dyDescent="0.25">
      <c r="A5830" s="1">
        <v>40452</v>
      </c>
      <c r="B5830" t="s">
        <v>16</v>
      </c>
      <c r="C5830" t="s">
        <v>9</v>
      </c>
      <c r="D5830">
        <v>13</v>
      </c>
      <c r="E5830" s="2">
        <v>7.7777777777777776E-3</v>
      </c>
      <c r="F5830">
        <v>11.2</v>
      </c>
    </row>
    <row r="5831" spans="1:6" x14ac:dyDescent="0.25">
      <c r="A5831" s="1">
        <v>40452</v>
      </c>
      <c r="B5831" t="s">
        <v>16</v>
      </c>
      <c r="C5831" t="s">
        <v>10</v>
      </c>
      <c r="D5831">
        <v>0</v>
      </c>
      <c r="E5831" s="2">
        <v>0</v>
      </c>
      <c r="F5831">
        <v>0</v>
      </c>
    </row>
    <row r="5832" spans="1:6" x14ac:dyDescent="0.25">
      <c r="A5832" s="1">
        <v>40452</v>
      </c>
      <c r="B5832" t="s">
        <v>16</v>
      </c>
      <c r="C5832" t="s">
        <v>11</v>
      </c>
      <c r="D5832">
        <v>25</v>
      </c>
      <c r="E5832" s="2">
        <v>1.6215277777777776E-2</v>
      </c>
      <c r="F5832">
        <v>23.35</v>
      </c>
    </row>
    <row r="5833" spans="1:6" x14ac:dyDescent="0.25">
      <c r="A5833" s="1">
        <v>40452</v>
      </c>
      <c r="B5833" t="s">
        <v>17</v>
      </c>
      <c r="C5833" t="s">
        <v>6</v>
      </c>
      <c r="D5833">
        <v>10</v>
      </c>
      <c r="E5833" s="2">
        <v>8.1944444444444452E-3</v>
      </c>
      <c r="F5833">
        <v>11.8</v>
      </c>
    </row>
    <row r="5834" spans="1:6" x14ac:dyDescent="0.25">
      <c r="A5834" s="1">
        <v>40452</v>
      </c>
      <c r="B5834" t="s">
        <v>17</v>
      </c>
      <c r="C5834" t="s">
        <v>7</v>
      </c>
      <c r="D5834">
        <v>9</v>
      </c>
      <c r="E5834" s="2">
        <v>7.2569444444444443E-3</v>
      </c>
      <c r="F5834">
        <v>10.45</v>
      </c>
    </row>
    <row r="5835" spans="1:6" x14ac:dyDescent="0.25">
      <c r="A5835" s="1">
        <v>40452</v>
      </c>
      <c r="B5835" t="s">
        <v>17</v>
      </c>
      <c r="C5835" t="s">
        <v>8</v>
      </c>
      <c r="D5835">
        <v>6</v>
      </c>
      <c r="E5835" s="2">
        <v>4.2592592592592595E-3</v>
      </c>
      <c r="F5835">
        <v>6.1333333333333337</v>
      </c>
    </row>
    <row r="5836" spans="1:6" x14ac:dyDescent="0.25">
      <c r="A5836" s="1">
        <v>40452</v>
      </c>
      <c r="B5836" t="s">
        <v>17</v>
      </c>
      <c r="C5836" t="s">
        <v>9</v>
      </c>
      <c r="D5836">
        <v>3</v>
      </c>
      <c r="E5836" s="2">
        <v>1.4699074074074074E-3</v>
      </c>
      <c r="F5836">
        <v>2.1166666666666667</v>
      </c>
    </row>
    <row r="5837" spans="1:6" x14ac:dyDescent="0.25">
      <c r="A5837" s="1">
        <v>40452</v>
      </c>
      <c r="B5837" t="s">
        <v>17</v>
      </c>
      <c r="C5837" t="s">
        <v>10</v>
      </c>
      <c r="D5837">
        <v>7</v>
      </c>
      <c r="E5837" s="2">
        <v>1.03125E-2</v>
      </c>
      <c r="F5837">
        <v>14.85</v>
      </c>
    </row>
    <row r="5838" spans="1:6" x14ac:dyDescent="0.25">
      <c r="A5838" s="1">
        <v>40452</v>
      </c>
      <c r="B5838" t="s">
        <v>17</v>
      </c>
      <c r="C5838" t="s">
        <v>11</v>
      </c>
      <c r="D5838">
        <v>3</v>
      </c>
      <c r="E5838" s="2">
        <v>3.6226851851851854E-3</v>
      </c>
      <c r="F5838">
        <v>5.2166666666666668</v>
      </c>
    </row>
    <row r="5839" spans="1:6" x14ac:dyDescent="0.25">
      <c r="A5839" s="1">
        <v>40452</v>
      </c>
      <c r="B5839" t="s">
        <v>18</v>
      </c>
      <c r="C5839" t="s">
        <v>6</v>
      </c>
      <c r="D5839">
        <v>28</v>
      </c>
      <c r="E5839" s="2">
        <v>2.6747685185185187E-2</v>
      </c>
      <c r="F5839">
        <v>38.516666666666666</v>
      </c>
    </row>
    <row r="5840" spans="1:6" x14ac:dyDescent="0.25">
      <c r="A5840" s="1">
        <v>40452</v>
      </c>
      <c r="B5840" t="s">
        <v>18</v>
      </c>
      <c r="C5840" t="s">
        <v>7</v>
      </c>
      <c r="D5840">
        <v>61</v>
      </c>
      <c r="E5840" s="2">
        <v>4.6666666666666669E-2</v>
      </c>
      <c r="F5840">
        <v>67.2</v>
      </c>
    </row>
    <row r="5841" spans="1:6" x14ac:dyDescent="0.25">
      <c r="A5841" s="1">
        <v>40452</v>
      </c>
      <c r="B5841" t="s">
        <v>18</v>
      </c>
      <c r="C5841" t="s">
        <v>8</v>
      </c>
      <c r="D5841">
        <v>44</v>
      </c>
      <c r="E5841" s="2">
        <v>3.8379629629629632E-2</v>
      </c>
      <c r="F5841">
        <v>55.266666666666666</v>
      </c>
    </row>
    <row r="5842" spans="1:6" x14ac:dyDescent="0.25">
      <c r="A5842" s="1">
        <v>40452</v>
      </c>
      <c r="B5842" t="s">
        <v>18</v>
      </c>
      <c r="C5842" t="s">
        <v>9</v>
      </c>
      <c r="D5842">
        <v>36</v>
      </c>
      <c r="E5842" s="2">
        <v>2.4641203703703703E-2</v>
      </c>
      <c r="F5842">
        <v>35.483333333333334</v>
      </c>
    </row>
    <row r="5843" spans="1:6" x14ac:dyDescent="0.25">
      <c r="A5843" s="1">
        <v>40452</v>
      </c>
      <c r="B5843" t="s">
        <v>18</v>
      </c>
      <c r="C5843" t="s">
        <v>10</v>
      </c>
      <c r="D5843">
        <v>94</v>
      </c>
      <c r="E5843" s="2">
        <v>9.6481481481481488E-2</v>
      </c>
      <c r="F5843">
        <v>138.93333333333334</v>
      </c>
    </row>
    <row r="5844" spans="1:6" x14ac:dyDescent="0.25">
      <c r="A5844" s="1">
        <v>40452</v>
      </c>
      <c r="B5844" t="s">
        <v>18</v>
      </c>
      <c r="C5844" t="s">
        <v>11</v>
      </c>
      <c r="D5844">
        <v>16</v>
      </c>
      <c r="E5844" s="2">
        <v>1.0428240740740741E-2</v>
      </c>
      <c r="F5844">
        <v>15.016666666666667</v>
      </c>
    </row>
    <row r="5845" spans="1:6" x14ac:dyDescent="0.25">
      <c r="A5845" s="1">
        <v>40452</v>
      </c>
      <c r="B5845" t="s">
        <v>19</v>
      </c>
      <c r="C5845" t="s">
        <v>6</v>
      </c>
      <c r="D5845">
        <v>24</v>
      </c>
      <c r="E5845" s="2">
        <v>2.5069444444444443E-2</v>
      </c>
      <c r="F5845">
        <v>36.1</v>
      </c>
    </row>
    <row r="5846" spans="1:6" x14ac:dyDescent="0.25">
      <c r="A5846" s="1">
        <v>40452</v>
      </c>
      <c r="B5846" t="s">
        <v>19</v>
      </c>
      <c r="C5846" t="s">
        <v>7</v>
      </c>
      <c r="D5846">
        <v>24</v>
      </c>
      <c r="E5846" s="2">
        <v>2.4050925925925927E-2</v>
      </c>
      <c r="F5846">
        <v>34.633333333333333</v>
      </c>
    </row>
    <row r="5847" spans="1:6" x14ac:dyDescent="0.25">
      <c r="A5847" s="1">
        <v>40452</v>
      </c>
      <c r="B5847" t="s">
        <v>19</v>
      </c>
      <c r="C5847" t="s">
        <v>8</v>
      </c>
      <c r="D5847">
        <v>34</v>
      </c>
      <c r="E5847" s="2">
        <v>3.7534722222222219E-2</v>
      </c>
      <c r="F5847">
        <v>54.05</v>
      </c>
    </row>
    <row r="5848" spans="1:6" x14ac:dyDescent="0.25">
      <c r="A5848" s="1">
        <v>40452</v>
      </c>
      <c r="B5848" t="s">
        <v>19</v>
      </c>
      <c r="C5848" t="s">
        <v>9</v>
      </c>
      <c r="D5848">
        <v>24</v>
      </c>
      <c r="E5848" s="2">
        <v>1.7638888888888888E-2</v>
      </c>
      <c r="F5848">
        <v>25.4</v>
      </c>
    </row>
    <row r="5849" spans="1:6" x14ac:dyDescent="0.25">
      <c r="A5849" s="1">
        <v>40452</v>
      </c>
      <c r="B5849" t="s">
        <v>19</v>
      </c>
      <c r="C5849" t="s">
        <v>10</v>
      </c>
      <c r="D5849">
        <v>8</v>
      </c>
      <c r="E5849" s="2">
        <v>1.0277777777777778E-2</v>
      </c>
      <c r="F5849">
        <v>14.8</v>
      </c>
    </row>
    <row r="5850" spans="1:6" x14ac:dyDescent="0.25">
      <c r="A5850" s="1">
        <v>40452</v>
      </c>
      <c r="B5850" t="s">
        <v>19</v>
      </c>
      <c r="C5850" t="s">
        <v>11</v>
      </c>
      <c r="D5850">
        <v>27</v>
      </c>
      <c r="E5850" s="2">
        <v>2.0462962962962964E-2</v>
      </c>
      <c r="F5850">
        <v>29.466666666666665</v>
      </c>
    </row>
    <row r="5851" spans="1:6" x14ac:dyDescent="0.25">
      <c r="A5851" s="1">
        <v>40452</v>
      </c>
      <c r="B5851" t="s">
        <v>20</v>
      </c>
      <c r="C5851" t="s">
        <v>6</v>
      </c>
      <c r="D5851">
        <v>12</v>
      </c>
      <c r="E5851" s="2">
        <v>1.1909722222222223E-2</v>
      </c>
      <c r="F5851">
        <v>17.149999999999999</v>
      </c>
    </row>
    <row r="5852" spans="1:6" x14ac:dyDescent="0.25">
      <c r="A5852" s="1">
        <v>40452</v>
      </c>
      <c r="B5852" t="s">
        <v>20</v>
      </c>
      <c r="C5852" t="s">
        <v>7</v>
      </c>
      <c r="D5852">
        <v>11</v>
      </c>
      <c r="E5852" s="2">
        <v>1.2939814814814815E-2</v>
      </c>
      <c r="F5852">
        <v>18.633333333333333</v>
      </c>
    </row>
    <row r="5853" spans="1:6" x14ac:dyDescent="0.25">
      <c r="A5853" s="1">
        <v>40452</v>
      </c>
      <c r="B5853" t="s">
        <v>20</v>
      </c>
      <c r="C5853" t="s">
        <v>8</v>
      </c>
      <c r="D5853">
        <v>9</v>
      </c>
      <c r="E5853" s="2">
        <v>1.0578703703703703E-2</v>
      </c>
      <c r="F5853">
        <v>15.233333333333333</v>
      </c>
    </row>
    <row r="5854" spans="1:6" x14ac:dyDescent="0.25">
      <c r="A5854" s="1">
        <v>40452</v>
      </c>
      <c r="B5854" t="s">
        <v>20</v>
      </c>
      <c r="C5854" t="s">
        <v>9</v>
      </c>
      <c r="D5854">
        <v>4</v>
      </c>
      <c r="E5854" s="2">
        <v>2.650462962962963E-3</v>
      </c>
      <c r="F5854">
        <v>3.8166666666666664</v>
      </c>
    </row>
    <row r="5855" spans="1:6" x14ac:dyDescent="0.25">
      <c r="A5855" s="1">
        <v>40452</v>
      </c>
      <c r="B5855" t="s">
        <v>20</v>
      </c>
      <c r="C5855" t="s">
        <v>10</v>
      </c>
      <c r="D5855">
        <v>5</v>
      </c>
      <c r="E5855" s="2">
        <v>8.8541666666666664E-3</v>
      </c>
      <c r="F5855">
        <v>12.75</v>
      </c>
    </row>
    <row r="5856" spans="1:6" x14ac:dyDescent="0.25">
      <c r="A5856" s="1">
        <v>40452</v>
      </c>
      <c r="B5856" t="s">
        <v>20</v>
      </c>
      <c r="C5856" t="s">
        <v>11</v>
      </c>
      <c r="D5856">
        <v>6</v>
      </c>
      <c r="E5856" s="2">
        <v>4.7916666666666663E-3</v>
      </c>
      <c r="F5856">
        <v>6.9</v>
      </c>
    </row>
    <row r="5857" spans="1:6" x14ac:dyDescent="0.25">
      <c r="A5857" s="1">
        <v>40452</v>
      </c>
      <c r="B5857" t="s">
        <v>21</v>
      </c>
      <c r="C5857" t="s">
        <v>6</v>
      </c>
      <c r="D5857">
        <v>19</v>
      </c>
      <c r="E5857" s="2">
        <v>2.3784722222222221E-2</v>
      </c>
      <c r="F5857">
        <v>34.25</v>
      </c>
    </row>
    <row r="5858" spans="1:6" x14ac:dyDescent="0.25">
      <c r="A5858" s="1">
        <v>40452</v>
      </c>
      <c r="B5858" t="s">
        <v>21</v>
      </c>
      <c r="C5858" t="s">
        <v>7</v>
      </c>
      <c r="D5858">
        <v>24</v>
      </c>
      <c r="E5858" s="2">
        <v>3.048611111111111E-2</v>
      </c>
      <c r="F5858">
        <v>43.9</v>
      </c>
    </row>
    <row r="5859" spans="1:6" x14ac:dyDescent="0.25">
      <c r="A5859" s="1">
        <v>40452</v>
      </c>
      <c r="B5859" t="s">
        <v>21</v>
      </c>
      <c r="C5859" t="s">
        <v>8</v>
      </c>
      <c r="D5859">
        <v>15</v>
      </c>
      <c r="E5859" s="2">
        <v>1.951388888888889E-2</v>
      </c>
      <c r="F5859">
        <v>28.1</v>
      </c>
    </row>
    <row r="5860" spans="1:6" x14ac:dyDescent="0.25">
      <c r="A5860" s="1">
        <v>40452</v>
      </c>
      <c r="B5860" t="s">
        <v>21</v>
      </c>
      <c r="C5860" t="s">
        <v>9</v>
      </c>
      <c r="D5860">
        <v>10</v>
      </c>
      <c r="E5860" s="2">
        <v>6.1574074074074074E-3</v>
      </c>
      <c r="F5860">
        <v>8.8666666666666671</v>
      </c>
    </row>
    <row r="5861" spans="1:6" x14ac:dyDescent="0.25">
      <c r="A5861" s="1">
        <v>40452</v>
      </c>
      <c r="B5861" t="s">
        <v>21</v>
      </c>
      <c r="C5861" t="s">
        <v>10</v>
      </c>
      <c r="D5861">
        <v>4</v>
      </c>
      <c r="E5861" s="2">
        <v>3.4027777777777776E-3</v>
      </c>
      <c r="F5861">
        <v>4.9000000000000004</v>
      </c>
    </row>
    <row r="5862" spans="1:6" x14ac:dyDescent="0.25">
      <c r="A5862" s="1">
        <v>40452</v>
      </c>
      <c r="B5862" t="s">
        <v>21</v>
      </c>
      <c r="C5862" t="s">
        <v>11</v>
      </c>
      <c r="D5862">
        <v>16</v>
      </c>
      <c r="E5862" s="2">
        <v>1.2673611111111111E-2</v>
      </c>
      <c r="F5862">
        <v>18.25</v>
      </c>
    </row>
    <row r="5863" spans="1:6" x14ac:dyDescent="0.25">
      <c r="A5863" s="1">
        <v>40452</v>
      </c>
      <c r="B5863" t="s">
        <v>22</v>
      </c>
      <c r="C5863" t="s">
        <v>6</v>
      </c>
      <c r="D5863">
        <v>12</v>
      </c>
      <c r="E5863" s="2">
        <v>1.576388888888889E-2</v>
      </c>
      <c r="F5863">
        <v>22.7</v>
      </c>
    </row>
    <row r="5864" spans="1:6" x14ac:dyDescent="0.25">
      <c r="A5864" s="1">
        <v>40452</v>
      </c>
      <c r="B5864" t="s">
        <v>22</v>
      </c>
      <c r="C5864" t="s">
        <v>7</v>
      </c>
      <c r="D5864">
        <v>9</v>
      </c>
      <c r="E5864" s="2">
        <v>1.1469907407407408E-2</v>
      </c>
      <c r="F5864">
        <v>16.516666666666666</v>
      </c>
    </row>
    <row r="5865" spans="1:6" x14ac:dyDescent="0.25">
      <c r="A5865" s="1">
        <v>40452</v>
      </c>
      <c r="B5865" t="s">
        <v>22</v>
      </c>
      <c r="C5865" t="s">
        <v>8</v>
      </c>
      <c r="D5865">
        <v>6</v>
      </c>
      <c r="E5865" s="2">
        <v>8.3101851851851843E-3</v>
      </c>
      <c r="F5865">
        <v>11.966666666666667</v>
      </c>
    </row>
    <row r="5866" spans="1:6" x14ac:dyDescent="0.25">
      <c r="A5866" s="1">
        <v>40452</v>
      </c>
      <c r="B5866" t="s">
        <v>22</v>
      </c>
      <c r="C5866" t="s">
        <v>9</v>
      </c>
      <c r="D5866">
        <v>1</v>
      </c>
      <c r="E5866" s="2">
        <v>1.0879629629629629E-3</v>
      </c>
      <c r="F5866">
        <v>1.5666666666666667</v>
      </c>
    </row>
    <row r="5867" spans="1:6" x14ac:dyDescent="0.25">
      <c r="A5867" s="1">
        <v>40452</v>
      </c>
      <c r="B5867" t="s">
        <v>22</v>
      </c>
      <c r="C5867" t="s">
        <v>10</v>
      </c>
      <c r="D5867">
        <v>4</v>
      </c>
      <c r="E5867" s="2">
        <v>3.8310185185185183E-3</v>
      </c>
      <c r="F5867">
        <v>5.5166666666666666</v>
      </c>
    </row>
    <row r="5868" spans="1:6" x14ac:dyDescent="0.25">
      <c r="A5868" s="1">
        <v>40452</v>
      </c>
      <c r="B5868" t="s">
        <v>22</v>
      </c>
      <c r="C5868" t="s">
        <v>11</v>
      </c>
      <c r="D5868">
        <v>13</v>
      </c>
      <c r="E5868" s="2">
        <v>1.4456018518518519E-2</v>
      </c>
      <c r="F5868">
        <v>20.816666666666666</v>
      </c>
    </row>
    <row r="5869" spans="1:6" x14ac:dyDescent="0.25">
      <c r="A5869" s="1">
        <v>40452</v>
      </c>
      <c r="B5869" t="s">
        <v>23</v>
      </c>
      <c r="C5869" t="s">
        <v>6</v>
      </c>
      <c r="D5869">
        <v>229</v>
      </c>
      <c r="E5869" s="2">
        <v>0.24591435185185184</v>
      </c>
      <c r="F5869">
        <v>354.11666666666667</v>
      </c>
    </row>
    <row r="5870" spans="1:6" x14ac:dyDescent="0.25">
      <c r="A5870" s="1">
        <v>40452</v>
      </c>
      <c r="B5870" t="s">
        <v>23</v>
      </c>
      <c r="C5870" t="s">
        <v>7</v>
      </c>
      <c r="D5870">
        <v>261</v>
      </c>
      <c r="E5870" s="2">
        <v>0.27006944444444442</v>
      </c>
      <c r="F5870">
        <v>388.9</v>
      </c>
    </row>
    <row r="5871" spans="1:6" x14ac:dyDescent="0.25">
      <c r="A5871" s="1">
        <v>40452</v>
      </c>
      <c r="B5871" t="s">
        <v>23</v>
      </c>
      <c r="C5871" t="s">
        <v>8</v>
      </c>
      <c r="D5871">
        <v>186</v>
      </c>
      <c r="E5871" s="2">
        <v>0.19516203703703705</v>
      </c>
      <c r="F5871">
        <v>281.03333333333336</v>
      </c>
    </row>
    <row r="5872" spans="1:6" x14ac:dyDescent="0.25">
      <c r="A5872" s="1">
        <v>40452</v>
      </c>
      <c r="B5872" t="s">
        <v>23</v>
      </c>
      <c r="C5872" t="s">
        <v>9</v>
      </c>
      <c r="D5872">
        <v>117</v>
      </c>
      <c r="E5872" s="2">
        <v>8.3206018518518512E-2</v>
      </c>
      <c r="F5872">
        <v>119.81666666666666</v>
      </c>
    </row>
    <row r="5873" spans="1:6" x14ac:dyDescent="0.25">
      <c r="A5873" s="1">
        <v>40452</v>
      </c>
      <c r="B5873" t="s">
        <v>23</v>
      </c>
      <c r="C5873" t="s">
        <v>10</v>
      </c>
      <c r="D5873">
        <v>67</v>
      </c>
      <c r="E5873" s="2">
        <v>8.0243055555555554E-2</v>
      </c>
      <c r="F5873">
        <v>115.55</v>
      </c>
    </row>
    <row r="5874" spans="1:6" x14ac:dyDescent="0.25">
      <c r="A5874" s="1">
        <v>40452</v>
      </c>
      <c r="B5874" t="s">
        <v>23</v>
      </c>
      <c r="C5874" t="s">
        <v>11</v>
      </c>
      <c r="D5874">
        <v>137</v>
      </c>
      <c r="E5874" s="2">
        <v>0.10831018518518519</v>
      </c>
      <c r="F5874">
        <v>155.96666666666667</v>
      </c>
    </row>
    <row r="5875" spans="1:6" x14ac:dyDescent="0.25">
      <c r="A5875" s="1">
        <v>40452</v>
      </c>
      <c r="B5875" t="s">
        <v>24</v>
      </c>
      <c r="C5875" t="s">
        <v>6</v>
      </c>
      <c r="D5875">
        <v>37</v>
      </c>
      <c r="E5875" s="2">
        <v>3.5543981481481482E-2</v>
      </c>
      <c r="F5875">
        <v>51.18333333333333</v>
      </c>
    </row>
    <row r="5876" spans="1:6" x14ac:dyDescent="0.25">
      <c r="A5876" s="1">
        <v>40452</v>
      </c>
      <c r="B5876" t="s">
        <v>24</v>
      </c>
      <c r="C5876" t="s">
        <v>7</v>
      </c>
      <c r="D5876">
        <v>32</v>
      </c>
      <c r="E5876" s="2">
        <v>2.3356481481481482E-2</v>
      </c>
      <c r="F5876">
        <v>33.633333333333333</v>
      </c>
    </row>
    <row r="5877" spans="1:6" x14ac:dyDescent="0.25">
      <c r="A5877" s="1">
        <v>40452</v>
      </c>
      <c r="B5877" t="s">
        <v>24</v>
      </c>
      <c r="C5877" t="s">
        <v>8</v>
      </c>
      <c r="D5877">
        <v>18</v>
      </c>
      <c r="E5877" s="2">
        <v>1.4178240740740741E-2</v>
      </c>
      <c r="F5877">
        <v>20.416666666666668</v>
      </c>
    </row>
    <row r="5878" spans="1:6" x14ac:dyDescent="0.25">
      <c r="A5878" s="1">
        <v>40452</v>
      </c>
      <c r="B5878" t="s">
        <v>24</v>
      </c>
      <c r="C5878" t="s">
        <v>9</v>
      </c>
      <c r="D5878">
        <v>6</v>
      </c>
      <c r="E5878" s="2">
        <v>4.1666666666666666E-3</v>
      </c>
      <c r="F5878">
        <v>6</v>
      </c>
    </row>
    <row r="5879" spans="1:6" x14ac:dyDescent="0.25">
      <c r="A5879" s="1">
        <v>40452</v>
      </c>
      <c r="B5879" t="s">
        <v>24</v>
      </c>
      <c r="C5879" t="s">
        <v>10</v>
      </c>
      <c r="D5879">
        <v>0</v>
      </c>
      <c r="E5879" s="2">
        <v>0</v>
      </c>
      <c r="F5879">
        <v>0</v>
      </c>
    </row>
    <row r="5880" spans="1:6" x14ac:dyDescent="0.25">
      <c r="A5880" s="1">
        <v>40452</v>
      </c>
      <c r="B5880" t="s">
        <v>24</v>
      </c>
      <c r="C5880" t="s">
        <v>11</v>
      </c>
      <c r="D5880">
        <v>18</v>
      </c>
      <c r="E5880" s="2">
        <v>1.2858796296296297E-2</v>
      </c>
      <c r="F5880">
        <v>18.516666666666666</v>
      </c>
    </row>
    <row r="5881" spans="1:6" x14ac:dyDescent="0.25">
      <c r="A5881" s="1">
        <v>40483</v>
      </c>
      <c r="B5881" t="s">
        <v>5</v>
      </c>
      <c r="C5881" t="s">
        <v>6</v>
      </c>
      <c r="D5881">
        <v>61</v>
      </c>
      <c r="E5881" s="2">
        <v>5.0937499999999997E-2</v>
      </c>
      <c r="F5881">
        <v>73.349999999999994</v>
      </c>
    </row>
    <row r="5882" spans="1:6" x14ac:dyDescent="0.25">
      <c r="A5882" s="1">
        <v>40483</v>
      </c>
      <c r="B5882" t="s">
        <v>5</v>
      </c>
      <c r="C5882" t="s">
        <v>7</v>
      </c>
      <c r="D5882">
        <v>67</v>
      </c>
      <c r="E5882" s="2">
        <v>4.1284722222222223E-2</v>
      </c>
      <c r="F5882">
        <v>59.45</v>
      </c>
    </row>
    <row r="5883" spans="1:6" x14ac:dyDescent="0.25">
      <c r="A5883" s="1">
        <v>40483</v>
      </c>
      <c r="B5883" t="s">
        <v>5</v>
      </c>
      <c r="C5883" t="s">
        <v>8</v>
      </c>
      <c r="D5883">
        <v>50</v>
      </c>
      <c r="E5883" s="2">
        <v>3.8460648148148147E-2</v>
      </c>
      <c r="F5883">
        <v>55.383333333333333</v>
      </c>
    </row>
    <row r="5884" spans="1:6" x14ac:dyDescent="0.25">
      <c r="A5884" s="1">
        <v>40483</v>
      </c>
      <c r="B5884" t="s">
        <v>5</v>
      </c>
      <c r="C5884" t="s">
        <v>9</v>
      </c>
      <c r="D5884">
        <v>20</v>
      </c>
      <c r="E5884" s="2">
        <v>1.2719907407407407E-2</v>
      </c>
      <c r="F5884">
        <v>18.316666666666666</v>
      </c>
    </row>
    <row r="5885" spans="1:6" x14ac:dyDescent="0.25">
      <c r="A5885" s="1">
        <v>40483</v>
      </c>
      <c r="B5885" t="s">
        <v>5</v>
      </c>
      <c r="C5885" t="s">
        <v>10</v>
      </c>
      <c r="D5885">
        <v>6</v>
      </c>
      <c r="E5885" s="2">
        <v>3.3333333333333335E-3</v>
      </c>
      <c r="F5885">
        <v>4.8</v>
      </c>
    </row>
    <row r="5886" spans="1:6" x14ac:dyDescent="0.25">
      <c r="A5886" s="1">
        <v>40483</v>
      </c>
      <c r="B5886" t="s">
        <v>5</v>
      </c>
      <c r="C5886" t="s">
        <v>11</v>
      </c>
      <c r="D5886">
        <v>41</v>
      </c>
      <c r="E5886" s="2">
        <v>2.7881944444444445E-2</v>
      </c>
      <c r="F5886">
        <v>40.15</v>
      </c>
    </row>
    <row r="5887" spans="1:6" x14ac:dyDescent="0.25">
      <c r="A5887" s="1">
        <v>40483</v>
      </c>
      <c r="B5887" t="s">
        <v>12</v>
      </c>
      <c r="C5887" t="s">
        <v>6</v>
      </c>
      <c r="D5887">
        <v>65</v>
      </c>
      <c r="E5887" s="2">
        <v>8.1782407407407401E-2</v>
      </c>
      <c r="F5887">
        <v>117.76666666666667</v>
      </c>
    </row>
    <row r="5888" spans="1:6" x14ac:dyDescent="0.25">
      <c r="A5888" s="1">
        <v>40483</v>
      </c>
      <c r="B5888" t="s">
        <v>12</v>
      </c>
      <c r="C5888" t="s">
        <v>7</v>
      </c>
      <c r="D5888">
        <v>46</v>
      </c>
      <c r="E5888" s="2">
        <v>5.153935185185185E-2</v>
      </c>
      <c r="F5888">
        <v>74.216666666666669</v>
      </c>
    </row>
    <row r="5889" spans="1:6" x14ac:dyDescent="0.25">
      <c r="A5889" s="1">
        <v>40483</v>
      </c>
      <c r="B5889" t="s">
        <v>12</v>
      </c>
      <c r="C5889" t="s">
        <v>8</v>
      </c>
      <c r="D5889">
        <v>29</v>
      </c>
      <c r="E5889" s="2">
        <v>4.0729166666666664E-2</v>
      </c>
      <c r="F5889">
        <v>58.65</v>
      </c>
    </row>
    <row r="5890" spans="1:6" x14ac:dyDescent="0.25">
      <c r="A5890" s="1">
        <v>40483</v>
      </c>
      <c r="B5890" t="s">
        <v>12</v>
      </c>
      <c r="C5890" t="s">
        <v>9</v>
      </c>
      <c r="D5890">
        <v>14</v>
      </c>
      <c r="E5890" s="2">
        <v>1.0173611111111111E-2</v>
      </c>
      <c r="F5890">
        <v>14.65</v>
      </c>
    </row>
    <row r="5891" spans="1:6" x14ac:dyDescent="0.25">
      <c r="A5891" s="1">
        <v>40483</v>
      </c>
      <c r="B5891" t="s">
        <v>12</v>
      </c>
      <c r="C5891" t="s">
        <v>10</v>
      </c>
      <c r="D5891">
        <v>88</v>
      </c>
      <c r="E5891" s="2">
        <v>0.14273148148148149</v>
      </c>
      <c r="F5891">
        <v>205.53333333333333</v>
      </c>
    </row>
    <row r="5892" spans="1:6" x14ac:dyDescent="0.25">
      <c r="A5892" s="1">
        <v>40483</v>
      </c>
      <c r="B5892" t="s">
        <v>12</v>
      </c>
      <c r="C5892" t="s">
        <v>11</v>
      </c>
      <c r="D5892">
        <v>48</v>
      </c>
      <c r="E5892" s="2">
        <v>4.4305555555555556E-2</v>
      </c>
      <c r="F5892">
        <v>63.8</v>
      </c>
    </row>
    <row r="5893" spans="1:6" x14ac:dyDescent="0.25">
      <c r="A5893" s="1">
        <v>40483</v>
      </c>
      <c r="B5893" t="s">
        <v>13</v>
      </c>
      <c r="C5893" t="s">
        <v>6</v>
      </c>
      <c r="D5893">
        <v>57</v>
      </c>
      <c r="E5893" s="2">
        <v>5.2951388888888888E-2</v>
      </c>
      <c r="F5893">
        <v>76.25</v>
      </c>
    </row>
    <row r="5894" spans="1:6" x14ac:dyDescent="0.25">
      <c r="A5894" s="1">
        <v>40483</v>
      </c>
      <c r="B5894" t="s">
        <v>13</v>
      </c>
      <c r="C5894" t="s">
        <v>7</v>
      </c>
      <c r="D5894">
        <v>44</v>
      </c>
      <c r="E5894" s="2">
        <v>5.2118055555555556E-2</v>
      </c>
      <c r="F5894">
        <v>75.05</v>
      </c>
    </row>
    <row r="5895" spans="1:6" x14ac:dyDescent="0.25">
      <c r="A5895" s="1">
        <v>40483</v>
      </c>
      <c r="B5895" t="s">
        <v>13</v>
      </c>
      <c r="C5895" t="s">
        <v>8</v>
      </c>
      <c r="D5895">
        <v>45</v>
      </c>
      <c r="E5895" s="2">
        <v>5.3622685185185183E-2</v>
      </c>
      <c r="F5895">
        <v>77.216666666666669</v>
      </c>
    </row>
    <row r="5896" spans="1:6" x14ac:dyDescent="0.25">
      <c r="A5896" s="1">
        <v>40483</v>
      </c>
      <c r="B5896" t="s">
        <v>13</v>
      </c>
      <c r="C5896" t="s">
        <v>9</v>
      </c>
      <c r="D5896">
        <v>24</v>
      </c>
      <c r="E5896" s="2">
        <v>1.5810185185185184E-2</v>
      </c>
      <c r="F5896">
        <v>22.766666666666666</v>
      </c>
    </row>
    <row r="5897" spans="1:6" x14ac:dyDescent="0.25">
      <c r="A5897" s="1">
        <v>40483</v>
      </c>
      <c r="B5897" t="s">
        <v>13</v>
      </c>
      <c r="C5897" t="s">
        <v>10</v>
      </c>
      <c r="D5897">
        <v>36</v>
      </c>
      <c r="E5897" s="2">
        <v>4.2789351851851849E-2</v>
      </c>
      <c r="F5897">
        <v>61.616666666666667</v>
      </c>
    </row>
    <row r="5898" spans="1:6" x14ac:dyDescent="0.25">
      <c r="A5898" s="1">
        <v>40483</v>
      </c>
      <c r="B5898" t="s">
        <v>13</v>
      </c>
      <c r="C5898" t="s">
        <v>11</v>
      </c>
      <c r="D5898">
        <v>23</v>
      </c>
      <c r="E5898" s="2">
        <v>2.1134259259259259E-2</v>
      </c>
      <c r="F5898">
        <v>30.433333333333334</v>
      </c>
    </row>
    <row r="5899" spans="1:6" x14ac:dyDescent="0.25">
      <c r="A5899" s="1">
        <v>40483</v>
      </c>
      <c r="B5899" t="s">
        <v>14</v>
      </c>
      <c r="C5899" t="s">
        <v>6</v>
      </c>
      <c r="D5899">
        <v>16</v>
      </c>
      <c r="E5899" s="2">
        <v>1.8715277777777779E-2</v>
      </c>
      <c r="F5899">
        <v>26.95</v>
      </c>
    </row>
    <row r="5900" spans="1:6" x14ac:dyDescent="0.25">
      <c r="A5900" s="1">
        <v>40483</v>
      </c>
      <c r="B5900" t="s">
        <v>14</v>
      </c>
      <c r="C5900" t="s">
        <v>7</v>
      </c>
      <c r="D5900">
        <v>17</v>
      </c>
      <c r="E5900" s="2">
        <v>1.7175925925925924E-2</v>
      </c>
      <c r="F5900">
        <v>24.733333333333334</v>
      </c>
    </row>
    <row r="5901" spans="1:6" x14ac:dyDescent="0.25">
      <c r="A5901" s="1">
        <v>40483</v>
      </c>
      <c r="B5901" t="s">
        <v>14</v>
      </c>
      <c r="C5901" t="s">
        <v>8</v>
      </c>
      <c r="D5901">
        <v>13</v>
      </c>
      <c r="E5901" s="2">
        <v>1.9155092592592592E-2</v>
      </c>
      <c r="F5901">
        <v>27.583333333333332</v>
      </c>
    </row>
    <row r="5902" spans="1:6" x14ac:dyDescent="0.25">
      <c r="A5902" s="1">
        <v>40483</v>
      </c>
      <c r="B5902" t="s">
        <v>14</v>
      </c>
      <c r="C5902" t="s">
        <v>9</v>
      </c>
      <c r="D5902">
        <v>5</v>
      </c>
      <c r="E5902" s="2">
        <v>3.3217592592592591E-3</v>
      </c>
      <c r="F5902">
        <v>4.7833333333333332</v>
      </c>
    </row>
    <row r="5903" spans="1:6" x14ac:dyDescent="0.25">
      <c r="A5903" s="1">
        <v>40483</v>
      </c>
      <c r="B5903" t="s">
        <v>14</v>
      </c>
      <c r="C5903" t="s">
        <v>10</v>
      </c>
      <c r="D5903">
        <v>3</v>
      </c>
      <c r="E5903" s="2">
        <v>3.7384259259259259E-3</v>
      </c>
      <c r="F5903">
        <v>5.3833333333333337</v>
      </c>
    </row>
    <row r="5904" spans="1:6" x14ac:dyDescent="0.25">
      <c r="A5904" s="1">
        <v>40483</v>
      </c>
      <c r="B5904" t="s">
        <v>14</v>
      </c>
      <c r="C5904" t="s">
        <v>11</v>
      </c>
      <c r="D5904">
        <v>10</v>
      </c>
      <c r="E5904" s="2">
        <v>9.618055555555555E-3</v>
      </c>
      <c r="F5904">
        <v>13.85</v>
      </c>
    </row>
    <row r="5905" spans="1:6" x14ac:dyDescent="0.25">
      <c r="A5905" s="1">
        <v>40483</v>
      </c>
      <c r="B5905" t="s">
        <v>15</v>
      </c>
      <c r="C5905" t="s">
        <v>6</v>
      </c>
      <c r="D5905">
        <v>60</v>
      </c>
      <c r="E5905" s="2">
        <v>5.2766203703703704E-2</v>
      </c>
      <c r="F5905">
        <v>75.983333333333334</v>
      </c>
    </row>
    <row r="5906" spans="1:6" x14ac:dyDescent="0.25">
      <c r="A5906" s="1">
        <v>40483</v>
      </c>
      <c r="B5906" t="s">
        <v>15</v>
      </c>
      <c r="C5906" t="s">
        <v>7</v>
      </c>
      <c r="D5906">
        <v>45</v>
      </c>
      <c r="E5906" s="2">
        <v>3.5196759259259261E-2</v>
      </c>
      <c r="F5906">
        <v>50.68333333333333</v>
      </c>
    </row>
    <row r="5907" spans="1:6" x14ac:dyDescent="0.25">
      <c r="A5907" s="1">
        <v>40483</v>
      </c>
      <c r="B5907" t="s">
        <v>15</v>
      </c>
      <c r="C5907" t="s">
        <v>8</v>
      </c>
      <c r="D5907">
        <v>43</v>
      </c>
      <c r="E5907" s="2">
        <v>3.9837962962962964E-2</v>
      </c>
      <c r="F5907">
        <v>57.366666666666667</v>
      </c>
    </row>
    <row r="5908" spans="1:6" x14ac:dyDescent="0.25">
      <c r="A5908" s="1">
        <v>40483</v>
      </c>
      <c r="B5908" t="s">
        <v>15</v>
      </c>
      <c r="C5908" t="s">
        <v>9</v>
      </c>
      <c r="D5908">
        <v>16</v>
      </c>
      <c r="E5908" s="2">
        <v>8.7152777777777784E-3</v>
      </c>
      <c r="F5908">
        <v>12.55</v>
      </c>
    </row>
    <row r="5909" spans="1:6" x14ac:dyDescent="0.25">
      <c r="A5909" s="1">
        <v>40483</v>
      </c>
      <c r="B5909" t="s">
        <v>15</v>
      </c>
      <c r="C5909" t="s">
        <v>10</v>
      </c>
      <c r="D5909">
        <v>6</v>
      </c>
      <c r="E5909" s="2">
        <v>8.8888888888888889E-3</v>
      </c>
      <c r="F5909">
        <v>12.8</v>
      </c>
    </row>
    <row r="5910" spans="1:6" x14ac:dyDescent="0.25">
      <c r="A5910" s="1">
        <v>40483</v>
      </c>
      <c r="B5910" t="s">
        <v>15</v>
      </c>
      <c r="C5910" t="s">
        <v>11</v>
      </c>
      <c r="D5910">
        <v>13</v>
      </c>
      <c r="E5910" s="2">
        <v>9.3749999999999997E-3</v>
      </c>
      <c r="F5910">
        <v>13.5</v>
      </c>
    </row>
    <row r="5911" spans="1:6" x14ac:dyDescent="0.25">
      <c r="A5911" s="1">
        <v>40483</v>
      </c>
      <c r="B5911" t="s">
        <v>16</v>
      </c>
      <c r="C5911" t="s">
        <v>6</v>
      </c>
      <c r="D5911">
        <v>43</v>
      </c>
      <c r="E5911" s="2">
        <v>3.6967592592592594E-2</v>
      </c>
      <c r="F5911">
        <v>53.233333333333334</v>
      </c>
    </row>
    <row r="5912" spans="1:6" x14ac:dyDescent="0.25">
      <c r="A5912" s="1">
        <v>40483</v>
      </c>
      <c r="B5912" t="s">
        <v>16</v>
      </c>
      <c r="C5912" t="s">
        <v>7</v>
      </c>
      <c r="D5912">
        <v>38</v>
      </c>
      <c r="E5912" s="2">
        <v>3.4791666666666665E-2</v>
      </c>
      <c r="F5912">
        <v>50.1</v>
      </c>
    </row>
    <row r="5913" spans="1:6" x14ac:dyDescent="0.25">
      <c r="A5913" s="1">
        <v>40483</v>
      </c>
      <c r="B5913" t="s">
        <v>16</v>
      </c>
      <c r="C5913" t="s">
        <v>8</v>
      </c>
      <c r="D5913">
        <v>36</v>
      </c>
      <c r="E5913" s="2">
        <v>3.1087962962962963E-2</v>
      </c>
      <c r="F5913">
        <v>44.766666666666666</v>
      </c>
    </row>
    <row r="5914" spans="1:6" x14ac:dyDescent="0.25">
      <c r="A5914" s="1">
        <v>40483</v>
      </c>
      <c r="B5914" t="s">
        <v>16</v>
      </c>
      <c r="C5914" t="s">
        <v>9</v>
      </c>
      <c r="D5914">
        <v>20</v>
      </c>
      <c r="E5914" s="2">
        <v>1.3506944444444445E-2</v>
      </c>
      <c r="F5914">
        <v>19.45</v>
      </c>
    </row>
    <row r="5915" spans="1:6" x14ac:dyDescent="0.25">
      <c r="A5915" s="1">
        <v>40483</v>
      </c>
      <c r="B5915" t="s">
        <v>16</v>
      </c>
      <c r="C5915" t="s">
        <v>10</v>
      </c>
      <c r="D5915">
        <v>7</v>
      </c>
      <c r="E5915" s="2">
        <v>7.9629629629629634E-3</v>
      </c>
      <c r="F5915">
        <v>11.466666666666667</v>
      </c>
    </row>
    <row r="5916" spans="1:6" x14ac:dyDescent="0.25">
      <c r="A5916" s="1">
        <v>40483</v>
      </c>
      <c r="B5916" t="s">
        <v>16</v>
      </c>
      <c r="C5916" t="s">
        <v>11</v>
      </c>
      <c r="D5916">
        <v>42</v>
      </c>
      <c r="E5916" s="2">
        <v>2.75E-2</v>
      </c>
      <c r="F5916">
        <v>39.6</v>
      </c>
    </row>
    <row r="5917" spans="1:6" x14ac:dyDescent="0.25">
      <c r="A5917" s="1">
        <v>40483</v>
      </c>
      <c r="B5917" t="s">
        <v>17</v>
      </c>
      <c r="C5917" t="s">
        <v>6</v>
      </c>
      <c r="D5917">
        <v>15</v>
      </c>
      <c r="E5917" s="2">
        <v>2.0393518518518519E-2</v>
      </c>
      <c r="F5917">
        <v>29.366666666666667</v>
      </c>
    </row>
    <row r="5918" spans="1:6" x14ac:dyDescent="0.25">
      <c r="A5918" s="1">
        <v>40483</v>
      </c>
      <c r="B5918" t="s">
        <v>17</v>
      </c>
      <c r="C5918" t="s">
        <v>7</v>
      </c>
      <c r="D5918">
        <v>7</v>
      </c>
      <c r="E5918" s="2">
        <v>6.6203703703703702E-3</v>
      </c>
      <c r="F5918">
        <v>9.5333333333333332</v>
      </c>
    </row>
    <row r="5919" spans="1:6" x14ac:dyDescent="0.25">
      <c r="A5919" s="1">
        <v>40483</v>
      </c>
      <c r="B5919" t="s">
        <v>17</v>
      </c>
      <c r="C5919" t="s">
        <v>8</v>
      </c>
      <c r="D5919">
        <v>6</v>
      </c>
      <c r="E5919" s="2">
        <v>4.7800925925925927E-3</v>
      </c>
      <c r="F5919">
        <v>6.8833333333333329</v>
      </c>
    </row>
    <row r="5920" spans="1:6" x14ac:dyDescent="0.25">
      <c r="A5920" s="1">
        <v>40483</v>
      </c>
      <c r="B5920" t="s">
        <v>17</v>
      </c>
      <c r="C5920" t="s">
        <v>9</v>
      </c>
      <c r="D5920">
        <v>6</v>
      </c>
      <c r="E5920" s="2">
        <v>4.7800925925925927E-3</v>
      </c>
      <c r="F5920">
        <v>6.8833333333333329</v>
      </c>
    </row>
    <row r="5921" spans="1:6" x14ac:dyDescent="0.25">
      <c r="A5921" s="1">
        <v>40483</v>
      </c>
      <c r="B5921" t="s">
        <v>17</v>
      </c>
      <c r="C5921" t="s">
        <v>10</v>
      </c>
      <c r="D5921">
        <v>8</v>
      </c>
      <c r="E5921" s="2">
        <v>8.8078703703703704E-3</v>
      </c>
      <c r="F5921">
        <v>12.683333333333334</v>
      </c>
    </row>
    <row r="5922" spans="1:6" x14ac:dyDescent="0.25">
      <c r="A5922" s="1">
        <v>40483</v>
      </c>
      <c r="B5922" t="s">
        <v>17</v>
      </c>
      <c r="C5922" t="s">
        <v>11</v>
      </c>
      <c r="D5922">
        <v>8</v>
      </c>
      <c r="E5922" s="2">
        <v>4.8611111111111112E-3</v>
      </c>
      <c r="F5922">
        <v>7</v>
      </c>
    </row>
    <row r="5923" spans="1:6" x14ac:dyDescent="0.25">
      <c r="A5923" s="1">
        <v>40483</v>
      </c>
      <c r="B5923" t="s">
        <v>18</v>
      </c>
      <c r="C5923" t="s">
        <v>6</v>
      </c>
      <c r="D5923">
        <v>72</v>
      </c>
      <c r="E5923" s="2">
        <v>6.3622685185185185E-2</v>
      </c>
      <c r="F5923">
        <v>91.61666666666666</v>
      </c>
    </row>
    <row r="5924" spans="1:6" x14ac:dyDescent="0.25">
      <c r="A5924" s="1">
        <v>40483</v>
      </c>
      <c r="B5924" t="s">
        <v>18</v>
      </c>
      <c r="C5924" t="s">
        <v>7</v>
      </c>
      <c r="D5924">
        <v>101</v>
      </c>
      <c r="E5924" s="2">
        <v>8.6157407407407405E-2</v>
      </c>
      <c r="F5924">
        <v>124.06666666666666</v>
      </c>
    </row>
    <row r="5925" spans="1:6" x14ac:dyDescent="0.25">
      <c r="A5925" s="1">
        <v>40483</v>
      </c>
      <c r="B5925" t="s">
        <v>18</v>
      </c>
      <c r="C5925" t="s">
        <v>8</v>
      </c>
      <c r="D5925">
        <v>93</v>
      </c>
      <c r="E5925" s="2">
        <v>7.0428240740740736E-2</v>
      </c>
      <c r="F5925">
        <v>101.41666666666667</v>
      </c>
    </row>
    <row r="5926" spans="1:6" x14ac:dyDescent="0.25">
      <c r="A5926" s="1">
        <v>40483</v>
      </c>
      <c r="B5926" t="s">
        <v>18</v>
      </c>
      <c r="C5926" t="s">
        <v>9</v>
      </c>
      <c r="D5926">
        <v>56</v>
      </c>
      <c r="E5926" s="2">
        <v>3.6944444444444446E-2</v>
      </c>
      <c r="F5926">
        <v>53.2</v>
      </c>
    </row>
    <row r="5927" spans="1:6" x14ac:dyDescent="0.25">
      <c r="A5927" s="1">
        <v>40483</v>
      </c>
      <c r="B5927" t="s">
        <v>18</v>
      </c>
      <c r="C5927" t="s">
        <v>10</v>
      </c>
      <c r="D5927">
        <v>117</v>
      </c>
      <c r="E5927" s="2">
        <v>0.13453703703703704</v>
      </c>
      <c r="F5927">
        <v>193.73333333333332</v>
      </c>
    </row>
    <row r="5928" spans="1:6" x14ac:dyDescent="0.25">
      <c r="A5928" s="1">
        <v>40483</v>
      </c>
      <c r="B5928" t="s">
        <v>18</v>
      </c>
      <c r="C5928" t="s">
        <v>11</v>
      </c>
      <c r="D5928">
        <v>49</v>
      </c>
      <c r="E5928" s="2">
        <v>3.0462962962962963E-2</v>
      </c>
      <c r="F5928">
        <v>43.866666666666667</v>
      </c>
    </row>
    <row r="5929" spans="1:6" x14ac:dyDescent="0.25">
      <c r="A5929" s="1">
        <v>40483</v>
      </c>
      <c r="B5929" t="s">
        <v>19</v>
      </c>
      <c r="C5929" t="s">
        <v>6</v>
      </c>
      <c r="D5929">
        <v>35</v>
      </c>
      <c r="E5929" s="2">
        <v>3.6655092592592593E-2</v>
      </c>
      <c r="F5929">
        <v>52.783333333333331</v>
      </c>
    </row>
    <row r="5930" spans="1:6" x14ac:dyDescent="0.25">
      <c r="A5930" s="1">
        <v>40483</v>
      </c>
      <c r="B5930" t="s">
        <v>19</v>
      </c>
      <c r="C5930" t="s">
        <v>7</v>
      </c>
      <c r="D5930">
        <v>32</v>
      </c>
      <c r="E5930" s="2">
        <v>3.2245370370370369E-2</v>
      </c>
      <c r="F5930">
        <v>46.43333333333333</v>
      </c>
    </row>
    <row r="5931" spans="1:6" x14ac:dyDescent="0.25">
      <c r="A5931" s="1">
        <v>40483</v>
      </c>
      <c r="B5931" t="s">
        <v>19</v>
      </c>
      <c r="C5931" t="s">
        <v>8</v>
      </c>
      <c r="D5931">
        <v>35</v>
      </c>
      <c r="E5931" s="2">
        <v>3.0868055555555555E-2</v>
      </c>
      <c r="F5931">
        <v>44.45</v>
      </c>
    </row>
    <row r="5932" spans="1:6" x14ac:dyDescent="0.25">
      <c r="A5932" s="1">
        <v>40483</v>
      </c>
      <c r="B5932" t="s">
        <v>19</v>
      </c>
      <c r="C5932" t="s">
        <v>9</v>
      </c>
      <c r="D5932">
        <v>25</v>
      </c>
      <c r="E5932" s="2">
        <v>1.8310185185185186E-2</v>
      </c>
      <c r="F5932">
        <v>26.366666666666667</v>
      </c>
    </row>
    <row r="5933" spans="1:6" x14ac:dyDescent="0.25">
      <c r="A5933" s="1">
        <v>40483</v>
      </c>
      <c r="B5933" t="s">
        <v>19</v>
      </c>
      <c r="C5933" t="s">
        <v>10</v>
      </c>
      <c r="D5933">
        <v>13</v>
      </c>
      <c r="E5933" s="2">
        <v>1.2546296296296297E-2</v>
      </c>
      <c r="F5933">
        <v>18.066666666666666</v>
      </c>
    </row>
    <row r="5934" spans="1:6" x14ac:dyDescent="0.25">
      <c r="A5934" s="1">
        <v>40483</v>
      </c>
      <c r="B5934" t="s">
        <v>19</v>
      </c>
      <c r="C5934" t="s">
        <v>11</v>
      </c>
      <c r="D5934">
        <v>31</v>
      </c>
      <c r="E5934" s="2">
        <v>2.4085648148148148E-2</v>
      </c>
      <c r="F5934">
        <v>34.68333333333333</v>
      </c>
    </row>
    <row r="5935" spans="1:6" x14ac:dyDescent="0.25">
      <c r="A5935" s="1">
        <v>40483</v>
      </c>
      <c r="B5935" t="s">
        <v>20</v>
      </c>
      <c r="C5935" t="s">
        <v>6</v>
      </c>
      <c r="D5935">
        <v>66</v>
      </c>
      <c r="E5935" s="2">
        <v>7.5787037037037042E-2</v>
      </c>
      <c r="F5935">
        <v>109.13333333333334</v>
      </c>
    </row>
    <row r="5936" spans="1:6" x14ac:dyDescent="0.25">
      <c r="A5936" s="1">
        <v>40483</v>
      </c>
      <c r="B5936" t="s">
        <v>20</v>
      </c>
      <c r="C5936" t="s">
        <v>7</v>
      </c>
      <c r="D5936">
        <v>88</v>
      </c>
      <c r="E5936" s="2">
        <v>8.997685185185185E-2</v>
      </c>
      <c r="F5936">
        <v>129.56666666666666</v>
      </c>
    </row>
    <row r="5937" spans="1:6" x14ac:dyDescent="0.25">
      <c r="A5937" s="1">
        <v>40483</v>
      </c>
      <c r="B5937" t="s">
        <v>20</v>
      </c>
      <c r="C5937" t="s">
        <v>8</v>
      </c>
      <c r="D5937">
        <v>58</v>
      </c>
      <c r="E5937" s="2">
        <v>6.3622685185185185E-2</v>
      </c>
      <c r="F5937">
        <v>91.61666666666666</v>
      </c>
    </row>
    <row r="5938" spans="1:6" x14ac:dyDescent="0.25">
      <c r="A5938" s="1">
        <v>40483</v>
      </c>
      <c r="B5938" t="s">
        <v>20</v>
      </c>
      <c r="C5938" t="s">
        <v>9</v>
      </c>
      <c r="D5938">
        <v>28</v>
      </c>
      <c r="E5938" s="2">
        <v>2.3900462962962964E-2</v>
      </c>
      <c r="F5938">
        <v>34.416666666666664</v>
      </c>
    </row>
    <row r="5939" spans="1:6" x14ac:dyDescent="0.25">
      <c r="A5939" s="1">
        <v>40483</v>
      </c>
      <c r="B5939" t="s">
        <v>20</v>
      </c>
      <c r="C5939" t="s">
        <v>10</v>
      </c>
      <c r="D5939">
        <v>14</v>
      </c>
      <c r="E5939" s="2">
        <v>1.8020833333333333E-2</v>
      </c>
      <c r="F5939">
        <v>25.95</v>
      </c>
    </row>
    <row r="5940" spans="1:6" x14ac:dyDescent="0.25">
      <c r="A5940" s="1">
        <v>40483</v>
      </c>
      <c r="B5940" t="s">
        <v>20</v>
      </c>
      <c r="C5940" t="s">
        <v>11</v>
      </c>
      <c r="D5940">
        <v>29</v>
      </c>
      <c r="E5940" s="2">
        <v>2.6770833333333334E-2</v>
      </c>
      <c r="F5940">
        <v>38.549999999999997</v>
      </c>
    </row>
    <row r="5941" spans="1:6" x14ac:dyDescent="0.25">
      <c r="A5941" s="1">
        <v>40483</v>
      </c>
      <c r="B5941" t="s">
        <v>21</v>
      </c>
      <c r="C5941" t="s">
        <v>6</v>
      </c>
      <c r="D5941">
        <v>30</v>
      </c>
      <c r="E5941" s="2">
        <v>3.3252314814814818E-2</v>
      </c>
      <c r="F5941">
        <v>47.883333333333333</v>
      </c>
    </row>
    <row r="5942" spans="1:6" x14ac:dyDescent="0.25">
      <c r="A5942" s="1">
        <v>40483</v>
      </c>
      <c r="B5942" t="s">
        <v>21</v>
      </c>
      <c r="C5942" t="s">
        <v>7</v>
      </c>
      <c r="D5942">
        <v>32</v>
      </c>
      <c r="E5942" s="2">
        <v>3.8171296296296293E-2</v>
      </c>
      <c r="F5942">
        <v>54.966666666666669</v>
      </c>
    </row>
    <row r="5943" spans="1:6" x14ac:dyDescent="0.25">
      <c r="A5943" s="1">
        <v>40483</v>
      </c>
      <c r="B5943" t="s">
        <v>21</v>
      </c>
      <c r="C5943" t="s">
        <v>8</v>
      </c>
      <c r="D5943">
        <v>31</v>
      </c>
      <c r="E5943" s="2">
        <v>3.9745370370370368E-2</v>
      </c>
      <c r="F5943">
        <v>57.233333333333334</v>
      </c>
    </row>
    <row r="5944" spans="1:6" x14ac:dyDescent="0.25">
      <c r="A5944" s="1">
        <v>40483</v>
      </c>
      <c r="B5944" t="s">
        <v>21</v>
      </c>
      <c r="C5944" t="s">
        <v>9</v>
      </c>
      <c r="D5944">
        <v>10</v>
      </c>
      <c r="E5944" s="2">
        <v>9.2708333333333341E-3</v>
      </c>
      <c r="F5944">
        <v>13.35</v>
      </c>
    </row>
    <row r="5945" spans="1:6" x14ac:dyDescent="0.25">
      <c r="A5945" s="1">
        <v>40483</v>
      </c>
      <c r="B5945" t="s">
        <v>21</v>
      </c>
      <c r="C5945" t="s">
        <v>10</v>
      </c>
      <c r="D5945">
        <v>11</v>
      </c>
      <c r="E5945" s="2">
        <v>1.1388888888888889E-2</v>
      </c>
      <c r="F5945">
        <v>16.399999999999999</v>
      </c>
    </row>
    <row r="5946" spans="1:6" x14ac:dyDescent="0.25">
      <c r="A5946" s="1">
        <v>40483</v>
      </c>
      <c r="B5946" t="s">
        <v>21</v>
      </c>
      <c r="C5946" t="s">
        <v>11</v>
      </c>
      <c r="D5946">
        <v>18</v>
      </c>
      <c r="E5946" s="2">
        <v>1.6851851851851851E-2</v>
      </c>
      <c r="F5946">
        <v>24.266666666666666</v>
      </c>
    </row>
    <row r="5947" spans="1:6" x14ac:dyDescent="0.25">
      <c r="A5947" s="1">
        <v>40483</v>
      </c>
      <c r="B5947" t="s">
        <v>22</v>
      </c>
      <c r="C5947" t="s">
        <v>6</v>
      </c>
      <c r="D5947">
        <v>19</v>
      </c>
      <c r="E5947" s="2">
        <v>2.4745370370370369E-2</v>
      </c>
      <c r="F5947">
        <v>35.633333333333333</v>
      </c>
    </row>
    <row r="5948" spans="1:6" x14ac:dyDescent="0.25">
      <c r="A5948" s="1">
        <v>40483</v>
      </c>
      <c r="B5948" t="s">
        <v>22</v>
      </c>
      <c r="C5948" t="s">
        <v>7</v>
      </c>
      <c r="D5948">
        <v>15</v>
      </c>
      <c r="E5948" s="2">
        <v>1.3819444444444445E-2</v>
      </c>
      <c r="F5948">
        <v>19.899999999999999</v>
      </c>
    </row>
    <row r="5949" spans="1:6" x14ac:dyDescent="0.25">
      <c r="A5949" s="1">
        <v>40483</v>
      </c>
      <c r="B5949" t="s">
        <v>22</v>
      </c>
      <c r="C5949" t="s">
        <v>8</v>
      </c>
      <c r="D5949">
        <v>8</v>
      </c>
      <c r="E5949" s="2">
        <v>9.6064814814814815E-3</v>
      </c>
      <c r="F5949">
        <v>13.833333333333334</v>
      </c>
    </row>
    <row r="5950" spans="1:6" x14ac:dyDescent="0.25">
      <c r="A5950" s="1">
        <v>40483</v>
      </c>
      <c r="B5950" t="s">
        <v>22</v>
      </c>
      <c r="C5950" t="s">
        <v>9</v>
      </c>
      <c r="D5950">
        <v>7</v>
      </c>
      <c r="E5950" s="2">
        <v>5.5555555555555558E-3</v>
      </c>
      <c r="F5950">
        <v>8</v>
      </c>
    </row>
    <row r="5951" spans="1:6" x14ac:dyDescent="0.25">
      <c r="A5951" s="1">
        <v>40483</v>
      </c>
      <c r="B5951" t="s">
        <v>22</v>
      </c>
      <c r="C5951" t="s">
        <v>10</v>
      </c>
      <c r="D5951">
        <v>15</v>
      </c>
      <c r="E5951" s="2">
        <v>1.8807870370370371E-2</v>
      </c>
      <c r="F5951">
        <v>27.083333333333332</v>
      </c>
    </row>
    <row r="5952" spans="1:6" x14ac:dyDescent="0.25">
      <c r="A5952" s="1">
        <v>40483</v>
      </c>
      <c r="B5952" t="s">
        <v>22</v>
      </c>
      <c r="C5952" t="s">
        <v>11</v>
      </c>
      <c r="D5952">
        <v>11</v>
      </c>
      <c r="E5952" s="2">
        <v>9.9537037037037042E-3</v>
      </c>
      <c r="F5952">
        <v>14.333333333333334</v>
      </c>
    </row>
    <row r="5953" spans="1:6" x14ac:dyDescent="0.25">
      <c r="A5953" s="1">
        <v>40483</v>
      </c>
      <c r="B5953" t="s">
        <v>23</v>
      </c>
      <c r="C5953" t="s">
        <v>6</v>
      </c>
      <c r="D5953">
        <v>122</v>
      </c>
      <c r="E5953" s="2">
        <v>0.13939814814814816</v>
      </c>
      <c r="F5953">
        <v>200.73333333333332</v>
      </c>
    </row>
    <row r="5954" spans="1:6" x14ac:dyDescent="0.25">
      <c r="A5954" s="1">
        <v>40483</v>
      </c>
      <c r="B5954" t="s">
        <v>23</v>
      </c>
      <c r="C5954" t="s">
        <v>7</v>
      </c>
      <c r="D5954">
        <v>156</v>
      </c>
      <c r="E5954" s="2">
        <v>0.16971064814814815</v>
      </c>
      <c r="F5954">
        <v>244.38333333333333</v>
      </c>
    </row>
    <row r="5955" spans="1:6" x14ac:dyDescent="0.25">
      <c r="A5955" s="1">
        <v>40483</v>
      </c>
      <c r="B5955" t="s">
        <v>23</v>
      </c>
      <c r="C5955" t="s">
        <v>8</v>
      </c>
      <c r="D5955">
        <v>96</v>
      </c>
      <c r="E5955" s="2">
        <v>0.10524305555555556</v>
      </c>
      <c r="F5955">
        <v>151.55000000000001</v>
      </c>
    </row>
    <row r="5956" spans="1:6" x14ac:dyDescent="0.25">
      <c r="A5956" s="1">
        <v>40483</v>
      </c>
      <c r="B5956" t="s">
        <v>23</v>
      </c>
      <c r="C5956" t="s">
        <v>9</v>
      </c>
      <c r="D5956">
        <v>74</v>
      </c>
      <c r="E5956" s="2">
        <v>4.6678240740740742E-2</v>
      </c>
      <c r="F5956">
        <v>67.216666666666669</v>
      </c>
    </row>
    <row r="5957" spans="1:6" x14ac:dyDescent="0.25">
      <c r="A5957" s="1">
        <v>40483</v>
      </c>
      <c r="B5957" t="s">
        <v>23</v>
      </c>
      <c r="C5957" t="s">
        <v>10</v>
      </c>
      <c r="D5957">
        <v>49</v>
      </c>
      <c r="E5957" s="2">
        <v>6.940972222222222E-2</v>
      </c>
      <c r="F5957">
        <v>99.95</v>
      </c>
    </row>
    <row r="5958" spans="1:6" x14ac:dyDescent="0.25">
      <c r="A5958" s="1">
        <v>40483</v>
      </c>
      <c r="B5958" t="s">
        <v>23</v>
      </c>
      <c r="C5958" t="s">
        <v>11</v>
      </c>
      <c r="D5958">
        <v>120</v>
      </c>
      <c r="E5958" s="2">
        <v>9.4155092592592596E-2</v>
      </c>
      <c r="F5958">
        <v>135.58333333333334</v>
      </c>
    </row>
    <row r="5959" spans="1:6" x14ac:dyDescent="0.25">
      <c r="A5959" s="1">
        <v>40483</v>
      </c>
      <c r="B5959" t="s">
        <v>24</v>
      </c>
      <c r="C5959" t="s">
        <v>6</v>
      </c>
      <c r="D5959">
        <v>58</v>
      </c>
      <c r="E5959" s="2">
        <v>4.6331018518518521E-2</v>
      </c>
      <c r="F5959">
        <v>66.716666666666669</v>
      </c>
    </row>
    <row r="5960" spans="1:6" x14ac:dyDescent="0.25">
      <c r="A5960" s="1">
        <v>40483</v>
      </c>
      <c r="B5960" t="s">
        <v>24</v>
      </c>
      <c r="C5960" t="s">
        <v>7</v>
      </c>
      <c r="D5960">
        <v>55</v>
      </c>
      <c r="E5960" s="2">
        <v>3.3101851851851855E-2</v>
      </c>
      <c r="F5960">
        <v>47.666666666666664</v>
      </c>
    </row>
    <row r="5961" spans="1:6" x14ac:dyDescent="0.25">
      <c r="A5961" s="1">
        <v>40483</v>
      </c>
      <c r="B5961" t="s">
        <v>24</v>
      </c>
      <c r="C5961" t="s">
        <v>8</v>
      </c>
      <c r="D5961">
        <v>36</v>
      </c>
      <c r="E5961" s="2">
        <v>3.3981481481481481E-2</v>
      </c>
      <c r="F5961">
        <v>48.93333333333333</v>
      </c>
    </row>
    <row r="5962" spans="1:6" x14ac:dyDescent="0.25">
      <c r="A5962" s="1">
        <v>40483</v>
      </c>
      <c r="B5962" t="s">
        <v>24</v>
      </c>
      <c r="C5962" t="s">
        <v>9</v>
      </c>
      <c r="D5962">
        <v>11</v>
      </c>
      <c r="E5962" s="2">
        <v>8.3333333333333332E-3</v>
      </c>
      <c r="F5962">
        <v>12</v>
      </c>
    </row>
    <row r="5963" spans="1:6" x14ac:dyDescent="0.25">
      <c r="A5963" s="1">
        <v>40483</v>
      </c>
      <c r="B5963" t="s">
        <v>24</v>
      </c>
      <c r="C5963" t="s">
        <v>10</v>
      </c>
      <c r="D5963">
        <v>1</v>
      </c>
      <c r="E5963" s="2">
        <v>1.0532407407407407E-3</v>
      </c>
      <c r="F5963">
        <v>1.5166666666666666</v>
      </c>
    </row>
    <row r="5964" spans="1:6" x14ac:dyDescent="0.25">
      <c r="A5964" s="1">
        <v>40483</v>
      </c>
      <c r="B5964" t="s">
        <v>24</v>
      </c>
      <c r="C5964" t="s">
        <v>11</v>
      </c>
      <c r="D5964">
        <v>42</v>
      </c>
      <c r="E5964" s="2">
        <v>2.5914351851851852E-2</v>
      </c>
      <c r="F5964">
        <v>37.31666666666667</v>
      </c>
    </row>
    <row r="5965" spans="1:6" x14ac:dyDescent="0.25">
      <c r="A5965" s="1">
        <v>40513</v>
      </c>
      <c r="B5965" t="s">
        <v>5</v>
      </c>
      <c r="C5965" t="s">
        <v>6</v>
      </c>
      <c r="D5965">
        <v>134</v>
      </c>
      <c r="E5965" s="2">
        <v>0.13525462962962964</v>
      </c>
      <c r="F5965">
        <v>194.76666666666668</v>
      </c>
    </row>
    <row r="5966" spans="1:6" x14ac:dyDescent="0.25">
      <c r="A5966" s="1">
        <v>40513</v>
      </c>
      <c r="B5966" t="s">
        <v>5</v>
      </c>
      <c r="C5966" t="s">
        <v>7</v>
      </c>
      <c r="D5966">
        <v>109</v>
      </c>
      <c r="E5966" s="2">
        <v>9.976851851851852E-2</v>
      </c>
      <c r="F5966">
        <v>143.66666666666666</v>
      </c>
    </row>
    <row r="5967" spans="1:6" x14ac:dyDescent="0.25">
      <c r="A5967" s="1">
        <v>40513</v>
      </c>
      <c r="B5967" t="s">
        <v>5</v>
      </c>
      <c r="C5967" t="s">
        <v>8</v>
      </c>
      <c r="D5967">
        <v>98</v>
      </c>
      <c r="E5967" s="2">
        <v>9.5983796296296303E-2</v>
      </c>
      <c r="F5967">
        <v>138.21666666666667</v>
      </c>
    </row>
    <row r="5968" spans="1:6" x14ac:dyDescent="0.25">
      <c r="A5968" s="1">
        <v>40513</v>
      </c>
      <c r="B5968" t="s">
        <v>5</v>
      </c>
      <c r="C5968" t="s">
        <v>9</v>
      </c>
      <c r="D5968">
        <v>37</v>
      </c>
      <c r="E5968" s="2">
        <v>3.1238425925925926E-2</v>
      </c>
      <c r="F5968">
        <v>44.983333333333334</v>
      </c>
    </row>
    <row r="5969" spans="1:6" x14ac:dyDescent="0.25">
      <c r="A5969" s="1">
        <v>40513</v>
      </c>
      <c r="B5969" t="s">
        <v>5</v>
      </c>
      <c r="C5969" t="s">
        <v>10</v>
      </c>
      <c r="D5969">
        <v>8</v>
      </c>
      <c r="E5969" s="2">
        <v>7.6967592592592591E-3</v>
      </c>
      <c r="F5969">
        <v>11.083333333333334</v>
      </c>
    </row>
    <row r="5970" spans="1:6" x14ac:dyDescent="0.25">
      <c r="A5970" s="1">
        <v>40513</v>
      </c>
      <c r="B5970" t="s">
        <v>5</v>
      </c>
      <c r="C5970" t="s">
        <v>11</v>
      </c>
      <c r="D5970">
        <v>59</v>
      </c>
      <c r="E5970" s="2">
        <v>4.6851851851851853E-2</v>
      </c>
      <c r="F5970">
        <v>67.466666666666669</v>
      </c>
    </row>
    <row r="5971" spans="1:6" x14ac:dyDescent="0.25">
      <c r="A5971" s="1">
        <v>40513</v>
      </c>
      <c r="B5971" t="s">
        <v>12</v>
      </c>
      <c r="C5971" t="s">
        <v>6</v>
      </c>
      <c r="D5971">
        <v>70</v>
      </c>
      <c r="E5971" s="2">
        <v>8.9039351851851856E-2</v>
      </c>
      <c r="F5971">
        <v>128.21666666666667</v>
      </c>
    </row>
    <row r="5972" spans="1:6" x14ac:dyDescent="0.25">
      <c r="A5972" s="1">
        <v>40513</v>
      </c>
      <c r="B5972" t="s">
        <v>12</v>
      </c>
      <c r="C5972" t="s">
        <v>7</v>
      </c>
      <c r="D5972">
        <v>36</v>
      </c>
      <c r="E5972" s="2">
        <v>4.8009259259259258E-2</v>
      </c>
      <c r="F5972">
        <v>69.13333333333334</v>
      </c>
    </row>
    <row r="5973" spans="1:6" x14ac:dyDescent="0.25">
      <c r="A5973" s="1">
        <v>40513</v>
      </c>
      <c r="B5973" t="s">
        <v>12</v>
      </c>
      <c r="C5973" t="s">
        <v>8</v>
      </c>
      <c r="D5973">
        <v>22</v>
      </c>
      <c r="E5973" s="2">
        <v>2.991898148148148E-2</v>
      </c>
      <c r="F5973">
        <v>43.083333333333336</v>
      </c>
    </row>
    <row r="5974" spans="1:6" x14ac:dyDescent="0.25">
      <c r="A5974" s="1">
        <v>40513</v>
      </c>
      <c r="B5974" t="s">
        <v>12</v>
      </c>
      <c r="C5974" t="s">
        <v>9</v>
      </c>
      <c r="D5974">
        <v>8</v>
      </c>
      <c r="E5974" s="2">
        <v>5.3935185185185188E-3</v>
      </c>
      <c r="F5974">
        <v>7.7666666666666666</v>
      </c>
    </row>
    <row r="5975" spans="1:6" x14ac:dyDescent="0.25">
      <c r="A5975" s="1">
        <v>40513</v>
      </c>
      <c r="B5975" t="s">
        <v>12</v>
      </c>
      <c r="C5975" t="s">
        <v>10</v>
      </c>
      <c r="D5975">
        <v>65</v>
      </c>
      <c r="E5975" s="2">
        <v>0.12682870370370369</v>
      </c>
      <c r="F5975">
        <v>182.63333333333333</v>
      </c>
    </row>
    <row r="5976" spans="1:6" x14ac:dyDescent="0.25">
      <c r="A5976" s="1">
        <v>40513</v>
      </c>
      <c r="B5976" t="s">
        <v>12</v>
      </c>
      <c r="C5976" t="s">
        <v>11</v>
      </c>
      <c r="D5976">
        <v>39</v>
      </c>
      <c r="E5976" s="2">
        <v>3.9363425925925927E-2</v>
      </c>
      <c r="F5976">
        <v>56.68333333333333</v>
      </c>
    </row>
    <row r="5977" spans="1:6" x14ac:dyDescent="0.25">
      <c r="A5977" s="1">
        <v>40513</v>
      </c>
      <c r="B5977" t="s">
        <v>13</v>
      </c>
      <c r="C5977" t="s">
        <v>6</v>
      </c>
      <c r="D5977">
        <v>35</v>
      </c>
      <c r="E5977" s="2">
        <v>4.7453703703703706E-2</v>
      </c>
      <c r="F5977">
        <v>68.333333333333329</v>
      </c>
    </row>
    <row r="5978" spans="1:6" x14ac:dyDescent="0.25">
      <c r="A5978" s="1">
        <v>40513</v>
      </c>
      <c r="B5978" t="s">
        <v>13</v>
      </c>
      <c r="C5978" t="s">
        <v>7</v>
      </c>
      <c r="D5978">
        <v>35</v>
      </c>
      <c r="E5978" s="2">
        <v>4.3229166666666666E-2</v>
      </c>
      <c r="F5978">
        <v>62.25</v>
      </c>
    </row>
    <row r="5979" spans="1:6" x14ac:dyDescent="0.25">
      <c r="A5979" s="1">
        <v>40513</v>
      </c>
      <c r="B5979" t="s">
        <v>13</v>
      </c>
      <c r="C5979" t="s">
        <v>8</v>
      </c>
      <c r="D5979">
        <v>26</v>
      </c>
      <c r="E5979" s="2">
        <v>3.3321759259259259E-2</v>
      </c>
      <c r="F5979">
        <v>47.983333333333334</v>
      </c>
    </row>
    <row r="5980" spans="1:6" x14ac:dyDescent="0.25">
      <c r="A5980" s="1">
        <v>40513</v>
      </c>
      <c r="B5980" t="s">
        <v>13</v>
      </c>
      <c r="C5980" t="s">
        <v>9</v>
      </c>
      <c r="D5980">
        <v>14</v>
      </c>
      <c r="E5980" s="2">
        <v>1.1979166666666667E-2</v>
      </c>
      <c r="F5980">
        <v>17.25</v>
      </c>
    </row>
    <row r="5981" spans="1:6" x14ac:dyDescent="0.25">
      <c r="A5981" s="1">
        <v>40513</v>
      </c>
      <c r="B5981" t="s">
        <v>13</v>
      </c>
      <c r="C5981" t="s">
        <v>10</v>
      </c>
      <c r="D5981">
        <v>19</v>
      </c>
      <c r="E5981" s="2">
        <v>2.9930555555555554E-2</v>
      </c>
      <c r="F5981">
        <v>43.1</v>
      </c>
    </row>
    <row r="5982" spans="1:6" x14ac:dyDescent="0.25">
      <c r="A5982" s="1">
        <v>40513</v>
      </c>
      <c r="B5982" t="s">
        <v>13</v>
      </c>
      <c r="C5982" t="s">
        <v>11</v>
      </c>
      <c r="D5982">
        <v>24</v>
      </c>
      <c r="E5982" s="2">
        <v>2.8981481481481483E-2</v>
      </c>
      <c r="F5982">
        <v>41.733333333333334</v>
      </c>
    </row>
    <row r="5983" spans="1:6" x14ac:dyDescent="0.25">
      <c r="A5983" s="1">
        <v>40513</v>
      </c>
      <c r="B5983" t="s">
        <v>14</v>
      </c>
      <c r="C5983" t="s">
        <v>6</v>
      </c>
      <c r="D5983">
        <v>6</v>
      </c>
      <c r="E5983" s="2">
        <v>6.1689814814814819E-3</v>
      </c>
      <c r="F5983">
        <v>8.8833333333333329</v>
      </c>
    </row>
    <row r="5984" spans="1:6" x14ac:dyDescent="0.25">
      <c r="A5984" s="1">
        <v>40513</v>
      </c>
      <c r="B5984" t="s">
        <v>14</v>
      </c>
      <c r="C5984" t="s">
        <v>7</v>
      </c>
      <c r="D5984">
        <v>10</v>
      </c>
      <c r="E5984" s="2">
        <v>1.2997685185185185E-2</v>
      </c>
      <c r="F5984">
        <v>18.716666666666665</v>
      </c>
    </row>
    <row r="5985" spans="1:6" x14ac:dyDescent="0.25">
      <c r="A5985" s="1">
        <v>40513</v>
      </c>
      <c r="B5985" t="s">
        <v>14</v>
      </c>
      <c r="C5985" t="s">
        <v>8</v>
      </c>
      <c r="D5985">
        <v>4</v>
      </c>
      <c r="E5985" s="2">
        <v>3.8194444444444443E-3</v>
      </c>
      <c r="F5985">
        <v>5.5</v>
      </c>
    </row>
    <row r="5986" spans="1:6" x14ac:dyDescent="0.25">
      <c r="A5986" s="1">
        <v>40513</v>
      </c>
      <c r="B5986" t="s">
        <v>14</v>
      </c>
      <c r="C5986" t="s">
        <v>9</v>
      </c>
      <c r="D5986">
        <v>4</v>
      </c>
      <c r="E5986" s="2">
        <v>3.6111111111111109E-3</v>
      </c>
      <c r="F5986">
        <v>5.2</v>
      </c>
    </row>
    <row r="5987" spans="1:6" x14ac:dyDescent="0.25">
      <c r="A5987" s="1">
        <v>40513</v>
      </c>
      <c r="B5987" t="s">
        <v>14</v>
      </c>
      <c r="C5987" t="s">
        <v>10</v>
      </c>
      <c r="D5987">
        <v>4</v>
      </c>
      <c r="E5987" s="2">
        <v>4.9768518518518521E-3</v>
      </c>
      <c r="F5987">
        <v>7.166666666666667</v>
      </c>
    </row>
    <row r="5988" spans="1:6" x14ac:dyDescent="0.25">
      <c r="A5988" s="1">
        <v>40513</v>
      </c>
      <c r="B5988" t="s">
        <v>14</v>
      </c>
      <c r="C5988" t="s">
        <v>11</v>
      </c>
      <c r="D5988">
        <v>6</v>
      </c>
      <c r="E5988" s="2">
        <v>4.1319444444444442E-3</v>
      </c>
      <c r="F5988">
        <v>5.95</v>
      </c>
    </row>
    <row r="5989" spans="1:6" x14ac:dyDescent="0.25">
      <c r="A5989" s="1">
        <v>40513</v>
      </c>
      <c r="B5989" t="s">
        <v>15</v>
      </c>
      <c r="C5989" t="s">
        <v>6</v>
      </c>
      <c r="D5989">
        <v>26</v>
      </c>
      <c r="E5989" s="2">
        <v>2.4259259259259258E-2</v>
      </c>
      <c r="F5989">
        <v>34.93333333333333</v>
      </c>
    </row>
    <row r="5990" spans="1:6" x14ac:dyDescent="0.25">
      <c r="A5990" s="1">
        <v>40513</v>
      </c>
      <c r="B5990" t="s">
        <v>15</v>
      </c>
      <c r="C5990" t="s">
        <v>7</v>
      </c>
      <c r="D5990">
        <v>27</v>
      </c>
      <c r="E5990" s="2">
        <v>2.3275462962962963E-2</v>
      </c>
      <c r="F5990">
        <v>33.516666666666666</v>
      </c>
    </row>
    <row r="5991" spans="1:6" x14ac:dyDescent="0.25">
      <c r="A5991" s="1">
        <v>40513</v>
      </c>
      <c r="B5991" t="s">
        <v>15</v>
      </c>
      <c r="C5991" t="s">
        <v>8</v>
      </c>
      <c r="D5991">
        <v>21</v>
      </c>
      <c r="E5991" s="2">
        <v>1.9791666666666666E-2</v>
      </c>
      <c r="F5991">
        <v>28.5</v>
      </c>
    </row>
    <row r="5992" spans="1:6" x14ac:dyDescent="0.25">
      <c r="A5992" s="1">
        <v>40513</v>
      </c>
      <c r="B5992" t="s">
        <v>15</v>
      </c>
      <c r="C5992" t="s">
        <v>9</v>
      </c>
      <c r="D5992">
        <v>12</v>
      </c>
      <c r="E5992" s="2">
        <v>6.9444444444444441E-3</v>
      </c>
      <c r="F5992">
        <v>10</v>
      </c>
    </row>
    <row r="5993" spans="1:6" x14ac:dyDescent="0.25">
      <c r="A5993" s="1">
        <v>40513</v>
      </c>
      <c r="B5993" t="s">
        <v>15</v>
      </c>
      <c r="C5993" t="s">
        <v>10</v>
      </c>
      <c r="D5993">
        <v>7</v>
      </c>
      <c r="E5993" s="2">
        <v>7.6736111111111111E-3</v>
      </c>
      <c r="F5993">
        <v>11.05</v>
      </c>
    </row>
    <row r="5994" spans="1:6" x14ac:dyDescent="0.25">
      <c r="A5994" s="1">
        <v>40513</v>
      </c>
      <c r="B5994" t="s">
        <v>15</v>
      </c>
      <c r="C5994" t="s">
        <v>11</v>
      </c>
      <c r="D5994">
        <v>26</v>
      </c>
      <c r="E5994" s="2">
        <v>1.8668981481481481E-2</v>
      </c>
      <c r="F5994">
        <v>26.883333333333333</v>
      </c>
    </row>
    <row r="5995" spans="1:6" x14ac:dyDescent="0.25">
      <c r="A5995" s="1">
        <v>40513</v>
      </c>
      <c r="B5995" t="s">
        <v>16</v>
      </c>
      <c r="C5995" t="s">
        <v>6</v>
      </c>
      <c r="D5995">
        <v>22</v>
      </c>
      <c r="E5995" s="2">
        <v>1.9305555555555555E-2</v>
      </c>
      <c r="F5995">
        <v>27.8</v>
      </c>
    </row>
    <row r="5996" spans="1:6" x14ac:dyDescent="0.25">
      <c r="A5996" s="1">
        <v>40513</v>
      </c>
      <c r="B5996" t="s">
        <v>16</v>
      </c>
      <c r="C5996" t="s">
        <v>7</v>
      </c>
      <c r="D5996">
        <v>16</v>
      </c>
      <c r="E5996" s="2">
        <v>1.4363425925925925E-2</v>
      </c>
      <c r="F5996">
        <v>20.683333333333334</v>
      </c>
    </row>
    <row r="5997" spans="1:6" x14ac:dyDescent="0.25">
      <c r="A5997" s="1">
        <v>40513</v>
      </c>
      <c r="B5997" t="s">
        <v>16</v>
      </c>
      <c r="C5997" t="s">
        <v>8</v>
      </c>
      <c r="D5997">
        <v>20</v>
      </c>
      <c r="E5997" s="2">
        <v>1.2627314814814815E-2</v>
      </c>
      <c r="F5997">
        <v>18.183333333333334</v>
      </c>
    </row>
    <row r="5998" spans="1:6" x14ac:dyDescent="0.25">
      <c r="A5998" s="1">
        <v>40513</v>
      </c>
      <c r="B5998" t="s">
        <v>16</v>
      </c>
      <c r="C5998" t="s">
        <v>9</v>
      </c>
      <c r="D5998">
        <v>18</v>
      </c>
      <c r="E5998" s="2">
        <v>1.2789351851851852E-2</v>
      </c>
      <c r="F5998">
        <v>18.416666666666668</v>
      </c>
    </row>
    <row r="5999" spans="1:6" x14ac:dyDescent="0.25">
      <c r="A5999" s="1">
        <v>40513</v>
      </c>
      <c r="B5999" t="s">
        <v>16</v>
      </c>
      <c r="C5999" t="s">
        <v>10</v>
      </c>
      <c r="D5999">
        <v>0</v>
      </c>
      <c r="E5999" s="2">
        <v>0</v>
      </c>
      <c r="F5999">
        <v>0</v>
      </c>
    </row>
    <row r="6000" spans="1:6" x14ac:dyDescent="0.25">
      <c r="A6000" s="1">
        <v>40513</v>
      </c>
      <c r="B6000" t="s">
        <v>16</v>
      </c>
      <c r="C6000" t="s">
        <v>11</v>
      </c>
      <c r="D6000">
        <v>24</v>
      </c>
      <c r="E6000" s="2">
        <v>1.8530092592592591E-2</v>
      </c>
      <c r="F6000">
        <v>26.683333333333334</v>
      </c>
    </row>
    <row r="6001" spans="1:6" x14ac:dyDescent="0.25">
      <c r="A6001" s="1">
        <v>40513</v>
      </c>
      <c r="B6001" t="s">
        <v>17</v>
      </c>
      <c r="C6001" t="s">
        <v>6</v>
      </c>
      <c r="D6001">
        <v>5</v>
      </c>
      <c r="E6001" s="2">
        <v>5.324074074074074E-3</v>
      </c>
      <c r="F6001">
        <v>7.666666666666667</v>
      </c>
    </row>
    <row r="6002" spans="1:6" x14ac:dyDescent="0.25">
      <c r="A6002" s="1">
        <v>40513</v>
      </c>
      <c r="B6002" t="s">
        <v>17</v>
      </c>
      <c r="C6002" t="s">
        <v>7</v>
      </c>
      <c r="D6002">
        <v>8</v>
      </c>
      <c r="E6002" s="2">
        <v>1.1643518518518518E-2</v>
      </c>
      <c r="F6002">
        <v>16.766666666666666</v>
      </c>
    </row>
    <row r="6003" spans="1:6" x14ac:dyDescent="0.25">
      <c r="A6003" s="1">
        <v>40513</v>
      </c>
      <c r="B6003" t="s">
        <v>17</v>
      </c>
      <c r="C6003" t="s">
        <v>8</v>
      </c>
      <c r="D6003">
        <v>2</v>
      </c>
      <c r="E6003" s="2">
        <v>2.4652777777777776E-3</v>
      </c>
      <c r="F6003">
        <v>3.55</v>
      </c>
    </row>
    <row r="6004" spans="1:6" x14ac:dyDescent="0.25">
      <c r="A6004" s="1">
        <v>40513</v>
      </c>
      <c r="B6004" t="s">
        <v>17</v>
      </c>
      <c r="C6004" t="s">
        <v>9</v>
      </c>
      <c r="D6004">
        <v>6</v>
      </c>
      <c r="E6004" s="2">
        <v>2.7199074074074074E-3</v>
      </c>
      <c r="F6004">
        <v>3.9166666666666665</v>
      </c>
    </row>
    <row r="6005" spans="1:6" x14ac:dyDescent="0.25">
      <c r="A6005" s="1">
        <v>40513</v>
      </c>
      <c r="B6005" t="s">
        <v>17</v>
      </c>
      <c r="C6005" t="s">
        <v>10</v>
      </c>
      <c r="D6005">
        <v>6</v>
      </c>
      <c r="E6005" s="2">
        <v>8.518518518518519E-3</v>
      </c>
      <c r="F6005">
        <v>12.266666666666667</v>
      </c>
    </row>
    <row r="6006" spans="1:6" x14ac:dyDescent="0.25">
      <c r="A6006" s="1">
        <v>40513</v>
      </c>
      <c r="B6006" t="s">
        <v>17</v>
      </c>
      <c r="C6006" t="s">
        <v>11</v>
      </c>
      <c r="D6006">
        <v>4</v>
      </c>
      <c r="E6006" s="2">
        <v>2.3032407407407407E-3</v>
      </c>
      <c r="F6006">
        <v>3.3166666666666664</v>
      </c>
    </row>
    <row r="6007" spans="1:6" x14ac:dyDescent="0.25">
      <c r="A6007" s="1">
        <v>40513</v>
      </c>
      <c r="B6007" t="s">
        <v>18</v>
      </c>
      <c r="C6007" t="s">
        <v>6</v>
      </c>
      <c r="D6007">
        <v>56</v>
      </c>
      <c r="E6007" s="2">
        <v>4.4108796296296299E-2</v>
      </c>
      <c r="F6007">
        <v>63.516666666666666</v>
      </c>
    </row>
    <row r="6008" spans="1:6" x14ac:dyDescent="0.25">
      <c r="A6008" s="1">
        <v>40513</v>
      </c>
      <c r="B6008" t="s">
        <v>18</v>
      </c>
      <c r="C6008" t="s">
        <v>7</v>
      </c>
      <c r="D6008">
        <v>102</v>
      </c>
      <c r="E6008" s="2">
        <v>7.8622685185185184E-2</v>
      </c>
      <c r="F6008">
        <v>113.21666666666667</v>
      </c>
    </row>
    <row r="6009" spans="1:6" x14ac:dyDescent="0.25">
      <c r="A6009" s="1">
        <v>40513</v>
      </c>
      <c r="B6009" t="s">
        <v>18</v>
      </c>
      <c r="C6009" t="s">
        <v>8</v>
      </c>
      <c r="D6009">
        <v>94</v>
      </c>
      <c r="E6009" s="2">
        <v>7.0393518518518522E-2</v>
      </c>
      <c r="F6009">
        <v>101.36666666666666</v>
      </c>
    </row>
    <row r="6010" spans="1:6" x14ac:dyDescent="0.25">
      <c r="A6010" s="1">
        <v>40513</v>
      </c>
      <c r="B6010" t="s">
        <v>18</v>
      </c>
      <c r="C6010" t="s">
        <v>9</v>
      </c>
      <c r="D6010">
        <v>48</v>
      </c>
      <c r="E6010" s="2">
        <v>3.3067129629629627E-2</v>
      </c>
      <c r="F6010">
        <v>47.616666666666667</v>
      </c>
    </row>
    <row r="6011" spans="1:6" x14ac:dyDescent="0.25">
      <c r="A6011" s="1">
        <v>40513</v>
      </c>
      <c r="B6011" t="s">
        <v>18</v>
      </c>
      <c r="C6011" t="s">
        <v>10</v>
      </c>
      <c r="D6011">
        <v>110</v>
      </c>
      <c r="E6011" s="2">
        <v>0.11971064814814815</v>
      </c>
      <c r="F6011">
        <v>172.38333333333333</v>
      </c>
    </row>
    <row r="6012" spans="1:6" x14ac:dyDescent="0.25">
      <c r="A6012" s="1">
        <v>40513</v>
      </c>
      <c r="B6012" t="s">
        <v>18</v>
      </c>
      <c r="C6012" t="s">
        <v>11</v>
      </c>
      <c r="D6012">
        <v>46</v>
      </c>
      <c r="E6012" s="2">
        <v>2.6284722222222223E-2</v>
      </c>
      <c r="F6012">
        <v>37.85</v>
      </c>
    </row>
    <row r="6013" spans="1:6" x14ac:dyDescent="0.25">
      <c r="A6013" s="1">
        <v>40513</v>
      </c>
      <c r="B6013" t="s">
        <v>19</v>
      </c>
      <c r="C6013" t="s">
        <v>6</v>
      </c>
      <c r="D6013">
        <v>24</v>
      </c>
      <c r="E6013" s="2">
        <v>2.5196759259259259E-2</v>
      </c>
      <c r="F6013">
        <v>36.283333333333331</v>
      </c>
    </row>
    <row r="6014" spans="1:6" x14ac:dyDescent="0.25">
      <c r="A6014" s="1">
        <v>40513</v>
      </c>
      <c r="B6014" t="s">
        <v>19</v>
      </c>
      <c r="C6014" t="s">
        <v>7</v>
      </c>
      <c r="D6014">
        <v>37</v>
      </c>
      <c r="E6014" s="2">
        <v>3.560185185185185E-2</v>
      </c>
      <c r="F6014">
        <v>51.266666666666666</v>
      </c>
    </row>
    <row r="6015" spans="1:6" x14ac:dyDescent="0.25">
      <c r="A6015" s="1">
        <v>40513</v>
      </c>
      <c r="B6015" t="s">
        <v>19</v>
      </c>
      <c r="C6015" t="s">
        <v>8</v>
      </c>
      <c r="D6015">
        <v>30</v>
      </c>
      <c r="E6015" s="2">
        <v>2.7881944444444445E-2</v>
      </c>
      <c r="F6015">
        <v>40.15</v>
      </c>
    </row>
    <row r="6016" spans="1:6" x14ac:dyDescent="0.25">
      <c r="A6016" s="1">
        <v>40513</v>
      </c>
      <c r="B6016" t="s">
        <v>19</v>
      </c>
      <c r="C6016" t="s">
        <v>9</v>
      </c>
      <c r="D6016">
        <v>25</v>
      </c>
      <c r="E6016" s="2">
        <v>1.7812499999999998E-2</v>
      </c>
      <c r="F6016">
        <v>25.65</v>
      </c>
    </row>
    <row r="6017" spans="1:6" x14ac:dyDescent="0.25">
      <c r="A6017" s="1">
        <v>40513</v>
      </c>
      <c r="B6017" t="s">
        <v>19</v>
      </c>
      <c r="C6017" t="s">
        <v>10</v>
      </c>
      <c r="D6017">
        <v>18</v>
      </c>
      <c r="E6017" s="2">
        <v>2.1817129629629631E-2</v>
      </c>
      <c r="F6017">
        <v>31.416666666666668</v>
      </c>
    </row>
    <row r="6018" spans="1:6" x14ac:dyDescent="0.25">
      <c r="A6018" s="1">
        <v>40513</v>
      </c>
      <c r="B6018" t="s">
        <v>19</v>
      </c>
      <c r="C6018" t="s">
        <v>11</v>
      </c>
      <c r="D6018">
        <v>26</v>
      </c>
      <c r="E6018" s="2">
        <v>1.6770833333333332E-2</v>
      </c>
      <c r="F6018">
        <v>24.15</v>
      </c>
    </row>
    <row r="6019" spans="1:6" x14ac:dyDescent="0.25">
      <c r="A6019" s="1">
        <v>40513</v>
      </c>
      <c r="B6019" t="s">
        <v>20</v>
      </c>
      <c r="C6019" t="s">
        <v>6</v>
      </c>
      <c r="D6019">
        <v>27</v>
      </c>
      <c r="E6019" s="2">
        <v>2.8969907407407406E-2</v>
      </c>
      <c r="F6019">
        <v>41.716666666666669</v>
      </c>
    </row>
    <row r="6020" spans="1:6" x14ac:dyDescent="0.25">
      <c r="A6020" s="1">
        <v>40513</v>
      </c>
      <c r="B6020" t="s">
        <v>20</v>
      </c>
      <c r="C6020" t="s">
        <v>7</v>
      </c>
      <c r="D6020">
        <v>31</v>
      </c>
      <c r="E6020" s="2">
        <v>2.9444444444444443E-2</v>
      </c>
      <c r="F6020">
        <v>42.4</v>
      </c>
    </row>
    <row r="6021" spans="1:6" x14ac:dyDescent="0.25">
      <c r="A6021" s="1">
        <v>40513</v>
      </c>
      <c r="B6021" t="s">
        <v>20</v>
      </c>
      <c r="C6021" t="s">
        <v>8</v>
      </c>
      <c r="D6021">
        <v>32</v>
      </c>
      <c r="E6021" s="2">
        <v>3.6238425925925924E-2</v>
      </c>
      <c r="F6021">
        <v>52.18333333333333</v>
      </c>
    </row>
    <row r="6022" spans="1:6" x14ac:dyDescent="0.25">
      <c r="A6022" s="1">
        <v>40513</v>
      </c>
      <c r="B6022" t="s">
        <v>20</v>
      </c>
      <c r="C6022" t="s">
        <v>9</v>
      </c>
      <c r="D6022">
        <v>7</v>
      </c>
      <c r="E6022" s="2">
        <v>5.3935185185185188E-3</v>
      </c>
      <c r="F6022">
        <v>7.7666666666666666</v>
      </c>
    </row>
    <row r="6023" spans="1:6" x14ac:dyDescent="0.25">
      <c r="A6023" s="1">
        <v>40513</v>
      </c>
      <c r="B6023" t="s">
        <v>20</v>
      </c>
      <c r="C6023" t="s">
        <v>10</v>
      </c>
      <c r="D6023">
        <v>4</v>
      </c>
      <c r="E6023" s="2">
        <v>3.8194444444444443E-3</v>
      </c>
      <c r="F6023">
        <v>5.5</v>
      </c>
    </row>
    <row r="6024" spans="1:6" x14ac:dyDescent="0.25">
      <c r="A6024" s="1">
        <v>40513</v>
      </c>
      <c r="B6024" t="s">
        <v>20</v>
      </c>
      <c r="C6024" t="s">
        <v>11</v>
      </c>
      <c r="D6024">
        <v>8</v>
      </c>
      <c r="E6024" s="2">
        <v>4.5023148148148149E-3</v>
      </c>
      <c r="F6024">
        <v>6.4833333333333334</v>
      </c>
    </row>
    <row r="6025" spans="1:6" x14ac:dyDescent="0.25">
      <c r="A6025" s="1">
        <v>40513</v>
      </c>
      <c r="B6025" t="s">
        <v>21</v>
      </c>
      <c r="C6025" t="s">
        <v>6</v>
      </c>
      <c r="D6025">
        <v>17</v>
      </c>
      <c r="E6025" s="2">
        <v>2.1168981481481483E-2</v>
      </c>
      <c r="F6025">
        <v>30.483333333333334</v>
      </c>
    </row>
    <row r="6026" spans="1:6" x14ac:dyDescent="0.25">
      <c r="A6026" s="1">
        <v>40513</v>
      </c>
      <c r="B6026" t="s">
        <v>21</v>
      </c>
      <c r="C6026" t="s">
        <v>7</v>
      </c>
      <c r="D6026">
        <v>22</v>
      </c>
      <c r="E6026" s="2">
        <v>2.9826388888888888E-2</v>
      </c>
      <c r="F6026">
        <v>42.95</v>
      </c>
    </row>
    <row r="6027" spans="1:6" x14ac:dyDescent="0.25">
      <c r="A6027" s="1">
        <v>40513</v>
      </c>
      <c r="B6027" t="s">
        <v>21</v>
      </c>
      <c r="C6027" t="s">
        <v>8</v>
      </c>
      <c r="D6027">
        <v>22</v>
      </c>
      <c r="E6027" s="2">
        <v>2.869212962962963E-2</v>
      </c>
      <c r="F6027">
        <v>41.31666666666667</v>
      </c>
    </row>
    <row r="6028" spans="1:6" x14ac:dyDescent="0.25">
      <c r="A6028" s="1">
        <v>40513</v>
      </c>
      <c r="B6028" t="s">
        <v>21</v>
      </c>
      <c r="C6028" t="s">
        <v>9</v>
      </c>
      <c r="D6028">
        <v>5</v>
      </c>
      <c r="E6028" s="2">
        <v>4.9189814814814816E-3</v>
      </c>
      <c r="F6028">
        <v>7.083333333333333</v>
      </c>
    </row>
    <row r="6029" spans="1:6" x14ac:dyDescent="0.25">
      <c r="A6029" s="1">
        <v>40513</v>
      </c>
      <c r="B6029" t="s">
        <v>21</v>
      </c>
      <c r="C6029" t="s">
        <v>10</v>
      </c>
      <c r="D6029">
        <v>2</v>
      </c>
      <c r="E6029" s="2">
        <v>2.1180555555555558E-3</v>
      </c>
      <c r="F6029">
        <v>3.05</v>
      </c>
    </row>
    <row r="6030" spans="1:6" x14ac:dyDescent="0.25">
      <c r="A6030" s="1">
        <v>40513</v>
      </c>
      <c r="B6030" t="s">
        <v>21</v>
      </c>
      <c r="C6030" t="s">
        <v>11</v>
      </c>
      <c r="D6030">
        <v>14</v>
      </c>
      <c r="E6030" s="2">
        <v>1.4594907407407407E-2</v>
      </c>
      <c r="F6030">
        <v>21.016666666666666</v>
      </c>
    </row>
    <row r="6031" spans="1:6" x14ac:dyDescent="0.25">
      <c r="A6031" s="1">
        <v>40513</v>
      </c>
      <c r="B6031" t="s">
        <v>22</v>
      </c>
      <c r="C6031" t="s">
        <v>6</v>
      </c>
      <c r="D6031">
        <v>6</v>
      </c>
      <c r="E6031" s="2">
        <v>8.3217592592592596E-3</v>
      </c>
      <c r="F6031">
        <v>11.983333333333333</v>
      </c>
    </row>
    <row r="6032" spans="1:6" x14ac:dyDescent="0.25">
      <c r="A6032" s="1">
        <v>40513</v>
      </c>
      <c r="B6032" t="s">
        <v>22</v>
      </c>
      <c r="C6032" t="s">
        <v>7</v>
      </c>
      <c r="D6032">
        <v>5</v>
      </c>
      <c r="E6032" s="2">
        <v>4.9884259259259257E-3</v>
      </c>
      <c r="F6032">
        <v>7.1833333333333336</v>
      </c>
    </row>
    <row r="6033" spans="1:6" x14ac:dyDescent="0.25">
      <c r="A6033" s="1">
        <v>40513</v>
      </c>
      <c r="B6033" t="s">
        <v>22</v>
      </c>
      <c r="C6033" t="s">
        <v>8</v>
      </c>
      <c r="D6033">
        <v>3</v>
      </c>
      <c r="E6033" s="2">
        <v>5.3935185185185188E-3</v>
      </c>
      <c r="F6033">
        <v>7.7666666666666666</v>
      </c>
    </row>
    <row r="6034" spans="1:6" x14ac:dyDescent="0.25">
      <c r="A6034" s="1">
        <v>40513</v>
      </c>
      <c r="B6034" t="s">
        <v>22</v>
      </c>
      <c r="C6034" t="s">
        <v>9</v>
      </c>
      <c r="D6034">
        <v>3</v>
      </c>
      <c r="E6034" s="2">
        <v>2.8009259259259259E-3</v>
      </c>
      <c r="F6034">
        <v>4.0333333333333332</v>
      </c>
    </row>
    <row r="6035" spans="1:6" x14ac:dyDescent="0.25">
      <c r="A6035" s="1">
        <v>40513</v>
      </c>
      <c r="B6035" t="s">
        <v>22</v>
      </c>
      <c r="C6035" t="s">
        <v>10</v>
      </c>
      <c r="D6035">
        <v>0</v>
      </c>
      <c r="E6035" s="2">
        <v>0</v>
      </c>
      <c r="F6035">
        <v>0</v>
      </c>
    </row>
    <row r="6036" spans="1:6" x14ac:dyDescent="0.25">
      <c r="A6036" s="1">
        <v>40513</v>
      </c>
      <c r="B6036" t="s">
        <v>22</v>
      </c>
      <c r="C6036" t="s">
        <v>11</v>
      </c>
      <c r="D6036">
        <v>5</v>
      </c>
      <c r="E6036" s="2">
        <v>5.1967592592592595E-3</v>
      </c>
      <c r="F6036">
        <v>7.4833333333333334</v>
      </c>
    </row>
    <row r="6037" spans="1:6" x14ac:dyDescent="0.25">
      <c r="A6037" s="1">
        <v>40513</v>
      </c>
      <c r="B6037" t="s">
        <v>23</v>
      </c>
      <c r="C6037" t="s">
        <v>6</v>
      </c>
      <c r="D6037">
        <v>115</v>
      </c>
      <c r="E6037" s="2">
        <v>0.12299768518518518</v>
      </c>
      <c r="F6037">
        <v>177.11666666666667</v>
      </c>
    </row>
    <row r="6038" spans="1:6" x14ac:dyDescent="0.25">
      <c r="A6038" s="1">
        <v>40513</v>
      </c>
      <c r="B6038" t="s">
        <v>23</v>
      </c>
      <c r="C6038" t="s">
        <v>7</v>
      </c>
      <c r="D6038">
        <v>98</v>
      </c>
      <c r="E6038" s="2">
        <v>0.11873842592592593</v>
      </c>
      <c r="F6038">
        <v>170.98333333333332</v>
      </c>
    </row>
    <row r="6039" spans="1:6" x14ac:dyDescent="0.25">
      <c r="A6039" s="1">
        <v>40513</v>
      </c>
      <c r="B6039" t="s">
        <v>23</v>
      </c>
      <c r="C6039" t="s">
        <v>8</v>
      </c>
      <c r="D6039">
        <v>73</v>
      </c>
      <c r="E6039" s="2">
        <v>9.2905092592592595E-2</v>
      </c>
      <c r="F6039">
        <v>133.78333333333333</v>
      </c>
    </row>
    <row r="6040" spans="1:6" x14ac:dyDescent="0.25">
      <c r="A6040" s="1">
        <v>40513</v>
      </c>
      <c r="B6040" t="s">
        <v>23</v>
      </c>
      <c r="C6040" t="s">
        <v>9</v>
      </c>
      <c r="D6040">
        <v>47</v>
      </c>
      <c r="E6040" s="2">
        <v>3.3252314814814818E-2</v>
      </c>
      <c r="F6040">
        <v>47.883333333333333</v>
      </c>
    </row>
    <row r="6041" spans="1:6" x14ac:dyDescent="0.25">
      <c r="A6041" s="1">
        <v>40513</v>
      </c>
      <c r="B6041" t="s">
        <v>23</v>
      </c>
      <c r="C6041" t="s">
        <v>10</v>
      </c>
      <c r="D6041">
        <v>33</v>
      </c>
      <c r="E6041" s="2">
        <v>4.2245370370370371E-2</v>
      </c>
      <c r="F6041">
        <v>60.833333333333336</v>
      </c>
    </row>
    <row r="6042" spans="1:6" x14ac:dyDescent="0.25">
      <c r="A6042" s="1">
        <v>40513</v>
      </c>
      <c r="B6042" t="s">
        <v>23</v>
      </c>
      <c r="C6042" t="s">
        <v>11</v>
      </c>
      <c r="D6042">
        <v>63</v>
      </c>
      <c r="E6042" s="2">
        <v>6.6678240740740746E-2</v>
      </c>
      <c r="F6042">
        <v>96.016666666666666</v>
      </c>
    </row>
    <row r="6043" spans="1:6" x14ac:dyDescent="0.25">
      <c r="A6043" s="1">
        <v>40513</v>
      </c>
      <c r="B6043" t="s">
        <v>24</v>
      </c>
      <c r="C6043" t="s">
        <v>6</v>
      </c>
      <c r="D6043">
        <v>23</v>
      </c>
      <c r="E6043" s="2">
        <v>2.4664351851851851E-2</v>
      </c>
      <c r="F6043">
        <v>35.516666666666666</v>
      </c>
    </row>
    <row r="6044" spans="1:6" x14ac:dyDescent="0.25">
      <c r="A6044" s="1">
        <v>40513</v>
      </c>
      <c r="B6044" t="s">
        <v>24</v>
      </c>
      <c r="C6044" t="s">
        <v>7</v>
      </c>
      <c r="D6044">
        <v>20</v>
      </c>
      <c r="E6044" s="2">
        <v>1.5706018518518518E-2</v>
      </c>
      <c r="F6044">
        <v>22.616666666666667</v>
      </c>
    </row>
    <row r="6045" spans="1:6" x14ac:dyDescent="0.25">
      <c r="A6045" s="1">
        <v>40513</v>
      </c>
      <c r="B6045" t="s">
        <v>24</v>
      </c>
      <c r="C6045" t="s">
        <v>8</v>
      </c>
      <c r="D6045">
        <v>9</v>
      </c>
      <c r="E6045" s="2">
        <v>9.9537037037037042E-3</v>
      </c>
      <c r="F6045">
        <v>14.333333333333334</v>
      </c>
    </row>
    <row r="6046" spans="1:6" x14ac:dyDescent="0.25">
      <c r="A6046" s="1">
        <v>40513</v>
      </c>
      <c r="B6046" t="s">
        <v>24</v>
      </c>
      <c r="C6046" t="s">
        <v>9</v>
      </c>
      <c r="D6046">
        <v>6</v>
      </c>
      <c r="E6046" s="2">
        <v>3.9236111111111112E-3</v>
      </c>
      <c r="F6046">
        <v>5.65</v>
      </c>
    </row>
    <row r="6047" spans="1:6" x14ac:dyDescent="0.25">
      <c r="A6047" s="1">
        <v>40513</v>
      </c>
      <c r="B6047" t="s">
        <v>24</v>
      </c>
      <c r="C6047" t="s">
        <v>10</v>
      </c>
      <c r="D6047">
        <v>1</v>
      </c>
      <c r="E6047" s="2">
        <v>1.7939814814814815E-3</v>
      </c>
      <c r="F6047">
        <v>2.5833333333333335</v>
      </c>
    </row>
    <row r="6048" spans="1:6" x14ac:dyDescent="0.25">
      <c r="A6048" s="1">
        <v>40513</v>
      </c>
      <c r="B6048" t="s">
        <v>24</v>
      </c>
      <c r="C6048" t="s">
        <v>11</v>
      </c>
      <c r="D6048">
        <v>15</v>
      </c>
      <c r="E6048" s="2">
        <v>7.3263888888888892E-3</v>
      </c>
      <c r="F6048">
        <v>10.55</v>
      </c>
    </row>
    <row r="6049" spans="1:6" x14ac:dyDescent="0.25">
      <c r="A6049" s="1">
        <v>40544</v>
      </c>
      <c r="B6049" t="s">
        <v>5</v>
      </c>
      <c r="C6049" t="s">
        <v>6</v>
      </c>
      <c r="D6049">
        <v>41</v>
      </c>
      <c r="E6049" s="2">
        <v>3.4212962962962966E-2</v>
      </c>
      <c r="F6049">
        <v>49.266666666666666</v>
      </c>
    </row>
    <row r="6050" spans="1:6" x14ac:dyDescent="0.25">
      <c r="A6050" s="1">
        <v>40544</v>
      </c>
      <c r="B6050" t="s">
        <v>5</v>
      </c>
      <c r="C6050" t="s">
        <v>7</v>
      </c>
      <c r="D6050">
        <v>32</v>
      </c>
      <c r="E6050" s="2">
        <v>2.554398148148148E-2</v>
      </c>
      <c r="F6050">
        <v>36.783333333333331</v>
      </c>
    </row>
    <row r="6051" spans="1:6" x14ac:dyDescent="0.25">
      <c r="A6051" s="1">
        <v>40544</v>
      </c>
      <c r="B6051" t="s">
        <v>5</v>
      </c>
      <c r="C6051" t="s">
        <v>8</v>
      </c>
      <c r="D6051">
        <v>28</v>
      </c>
      <c r="E6051" s="2">
        <v>2.2129629629629631E-2</v>
      </c>
      <c r="F6051">
        <v>31.866666666666667</v>
      </c>
    </row>
    <row r="6052" spans="1:6" x14ac:dyDescent="0.25">
      <c r="A6052" s="1">
        <v>40544</v>
      </c>
      <c r="B6052" t="s">
        <v>5</v>
      </c>
      <c r="C6052" t="s">
        <v>9</v>
      </c>
      <c r="D6052">
        <v>21</v>
      </c>
      <c r="E6052" s="2">
        <v>1.2812499999999999E-2</v>
      </c>
      <c r="F6052">
        <v>18.45</v>
      </c>
    </row>
    <row r="6053" spans="1:6" x14ac:dyDescent="0.25">
      <c r="A6053" s="1">
        <v>40544</v>
      </c>
      <c r="B6053" t="s">
        <v>5</v>
      </c>
      <c r="C6053" t="s">
        <v>10</v>
      </c>
      <c r="D6053">
        <v>8</v>
      </c>
      <c r="E6053" s="2">
        <v>7.8703703703703696E-3</v>
      </c>
      <c r="F6053">
        <v>11.333333333333334</v>
      </c>
    </row>
    <row r="6054" spans="1:6" x14ac:dyDescent="0.25">
      <c r="A6054" s="1">
        <v>40544</v>
      </c>
      <c r="B6054" t="s">
        <v>5</v>
      </c>
      <c r="C6054" t="s">
        <v>11</v>
      </c>
      <c r="D6054">
        <v>25</v>
      </c>
      <c r="E6054" s="2">
        <v>1.712962962962963E-2</v>
      </c>
      <c r="F6054">
        <v>24.666666666666668</v>
      </c>
    </row>
    <row r="6055" spans="1:6" x14ac:dyDescent="0.25">
      <c r="A6055" s="1">
        <v>40544</v>
      </c>
      <c r="B6055" t="s">
        <v>12</v>
      </c>
      <c r="C6055" t="s">
        <v>6</v>
      </c>
      <c r="D6055">
        <v>60</v>
      </c>
      <c r="E6055" s="2">
        <v>7.6284722222222226E-2</v>
      </c>
      <c r="F6055">
        <v>109.85</v>
      </c>
    </row>
    <row r="6056" spans="1:6" x14ac:dyDescent="0.25">
      <c r="A6056" s="1">
        <v>40544</v>
      </c>
      <c r="B6056" t="s">
        <v>12</v>
      </c>
      <c r="C6056" t="s">
        <v>7</v>
      </c>
      <c r="D6056">
        <v>41</v>
      </c>
      <c r="E6056" s="2">
        <v>4.6793981481481478E-2</v>
      </c>
      <c r="F6056">
        <v>67.38333333333334</v>
      </c>
    </row>
    <row r="6057" spans="1:6" x14ac:dyDescent="0.25">
      <c r="A6057" s="1">
        <v>40544</v>
      </c>
      <c r="B6057" t="s">
        <v>12</v>
      </c>
      <c r="C6057" t="s">
        <v>8</v>
      </c>
      <c r="D6057">
        <v>37</v>
      </c>
      <c r="E6057" s="2">
        <v>4.553240740740741E-2</v>
      </c>
      <c r="F6057">
        <v>65.566666666666663</v>
      </c>
    </row>
    <row r="6058" spans="1:6" x14ac:dyDescent="0.25">
      <c r="A6058" s="1">
        <v>40544</v>
      </c>
      <c r="B6058" t="s">
        <v>12</v>
      </c>
      <c r="C6058" t="s">
        <v>9</v>
      </c>
      <c r="D6058">
        <v>5</v>
      </c>
      <c r="E6058" s="2">
        <v>5.5555555555555558E-3</v>
      </c>
      <c r="F6058">
        <v>8</v>
      </c>
    </row>
    <row r="6059" spans="1:6" x14ac:dyDescent="0.25">
      <c r="A6059" s="1">
        <v>40544</v>
      </c>
      <c r="B6059" t="s">
        <v>12</v>
      </c>
      <c r="C6059" t="s">
        <v>10</v>
      </c>
      <c r="D6059">
        <v>75</v>
      </c>
      <c r="E6059" s="2">
        <v>0.13425925925925927</v>
      </c>
      <c r="F6059">
        <v>193.33333333333334</v>
      </c>
    </row>
    <row r="6060" spans="1:6" x14ac:dyDescent="0.25">
      <c r="A6060" s="1">
        <v>40544</v>
      </c>
      <c r="B6060" t="s">
        <v>12</v>
      </c>
      <c r="C6060" t="s">
        <v>11</v>
      </c>
      <c r="D6060">
        <v>56</v>
      </c>
      <c r="E6060" s="2">
        <v>4.9155092592592591E-2</v>
      </c>
      <c r="F6060">
        <v>70.783333333333331</v>
      </c>
    </row>
    <row r="6061" spans="1:6" x14ac:dyDescent="0.25">
      <c r="A6061" s="1">
        <v>40544</v>
      </c>
      <c r="B6061" t="s">
        <v>13</v>
      </c>
      <c r="C6061" t="s">
        <v>6</v>
      </c>
      <c r="D6061">
        <v>50</v>
      </c>
      <c r="E6061" s="2">
        <v>6.4907407407407414E-2</v>
      </c>
      <c r="F6061">
        <v>93.466666666666669</v>
      </c>
    </row>
    <row r="6062" spans="1:6" x14ac:dyDescent="0.25">
      <c r="A6062" s="1">
        <v>40544</v>
      </c>
      <c r="B6062" t="s">
        <v>13</v>
      </c>
      <c r="C6062" t="s">
        <v>7</v>
      </c>
      <c r="D6062">
        <v>27</v>
      </c>
      <c r="E6062" s="2">
        <v>2.7222222222222221E-2</v>
      </c>
      <c r="F6062">
        <v>39.200000000000003</v>
      </c>
    </row>
    <row r="6063" spans="1:6" x14ac:dyDescent="0.25">
      <c r="A6063" s="1">
        <v>40544</v>
      </c>
      <c r="B6063" t="s">
        <v>13</v>
      </c>
      <c r="C6063" t="s">
        <v>8</v>
      </c>
      <c r="D6063">
        <v>24</v>
      </c>
      <c r="E6063" s="2">
        <v>2.7581018518518519E-2</v>
      </c>
      <c r="F6063">
        <v>39.716666666666669</v>
      </c>
    </row>
    <row r="6064" spans="1:6" x14ac:dyDescent="0.25">
      <c r="A6064" s="1">
        <v>40544</v>
      </c>
      <c r="B6064" t="s">
        <v>13</v>
      </c>
      <c r="C6064" t="s">
        <v>9</v>
      </c>
      <c r="D6064">
        <v>18</v>
      </c>
      <c r="E6064" s="2">
        <v>1.4108796296296296E-2</v>
      </c>
      <c r="F6064">
        <v>20.316666666666666</v>
      </c>
    </row>
    <row r="6065" spans="1:6" x14ac:dyDescent="0.25">
      <c r="A6065" s="1">
        <v>40544</v>
      </c>
      <c r="B6065" t="s">
        <v>13</v>
      </c>
      <c r="C6065" t="s">
        <v>10</v>
      </c>
      <c r="D6065">
        <v>20</v>
      </c>
      <c r="E6065" s="2">
        <v>3.3113425925925928E-2</v>
      </c>
      <c r="F6065">
        <v>47.68333333333333</v>
      </c>
    </row>
    <row r="6066" spans="1:6" x14ac:dyDescent="0.25">
      <c r="A6066" s="1">
        <v>40544</v>
      </c>
      <c r="B6066" t="s">
        <v>13</v>
      </c>
      <c r="C6066" t="s">
        <v>11</v>
      </c>
      <c r="D6066">
        <v>16</v>
      </c>
      <c r="E6066" s="2">
        <v>1.380787037037037E-2</v>
      </c>
      <c r="F6066">
        <v>19.883333333333333</v>
      </c>
    </row>
    <row r="6067" spans="1:6" x14ac:dyDescent="0.25">
      <c r="A6067" s="1">
        <v>40544</v>
      </c>
      <c r="B6067" t="s">
        <v>14</v>
      </c>
      <c r="C6067" t="s">
        <v>6</v>
      </c>
      <c r="D6067">
        <v>13</v>
      </c>
      <c r="E6067" s="2">
        <v>1.4583333333333334E-2</v>
      </c>
      <c r="F6067">
        <v>21</v>
      </c>
    </row>
    <row r="6068" spans="1:6" x14ac:dyDescent="0.25">
      <c r="A6068" s="1">
        <v>40544</v>
      </c>
      <c r="B6068" t="s">
        <v>14</v>
      </c>
      <c r="C6068" t="s">
        <v>7</v>
      </c>
      <c r="D6068">
        <v>12</v>
      </c>
      <c r="E6068" s="2">
        <v>1.726851851851852E-2</v>
      </c>
      <c r="F6068">
        <v>24.866666666666667</v>
      </c>
    </row>
    <row r="6069" spans="1:6" x14ac:dyDescent="0.25">
      <c r="A6069" s="1">
        <v>40544</v>
      </c>
      <c r="B6069" t="s">
        <v>14</v>
      </c>
      <c r="C6069" t="s">
        <v>8</v>
      </c>
      <c r="D6069">
        <v>8</v>
      </c>
      <c r="E6069" s="2">
        <v>1.0833333333333334E-2</v>
      </c>
      <c r="F6069">
        <v>15.6</v>
      </c>
    </row>
    <row r="6070" spans="1:6" x14ac:dyDescent="0.25">
      <c r="A6070" s="1">
        <v>40544</v>
      </c>
      <c r="B6070" t="s">
        <v>14</v>
      </c>
      <c r="C6070" t="s">
        <v>9</v>
      </c>
      <c r="D6070">
        <v>4</v>
      </c>
      <c r="E6070" s="2">
        <v>2.673611111111111E-3</v>
      </c>
      <c r="F6070">
        <v>3.85</v>
      </c>
    </row>
    <row r="6071" spans="1:6" x14ac:dyDescent="0.25">
      <c r="A6071" s="1">
        <v>40544</v>
      </c>
      <c r="B6071" t="s">
        <v>14</v>
      </c>
      <c r="C6071" t="s">
        <v>10</v>
      </c>
      <c r="D6071">
        <v>1</v>
      </c>
      <c r="E6071" s="2">
        <v>1.8634259259259259E-3</v>
      </c>
      <c r="F6071">
        <v>2.6833333333333336</v>
      </c>
    </row>
    <row r="6072" spans="1:6" x14ac:dyDescent="0.25">
      <c r="A6072" s="1">
        <v>40544</v>
      </c>
      <c r="B6072" t="s">
        <v>14</v>
      </c>
      <c r="C6072" t="s">
        <v>11</v>
      </c>
      <c r="D6072">
        <v>11</v>
      </c>
      <c r="E6072" s="2">
        <v>1.0185185185185186E-2</v>
      </c>
      <c r="F6072">
        <v>14.666666666666666</v>
      </c>
    </row>
    <row r="6073" spans="1:6" x14ac:dyDescent="0.25">
      <c r="A6073" s="1">
        <v>40544</v>
      </c>
      <c r="B6073" t="s">
        <v>15</v>
      </c>
      <c r="C6073" t="s">
        <v>6</v>
      </c>
      <c r="D6073">
        <v>14</v>
      </c>
      <c r="E6073" s="2">
        <v>1.7430555555555557E-2</v>
      </c>
      <c r="F6073">
        <v>25.1</v>
      </c>
    </row>
    <row r="6074" spans="1:6" x14ac:dyDescent="0.25">
      <c r="A6074" s="1">
        <v>40544</v>
      </c>
      <c r="B6074" t="s">
        <v>15</v>
      </c>
      <c r="C6074" t="s">
        <v>7</v>
      </c>
      <c r="D6074">
        <v>8</v>
      </c>
      <c r="E6074" s="2">
        <v>6.0879629629629626E-3</v>
      </c>
      <c r="F6074">
        <v>8.7666666666666675</v>
      </c>
    </row>
    <row r="6075" spans="1:6" x14ac:dyDescent="0.25">
      <c r="A6075" s="1">
        <v>40544</v>
      </c>
      <c r="B6075" t="s">
        <v>15</v>
      </c>
      <c r="C6075" t="s">
        <v>8</v>
      </c>
      <c r="D6075">
        <v>9</v>
      </c>
      <c r="E6075" s="2">
        <v>1.0648148148148148E-2</v>
      </c>
      <c r="F6075">
        <v>15.333333333333334</v>
      </c>
    </row>
    <row r="6076" spans="1:6" x14ac:dyDescent="0.25">
      <c r="A6076" s="1">
        <v>40544</v>
      </c>
      <c r="B6076" t="s">
        <v>15</v>
      </c>
      <c r="C6076" t="s">
        <v>9</v>
      </c>
      <c r="D6076">
        <v>3</v>
      </c>
      <c r="E6076" s="2">
        <v>8.564814814814815E-4</v>
      </c>
      <c r="F6076">
        <v>1.2333333333333334</v>
      </c>
    </row>
    <row r="6077" spans="1:6" x14ac:dyDescent="0.25">
      <c r="A6077" s="1">
        <v>40544</v>
      </c>
      <c r="B6077" t="s">
        <v>15</v>
      </c>
      <c r="C6077" t="s">
        <v>10</v>
      </c>
      <c r="D6077">
        <v>1</v>
      </c>
      <c r="E6077" s="2">
        <v>2.199074074074074E-4</v>
      </c>
      <c r="F6077">
        <v>0.31666666666666665</v>
      </c>
    </row>
    <row r="6078" spans="1:6" x14ac:dyDescent="0.25">
      <c r="A6078" s="1">
        <v>40544</v>
      </c>
      <c r="B6078" t="s">
        <v>15</v>
      </c>
      <c r="C6078" t="s">
        <v>11</v>
      </c>
      <c r="D6078">
        <v>7</v>
      </c>
      <c r="E6078" s="2">
        <v>5.1273148148148146E-3</v>
      </c>
      <c r="F6078">
        <v>7.3833333333333337</v>
      </c>
    </row>
    <row r="6079" spans="1:6" x14ac:dyDescent="0.25">
      <c r="A6079" s="1">
        <v>40544</v>
      </c>
      <c r="B6079" t="s">
        <v>16</v>
      </c>
      <c r="C6079" t="s">
        <v>6</v>
      </c>
      <c r="D6079">
        <v>38</v>
      </c>
      <c r="E6079" s="2">
        <v>3.6249999999999998E-2</v>
      </c>
      <c r="F6079">
        <v>52.2</v>
      </c>
    </row>
    <row r="6080" spans="1:6" x14ac:dyDescent="0.25">
      <c r="A6080" s="1">
        <v>40544</v>
      </c>
      <c r="B6080" t="s">
        <v>16</v>
      </c>
      <c r="C6080" t="s">
        <v>7</v>
      </c>
      <c r="D6080">
        <v>43</v>
      </c>
      <c r="E6080" s="2">
        <v>3.3263888888888891E-2</v>
      </c>
      <c r="F6080">
        <v>47.9</v>
      </c>
    </row>
    <row r="6081" spans="1:6" x14ac:dyDescent="0.25">
      <c r="A6081" s="1">
        <v>40544</v>
      </c>
      <c r="B6081" t="s">
        <v>16</v>
      </c>
      <c r="C6081" t="s">
        <v>8</v>
      </c>
      <c r="D6081">
        <v>37</v>
      </c>
      <c r="E6081" s="2">
        <v>3.2858796296296296E-2</v>
      </c>
      <c r="F6081">
        <v>47.31666666666667</v>
      </c>
    </row>
    <row r="6082" spans="1:6" x14ac:dyDescent="0.25">
      <c r="A6082" s="1">
        <v>40544</v>
      </c>
      <c r="B6082" t="s">
        <v>16</v>
      </c>
      <c r="C6082" t="s">
        <v>9</v>
      </c>
      <c r="D6082">
        <v>16</v>
      </c>
      <c r="E6082" s="2">
        <v>1.2210648148148148E-2</v>
      </c>
      <c r="F6082">
        <v>17.583333333333332</v>
      </c>
    </row>
    <row r="6083" spans="1:6" x14ac:dyDescent="0.25">
      <c r="A6083" s="1">
        <v>40544</v>
      </c>
      <c r="B6083" t="s">
        <v>16</v>
      </c>
      <c r="C6083" t="s">
        <v>10</v>
      </c>
      <c r="D6083">
        <v>4</v>
      </c>
      <c r="E6083" s="2">
        <v>5.5324074074074078E-3</v>
      </c>
      <c r="F6083">
        <v>7.9666666666666668</v>
      </c>
    </row>
    <row r="6084" spans="1:6" x14ac:dyDescent="0.25">
      <c r="A6084" s="1">
        <v>40544</v>
      </c>
      <c r="B6084" t="s">
        <v>16</v>
      </c>
      <c r="C6084" t="s">
        <v>11</v>
      </c>
      <c r="D6084">
        <v>44</v>
      </c>
      <c r="E6084" s="2">
        <v>3.0740740740740742E-2</v>
      </c>
      <c r="F6084">
        <v>44.266666666666666</v>
      </c>
    </row>
    <row r="6085" spans="1:6" x14ac:dyDescent="0.25">
      <c r="A6085" s="1">
        <v>40544</v>
      </c>
      <c r="B6085" t="s">
        <v>17</v>
      </c>
      <c r="C6085" t="s">
        <v>6</v>
      </c>
      <c r="D6085">
        <v>13</v>
      </c>
      <c r="E6085" s="2">
        <v>1.3738425925925926E-2</v>
      </c>
      <c r="F6085">
        <v>19.783333333333335</v>
      </c>
    </row>
    <row r="6086" spans="1:6" x14ac:dyDescent="0.25">
      <c r="A6086" s="1">
        <v>40544</v>
      </c>
      <c r="B6086" t="s">
        <v>17</v>
      </c>
      <c r="C6086" t="s">
        <v>7</v>
      </c>
      <c r="D6086">
        <v>8</v>
      </c>
      <c r="E6086" s="2">
        <v>8.4259259259259253E-3</v>
      </c>
      <c r="F6086">
        <v>12.133333333333333</v>
      </c>
    </row>
    <row r="6087" spans="1:6" x14ac:dyDescent="0.25">
      <c r="A6087" s="1">
        <v>40544</v>
      </c>
      <c r="B6087" t="s">
        <v>17</v>
      </c>
      <c r="C6087" t="s">
        <v>8</v>
      </c>
      <c r="D6087">
        <v>6</v>
      </c>
      <c r="E6087" s="2">
        <v>6.4351851851851853E-3</v>
      </c>
      <c r="F6087">
        <v>9.2666666666666675</v>
      </c>
    </row>
    <row r="6088" spans="1:6" x14ac:dyDescent="0.25">
      <c r="A6088" s="1">
        <v>40544</v>
      </c>
      <c r="B6088" t="s">
        <v>17</v>
      </c>
      <c r="C6088" t="s">
        <v>9</v>
      </c>
      <c r="D6088">
        <v>1</v>
      </c>
      <c r="E6088" s="2">
        <v>1.2268518518518518E-3</v>
      </c>
      <c r="F6088">
        <v>1.7666666666666666</v>
      </c>
    </row>
    <row r="6089" spans="1:6" x14ac:dyDescent="0.25">
      <c r="A6089" s="1">
        <v>40544</v>
      </c>
      <c r="B6089" t="s">
        <v>17</v>
      </c>
      <c r="C6089" t="s">
        <v>10</v>
      </c>
      <c r="D6089">
        <v>5</v>
      </c>
      <c r="E6089" s="2">
        <v>4.9537037037037041E-3</v>
      </c>
      <c r="F6089">
        <v>7.1333333333333337</v>
      </c>
    </row>
    <row r="6090" spans="1:6" x14ac:dyDescent="0.25">
      <c r="A6090" s="1">
        <v>40544</v>
      </c>
      <c r="B6090" t="s">
        <v>17</v>
      </c>
      <c r="C6090" t="s">
        <v>11</v>
      </c>
      <c r="D6090">
        <v>3</v>
      </c>
      <c r="E6090" s="2">
        <v>3.3449074074074076E-3</v>
      </c>
      <c r="F6090">
        <v>4.8166666666666664</v>
      </c>
    </row>
    <row r="6091" spans="1:6" x14ac:dyDescent="0.25">
      <c r="A6091" s="1">
        <v>40544</v>
      </c>
      <c r="B6091" t="s">
        <v>18</v>
      </c>
      <c r="C6091" t="s">
        <v>6</v>
      </c>
      <c r="D6091">
        <v>145</v>
      </c>
      <c r="E6091" s="2">
        <v>0.14004629629629631</v>
      </c>
      <c r="F6091">
        <v>201.66666666666666</v>
      </c>
    </row>
    <row r="6092" spans="1:6" x14ac:dyDescent="0.25">
      <c r="A6092" s="1">
        <v>40544</v>
      </c>
      <c r="B6092" t="s">
        <v>18</v>
      </c>
      <c r="C6092" t="s">
        <v>7</v>
      </c>
      <c r="D6092">
        <v>201</v>
      </c>
      <c r="E6092" s="2">
        <v>0.18334490740740741</v>
      </c>
      <c r="F6092">
        <v>264.01666666666665</v>
      </c>
    </row>
    <row r="6093" spans="1:6" x14ac:dyDescent="0.25">
      <c r="A6093" s="1">
        <v>40544</v>
      </c>
      <c r="B6093" t="s">
        <v>18</v>
      </c>
      <c r="C6093" t="s">
        <v>8</v>
      </c>
      <c r="D6093">
        <v>133</v>
      </c>
      <c r="E6093" s="2">
        <v>0.12671296296296297</v>
      </c>
      <c r="F6093">
        <v>182.46666666666667</v>
      </c>
    </row>
    <row r="6094" spans="1:6" x14ac:dyDescent="0.25">
      <c r="A6094" s="1">
        <v>40544</v>
      </c>
      <c r="B6094" t="s">
        <v>18</v>
      </c>
      <c r="C6094" t="s">
        <v>9</v>
      </c>
      <c r="D6094">
        <v>82</v>
      </c>
      <c r="E6094" s="2">
        <v>5.8738425925925923E-2</v>
      </c>
      <c r="F6094">
        <v>84.583333333333329</v>
      </c>
    </row>
    <row r="6095" spans="1:6" x14ac:dyDescent="0.25">
      <c r="A6095" s="1">
        <v>40544</v>
      </c>
      <c r="B6095" t="s">
        <v>18</v>
      </c>
      <c r="C6095" t="s">
        <v>10</v>
      </c>
      <c r="D6095">
        <v>153</v>
      </c>
      <c r="E6095" s="2">
        <v>0.16949074074074075</v>
      </c>
      <c r="F6095">
        <v>244.06666666666666</v>
      </c>
    </row>
    <row r="6096" spans="1:6" x14ac:dyDescent="0.25">
      <c r="A6096" s="1">
        <v>40544</v>
      </c>
      <c r="B6096" t="s">
        <v>18</v>
      </c>
      <c r="C6096" t="s">
        <v>11</v>
      </c>
      <c r="D6096">
        <v>99</v>
      </c>
      <c r="E6096" s="2">
        <v>6.3217592592592589E-2</v>
      </c>
      <c r="F6096">
        <v>91.033333333333331</v>
      </c>
    </row>
    <row r="6097" spans="1:6" x14ac:dyDescent="0.25">
      <c r="A6097" s="1">
        <v>40544</v>
      </c>
      <c r="B6097" t="s">
        <v>19</v>
      </c>
      <c r="C6097" t="s">
        <v>6</v>
      </c>
      <c r="D6097">
        <v>24</v>
      </c>
      <c r="E6097" s="2">
        <v>2.6319444444444444E-2</v>
      </c>
      <c r="F6097">
        <v>37.9</v>
      </c>
    </row>
    <row r="6098" spans="1:6" x14ac:dyDescent="0.25">
      <c r="A6098" s="1">
        <v>40544</v>
      </c>
      <c r="B6098" t="s">
        <v>19</v>
      </c>
      <c r="C6098" t="s">
        <v>7</v>
      </c>
      <c r="D6098">
        <v>28</v>
      </c>
      <c r="E6098" s="2">
        <v>2.9733796296296296E-2</v>
      </c>
      <c r="F6098">
        <v>42.81666666666667</v>
      </c>
    </row>
    <row r="6099" spans="1:6" x14ac:dyDescent="0.25">
      <c r="A6099" s="1">
        <v>40544</v>
      </c>
      <c r="B6099" t="s">
        <v>19</v>
      </c>
      <c r="C6099" t="s">
        <v>8</v>
      </c>
      <c r="D6099">
        <v>23</v>
      </c>
      <c r="E6099" s="2">
        <v>2.4791666666666667E-2</v>
      </c>
      <c r="F6099">
        <v>35.700000000000003</v>
      </c>
    </row>
    <row r="6100" spans="1:6" x14ac:dyDescent="0.25">
      <c r="A6100" s="1">
        <v>40544</v>
      </c>
      <c r="B6100" t="s">
        <v>19</v>
      </c>
      <c r="C6100" t="s">
        <v>9</v>
      </c>
      <c r="D6100">
        <v>20</v>
      </c>
      <c r="E6100" s="2">
        <v>1.4039351851851851E-2</v>
      </c>
      <c r="F6100">
        <v>20.216666666666665</v>
      </c>
    </row>
    <row r="6101" spans="1:6" x14ac:dyDescent="0.25">
      <c r="A6101" s="1">
        <v>40544</v>
      </c>
      <c r="B6101" t="s">
        <v>19</v>
      </c>
      <c r="C6101" t="s">
        <v>10</v>
      </c>
      <c r="D6101">
        <v>3</v>
      </c>
      <c r="E6101" s="2">
        <v>2.7546296296296294E-3</v>
      </c>
      <c r="F6101">
        <v>3.9666666666666668</v>
      </c>
    </row>
    <row r="6102" spans="1:6" x14ac:dyDescent="0.25">
      <c r="A6102" s="1">
        <v>40544</v>
      </c>
      <c r="B6102" t="s">
        <v>19</v>
      </c>
      <c r="C6102" t="s">
        <v>11</v>
      </c>
      <c r="D6102">
        <v>18</v>
      </c>
      <c r="E6102" s="2">
        <v>1.2604166666666666E-2</v>
      </c>
      <c r="F6102">
        <v>18.149999999999999</v>
      </c>
    </row>
    <row r="6103" spans="1:6" x14ac:dyDescent="0.25">
      <c r="A6103" s="1">
        <v>40544</v>
      </c>
      <c r="B6103" t="s">
        <v>20</v>
      </c>
      <c r="C6103" t="s">
        <v>6</v>
      </c>
      <c r="D6103">
        <v>29</v>
      </c>
      <c r="E6103" s="2">
        <v>2.914351851851852E-2</v>
      </c>
      <c r="F6103">
        <v>41.966666666666669</v>
      </c>
    </row>
    <row r="6104" spans="1:6" x14ac:dyDescent="0.25">
      <c r="A6104" s="1">
        <v>40544</v>
      </c>
      <c r="B6104" t="s">
        <v>20</v>
      </c>
      <c r="C6104" t="s">
        <v>7</v>
      </c>
      <c r="D6104">
        <v>46</v>
      </c>
      <c r="E6104" s="2">
        <v>4.0972222222222222E-2</v>
      </c>
      <c r="F6104">
        <v>59</v>
      </c>
    </row>
    <row r="6105" spans="1:6" x14ac:dyDescent="0.25">
      <c r="A6105" s="1">
        <v>40544</v>
      </c>
      <c r="B6105" t="s">
        <v>20</v>
      </c>
      <c r="C6105" t="s">
        <v>8</v>
      </c>
      <c r="D6105">
        <v>31</v>
      </c>
      <c r="E6105" s="2">
        <v>3.1331018518518522E-2</v>
      </c>
      <c r="F6105">
        <v>45.116666666666667</v>
      </c>
    </row>
    <row r="6106" spans="1:6" x14ac:dyDescent="0.25">
      <c r="A6106" s="1">
        <v>40544</v>
      </c>
      <c r="B6106" t="s">
        <v>20</v>
      </c>
      <c r="C6106" t="s">
        <v>9</v>
      </c>
      <c r="D6106">
        <v>9</v>
      </c>
      <c r="E6106" s="2">
        <v>7.9629629629629634E-3</v>
      </c>
      <c r="F6106">
        <v>11.466666666666667</v>
      </c>
    </row>
    <row r="6107" spans="1:6" x14ac:dyDescent="0.25">
      <c r="A6107" s="1">
        <v>40544</v>
      </c>
      <c r="B6107" t="s">
        <v>20</v>
      </c>
      <c r="C6107" t="s">
        <v>10</v>
      </c>
      <c r="D6107">
        <v>4</v>
      </c>
      <c r="E6107" s="2">
        <v>5.6597222222222222E-3</v>
      </c>
      <c r="F6107">
        <v>8.15</v>
      </c>
    </row>
    <row r="6108" spans="1:6" x14ac:dyDescent="0.25">
      <c r="A6108" s="1">
        <v>40544</v>
      </c>
      <c r="B6108" t="s">
        <v>20</v>
      </c>
      <c r="C6108" t="s">
        <v>11</v>
      </c>
      <c r="D6108">
        <v>16</v>
      </c>
      <c r="E6108" s="2">
        <v>1.1770833333333333E-2</v>
      </c>
      <c r="F6108">
        <v>16.95</v>
      </c>
    </row>
    <row r="6109" spans="1:6" x14ac:dyDescent="0.25">
      <c r="A6109" s="1">
        <v>40544</v>
      </c>
      <c r="B6109" t="s">
        <v>21</v>
      </c>
      <c r="C6109" t="s">
        <v>6</v>
      </c>
      <c r="D6109">
        <v>33</v>
      </c>
      <c r="E6109" s="2">
        <v>4.2916666666666665E-2</v>
      </c>
      <c r="F6109">
        <v>61.8</v>
      </c>
    </row>
    <row r="6110" spans="1:6" x14ac:dyDescent="0.25">
      <c r="A6110" s="1">
        <v>40544</v>
      </c>
      <c r="B6110" t="s">
        <v>21</v>
      </c>
      <c r="C6110" t="s">
        <v>7</v>
      </c>
      <c r="D6110">
        <v>27</v>
      </c>
      <c r="E6110" s="2">
        <v>3.7210648148148145E-2</v>
      </c>
      <c r="F6110">
        <v>53.583333333333336</v>
      </c>
    </row>
    <row r="6111" spans="1:6" x14ac:dyDescent="0.25">
      <c r="A6111" s="1">
        <v>40544</v>
      </c>
      <c r="B6111" t="s">
        <v>21</v>
      </c>
      <c r="C6111" t="s">
        <v>8</v>
      </c>
      <c r="D6111">
        <v>22</v>
      </c>
      <c r="E6111" s="2">
        <v>3.4456018518518518E-2</v>
      </c>
      <c r="F6111">
        <v>49.616666666666667</v>
      </c>
    </row>
    <row r="6112" spans="1:6" x14ac:dyDescent="0.25">
      <c r="A6112" s="1">
        <v>40544</v>
      </c>
      <c r="B6112" t="s">
        <v>21</v>
      </c>
      <c r="C6112" t="s">
        <v>9</v>
      </c>
      <c r="D6112">
        <v>13</v>
      </c>
      <c r="E6112" s="2">
        <v>8.9004629629629625E-3</v>
      </c>
      <c r="F6112">
        <v>12.816666666666666</v>
      </c>
    </row>
    <row r="6113" spans="1:6" x14ac:dyDescent="0.25">
      <c r="A6113" s="1">
        <v>40544</v>
      </c>
      <c r="B6113" t="s">
        <v>21</v>
      </c>
      <c r="C6113" t="s">
        <v>10</v>
      </c>
      <c r="D6113">
        <v>5</v>
      </c>
      <c r="E6113" s="2">
        <v>4.7800925925925927E-3</v>
      </c>
      <c r="F6113">
        <v>6.8833333333333329</v>
      </c>
    </row>
    <row r="6114" spans="1:6" x14ac:dyDescent="0.25">
      <c r="A6114" s="1">
        <v>40544</v>
      </c>
      <c r="B6114" t="s">
        <v>21</v>
      </c>
      <c r="C6114" t="s">
        <v>11</v>
      </c>
      <c r="D6114">
        <v>28</v>
      </c>
      <c r="E6114" s="2">
        <v>2.2928240740740742E-2</v>
      </c>
      <c r="F6114">
        <v>33.016666666666666</v>
      </c>
    </row>
    <row r="6115" spans="1:6" x14ac:dyDescent="0.25">
      <c r="A6115" s="1">
        <v>40544</v>
      </c>
      <c r="B6115" t="s">
        <v>22</v>
      </c>
      <c r="C6115" t="s">
        <v>6</v>
      </c>
      <c r="D6115">
        <v>6</v>
      </c>
      <c r="E6115" s="2">
        <v>6.898148148148148E-3</v>
      </c>
      <c r="F6115">
        <v>9.9333333333333336</v>
      </c>
    </row>
    <row r="6116" spans="1:6" x14ac:dyDescent="0.25">
      <c r="A6116" s="1">
        <v>40544</v>
      </c>
      <c r="B6116" t="s">
        <v>22</v>
      </c>
      <c r="C6116" t="s">
        <v>7</v>
      </c>
      <c r="D6116">
        <v>6</v>
      </c>
      <c r="E6116" s="2">
        <v>6.828703703703704E-3</v>
      </c>
      <c r="F6116">
        <v>9.8333333333333339</v>
      </c>
    </row>
    <row r="6117" spans="1:6" x14ac:dyDescent="0.25">
      <c r="A6117" s="1">
        <v>40544</v>
      </c>
      <c r="B6117" t="s">
        <v>22</v>
      </c>
      <c r="C6117" t="s">
        <v>8</v>
      </c>
      <c r="D6117">
        <v>9</v>
      </c>
      <c r="E6117" s="2">
        <v>9.2013888888888892E-3</v>
      </c>
      <c r="F6117">
        <v>13.25</v>
      </c>
    </row>
    <row r="6118" spans="1:6" x14ac:dyDescent="0.25">
      <c r="A6118" s="1">
        <v>40544</v>
      </c>
      <c r="B6118" t="s">
        <v>22</v>
      </c>
      <c r="C6118" t="s">
        <v>9</v>
      </c>
      <c r="D6118">
        <v>2</v>
      </c>
      <c r="E6118" s="2">
        <v>1.2962962962962963E-3</v>
      </c>
      <c r="F6118">
        <v>1.8666666666666667</v>
      </c>
    </row>
    <row r="6119" spans="1:6" x14ac:dyDescent="0.25">
      <c r="A6119" s="1">
        <v>40544</v>
      </c>
      <c r="B6119" t="s">
        <v>22</v>
      </c>
      <c r="C6119" t="s">
        <v>10</v>
      </c>
      <c r="D6119">
        <v>1</v>
      </c>
      <c r="E6119" s="2">
        <v>1.3773148148148147E-3</v>
      </c>
      <c r="F6119">
        <v>1.9833333333333334</v>
      </c>
    </row>
    <row r="6120" spans="1:6" x14ac:dyDescent="0.25">
      <c r="A6120" s="1">
        <v>40544</v>
      </c>
      <c r="B6120" t="s">
        <v>22</v>
      </c>
      <c r="C6120" t="s">
        <v>11</v>
      </c>
      <c r="D6120">
        <v>3</v>
      </c>
      <c r="E6120" s="2">
        <v>2.4074074074074076E-3</v>
      </c>
      <c r="F6120">
        <v>3.4666666666666668</v>
      </c>
    </row>
    <row r="6121" spans="1:6" x14ac:dyDescent="0.25">
      <c r="A6121" s="1">
        <v>40544</v>
      </c>
      <c r="B6121" t="s">
        <v>23</v>
      </c>
      <c r="C6121" t="s">
        <v>6</v>
      </c>
      <c r="D6121">
        <v>89</v>
      </c>
      <c r="E6121" s="2">
        <v>0.10253472222222222</v>
      </c>
      <c r="F6121">
        <v>147.65</v>
      </c>
    </row>
    <row r="6122" spans="1:6" x14ac:dyDescent="0.25">
      <c r="A6122" s="1">
        <v>40544</v>
      </c>
      <c r="B6122" t="s">
        <v>23</v>
      </c>
      <c r="C6122" t="s">
        <v>7</v>
      </c>
      <c r="D6122">
        <v>83</v>
      </c>
      <c r="E6122" s="2">
        <v>0.10166666666666667</v>
      </c>
      <c r="F6122">
        <v>146.4</v>
      </c>
    </row>
    <row r="6123" spans="1:6" x14ac:dyDescent="0.25">
      <c r="A6123" s="1">
        <v>40544</v>
      </c>
      <c r="B6123" t="s">
        <v>23</v>
      </c>
      <c r="C6123" t="s">
        <v>8</v>
      </c>
      <c r="D6123">
        <v>55</v>
      </c>
      <c r="E6123" s="2">
        <v>5.7916666666666665E-2</v>
      </c>
      <c r="F6123">
        <v>83.4</v>
      </c>
    </row>
    <row r="6124" spans="1:6" x14ac:dyDescent="0.25">
      <c r="A6124" s="1">
        <v>40544</v>
      </c>
      <c r="B6124" t="s">
        <v>23</v>
      </c>
      <c r="C6124" t="s">
        <v>9</v>
      </c>
      <c r="D6124">
        <v>38</v>
      </c>
      <c r="E6124" s="2">
        <v>2.8067129629629629E-2</v>
      </c>
      <c r="F6124">
        <v>40.416666666666664</v>
      </c>
    </row>
    <row r="6125" spans="1:6" x14ac:dyDescent="0.25">
      <c r="A6125" s="1">
        <v>40544</v>
      </c>
      <c r="B6125" t="s">
        <v>23</v>
      </c>
      <c r="C6125" t="s">
        <v>10</v>
      </c>
      <c r="D6125">
        <v>23</v>
      </c>
      <c r="E6125" s="2">
        <v>2.8981481481481483E-2</v>
      </c>
      <c r="F6125">
        <v>41.733333333333334</v>
      </c>
    </row>
    <row r="6126" spans="1:6" x14ac:dyDescent="0.25">
      <c r="A6126" s="1">
        <v>40544</v>
      </c>
      <c r="B6126" t="s">
        <v>23</v>
      </c>
      <c r="C6126" t="s">
        <v>11</v>
      </c>
      <c r="D6126">
        <v>66</v>
      </c>
      <c r="E6126" s="2">
        <v>5.8993055555555556E-2</v>
      </c>
      <c r="F6126">
        <v>84.95</v>
      </c>
    </row>
    <row r="6127" spans="1:6" x14ac:dyDescent="0.25">
      <c r="A6127" s="1">
        <v>40544</v>
      </c>
      <c r="B6127" t="s">
        <v>24</v>
      </c>
      <c r="C6127" t="s">
        <v>6</v>
      </c>
      <c r="D6127">
        <v>36</v>
      </c>
      <c r="E6127" s="2">
        <v>2.6342592592592591E-2</v>
      </c>
      <c r="F6127">
        <v>37.93333333333333</v>
      </c>
    </row>
    <row r="6128" spans="1:6" x14ac:dyDescent="0.25">
      <c r="A6128" s="1">
        <v>40544</v>
      </c>
      <c r="B6128" t="s">
        <v>24</v>
      </c>
      <c r="C6128" t="s">
        <v>7</v>
      </c>
      <c r="D6128">
        <v>39</v>
      </c>
      <c r="E6128" s="2">
        <v>2.4502314814814814E-2</v>
      </c>
      <c r="F6128">
        <v>35.283333333333331</v>
      </c>
    </row>
    <row r="6129" spans="1:6" x14ac:dyDescent="0.25">
      <c r="A6129" s="1">
        <v>40544</v>
      </c>
      <c r="B6129" t="s">
        <v>24</v>
      </c>
      <c r="C6129" t="s">
        <v>8</v>
      </c>
      <c r="D6129">
        <v>16</v>
      </c>
      <c r="E6129" s="2">
        <v>1.545138888888889E-2</v>
      </c>
      <c r="F6129">
        <v>22.25</v>
      </c>
    </row>
    <row r="6130" spans="1:6" x14ac:dyDescent="0.25">
      <c r="A6130" s="1">
        <v>40544</v>
      </c>
      <c r="B6130" t="s">
        <v>24</v>
      </c>
      <c r="C6130" t="s">
        <v>9</v>
      </c>
      <c r="D6130">
        <v>2</v>
      </c>
      <c r="E6130" s="2">
        <v>2.0949074074074073E-3</v>
      </c>
      <c r="F6130">
        <v>3.0166666666666666</v>
      </c>
    </row>
    <row r="6131" spans="1:6" x14ac:dyDescent="0.25">
      <c r="A6131" s="1">
        <v>40544</v>
      </c>
      <c r="B6131" t="s">
        <v>24</v>
      </c>
      <c r="C6131" t="s">
        <v>10</v>
      </c>
      <c r="D6131">
        <v>1</v>
      </c>
      <c r="E6131" s="2">
        <v>1.6898148148148148E-3</v>
      </c>
      <c r="F6131">
        <v>2.4333333333333336</v>
      </c>
    </row>
    <row r="6132" spans="1:6" x14ac:dyDescent="0.25">
      <c r="A6132" s="1">
        <v>40544</v>
      </c>
      <c r="B6132" t="s">
        <v>24</v>
      </c>
      <c r="C6132" t="s">
        <v>11</v>
      </c>
      <c r="D6132">
        <v>13</v>
      </c>
      <c r="E6132" s="2">
        <v>8.7037037037037031E-3</v>
      </c>
      <c r="F6132">
        <v>12.533333333333333</v>
      </c>
    </row>
    <row r="6133" spans="1:6" x14ac:dyDescent="0.25">
      <c r="A6133" s="1">
        <v>40575</v>
      </c>
      <c r="B6133" t="s">
        <v>5</v>
      </c>
      <c r="C6133" t="s">
        <v>6</v>
      </c>
      <c r="D6133">
        <v>25</v>
      </c>
      <c r="E6133" s="2">
        <v>2.255787037037037E-2</v>
      </c>
      <c r="F6133">
        <v>32.483333333333334</v>
      </c>
    </row>
    <row r="6134" spans="1:6" x14ac:dyDescent="0.25">
      <c r="A6134" s="1">
        <v>40575</v>
      </c>
      <c r="B6134" t="s">
        <v>5</v>
      </c>
      <c r="C6134" t="s">
        <v>7</v>
      </c>
      <c r="D6134">
        <v>18</v>
      </c>
      <c r="E6134" s="2">
        <v>1.4513888888888889E-2</v>
      </c>
      <c r="F6134">
        <v>20.9</v>
      </c>
    </row>
    <row r="6135" spans="1:6" x14ac:dyDescent="0.25">
      <c r="A6135" s="1">
        <v>40575</v>
      </c>
      <c r="B6135" t="s">
        <v>5</v>
      </c>
      <c r="C6135" t="s">
        <v>8</v>
      </c>
      <c r="D6135">
        <v>19</v>
      </c>
      <c r="E6135" s="2">
        <v>1.8263888888888889E-2</v>
      </c>
      <c r="F6135">
        <v>26.3</v>
      </c>
    </row>
    <row r="6136" spans="1:6" x14ac:dyDescent="0.25">
      <c r="A6136" s="1">
        <v>40575</v>
      </c>
      <c r="B6136" t="s">
        <v>5</v>
      </c>
      <c r="C6136" t="s">
        <v>9</v>
      </c>
      <c r="D6136">
        <v>13</v>
      </c>
      <c r="E6136" s="2">
        <v>5.9259259259259256E-3</v>
      </c>
      <c r="F6136">
        <v>8.5333333333333332</v>
      </c>
    </row>
    <row r="6137" spans="1:6" x14ac:dyDescent="0.25">
      <c r="A6137" s="1">
        <v>40575</v>
      </c>
      <c r="B6137" t="s">
        <v>5</v>
      </c>
      <c r="C6137" t="s">
        <v>10</v>
      </c>
      <c r="D6137">
        <v>2</v>
      </c>
      <c r="E6137" s="2">
        <v>2.5810185185185185E-3</v>
      </c>
      <c r="F6137">
        <v>3.7166666666666668</v>
      </c>
    </row>
    <row r="6138" spans="1:6" x14ac:dyDescent="0.25">
      <c r="A6138" s="1">
        <v>40575</v>
      </c>
      <c r="B6138" t="s">
        <v>5</v>
      </c>
      <c r="C6138" t="s">
        <v>11</v>
      </c>
      <c r="D6138">
        <v>10</v>
      </c>
      <c r="E6138" s="2">
        <v>5.7291666666666663E-3</v>
      </c>
      <c r="F6138">
        <v>8.25</v>
      </c>
    </row>
    <row r="6139" spans="1:6" x14ac:dyDescent="0.25">
      <c r="A6139" s="1">
        <v>40575</v>
      </c>
      <c r="B6139" t="s">
        <v>12</v>
      </c>
      <c r="C6139" t="s">
        <v>6</v>
      </c>
      <c r="D6139">
        <v>50</v>
      </c>
      <c r="E6139" s="2">
        <v>5.5937500000000001E-2</v>
      </c>
      <c r="F6139">
        <v>80.55</v>
      </c>
    </row>
    <row r="6140" spans="1:6" x14ac:dyDescent="0.25">
      <c r="A6140" s="1">
        <v>40575</v>
      </c>
      <c r="B6140" t="s">
        <v>12</v>
      </c>
      <c r="C6140" t="s">
        <v>7</v>
      </c>
      <c r="D6140">
        <v>37</v>
      </c>
      <c r="E6140" s="2">
        <v>3.7372685185185182E-2</v>
      </c>
      <c r="F6140">
        <v>53.81666666666667</v>
      </c>
    </row>
    <row r="6141" spans="1:6" x14ac:dyDescent="0.25">
      <c r="A6141" s="1">
        <v>40575</v>
      </c>
      <c r="B6141" t="s">
        <v>12</v>
      </c>
      <c r="C6141" t="s">
        <v>8</v>
      </c>
      <c r="D6141">
        <v>20</v>
      </c>
      <c r="E6141" s="2">
        <v>2.9629629629629631E-2</v>
      </c>
      <c r="F6141">
        <v>42.666666666666664</v>
      </c>
    </row>
    <row r="6142" spans="1:6" x14ac:dyDescent="0.25">
      <c r="A6142" s="1">
        <v>40575</v>
      </c>
      <c r="B6142" t="s">
        <v>12</v>
      </c>
      <c r="C6142" t="s">
        <v>9</v>
      </c>
      <c r="D6142">
        <v>5</v>
      </c>
      <c r="E6142" s="2">
        <v>2.5000000000000001E-3</v>
      </c>
      <c r="F6142">
        <v>3.6</v>
      </c>
    </row>
    <row r="6143" spans="1:6" x14ac:dyDescent="0.25">
      <c r="A6143" s="1">
        <v>40575</v>
      </c>
      <c r="B6143" t="s">
        <v>12</v>
      </c>
      <c r="C6143" t="s">
        <v>10</v>
      </c>
      <c r="D6143">
        <v>73</v>
      </c>
      <c r="E6143" s="2">
        <v>9.5798611111111112E-2</v>
      </c>
      <c r="F6143">
        <v>137.94999999999999</v>
      </c>
    </row>
    <row r="6144" spans="1:6" x14ac:dyDescent="0.25">
      <c r="A6144" s="1">
        <v>40575</v>
      </c>
      <c r="B6144" t="s">
        <v>12</v>
      </c>
      <c r="C6144" t="s">
        <v>11</v>
      </c>
      <c r="D6144">
        <v>42</v>
      </c>
      <c r="E6144" s="2">
        <v>3.8993055555555559E-2</v>
      </c>
      <c r="F6144">
        <v>56.15</v>
      </c>
    </row>
    <row r="6145" spans="1:6" x14ac:dyDescent="0.25">
      <c r="A6145" s="1">
        <v>40575</v>
      </c>
      <c r="B6145" t="s">
        <v>13</v>
      </c>
      <c r="C6145" t="s">
        <v>6</v>
      </c>
      <c r="D6145">
        <v>49</v>
      </c>
      <c r="E6145" s="2">
        <v>5.4340277777777779E-2</v>
      </c>
      <c r="F6145">
        <v>78.25</v>
      </c>
    </row>
    <row r="6146" spans="1:6" x14ac:dyDescent="0.25">
      <c r="A6146" s="1">
        <v>40575</v>
      </c>
      <c r="B6146" t="s">
        <v>13</v>
      </c>
      <c r="C6146" t="s">
        <v>7</v>
      </c>
      <c r="D6146">
        <v>44</v>
      </c>
      <c r="E6146" s="2">
        <v>4.8576388888888891E-2</v>
      </c>
      <c r="F6146">
        <v>69.95</v>
      </c>
    </row>
    <row r="6147" spans="1:6" x14ac:dyDescent="0.25">
      <c r="A6147" s="1">
        <v>40575</v>
      </c>
      <c r="B6147" t="s">
        <v>13</v>
      </c>
      <c r="C6147" t="s">
        <v>8</v>
      </c>
      <c r="D6147">
        <v>36</v>
      </c>
      <c r="E6147" s="2">
        <v>4.3912037037037034E-2</v>
      </c>
      <c r="F6147">
        <v>63.233333333333334</v>
      </c>
    </row>
    <row r="6148" spans="1:6" x14ac:dyDescent="0.25">
      <c r="A6148" s="1">
        <v>40575</v>
      </c>
      <c r="B6148" t="s">
        <v>13</v>
      </c>
      <c r="C6148" t="s">
        <v>9</v>
      </c>
      <c r="D6148">
        <v>14</v>
      </c>
      <c r="E6148" s="2">
        <v>1.105324074074074E-2</v>
      </c>
      <c r="F6148">
        <v>15.916666666666666</v>
      </c>
    </row>
    <row r="6149" spans="1:6" x14ac:dyDescent="0.25">
      <c r="A6149" s="1">
        <v>40575</v>
      </c>
      <c r="B6149" t="s">
        <v>13</v>
      </c>
      <c r="C6149" t="s">
        <v>10</v>
      </c>
      <c r="D6149">
        <v>5</v>
      </c>
      <c r="E6149" s="2">
        <v>5.4513888888888893E-3</v>
      </c>
      <c r="F6149">
        <v>7.85</v>
      </c>
    </row>
    <row r="6150" spans="1:6" x14ac:dyDescent="0.25">
      <c r="A6150" s="1">
        <v>40575</v>
      </c>
      <c r="B6150" t="s">
        <v>13</v>
      </c>
      <c r="C6150" t="s">
        <v>11</v>
      </c>
      <c r="D6150">
        <v>18</v>
      </c>
      <c r="E6150" s="2">
        <v>2.0671296296296295E-2</v>
      </c>
      <c r="F6150">
        <v>29.766666666666666</v>
      </c>
    </row>
    <row r="6151" spans="1:6" x14ac:dyDescent="0.25">
      <c r="A6151" s="1">
        <v>40575</v>
      </c>
      <c r="B6151" t="s">
        <v>14</v>
      </c>
      <c r="C6151" t="s">
        <v>6</v>
      </c>
      <c r="D6151">
        <v>9</v>
      </c>
      <c r="E6151" s="2">
        <v>1.4398148148148148E-2</v>
      </c>
      <c r="F6151">
        <v>20.733333333333334</v>
      </c>
    </row>
    <row r="6152" spans="1:6" x14ac:dyDescent="0.25">
      <c r="A6152" s="1">
        <v>40575</v>
      </c>
      <c r="B6152" t="s">
        <v>14</v>
      </c>
      <c r="C6152" t="s">
        <v>7</v>
      </c>
      <c r="D6152">
        <v>8</v>
      </c>
      <c r="E6152" s="2">
        <v>1.2152777777777778E-2</v>
      </c>
      <c r="F6152">
        <v>17.5</v>
      </c>
    </row>
    <row r="6153" spans="1:6" x14ac:dyDescent="0.25">
      <c r="A6153" s="1">
        <v>40575</v>
      </c>
      <c r="B6153" t="s">
        <v>14</v>
      </c>
      <c r="C6153" t="s">
        <v>8</v>
      </c>
      <c r="D6153">
        <v>12</v>
      </c>
      <c r="E6153" s="2">
        <v>1.8067129629629631E-2</v>
      </c>
      <c r="F6153">
        <v>26.016666666666666</v>
      </c>
    </row>
    <row r="6154" spans="1:6" x14ac:dyDescent="0.25">
      <c r="A6154" s="1">
        <v>40575</v>
      </c>
      <c r="B6154" t="s">
        <v>14</v>
      </c>
      <c r="C6154" t="s">
        <v>9</v>
      </c>
      <c r="D6154">
        <v>5</v>
      </c>
      <c r="E6154" s="2">
        <v>4.5601851851851853E-3</v>
      </c>
      <c r="F6154">
        <v>6.5666666666666664</v>
      </c>
    </row>
    <row r="6155" spans="1:6" x14ac:dyDescent="0.25">
      <c r="A6155" s="1">
        <v>40575</v>
      </c>
      <c r="B6155" t="s">
        <v>14</v>
      </c>
      <c r="C6155" t="s">
        <v>10</v>
      </c>
      <c r="D6155">
        <v>0</v>
      </c>
      <c r="E6155" s="2">
        <v>0</v>
      </c>
      <c r="F6155">
        <v>0</v>
      </c>
    </row>
    <row r="6156" spans="1:6" x14ac:dyDescent="0.25">
      <c r="A6156" s="1">
        <v>40575</v>
      </c>
      <c r="B6156" t="s">
        <v>14</v>
      </c>
      <c r="C6156" t="s">
        <v>11</v>
      </c>
      <c r="D6156">
        <v>7</v>
      </c>
      <c r="E6156" s="2">
        <v>9.6296296296296303E-3</v>
      </c>
      <c r="F6156">
        <v>13.866666666666667</v>
      </c>
    </row>
    <row r="6157" spans="1:6" x14ac:dyDescent="0.25">
      <c r="A6157" s="1">
        <v>40575</v>
      </c>
      <c r="B6157" t="s">
        <v>15</v>
      </c>
      <c r="C6157" t="s">
        <v>6</v>
      </c>
      <c r="D6157">
        <v>18</v>
      </c>
      <c r="E6157" s="2">
        <v>2.1608796296296296E-2</v>
      </c>
      <c r="F6157">
        <v>31.116666666666667</v>
      </c>
    </row>
    <row r="6158" spans="1:6" x14ac:dyDescent="0.25">
      <c r="A6158" s="1">
        <v>40575</v>
      </c>
      <c r="B6158" t="s">
        <v>15</v>
      </c>
      <c r="C6158" t="s">
        <v>7</v>
      </c>
      <c r="D6158">
        <v>11</v>
      </c>
      <c r="E6158" s="2">
        <v>7.8819444444444449E-3</v>
      </c>
      <c r="F6158">
        <v>11.35</v>
      </c>
    </row>
    <row r="6159" spans="1:6" x14ac:dyDescent="0.25">
      <c r="A6159" s="1">
        <v>40575</v>
      </c>
      <c r="B6159" t="s">
        <v>15</v>
      </c>
      <c r="C6159" t="s">
        <v>8</v>
      </c>
      <c r="D6159">
        <v>7</v>
      </c>
      <c r="E6159" s="2">
        <v>5.2430555555555555E-3</v>
      </c>
      <c r="F6159">
        <v>7.55</v>
      </c>
    </row>
    <row r="6160" spans="1:6" x14ac:dyDescent="0.25">
      <c r="A6160" s="1">
        <v>40575</v>
      </c>
      <c r="B6160" t="s">
        <v>15</v>
      </c>
      <c r="C6160" t="s">
        <v>9</v>
      </c>
      <c r="D6160">
        <v>1</v>
      </c>
      <c r="E6160" s="2">
        <v>5.9027777777777778E-4</v>
      </c>
      <c r="F6160">
        <v>0.85</v>
      </c>
    </row>
    <row r="6161" spans="1:6" x14ac:dyDescent="0.25">
      <c r="A6161" s="1">
        <v>40575</v>
      </c>
      <c r="B6161" t="s">
        <v>15</v>
      </c>
      <c r="C6161" t="s">
        <v>10</v>
      </c>
      <c r="D6161">
        <v>0</v>
      </c>
      <c r="E6161" s="2">
        <v>0</v>
      </c>
      <c r="F6161">
        <v>0</v>
      </c>
    </row>
    <row r="6162" spans="1:6" x14ac:dyDescent="0.25">
      <c r="A6162" s="1">
        <v>40575</v>
      </c>
      <c r="B6162" t="s">
        <v>15</v>
      </c>
      <c r="C6162" t="s">
        <v>11</v>
      </c>
      <c r="D6162">
        <v>11</v>
      </c>
      <c r="E6162" s="2">
        <v>6.9907407407407409E-3</v>
      </c>
      <c r="F6162">
        <v>10.066666666666666</v>
      </c>
    </row>
    <row r="6163" spans="1:6" x14ac:dyDescent="0.25">
      <c r="A6163" s="1">
        <v>40575</v>
      </c>
      <c r="B6163" t="s">
        <v>16</v>
      </c>
      <c r="C6163" t="s">
        <v>6</v>
      </c>
      <c r="D6163">
        <v>48</v>
      </c>
      <c r="E6163" s="2">
        <v>4.0347222222222222E-2</v>
      </c>
      <c r="F6163">
        <v>58.1</v>
      </c>
    </row>
    <row r="6164" spans="1:6" x14ac:dyDescent="0.25">
      <c r="A6164" s="1">
        <v>40575</v>
      </c>
      <c r="B6164" t="s">
        <v>16</v>
      </c>
      <c r="C6164" t="s">
        <v>7</v>
      </c>
      <c r="D6164">
        <v>43</v>
      </c>
      <c r="E6164" s="2">
        <v>3.4629629629629628E-2</v>
      </c>
      <c r="F6164">
        <v>49.866666666666667</v>
      </c>
    </row>
    <row r="6165" spans="1:6" x14ac:dyDescent="0.25">
      <c r="A6165" s="1">
        <v>40575</v>
      </c>
      <c r="B6165" t="s">
        <v>16</v>
      </c>
      <c r="C6165" t="s">
        <v>8</v>
      </c>
      <c r="D6165">
        <v>45</v>
      </c>
      <c r="E6165" s="2">
        <v>3.4699074074074077E-2</v>
      </c>
      <c r="F6165">
        <v>49.966666666666669</v>
      </c>
    </row>
    <row r="6166" spans="1:6" x14ac:dyDescent="0.25">
      <c r="A6166" s="1">
        <v>40575</v>
      </c>
      <c r="B6166" t="s">
        <v>16</v>
      </c>
      <c r="C6166" t="s">
        <v>9</v>
      </c>
      <c r="D6166">
        <v>18</v>
      </c>
      <c r="E6166" s="2">
        <v>8.6458333333333335E-3</v>
      </c>
      <c r="F6166">
        <v>12.45</v>
      </c>
    </row>
    <row r="6167" spans="1:6" x14ac:dyDescent="0.25">
      <c r="A6167" s="1">
        <v>40575</v>
      </c>
      <c r="B6167" t="s">
        <v>16</v>
      </c>
      <c r="C6167" t="s">
        <v>10</v>
      </c>
      <c r="D6167">
        <v>1</v>
      </c>
      <c r="E6167" s="2">
        <v>1.1689814814814816E-3</v>
      </c>
      <c r="F6167">
        <v>1.6833333333333333</v>
      </c>
    </row>
    <row r="6168" spans="1:6" x14ac:dyDescent="0.25">
      <c r="A6168" s="1">
        <v>40575</v>
      </c>
      <c r="B6168" t="s">
        <v>16</v>
      </c>
      <c r="C6168" t="s">
        <v>11</v>
      </c>
      <c r="D6168">
        <v>56</v>
      </c>
      <c r="E6168" s="2">
        <v>4.2754629629629629E-2</v>
      </c>
      <c r="F6168">
        <v>61.56666666666667</v>
      </c>
    </row>
    <row r="6169" spans="1:6" x14ac:dyDescent="0.25">
      <c r="A6169" s="1">
        <v>40575</v>
      </c>
      <c r="B6169" t="s">
        <v>17</v>
      </c>
      <c r="C6169" t="s">
        <v>6</v>
      </c>
      <c r="D6169">
        <v>8</v>
      </c>
      <c r="E6169" s="2">
        <v>4.2013888888888891E-3</v>
      </c>
      <c r="F6169">
        <v>6.05</v>
      </c>
    </row>
    <row r="6170" spans="1:6" x14ac:dyDescent="0.25">
      <c r="A6170" s="1">
        <v>40575</v>
      </c>
      <c r="B6170" t="s">
        <v>17</v>
      </c>
      <c r="C6170" t="s">
        <v>7</v>
      </c>
      <c r="D6170">
        <v>9</v>
      </c>
      <c r="E6170" s="2">
        <v>4.7916666666666663E-3</v>
      </c>
      <c r="F6170">
        <v>6.9</v>
      </c>
    </row>
    <row r="6171" spans="1:6" x14ac:dyDescent="0.25">
      <c r="A6171" s="1">
        <v>40575</v>
      </c>
      <c r="B6171" t="s">
        <v>17</v>
      </c>
      <c r="C6171" t="s">
        <v>8</v>
      </c>
      <c r="D6171">
        <v>3</v>
      </c>
      <c r="E6171" s="2">
        <v>2.662037037037037E-3</v>
      </c>
      <c r="F6171">
        <v>3.8333333333333335</v>
      </c>
    </row>
    <row r="6172" spans="1:6" x14ac:dyDescent="0.25">
      <c r="A6172" s="1">
        <v>40575</v>
      </c>
      <c r="B6172" t="s">
        <v>17</v>
      </c>
      <c r="C6172" t="s">
        <v>9</v>
      </c>
      <c r="D6172">
        <v>2</v>
      </c>
      <c r="E6172" s="2">
        <v>7.1759259259259259E-4</v>
      </c>
      <c r="F6172">
        <v>1.0333333333333334</v>
      </c>
    </row>
    <row r="6173" spans="1:6" x14ac:dyDescent="0.25">
      <c r="A6173" s="1">
        <v>40575</v>
      </c>
      <c r="B6173" t="s">
        <v>17</v>
      </c>
      <c r="C6173" t="s">
        <v>10</v>
      </c>
      <c r="D6173">
        <v>9</v>
      </c>
      <c r="E6173" s="2">
        <v>1.0347222222222223E-2</v>
      </c>
      <c r="F6173">
        <v>14.9</v>
      </c>
    </row>
    <row r="6174" spans="1:6" x14ac:dyDescent="0.25">
      <c r="A6174" s="1">
        <v>40575</v>
      </c>
      <c r="B6174" t="s">
        <v>17</v>
      </c>
      <c r="C6174" t="s">
        <v>11</v>
      </c>
      <c r="D6174">
        <v>2</v>
      </c>
      <c r="E6174" s="2">
        <v>7.0601851851851847E-4</v>
      </c>
      <c r="F6174">
        <v>1.0166666666666666</v>
      </c>
    </row>
    <row r="6175" spans="1:6" x14ac:dyDescent="0.25">
      <c r="A6175" s="1">
        <v>40575</v>
      </c>
      <c r="B6175" t="s">
        <v>18</v>
      </c>
      <c r="C6175" t="s">
        <v>6</v>
      </c>
      <c r="D6175">
        <v>160</v>
      </c>
      <c r="E6175" s="2">
        <v>0.16458333333333333</v>
      </c>
      <c r="F6175">
        <v>237</v>
      </c>
    </row>
    <row r="6176" spans="1:6" x14ac:dyDescent="0.25">
      <c r="A6176" s="1">
        <v>40575</v>
      </c>
      <c r="B6176" t="s">
        <v>18</v>
      </c>
      <c r="C6176" t="s">
        <v>7</v>
      </c>
      <c r="D6176">
        <v>225</v>
      </c>
      <c r="E6176" s="2">
        <v>0.17572916666666666</v>
      </c>
      <c r="F6176">
        <v>253.05</v>
      </c>
    </row>
    <row r="6177" spans="1:6" x14ac:dyDescent="0.25">
      <c r="A6177" s="1">
        <v>40575</v>
      </c>
      <c r="B6177" t="s">
        <v>18</v>
      </c>
      <c r="C6177" t="s">
        <v>8</v>
      </c>
      <c r="D6177">
        <v>142</v>
      </c>
      <c r="E6177" s="2">
        <v>0.13442129629629629</v>
      </c>
      <c r="F6177">
        <v>193.56666666666666</v>
      </c>
    </row>
    <row r="6178" spans="1:6" x14ac:dyDescent="0.25">
      <c r="A6178" s="1">
        <v>40575</v>
      </c>
      <c r="B6178" t="s">
        <v>18</v>
      </c>
      <c r="C6178" t="s">
        <v>9</v>
      </c>
      <c r="D6178">
        <v>110</v>
      </c>
      <c r="E6178" s="2">
        <v>7.9178240740740743E-2</v>
      </c>
      <c r="F6178">
        <v>114.01666666666667</v>
      </c>
    </row>
    <row r="6179" spans="1:6" x14ac:dyDescent="0.25">
      <c r="A6179" s="1">
        <v>40575</v>
      </c>
      <c r="B6179" t="s">
        <v>18</v>
      </c>
      <c r="C6179" t="s">
        <v>10</v>
      </c>
      <c r="D6179">
        <v>187</v>
      </c>
      <c r="E6179" s="2">
        <v>0.22210648148148149</v>
      </c>
      <c r="F6179">
        <v>319.83333333333331</v>
      </c>
    </row>
    <row r="6180" spans="1:6" x14ac:dyDescent="0.25">
      <c r="A6180" s="1">
        <v>40575</v>
      </c>
      <c r="B6180" t="s">
        <v>18</v>
      </c>
      <c r="C6180" t="s">
        <v>11</v>
      </c>
      <c r="D6180">
        <v>86</v>
      </c>
      <c r="E6180" s="2">
        <v>6.2256944444444441E-2</v>
      </c>
      <c r="F6180">
        <v>89.65</v>
      </c>
    </row>
    <row r="6181" spans="1:6" x14ac:dyDescent="0.25">
      <c r="A6181" s="1">
        <v>40575</v>
      </c>
      <c r="B6181" t="s">
        <v>19</v>
      </c>
      <c r="C6181" t="s">
        <v>6</v>
      </c>
      <c r="D6181">
        <v>40</v>
      </c>
      <c r="E6181" s="2">
        <v>3.6446759259259262E-2</v>
      </c>
      <c r="F6181">
        <v>52.483333333333334</v>
      </c>
    </row>
    <row r="6182" spans="1:6" x14ac:dyDescent="0.25">
      <c r="A6182" s="1">
        <v>40575</v>
      </c>
      <c r="B6182" t="s">
        <v>19</v>
      </c>
      <c r="C6182" t="s">
        <v>7</v>
      </c>
      <c r="D6182">
        <v>43</v>
      </c>
      <c r="E6182" s="2">
        <v>4.0254629629629626E-2</v>
      </c>
      <c r="F6182">
        <v>57.966666666666669</v>
      </c>
    </row>
    <row r="6183" spans="1:6" x14ac:dyDescent="0.25">
      <c r="A6183" s="1">
        <v>40575</v>
      </c>
      <c r="B6183" t="s">
        <v>19</v>
      </c>
      <c r="C6183" t="s">
        <v>8</v>
      </c>
      <c r="D6183">
        <v>38</v>
      </c>
      <c r="E6183" s="2">
        <v>3.7581018518518521E-2</v>
      </c>
      <c r="F6183">
        <v>54.116666666666667</v>
      </c>
    </row>
    <row r="6184" spans="1:6" x14ac:dyDescent="0.25">
      <c r="A6184" s="1">
        <v>40575</v>
      </c>
      <c r="B6184" t="s">
        <v>19</v>
      </c>
      <c r="C6184" t="s">
        <v>9</v>
      </c>
      <c r="D6184">
        <v>35</v>
      </c>
      <c r="E6184" s="2">
        <v>1.9201388888888889E-2</v>
      </c>
      <c r="F6184">
        <v>27.65</v>
      </c>
    </row>
    <row r="6185" spans="1:6" x14ac:dyDescent="0.25">
      <c r="A6185" s="1">
        <v>40575</v>
      </c>
      <c r="B6185" t="s">
        <v>19</v>
      </c>
      <c r="C6185" t="s">
        <v>10</v>
      </c>
      <c r="D6185">
        <v>8</v>
      </c>
      <c r="E6185" s="2">
        <v>9.3634259259259261E-3</v>
      </c>
      <c r="F6185">
        <v>13.483333333333333</v>
      </c>
    </row>
    <row r="6186" spans="1:6" x14ac:dyDescent="0.25">
      <c r="A6186" s="1">
        <v>40575</v>
      </c>
      <c r="B6186" t="s">
        <v>19</v>
      </c>
      <c r="C6186" t="s">
        <v>11</v>
      </c>
      <c r="D6186">
        <v>37</v>
      </c>
      <c r="E6186" s="2">
        <v>2.7685185185185184E-2</v>
      </c>
      <c r="F6186">
        <v>39.866666666666667</v>
      </c>
    </row>
    <row r="6187" spans="1:6" x14ac:dyDescent="0.25">
      <c r="A6187" s="1">
        <v>40575</v>
      </c>
      <c r="B6187" t="s">
        <v>20</v>
      </c>
      <c r="C6187" t="s">
        <v>6</v>
      </c>
      <c r="D6187">
        <v>30</v>
      </c>
      <c r="E6187" s="2">
        <v>2.7129629629629629E-2</v>
      </c>
      <c r="F6187">
        <v>39.06666666666667</v>
      </c>
    </row>
    <row r="6188" spans="1:6" x14ac:dyDescent="0.25">
      <c r="A6188" s="1">
        <v>40575</v>
      </c>
      <c r="B6188" t="s">
        <v>20</v>
      </c>
      <c r="C6188" t="s">
        <v>7</v>
      </c>
      <c r="D6188">
        <v>42</v>
      </c>
      <c r="E6188" s="2">
        <v>5.1655092592592593E-2</v>
      </c>
      <c r="F6188">
        <v>74.38333333333334</v>
      </c>
    </row>
    <row r="6189" spans="1:6" x14ac:dyDescent="0.25">
      <c r="A6189" s="1">
        <v>40575</v>
      </c>
      <c r="B6189" t="s">
        <v>20</v>
      </c>
      <c r="C6189" t="s">
        <v>8</v>
      </c>
      <c r="D6189">
        <v>21</v>
      </c>
      <c r="E6189" s="2">
        <v>2.4583333333333332E-2</v>
      </c>
      <c r="F6189">
        <v>35.4</v>
      </c>
    </row>
    <row r="6190" spans="1:6" x14ac:dyDescent="0.25">
      <c r="A6190" s="1">
        <v>40575</v>
      </c>
      <c r="B6190" t="s">
        <v>20</v>
      </c>
      <c r="C6190" t="s">
        <v>9</v>
      </c>
      <c r="D6190">
        <v>24</v>
      </c>
      <c r="E6190" s="2">
        <v>1.9722222222222221E-2</v>
      </c>
      <c r="F6190">
        <v>28.4</v>
      </c>
    </row>
    <row r="6191" spans="1:6" x14ac:dyDescent="0.25">
      <c r="A6191" s="1">
        <v>40575</v>
      </c>
      <c r="B6191" t="s">
        <v>20</v>
      </c>
      <c r="C6191" t="s">
        <v>10</v>
      </c>
      <c r="D6191">
        <v>4</v>
      </c>
      <c r="E6191" s="2">
        <v>4.4791666666666669E-3</v>
      </c>
      <c r="F6191">
        <v>6.45</v>
      </c>
    </row>
    <row r="6192" spans="1:6" x14ac:dyDescent="0.25">
      <c r="A6192" s="1">
        <v>40575</v>
      </c>
      <c r="B6192" t="s">
        <v>20</v>
      </c>
      <c r="C6192" t="s">
        <v>11</v>
      </c>
      <c r="D6192">
        <v>16</v>
      </c>
      <c r="E6192" s="2">
        <v>1.5405092592592592E-2</v>
      </c>
      <c r="F6192">
        <v>22.183333333333334</v>
      </c>
    </row>
    <row r="6193" spans="1:6" x14ac:dyDescent="0.25">
      <c r="A6193" s="1">
        <v>40575</v>
      </c>
      <c r="B6193" t="s">
        <v>21</v>
      </c>
      <c r="C6193" t="s">
        <v>6</v>
      </c>
      <c r="D6193">
        <v>25</v>
      </c>
      <c r="E6193" s="2">
        <v>3.246527777777778E-2</v>
      </c>
      <c r="F6193">
        <v>46.75</v>
      </c>
    </row>
    <row r="6194" spans="1:6" x14ac:dyDescent="0.25">
      <c r="A6194" s="1">
        <v>40575</v>
      </c>
      <c r="B6194" t="s">
        <v>21</v>
      </c>
      <c r="C6194" t="s">
        <v>7</v>
      </c>
      <c r="D6194">
        <v>19</v>
      </c>
      <c r="E6194" s="2">
        <v>2.420138888888889E-2</v>
      </c>
      <c r="F6194">
        <v>34.85</v>
      </c>
    </row>
    <row r="6195" spans="1:6" x14ac:dyDescent="0.25">
      <c r="A6195" s="1">
        <v>40575</v>
      </c>
      <c r="B6195" t="s">
        <v>21</v>
      </c>
      <c r="C6195" t="s">
        <v>8</v>
      </c>
      <c r="D6195">
        <v>12</v>
      </c>
      <c r="E6195" s="2">
        <v>1.5717592592592592E-2</v>
      </c>
      <c r="F6195">
        <v>22.633333333333333</v>
      </c>
    </row>
    <row r="6196" spans="1:6" x14ac:dyDescent="0.25">
      <c r="A6196" s="1">
        <v>40575</v>
      </c>
      <c r="B6196" t="s">
        <v>21</v>
      </c>
      <c r="C6196" t="s">
        <v>9</v>
      </c>
      <c r="D6196">
        <v>8</v>
      </c>
      <c r="E6196" s="2">
        <v>4.1203703703703706E-3</v>
      </c>
      <c r="F6196">
        <v>5.9333333333333336</v>
      </c>
    </row>
    <row r="6197" spans="1:6" x14ac:dyDescent="0.25">
      <c r="A6197" s="1">
        <v>40575</v>
      </c>
      <c r="B6197" t="s">
        <v>21</v>
      </c>
      <c r="C6197" t="s">
        <v>10</v>
      </c>
      <c r="D6197">
        <v>4</v>
      </c>
      <c r="E6197" s="2">
        <v>6.099537037037037E-3</v>
      </c>
      <c r="F6197">
        <v>8.7833333333333332</v>
      </c>
    </row>
    <row r="6198" spans="1:6" x14ac:dyDescent="0.25">
      <c r="A6198" s="1">
        <v>40575</v>
      </c>
      <c r="B6198" t="s">
        <v>21</v>
      </c>
      <c r="C6198" t="s">
        <v>11</v>
      </c>
      <c r="D6198">
        <v>20</v>
      </c>
      <c r="E6198" s="2">
        <v>2.267361111111111E-2</v>
      </c>
      <c r="F6198">
        <v>32.65</v>
      </c>
    </row>
    <row r="6199" spans="1:6" x14ac:dyDescent="0.25">
      <c r="A6199" s="1">
        <v>40575</v>
      </c>
      <c r="B6199" t="s">
        <v>22</v>
      </c>
      <c r="C6199" t="s">
        <v>6</v>
      </c>
      <c r="D6199">
        <v>11</v>
      </c>
      <c r="E6199" s="2">
        <v>1.1643518518518518E-2</v>
      </c>
      <c r="F6199">
        <v>16.766666666666666</v>
      </c>
    </row>
    <row r="6200" spans="1:6" x14ac:dyDescent="0.25">
      <c r="A6200" s="1">
        <v>40575</v>
      </c>
      <c r="B6200" t="s">
        <v>22</v>
      </c>
      <c r="C6200" t="s">
        <v>7</v>
      </c>
      <c r="D6200">
        <v>5</v>
      </c>
      <c r="E6200" s="2">
        <v>5.6712962962962967E-3</v>
      </c>
      <c r="F6200">
        <v>8.1666666666666661</v>
      </c>
    </row>
    <row r="6201" spans="1:6" x14ac:dyDescent="0.25">
      <c r="A6201" s="1">
        <v>40575</v>
      </c>
      <c r="B6201" t="s">
        <v>22</v>
      </c>
      <c r="C6201" t="s">
        <v>8</v>
      </c>
      <c r="D6201">
        <v>8</v>
      </c>
      <c r="E6201" s="2">
        <v>8.0208333333333329E-3</v>
      </c>
      <c r="F6201">
        <v>11.55</v>
      </c>
    </row>
    <row r="6202" spans="1:6" x14ac:dyDescent="0.25">
      <c r="A6202" s="1">
        <v>40575</v>
      </c>
      <c r="B6202" t="s">
        <v>22</v>
      </c>
      <c r="C6202" t="s">
        <v>9</v>
      </c>
      <c r="D6202">
        <v>5</v>
      </c>
      <c r="E6202" s="2">
        <v>3.2407407407407406E-3</v>
      </c>
      <c r="F6202">
        <v>4.666666666666667</v>
      </c>
    </row>
    <row r="6203" spans="1:6" x14ac:dyDescent="0.25">
      <c r="A6203" s="1">
        <v>40575</v>
      </c>
      <c r="B6203" t="s">
        <v>22</v>
      </c>
      <c r="C6203" t="s">
        <v>10</v>
      </c>
      <c r="D6203">
        <v>3</v>
      </c>
      <c r="E6203" s="2">
        <v>4.43287037037037E-3</v>
      </c>
      <c r="F6203">
        <v>6.3833333333333337</v>
      </c>
    </row>
    <row r="6204" spans="1:6" x14ac:dyDescent="0.25">
      <c r="A6204" s="1">
        <v>40575</v>
      </c>
      <c r="B6204" t="s">
        <v>22</v>
      </c>
      <c r="C6204" t="s">
        <v>11</v>
      </c>
      <c r="D6204">
        <v>9</v>
      </c>
      <c r="E6204" s="2">
        <v>8.5069444444444437E-3</v>
      </c>
      <c r="F6204">
        <v>12.25</v>
      </c>
    </row>
    <row r="6205" spans="1:6" x14ac:dyDescent="0.25">
      <c r="A6205" s="1">
        <v>40575</v>
      </c>
      <c r="B6205" t="s">
        <v>23</v>
      </c>
      <c r="C6205" t="s">
        <v>6</v>
      </c>
      <c r="D6205">
        <v>78</v>
      </c>
      <c r="E6205" s="2">
        <v>9.3796296296296294E-2</v>
      </c>
      <c r="F6205">
        <v>135.06666666666666</v>
      </c>
    </row>
    <row r="6206" spans="1:6" x14ac:dyDescent="0.25">
      <c r="A6206" s="1">
        <v>40575</v>
      </c>
      <c r="B6206" t="s">
        <v>23</v>
      </c>
      <c r="C6206" t="s">
        <v>7</v>
      </c>
      <c r="D6206">
        <v>52</v>
      </c>
      <c r="E6206" s="2">
        <v>5.9363425925925924E-2</v>
      </c>
      <c r="F6206">
        <v>85.483333333333334</v>
      </c>
    </row>
    <row r="6207" spans="1:6" x14ac:dyDescent="0.25">
      <c r="A6207" s="1">
        <v>40575</v>
      </c>
      <c r="B6207" t="s">
        <v>23</v>
      </c>
      <c r="C6207" t="s">
        <v>8</v>
      </c>
      <c r="D6207">
        <v>50</v>
      </c>
      <c r="E6207" s="2">
        <v>6.5798611111111113E-2</v>
      </c>
      <c r="F6207">
        <v>94.75</v>
      </c>
    </row>
    <row r="6208" spans="1:6" x14ac:dyDescent="0.25">
      <c r="A6208" s="1">
        <v>40575</v>
      </c>
      <c r="B6208" t="s">
        <v>23</v>
      </c>
      <c r="C6208" t="s">
        <v>9</v>
      </c>
      <c r="D6208">
        <v>33</v>
      </c>
      <c r="E6208" s="2">
        <v>2.0057870370370372E-2</v>
      </c>
      <c r="F6208">
        <v>28.883333333333333</v>
      </c>
    </row>
    <row r="6209" spans="1:6" x14ac:dyDescent="0.25">
      <c r="A6209" s="1">
        <v>40575</v>
      </c>
      <c r="B6209" t="s">
        <v>23</v>
      </c>
      <c r="C6209" t="s">
        <v>10</v>
      </c>
      <c r="D6209">
        <v>22</v>
      </c>
      <c r="E6209" s="2">
        <v>2.7546296296296298E-2</v>
      </c>
      <c r="F6209">
        <v>39.666666666666664</v>
      </c>
    </row>
    <row r="6210" spans="1:6" x14ac:dyDescent="0.25">
      <c r="A6210" s="1">
        <v>40575</v>
      </c>
      <c r="B6210" t="s">
        <v>23</v>
      </c>
      <c r="C6210" t="s">
        <v>11</v>
      </c>
      <c r="D6210">
        <v>65</v>
      </c>
      <c r="E6210" s="2">
        <v>6.3275462962962964E-2</v>
      </c>
      <c r="F6210">
        <v>91.11666666666666</v>
      </c>
    </row>
    <row r="6211" spans="1:6" x14ac:dyDescent="0.25">
      <c r="A6211" s="1">
        <v>40575</v>
      </c>
      <c r="B6211" t="s">
        <v>24</v>
      </c>
      <c r="C6211" t="s">
        <v>6</v>
      </c>
      <c r="D6211">
        <v>43</v>
      </c>
      <c r="E6211" s="2">
        <v>4.6469907407407404E-2</v>
      </c>
      <c r="F6211">
        <v>66.916666666666671</v>
      </c>
    </row>
    <row r="6212" spans="1:6" x14ac:dyDescent="0.25">
      <c r="A6212" s="1">
        <v>40575</v>
      </c>
      <c r="B6212" t="s">
        <v>24</v>
      </c>
      <c r="C6212" t="s">
        <v>7</v>
      </c>
      <c r="D6212">
        <v>52</v>
      </c>
      <c r="E6212" s="2">
        <v>4.162037037037037E-2</v>
      </c>
      <c r="F6212">
        <v>59.93333333333333</v>
      </c>
    </row>
    <row r="6213" spans="1:6" x14ac:dyDescent="0.25">
      <c r="A6213" s="1">
        <v>40575</v>
      </c>
      <c r="B6213" t="s">
        <v>24</v>
      </c>
      <c r="C6213" t="s">
        <v>8</v>
      </c>
      <c r="D6213">
        <v>25</v>
      </c>
      <c r="E6213" s="2">
        <v>2.5381944444444443E-2</v>
      </c>
      <c r="F6213">
        <v>36.549999999999997</v>
      </c>
    </row>
    <row r="6214" spans="1:6" x14ac:dyDescent="0.25">
      <c r="A6214" s="1">
        <v>40575</v>
      </c>
      <c r="B6214" t="s">
        <v>24</v>
      </c>
      <c r="C6214" t="s">
        <v>9</v>
      </c>
      <c r="D6214">
        <v>12</v>
      </c>
      <c r="E6214" s="2">
        <v>8.2291666666666659E-3</v>
      </c>
      <c r="F6214">
        <v>11.85</v>
      </c>
    </row>
    <row r="6215" spans="1:6" x14ac:dyDescent="0.25">
      <c r="A6215" s="1">
        <v>40575</v>
      </c>
      <c r="B6215" t="s">
        <v>24</v>
      </c>
      <c r="C6215" t="s">
        <v>10</v>
      </c>
      <c r="D6215">
        <v>0</v>
      </c>
      <c r="E6215" s="2">
        <v>0</v>
      </c>
      <c r="F6215">
        <v>0</v>
      </c>
    </row>
    <row r="6216" spans="1:6" x14ac:dyDescent="0.25">
      <c r="A6216" s="1">
        <v>40575</v>
      </c>
      <c r="B6216" t="s">
        <v>24</v>
      </c>
      <c r="C6216" t="s">
        <v>11</v>
      </c>
      <c r="D6216">
        <v>31</v>
      </c>
      <c r="E6216" s="2">
        <v>2.1134259259259259E-2</v>
      </c>
      <c r="F6216">
        <v>30.433333333333334</v>
      </c>
    </row>
    <row r="6217" spans="1:6" x14ac:dyDescent="0.25">
      <c r="A6217" s="1">
        <v>40603</v>
      </c>
      <c r="B6217" t="s">
        <v>5</v>
      </c>
      <c r="C6217" t="s">
        <v>6</v>
      </c>
      <c r="D6217">
        <v>94</v>
      </c>
      <c r="E6217" s="2">
        <v>9.9548611111111115E-2</v>
      </c>
      <c r="F6217">
        <v>143.35</v>
      </c>
    </row>
    <row r="6218" spans="1:6" x14ac:dyDescent="0.25">
      <c r="A6218" s="1">
        <v>40603</v>
      </c>
      <c r="B6218" t="s">
        <v>5</v>
      </c>
      <c r="C6218" t="s">
        <v>7</v>
      </c>
      <c r="D6218">
        <v>83</v>
      </c>
      <c r="E6218" s="2">
        <v>9.7129629629629635E-2</v>
      </c>
      <c r="F6218">
        <v>139.86666666666667</v>
      </c>
    </row>
    <row r="6219" spans="1:6" x14ac:dyDescent="0.25">
      <c r="A6219" s="1">
        <v>40603</v>
      </c>
      <c r="B6219" t="s">
        <v>5</v>
      </c>
      <c r="C6219" t="s">
        <v>8</v>
      </c>
      <c r="D6219">
        <v>58</v>
      </c>
      <c r="E6219" s="2">
        <v>5.8391203703703702E-2</v>
      </c>
      <c r="F6219">
        <v>84.083333333333329</v>
      </c>
    </row>
    <row r="6220" spans="1:6" x14ac:dyDescent="0.25">
      <c r="A6220" s="1">
        <v>40603</v>
      </c>
      <c r="B6220" t="s">
        <v>5</v>
      </c>
      <c r="C6220" t="s">
        <v>9</v>
      </c>
      <c r="D6220">
        <v>44</v>
      </c>
      <c r="E6220" s="2">
        <v>3.4062500000000002E-2</v>
      </c>
      <c r="F6220">
        <v>49.05</v>
      </c>
    </row>
    <row r="6221" spans="1:6" x14ac:dyDescent="0.25">
      <c r="A6221" s="1">
        <v>40603</v>
      </c>
      <c r="B6221" t="s">
        <v>5</v>
      </c>
      <c r="C6221" t="s">
        <v>10</v>
      </c>
      <c r="D6221">
        <v>16</v>
      </c>
      <c r="E6221" s="2">
        <v>1.8032407407407407E-2</v>
      </c>
      <c r="F6221">
        <v>25.966666666666665</v>
      </c>
    </row>
    <row r="6222" spans="1:6" x14ac:dyDescent="0.25">
      <c r="A6222" s="1">
        <v>40603</v>
      </c>
      <c r="B6222" t="s">
        <v>5</v>
      </c>
      <c r="C6222" t="s">
        <v>11</v>
      </c>
      <c r="D6222">
        <v>77</v>
      </c>
      <c r="E6222" s="2">
        <v>6.5972222222222224E-2</v>
      </c>
      <c r="F6222">
        <v>95</v>
      </c>
    </row>
    <row r="6223" spans="1:6" x14ac:dyDescent="0.25">
      <c r="A6223" s="1">
        <v>40603</v>
      </c>
      <c r="B6223" t="s">
        <v>12</v>
      </c>
      <c r="C6223" t="s">
        <v>6</v>
      </c>
      <c r="D6223">
        <v>59</v>
      </c>
      <c r="E6223" s="2">
        <v>6.7488425925925924E-2</v>
      </c>
      <c r="F6223">
        <v>97.183333333333337</v>
      </c>
    </row>
    <row r="6224" spans="1:6" x14ac:dyDescent="0.25">
      <c r="A6224" s="1">
        <v>40603</v>
      </c>
      <c r="B6224" t="s">
        <v>12</v>
      </c>
      <c r="C6224" t="s">
        <v>7</v>
      </c>
      <c r="D6224">
        <v>45</v>
      </c>
      <c r="E6224" s="2">
        <v>6.0231481481481483E-2</v>
      </c>
      <c r="F6224">
        <v>86.733333333333334</v>
      </c>
    </row>
    <row r="6225" spans="1:6" x14ac:dyDescent="0.25">
      <c r="A6225" s="1">
        <v>40603</v>
      </c>
      <c r="B6225" t="s">
        <v>12</v>
      </c>
      <c r="C6225" t="s">
        <v>8</v>
      </c>
      <c r="D6225">
        <v>22</v>
      </c>
      <c r="E6225" s="2">
        <v>2.5046296296296296E-2</v>
      </c>
      <c r="F6225">
        <v>36.06666666666667</v>
      </c>
    </row>
    <row r="6226" spans="1:6" x14ac:dyDescent="0.25">
      <c r="A6226" s="1">
        <v>40603</v>
      </c>
      <c r="B6226" t="s">
        <v>12</v>
      </c>
      <c r="C6226" t="s">
        <v>9</v>
      </c>
      <c r="D6226">
        <v>4</v>
      </c>
      <c r="E6226" s="2">
        <v>3.1944444444444446E-3</v>
      </c>
      <c r="F6226">
        <v>4.5999999999999996</v>
      </c>
    </row>
    <row r="6227" spans="1:6" x14ac:dyDescent="0.25">
      <c r="A6227" s="1">
        <v>40603</v>
      </c>
      <c r="B6227" t="s">
        <v>12</v>
      </c>
      <c r="C6227" t="s">
        <v>10</v>
      </c>
      <c r="D6227">
        <v>79</v>
      </c>
      <c r="E6227" s="2">
        <v>0.13625000000000001</v>
      </c>
      <c r="F6227">
        <v>196.2</v>
      </c>
    </row>
    <row r="6228" spans="1:6" x14ac:dyDescent="0.25">
      <c r="A6228" s="1">
        <v>40603</v>
      </c>
      <c r="B6228" t="s">
        <v>12</v>
      </c>
      <c r="C6228" t="s">
        <v>11</v>
      </c>
      <c r="D6228">
        <v>50</v>
      </c>
      <c r="E6228" s="2">
        <v>4.5960648148148146E-2</v>
      </c>
      <c r="F6228">
        <v>66.183333333333337</v>
      </c>
    </row>
    <row r="6229" spans="1:6" x14ac:dyDescent="0.25">
      <c r="A6229" s="1">
        <v>40603</v>
      </c>
      <c r="B6229" t="s">
        <v>13</v>
      </c>
      <c r="C6229" t="s">
        <v>6</v>
      </c>
      <c r="D6229">
        <v>62</v>
      </c>
      <c r="E6229" s="2">
        <v>6.7187499999999997E-2</v>
      </c>
      <c r="F6229">
        <v>96.75</v>
      </c>
    </row>
    <row r="6230" spans="1:6" x14ac:dyDescent="0.25">
      <c r="A6230" s="1">
        <v>40603</v>
      </c>
      <c r="B6230" t="s">
        <v>13</v>
      </c>
      <c r="C6230" t="s">
        <v>7</v>
      </c>
      <c r="D6230">
        <v>37</v>
      </c>
      <c r="E6230" s="2">
        <v>4.2048611111111113E-2</v>
      </c>
      <c r="F6230">
        <v>60.55</v>
      </c>
    </row>
    <row r="6231" spans="1:6" x14ac:dyDescent="0.25">
      <c r="A6231" s="1">
        <v>40603</v>
      </c>
      <c r="B6231" t="s">
        <v>13</v>
      </c>
      <c r="C6231" t="s">
        <v>8</v>
      </c>
      <c r="D6231">
        <v>29</v>
      </c>
      <c r="E6231" s="2">
        <v>3.3958333333333333E-2</v>
      </c>
      <c r="F6231">
        <v>48.9</v>
      </c>
    </row>
    <row r="6232" spans="1:6" x14ac:dyDescent="0.25">
      <c r="A6232" s="1">
        <v>40603</v>
      </c>
      <c r="B6232" t="s">
        <v>13</v>
      </c>
      <c r="C6232" t="s">
        <v>9</v>
      </c>
      <c r="D6232">
        <v>21</v>
      </c>
      <c r="E6232" s="2">
        <v>1.5590277777777778E-2</v>
      </c>
      <c r="F6232">
        <v>22.45</v>
      </c>
    </row>
    <row r="6233" spans="1:6" x14ac:dyDescent="0.25">
      <c r="A6233" s="1">
        <v>40603</v>
      </c>
      <c r="B6233" t="s">
        <v>13</v>
      </c>
      <c r="C6233" t="s">
        <v>10</v>
      </c>
      <c r="D6233">
        <v>7</v>
      </c>
      <c r="E6233" s="2">
        <v>1.1747685185185186E-2</v>
      </c>
      <c r="F6233">
        <v>16.916666666666668</v>
      </c>
    </row>
    <row r="6234" spans="1:6" x14ac:dyDescent="0.25">
      <c r="A6234" s="1">
        <v>40603</v>
      </c>
      <c r="B6234" t="s">
        <v>13</v>
      </c>
      <c r="C6234" t="s">
        <v>11</v>
      </c>
      <c r="D6234">
        <v>39</v>
      </c>
      <c r="E6234" s="2">
        <v>3.1828703703703706E-2</v>
      </c>
      <c r="F6234">
        <v>45.833333333333336</v>
      </c>
    </row>
    <row r="6235" spans="1:6" x14ac:dyDescent="0.25">
      <c r="A6235" s="1">
        <v>40603</v>
      </c>
      <c r="B6235" t="s">
        <v>14</v>
      </c>
      <c r="C6235" t="s">
        <v>6</v>
      </c>
      <c r="D6235">
        <v>9</v>
      </c>
      <c r="E6235" s="2">
        <v>9.8842592592592593E-3</v>
      </c>
      <c r="F6235">
        <v>14.233333333333333</v>
      </c>
    </row>
    <row r="6236" spans="1:6" x14ac:dyDescent="0.25">
      <c r="A6236" s="1">
        <v>40603</v>
      </c>
      <c r="B6236" t="s">
        <v>14</v>
      </c>
      <c r="C6236" t="s">
        <v>7</v>
      </c>
      <c r="D6236">
        <v>11</v>
      </c>
      <c r="E6236" s="2">
        <v>1.7187500000000001E-2</v>
      </c>
      <c r="F6236">
        <v>24.75</v>
      </c>
    </row>
    <row r="6237" spans="1:6" x14ac:dyDescent="0.25">
      <c r="A6237" s="1">
        <v>40603</v>
      </c>
      <c r="B6237" t="s">
        <v>14</v>
      </c>
      <c r="C6237" t="s">
        <v>8</v>
      </c>
      <c r="D6237">
        <v>5</v>
      </c>
      <c r="E6237" s="2">
        <v>8.5069444444444437E-3</v>
      </c>
      <c r="F6237">
        <v>12.25</v>
      </c>
    </row>
    <row r="6238" spans="1:6" x14ac:dyDescent="0.25">
      <c r="A6238" s="1">
        <v>40603</v>
      </c>
      <c r="B6238" t="s">
        <v>14</v>
      </c>
      <c r="C6238" t="s">
        <v>9</v>
      </c>
      <c r="D6238">
        <v>3</v>
      </c>
      <c r="E6238" s="2">
        <v>2.3148148148148147E-3</v>
      </c>
      <c r="F6238">
        <v>3.3333333333333335</v>
      </c>
    </row>
    <row r="6239" spans="1:6" x14ac:dyDescent="0.25">
      <c r="A6239" s="1">
        <v>40603</v>
      </c>
      <c r="B6239" t="s">
        <v>14</v>
      </c>
      <c r="C6239" t="s">
        <v>10</v>
      </c>
      <c r="D6239">
        <v>1</v>
      </c>
      <c r="E6239" s="2">
        <v>1.9212962962962964E-3</v>
      </c>
      <c r="F6239">
        <v>2.7666666666666666</v>
      </c>
    </row>
    <row r="6240" spans="1:6" x14ac:dyDescent="0.25">
      <c r="A6240" s="1">
        <v>40603</v>
      </c>
      <c r="B6240" t="s">
        <v>14</v>
      </c>
      <c r="C6240" t="s">
        <v>11</v>
      </c>
      <c r="D6240">
        <v>9</v>
      </c>
      <c r="E6240" s="2">
        <v>1.0891203703703703E-2</v>
      </c>
      <c r="F6240">
        <v>15.683333333333334</v>
      </c>
    </row>
    <row r="6241" spans="1:6" x14ac:dyDescent="0.25">
      <c r="A6241" s="1">
        <v>40603</v>
      </c>
      <c r="B6241" t="s">
        <v>15</v>
      </c>
      <c r="C6241" t="s">
        <v>6</v>
      </c>
      <c r="D6241">
        <v>120</v>
      </c>
      <c r="E6241" s="2">
        <v>0.13355324074074074</v>
      </c>
      <c r="F6241">
        <v>192.31666666666666</v>
      </c>
    </row>
    <row r="6242" spans="1:6" x14ac:dyDescent="0.25">
      <c r="A6242" s="1">
        <v>40603</v>
      </c>
      <c r="B6242" t="s">
        <v>15</v>
      </c>
      <c r="C6242" t="s">
        <v>7</v>
      </c>
      <c r="D6242">
        <v>121</v>
      </c>
      <c r="E6242" s="2">
        <v>0.12538194444444445</v>
      </c>
      <c r="F6242">
        <v>180.55</v>
      </c>
    </row>
    <row r="6243" spans="1:6" x14ac:dyDescent="0.25">
      <c r="A6243" s="1">
        <v>40603</v>
      </c>
      <c r="B6243" t="s">
        <v>15</v>
      </c>
      <c r="C6243" t="s">
        <v>8</v>
      </c>
      <c r="D6243">
        <v>69</v>
      </c>
      <c r="E6243" s="2">
        <v>7.615740740740741E-2</v>
      </c>
      <c r="F6243">
        <v>109.66666666666667</v>
      </c>
    </row>
    <row r="6244" spans="1:6" x14ac:dyDescent="0.25">
      <c r="A6244" s="1">
        <v>40603</v>
      </c>
      <c r="B6244" t="s">
        <v>15</v>
      </c>
      <c r="C6244" t="s">
        <v>9</v>
      </c>
      <c r="D6244">
        <v>28</v>
      </c>
      <c r="E6244" s="2">
        <v>2.2060185185185186E-2</v>
      </c>
      <c r="F6244">
        <v>31.766666666666666</v>
      </c>
    </row>
    <row r="6245" spans="1:6" x14ac:dyDescent="0.25">
      <c r="A6245" s="1">
        <v>40603</v>
      </c>
      <c r="B6245" t="s">
        <v>15</v>
      </c>
      <c r="C6245" t="s">
        <v>10</v>
      </c>
      <c r="D6245">
        <v>48</v>
      </c>
      <c r="E6245" s="2">
        <v>7.255787037037037E-2</v>
      </c>
      <c r="F6245">
        <v>104.48333333333333</v>
      </c>
    </row>
    <row r="6246" spans="1:6" x14ac:dyDescent="0.25">
      <c r="A6246" s="1">
        <v>40603</v>
      </c>
      <c r="B6246" t="s">
        <v>15</v>
      </c>
      <c r="C6246" t="s">
        <v>11</v>
      </c>
      <c r="D6246">
        <v>80</v>
      </c>
      <c r="E6246" s="2">
        <v>6.5173611111111113E-2</v>
      </c>
      <c r="F6246">
        <v>93.85</v>
      </c>
    </row>
    <row r="6247" spans="1:6" x14ac:dyDescent="0.25">
      <c r="A6247" s="1">
        <v>40603</v>
      </c>
      <c r="B6247" t="s">
        <v>16</v>
      </c>
      <c r="C6247" t="s">
        <v>6</v>
      </c>
      <c r="D6247">
        <v>30</v>
      </c>
      <c r="E6247" s="2">
        <v>2.5185185185185185E-2</v>
      </c>
      <c r="F6247">
        <v>36.266666666666666</v>
      </c>
    </row>
    <row r="6248" spans="1:6" x14ac:dyDescent="0.25">
      <c r="A6248" s="1">
        <v>40603</v>
      </c>
      <c r="B6248" t="s">
        <v>16</v>
      </c>
      <c r="C6248" t="s">
        <v>7</v>
      </c>
      <c r="D6248">
        <v>36</v>
      </c>
      <c r="E6248" s="2">
        <v>3.2604166666666663E-2</v>
      </c>
      <c r="F6248">
        <v>46.95</v>
      </c>
    </row>
    <row r="6249" spans="1:6" x14ac:dyDescent="0.25">
      <c r="A6249" s="1">
        <v>40603</v>
      </c>
      <c r="B6249" t="s">
        <v>16</v>
      </c>
      <c r="C6249" t="s">
        <v>8</v>
      </c>
      <c r="D6249">
        <v>30</v>
      </c>
      <c r="E6249" s="2">
        <v>2.3715277777777776E-2</v>
      </c>
      <c r="F6249">
        <v>34.15</v>
      </c>
    </row>
    <row r="6250" spans="1:6" x14ac:dyDescent="0.25">
      <c r="A6250" s="1">
        <v>40603</v>
      </c>
      <c r="B6250" t="s">
        <v>16</v>
      </c>
      <c r="C6250" t="s">
        <v>9</v>
      </c>
      <c r="D6250">
        <v>14</v>
      </c>
      <c r="E6250" s="2">
        <v>9.7222222222222224E-3</v>
      </c>
      <c r="F6250">
        <v>14</v>
      </c>
    </row>
    <row r="6251" spans="1:6" x14ac:dyDescent="0.25">
      <c r="A6251" s="1">
        <v>40603</v>
      </c>
      <c r="B6251" t="s">
        <v>16</v>
      </c>
      <c r="C6251" t="s">
        <v>10</v>
      </c>
      <c r="D6251">
        <v>1</v>
      </c>
      <c r="E6251" s="2">
        <v>1.7708333333333332E-3</v>
      </c>
      <c r="F6251">
        <v>2.5499999999999998</v>
      </c>
    </row>
    <row r="6252" spans="1:6" x14ac:dyDescent="0.25">
      <c r="A6252" s="1">
        <v>40603</v>
      </c>
      <c r="B6252" t="s">
        <v>16</v>
      </c>
      <c r="C6252" t="s">
        <v>11</v>
      </c>
      <c r="D6252">
        <v>41</v>
      </c>
      <c r="E6252" s="2">
        <v>3.2546296296296295E-2</v>
      </c>
      <c r="F6252">
        <v>46.866666666666667</v>
      </c>
    </row>
    <row r="6253" spans="1:6" x14ac:dyDescent="0.25">
      <c r="A6253" s="1">
        <v>40603</v>
      </c>
      <c r="B6253" t="s">
        <v>17</v>
      </c>
      <c r="C6253" t="s">
        <v>6</v>
      </c>
      <c r="D6253">
        <v>15</v>
      </c>
      <c r="E6253" s="2">
        <v>1.8136574074074076E-2</v>
      </c>
      <c r="F6253">
        <v>26.116666666666667</v>
      </c>
    </row>
    <row r="6254" spans="1:6" x14ac:dyDescent="0.25">
      <c r="A6254" s="1">
        <v>40603</v>
      </c>
      <c r="B6254" t="s">
        <v>17</v>
      </c>
      <c r="C6254" t="s">
        <v>7</v>
      </c>
      <c r="D6254">
        <v>12</v>
      </c>
      <c r="E6254" s="2">
        <v>1.4502314814814815E-2</v>
      </c>
      <c r="F6254">
        <v>20.883333333333333</v>
      </c>
    </row>
    <row r="6255" spans="1:6" x14ac:dyDescent="0.25">
      <c r="A6255" s="1">
        <v>40603</v>
      </c>
      <c r="B6255" t="s">
        <v>17</v>
      </c>
      <c r="C6255" t="s">
        <v>8</v>
      </c>
      <c r="D6255">
        <v>10</v>
      </c>
      <c r="E6255" s="2">
        <v>1.3645833333333333E-2</v>
      </c>
      <c r="F6255">
        <v>19.649999999999999</v>
      </c>
    </row>
    <row r="6256" spans="1:6" x14ac:dyDescent="0.25">
      <c r="A6256" s="1">
        <v>40603</v>
      </c>
      <c r="B6256" t="s">
        <v>17</v>
      </c>
      <c r="C6256" t="s">
        <v>9</v>
      </c>
      <c r="D6256">
        <v>3</v>
      </c>
      <c r="E6256" s="2">
        <v>2.4189814814814816E-3</v>
      </c>
      <c r="F6256">
        <v>3.4833333333333334</v>
      </c>
    </row>
    <row r="6257" spans="1:6" x14ac:dyDescent="0.25">
      <c r="A6257" s="1">
        <v>40603</v>
      </c>
      <c r="B6257" t="s">
        <v>17</v>
      </c>
      <c r="C6257" t="s">
        <v>10</v>
      </c>
      <c r="D6257">
        <v>4</v>
      </c>
      <c r="E6257" s="2">
        <v>7.037037037037037E-3</v>
      </c>
      <c r="F6257">
        <v>10.133333333333333</v>
      </c>
    </row>
    <row r="6258" spans="1:6" x14ac:dyDescent="0.25">
      <c r="A6258" s="1">
        <v>40603</v>
      </c>
      <c r="B6258" t="s">
        <v>17</v>
      </c>
      <c r="C6258" t="s">
        <v>11</v>
      </c>
      <c r="D6258">
        <v>7</v>
      </c>
      <c r="E6258" s="2">
        <v>7.858796296296296E-3</v>
      </c>
      <c r="F6258">
        <v>11.316666666666666</v>
      </c>
    </row>
    <row r="6259" spans="1:6" x14ac:dyDescent="0.25">
      <c r="A6259" s="1">
        <v>40603</v>
      </c>
      <c r="B6259" t="s">
        <v>18</v>
      </c>
      <c r="C6259" t="s">
        <v>6</v>
      </c>
      <c r="D6259">
        <v>179</v>
      </c>
      <c r="E6259" s="2">
        <v>0.17539351851851853</v>
      </c>
      <c r="F6259">
        <v>252.56666666666666</v>
      </c>
    </row>
    <row r="6260" spans="1:6" x14ac:dyDescent="0.25">
      <c r="A6260" s="1">
        <v>40603</v>
      </c>
      <c r="B6260" t="s">
        <v>18</v>
      </c>
      <c r="C6260" t="s">
        <v>7</v>
      </c>
      <c r="D6260">
        <v>218</v>
      </c>
      <c r="E6260" s="2">
        <v>0.18289351851851851</v>
      </c>
      <c r="F6260">
        <v>263.36666666666667</v>
      </c>
    </row>
    <row r="6261" spans="1:6" x14ac:dyDescent="0.25">
      <c r="A6261" s="1">
        <v>40603</v>
      </c>
      <c r="B6261" t="s">
        <v>18</v>
      </c>
      <c r="C6261" t="s">
        <v>8</v>
      </c>
      <c r="D6261">
        <v>142</v>
      </c>
      <c r="E6261" s="2">
        <v>0.12087962962962963</v>
      </c>
      <c r="F6261">
        <v>174.06666666666666</v>
      </c>
    </row>
    <row r="6262" spans="1:6" x14ac:dyDescent="0.25">
      <c r="A6262" s="1">
        <v>40603</v>
      </c>
      <c r="B6262" t="s">
        <v>18</v>
      </c>
      <c r="C6262" t="s">
        <v>9</v>
      </c>
      <c r="D6262">
        <v>105</v>
      </c>
      <c r="E6262" s="2">
        <v>6.6192129629629629E-2</v>
      </c>
      <c r="F6262">
        <v>95.316666666666663</v>
      </c>
    </row>
    <row r="6263" spans="1:6" x14ac:dyDescent="0.25">
      <c r="A6263" s="1">
        <v>40603</v>
      </c>
      <c r="B6263" t="s">
        <v>18</v>
      </c>
      <c r="C6263" t="s">
        <v>10</v>
      </c>
      <c r="D6263">
        <v>193</v>
      </c>
      <c r="E6263" s="2">
        <v>0.22226851851851853</v>
      </c>
      <c r="F6263">
        <v>320.06666666666666</v>
      </c>
    </row>
    <row r="6264" spans="1:6" x14ac:dyDescent="0.25">
      <c r="A6264" s="1">
        <v>40603</v>
      </c>
      <c r="B6264" t="s">
        <v>18</v>
      </c>
      <c r="C6264" t="s">
        <v>11</v>
      </c>
      <c r="D6264">
        <v>97</v>
      </c>
      <c r="E6264" s="2">
        <v>6.4768518518518517E-2</v>
      </c>
      <c r="F6264">
        <v>93.266666666666666</v>
      </c>
    </row>
    <row r="6265" spans="1:6" x14ac:dyDescent="0.25">
      <c r="A6265" s="1">
        <v>40603</v>
      </c>
      <c r="B6265" t="s">
        <v>19</v>
      </c>
      <c r="C6265" t="s">
        <v>6</v>
      </c>
      <c r="D6265">
        <v>19</v>
      </c>
      <c r="E6265" s="2">
        <v>1.7986111111111112E-2</v>
      </c>
      <c r="F6265">
        <v>25.9</v>
      </c>
    </row>
    <row r="6266" spans="1:6" x14ac:dyDescent="0.25">
      <c r="A6266" s="1">
        <v>40603</v>
      </c>
      <c r="B6266" t="s">
        <v>19</v>
      </c>
      <c r="C6266" t="s">
        <v>7</v>
      </c>
      <c r="D6266">
        <v>24</v>
      </c>
      <c r="E6266" s="2">
        <v>2.388888888888889E-2</v>
      </c>
      <c r="F6266">
        <v>34.4</v>
      </c>
    </row>
    <row r="6267" spans="1:6" x14ac:dyDescent="0.25">
      <c r="A6267" s="1">
        <v>40603</v>
      </c>
      <c r="B6267" t="s">
        <v>19</v>
      </c>
      <c r="C6267" t="s">
        <v>8</v>
      </c>
      <c r="D6267">
        <v>22</v>
      </c>
      <c r="E6267" s="2">
        <v>2.1342592592592594E-2</v>
      </c>
      <c r="F6267">
        <v>30.733333333333334</v>
      </c>
    </row>
    <row r="6268" spans="1:6" x14ac:dyDescent="0.25">
      <c r="A6268" s="1">
        <v>40603</v>
      </c>
      <c r="B6268" t="s">
        <v>19</v>
      </c>
      <c r="C6268" t="s">
        <v>9</v>
      </c>
      <c r="D6268">
        <v>19</v>
      </c>
      <c r="E6268" s="2">
        <v>1.4641203703703703E-2</v>
      </c>
      <c r="F6268">
        <v>21.083333333333332</v>
      </c>
    </row>
    <row r="6269" spans="1:6" x14ac:dyDescent="0.25">
      <c r="A6269" s="1">
        <v>40603</v>
      </c>
      <c r="B6269" t="s">
        <v>19</v>
      </c>
      <c r="C6269" t="s">
        <v>10</v>
      </c>
      <c r="D6269">
        <v>9</v>
      </c>
      <c r="E6269" s="2">
        <v>9.7222222222222224E-3</v>
      </c>
      <c r="F6269">
        <v>14</v>
      </c>
    </row>
    <row r="6270" spans="1:6" x14ac:dyDescent="0.25">
      <c r="A6270" s="1">
        <v>40603</v>
      </c>
      <c r="B6270" t="s">
        <v>19</v>
      </c>
      <c r="C6270" t="s">
        <v>11</v>
      </c>
      <c r="D6270">
        <v>27</v>
      </c>
      <c r="E6270" s="2">
        <v>2.0497685185185185E-2</v>
      </c>
      <c r="F6270">
        <v>29.516666666666666</v>
      </c>
    </row>
    <row r="6271" spans="1:6" x14ac:dyDescent="0.25">
      <c r="A6271" s="1">
        <v>40603</v>
      </c>
      <c r="B6271" t="s">
        <v>20</v>
      </c>
      <c r="C6271" t="s">
        <v>6</v>
      </c>
      <c r="D6271">
        <v>77</v>
      </c>
      <c r="E6271" s="2">
        <v>8.2812499999999997E-2</v>
      </c>
      <c r="F6271">
        <v>119.25</v>
      </c>
    </row>
    <row r="6272" spans="1:6" x14ac:dyDescent="0.25">
      <c r="A6272" s="1">
        <v>40603</v>
      </c>
      <c r="B6272" t="s">
        <v>20</v>
      </c>
      <c r="C6272" t="s">
        <v>7</v>
      </c>
      <c r="D6272">
        <v>123</v>
      </c>
      <c r="E6272" s="2">
        <v>0.11377314814814815</v>
      </c>
      <c r="F6272">
        <v>163.83333333333334</v>
      </c>
    </row>
    <row r="6273" spans="1:6" x14ac:dyDescent="0.25">
      <c r="A6273" s="1">
        <v>40603</v>
      </c>
      <c r="B6273" t="s">
        <v>20</v>
      </c>
      <c r="C6273" t="s">
        <v>8</v>
      </c>
      <c r="D6273">
        <v>83</v>
      </c>
      <c r="E6273" s="2">
        <v>7.526620370370371E-2</v>
      </c>
      <c r="F6273">
        <v>108.38333333333334</v>
      </c>
    </row>
    <row r="6274" spans="1:6" x14ac:dyDescent="0.25">
      <c r="A6274" s="1">
        <v>40603</v>
      </c>
      <c r="B6274" t="s">
        <v>20</v>
      </c>
      <c r="C6274" t="s">
        <v>9</v>
      </c>
      <c r="D6274">
        <v>29</v>
      </c>
      <c r="E6274" s="2">
        <v>2.1585648148148149E-2</v>
      </c>
      <c r="F6274">
        <v>31.083333333333332</v>
      </c>
    </row>
    <row r="6275" spans="1:6" x14ac:dyDescent="0.25">
      <c r="A6275" s="1">
        <v>40603</v>
      </c>
      <c r="B6275" t="s">
        <v>20</v>
      </c>
      <c r="C6275" t="s">
        <v>10</v>
      </c>
      <c r="D6275">
        <v>8</v>
      </c>
      <c r="E6275" s="2">
        <v>9.6412037037037039E-3</v>
      </c>
      <c r="F6275">
        <v>13.883333333333333</v>
      </c>
    </row>
    <row r="6276" spans="1:6" x14ac:dyDescent="0.25">
      <c r="A6276" s="1">
        <v>40603</v>
      </c>
      <c r="B6276" t="s">
        <v>20</v>
      </c>
      <c r="C6276" t="s">
        <v>11</v>
      </c>
      <c r="D6276">
        <v>47</v>
      </c>
      <c r="E6276" s="2">
        <v>3.3622685185185186E-2</v>
      </c>
      <c r="F6276">
        <v>48.416666666666664</v>
      </c>
    </row>
    <row r="6277" spans="1:6" x14ac:dyDescent="0.25">
      <c r="A6277" s="1">
        <v>40603</v>
      </c>
      <c r="B6277" t="s">
        <v>21</v>
      </c>
      <c r="C6277" t="s">
        <v>6</v>
      </c>
      <c r="D6277">
        <v>31</v>
      </c>
      <c r="E6277" s="2">
        <v>4.6192129629629632E-2</v>
      </c>
      <c r="F6277">
        <v>66.516666666666666</v>
      </c>
    </row>
    <row r="6278" spans="1:6" x14ac:dyDescent="0.25">
      <c r="A6278" s="1">
        <v>40603</v>
      </c>
      <c r="B6278" t="s">
        <v>21</v>
      </c>
      <c r="C6278" t="s">
        <v>7</v>
      </c>
      <c r="D6278">
        <v>11</v>
      </c>
      <c r="E6278" s="2">
        <v>1.2789351851851852E-2</v>
      </c>
      <c r="F6278">
        <v>18.416666666666668</v>
      </c>
    </row>
    <row r="6279" spans="1:6" x14ac:dyDescent="0.25">
      <c r="A6279" s="1">
        <v>40603</v>
      </c>
      <c r="B6279" t="s">
        <v>21</v>
      </c>
      <c r="C6279" t="s">
        <v>8</v>
      </c>
      <c r="D6279">
        <v>21</v>
      </c>
      <c r="E6279" s="2">
        <v>2.9513888888888888E-2</v>
      </c>
      <c r="F6279">
        <v>42.5</v>
      </c>
    </row>
    <row r="6280" spans="1:6" x14ac:dyDescent="0.25">
      <c r="A6280" s="1">
        <v>40603</v>
      </c>
      <c r="B6280" t="s">
        <v>21</v>
      </c>
      <c r="C6280" t="s">
        <v>9</v>
      </c>
      <c r="D6280">
        <v>9</v>
      </c>
      <c r="E6280" s="2">
        <v>6.5162037037037037E-3</v>
      </c>
      <c r="F6280">
        <v>9.3833333333333329</v>
      </c>
    </row>
    <row r="6281" spans="1:6" x14ac:dyDescent="0.25">
      <c r="A6281" s="1">
        <v>40603</v>
      </c>
      <c r="B6281" t="s">
        <v>21</v>
      </c>
      <c r="C6281" t="s">
        <v>10</v>
      </c>
      <c r="D6281">
        <v>0</v>
      </c>
      <c r="E6281" s="2">
        <v>0</v>
      </c>
      <c r="F6281">
        <v>0</v>
      </c>
    </row>
    <row r="6282" spans="1:6" x14ac:dyDescent="0.25">
      <c r="A6282" s="1">
        <v>40603</v>
      </c>
      <c r="B6282" t="s">
        <v>21</v>
      </c>
      <c r="C6282" t="s">
        <v>11</v>
      </c>
      <c r="D6282">
        <v>18</v>
      </c>
      <c r="E6282" s="2">
        <v>1.5740740740740739E-2</v>
      </c>
      <c r="F6282">
        <v>22.666666666666668</v>
      </c>
    </row>
    <row r="6283" spans="1:6" x14ac:dyDescent="0.25">
      <c r="A6283" s="1">
        <v>40603</v>
      </c>
      <c r="B6283" t="s">
        <v>22</v>
      </c>
      <c r="C6283" t="s">
        <v>6</v>
      </c>
      <c r="D6283">
        <v>7</v>
      </c>
      <c r="E6283" s="2">
        <v>7.4884259259259262E-3</v>
      </c>
      <c r="F6283">
        <v>10.783333333333333</v>
      </c>
    </row>
    <row r="6284" spans="1:6" x14ac:dyDescent="0.25">
      <c r="A6284" s="1">
        <v>40603</v>
      </c>
      <c r="B6284" t="s">
        <v>22</v>
      </c>
      <c r="C6284" t="s">
        <v>7</v>
      </c>
      <c r="D6284">
        <v>13</v>
      </c>
      <c r="E6284" s="2">
        <v>1.8981481481481481E-2</v>
      </c>
      <c r="F6284">
        <v>27.333333333333332</v>
      </c>
    </row>
    <row r="6285" spans="1:6" x14ac:dyDescent="0.25">
      <c r="A6285" s="1">
        <v>40603</v>
      </c>
      <c r="B6285" t="s">
        <v>22</v>
      </c>
      <c r="C6285" t="s">
        <v>8</v>
      </c>
      <c r="D6285">
        <v>7</v>
      </c>
      <c r="E6285" s="2">
        <v>8.472222222222223E-3</v>
      </c>
      <c r="F6285">
        <v>12.2</v>
      </c>
    </row>
    <row r="6286" spans="1:6" x14ac:dyDescent="0.25">
      <c r="A6286" s="1">
        <v>40603</v>
      </c>
      <c r="B6286" t="s">
        <v>22</v>
      </c>
      <c r="C6286" t="s">
        <v>9</v>
      </c>
      <c r="D6286">
        <v>2</v>
      </c>
      <c r="E6286" s="2">
        <v>8.4490740740740739E-4</v>
      </c>
      <c r="F6286">
        <v>1.2166666666666668</v>
      </c>
    </row>
    <row r="6287" spans="1:6" x14ac:dyDescent="0.25">
      <c r="A6287" s="1">
        <v>40603</v>
      </c>
      <c r="B6287" t="s">
        <v>22</v>
      </c>
      <c r="C6287" t="s">
        <v>10</v>
      </c>
      <c r="D6287">
        <v>7</v>
      </c>
      <c r="E6287" s="2">
        <v>1.0324074074074074E-2</v>
      </c>
      <c r="F6287">
        <v>14.866666666666667</v>
      </c>
    </row>
    <row r="6288" spans="1:6" x14ac:dyDescent="0.25">
      <c r="A6288" s="1">
        <v>40603</v>
      </c>
      <c r="B6288" t="s">
        <v>22</v>
      </c>
      <c r="C6288" t="s">
        <v>11</v>
      </c>
      <c r="D6288">
        <v>9</v>
      </c>
      <c r="E6288" s="2">
        <v>7.3611111111111108E-3</v>
      </c>
      <c r="F6288">
        <v>10.6</v>
      </c>
    </row>
    <row r="6289" spans="1:6" x14ac:dyDescent="0.25">
      <c r="A6289" s="1">
        <v>40603</v>
      </c>
      <c r="B6289" t="s">
        <v>23</v>
      </c>
      <c r="C6289" t="s">
        <v>6</v>
      </c>
      <c r="D6289">
        <v>70</v>
      </c>
      <c r="E6289" s="2">
        <v>7.6851851851851852E-2</v>
      </c>
      <c r="F6289">
        <v>110.66666666666667</v>
      </c>
    </row>
    <row r="6290" spans="1:6" x14ac:dyDescent="0.25">
      <c r="A6290" s="1">
        <v>40603</v>
      </c>
      <c r="B6290" t="s">
        <v>23</v>
      </c>
      <c r="C6290" t="s">
        <v>7</v>
      </c>
      <c r="D6290">
        <v>51</v>
      </c>
      <c r="E6290" s="2">
        <v>6.8483796296296293E-2</v>
      </c>
      <c r="F6290">
        <v>98.61666666666666</v>
      </c>
    </row>
    <row r="6291" spans="1:6" x14ac:dyDescent="0.25">
      <c r="A6291" s="1">
        <v>40603</v>
      </c>
      <c r="B6291" t="s">
        <v>23</v>
      </c>
      <c r="C6291" t="s">
        <v>8</v>
      </c>
      <c r="D6291">
        <v>49</v>
      </c>
      <c r="E6291" s="2">
        <v>5.9930555555555556E-2</v>
      </c>
      <c r="F6291">
        <v>86.3</v>
      </c>
    </row>
    <row r="6292" spans="1:6" x14ac:dyDescent="0.25">
      <c r="A6292" s="1">
        <v>40603</v>
      </c>
      <c r="B6292" t="s">
        <v>23</v>
      </c>
      <c r="C6292" t="s">
        <v>9</v>
      </c>
      <c r="D6292">
        <v>44</v>
      </c>
      <c r="E6292" s="2">
        <v>3.2986111111111112E-2</v>
      </c>
      <c r="F6292">
        <v>47.5</v>
      </c>
    </row>
    <row r="6293" spans="1:6" x14ac:dyDescent="0.25">
      <c r="A6293" s="1">
        <v>40603</v>
      </c>
      <c r="B6293" t="s">
        <v>23</v>
      </c>
      <c r="C6293" t="s">
        <v>10</v>
      </c>
      <c r="D6293">
        <v>14</v>
      </c>
      <c r="E6293" s="2">
        <v>1.7256944444444443E-2</v>
      </c>
      <c r="F6293">
        <v>24.85</v>
      </c>
    </row>
    <row r="6294" spans="1:6" x14ac:dyDescent="0.25">
      <c r="A6294" s="1">
        <v>40603</v>
      </c>
      <c r="B6294" t="s">
        <v>23</v>
      </c>
      <c r="C6294" t="s">
        <v>11</v>
      </c>
      <c r="D6294">
        <v>52</v>
      </c>
      <c r="E6294" s="2">
        <v>4.9641203703703701E-2</v>
      </c>
      <c r="F6294">
        <v>71.483333333333334</v>
      </c>
    </row>
    <row r="6295" spans="1:6" x14ac:dyDescent="0.25">
      <c r="A6295" s="1">
        <v>40603</v>
      </c>
      <c r="B6295" t="s">
        <v>24</v>
      </c>
      <c r="C6295" t="s">
        <v>6</v>
      </c>
      <c r="D6295">
        <v>41</v>
      </c>
      <c r="E6295" s="2">
        <v>3.1435185185185184E-2</v>
      </c>
      <c r="F6295">
        <v>45.266666666666666</v>
      </c>
    </row>
    <row r="6296" spans="1:6" x14ac:dyDescent="0.25">
      <c r="A6296" s="1">
        <v>40603</v>
      </c>
      <c r="B6296" t="s">
        <v>24</v>
      </c>
      <c r="C6296" t="s">
        <v>7</v>
      </c>
      <c r="D6296">
        <v>42</v>
      </c>
      <c r="E6296" s="2">
        <v>2.7314814814814816E-2</v>
      </c>
      <c r="F6296">
        <v>39.333333333333336</v>
      </c>
    </row>
    <row r="6297" spans="1:6" x14ac:dyDescent="0.25">
      <c r="A6297" s="1">
        <v>40603</v>
      </c>
      <c r="B6297" t="s">
        <v>24</v>
      </c>
      <c r="C6297" t="s">
        <v>8</v>
      </c>
      <c r="D6297">
        <v>15</v>
      </c>
      <c r="E6297" s="2">
        <v>1.1458333333333333E-2</v>
      </c>
      <c r="F6297">
        <v>16.5</v>
      </c>
    </row>
    <row r="6298" spans="1:6" x14ac:dyDescent="0.25">
      <c r="A6298" s="1">
        <v>40603</v>
      </c>
      <c r="B6298" t="s">
        <v>24</v>
      </c>
      <c r="C6298" t="s">
        <v>9</v>
      </c>
      <c r="D6298">
        <v>5</v>
      </c>
      <c r="E6298" s="2">
        <v>3.9236111111111112E-3</v>
      </c>
      <c r="F6298">
        <v>5.65</v>
      </c>
    </row>
    <row r="6299" spans="1:6" x14ac:dyDescent="0.25">
      <c r="A6299" s="1">
        <v>40603</v>
      </c>
      <c r="B6299" t="s">
        <v>24</v>
      </c>
      <c r="C6299" t="s">
        <v>10</v>
      </c>
      <c r="D6299">
        <v>0</v>
      </c>
      <c r="E6299" s="2">
        <v>0</v>
      </c>
      <c r="F6299">
        <v>0</v>
      </c>
    </row>
    <row r="6300" spans="1:6" x14ac:dyDescent="0.25">
      <c r="A6300" s="1">
        <v>40603</v>
      </c>
      <c r="B6300" t="s">
        <v>24</v>
      </c>
      <c r="C6300" t="s">
        <v>11</v>
      </c>
      <c r="D6300">
        <v>17</v>
      </c>
      <c r="E6300" s="2">
        <v>1.0208333333333333E-2</v>
      </c>
      <c r="F6300">
        <v>14.7</v>
      </c>
    </row>
    <row r="6301" spans="1:6" x14ac:dyDescent="0.25">
      <c r="A6301" s="1">
        <v>40634</v>
      </c>
      <c r="B6301" t="s">
        <v>5</v>
      </c>
      <c r="C6301" t="s">
        <v>6</v>
      </c>
      <c r="D6301">
        <v>22</v>
      </c>
      <c r="E6301" s="2">
        <v>2.013888888888889E-2</v>
      </c>
      <c r="F6301">
        <v>29</v>
      </c>
    </row>
    <row r="6302" spans="1:6" x14ac:dyDescent="0.25">
      <c r="A6302" s="1">
        <v>40634</v>
      </c>
      <c r="B6302" t="s">
        <v>5</v>
      </c>
      <c r="C6302" t="s">
        <v>7</v>
      </c>
      <c r="D6302">
        <v>20</v>
      </c>
      <c r="E6302" s="2">
        <v>1.4340277777777778E-2</v>
      </c>
      <c r="F6302">
        <v>20.65</v>
      </c>
    </row>
    <row r="6303" spans="1:6" x14ac:dyDescent="0.25">
      <c r="A6303" s="1">
        <v>40634</v>
      </c>
      <c r="B6303" t="s">
        <v>5</v>
      </c>
      <c r="C6303" t="s">
        <v>8</v>
      </c>
      <c r="D6303">
        <v>15</v>
      </c>
      <c r="E6303" s="2">
        <v>9.3402777777777772E-3</v>
      </c>
      <c r="F6303">
        <v>13.45</v>
      </c>
    </row>
    <row r="6304" spans="1:6" x14ac:dyDescent="0.25">
      <c r="A6304" s="1">
        <v>40634</v>
      </c>
      <c r="B6304" t="s">
        <v>5</v>
      </c>
      <c r="C6304" t="s">
        <v>9</v>
      </c>
      <c r="D6304">
        <v>12</v>
      </c>
      <c r="E6304" s="2">
        <v>1.0659722222222221E-2</v>
      </c>
      <c r="F6304">
        <v>15.35</v>
      </c>
    </row>
    <row r="6305" spans="1:6" x14ac:dyDescent="0.25">
      <c r="A6305" s="1">
        <v>40634</v>
      </c>
      <c r="B6305" t="s">
        <v>5</v>
      </c>
      <c r="C6305" t="s">
        <v>10</v>
      </c>
      <c r="D6305">
        <v>5</v>
      </c>
      <c r="E6305" s="2">
        <v>4.6759259259259263E-3</v>
      </c>
      <c r="F6305">
        <v>6.7333333333333334</v>
      </c>
    </row>
    <row r="6306" spans="1:6" x14ac:dyDescent="0.25">
      <c r="A6306" s="1">
        <v>40634</v>
      </c>
      <c r="B6306" t="s">
        <v>5</v>
      </c>
      <c r="C6306" t="s">
        <v>11</v>
      </c>
      <c r="D6306">
        <v>16</v>
      </c>
      <c r="E6306" s="2">
        <v>1.0590277777777778E-2</v>
      </c>
      <c r="F6306">
        <v>15.25</v>
      </c>
    </row>
    <row r="6307" spans="1:6" x14ac:dyDescent="0.25">
      <c r="A6307" s="1">
        <v>40634</v>
      </c>
      <c r="B6307" t="s">
        <v>12</v>
      </c>
      <c r="C6307" t="s">
        <v>6</v>
      </c>
      <c r="D6307">
        <v>56</v>
      </c>
      <c r="E6307" s="2">
        <v>6.4432870370370376E-2</v>
      </c>
      <c r="F6307">
        <v>92.783333333333331</v>
      </c>
    </row>
    <row r="6308" spans="1:6" x14ac:dyDescent="0.25">
      <c r="A6308" s="1">
        <v>40634</v>
      </c>
      <c r="B6308" t="s">
        <v>12</v>
      </c>
      <c r="C6308" t="s">
        <v>7</v>
      </c>
      <c r="D6308">
        <v>40</v>
      </c>
      <c r="E6308" s="2">
        <v>4.8182870370370369E-2</v>
      </c>
      <c r="F6308">
        <v>69.38333333333334</v>
      </c>
    </row>
    <row r="6309" spans="1:6" x14ac:dyDescent="0.25">
      <c r="A6309" s="1">
        <v>40634</v>
      </c>
      <c r="B6309" t="s">
        <v>12</v>
      </c>
      <c r="C6309" t="s">
        <v>8</v>
      </c>
      <c r="D6309">
        <v>24</v>
      </c>
      <c r="E6309" s="2">
        <v>3.4062500000000002E-2</v>
      </c>
      <c r="F6309">
        <v>49.05</v>
      </c>
    </row>
    <row r="6310" spans="1:6" x14ac:dyDescent="0.25">
      <c r="A6310" s="1">
        <v>40634</v>
      </c>
      <c r="B6310" t="s">
        <v>12</v>
      </c>
      <c r="C6310" t="s">
        <v>9</v>
      </c>
      <c r="D6310">
        <v>7</v>
      </c>
      <c r="E6310" s="2">
        <v>4.9768518518518521E-3</v>
      </c>
      <c r="F6310">
        <v>7.166666666666667</v>
      </c>
    </row>
    <row r="6311" spans="1:6" x14ac:dyDescent="0.25">
      <c r="A6311" s="1">
        <v>40634</v>
      </c>
      <c r="B6311" t="s">
        <v>12</v>
      </c>
      <c r="C6311" t="s">
        <v>10</v>
      </c>
      <c r="D6311">
        <v>55</v>
      </c>
      <c r="E6311" s="2">
        <v>9.9444444444444446E-2</v>
      </c>
      <c r="F6311">
        <v>143.19999999999999</v>
      </c>
    </row>
    <row r="6312" spans="1:6" x14ac:dyDescent="0.25">
      <c r="A6312" s="1">
        <v>40634</v>
      </c>
      <c r="B6312" t="s">
        <v>12</v>
      </c>
      <c r="C6312" t="s">
        <v>11</v>
      </c>
      <c r="D6312">
        <v>46</v>
      </c>
      <c r="E6312" s="2">
        <v>4.673611111111111E-2</v>
      </c>
      <c r="F6312">
        <v>67.3</v>
      </c>
    </row>
    <row r="6313" spans="1:6" x14ac:dyDescent="0.25">
      <c r="A6313" s="1">
        <v>40634</v>
      </c>
      <c r="B6313" t="s">
        <v>13</v>
      </c>
      <c r="C6313" t="s">
        <v>6</v>
      </c>
      <c r="D6313">
        <v>49</v>
      </c>
      <c r="E6313" s="2">
        <v>5.4456018518518522E-2</v>
      </c>
      <c r="F6313">
        <v>78.416666666666671</v>
      </c>
    </row>
    <row r="6314" spans="1:6" x14ac:dyDescent="0.25">
      <c r="A6314" s="1">
        <v>40634</v>
      </c>
      <c r="B6314" t="s">
        <v>13</v>
      </c>
      <c r="C6314" t="s">
        <v>7</v>
      </c>
      <c r="D6314">
        <v>48</v>
      </c>
      <c r="E6314" s="2">
        <v>5.5358796296296295E-2</v>
      </c>
      <c r="F6314">
        <v>79.716666666666669</v>
      </c>
    </row>
    <row r="6315" spans="1:6" x14ac:dyDescent="0.25">
      <c r="A6315" s="1">
        <v>40634</v>
      </c>
      <c r="B6315" t="s">
        <v>13</v>
      </c>
      <c r="C6315" t="s">
        <v>8</v>
      </c>
      <c r="D6315">
        <v>32</v>
      </c>
      <c r="E6315" s="2">
        <v>3.9861111111111111E-2</v>
      </c>
      <c r="F6315">
        <v>57.4</v>
      </c>
    </row>
    <row r="6316" spans="1:6" x14ac:dyDescent="0.25">
      <c r="A6316" s="1">
        <v>40634</v>
      </c>
      <c r="B6316" t="s">
        <v>13</v>
      </c>
      <c r="C6316" t="s">
        <v>9</v>
      </c>
      <c r="D6316">
        <v>21</v>
      </c>
      <c r="E6316" s="2">
        <v>1.7777777777777778E-2</v>
      </c>
      <c r="F6316">
        <v>25.6</v>
      </c>
    </row>
    <row r="6317" spans="1:6" x14ac:dyDescent="0.25">
      <c r="A6317" s="1">
        <v>40634</v>
      </c>
      <c r="B6317" t="s">
        <v>13</v>
      </c>
      <c r="C6317" t="s">
        <v>10</v>
      </c>
      <c r="D6317">
        <v>13</v>
      </c>
      <c r="E6317" s="2">
        <v>1.9085648148148147E-2</v>
      </c>
      <c r="F6317">
        <v>27.483333333333334</v>
      </c>
    </row>
    <row r="6318" spans="1:6" x14ac:dyDescent="0.25">
      <c r="A6318" s="1">
        <v>40634</v>
      </c>
      <c r="B6318" t="s">
        <v>13</v>
      </c>
      <c r="C6318" t="s">
        <v>11</v>
      </c>
      <c r="D6318">
        <v>29</v>
      </c>
      <c r="E6318" s="2">
        <v>2.9861111111111113E-2</v>
      </c>
      <c r="F6318">
        <v>43</v>
      </c>
    </row>
    <row r="6319" spans="1:6" x14ac:dyDescent="0.25">
      <c r="A6319" s="1">
        <v>40634</v>
      </c>
      <c r="B6319" t="s">
        <v>14</v>
      </c>
      <c r="C6319" t="s">
        <v>6</v>
      </c>
      <c r="D6319">
        <v>10</v>
      </c>
      <c r="E6319" s="2">
        <v>1.1782407407407408E-2</v>
      </c>
      <c r="F6319">
        <v>16.966666666666665</v>
      </c>
    </row>
    <row r="6320" spans="1:6" x14ac:dyDescent="0.25">
      <c r="A6320" s="1">
        <v>40634</v>
      </c>
      <c r="B6320" t="s">
        <v>14</v>
      </c>
      <c r="C6320" t="s">
        <v>7</v>
      </c>
      <c r="D6320">
        <v>5</v>
      </c>
      <c r="E6320" s="2">
        <v>7.3032407407407404E-3</v>
      </c>
      <c r="F6320">
        <v>10.516666666666667</v>
      </c>
    </row>
    <row r="6321" spans="1:6" x14ac:dyDescent="0.25">
      <c r="A6321" s="1">
        <v>40634</v>
      </c>
      <c r="B6321" t="s">
        <v>14</v>
      </c>
      <c r="C6321" t="s">
        <v>8</v>
      </c>
      <c r="D6321">
        <v>8</v>
      </c>
      <c r="E6321" s="2">
        <v>9.479166666666667E-3</v>
      </c>
      <c r="F6321">
        <v>13.65</v>
      </c>
    </row>
    <row r="6322" spans="1:6" x14ac:dyDescent="0.25">
      <c r="A6322" s="1">
        <v>40634</v>
      </c>
      <c r="B6322" t="s">
        <v>14</v>
      </c>
      <c r="C6322" t="s">
        <v>9</v>
      </c>
      <c r="D6322">
        <v>1</v>
      </c>
      <c r="E6322" s="2">
        <v>4.3981481481481481E-4</v>
      </c>
      <c r="F6322">
        <v>0.6333333333333333</v>
      </c>
    </row>
    <row r="6323" spans="1:6" x14ac:dyDescent="0.25">
      <c r="A6323" s="1">
        <v>40634</v>
      </c>
      <c r="B6323" t="s">
        <v>14</v>
      </c>
      <c r="C6323" t="s">
        <v>10</v>
      </c>
      <c r="D6323">
        <v>1</v>
      </c>
      <c r="E6323" s="2">
        <v>1.5972222222222223E-3</v>
      </c>
      <c r="F6323">
        <v>2.2999999999999998</v>
      </c>
    </row>
    <row r="6324" spans="1:6" x14ac:dyDescent="0.25">
      <c r="A6324" s="1">
        <v>40634</v>
      </c>
      <c r="B6324" t="s">
        <v>14</v>
      </c>
      <c r="C6324" t="s">
        <v>11</v>
      </c>
      <c r="D6324">
        <v>1</v>
      </c>
      <c r="E6324" s="2">
        <v>1.1111111111111111E-3</v>
      </c>
      <c r="F6324">
        <v>1.6</v>
      </c>
    </row>
    <row r="6325" spans="1:6" x14ac:dyDescent="0.25">
      <c r="A6325" s="1">
        <v>40634</v>
      </c>
      <c r="B6325" t="s">
        <v>15</v>
      </c>
      <c r="C6325" t="s">
        <v>6</v>
      </c>
      <c r="D6325">
        <v>56</v>
      </c>
      <c r="E6325" s="2">
        <v>5.1238425925925923E-2</v>
      </c>
      <c r="F6325">
        <v>73.783333333333331</v>
      </c>
    </row>
    <row r="6326" spans="1:6" x14ac:dyDescent="0.25">
      <c r="A6326" s="1">
        <v>40634</v>
      </c>
      <c r="B6326" t="s">
        <v>15</v>
      </c>
      <c r="C6326" t="s">
        <v>7</v>
      </c>
      <c r="D6326">
        <v>30</v>
      </c>
      <c r="E6326" s="2">
        <v>2.6817129629629628E-2</v>
      </c>
      <c r="F6326">
        <v>38.616666666666667</v>
      </c>
    </row>
    <row r="6327" spans="1:6" x14ac:dyDescent="0.25">
      <c r="A6327" s="1">
        <v>40634</v>
      </c>
      <c r="B6327" t="s">
        <v>15</v>
      </c>
      <c r="C6327" t="s">
        <v>8</v>
      </c>
      <c r="D6327">
        <v>31</v>
      </c>
      <c r="E6327" s="2">
        <v>3.1678240740740743E-2</v>
      </c>
      <c r="F6327">
        <v>45.616666666666667</v>
      </c>
    </row>
    <row r="6328" spans="1:6" x14ac:dyDescent="0.25">
      <c r="A6328" s="1">
        <v>40634</v>
      </c>
      <c r="B6328" t="s">
        <v>15</v>
      </c>
      <c r="C6328" t="s">
        <v>9</v>
      </c>
      <c r="D6328">
        <v>7</v>
      </c>
      <c r="E6328" s="2">
        <v>5.2893518518518515E-3</v>
      </c>
      <c r="F6328">
        <v>7.6166666666666671</v>
      </c>
    </row>
    <row r="6329" spans="1:6" x14ac:dyDescent="0.25">
      <c r="A6329" s="1">
        <v>40634</v>
      </c>
      <c r="B6329" t="s">
        <v>15</v>
      </c>
      <c r="C6329" t="s">
        <v>10</v>
      </c>
      <c r="D6329">
        <v>19</v>
      </c>
      <c r="E6329" s="2">
        <v>2.5462962962962962E-2</v>
      </c>
      <c r="F6329">
        <v>36.666666666666664</v>
      </c>
    </row>
    <row r="6330" spans="1:6" x14ac:dyDescent="0.25">
      <c r="A6330" s="1">
        <v>40634</v>
      </c>
      <c r="B6330" t="s">
        <v>15</v>
      </c>
      <c r="C6330" t="s">
        <v>11</v>
      </c>
      <c r="D6330">
        <v>21</v>
      </c>
      <c r="E6330" s="2">
        <v>1.7430555555555557E-2</v>
      </c>
      <c r="F6330">
        <v>25.1</v>
      </c>
    </row>
    <row r="6331" spans="1:6" x14ac:dyDescent="0.25">
      <c r="A6331" s="1">
        <v>40634</v>
      </c>
      <c r="B6331" t="s">
        <v>16</v>
      </c>
      <c r="C6331" t="s">
        <v>6</v>
      </c>
      <c r="D6331">
        <v>58</v>
      </c>
      <c r="E6331" s="2">
        <v>5.1967592592592593E-2</v>
      </c>
      <c r="F6331">
        <v>74.833333333333329</v>
      </c>
    </row>
    <row r="6332" spans="1:6" x14ac:dyDescent="0.25">
      <c r="A6332" s="1">
        <v>40634</v>
      </c>
      <c r="B6332" t="s">
        <v>16</v>
      </c>
      <c r="C6332" t="s">
        <v>7</v>
      </c>
      <c r="D6332">
        <v>48</v>
      </c>
      <c r="E6332" s="2">
        <v>4.2696759259259261E-2</v>
      </c>
      <c r="F6332">
        <v>61.483333333333334</v>
      </c>
    </row>
    <row r="6333" spans="1:6" x14ac:dyDescent="0.25">
      <c r="A6333" s="1">
        <v>40634</v>
      </c>
      <c r="B6333" t="s">
        <v>16</v>
      </c>
      <c r="C6333" t="s">
        <v>8</v>
      </c>
      <c r="D6333">
        <v>44</v>
      </c>
      <c r="E6333" s="2">
        <v>4.3946759259259262E-2</v>
      </c>
      <c r="F6333">
        <v>63.283333333333331</v>
      </c>
    </row>
    <row r="6334" spans="1:6" x14ac:dyDescent="0.25">
      <c r="A6334" s="1">
        <v>40634</v>
      </c>
      <c r="B6334" t="s">
        <v>16</v>
      </c>
      <c r="C6334" t="s">
        <v>9</v>
      </c>
      <c r="D6334">
        <v>19</v>
      </c>
      <c r="E6334" s="2">
        <v>1.2002314814814815E-2</v>
      </c>
      <c r="F6334">
        <v>17.283333333333335</v>
      </c>
    </row>
    <row r="6335" spans="1:6" x14ac:dyDescent="0.25">
      <c r="A6335" s="1">
        <v>40634</v>
      </c>
      <c r="B6335" t="s">
        <v>16</v>
      </c>
      <c r="C6335" t="s">
        <v>10</v>
      </c>
      <c r="D6335">
        <v>1</v>
      </c>
      <c r="E6335" s="2">
        <v>8.7962962962962962E-4</v>
      </c>
      <c r="F6335">
        <v>1.2666666666666666</v>
      </c>
    </row>
    <row r="6336" spans="1:6" x14ac:dyDescent="0.25">
      <c r="A6336" s="1">
        <v>40634</v>
      </c>
      <c r="B6336" t="s">
        <v>16</v>
      </c>
      <c r="C6336" t="s">
        <v>11</v>
      </c>
      <c r="D6336">
        <v>48</v>
      </c>
      <c r="E6336" s="2">
        <v>4.3483796296296298E-2</v>
      </c>
      <c r="F6336">
        <v>62.616666666666667</v>
      </c>
    </row>
    <row r="6337" spans="1:6" x14ac:dyDescent="0.25">
      <c r="A6337" s="1">
        <v>40634</v>
      </c>
      <c r="B6337" t="s">
        <v>17</v>
      </c>
      <c r="C6337" t="s">
        <v>6</v>
      </c>
      <c r="D6337">
        <v>6</v>
      </c>
      <c r="E6337" s="2">
        <v>5.6018518518518518E-3</v>
      </c>
      <c r="F6337">
        <v>8.0666666666666664</v>
      </c>
    </row>
    <row r="6338" spans="1:6" x14ac:dyDescent="0.25">
      <c r="A6338" s="1">
        <v>40634</v>
      </c>
      <c r="B6338" t="s">
        <v>17</v>
      </c>
      <c r="C6338" t="s">
        <v>7</v>
      </c>
      <c r="D6338">
        <v>5</v>
      </c>
      <c r="E6338" s="2">
        <v>4.9421296296296297E-3</v>
      </c>
      <c r="F6338">
        <v>7.1166666666666663</v>
      </c>
    </row>
    <row r="6339" spans="1:6" x14ac:dyDescent="0.25">
      <c r="A6339" s="1">
        <v>40634</v>
      </c>
      <c r="B6339" t="s">
        <v>17</v>
      </c>
      <c r="C6339" t="s">
        <v>8</v>
      </c>
      <c r="D6339">
        <v>3</v>
      </c>
      <c r="E6339" s="2">
        <v>3.9236111111111112E-3</v>
      </c>
      <c r="F6339">
        <v>5.65</v>
      </c>
    </row>
    <row r="6340" spans="1:6" x14ac:dyDescent="0.25">
      <c r="A6340" s="1">
        <v>40634</v>
      </c>
      <c r="B6340" t="s">
        <v>17</v>
      </c>
      <c r="C6340" t="s">
        <v>9</v>
      </c>
      <c r="D6340">
        <v>1</v>
      </c>
      <c r="E6340" s="2">
        <v>2.0833333333333335E-4</v>
      </c>
      <c r="F6340">
        <v>0.3</v>
      </c>
    </row>
    <row r="6341" spans="1:6" x14ac:dyDescent="0.25">
      <c r="A6341" s="1">
        <v>40634</v>
      </c>
      <c r="B6341" t="s">
        <v>17</v>
      </c>
      <c r="C6341" t="s">
        <v>10</v>
      </c>
      <c r="D6341">
        <v>6</v>
      </c>
      <c r="E6341" s="2">
        <v>4.4907407407407405E-3</v>
      </c>
      <c r="F6341">
        <v>6.4666666666666668</v>
      </c>
    </row>
    <row r="6342" spans="1:6" x14ac:dyDescent="0.25">
      <c r="A6342" s="1">
        <v>40634</v>
      </c>
      <c r="B6342" t="s">
        <v>17</v>
      </c>
      <c r="C6342" t="s">
        <v>11</v>
      </c>
      <c r="D6342">
        <v>3</v>
      </c>
      <c r="E6342" s="2">
        <v>2.3495370370370371E-3</v>
      </c>
      <c r="F6342">
        <v>3.3833333333333333</v>
      </c>
    </row>
    <row r="6343" spans="1:6" x14ac:dyDescent="0.25">
      <c r="A6343" s="1">
        <v>40634</v>
      </c>
      <c r="B6343" t="s">
        <v>18</v>
      </c>
      <c r="C6343" t="s">
        <v>6</v>
      </c>
      <c r="D6343">
        <v>115</v>
      </c>
      <c r="E6343" s="2">
        <v>0.10523148148148148</v>
      </c>
      <c r="F6343">
        <v>151.53333333333333</v>
      </c>
    </row>
    <row r="6344" spans="1:6" x14ac:dyDescent="0.25">
      <c r="A6344" s="1">
        <v>40634</v>
      </c>
      <c r="B6344" t="s">
        <v>18</v>
      </c>
      <c r="C6344" t="s">
        <v>7</v>
      </c>
      <c r="D6344">
        <v>184</v>
      </c>
      <c r="E6344" s="2">
        <v>0.15524305555555556</v>
      </c>
      <c r="F6344">
        <v>223.55</v>
      </c>
    </row>
    <row r="6345" spans="1:6" x14ac:dyDescent="0.25">
      <c r="A6345" s="1">
        <v>40634</v>
      </c>
      <c r="B6345" t="s">
        <v>18</v>
      </c>
      <c r="C6345" t="s">
        <v>8</v>
      </c>
      <c r="D6345">
        <v>114</v>
      </c>
      <c r="E6345" s="2">
        <v>9.1701388888888888E-2</v>
      </c>
      <c r="F6345">
        <v>132.05000000000001</v>
      </c>
    </row>
    <row r="6346" spans="1:6" x14ac:dyDescent="0.25">
      <c r="A6346" s="1">
        <v>40634</v>
      </c>
      <c r="B6346" t="s">
        <v>18</v>
      </c>
      <c r="C6346" t="s">
        <v>9</v>
      </c>
      <c r="D6346">
        <v>91</v>
      </c>
      <c r="E6346" s="2">
        <v>6.0162037037037035E-2</v>
      </c>
      <c r="F6346">
        <v>86.63333333333334</v>
      </c>
    </row>
    <row r="6347" spans="1:6" x14ac:dyDescent="0.25">
      <c r="A6347" s="1">
        <v>40634</v>
      </c>
      <c r="B6347" t="s">
        <v>18</v>
      </c>
      <c r="C6347" t="s">
        <v>10</v>
      </c>
      <c r="D6347">
        <v>163</v>
      </c>
      <c r="E6347" s="2">
        <v>0.17777777777777778</v>
      </c>
      <c r="F6347">
        <v>256</v>
      </c>
    </row>
    <row r="6348" spans="1:6" x14ac:dyDescent="0.25">
      <c r="A6348" s="1">
        <v>40634</v>
      </c>
      <c r="B6348" t="s">
        <v>18</v>
      </c>
      <c r="C6348" t="s">
        <v>11</v>
      </c>
      <c r="D6348">
        <v>64</v>
      </c>
      <c r="E6348" s="2">
        <v>4.5370370370370373E-2</v>
      </c>
      <c r="F6348">
        <v>65.333333333333329</v>
      </c>
    </row>
    <row r="6349" spans="1:6" x14ac:dyDescent="0.25">
      <c r="A6349" s="1">
        <v>40634</v>
      </c>
      <c r="B6349" t="s">
        <v>19</v>
      </c>
      <c r="C6349" t="s">
        <v>6</v>
      </c>
      <c r="D6349">
        <v>18</v>
      </c>
      <c r="E6349" s="2">
        <v>1.9039351851851852E-2</v>
      </c>
      <c r="F6349">
        <v>27.416666666666668</v>
      </c>
    </row>
    <row r="6350" spans="1:6" x14ac:dyDescent="0.25">
      <c r="A6350" s="1">
        <v>40634</v>
      </c>
      <c r="B6350" t="s">
        <v>19</v>
      </c>
      <c r="C6350" t="s">
        <v>7</v>
      </c>
      <c r="D6350">
        <v>22</v>
      </c>
      <c r="E6350" s="2">
        <v>2.6782407407407408E-2</v>
      </c>
      <c r="F6350">
        <v>38.56666666666667</v>
      </c>
    </row>
    <row r="6351" spans="1:6" x14ac:dyDescent="0.25">
      <c r="A6351" s="1">
        <v>40634</v>
      </c>
      <c r="B6351" t="s">
        <v>19</v>
      </c>
      <c r="C6351" t="s">
        <v>8</v>
      </c>
      <c r="D6351">
        <v>21</v>
      </c>
      <c r="E6351" s="2">
        <v>2.2349537037037036E-2</v>
      </c>
      <c r="F6351">
        <v>32.18333333333333</v>
      </c>
    </row>
    <row r="6352" spans="1:6" x14ac:dyDescent="0.25">
      <c r="A6352" s="1">
        <v>40634</v>
      </c>
      <c r="B6352" t="s">
        <v>19</v>
      </c>
      <c r="C6352" t="s">
        <v>9</v>
      </c>
      <c r="D6352">
        <v>16</v>
      </c>
      <c r="E6352" s="2">
        <v>1.1157407407407408E-2</v>
      </c>
      <c r="F6352">
        <v>16.066666666666666</v>
      </c>
    </row>
    <row r="6353" spans="1:6" x14ac:dyDescent="0.25">
      <c r="A6353" s="1">
        <v>40634</v>
      </c>
      <c r="B6353" t="s">
        <v>19</v>
      </c>
      <c r="C6353" t="s">
        <v>10</v>
      </c>
      <c r="D6353">
        <v>8</v>
      </c>
      <c r="E6353" s="2">
        <v>7.083333333333333E-3</v>
      </c>
      <c r="F6353">
        <v>10.199999999999999</v>
      </c>
    </row>
    <row r="6354" spans="1:6" x14ac:dyDescent="0.25">
      <c r="A6354" s="1">
        <v>40634</v>
      </c>
      <c r="B6354" t="s">
        <v>19</v>
      </c>
      <c r="C6354" t="s">
        <v>11</v>
      </c>
      <c r="D6354">
        <v>22</v>
      </c>
      <c r="E6354" s="2">
        <v>1.5821759259259258E-2</v>
      </c>
      <c r="F6354">
        <v>22.783333333333335</v>
      </c>
    </row>
    <row r="6355" spans="1:6" x14ac:dyDescent="0.25">
      <c r="A6355" s="1">
        <v>40634</v>
      </c>
      <c r="B6355" t="s">
        <v>20</v>
      </c>
      <c r="C6355" t="s">
        <v>6</v>
      </c>
      <c r="D6355">
        <v>22</v>
      </c>
      <c r="E6355" s="2">
        <v>2.0555555555555556E-2</v>
      </c>
      <c r="F6355">
        <v>29.6</v>
      </c>
    </row>
    <row r="6356" spans="1:6" x14ac:dyDescent="0.25">
      <c r="A6356" s="1">
        <v>40634</v>
      </c>
      <c r="B6356" t="s">
        <v>20</v>
      </c>
      <c r="C6356" t="s">
        <v>7</v>
      </c>
      <c r="D6356">
        <v>43</v>
      </c>
      <c r="E6356" s="2">
        <v>4.9317129629629627E-2</v>
      </c>
      <c r="F6356">
        <v>71.016666666666666</v>
      </c>
    </row>
    <row r="6357" spans="1:6" x14ac:dyDescent="0.25">
      <c r="A6357" s="1">
        <v>40634</v>
      </c>
      <c r="B6357" t="s">
        <v>20</v>
      </c>
      <c r="C6357" t="s">
        <v>8</v>
      </c>
      <c r="D6357">
        <v>34</v>
      </c>
      <c r="E6357" s="2">
        <v>3.0023148148148149E-2</v>
      </c>
      <c r="F6357">
        <v>43.233333333333334</v>
      </c>
    </row>
    <row r="6358" spans="1:6" x14ac:dyDescent="0.25">
      <c r="A6358" s="1">
        <v>40634</v>
      </c>
      <c r="B6358" t="s">
        <v>20</v>
      </c>
      <c r="C6358" t="s">
        <v>9</v>
      </c>
      <c r="D6358">
        <v>15</v>
      </c>
      <c r="E6358" s="2">
        <v>1.1481481481481481E-2</v>
      </c>
      <c r="F6358">
        <v>16.533333333333335</v>
      </c>
    </row>
    <row r="6359" spans="1:6" x14ac:dyDescent="0.25">
      <c r="A6359" s="1">
        <v>40634</v>
      </c>
      <c r="B6359" t="s">
        <v>20</v>
      </c>
      <c r="C6359" t="s">
        <v>10</v>
      </c>
      <c r="D6359">
        <v>3</v>
      </c>
      <c r="E6359" s="2">
        <v>2.685185185185185E-3</v>
      </c>
      <c r="F6359">
        <v>3.8666666666666667</v>
      </c>
    </row>
    <row r="6360" spans="1:6" x14ac:dyDescent="0.25">
      <c r="A6360" s="1">
        <v>40634</v>
      </c>
      <c r="B6360" t="s">
        <v>20</v>
      </c>
      <c r="C6360" t="s">
        <v>11</v>
      </c>
      <c r="D6360">
        <v>16</v>
      </c>
      <c r="E6360" s="2">
        <v>1.2395833333333333E-2</v>
      </c>
      <c r="F6360">
        <v>17.850000000000001</v>
      </c>
    </row>
    <row r="6361" spans="1:6" x14ac:dyDescent="0.25">
      <c r="A6361" s="1">
        <v>40634</v>
      </c>
      <c r="B6361" t="s">
        <v>21</v>
      </c>
      <c r="C6361" t="s">
        <v>6</v>
      </c>
      <c r="D6361">
        <v>18</v>
      </c>
      <c r="E6361" s="2">
        <v>2.6539351851851852E-2</v>
      </c>
      <c r="F6361">
        <v>38.216666666666669</v>
      </c>
    </row>
    <row r="6362" spans="1:6" x14ac:dyDescent="0.25">
      <c r="A6362" s="1">
        <v>40634</v>
      </c>
      <c r="B6362" t="s">
        <v>21</v>
      </c>
      <c r="C6362" t="s">
        <v>7</v>
      </c>
      <c r="D6362">
        <v>19</v>
      </c>
      <c r="E6362" s="2">
        <v>2.2164351851851852E-2</v>
      </c>
      <c r="F6362">
        <v>31.916666666666668</v>
      </c>
    </row>
    <row r="6363" spans="1:6" x14ac:dyDescent="0.25">
      <c r="A6363" s="1">
        <v>40634</v>
      </c>
      <c r="B6363" t="s">
        <v>21</v>
      </c>
      <c r="C6363" t="s">
        <v>8</v>
      </c>
      <c r="D6363">
        <v>25</v>
      </c>
      <c r="E6363" s="2">
        <v>3.1145833333333334E-2</v>
      </c>
      <c r="F6363">
        <v>44.85</v>
      </c>
    </row>
    <row r="6364" spans="1:6" x14ac:dyDescent="0.25">
      <c r="A6364" s="1">
        <v>40634</v>
      </c>
      <c r="B6364" t="s">
        <v>21</v>
      </c>
      <c r="C6364" t="s">
        <v>9</v>
      </c>
      <c r="D6364">
        <v>7</v>
      </c>
      <c r="E6364" s="2">
        <v>5.0347222222222225E-3</v>
      </c>
      <c r="F6364">
        <v>7.25</v>
      </c>
    </row>
    <row r="6365" spans="1:6" x14ac:dyDescent="0.25">
      <c r="A6365" s="1">
        <v>40634</v>
      </c>
      <c r="B6365" t="s">
        <v>21</v>
      </c>
      <c r="C6365" t="s">
        <v>10</v>
      </c>
      <c r="D6365">
        <v>1</v>
      </c>
      <c r="E6365" s="2">
        <v>2.3842592592592591E-3</v>
      </c>
      <c r="F6365">
        <v>3.4333333333333336</v>
      </c>
    </row>
    <row r="6366" spans="1:6" x14ac:dyDescent="0.25">
      <c r="A6366" s="1">
        <v>40634</v>
      </c>
      <c r="B6366" t="s">
        <v>21</v>
      </c>
      <c r="C6366" t="s">
        <v>11</v>
      </c>
      <c r="D6366">
        <v>22</v>
      </c>
      <c r="E6366" s="2">
        <v>2.3506944444444445E-2</v>
      </c>
      <c r="F6366">
        <v>33.85</v>
      </c>
    </row>
    <row r="6367" spans="1:6" x14ac:dyDescent="0.25">
      <c r="A6367" s="1">
        <v>40634</v>
      </c>
      <c r="B6367" t="s">
        <v>22</v>
      </c>
      <c r="C6367" t="s">
        <v>6</v>
      </c>
      <c r="D6367">
        <v>12</v>
      </c>
      <c r="E6367" s="2">
        <v>1.5162037037037036E-2</v>
      </c>
      <c r="F6367">
        <v>21.833333333333332</v>
      </c>
    </row>
    <row r="6368" spans="1:6" x14ac:dyDescent="0.25">
      <c r="A6368" s="1">
        <v>40634</v>
      </c>
      <c r="B6368" t="s">
        <v>22</v>
      </c>
      <c r="C6368" t="s">
        <v>7</v>
      </c>
      <c r="D6368">
        <v>10</v>
      </c>
      <c r="E6368" s="2">
        <v>1.5173611111111112E-2</v>
      </c>
      <c r="F6368">
        <v>21.85</v>
      </c>
    </row>
    <row r="6369" spans="1:6" x14ac:dyDescent="0.25">
      <c r="A6369" s="1">
        <v>40634</v>
      </c>
      <c r="B6369" t="s">
        <v>22</v>
      </c>
      <c r="C6369" t="s">
        <v>8</v>
      </c>
      <c r="D6369">
        <v>11</v>
      </c>
      <c r="E6369" s="2">
        <v>1.576388888888889E-2</v>
      </c>
      <c r="F6369">
        <v>22.7</v>
      </c>
    </row>
    <row r="6370" spans="1:6" x14ac:dyDescent="0.25">
      <c r="A6370" s="1">
        <v>40634</v>
      </c>
      <c r="B6370" t="s">
        <v>22</v>
      </c>
      <c r="C6370" t="s">
        <v>9</v>
      </c>
      <c r="D6370">
        <v>6</v>
      </c>
      <c r="E6370" s="2">
        <v>4.8379629629629632E-3</v>
      </c>
      <c r="F6370">
        <v>6.9666666666666668</v>
      </c>
    </row>
    <row r="6371" spans="1:6" x14ac:dyDescent="0.25">
      <c r="A6371" s="1">
        <v>40634</v>
      </c>
      <c r="B6371" t="s">
        <v>22</v>
      </c>
      <c r="C6371" t="s">
        <v>10</v>
      </c>
      <c r="D6371">
        <v>12</v>
      </c>
      <c r="E6371" s="2">
        <v>1.7233796296296296E-2</v>
      </c>
      <c r="F6371">
        <v>24.816666666666666</v>
      </c>
    </row>
    <row r="6372" spans="1:6" x14ac:dyDescent="0.25">
      <c r="A6372" s="1">
        <v>40634</v>
      </c>
      <c r="B6372" t="s">
        <v>22</v>
      </c>
      <c r="C6372" t="s">
        <v>11</v>
      </c>
      <c r="D6372">
        <v>6</v>
      </c>
      <c r="E6372" s="2">
        <v>6.1111111111111114E-3</v>
      </c>
      <c r="F6372">
        <v>8.8000000000000007</v>
      </c>
    </row>
    <row r="6373" spans="1:6" x14ac:dyDescent="0.25">
      <c r="A6373" s="1">
        <v>40634</v>
      </c>
      <c r="B6373" t="s">
        <v>23</v>
      </c>
      <c r="C6373" t="s">
        <v>6</v>
      </c>
      <c r="D6373">
        <v>122</v>
      </c>
      <c r="E6373" s="2">
        <v>0.14101851851851852</v>
      </c>
      <c r="F6373">
        <v>203.06666666666666</v>
      </c>
    </row>
    <row r="6374" spans="1:6" x14ac:dyDescent="0.25">
      <c r="A6374" s="1">
        <v>40634</v>
      </c>
      <c r="B6374" t="s">
        <v>23</v>
      </c>
      <c r="C6374" t="s">
        <v>7</v>
      </c>
      <c r="D6374">
        <v>101</v>
      </c>
      <c r="E6374" s="2">
        <v>0.12105324074074074</v>
      </c>
      <c r="F6374">
        <v>174.31666666666666</v>
      </c>
    </row>
    <row r="6375" spans="1:6" x14ac:dyDescent="0.25">
      <c r="A6375" s="1">
        <v>40634</v>
      </c>
      <c r="B6375" t="s">
        <v>23</v>
      </c>
      <c r="C6375" t="s">
        <v>8</v>
      </c>
      <c r="D6375">
        <v>75</v>
      </c>
      <c r="E6375" s="2">
        <v>8.5150462962962969E-2</v>
      </c>
      <c r="F6375">
        <v>122.61666666666666</v>
      </c>
    </row>
    <row r="6376" spans="1:6" x14ac:dyDescent="0.25">
      <c r="A6376" s="1">
        <v>40634</v>
      </c>
      <c r="B6376" t="s">
        <v>23</v>
      </c>
      <c r="C6376" t="s">
        <v>9</v>
      </c>
      <c r="D6376">
        <v>37</v>
      </c>
      <c r="E6376" s="2">
        <v>3.0925925925925926E-2</v>
      </c>
      <c r="F6376">
        <v>44.533333333333331</v>
      </c>
    </row>
    <row r="6377" spans="1:6" x14ac:dyDescent="0.25">
      <c r="A6377" s="1">
        <v>40634</v>
      </c>
      <c r="B6377" t="s">
        <v>23</v>
      </c>
      <c r="C6377" t="s">
        <v>10</v>
      </c>
      <c r="D6377">
        <v>28</v>
      </c>
      <c r="E6377" s="2">
        <v>4.4027777777777777E-2</v>
      </c>
      <c r="F6377">
        <v>63.4</v>
      </c>
    </row>
    <row r="6378" spans="1:6" x14ac:dyDescent="0.25">
      <c r="A6378" s="1">
        <v>40634</v>
      </c>
      <c r="B6378" t="s">
        <v>23</v>
      </c>
      <c r="C6378" t="s">
        <v>11</v>
      </c>
      <c r="D6378">
        <v>95</v>
      </c>
      <c r="E6378" s="2">
        <v>8.4120370370370373E-2</v>
      </c>
      <c r="F6378">
        <v>121.13333333333334</v>
      </c>
    </row>
    <row r="6379" spans="1:6" x14ac:dyDescent="0.25">
      <c r="A6379" s="1">
        <v>40634</v>
      </c>
      <c r="B6379" t="s">
        <v>24</v>
      </c>
      <c r="C6379" t="s">
        <v>6</v>
      </c>
      <c r="D6379">
        <v>37</v>
      </c>
      <c r="E6379" s="2">
        <v>2.7395833333333335E-2</v>
      </c>
      <c r="F6379">
        <v>39.450000000000003</v>
      </c>
    </row>
    <row r="6380" spans="1:6" x14ac:dyDescent="0.25">
      <c r="A6380" s="1">
        <v>40634</v>
      </c>
      <c r="B6380" t="s">
        <v>24</v>
      </c>
      <c r="C6380" t="s">
        <v>7</v>
      </c>
      <c r="D6380">
        <v>32</v>
      </c>
      <c r="E6380" s="2">
        <v>2.2604166666666668E-2</v>
      </c>
      <c r="F6380">
        <v>32.549999999999997</v>
      </c>
    </row>
    <row r="6381" spans="1:6" x14ac:dyDescent="0.25">
      <c r="A6381" s="1">
        <v>40634</v>
      </c>
      <c r="B6381" t="s">
        <v>24</v>
      </c>
      <c r="C6381" t="s">
        <v>8</v>
      </c>
      <c r="D6381">
        <v>16</v>
      </c>
      <c r="E6381" s="2">
        <v>1.2534722222222221E-2</v>
      </c>
      <c r="F6381">
        <v>18.05</v>
      </c>
    </row>
    <row r="6382" spans="1:6" x14ac:dyDescent="0.25">
      <c r="A6382" s="1">
        <v>40634</v>
      </c>
      <c r="B6382" t="s">
        <v>24</v>
      </c>
      <c r="C6382" t="s">
        <v>9</v>
      </c>
      <c r="D6382">
        <v>2</v>
      </c>
      <c r="E6382" s="2">
        <v>1.5740740740740741E-3</v>
      </c>
      <c r="F6382">
        <v>2.2666666666666666</v>
      </c>
    </row>
    <row r="6383" spans="1:6" x14ac:dyDescent="0.25">
      <c r="A6383" s="1">
        <v>40634</v>
      </c>
      <c r="B6383" t="s">
        <v>24</v>
      </c>
      <c r="C6383" t="s">
        <v>10</v>
      </c>
      <c r="D6383">
        <v>1</v>
      </c>
      <c r="E6383" s="2">
        <v>1.3541666666666667E-3</v>
      </c>
      <c r="F6383">
        <v>1.95</v>
      </c>
    </row>
    <row r="6384" spans="1:6" x14ac:dyDescent="0.25">
      <c r="A6384" s="1">
        <v>40634</v>
      </c>
      <c r="B6384" t="s">
        <v>24</v>
      </c>
      <c r="C6384" t="s">
        <v>11</v>
      </c>
      <c r="D6384">
        <v>10</v>
      </c>
      <c r="E6384" s="2">
        <v>7.3379629629629628E-3</v>
      </c>
      <c r="F6384">
        <v>10.566666666666666</v>
      </c>
    </row>
    <row r="6385" spans="1:6" x14ac:dyDescent="0.25">
      <c r="A6385" s="1">
        <v>40664</v>
      </c>
      <c r="B6385" t="s">
        <v>5</v>
      </c>
      <c r="C6385" t="s">
        <v>6</v>
      </c>
      <c r="D6385">
        <v>44</v>
      </c>
      <c r="E6385" s="2">
        <v>4.372685185185185E-2</v>
      </c>
      <c r="F6385">
        <v>62.966666666666669</v>
      </c>
    </row>
    <row r="6386" spans="1:6" x14ac:dyDescent="0.25">
      <c r="A6386" s="1">
        <v>40664</v>
      </c>
      <c r="B6386" t="s">
        <v>5</v>
      </c>
      <c r="C6386" t="s">
        <v>7</v>
      </c>
      <c r="D6386">
        <v>33</v>
      </c>
      <c r="E6386" s="2">
        <v>2.8090277777777777E-2</v>
      </c>
      <c r="F6386">
        <v>40.450000000000003</v>
      </c>
    </row>
    <row r="6387" spans="1:6" x14ac:dyDescent="0.25">
      <c r="A6387" s="1">
        <v>40664</v>
      </c>
      <c r="B6387" t="s">
        <v>5</v>
      </c>
      <c r="C6387" t="s">
        <v>8</v>
      </c>
      <c r="D6387">
        <v>22</v>
      </c>
      <c r="E6387" s="2">
        <v>1.9756944444444445E-2</v>
      </c>
      <c r="F6387">
        <v>28.45</v>
      </c>
    </row>
    <row r="6388" spans="1:6" x14ac:dyDescent="0.25">
      <c r="A6388" s="1">
        <v>40664</v>
      </c>
      <c r="B6388" t="s">
        <v>5</v>
      </c>
      <c r="C6388" t="s">
        <v>9</v>
      </c>
      <c r="D6388">
        <v>21</v>
      </c>
      <c r="E6388" s="2">
        <v>1.3194444444444444E-2</v>
      </c>
      <c r="F6388">
        <v>19</v>
      </c>
    </row>
    <row r="6389" spans="1:6" x14ac:dyDescent="0.25">
      <c r="A6389" s="1">
        <v>40664</v>
      </c>
      <c r="B6389" t="s">
        <v>5</v>
      </c>
      <c r="C6389" t="s">
        <v>10</v>
      </c>
      <c r="D6389">
        <v>4</v>
      </c>
      <c r="E6389" s="2">
        <v>2.5694444444444445E-3</v>
      </c>
      <c r="F6389">
        <v>3.7</v>
      </c>
    </row>
    <row r="6390" spans="1:6" x14ac:dyDescent="0.25">
      <c r="A6390" s="1">
        <v>40664</v>
      </c>
      <c r="B6390" t="s">
        <v>5</v>
      </c>
      <c r="C6390" t="s">
        <v>11</v>
      </c>
      <c r="D6390">
        <v>17</v>
      </c>
      <c r="E6390" s="2">
        <v>1.1747685185185186E-2</v>
      </c>
      <c r="F6390">
        <v>16.916666666666668</v>
      </c>
    </row>
    <row r="6391" spans="1:6" x14ac:dyDescent="0.25">
      <c r="A6391" s="1">
        <v>40664</v>
      </c>
      <c r="B6391" t="s">
        <v>12</v>
      </c>
      <c r="C6391" t="s">
        <v>6</v>
      </c>
      <c r="D6391">
        <v>57</v>
      </c>
      <c r="E6391" s="2">
        <v>5.4560185185185184E-2</v>
      </c>
      <c r="F6391">
        <v>78.566666666666663</v>
      </c>
    </row>
    <row r="6392" spans="1:6" x14ac:dyDescent="0.25">
      <c r="A6392" s="1">
        <v>40664</v>
      </c>
      <c r="B6392" t="s">
        <v>12</v>
      </c>
      <c r="C6392" t="s">
        <v>7</v>
      </c>
      <c r="D6392">
        <v>52</v>
      </c>
      <c r="E6392" s="2">
        <v>6.7731481481481476E-2</v>
      </c>
      <c r="F6392">
        <v>97.533333333333331</v>
      </c>
    </row>
    <row r="6393" spans="1:6" x14ac:dyDescent="0.25">
      <c r="A6393" s="1">
        <v>40664</v>
      </c>
      <c r="B6393" t="s">
        <v>12</v>
      </c>
      <c r="C6393" t="s">
        <v>8</v>
      </c>
      <c r="D6393">
        <v>33</v>
      </c>
      <c r="E6393" s="2">
        <v>4.1574074074074076E-2</v>
      </c>
      <c r="F6393">
        <v>59.866666666666667</v>
      </c>
    </row>
    <row r="6394" spans="1:6" x14ac:dyDescent="0.25">
      <c r="A6394" s="1">
        <v>40664</v>
      </c>
      <c r="B6394" t="s">
        <v>12</v>
      </c>
      <c r="C6394" t="s">
        <v>9</v>
      </c>
      <c r="D6394">
        <v>5</v>
      </c>
      <c r="E6394" s="2">
        <v>3.9467592592592592E-3</v>
      </c>
      <c r="F6394">
        <v>5.6833333333333336</v>
      </c>
    </row>
    <row r="6395" spans="1:6" x14ac:dyDescent="0.25">
      <c r="A6395" s="1">
        <v>40664</v>
      </c>
      <c r="B6395" t="s">
        <v>12</v>
      </c>
      <c r="C6395" t="s">
        <v>10</v>
      </c>
      <c r="D6395">
        <v>92</v>
      </c>
      <c r="E6395" s="2">
        <v>0.14001157407407408</v>
      </c>
      <c r="F6395">
        <v>201.61666666666667</v>
      </c>
    </row>
    <row r="6396" spans="1:6" x14ac:dyDescent="0.25">
      <c r="A6396" s="1">
        <v>40664</v>
      </c>
      <c r="B6396" t="s">
        <v>12</v>
      </c>
      <c r="C6396" t="s">
        <v>11</v>
      </c>
      <c r="D6396">
        <v>50</v>
      </c>
      <c r="E6396" s="2">
        <v>4.2060185185185187E-2</v>
      </c>
      <c r="F6396">
        <v>60.56666666666667</v>
      </c>
    </row>
    <row r="6397" spans="1:6" x14ac:dyDescent="0.25">
      <c r="A6397" s="1">
        <v>40664</v>
      </c>
      <c r="B6397" t="s">
        <v>13</v>
      </c>
      <c r="C6397" t="s">
        <v>6</v>
      </c>
      <c r="D6397">
        <v>44</v>
      </c>
      <c r="E6397" s="2">
        <v>4.6157407407407404E-2</v>
      </c>
      <c r="F6397">
        <v>66.466666666666669</v>
      </c>
    </row>
    <row r="6398" spans="1:6" x14ac:dyDescent="0.25">
      <c r="A6398" s="1">
        <v>40664</v>
      </c>
      <c r="B6398" t="s">
        <v>13</v>
      </c>
      <c r="C6398" t="s">
        <v>7</v>
      </c>
      <c r="D6398">
        <v>27</v>
      </c>
      <c r="E6398" s="2">
        <v>3.1053240740740742E-2</v>
      </c>
      <c r="F6398">
        <v>44.716666666666669</v>
      </c>
    </row>
    <row r="6399" spans="1:6" x14ac:dyDescent="0.25">
      <c r="A6399" s="1">
        <v>40664</v>
      </c>
      <c r="B6399" t="s">
        <v>13</v>
      </c>
      <c r="C6399" t="s">
        <v>8</v>
      </c>
      <c r="D6399">
        <v>26</v>
      </c>
      <c r="E6399" s="2">
        <v>3.4664351851851849E-2</v>
      </c>
      <c r="F6399">
        <v>49.916666666666664</v>
      </c>
    </row>
    <row r="6400" spans="1:6" x14ac:dyDescent="0.25">
      <c r="A6400" s="1">
        <v>40664</v>
      </c>
      <c r="B6400" t="s">
        <v>13</v>
      </c>
      <c r="C6400" t="s">
        <v>9</v>
      </c>
      <c r="D6400">
        <v>15</v>
      </c>
      <c r="E6400" s="2">
        <v>1.3726851851851851E-2</v>
      </c>
      <c r="F6400">
        <v>19.766666666666666</v>
      </c>
    </row>
    <row r="6401" spans="1:6" x14ac:dyDescent="0.25">
      <c r="A6401" s="1">
        <v>40664</v>
      </c>
      <c r="B6401" t="s">
        <v>13</v>
      </c>
      <c r="C6401" t="s">
        <v>10</v>
      </c>
      <c r="D6401">
        <v>16</v>
      </c>
      <c r="E6401" s="2">
        <v>2.4189814814814813E-2</v>
      </c>
      <c r="F6401">
        <v>34.833333333333336</v>
      </c>
    </row>
    <row r="6402" spans="1:6" x14ac:dyDescent="0.25">
      <c r="A6402" s="1">
        <v>40664</v>
      </c>
      <c r="B6402" t="s">
        <v>13</v>
      </c>
      <c r="C6402" t="s">
        <v>11</v>
      </c>
      <c r="D6402">
        <v>21</v>
      </c>
      <c r="E6402" s="2">
        <v>2.6319444444444444E-2</v>
      </c>
      <c r="F6402">
        <v>37.9</v>
      </c>
    </row>
    <row r="6403" spans="1:6" x14ac:dyDescent="0.25">
      <c r="A6403" s="1">
        <v>40664</v>
      </c>
      <c r="B6403" t="s">
        <v>14</v>
      </c>
      <c r="C6403" t="s">
        <v>6</v>
      </c>
      <c r="D6403">
        <v>20</v>
      </c>
      <c r="E6403" s="2">
        <v>2.4930555555555556E-2</v>
      </c>
      <c r="F6403">
        <v>35.9</v>
      </c>
    </row>
    <row r="6404" spans="1:6" x14ac:dyDescent="0.25">
      <c r="A6404" s="1">
        <v>40664</v>
      </c>
      <c r="B6404" t="s">
        <v>14</v>
      </c>
      <c r="C6404" t="s">
        <v>7</v>
      </c>
      <c r="D6404">
        <v>18</v>
      </c>
      <c r="E6404" s="2">
        <v>2.6944444444444444E-2</v>
      </c>
      <c r="F6404">
        <v>38.799999999999997</v>
      </c>
    </row>
    <row r="6405" spans="1:6" x14ac:dyDescent="0.25">
      <c r="A6405" s="1">
        <v>40664</v>
      </c>
      <c r="B6405" t="s">
        <v>14</v>
      </c>
      <c r="C6405" t="s">
        <v>8</v>
      </c>
      <c r="D6405">
        <v>11</v>
      </c>
      <c r="E6405" s="2">
        <v>1.2731481481481481E-2</v>
      </c>
      <c r="F6405">
        <v>18.333333333333332</v>
      </c>
    </row>
    <row r="6406" spans="1:6" x14ac:dyDescent="0.25">
      <c r="A6406" s="1">
        <v>40664</v>
      </c>
      <c r="B6406" t="s">
        <v>14</v>
      </c>
      <c r="C6406" t="s">
        <v>9</v>
      </c>
      <c r="D6406">
        <v>3</v>
      </c>
      <c r="E6406" s="2">
        <v>1.8865740740740742E-3</v>
      </c>
      <c r="F6406">
        <v>2.7166666666666668</v>
      </c>
    </row>
    <row r="6407" spans="1:6" x14ac:dyDescent="0.25">
      <c r="A6407" s="1">
        <v>40664</v>
      </c>
      <c r="B6407" t="s">
        <v>14</v>
      </c>
      <c r="C6407" t="s">
        <v>10</v>
      </c>
      <c r="D6407">
        <v>3</v>
      </c>
      <c r="E6407" s="2">
        <v>6.1689814814814819E-3</v>
      </c>
      <c r="F6407">
        <v>8.8833333333333329</v>
      </c>
    </row>
    <row r="6408" spans="1:6" x14ac:dyDescent="0.25">
      <c r="A6408" s="1">
        <v>40664</v>
      </c>
      <c r="B6408" t="s">
        <v>14</v>
      </c>
      <c r="C6408" t="s">
        <v>11</v>
      </c>
      <c r="D6408">
        <v>10</v>
      </c>
      <c r="E6408" s="2">
        <v>9.6064814814814815E-3</v>
      </c>
      <c r="F6408">
        <v>13.833333333333334</v>
      </c>
    </row>
    <row r="6409" spans="1:6" x14ac:dyDescent="0.25">
      <c r="A6409" s="1">
        <v>40664</v>
      </c>
      <c r="B6409" t="s">
        <v>15</v>
      </c>
      <c r="C6409" t="s">
        <v>6</v>
      </c>
      <c r="D6409">
        <v>48</v>
      </c>
      <c r="E6409" s="2">
        <v>4.9456018518518517E-2</v>
      </c>
      <c r="F6409">
        <v>71.216666666666669</v>
      </c>
    </row>
    <row r="6410" spans="1:6" x14ac:dyDescent="0.25">
      <c r="A6410" s="1">
        <v>40664</v>
      </c>
      <c r="B6410" t="s">
        <v>15</v>
      </c>
      <c r="C6410" t="s">
        <v>7</v>
      </c>
      <c r="D6410">
        <v>44</v>
      </c>
      <c r="E6410" s="2">
        <v>4.2812500000000003E-2</v>
      </c>
      <c r="F6410">
        <v>61.65</v>
      </c>
    </row>
    <row r="6411" spans="1:6" x14ac:dyDescent="0.25">
      <c r="A6411" s="1">
        <v>40664</v>
      </c>
      <c r="B6411" t="s">
        <v>15</v>
      </c>
      <c r="C6411" t="s">
        <v>8</v>
      </c>
      <c r="D6411">
        <v>27</v>
      </c>
      <c r="E6411" s="2">
        <v>2.7025462962962963E-2</v>
      </c>
      <c r="F6411">
        <v>38.916666666666664</v>
      </c>
    </row>
    <row r="6412" spans="1:6" x14ac:dyDescent="0.25">
      <c r="A6412" s="1">
        <v>40664</v>
      </c>
      <c r="B6412" t="s">
        <v>15</v>
      </c>
      <c r="C6412" t="s">
        <v>9</v>
      </c>
      <c r="D6412">
        <v>15</v>
      </c>
      <c r="E6412" s="2">
        <v>1.0266203703703704E-2</v>
      </c>
      <c r="F6412">
        <v>14.783333333333333</v>
      </c>
    </row>
    <row r="6413" spans="1:6" x14ac:dyDescent="0.25">
      <c r="A6413" s="1">
        <v>40664</v>
      </c>
      <c r="B6413" t="s">
        <v>15</v>
      </c>
      <c r="C6413" t="s">
        <v>10</v>
      </c>
      <c r="D6413">
        <v>21</v>
      </c>
      <c r="E6413" s="2">
        <v>2.1770833333333333E-2</v>
      </c>
      <c r="F6413">
        <v>31.35</v>
      </c>
    </row>
    <row r="6414" spans="1:6" x14ac:dyDescent="0.25">
      <c r="A6414" s="1">
        <v>40664</v>
      </c>
      <c r="B6414" t="s">
        <v>15</v>
      </c>
      <c r="C6414" t="s">
        <v>11</v>
      </c>
      <c r="D6414">
        <v>31</v>
      </c>
      <c r="E6414" s="2">
        <v>2.2291666666666668E-2</v>
      </c>
      <c r="F6414">
        <v>32.1</v>
      </c>
    </row>
    <row r="6415" spans="1:6" x14ac:dyDescent="0.25">
      <c r="A6415" s="1">
        <v>40664</v>
      </c>
      <c r="B6415" t="s">
        <v>16</v>
      </c>
      <c r="C6415" t="s">
        <v>6</v>
      </c>
      <c r="D6415">
        <v>27</v>
      </c>
      <c r="E6415" s="2">
        <v>2.3287037037037037E-2</v>
      </c>
      <c r="F6415">
        <v>33.533333333333331</v>
      </c>
    </row>
    <row r="6416" spans="1:6" x14ac:dyDescent="0.25">
      <c r="A6416" s="1">
        <v>40664</v>
      </c>
      <c r="B6416" t="s">
        <v>16</v>
      </c>
      <c r="C6416" t="s">
        <v>7</v>
      </c>
      <c r="D6416">
        <v>20</v>
      </c>
      <c r="E6416" s="2">
        <v>2.0011574074074074E-2</v>
      </c>
      <c r="F6416">
        <v>28.816666666666666</v>
      </c>
    </row>
    <row r="6417" spans="1:6" x14ac:dyDescent="0.25">
      <c r="A6417" s="1">
        <v>40664</v>
      </c>
      <c r="B6417" t="s">
        <v>16</v>
      </c>
      <c r="C6417" t="s">
        <v>8</v>
      </c>
      <c r="D6417">
        <v>25</v>
      </c>
      <c r="E6417" s="2">
        <v>1.8333333333333333E-2</v>
      </c>
      <c r="F6417">
        <v>26.4</v>
      </c>
    </row>
    <row r="6418" spans="1:6" x14ac:dyDescent="0.25">
      <c r="A6418" s="1">
        <v>40664</v>
      </c>
      <c r="B6418" t="s">
        <v>16</v>
      </c>
      <c r="C6418" t="s">
        <v>9</v>
      </c>
      <c r="D6418">
        <v>8</v>
      </c>
      <c r="E6418" s="2">
        <v>5.7638888888888887E-3</v>
      </c>
      <c r="F6418">
        <v>8.3000000000000007</v>
      </c>
    </row>
    <row r="6419" spans="1:6" x14ac:dyDescent="0.25">
      <c r="A6419" s="1">
        <v>40664</v>
      </c>
      <c r="B6419" t="s">
        <v>16</v>
      </c>
      <c r="C6419" t="s">
        <v>10</v>
      </c>
      <c r="D6419">
        <v>1</v>
      </c>
      <c r="E6419" s="2">
        <v>9.9537037037037042E-4</v>
      </c>
      <c r="F6419">
        <v>1.4333333333333333</v>
      </c>
    </row>
    <row r="6420" spans="1:6" x14ac:dyDescent="0.25">
      <c r="A6420" s="1">
        <v>40664</v>
      </c>
      <c r="B6420" t="s">
        <v>16</v>
      </c>
      <c r="C6420" t="s">
        <v>11</v>
      </c>
      <c r="D6420">
        <v>35</v>
      </c>
      <c r="E6420" s="2">
        <v>2.4270833333333332E-2</v>
      </c>
      <c r="F6420">
        <v>34.950000000000003</v>
      </c>
    </row>
    <row r="6421" spans="1:6" x14ac:dyDescent="0.25">
      <c r="A6421" s="1">
        <v>40664</v>
      </c>
      <c r="B6421" t="s">
        <v>17</v>
      </c>
      <c r="C6421" t="s">
        <v>6</v>
      </c>
      <c r="D6421">
        <v>16</v>
      </c>
      <c r="E6421" s="2">
        <v>1.5462962962962963E-2</v>
      </c>
      <c r="F6421">
        <v>22.266666666666666</v>
      </c>
    </row>
    <row r="6422" spans="1:6" x14ac:dyDescent="0.25">
      <c r="A6422" s="1">
        <v>40664</v>
      </c>
      <c r="B6422" t="s">
        <v>17</v>
      </c>
      <c r="C6422" t="s">
        <v>7</v>
      </c>
      <c r="D6422">
        <v>15</v>
      </c>
      <c r="E6422" s="2">
        <v>1.2488425925925925E-2</v>
      </c>
      <c r="F6422">
        <v>17.983333333333334</v>
      </c>
    </row>
    <row r="6423" spans="1:6" x14ac:dyDescent="0.25">
      <c r="A6423" s="1">
        <v>40664</v>
      </c>
      <c r="B6423" t="s">
        <v>17</v>
      </c>
      <c r="C6423" t="s">
        <v>8</v>
      </c>
      <c r="D6423">
        <v>15</v>
      </c>
      <c r="E6423" s="2">
        <v>1.6631944444444446E-2</v>
      </c>
      <c r="F6423">
        <v>23.95</v>
      </c>
    </row>
    <row r="6424" spans="1:6" x14ac:dyDescent="0.25">
      <c r="A6424" s="1">
        <v>40664</v>
      </c>
      <c r="B6424" t="s">
        <v>17</v>
      </c>
      <c r="C6424" t="s">
        <v>9</v>
      </c>
      <c r="D6424">
        <v>5</v>
      </c>
      <c r="E6424" s="2">
        <v>4.3287037037037035E-3</v>
      </c>
      <c r="F6424">
        <v>6.2333333333333334</v>
      </c>
    </row>
    <row r="6425" spans="1:6" x14ac:dyDescent="0.25">
      <c r="A6425" s="1">
        <v>40664</v>
      </c>
      <c r="B6425" t="s">
        <v>17</v>
      </c>
      <c r="C6425" t="s">
        <v>10</v>
      </c>
      <c r="D6425">
        <v>10</v>
      </c>
      <c r="E6425" s="2">
        <v>1.224537037037037E-2</v>
      </c>
      <c r="F6425">
        <v>17.633333333333333</v>
      </c>
    </row>
    <row r="6426" spans="1:6" x14ac:dyDescent="0.25">
      <c r="A6426" s="1">
        <v>40664</v>
      </c>
      <c r="B6426" t="s">
        <v>17</v>
      </c>
      <c r="C6426" t="s">
        <v>11</v>
      </c>
      <c r="D6426">
        <v>10</v>
      </c>
      <c r="E6426" s="2">
        <v>6.2847222222222219E-3</v>
      </c>
      <c r="F6426">
        <v>9.0500000000000007</v>
      </c>
    </row>
    <row r="6427" spans="1:6" x14ac:dyDescent="0.25">
      <c r="A6427" s="1">
        <v>40664</v>
      </c>
      <c r="B6427" t="s">
        <v>18</v>
      </c>
      <c r="C6427" t="s">
        <v>6</v>
      </c>
      <c r="D6427">
        <v>120</v>
      </c>
      <c r="E6427" s="2">
        <v>0.11472222222222223</v>
      </c>
      <c r="F6427">
        <v>165.2</v>
      </c>
    </row>
    <row r="6428" spans="1:6" x14ac:dyDescent="0.25">
      <c r="A6428" s="1">
        <v>40664</v>
      </c>
      <c r="B6428" t="s">
        <v>18</v>
      </c>
      <c r="C6428" t="s">
        <v>7</v>
      </c>
      <c r="D6428">
        <v>157</v>
      </c>
      <c r="E6428" s="2">
        <v>0.11953703703703704</v>
      </c>
      <c r="F6428">
        <v>172.13333333333333</v>
      </c>
    </row>
    <row r="6429" spans="1:6" x14ac:dyDescent="0.25">
      <c r="A6429" s="1">
        <v>40664</v>
      </c>
      <c r="B6429" t="s">
        <v>18</v>
      </c>
      <c r="C6429" t="s">
        <v>8</v>
      </c>
      <c r="D6429">
        <v>128</v>
      </c>
      <c r="E6429" s="2">
        <v>0.11172453703703704</v>
      </c>
      <c r="F6429">
        <v>160.88333333333333</v>
      </c>
    </row>
    <row r="6430" spans="1:6" x14ac:dyDescent="0.25">
      <c r="A6430" s="1">
        <v>40664</v>
      </c>
      <c r="B6430" t="s">
        <v>18</v>
      </c>
      <c r="C6430" t="s">
        <v>9</v>
      </c>
      <c r="D6430">
        <v>86</v>
      </c>
      <c r="E6430" s="2">
        <v>6.1886574074074073E-2</v>
      </c>
      <c r="F6430">
        <v>89.11666666666666</v>
      </c>
    </row>
    <row r="6431" spans="1:6" x14ac:dyDescent="0.25">
      <c r="A6431" s="1">
        <v>40664</v>
      </c>
      <c r="B6431" t="s">
        <v>18</v>
      </c>
      <c r="C6431" t="s">
        <v>10</v>
      </c>
      <c r="D6431">
        <v>172</v>
      </c>
      <c r="E6431" s="2">
        <v>0.18567129629629631</v>
      </c>
      <c r="F6431">
        <v>267.36666666666667</v>
      </c>
    </row>
    <row r="6432" spans="1:6" x14ac:dyDescent="0.25">
      <c r="A6432" s="1">
        <v>40664</v>
      </c>
      <c r="B6432" t="s">
        <v>18</v>
      </c>
      <c r="C6432" t="s">
        <v>11</v>
      </c>
      <c r="D6432">
        <v>94</v>
      </c>
      <c r="E6432" s="2">
        <v>5.5381944444444442E-2</v>
      </c>
      <c r="F6432">
        <v>79.75</v>
      </c>
    </row>
    <row r="6433" spans="1:6" x14ac:dyDescent="0.25">
      <c r="A6433" s="1">
        <v>40664</v>
      </c>
      <c r="B6433" t="s">
        <v>19</v>
      </c>
      <c r="C6433" t="s">
        <v>6</v>
      </c>
      <c r="D6433">
        <v>131</v>
      </c>
      <c r="E6433" s="2">
        <v>0.14712962962962964</v>
      </c>
      <c r="F6433">
        <v>211.86666666666667</v>
      </c>
    </row>
    <row r="6434" spans="1:6" x14ac:dyDescent="0.25">
      <c r="A6434" s="1">
        <v>40664</v>
      </c>
      <c r="B6434" t="s">
        <v>19</v>
      </c>
      <c r="C6434" t="s">
        <v>7</v>
      </c>
      <c r="D6434">
        <v>130</v>
      </c>
      <c r="E6434" s="2">
        <v>0.12909722222222222</v>
      </c>
      <c r="F6434">
        <v>185.9</v>
      </c>
    </row>
    <row r="6435" spans="1:6" x14ac:dyDescent="0.25">
      <c r="A6435" s="1">
        <v>40664</v>
      </c>
      <c r="B6435" t="s">
        <v>19</v>
      </c>
      <c r="C6435" t="s">
        <v>8</v>
      </c>
      <c r="D6435">
        <v>81</v>
      </c>
      <c r="E6435" s="2">
        <v>9.1678240740740741E-2</v>
      </c>
      <c r="F6435">
        <v>132.01666666666668</v>
      </c>
    </row>
    <row r="6436" spans="1:6" x14ac:dyDescent="0.25">
      <c r="A6436" s="1">
        <v>40664</v>
      </c>
      <c r="B6436" t="s">
        <v>19</v>
      </c>
      <c r="C6436" t="s">
        <v>9</v>
      </c>
      <c r="D6436">
        <v>51</v>
      </c>
      <c r="E6436" s="2">
        <v>4.3680555555555556E-2</v>
      </c>
      <c r="F6436">
        <v>62.9</v>
      </c>
    </row>
    <row r="6437" spans="1:6" x14ac:dyDescent="0.25">
      <c r="A6437" s="1">
        <v>40664</v>
      </c>
      <c r="B6437" t="s">
        <v>19</v>
      </c>
      <c r="C6437" t="s">
        <v>10</v>
      </c>
      <c r="D6437">
        <v>25</v>
      </c>
      <c r="E6437" s="2">
        <v>2.8101851851851854E-2</v>
      </c>
      <c r="F6437">
        <v>40.466666666666669</v>
      </c>
    </row>
    <row r="6438" spans="1:6" x14ac:dyDescent="0.25">
      <c r="A6438" s="1">
        <v>40664</v>
      </c>
      <c r="B6438" t="s">
        <v>19</v>
      </c>
      <c r="C6438" t="s">
        <v>11</v>
      </c>
      <c r="D6438">
        <v>78</v>
      </c>
      <c r="E6438" s="2">
        <v>6.637731481481482E-2</v>
      </c>
      <c r="F6438">
        <v>95.583333333333329</v>
      </c>
    </row>
    <row r="6439" spans="1:6" x14ac:dyDescent="0.25">
      <c r="A6439" s="1">
        <v>40664</v>
      </c>
      <c r="B6439" t="s">
        <v>20</v>
      </c>
      <c r="C6439" t="s">
        <v>6</v>
      </c>
      <c r="D6439">
        <v>64</v>
      </c>
      <c r="E6439" s="2">
        <v>6.9768518518518521E-2</v>
      </c>
      <c r="F6439">
        <v>100.46666666666667</v>
      </c>
    </row>
    <row r="6440" spans="1:6" x14ac:dyDescent="0.25">
      <c r="A6440" s="1">
        <v>40664</v>
      </c>
      <c r="B6440" t="s">
        <v>20</v>
      </c>
      <c r="C6440" t="s">
        <v>7</v>
      </c>
      <c r="D6440">
        <v>71</v>
      </c>
      <c r="E6440" s="2">
        <v>8.216435185185185E-2</v>
      </c>
      <c r="F6440">
        <v>118.31666666666666</v>
      </c>
    </row>
    <row r="6441" spans="1:6" x14ac:dyDescent="0.25">
      <c r="A6441" s="1">
        <v>40664</v>
      </c>
      <c r="B6441" t="s">
        <v>20</v>
      </c>
      <c r="C6441" t="s">
        <v>8</v>
      </c>
      <c r="D6441">
        <v>48</v>
      </c>
      <c r="E6441" s="2">
        <v>4.8784722222222222E-2</v>
      </c>
      <c r="F6441">
        <v>70.25</v>
      </c>
    </row>
    <row r="6442" spans="1:6" x14ac:dyDescent="0.25">
      <c r="A6442" s="1">
        <v>40664</v>
      </c>
      <c r="B6442" t="s">
        <v>20</v>
      </c>
      <c r="C6442" t="s">
        <v>9</v>
      </c>
      <c r="D6442">
        <v>29</v>
      </c>
      <c r="E6442" s="2">
        <v>2.4270833333333332E-2</v>
      </c>
      <c r="F6442">
        <v>34.950000000000003</v>
      </c>
    </row>
    <row r="6443" spans="1:6" x14ac:dyDescent="0.25">
      <c r="A6443" s="1">
        <v>40664</v>
      </c>
      <c r="B6443" t="s">
        <v>20</v>
      </c>
      <c r="C6443" t="s">
        <v>10</v>
      </c>
      <c r="D6443">
        <v>4</v>
      </c>
      <c r="E6443" s="2">
        <v>7.083333333333333E-3</v>
      </c>
      <c r="F6443">
        <v>10.199999999999999</v>
      </c>
    </row>
    <row r="6444" spans="1:6" x14ac:dyDescent="0.25">
      <c r="A6444" s="1">
        <v>40664</v>
      </c>
      <c r="B6444" t="s">
        <v>20</v>
      </c>
      <c r="C6444" t="s">
        <v>11</v>
      </c>
      <c r="D6444">
        <v>44</v>
      </c>
      <c r="E6444" s="2">
        <v>3.09375E-2</v>
      </c>
      <c r="F6444">
        <v>44.55</v>
      </c>
    </row>
    <row r="6445" spans="1:6" x14ac:dyDescent="0.25">
      <c r="A6445" s="1">
        <v>40664</v>
      </c>
      <c r="B6445" t="s">
        <v>21</v>
      </c>
      <c r="C6445" t="s">
        <v>6</v>
      </c>
      <c r="D6445">
        <v>36</v>
      </c>
      <c r="E6445" s="2">
        <v>4.1828703703703701E-2</v>
      </c>
      <c r="F6445">
        <v>60.233333333333334</v>
      </c>
    </row>
    <row r="6446" spans="1:6" x14ac:dyDescent="0.25">
      <c r="A6446" s="1">
        <v>40664</v>
      </c>
      <c r="B6446" t="s">
        <v>21</v>
      </c>
      <c r="C6446" t="s">
        <v>7</v>
      </c>
      <c r="D6446">
        <v>44</v>
      </c>
      <c r="E6446" s="2">
        <v>5.4930555555555559E-2</v>
      </c>
      <c r="F6446">
        <v>79.099999999999994</v>
      </c>
    </row>
    <row r="6447" spans="1:6" x14ac:dyDescent="0.25">
      <c r="A6447" s="1">
        <v>40664</v>
      </c>
      <c r="B6447" t="s">
        <v>21</v>
      </c>
      <c r="C6447" t="s">
        <v>8</v>
      </c>
      <c r="D6447">
        <v>36</v>
      </c>
      <c r="E6447" s="2">
        <v>4.4722222222222219E-2</v>
      </c>
      <c r="F6447">
        <v>64.400000000000006</v>
      </c>
    </row>
    <row r="6448" spans="1:6" x14ac:dyDescent="0.25">
      <c r="A6448" s="1">
        <v>40664</v>
      </c>
      <c r="B6448" t="s">
        <v>21</v>
      </c>
      <c r="C6448" t="s">
        <v>9</v>
      </c>
      <c r="D6448">
        <v>15</v>
      </c>
      <c r="E6448" s="2">
        <v>1.2604166666666666E-2</v>
      </c>
      <c r="F6448">
        <v>18.149999999999999</v>
      </c>
    </row>
    <row r="6449" spans="1:6" x14ac:dyDescent="0.25">
      <c r="A6449" s="1">
        <v>40664</v>
      </c>
      <c r="B6449" t="s">
        <v>21</v>
      </c>
      <c r="C6449" t="s">
        <v>10</v>
      </c>
      <c r="D6449">
        <v>7</v>
      </c>
      <c r="E6449" s="2">
        <v>7.037037037037037E-3</v>
      </c>
      <c r="F6449">
        <v>10.133333333333333</v>
      </c>
    </row>
    <row r="6450" spans="1:6" x14ac:dyDescent="0.25">
      <c r="A6450" s="1">
        <v>40664</v>
      </c>
      <c r="B6450" t="s">
        <v>21</v>
      </c>
      <c r="C6450" t="s">
        <v>11</v>
      </c>
      <c r="D6450">
        <v>35</v>
      </c>
      <c r="E6450" s="2">
        <v>3.4201388888888892E-2</v>
      </c>
      <c r="F6450">
        <v>49.25</v>
      </c>
    </row>
    <row r="6451" spans="1:6" x14ac:dyDescent="0.25">
      <c r="A6451" s="1">
        <v>40664</v>
      </c>
      <c r="B6451" t="s">
        <v>22</v>
      </c>
      <c r="C6451" t="s">
        <v>6</v>
      </c>
      <c r="D6451">
        <v>11</v>
      </c>
      <c r="E6451" s="2">
        <v>1.0555555555555556E-2</v>
      </c>
      <c r="F6451">
        <v>15.2</v>
      </c>
    </row>
    <row r="6452" spans="1:6" x14ac:dyDescent="0.25">
      <c r="A6452" s="1">
        <v>40664</v>
      </c>
      <c r="B6452" t="s">
        <v>22</v>
      </c>
      <c r="C6452" t="s">
        <v>7</v>
      </c>
      <c r="D6452">
        <v>6</v>
      </c>
      <c r="E6452" s="2">
        <v>6.3078703703703708E-3</v>
      </c>
      <c r="F6452">
        <v>9.0833333333333339</v>
      </c>
    </row>
    <row r="6453" spans="1:6" x14ac:dyDescent="0.25">
      <c r="A6453" s="1">
        <v>40664</v>
      </c>
      <c r="B6453" t="s">
        <v>22</v>
      </c>
      <c r="C6453" t="s">
        <v>8</v>
      </c>
      <c r="D6453">
        <v>6</v>
      </c>
      <c r="E6453" s="2">
        <v>8.9583333333333338E-3</v>
      </c>
      <c r="F6453">
        <v>12.9</v>
      </c>
    </row>
    <row r="6454" spans="1:6" x14ac:dyDescent="0.25">
      <c r="A6454" s="1">
        <v>40664</v>
      </c>
      <c r="B6454" t="s">
        <v>22</v>
      </c>
      <c r="C6454" t="s">
        <v>9</v>
      </c>
      <c r="D6454">
        <v>2</v>
      </c>
      <c r="E6454" s="2">
        <v>1.2268518518518518E-3</v>
      </c>
      <c r="F6454">
        <v>1.7666666666666666</v>
      </c>
    </row>
    <row r="6455" spans="1:6" x14ac:dyDescent="0.25">
      <c r="A6455" s="1">
        <v>40664</v>
      </c>
      <c r="B6455" t="s">
        <v>22</v>
      </c>
      <c r="C6455" t="s">
        <v>10</v>
      </c>
      <c r="D6455">
        <v>0</v>
      </c>
      <c r="E6455" s="2">
        <v>0</v>
      </c>
      <c r="F6455">
        <v>0</v>
      </c>
    </row>
    <row r="6456" spans="1:6" x14ac:dyDescent="0.25">
      <c r="A6456" s="1">
        <v>40664</v>
      </c>
      <c r="B6456" t="s">
        <v>22</v>
      </c>
      <c r="C6456" t="s">
        <v>11</v>
      </c>
      <c r="D6456">
        <v>8</v>
      </c>
      <c r="E6456" s="2">
        <v>7.4884259259259262E-3</v>
      </c>
      <c r="F6456">
        <v>10.783333333333333</v>
      </c>
    </row>
    <row r="6457" spans="1:6" x14ac:dyDescent="0.25">
      <c r="A6457" s="1">
        <v>40664</v>
      </c>
      <c r="B6457" t="s">
        <v>23</v>
      </c>
      <c r="C6457" t="s">
        <v>6</v>
      </c>
      <c r="D6457">
        <v>114</v>
      </c>
      <c r="E6457" s="2">
        <v>0.12177083333333333</v>
      </c>
      <c r="F6457">
        <v>175.35</v>
      </c>
    </row>
    <row r="6458" spans="1:6" x14ac:dyDescent="0.25">
      <c r="A6458" s="1">
        <v>40664</v>
      </c>
      <c r="B6458" t="s">
        <v>23</v>
      </c>
      <c r="C6458" t="s">
        <v>7</v>
      </c>
      <c r="D6458">
        <v>87</v>
      </c>
      <c r="E6458" s="2">
        <v>0.10634259259259259</v>
      </c>
      <c r="F6458">
        <v>153.13333333333333</v>
      </c>
    </row>
    <row r="6459" spans="1:6" x14ac:dyDescent="0.25">
      <c r="A6459" s="1">
        <v>40664</v>
      </c>
      <c r="B6459" t="s">
        <v>23</v>
      </c>
      <c r="C6459" t="s">
        <v>8</v>
      </c>
      <c r="D6459">
        <v>61</v>
      </c>
      <c r="E6459" s="2">
        <v>6.8182870370370366E-2</v>
      </c>
      <c r="F6459">
        <v>98.183333333333337</v>
      </c>
    </row>
    <row r="6460" spans="1:6" x14ac:dyDescent="0.25">
      <c r="A6460" s="1">
        <v>40664</v>
      </c>
      <c r="B6460" t="s">
        <v>23</v>
      </c>
      <c r="C6460" t="s">
        <v>9</v>
      </c>
      <c r="D6460">
        <v>32</v>
      </c>
      <c r="E6460" s="2">
        <v>2.3252314814814816E-2</v>
      </c>
      <c r="F6460">
        <v>33.483333333333334</v>
      </c>
    </row>
    <row r="6461" spans="1:6" x14ac:dyDescent="0.25">
      <c r="A6461" s="1">
        <v>40664</v>
      </c>
      <c r="B6461" t="s">
        <v>23</v>
      </c>
      <c r="C6461" t="s">
        <v>10</v>
      </c>
      <c r="D6461">
        <v>38</v>
      </c>
      <c r="E6461" s="2">
        <v>4.5555555555555557E-2</v>
      </c>
      <c r="F6461">
        <v>65.599999999999994</v>
      </c>
    </row>
    <row r="6462" spans="1:6" x14ac:dyDescent="0.25">
      <c r="A6462" s="1">
        <v>40664</v>
      </c>
      <c r="B6462" t="s">
        <v>23</v>
      </c>
      <c r="C6462" t="s">
        <v>11</v>
      </c>
      <c r="D6462">
        <v>99</v>
      </c>
      <c r="E6462" s="2">
        <v>8.3113425925925924E-2</v>
      </c>
      <c r="F6462">
        <v>119.68333333333334</v>
      </c>
    </row>
    <row r="6463" spans="1:6" x14ac:dyDescent="0.25">
      <c r="A6463" s="1">
        <v>40664</v>
      </c>
      <c r="B6463" t="s">
        <v>24</v>
      </c>
      <c r="C6463" t="s">
        <v>6</v>
      </c>
      <c r="D6463">
        <v>59</v>
      </c>
      <c r="E6463" s="2">
        <v>5.5567129629629633E-2</v>
      </c>
      <c r="F6463">
        <v>80.016666666666666</v>
      </c>
    </row>
    <row r="6464" spans="1:6" x14ac:dyDescent="0.25">
      <c r="A6464" s="1">
        <v>40664</v>
      </c>
      <c r="B6464" t="s">
        <v>24</v>
      </c>
      <c r="C6464" t="s">
        <v>7</v>
      </c>
      <c r="D6464">
        <v>72</v>
      </c>
      <c r="E6464" s="2">
        <v>5.4849537037037037E-2</v>
      </c>
      <c r="F6464">
        <v>78.983333333333334</v>
      </c>
    </row>
    <row r="6465" spans="1:6" x14ac:dyDescent="0.25">
      <c r="A6465" s="1">
        <v>40664</v>
      </c>
      <c r="B6465" t="s">
        <v>24</v>
      </c>
      <c r="C6465" t="s">
        <v>8</v>
      </c>
      <c r="D6465">
        <v>41</v>
      </c>
      <c r="E6465" s="2">
        <v>3.4236111111111113E-2</v>
      </c>
      <c r="F6465">
        <v>49.3</v>
      </c>
    </row>
    <row r="6466" spans="1:6" x14ac:dyDescent="0.25">
      <c r="A6466" s="1">
        <v>40664</v>
      </c>
      <c r="B6466" t="s">
        <v>24</v>
      </c>
      <c r="C6466" t="s">
        <v>9</v>
      </c>
      <c r="D6466">
        <v>13</v>
      </c>
      <c r="E6466" s="2">
        <v>1.0104166666666666E-2</v>
      </c>
      <c r="F6466">
        <v>14.55</v>
      </c>
    </row>
    <row r="6467" spans="1:6" x14ac:dyDescent="0.25">
      <c r="A6467" s="1">
        <v>40664</v>
      </c>
      <c r="B6467" t="s">
        <v>24</v>
      </c>
      <c r="C6467" t="s">
        <v>10</v>
      </c>
      <c r="D6467">
        <v>8</v>
      </c>
      <c r="E6467" s="2">
        <v>1.0081018518518519E-2</v>
      </c>
      <c r="F6467">
        <v>14.516666666666667</v>
      </c>
    </row>
    <row r="6468" spans="1:6" x14ac:dyDescent="0.25">
      <c r="A6468" s="1">
        <v>40664</v>
      </c>
      <c r="B6468" t="s">
        <v>24</v>
      </c>
      <c r="C6468" t="s">
        <v>11</v>
      </c>
      <c r="D6468">
        <v>41</v>
      </c>
      <c r="E6468" s="2">
        <v>2.5196759259259259E-2</v>
      </c>
      <c r="F6468">
        <v>36.283333333333331</v>
      </c>
    </row>
    <row r="6469" spans="1:6" x14ac:dyDescent="0.25">
      <c r="A6469" s="1">
        <v>40695</v>
      </c>
      <c r="B6469" t="s">
        <v>5</v>
      </c>
      <c r="C6469" t="s">
        <v>6</v>
      </c>
      <c r="D6469">
        <v>22</v>
      </c>
      <c r="E6469" s="2">
        <v>1.9282407407407408E-2</v>
      </c>
      <c r="F6469">
        <v>27.766666666666666</v>
      </c>
    </row>
    <row r="6470" spans="1:6" x14ac:dyDescent="0.25">
      <c r="A6470" s="1">
        <v>40695</v>
      </c>
      <c r="B6470" t="s">
        <v>5</v>
      </c>
      <c r="C6470" t="s">
        <v>7</v>
      </c>
      <c r="D6470">
        <v>26</v>
      </c>
      <c r="E6470" s="2">
        <v>2.0416666666666666E-2</v>
      </c>
      <c r="F6470">
        <v>29.4</v>
      </c>
    </row>
    <row r="6471" spans="1:6" x14ac:dyDescent="0.25">
      <c r="A6471" s="1">
        <v>40695</v>
      </c>
      <c r="B6471" t="s">
        <v>5</v>
      </c>
      <c r="C6471" t="s">
        <v>8</v>
      </c>
      <c r="D6471">
        <v>28</v>
      </c>
      <c r="E6471" s="2">
        <v>2.3449074074074074E-2</v>
      </c>
      <c r="F6471">
        <v>33.766666666666666</v>
      </c>
    </row>
    <row r="6472" spans="1:6" x14ac:dyDescent="0.25">
      <c r="A6472" s="1">
        <v>40695</v>
      </c>
      <c r="B6472" t="s">
        <v>5</v>
      </c>
      <c r="C6472" t="s">
        <v>9</v>
      </c>
      <c r="D6472">
        <v>12</v>
      </c>
      <c r="E6472" s="2">
        <v>5.6944444444444447E-3</v>
      </c>
      <c r="F6472">
        <v>8.1999999999999993</v>
      </c>
    </row>
    <row r="6473" spans="1:6" x14ac:dyDescent="0.25">
      <c r="A6473" s="1">
        <v>40695</v>
      </c>
      <c r="B6473" t="s">
        <v>5</v>
      </c>
      <c r="C6473" t="s">
        <v>10</v>
      </c>
      <c r="D6473">
        <v>0</v>
      </c>
      <c r="E6473" s="2">
        <v>0</v>
      </c>
      <c r="F6473">
        <v>0</v>
      </c>
    </row>
    <row r="6474" spans="1:6" x14ac:dyDescent="0.25">
      <c r="A6474" s="1">
        <v>40695</v>
      </c>
      <c r="B6474" t="s">
        <v>5</v>
      </c>
      <c r="C6474" t="s">
        <v>11</v>
      </c>
      <c r="D6474">
        <v>23</v>
      </c>
      <c r="E6474" s="2">
        <v>1.8842592592592591E-2</v>
      </c>
      <c r="F6474">
        <v>27.133333333333333</v>
      </c>
    </row>
    <row r="6475" spans="1:6" x14ac:dyDescent="0.25">
      <c r="A6475" s="1">
        <v>40695</v>
      </c>
      <c r="B6475" t="s">
        <v>12</v>
      </c>
      <c r="C6475" t="s">
        <v>6</v>
      </c>
      <c r="D6475">
        <v>43</v>
      </c>
      <c r="E6475" s="2">
        <v>5.5381944444444442E-2</v>
      </c>
      <c r="F6475">
        <v>79.75</v>
      </c>
    </row>
    <row r="6476" spans="1:6" x14ac:dyDescent="0.25">
      <c r="A6476" s="1">
        <v>40695</v>
      </c>
      <c r="B6476" t="s">
        <v>12</v>
      </c>
      <c r="C6476" t="s">
        <v>7</v>
      </c>
      <c r="D6476">
        <v>30</v>
      </c>
      <c r="E6476" s="2">
        <v>2.9594907407407407E-2</v>
      </c>
      <c r="F6476">
        <v>42.616666666666667</v>
      </c>
    </row>
    <row r="6477" spans="1:6" x14ac:dyDescent="0.25">
      <c r="A6477" s="1">
        <v>40695</v>
      </c>
      <c r="B6477" t="s">
        <v>12</v>
      </c>
      <c r="C6477" t="s">
        <v>8</v>
      </c>
      <c r="D6477">
        <v>20</v>
      </c>
      <c r="E6477" s="2">
        <v>3.0694444444444444E-2</v>
      </c>
      <c r="F6477">
        <v>44.2</v>
      </c>
    </row>
    <row r="6478" spans="1:6" x14ac:dyDescent="0.25">
      <c r="A6478" s="1">
        <v>40695</v>
      </c>
      <c r="B6478" t="s">
        <v>12</v>
      </c>
      <c r="C6478" t="s">
        <v>9</v>
      </c>
      <c r="D6478">
        <v>5</v>
      </c>
      <c r="E6478" s="2">
        <v>2.8819444444444444E-3</v>
      </c>
      <c r="F6478">
        <v>4.1500000000000004</v>
      </c>
    </row>
    <row r="6479" spans="1:6" x14ac:dyDescent="0.25">
      <c r="A6479" s="1">
        <v>40695</v>
      </c>
      <c r="B6479" t="s">
        <v>12</v>
      </c>
      <c r="C6479" t="s">
        <v>10</v>
      </c>
      <c r="D6479">
        <v>70</v>
      </c>
      <c r="E6479" s="2">
        <v>0.11571759259259259</v>
      </c>
      <c r="F6479">
        <v>166.63333333333333</v>
      </c>
    </row>
    <row r="6480" spans="1:6" x14ac:dyDescent="0.25">
      <c r="A6480" s="1">
        <v>40695</v>
      </c>
      <c r="B6480" t="s">
        <v>12</v>
      </c>
      <c r="C6480" t="s">
        <v>11</v>
      </c>
      <c r="D6480">
        <v>42</v>
      </c>
      <c r="E6480" s="2">
        <v>3.9247685185185184E-2</v>
      </c>
      <c r="F6480">
        <v>56.516666666666666</v>
      </c>
    </row>
    <row r="6481" spans="1:6" x14ac:dyDescent="0.25">
      <c r="A6481" s="1">
        <v>40695</v>
      </c>
      <c r="B6481" t="s">
        <v>13</v>
      </c>
      <c r="C6481" t="s">
        <v>6</v>
      </c>
      <c r="D6481">
        <v>53</v>
      </c>
      <c r="E6481" s="2">
        <v>5.6828703703703701E-2</v>
      </c>
      <c r="F6481">
        <v>81.833333333333329</v>
      </c>
    </row>
    <row r="6482" spans="1:6" x14ac:dyDescent="0.25">
      <c r="A6482" s="1">
        <v>40695</v>
      </c>
      <c r="B6482" t="s">
        <v>13</v>
      </c>
      <c r="C6482" t="s">
        <v>7</v>
      </c>
      <c r="D6482">
        <v>51</v>
      </c>
      <c r="E6482" s="2">
        <v>5.2962962962962962E-2</v>
      </c>
      <c r="F6482">
        <v>76.266666666666666</v>
      </c>
    </row>
    <row r="6483" spans="1:6" x14ac:dyDescent="0.25">
      <c r="A6483" s="1">
        <v>40695</v>
      </c>
      <c r="B6483" t="s">
        <v>13</v>
      </c>
      <c r="C6483" t="s">
        <v>8</v>
      </c>
      <c r="D6483">
        <v>42</v>
      </c>
      <c r="E6483" s="2">
        <v>4.3657407407407409E-2</v>
      </c>
      <c r="F6483">
        <v>62.866666666666667</v>
      </c>
    </row>
    <row r="6484" spans="1:6" x14ac:dyDescent="0.25">
      <c r="A6484" s="1">
        <v>40695</v>
      </c>
      <c r="B6484" t="s">
        <v>13</v>
      </c>
      <c r="C6484" t="s">
        <v>9</v>
      </c>
      <c r="D6484">
        <v>16</v>
      </c>
      <c r="E6484" s="2">
        <v>1.1446759259259259E-2</v>
      </c>
      <c r="F6484">
        <v>16.483333333333334</v>
      </c>
    </row>
    <row r="6485" spans="1:6" x14ac:dyDescent="0.25">
      <c r="A6485" s="1">
        <v>40695</v>
      </c>
      <c r="B6485" t="s">
        <v>13</v>
      </c>
      <c r="C6485" t="s">
        <v>10</v>
      </c>
      <c r="D6485">
        <v>26</v>
      </c>
      <c r="E6485" s="2">
        <v>3.5856481481481482E-2</v>
      </c>
      <c r="F6485">
        <v>51.633333333333333</v>
      </c>
    </row>
    <row r="6486" spans="1:6" x14ac:dyDescent="0.25">
      <c r="A6486" s="1">
        <v>40695</v>
      </c>
      <c r="B6486" t="s">
        <v>13</v>
      </c>
      <c r="C6486" t="s">
        <v>11</v>
      </c>
      <c r="D6486">
        <v>28</v>
      </c>
      <c r="E6486" s="2">
        <v>2.6180555555555554E-2</v>
      </c>
      <c r="F6486">
        <v>37.700000000000003</v>
      </c>
    </row>
    <row r="6487" spans="1:6" x14ac:dyDescent="0.25">
      <c r="A6487" s="1">
        <v>40695</v>
      </c>
      <c r="B6487" t="s">
        <v>14</v>
      </c>
      <c r="C6487" t="s">
        <v>6</v>
      </c>
      <c r="D6487">
        <v>39</v>
      </c>
      <c r="E6487" s="2">
        <v>4.5439814814814815E-2</v>
      </c>
      <c r="F6487">
        <v>65.433333333333337</v>
      </c>
    </row>
    <row r="6488" spans="1:6" x14ac:dyDescent="0.25">
      <c r="A6488" s="1">
        <v>40695</v>
      </c>
      <c r="B6488" t="s">
        <v>14</v>
      </c>
      <c r="C6488" t="s">
        <v>7</v>
      </c>
      <c r="D6488">
        <v>29</v>
      </c>
      <c r="E6488" s="2">
        <v>3.5196759259259261E-2</v>
      </c>
      <c r="F6488">
        <v>50.68333333333333</v>
      </c>
    </row>
    <row r="6489" spans="1:6" x14ac:dyDescent="0.25">
      <c r="A6489" s="1">
        <v>40695</v>
      </c>
      <c r="B6489" t="s">
        <v>14</v>
      </c>
      <c r="C6489" t="s">
        <v>8</v>
      </c>
      <c r="D6489">
        <v>18</v>
      </c>
      <c r="E6489" s="2">
        <v>2.0486111111111111E-2</v>
      </c>
      <c r="F6489">
        <v>29.5</v>
      </c>
    </row>
    <row r="6490" spans="1:6" x14ac:dyDescent="0.25">
      <c r="A6490" s="1">
        <v>40695</v>
      </c>
      <c r="B6490" t="s">
        <v>14</v>
      </c>
      <c r="C6490" t="s">
        <v>9</v>
      </c>
      <c r="D6490">
        <v>15</v>
      </c>
      <c r="E6490" s="2">
        <v>1.2500000000000001E-2</v>
      </c>
      <c r="F6490">
        <v>18</v>
      </c>
    </row>
    <row r="6491" spans="1:6" x14ac:dyDescent="0.25">
      <c r="A6491" s="1">
        <v>40695</v>
      </c>
      <c r="B6491" t="s">
        <v>14</v>
      </c>
      <c r="C6491" t="s">
        <v>10</v>
      </c>
      <c r="D6491">
        <v>0</v>
      </c>
      <c r="E6491" s="2">
        <v>0</v>
      </c>
      <c r="F6491">
        <v>0</v>
      </c>
    </row>
    <row r="6492" spans="1:6" x14ac:dyDescent="0.25">
      <c r="A6492" s="1">
        <v>40695</v>
      </c>
      <c r="B6492" t="s">
        <v>14</v>
      </c>
      <c r="C6492" t="s">
        <v>11</v>
      </c>
      <c r="D6492">
        <v>21</v>
      </c>
      <c r="E6492" s="2">
        <v>2.0219907407407409E-2</v>
      </c>
      <c r="F6492">
        <v>29.116666666666667</v>
      </c>
    </row>
    <row r="6493" spans="1:6" x14ac:dyDescent="0.25">
      <c r="A6493" s="1">
        <v>40695</v>
      </c>
      <c r="B6493" t="s">
        <v>15</v>
      </c>
      <c r="C6493" t="s">
        <v>6</v>
      </c>
      <c r="D6493">
        <v>38</v>
      </c>
      <c r="E6493" s="2">
        <v>3.5868055555555556E-2</v>
      </c>
      <c r="F6493">
        <v>51.65</v>
      </c>
    </row>
    <row r="6494" spans="1:6" x14ac:dyDescent="0.25">
      <c r="A6494" s="1">
        <v>40695</v>
      </c>
      <c r="B6494" t="s">
        <v>15</v>
      </c>
      <c r="C6494" t="s">
        <v>7</v>
      </c>
      <c r="D6494">
        <v>24</v>
      </c>
      <c r="E6494" s="2">
        <v>2.6990740740740742E-2</v>
      </c>
      <c r="F6494">
        <v>38.866666666666667</v>
      </c>
    </row>
    <row r="6495" spans="1:6" x14ac:dyDescent="0.25">
      <c r="A6495" s="1">
        <v>40695</v>
      </c>
      <c r="B6495" t="s">
        <v>15</v>
      </c>
      <c r="C6495" t="s">
        <v>8</v>
      </c>
      <c r="D6495">
        <v>12</v>
      </c>
      <c r="E6495" s="2">
        <v>1.1354166666666667E-2</v>
      </c>
      <c r="F6495">
        <v>16.350000000000001</v>
      </c>
    </row>
    <row r="6496" spans="1:6" x14ac:dyDescent="0.25">
      <c r="A6496" s="1">
        <v>40695</v>
      </c>
      <c r="B6496" t="s">
        <v>15</v>
      </c>
      <c r="C6496" t="s">
        <v>9</v>
      </c>
      <c r="D6496">
        <v>7</v>
      </c>
      <c r="E6496" s="2">
        <v>4.5949074074074078E-3</v>
      </c>
      <c r="F6496">
        <v>6.6166666666666671</v>
      </c>
    </row>
    <row r="6497" spans="1:6" x14ac:dyDescent="0.25">
      <c r="A6497" s="1">
        <v>40695</v>
      </c>
      <c r="B6497" t="s">
        <v>15</v>
      </c>
      <c r="C6497" t="s">
        <v>10</v>
      </c>
      <c r="D6497">
        <v>11</v>
      </c>
      <c r="E6497" s="2">
        <v>1.4826388888888889E-2</v>
      </c>
      <c r="F6497">
        <v>21.35</v>
      </c>
    </row>
    <row r="6498" spans="1:6" x14ac:dyDescent="0.25">
      <c r="A6498" s="1">
        <v>40695</v>
      </c>
      <c r="B6498" t="s">
        <v>15</v>
      </c>
      <c r="C6498" t="s">
        <v>11</v>
      </c>
      <c r="D6498">
        <v>16</v>
      </c>
      <c r="E6498" s="2">
        <v>1.5289351851851853E-2</v>
      </c>
      <c r="F6498">
        <v>22.016666666666666</v>
      </c>
    </row>
    <row r="6499" spans="1:6" x14ac:dyDescent="0.25">
      <c r="A6499" s="1">
        <v>40695</v>
      </c>
      <c r="B6499" t="s">
        <v>16</v>
      </c>
      <c r="C6499" t="s">
        <v>6</v>
      </c>
      <c r="D6499">
        <v>43</v>
      </c>
      <c r="E6499" s="2">
        <v>3.9675925925925927E-2</v>
      </c>
      <c r="F6499">
        <v>57.133333333333333</v>
      </c>
    </row>
    <row r="6500" spans="1:6" x14ac:dyDescent="0.25">
      <c r="A6500" s="1">
        <v>40695</v>
      </c>
      <c r="B6500" t="s">
        <v>16</v>
      </c>
      <c r="C6500" t="s">
        <v>7</v>
      </c>
      <c r="D6500">
        <v>37</v>
      </c>
      <c r="E6500" s="2">
        <v>3.7291666666666667E-2</v>
      </c>
      <c r="F6500">
        <v>53.7</v>
      </c>
    </row>
    <row r="6501" spans="1:6" x14ac:dyDescent="0.25">
      <c r="A6501" s="1">
        <v>40695</v>
      </c>
      <c r="B6501" t="s">
        <v>16</v>
      </c>
      <c r="C6501" t="s">
        <v>8</v>
      </c>
      <c r="D6501">
        <v>30</v>
      </c>
      <c r="E6501" s="2">
        <v>3.0601851851851852E-2</v>
      </c>
      <c r="F6501">
        <v>44.06666666666667</v>
      </c>
    </row>
    <row r="6502" spans="1:6" x14ac:dyDescent="0.25">
      <c r="A6502" s="1">
        <v>40695</v>
      </c>
      <c r="B6502" t="s">
        <v>16</v>
      </c>
      <c r="C6502" t="s">
        <v>9</v>
      </c>
      <c r="D6502">
        <v>18</v>
      </c>
      <c r="E6502" s="2">
        <v>1.1122685185185185E-2</v>
      </c>
      <c r="F6502">
        <v>16.016666666666666</v>
      </c>
    </row>
    <row r="6503" spans="1:6" x14ac:dyDescent="0.25">
      <c r="A6503" s="1">
        <v>40695</v>
      </c>
      <c r="B6503" t="s">
        <v>16</v>
      </c>
      <c r="C6503" t="s">
        <v>10</v>
      </c>
      <c r="D6503">
        <v>0</v>
      </c>
      <c r="E6503" s="2">
        <v>0</v>
      </c>
      <c r="F6503">
        <v>0</v>
      </c>
    </row>
    <row r="6504" spans="1:6" x14ac:dyDescent="0.25">
      <c r="A6504" s="1">
        <v>40695</v>
      </c>
      <c r="B6504" t="s">
        <v>16</v>
      </c>
      <c r="C6504" t="s">
        <v>11</v>
      </c>
      <c r="D6504">
        <v>37</v>
      </c>
      <c r="E6504" s="2">
        <v>3.366898148148148E-2</v>
      </c>
      <c r="F6504">
        <v>48.483333333333334</v>
      </c>
    </row>
    <row r="6505" spans="1:6" x14ac:dyDescent="0.25">
      <c r="A6505" s="1">
        <v>40695</v>
      </c>
      <c r="B6505" t="s">
        <v>17</v>
      </c>
      <c r="C6505" t="s">
        <v>6</v>
      </c>
      <c r="D6505">
        <v>15</v>
      </c>
      <c r="E6505" s="2">
        <v>1.5775462962962963E-2</v>
      </c>
      <c r="F6505">
        <v>22.716666666666665</v>
      </c>
    </row>
    <row r="6506" spans="1:6" x14ac:dyDescent="0.25">
      <c r="A6506" s="1">
        <v>40695</v>
      </c>
      <c r="B6506" t="s">
        <v>17</v>
      </c>
      <c r="C6506" t="s">
        <v>7</v>
      </c>
      <c r="D6506">
        <v>10</v>
      </c>
      <c r="E6506" s="2">
        <v>1.4143518518518519E-2</v>
      </c>
      <c r="F6506">
        <v>20.366666666666667</v>
      </c>
    </row>
    <row r="6507" spans="1:6" x14ac:dyDescent="0.25">
      <c r="A6507" s="1">
        <v>40695</v>
      </c>
      <c r="B6507" t="s">
        <v>17</v>
      </c>
      <c r="C6507" t="s">
        <v>8</v>
      </c>
      <c r="D6507">
        <v>2</v>
      </c>
      <c r="E6507" s="2">
        <v>1.7824074074074075E-3</v>
      </c>
      <c r="F6507">
        <v>2.5666666666666664</v>
      </c>
    </row>
    <row r="6508" spans="1:6" x14ac:dyDescent="0.25">
      <c r="A6508" s="1">
        <v>40695</v>
      </c>
      <c r="B6508" t="s">
        <v>17</v>
      </c>
      <c r="C6508" t="s">
        <v>9</v>
      </c>
      <c r="D6508">
        <v>0</v>
      </c>
      <c r="E6508" s="2">
        <v>0</v>
      </c>
      <c r="F6508">
        <v>0</v>
      </c>
    </row>
    <row r="6509" spans="1:6" x14ac:dyDescent="0.25">
      <c r="A6509" s="1">
        <v>40695</v>
      </c>
      <c r="B6509" t="s">
        <v>17</v>
      </c>
      <c r="C6509" t="s">
        <v>10</v>
      </c>
      <c r="D6509">
        <v>8</v>
      </c>
      <c r="E6509" s="2">
        <v>1.1712962962962963E-2</v>
      </c>
      <c r="F6509">
        <v>16.866666666666667</v>
      </c>
    </row>
    <row r="6510" spans="1:6" x14ac:dyDescent="0.25">
      <c r="A6510" s="1">
        <v>40695</v>
      </c>
      <c r="B6510" t="s">
        <v>17</v>
      </c>
      <c r="C6510" t="s">
        <v>11</v>
      </c>
      <c r="D6510">
        <v>4</v>
      </c>
      <c r="E6510" s="2">
        <v>2.650462962962963E-3</v>
      </c>
      <c r="F6510">
        <v>3.8166666666666664</v>
      </c>
    </row>
    <row r="6511" spans="1:6" x14ac:dyDescent="0.25">
      <c r="A6511" s="1">
        <v>40695</v>
      </c>
      <c r="B6511" t="s">
        <v>18</v>
      </c>
      <c r="C6511" t="s">
        <v>6</v>
      </c>
      <c r="D6511">
        <v>74</v>
      </c>
      <c r="E6511" s="2">
        <v>7.1932870370370369E-2</v>
      </c>
      <c r="F6511">
        <v>103.58333333333333</v>
      </c>
    </row>
    <row r="6512" spans="1:6" x14ac:dyDescent="0.25">
      <c r="A6512" s="1">
        <v>40695</v>
      </c>
      <c r="B6512" t="s">
        <v>18</v>
      </c>
      <c r="C6512" t="s">
        <v>7</v>
      </c>
      <c r="D6512">
        <v>118</v>
      </c>
      <c r="E6512" s="2">
        <v>0.11461805555555556</v>
      </c>
      <c r="F6512">
        <v>165.05</v>
      </c>
    </row>
    <row r="6513" spans="1:6" x14ac:dyDescent="0.25">
      <c r="A6513" s="1">
        <v>40695</v>
      </c>
      <c r="B6513" t="s">
        <v>18</v>
      </c>
      <c r="C6513" t="s">
        <v>8</v>
      </c>
      <c r="D6513">
        <v>77</v>
      </c>
      <c r="E6513" s="2">
        <v>6.4537037037037032E-2</v>
      </c>
      <c r="F6513">
        <v>92.933333333333337</v>
      </c>
    </row>
    <row r="6514" spans="1:6" x14ac:dyDescent="0.25">
      <c r="A6514" s="1">
        <v>40695</v>
      </c>
      <c r="B6514" t="s">
        <v>18</v>
      </c>
      <c r="C6514" t="s">
        <v>9</v>
      </c>
      <c r="D6514">
        <v>62</v>
      </c>
      <c r="E6514" s="2">
        <v>4.1921296296296297E-2</v>
      </c>
      <c r="F6514">
        <v>60.366666666666667</v>
      </c>
    </row>
    <row r="6515" spans="1:6" x14ac:dyDescent="0.25">
      <c r="A6515" s="1">
        <v>40695</v>
      </c>
      <c r="B6515" t="s">
        <v>18</v>
      </c>
      <c r="C6515" t="s">
        <v>10</v>
      </c>
      <c r="D6515">
        <v>124</v>
      </c>
      <c r="E6515" s="2">
        <v>0.13894675925925926</v>
      </c>
      <c r="F6515">
        <v>200.08333333333334</v>
      </c>
    </row>
    <row r="6516" spans="1:6" x14ac:dyDescent="0.25">
      <c r="A6516" s="1">
        <v>40695</v>
      </c>
      <c r="B6516" t="s">
        <v>18</v>
      </c>
      <c r="C6516" t="s">
        <v>11</v>
      </c>
      <c r="D6516">
        <v>44</v>
      </c>
      <c r="E6516" s="2">
        <v>2.7002314814814816E-2</v>
      </c>
      <c r="F6516">
        <v>38.883333333333333</v>
      </c>
    </row>
    <row r="6517" spans="1:6" x14ac:dyDescent="0.25">
      <c r="A6517" s="1">
        <v>40695</v>
      </c>
      <c r="B6517" t="s">
        <v>19</v>
      </c>
      <c r="C6517" t="s">
        <v>6</v>
      </c>
      <c r="D6517">
        <v>62</v>
      </c>
      <c r="E6517" s="2">
        <v>6.5393518518518517E-2</v>
      </c>
      <c r="F6517">
        <v>94.166666666666671</v>
      </c>
    </row>
    <row r="6518" spans="1:6" x14ac:dyDescent="0.25">
      <c r="A6518" s="1">
        <v>40695</v>
      </c>
      <c r="B6518" t="s">
        <v>19</v>
      </c>
      <c r="C6518" t="s">
        <v>7</v>
      </c>
      <c r="D6518">
        <v>65</v>
      </c>
      <c r="E6518" s="2">
        <v>7.1747685185185192E-2</v>
      </c>
      <c r="F6518">
        <v>103.31666666666666</v>
      </c>
    </row>
    <row r="6519" spans="1:6" x14ac:dyDescent="0.25">
      <c r="A6519" s="1">
        <v>40695</v>
      </c>
      <c r="B6519" t="s">
        <v>19</v>
      </c>
      <c r="C6519" t="s">
        <v>8</v>
      </c>
      <c r="D6519">
        <v>45</v>
      </c>
      <c r="E6519" s="2">
        <v>4.853009259259259E-2</v>
      </c>
      <c r="F6519">
        <v>69.88333333333334</v>
      </c>
    </row>
    <row r="6520" spans="1:6" x14ac:dyDescent="0.25">
      <c r="A6520" s="1">
        <v>40695</v>
      </c>
      <c r="B6520" t="s">
        <v>19</v>
      </c>
      <c r="C6520" t="s">
        <v>9</v>
      </c>
      <c r="D6520">
        <v>40</v>
      </c>
      <c r="E6520" s="2">
        <v>3.1516203703703706E-2</v>
      </c>
      <c r="F6520">
        <v>45.383333333333333</v>
      </c>
    </row>
    <row r="6521" spans="1:6" x14ac:dyDescent="0.25">
      <c r="A6521" s="1">
        <v>40695</v>
      </c>
      <c r="B6521" t="s">
        <v>19</v>
      </c>
      <c r="C6521" t="s">
        <v>10</v>
      </c>
      <c r="D6521">
        <v>11</v>
      </c>
      <c r="E6521" s="2">
        <v>1.699074074074074E-2</v>
      </c>
      <c r="F6521">
        <v>24.466666666666665</v>
      </c>
    </row>
    <row r="6522" spans="1:6" x14ac:dyDescent="0.25">
      <c r="A6522" s="1">
        <v>40695</v>
      </c>
      <c r="B6522" t="s">
        <v>19</v>
      </c>
      <c r="C6522" t="s">
        <v>11</v>
      </c>
      <c r="D6522">
        <v>55</v>
      </c>
      <c r="E6522" s="2">
        <v>4.5949074074074073E-2</v>
      </c>
      <c r="F6522">
        <v>66.166666666666671</v>
      </c>
    </row>
    <row r="6523" spans="1:6" x14ac:dyDescent="0.25">
      <c r="A6523" s="1">
        <v>40695</v>
      </c>
      <c r="B6523" t="s">
        <v>20</v>
      </c>
      <c r="C6523" t="s">
        <v>6</v>
      </c>
      <c r="D6523">
        <v>50</v>
      </c>
      <c r="E6523" s="2">
        <v>4.7511574074074074E-2</v>
      </c>
      <c r="F6523">
        <v>68.416666666666671</v>
      </c>
    </row>
    <row r="6524" spans="1:6" x14ac:dyDescent="0.25">
      <c r="A6524" s="1">
        <v>40695</v>
      </c>
      <c r="B6524" t="s">
        <v>20</v>
      </c>
      <c r="C6524" t="s">
        <v>7</v>
      </c>
      <c r="D6524">
        <v>74</v>
      </c>
      <c r="E6524" s="2">
        <v>6.429398148148148E-2</v>
      </c>
      <c r="F6524">
        <v>92.583333333333329</v>
      </c>
    </row>
    <row r="6525" spans="1:6" x14ac:dyDescent="0.25">
      <c r="A6525" s="1">
        <v>40695</v>
      </c>
      <c r="B6525" t="s">
        <v>20</v>
      </c>
      <c r="C6525" t="s">
        <v>8</v>
      </c>
      <c r="D6525">
        <v>48</v>
      </c>
      <c r="E6525" s="2">
        <v>4.8599537037037038E-2</v>
      </c>
      <c r="F6525">
        <v>69.983333333333334</v>
      </c>
    </row>
    <row r="6526" spans="1:6" x14ac:dyDescent="0.25">
      <c r="A6526" s="1">
        <v>40695</v>
      </c>
      <c r="B6526" t="s">
        <v>20</v>
      </c>
      <c r="C6526" t="s">
        <v>9</v>
      </c>
      <c r="D6526">
        <v>24</v>
      </c>
      <c r="E6526" s="2">
        <v>1.8113425925925925E-2</v>
      </c>
      <c r="F6526">
        <v>26.083333333333332</v>
      </c>
    </row>
    <row r="6527" spans="1:6" x14ac:dyDescent="0.25">
      <c r="A6527" s="1">
        <v>40695</v>
      </c>
      <c r="B6527" t="s">
        <v>20</v>
      </c>
      <c r="C6527" t="s">
        <v>10</v>
      </c>
      <c r="D6527">
        <v>5</v>
      </c>
      <c r="E6527" s="2">
        <v>7.1296296296296299E-3</v>
      </c>
      <c r="F6527">
        <v>10.266666666666667</v>
      </c>
    </row>
    <row r="6528" spans="1:6" x14ac:dyDescent="0.25">
      <c r="A6528" s="1">
        <v>40695</v>
      </c>
      <c r="B6528" t="s">
        <v>20</v>
      </c>
      <c r="C6528" t="s">
        <v>11</v>
      </c>
      <c r="D6528">
        <v>37</v>
      </c>
      <c r="E6528" s="2">
        <v>2.2824074074074073E-2</v>
      </c>
      <c r="F6528">
        <v>32.866666666666667</v>
      </c>
    </row>
    <row r="6529" spans="1:6" x14ac:dyDescent="0.25">
      <c r="A6529" s="1">
        <v>40695</v>
      </c>
      <c r="B6529" t="s">
        <v>21</v>
      </c>
      <c r="C6529" t="s">
        <v>6</v>
      </c>
      <c r="D6529">
        <v>48</v>
      </c>
      <c r="E6529" s="2">
        <v>4.8518518518518516E-2</v>
      </c>
      <c r="F6529">
        <v>69.86666666666666</v>
      </c>
    </row>
    <row r="6530" spans="1:6" x14ac:dyDescent="0.25">
      <c r="A6530" s="1">
        <v>40695</v>
      </c>
      <c r="B6530" t="s">
        <v>21</v>
      </c>
      <c r="C6530" t="s">
        <v>7</v>
      </c>
      <c r="D6530">
        <v>38</v>
      </c>
      <c r="E6530" s="2">
        <v>3.9976851851851854E-2</v>
      </c>
      <c r="F6530">
        <v>57.56666666666667</v>
      </c>
    </row>
    <row r="6531" spans="1:6" x14ac:dyDescent="0.25">
      <c r="A6531" s="1">
        <v>40695</v>
      </c>
      <c r="B6531" t="s">
        <v>21</v>
      </c>
      <c r="C6531" t="s">
        <v>8</v>
      </c>
      <c r="D6531">
        <v>31</v>
      </c>
      <c r="E6531" s="2">
        <v>3.2199074074074074E-2</v>
      </c>
      <c r="F6531">
        <v>46.366666666666667</v>
      </c>
    </row>
    <row r="6532" spans="1:6" x14ac:dyDescent="0.25">
      <c r="A6532" s="1">
        <v>40695</v>
      </c>
      <c r="B6532" t="s">
        <v>21</v>
      </c>
      <c r="C6532" t="s">
        <v>9</v>
      </c>
      <c r="D6532">
        <v>11</v>
      </c>
      <c r="E6532" s="2">
        <v>1.0625000000000001E-2</v>
      </c>
      <c r="F6532">
        <v>15.3</v>
      </c>
    </row>
    <row r="6533" spans="1:6" x14ac:dyDescent="0.25">
      <c r="A6533" s="1">
        <v>40695</v>
      </c>
      <c r="B6533" t="s">
        <v>21</v>
      </c>
      <c r="C6533" t="s">
        <v>10</v>
      </c>
      <c r="D6533">
        <v>7</v>
      </c>
      <c r="E6533" s="2">
        <v>8.611111111111111E-3</v>
      </c>
      <c r="F6533">
        <v>12.4</v>
      </c>
    </row>
    <row r="6534" spans="1:6" x14ac:dyDescent="0.25">
      <c r="A6534" s="1">
        <v>40695</v>
      </c>
      <c r="B6534" t="s">
        <v>21</v>
      </c>
      <c r="C6534" t="s">
        <v>11</v>
      </c>
      <c r="D6534">
        <v>42</v>
      </c>
      <c r="E6534" s="2">
        <v>3.4479166666666665E-2</v>
      </c>
      <c r="F6534">
        <v>49.65</v>
      </c>
    </row>
    <row r="6535" spans="1:6" x14ac:dyDescent="0.25">
      <c r="A6535" s="1">
        <v>40695</v>
      </c>
      <c r="B6535" t="s">
        <v>22</v>
      </c>
      <c r="C6535" t="s">
        <v>6</v>
      </c>
      <c r="D6535">
        <v>10</v>
      </c>
      <c r="E6535" s="2">
        <v>9.2592592592592587E-3</v>
      </c>
      <c r="F6535">
        <v>13.333333333333334</v>
      </c>
    </row>
    <row r="6536" spans="1:6" x14ac:dyDescent="0.25">
      <c r="A6536" s="1">
        <v>40695</v>
      </c>
      <c r="B6536" t="s">
        <v>22</v>
      </c>
      <c r="C6536" t="s">
        <v>7</v>
      </c>
      <c r="D6536">
        <v>9</v>
      </c>
      <c r="E6536" s="2">
        <v>9.4560185185185181E-3</v>
      </c>
      <c r="F6536">
        <v>13.616666666666667</v>
      </c>
    </row>
    <row r="6537" spans="1:6" x14ac:dyDescent="0.25">
      <c r="A6537" s="1">
        <v>40695</v>
      </c>
      <c r="B6537" t="s">
        <v>22</v>
      </c>
      <c r="C6537" t="s">
        <v>8</v>
      </c>
      <c r="D6537">
        <v>6</v>
      </c>
      <c r="E6537" s="2">
        <v>6.5509259259259262E-3</v>
      </c>
      <c r="F6537">
        <v>9.4333333333333336</v>
      </c>
    </row>
    <row r="6538" spans="1:6" x14ac:dyDescent="0.25">
      <c r="A6538" s="1">
        <v>40695</v>
      </c>
      <c r="B6538" t="s">
        <v>22</v>
      </c>
      <c r="C6538" t="s">
        <v>9</v>
      </c>
      <c r="D6538">
        <v>4</v>
      </c>
      <c r="E6538" s="2">
        <v>2.9976851851851853E-3</v>
      </c>
      <c r="F6538">
        <v>4.3166666666666664</v>
      </c>
    </row>
    <row r="6539" spans="1:6" x14ac:dyDescent="0.25">
      <c r="A6539" s="1">
        <v>40695</v>
      </c>
      <c r="B6539" t="s">
        <v>22</v>
      </c>
      <c r="C6539" t="s">
        <v>10</v>
      </c>
      <c r="D6539">
        <v>4</v>
      </c>
      <c r="E6539" s="2">
        <v>2.7083333333333334E-3</v>
      </c>
      <c r="F6539">
        <v>3.9</v>
      </c>
    </row>
    <row r="6540" spans="1:6" x14ac:dyDescent="0.25">
      <c r="A6540" s="1">
        <v>40695</v>
      </c>
      <c r="B6540" t="s">
        <v>22</v>
      </c>
      <c r="C6540" t="s">
        <v>11</v>
      </c>
      <c r="D6540">
        <v>6</v>
      </c>
      <c r="E6540" s="2">
        <v>4.6643518518518518E-3</v>
      </c>
      <c r="F6540">
        <v>6.7166666666666668</v>
      </c>
    </row>
    <row r="6541" spans="1:6" x14ac:dyDescent="0.25">
      <c r="A6541" s="1">
        <v>40695</v>
      </c>
      <c r="B6541" t="s">
        <v>23</v>
      </c>
      <c r="C6541" t="s">
        <v>6</v>
      </c>
      <c r="D6541">
        <v>90</v>
      </c>
      <c r="E6541" s="2">
        <v>9.436342592592592E-2</v>
      </c>
      <c r="F6541">
        <v>135.88333333333333</v>
      </c>
    </row>
    <row r="6542" spans="1:6" x14ac:dyDescent="0.25">
      <c r="A6542" s="1">
        <v>40695</v>
      </c>
      <c r="B6542" t="s">
        <v>23</v>
      </c>
      <c r="C6542" t="s">
        <v>7</v>
      </c>
      <c r="D6542">
        <v>88</v>
      </c>
      <c r="E6542" s="2">
        <v>9.0509259259259262E-2</v>
      </c>
      <c r="F6542">
        <v>130.33333333333334</v>
      </c>
    </row>
    <row r="6543" spans="1:6" x14ac:dyDescent="0.25">
      <c r="A6543" s="1">
        <v>40695</v>
      </c>
      <c r="B6543" t="s">
        <v>23</v>
      </c>
      <c r="C6543" t="s">
        <v>8</v>
      </c>
      <c r="D6543">
        <v>53</v>
      </c>
      <c r="E6543" s="2">
        <v>6.4606481481481487E-2</v>
      </c>
      <c r="F6543">
        <v>93.033333333333331</v>
      </c>
    </row>
    <row r="6544" spans="1:6" x14ac:dyDescent="0.25">
      <c r="A6544" s="1">
        <v>40695</v>
      </c>
      <c r="B6544" t="s">
        <v>23</v>
      </c>
      <c r="C6544" t="s">
        <v>9</v>
      </c>
      <c r="D6544">
        <v>53</v>
      </c>
      <c r="E6544" s="2">
        <v>4.1516203703703701E-2</v>
      </c>
      <c r="F6544">
        <v>59.783333333333331</v>
      </c>
    </row>
    <row r="6545" spans="1:6" x14ac:dyDescent="0.25">
      <c r="A6545" s="1">
        <v>40695</v>
      </c>
      <c r="B6545" t="s">
        <v>23</v>
      </c>
      <c r="C6545" t="s">
        <v>10</v>
      </c>
      <c r="D6545">
        <v>29</v>
      </c>
      <c r="E6545" s="2">
        <v>4.1712962962962966E-2</v>
      </c>
      <c r="F6545">
        <v>60.06666666666667</v>
      </c>
    </row>
    <row r="6546" spans="1:6" x14ac:dyDescent="0.25">
      <c r="A6546" s="1">
        <v>40695</v>
      </c>
      <c r="B6546" t="s">
        <v>23</v>
      </c>
      <c r="C6546" t="s">
        <v>11</v>
      </c>
      <c r="D6546">
        <v>60</v>
      </c>
      <c r="E6546" s="2">
        <v>5.047453703703704E-2</v>
      </c>
      <c r="F6546">
        <v>72.683333333333337</v>
      </c>
    </row>
    <row r="6547" spans="1:6" x14ac:dyDescent="0.25">
      <c r="A6547" s="1">
        <v>40695</v>
      </c>
      <c r="B6547" t="s">
        <v>24</v>
      </c>
      <c r="C6547" t="s">
        <v>6</v>
      </c>
      <c r="D6547">
        <v>47</v>
      </c>
      <c r="E6547" s="2">
        <v>4.0185185185185185E-2</v>
      </c>
      <c r="F6547">
        <v>57.866666666666667</v>
      </c>
    </row>
    <row r="6548" spans="1:6" x14ac:dyDescent="0.25">
      <c r="A6548" s="1">
        <v>40695</v>
      </c>
      <c r="B6548" t="s">
        <v>24</v>
      </c>
      <c r="C6548" t="s">
        <v>7</v>
      </c>
      <c r="D6548">
        <v>39</v>
      </c>
      <c r="E6548" s="2">
        <v>3.6550925925925924E-2</v>
      </c>
      <c r="F6548">
        <v>52.633333333333333</v>
      </c>
    </row>
    <row r="6549" spans="1:6" x14ac:dyDescent="0.25">
      <c r="A6549" s="1">
        <v>40695</v>
      </c>
      <c r="B6549" t="s">
        <v>24</v>
      </c>
      <c r="C6549" t="s">
        <v>8</v>
      </c>
      <c r="D6549">
        <v>22</v>
      </c>
      <c r="E6549" s="2">
        <v>1.8842592592592591E-2</v>
      </c>
      <c r="F6549">
        <v>27.133333333333333</v>
      </c>
    </row>
    <row r="6550" spans="1:6" x14ac:dyDescent="0.25">
      <c r="A6550" s="1">
        <v>40695</v>
      </c>
      <c r="B6550" t="s">
        <v>24</v>
      </c>
      <c r="C6550" t="s">
        <v>9</v>
      </c>
      <c r="D6550">
        <v>4</v>
      </c>
      <c r="E6550" s="2">
        <v>2.488425925925926E-3</v>
      </c>
      <c r="F6550">
        <v>3.5833333333333335</v>
      </c>
    </row>
    <row r="6551" spans="1:6" x14ac:dyDescent="0.25">
      <c r="A6551" s="1">
        <v>40695</v>
      </c>
      <c r="B6551" t="s">
        <v>24</v>
      </c>
      <c r="C6551" t="s">
        <v>10</v>
      </c>
      <c r="D6551">
        <v>3</v>
      </c>
      <c r="E6551" s="2">
        <v>4.5717592592592589E-3</v>
      </c>
      <c r="F6551">
        <v>6.583333333333333</v>
      </c>
    </row>
    <row r="6552" spans="1:6" x14ac:dyDescent="0.25">
      <c r="A6552" s="1">
        <v>40695</v>
      </c>
      <c r="B6552" t="s">
        <v>24</v>
      </c>
      <c r="C6552" t="s">
        <v>11</v>
      </c>
      <c r="D6552">
        <v>26</v>
      </c>
      <c r="E6552" s="2">
        <v>1.5949074074074074E-2</v>
      </c>
      <c r="F6552">
        <v>22.966666666666665</v>
      </c>
    </row>
    <row r="6553" spans="1:6" x14ac:dyDescent="0.25">
      <c r="A6553" s="1">
        <v>40725</v>
      </c>
      <c r="B6553" t="s">
        <v>5</v>
      </c>
      <c r="C6553" t="s">
        <v>6</v>
      </c>
      <c r="D6553">
        <v>32</v>
      </c>
      <c r="E6553" s="2">
        <v>3.2256944444444442E-2</v>
      </c>
      <c r="F6553">
        <v>46.45</v>
      </c>
    </row>
    <row r="6554" spans="1:6" x14ac:dyDescent="0.25">
      <c r="A6554" s="1">
        <v>40725</v>
      </c>
      <c r="B6554" t="s">
        <v>5</v>
      </c>
      <c r="C6554" t="s">
        <v>7</v>
      </c>
      <c r="D6554">
        <v>32</v>
      </c>
      <c r="E6554" s="2">
        <v>2.3472222222222221E-2</v>
      </c>
      <c r="F6554">
        <v>33.799999999999997</v>
      </c>
    </row>
    <row r="6555" spans="1:6" x14ac:dyDescent="0.25">
      <c r="A6555" s="1">
        <v>40725</v>
      </c>
      <c r="B6555" t="s">
        <v>5</v>
      </c>
      <c r="C6555" t="s">
        <v>8</v>
      </c>
      <c r="D6555">
        <v>20</v>
      </c>
      <c r="E6555" s="2">
        <v>1.6435185185185185E-2</v>
      </c>
      <c r="F6555">
        <v>23.666666666666668</v>
      </c>
    </row>
    <row r="6556" spans="1:6" x14ac:dyDescent="0.25">
      <c r="A6556" s="1">
        <v>40725</v>
      </c>
      <c r="B6556" t="s">
        <v>5</v>
      </c>
      <c r="C6556" t="s">
        <v>9</v>
      </c>
      <c r="D6556">
        <v>15</v>
      </c>
      <c r="E6556" s="2">
        <v>1.0034722222222223E-2</v>
      </c>
      <c r="F6556">
        <v>14.45</v>
      </c>
    </row>
    <row r="6557" spans="1:6" x14ac:dyDescent="0.25">
      <c r="A6557" s="1">
        <v>40725</v>
      </c>
      <c r="B6557" t="s">
        <v>5</v>
      </c>
      <c r="C6557" t="s">
        <v>10</v>
      </c>
      <c r="D6557">
        <v>11</v>
      </c>
      <c r="E6557" s="2">
        <v>1.7500000000000002E-2</v>
      </c>
      <c r="F6557">
        <v>25.2</v>
      </c>
    </row>
    <row r="6558" spans="1:6" x14ac:dyDescent="0.25">
      <c r="A6558" s="1">
        <v>40725</v>
      </c>
      <c r="B6558" t="s">
        <v>5</v>
      </c>
      <c r="C6558" t="s">
        <v>11</v>
      </c>
      <c r="D6558">
        <v>21</v>
      </c>
      <c r="E6558" s="2">
        <v>1.4791666666666667E-2</v>
      </c>
      <c r="F6558">
        <v>21.3</v>
      </c>
    </row>
    <row r="6559" spans="1:6" x14ac:dyDescent="0.25">
      <c r="A6559" s="1">
        <v>40725</v>
      </c>
      <c r="B6559" t="s">
        <v>12</v>
      </c>
      <c r="C6559" t="s">
        <v>6</v>
      </c>
      <c r="D6559">
        <v>68</v>
      </c>
      <c r="E6559" s="2">
        <v>8.998842592592593E-2</v>
      </c>
      <c r="F6559">
        <v>129.58333333333334</v>
      </c>
    </row>
    <row r="6560" spans="1:6" x14ac:dyDescent="0.25">
      <c r="A6560" s="1">
        <v>40725</v>
      </c>
      <c r="B6560" t="s">
        <v>12</v>
      </c>
      <c r="C6560" t="s">
        <v>7</v>
      </c>
      <c r="D6560">
        <v>39</v>
      </c>
      <c r="E6560" s="2">
        <v>4.9340277777777775E-2</v>
      </c>
      <c r="F6560">
        <v>71.05</v>
      </c>
    </row>
    <row r="6561" spans="1:6" x14ac:dyDescent="0.25">
      <c r="A6561" s="1">
        <v>40725</v>
      </c>
      <c r="B6561" t="s">
        <v>12</v>
      </c>
      <c r="C6561" t="s">
        <v>8</v>
      </c>
      <c r="D6561">
        <v>28</v>
      </c>
      <c r="E6561" s="2">
        <v>4.1111111111111112E-2</v>
      </c>
      <c r="F6561">
        <v>59.2</v>
      </c>
    </row>
    <row r="6562" spans="1:6" x14ac:dyDescent="0.25">
      <c r="A6562" s="1">
        <v>40725</v>
      </c>
      <c r="B6562" t="s">
        <v>12</v>
      </c>
      <c r="C6562" t="s">
        <v>9</v>
      </c>
      <c r="D6562">
        <v>11</v>
      </c>
      <c r="E6562" s="2">
        <v>9.9537037037037042E-3</v>
      </c>
      <c r="F6562">
        <v>14.333333333333334</v>
      </c>
    </row>
    <row r="6563" spans="1:6" x14ac:dyDescent="0.25">
      <c r="A6563" s="1">
        <v>40725</v>
      </c>
      <c r="B6563" t="s">
        <v>12</v>
      </c>
      <c r="C6563" t="s">
        <v>10</v>
      </c>
      <c r="D6563">
        <v>27</v>
      </c>
      <c r="E6563" s="2">
        <v>5.4467592592592595E-2</v>
      </c>
      <c r="F6563">
        <v>78.433333333333337</v>
      </c>
    </row>
    <row r="6564" spans="1:6" x14ac:dyDescent="0.25">
      <c r="A6564" s="1">
        <v>40725</v>
      </c>
      <c r="B6564" t="s">
        <v>12</v>
      </c>
      <c r="C6564" t="s">
        <v>11</v>
      </c>
      <c r="D6564">
        <v>44</v>
      </c>
      <c r="E6564" s="2">
        <v>4.4803240740740741E-2</v>
      </c>
      <c r="F6564">
        <v>64.516666666666666</v>
      </c>
    </row>
    <row r="6565" spans="1:6" x14ac:dyDescent="0.25">
      <c r="A6565" s="1">
        <v>40725</v>
      </c>
      <c r="B6565" t="s">
        <v>13</v>
      </c>
      <c r="C6565" t="s">
        <v>6</v>
      </c>
      <c r="D6565">
        <v>67</v>
      </c>
      <c r="E6565" s="2">
        <v>7.1134259259259258E-2</v>
      </c>
      <c r="F6565">
        <v>102.43333333333334</v>
      </c>
    </row>
    <row r="6566" spans="1:6" x14ac:dyDescent="0.25">
      <c r="A6566" s="1">
        <v>40725</v>
      </c>
      <c r="B6566" t="s">
        <v>13</v>
      </c>
      <c r="C6566" t="s">
        <v>7</v>
      </c>
      <c r="D6566">
        <v>65</v>
      </c>
      <c r="E6566" s="2">
        <v>6.3819444444444443E-2</v>
      </c>
      <c r="F6566">
        <v>91.9</v>
      </c>
    </row>
    <row r="6567" spans="1:6" x14ac:dyDescent="0.25">
      <c r="A6567" s="1">
        <v>40725</v>
      </c>
      <c r="B6567" t="s">
        <v>13</v>
      </c>
      <c r="C6567" t="s">
        <v>8</v>
      </c>
      <c r="D6567">
        <v>49</v>
      </c>
      <c r="E6567" s="2">
        <v>5.8622685185185187E-2</v>
      </c>
      <c r="F6567">
        <v>84.416666666666671</v>
      </c>
    </row>
    <row r="6568" spans="1:6" x14ac:dyDescent="0.25">
      <c r="A6568" s="1">
        <v>40725</v>
      </c>
      <c r="B6568" t="s">
        <v>13</v>
      </c>
      <c r="C6568" t="s">
        <v>9</v>
      </c>
      <c r="D6568">
        <v>30</v>
      </c>
      <c r="E6568" s="2">
        <v>2.5706018518518517E-2</v>
      </c>
      <c r="F6568">
        <v>37.016666666666666</v>
      </c>
    </row>
    <row r="6569" spans="1:6" x14ac:dyDescent="0.25">
      <c r="A6569" s="1">
        <v>40725</v>
      </c>
      <c r="B6569" t="s">
        <v>13</v>
      </c>
      <c r="C6569" t="s">
        <v>10</v>
      </c>
      <c r="D6569">
        <v>23</v>
      </c>
      <c r="E6569" s="2">
        <v>3.1481481481481478E-2</v>
      </c>
      <c r="F6569">
        <v>45.333333333333336</v>
      </c>
    </row>
    <row r="6570" spans="1:6" x14ac:dyDescent="0.25">
      <c r="A6570" s="1">
        <v>40725</v>
      </c>
      <c r="B6570" t="s">
        <v>13</v>
      </c>
      <c r="C6570" t="s">
        <v>11</v>
      </c>
      <c r="D6570">
        <v>28</v>
      </c>
      <c r="E6570" s="2">
        <v>3.037037037037037E-2</v>
      </c>
      <c r="F6570">
        <v>43.733333333333334</v>
      </c>
    </row>
    <row r="6571" spans="1:6" x14ac:dyDescent="0.25">
      <c r="A6571" s="1">
        <v>40725</v>
      </c>
      <c r="B6571" t="s">
        <v>14</v>
      </c>
      <c r="C6571" t="s">
        <v>6</v>
      </c>
      <c r="D6571">
        <v>12</v>
      </c>
      <c r="E6571" s="2">
        <v>1.5300925925925926E-2</v>
      </c>
      <c r="F6571">
        <v>22.033333333333335</v>
      </c>
    </row>
    <row r="6572" spans="1:6" x14ac:dyDescent="0.25">
      <c r="A6572" s="1">
        <v>40725</v>
      </c>
      <c r="B6572" t="s">
        <v>14</v>
      </c>
      <c r="C6572" t="s">
        <v>7</v>
      </c>
      <c r="D6572">
        <v>14</v>
      </c>
      <c r="E6572" s="2">
        <v>1.7569444444444443E-2</v>
      </c>
      <c r="F6572">
        <v>25.3</v>
      </c>
    </row>
    <row r="6573" spans="1:6" x14ac:dyDescent="0.25">
      <c r="A6573" s="1">
        <v>40725</v>
      </c>
      <c r="B6573" t="s">
        <v>14</v>
      </c>
      <c r="C6573" t="s">
        <v>8</v>
      </c>
      <c r="D6573">
        <v>8</v>
      </c>
      <c r="E6573" s="2">
        <v>1.0289351851851852E-2</v>
      </c>
      <c r="F6573">
        <v>14.816666666666666</v>
      </c>
    </row>
    <row r="6574" spans="1:6" x14ac:dyDescent="0.25">
      <c r="A6574" s="1">
        <v>40725</v>
      </c>
      <c r="B6574" t="s">
        <v>14</v>
      </c>
      <c r="C6574" t="s">
        <v>9</v>
      </c>
      <c r="D6574">
        <v>4</v>
      </c>
      <c r="E6574" s="2">
        <v>4.0162037037037041E-3</v>
      </c>
      <c r="F6574">
        <v>5.7833333333333332</v>
      </c>
    </row>
    <row r="6575" spans="1:6" x14ac:dyDescent="0.25">
      <c r="A6575" s="1">
        <v>40725</v>
      </c>
      <c r="B6575" t="s">
        <v>14</v>
      </c>
      <c r="C6575" t="s">
        <v>10</v>
      </c>
      <c r="D6575">
        <v>0</v>
      </c>
      <c r="E6575" s="2">
        <v>0</v>
      </c>
      <c r="F6575">
        <v>0</v>
      </c>
    </row>
    <row r="6576" spans="1:6" x14ac:dyDescent="0.25">
      <c r="A6576" s="1">
        <v>40725</v>
      </c>
      <c r="B6576" t="s">
        <v>14</v>
      </c>
      <c r="C6576" t="s">
        <v>11</v>
      </c>
      <c r="D6576">
        <v>5</v>
      </c>
      <c r="E6576" s="2">
        <v>4.9768518518518521E-3</v>
      </c>
      <c r="F6576">
        <v>7.166666666666667</v>
      </c>
    </row>
    <row r="6577" spans="1:6" x14ac:dyDescent="0.25">
      <c r="A6577" s="1">
        <v>40725</v>
      </c>
      <c r="B6577" t="s">
        <v>15</v>
      </c>
      <c r="C6577" t="s">
        <v>6</v>
      </c>
      <c r="D6577">
        <v>23</v>
      </c>
      <c r="E6577" s="2">
        <v>2.8912037037037038E-2</v>
      </c>
      <c r="F6577">
        <v>41.633333333333333</v>
      </c>
    </row>
    <row r="6578" spans="1:6" x14ac:dyDescent="0.25">
      <c r="A6578" s="1">
        <v>40725</v>
      </c>
      <c r="B6578" t="s">
        <v>15</v>
      </c>
      <c r="C6578" t="s">
        <v>7</v>
      </c>
      <c r="D6578">
        <v>29</v>
      </c>
      <c r="E6578" s="2">
        <v>2.5266203703703704E-2</v>
      </c>
      <c r="F6578">
        <v>36.383333333333333</v>
      </c>
    </row>
    <row r="6579" spans="1:6" x14ac:dyDescent="0.25">
      <c r="A6579" s="1">
        <v>40725</v>
      </c>
      <c r="B6579" t="s">
        <v>15</v>
      </c>
      <c r="C6579" t="s">
        <v>8</v>
      </c>
      <c r="D6579">
        <v>21</v>
      </c>
      <c r="E6579" s="2">
        <v>2.2604166666666668E-2</v>
      </c>
      <c r="F6579">
        <v>32.549999999999997</v>
      </c>
    </row>
    <row r="6580" spans="1:6" x14ac:dyDescent="0.25">
      <c r="A6580" s="1">
        <v>40725</v>
      </c>
      <c r="B6580" t="s">
        <v>15</v>
      </c>
      <c r="C6580" t="s">
        <v>9</v>
      </c>
      <c r="D6580">
        <v>12</v>
      </c>
      <c r="E6580" s="2">
        <v>8.4027777777777781E-3</v>
      </c>
      <c r="F6580">
        <v>12.1</v>
      </c>
    </row>
    <row r="6581" spans="1:6" x14ac:dyDescent="0.25">
      <c r="A6581" s="1">
        <v>40725</v>
      </c>
      <c r="B6581" t="s">
        <v>15</v>
      </c>
      <c r="C6581" t="s">
        <v>10</v>
      </c>
      <c r="D6581">
        <v>5</v>
      </c>
      <c r="E6581" s="2">
        <v>7.9861111111111105E-3</v>
      </c>
      <c r="F6581">
        <v>11.5</v>
      </c>
    </row>
    <row r="6582" spans="1:6" x14ac:dyDescent="0.25">
      <c r="A6582" s="1">
        <v>40725</v>
      </c>
      <c r="B6582" t="s">
        <v>15</v>
      </c>
      <c r="C6582" t="s">
        <v>11</v>
      </c>
      <c r="D6582">
        <v>16</v>
      </c>
      <c r="E6582" s="2">
        <v>1.0659722222222221E-2</v>
      </c>
      <c r="F6582">
        <v>15.35</v>
      </c>
    </row>
    <row r="6583" spans="1:6" x14ac:dyDescent="0.25">
      <c r="A6583" s="1">
        <v>40725</v>
      </c>
      <c r="B6583" t="s">
        <v>16</v>
      </c>
      <c r="C6583" t="s">
        <v>6</v>
      </c>
      <c r="D6583">
        <v>33</v>
      </c>
      <c r="E6583" s="2">
        <v>2.5046296296296296E-2</v>
      </c>
      <c r="F6583">
        <v>36.06666666666667</v>
      </c>
    </row>
    <row r="6584" spans="1:6" x14ac:dyDescent="0.25">
      <c r="A6584" s="1">
        <v>40725</v>
      </c>
      <c r="B6584" t="s">
        <v>16</v>
      </c>
      <c r="C6584" t="s">
        <v>7</v>
      </c>
      <c r="D6584">
        <v>21</v>
      </c>
      <c r="E6584" s="2">
        <v>1.6875000000000001E-2</v>
      </c>
      <c r="F6584">
        <v>24.3</v>
      </c>
    </row>
    <row r="6585" spans="1:6" x14ac:dyDescent="0.25">
      <c r="A6585" s="1">
        <v>40725</v>
      </c>
      <c r="B6585" t="s">
        <v>16</v>
      </c>
      <c r="C6585" t="s">
        <v>8</v>
      </c>
      <c r="D6585">
        <v>18</v>
      </c>
      <c r="E6585" s="2">
        <v>1.3784722222222223E-2</v>
      </c>
      <c r="F6585">
        <v>19.850000000000001</v>
      </c>
    </row>
    <row r="6586" spans="1:6" x14ac:dyDescent="0.25">
      <c r="A6586" s="1">
        <v>40725</v>
      </c>
      <c r="B6586" t="s">
        <v>16</v>
      </c>
      <c r="C6586" t="s">
        <v>9</v>
      </c>
      <c r="D6586">
        <v>13</v>
      </c>
      <c r="E6586" s="2">
        <v>7.5694444444444446E-3</v>
      </c>
      <c r="F6586">
        <v>10.9</v>
      </c>
    </row>
    <row r="6587" spans="1:6" x14ac:dyDescent="0.25">
      <c r="A6587" s="1">
        <v>40725</v>
      </c>
      <c r="B6587" t="s">
        <v>16</v>
      </c>
      <c r="C6587" t="s">
        <v>10</v>
      </c>
      <c r="D6587">
        <v>1</v>
      </c>
      <c r="E6587" s="2">
        <v>2.4305555555555555E-4</v>
      </c>
      <c r="F6587">
        <v>0.35</v>
      </c>
    </row>
    <row r="6588" spans="1:6" x14ac:dyDescent="0.25">
      <c r="A6588" s="1">
        <v>40725</v>
      </c>
      <c r="B6588" t="s">
        <v>16</v>
      </c>
      <c r="C6588" t="s">
        <v>11</v>
      </c>
      <c r="D6588">
        <v>35</v>
      </c>
      <c r="E6588" s="2">
        <v>2.9456018518518517E-2</v>
      </c>
      <c r="F6588">
        <v>42.416666666666664</v>
      </c>
    </row>
    <row r="6589" spans="1:6" x14ac:dyDescent="0.25">
      <c r="A6589" s="1">
        <v>40725</v>
      </c>
      <c r="B6589" t="s">
        <v>17</v>
      </c>
      <c r="C6589" t="s">
        <v>6</v>
      </c>
      <c r="D6589">
        <v>16</v>
      </c>
      <c r="E6589" s="2">
        <v>1.5694444444444445E-2</v>
      </c>
      <c r="F6589">
        <v>22.6</v>
      </c>
    </row>
    <row r="6590" spans="1:6" x14ac:dyDescent="0.25">
      <c r="A6590" s="1">
        <v>40725</v>
      </c>
      <c r="B6590" t="s">
        <v>17</v>
      </c>
      <c r="C6590" t="s">
        <v>7</v>
      </c>
      <c r="D6590">
        <v>12</v>
      </c>
      <c r="E6590" s="2">
        <v>1.2662037037037038E-2</v>
      </c>
      <c r="F6590">
        <v>18.233333333333334</v>
      </c>
    </row>
    <row r="6591" spans="1:6" x14ac:dyDescent="0.25">
      <c r="A6591" s="1">
        <v>40725</v>
      </c>
      <c r="B6591" t="s">
        <v>17</v>
      </c>
      <c r="C6591" t="s">
        <v>8</v>
      </c>
      <c r="D6591">
        <v>9</v>
      </c>
      <c r="E6591" s="2">
        <v>7.5578703703703702E-3</v>
      </c>
      <c r="F6591">
        <v>10.883333333333333</v>
      </c>
    </row>
    <row r="6592" spans="1:6" x14ac:dyDescent="0.25">
      <c r="A6592" s="1">
        <v>40725</v>
      </c>
      <c r="B6592" t="s">
        <v>17</v>
      </c>
      <c r="C6592" t="s">
        <v>9</v>
      </c>
      <c r="D6592">
        <v>7</v>
      </c>
      <c r="E6592" s="2">
        <v>4.9884259259259257E-3</v>
      </c>
      <c r="F6592">
        <v>7.1833333333333336</v>
      </c>
    </row>
    <row r="6593" spans="1:6" x14ac:dyDescent="0.25">
      <c r="A6593" s="1">
        <v>40725</v>
      </c>
      <c r="B6593" t="s">
        <v>17</v>
      </c>
      <c r="C6593" t="s">
        <v>10</v>
      </c>
      <c r="D6593">
        <v>4</v>
      </c>
      <c r="E6593" s="2">
        <v>3.9930555555555552E-3</v>
      </c>
      <c r="F6593">
        <v>5.75</v>
      </c>
    </row>
    <row r="6594" spans="1:6" x14ac:dyDescent="0.25">
      <c r="A6594" s="1">
        <v>40725</v>
      </c>
      <c r="B6594" t="s">
        <v>17</v>
      </c>
      <c r="C6594" t="s">
        <v>11</v>
      </c>
      <c r="D6594">
        <v>5</v>
      </c>
      <c r="E6594" s="2">
        <v>4.3287037037037035E-3</v>
      </c>
      <c r="F6594">
        <v>6.2333333333333334</v>
      </c>
    </row>
    <row r="6595" spans="1:6" x14ac:dyDescent="0.25">
      <c r="A6595" s="1">
        <v>40725</v>
      </c>
      <c r="B6595" t="s">
        <v>18</v>
      </c>
      <c r="C6595" t="s">
        <v>6</v>
      </c>
      <c r="D6595">
        <v>75</v>
      </c>
      <c r="E6595" s="2">
        <v>7.7662037037037043E-2</v>
      </c>
      <c r="F6595">
        <v>111.83333333333333</v>
      </c>
    </row>
    <row r="6596" spans="1:6" x14ac:dyDescent="0.25">
      <c r="A6596" s="1">
        <v>40725</v>
      </c>
      <c r="B6596" t="s">
        <v>18</v>
      </c>
      <c r="C6596" t="s">
        <v>7</v>
      </c>
      <c r="D6596">
        <v>105</v>
      </c>
      <c r="E6596" s="2">
        <v>9.2939814814814808E-2</v>
      </c>
      <c r="F6596">
        <v>133.83333333333334</v>
      </c>
    </row>
    <row r="6597" spans="1:6" x14ac:dyDescent="0.25">
      <c r="A6597" s="1">
        <v>40725</v>
      </c>
      <c r="B6597" t="s">
        <v>18</v>
      </c>
      <c r="C6597" t="s">
        <v>8</v>
      </c>
      <c r="D6597">
        <v>69</v>
      </c>
      <c r="E6597" s="2">
        <v>6.3958333333333339E-2</v>
      </c>
      <c r="F6597">
        <v>92.1</v>
      </c>
    </row>
    <row r="6598" spans="1:6" x14ac:dyDescent="0.25">
      <c r="A6598" s="1">
        <v>40725</v>
      </c>
      <c r="B6598" t="s">
        <v>18</v>
      </c>
      <c r="C6598" t="s">
        <v>9</v>
      </c>
      <c r="D6598">
        <v>80</v>
      </c>
      <c r="E6598" s="2">
        <v>5.6365740740740744E-2</v>
      </c>
      <c r="F6598">
        <v>81.166666666666671</v>
      </c>
    </row>
    <row r="6599" spans="1:6" x14ac:dyDescent="0.25">
      <c r="A6599" s="1">
        <v>40725</v>
      </c>
      <c r="B6599" t="s">
        <v>18</v>
      </c>
      <c r="C6599" t="s">
        <v>10</v>
      </c>
      <c r="D6599">
        <v>118</v>
      </c>
      <c r="E6599" s="2">
        <v>0.1398611111111111</v>
      </c>
      <c r="F6599">
        <v>201.4</v>
      </c>
    </row>
    <row r="6600" spans="1:6" x14ac:dyDescent="0.25">
      <c r="A6600" s="1">
        <v>40725</v>
      </c>
      <c r="B6600" t="s">
        <v>18</v>
      </c>
      <c r="C6600" t="s">
        <v>11</v>
      </c>
      <c r="D6600">
        <v>48</v>
      </c>
      <c r="E6600" s="2">
        <v>3.4560185185185187E-2</v>
      </c>
      <c r="F6600">
        <v>49.766666666666666</v>
      </c>
    </row>
    <row r="6601" spans="1:6" x14ac:dyDescent="0.25">
      <c r="A6601" s="1">
        <v>40725</v>
      </c>
      <c r="B6601" t="s">
        <v>19</v>
      </c>
      <c r="C6601" t="s">
        <v>6</v>
      </c>
      <c r="D6601">
        <v>53</v>
      </c>
      <c r="E6601" s="2">
        <v>5.2499999999999998E-2</v>
      </c>
      <c r="F6601">
        <v>75.599999999999994</v>
      </c>
    </row>
    <row r="6602" spans="1:6" x14ac:dyDescent="0.25">
      <c r="A6602" s="1">
        <v>40725</v>
      </c>
      <c r="B6602" t="s">
        <v>19</v>
      </c>
      <c r="C6602" t="s">
        <v>7</v>
      </c>
      <c r="D6602">
        <v>54</v>
      </c>
      <c r="E6602" s="2">
        <v>5.8043981481481481E-2</v>
      </c>
      <c r="F6602">
        <v>83.583333333333329</v>
      </c>
    </row>
    <row r="6603" spans="1:6" x14ac:dyDescent="0.25">
      <c r="A6603" s="1">
        <v>40725</v>
      </c>
      <c r="B6603" t="s">
        <v>19</v>
      </c>
      <c r="C6603" t="s">
        <v>8</v>
      </c>
      <c r="D6603">
        <v>29</v>
      </c>
      <c r="E6603" s="2">
        <v>3.2071759259259258E-2</v>
      </c>
      <c r="F6603">
        <v>46.18333333333333</v>
      </c>
    </row>
    <row r="6604" spans="1:6" x14ac:dyDescent="0.25">
      <c r="A6604" s="1">
        <v>40725</v>
      </c>
      <c r="B6604" t="s">
        <v>19</v>
      </c>
      <c r="C6604" t="s">
        <v>9</v>
      </c>
      <c r="D6604">
        <v>30</v>
      </c>
      <c r="E6604" s="2">
        <v>2.3530092592592592E-2</v>
      </c>
      <c r="F6604">
        <v>33.883333333333333</v>
      </c>
    </row>
    <row r="6605" spans="1:6" x14ac:dyDescent="0.25">
      <c r="A6605" s="1">
        <v>40725</v>
      </c>
      <c r="B6605" t="s">
        <v>19</v>
      </c>
      <c r="C6605" t="s">
        <v>10</v>
      </c>
      <c r="D6605">
        <v>8</v>
      </c>
      <c r="E6605" s="2">
        <v>7.4421296296296293E-3</v>
      </c>
      <c r="F6605">
        <v>10.716666666666667</v>
      </c>
    </row>
    <row r="6606" spans="1:6" x14ac:dyDescent="0.25">
      <c r="A6606" s="1">
        <v>40725</v>
      </c>
      <c r="B6606" t="s">
        <v>19</v>
      </c>
      <c r="C6606" t="s">
        <v>11</v>
      </c>
      <c r="D6606">
        <v>33</v>
      </c>
      <c r="E6606" s="2">
        <v>2.8888888888888888E-2</v>
      </c>
      <c r="F6606">
        <v>41.6</v>
      </c>
    </row>
    <row r="6607" spans="1:6" x14ac:dyDescent="0.25">
      <c r="A6607" s="1">
        <v>40725</v>
      </c>
      <c r="B6607" t="s">
        <v>20</v>
      </c>
      <c r="C6607" t="s">
        <v>6</v>
      </c>
      <c r="D6607">
        <v>38</v>
      </c>
      <c r="E6607" s="2">
        <v>4.2314814814814812E-2</v>
      </c>
      <c r="F6607">
        <v>60.93333333333333</v>
      </c>
    </row>
    <row r="6608" spans="1:6" x14ac:dyDescent="0.25">
      <c r="A6608" s="1">
        <v>40725</v>
      </c>
      <c r="B6608" t="s">
        <v>20</v>
      </c>
      <c r="C6608" t="s">
        <v>7</v>
      </c>
      <c r="D6608">
        <v>60</v>
      </c>
      <c r="E6608" s="2">
        <v>8.2939814814814813E-2</v>
      </c>
      <c r="F6608">
        <v>119.43333333333334</v>
      </c>
    </row>
    <row r="6609" spans="1:6" x14ac:dyDescent="0.25">
      <c r="A6609" s="1">
        <v>40725</v>
      </c>
      <c r="B6609" t="s">
        <v>20</v>
      </c>
      <c r="C6609" t="s">
        <v>8</v>
      </c>
      <c r="D6609">
        <v>43</v>
      </c>
      <c r="E6609" s="2">
        <v>4.6944444444444441E-2</v>
      </c>
      <c r="F6609">
        <v>67.599999999999994</v>
      </c>
    </row>
    <row r="6610" spans="1:6" x14ac:dyDescent="0.25">
      <c r="A6610" s="1">
        <v>40725</v>
      </c>
      <c r="B6610" t="s">
        <v>20</v>
      </c>
      <c r="C6610" t="s">
        <v>9</v>
      </c>
      <c r="D6610">
        <v>29</v>
      </c>
      <c r="E6610" s="2">
        <v>2.3865740740740739E-2</v>
      </c>
      <c r="F6610">
        <v>34.366666666666667</v>
      </c>
    </row>
    <row r="6611" spans="1:6" x14ac:dyDescent="0.25">
      <c r="A6611" s="1">
        <v>40725</v>
      </c>
      <c r="B6611" t="s">
        <v>20</v>
      </c>
      <c r="C6611" t="s">
        <v>10</v>
      </c>
      <c r="D6611">
        <v>5</v>
      </c>
      <c r="E6611" s="2">
        <v>7.2106481481481483E-3</v>
      </c>
      <c r="F6611">
        <v>10.383333333333333</v>
      </c>
    </row>
    <row r="6612" spans="1:6" x14ac:dyDescent="0.25">
      <c r="A6612" s="1">
        <v>40725</v>
      </c>
      <c r="B6612" t="s">
        <v>20</v>
      </c>
      <c r="C6612" t="s">
        <v>11</v>
      </c>
      <c r="D6612">
        <v>26</v>
      </c>
      <c r="E6612" s="2">
        <v>2.0150462962962964E-2</v>
      </c>
      <c r="F6612">
        <v>29.016666666666666</v>
      </c>
    </row>
    <row r="6613" spans="1:6" x14ac:dyDescent="0.25">
      <c r="A6613" s="1">
        <v>40725</v>
      </c>
      <c r="B6613" t="s">
        <v>21</v>
      </c>
      <c r="C6613" t="s">
        <v>6</v>
      </c>
      <c r="D6613">
        <v>14</v>
      </c>
      <c r="E6613" s="2">
        <v>1.4444444444444444E-2</v>
      </c>
      <c r="F6613">
        <v>20.8</v>
      </c>
    </row>
    <row r="6614" spans="1:6" x14ac:dyDescent="0.25">
      <c r="A6614" s="1">
        <v>40725</v>
      </c>
      <c r="B6614" t="s">
        <v>21</v>
      </c>
      <c r="C6614" t="s">
        <v>7</v>
      </c>
      <c r="D6614">
        <v>11</v>
      </c>
      <c r="E6614" s="2">
        <v>1.0613425925925925E-2</v>
      </c>
      <c r="F6614">
        <v>15.283333333333333</v>
      </c>
    </row>
    <row r="6615" spans="1:6" x14ac:dyDescent="0.25">
      <c r="A6615" s="1">
        <v>40725</v>
      </c>
      <c r="B6615" t="s">
        <v>21</v>
      </c>
      <c r="C6615" t="s">
        <v>8</v>
      </c>
      <c r="D6615">
        <v>10</v>
      </c>
      <c r="E6615" s="2">
        <v>9.2361111111111116E-3</v>
      </c>
      <c r="F6615">
        <v>13.3</v>
      </c>
    </row>
    <row r="6616" spans="1:6" x14ac:dyDescent="0.25">
      <c r="A6616" s="1">
        <v>40725</v>
      </c>
      <c r="B6616" t="s">
        <v>21</v>
      </c>
      <c r="C6616" t="s">
        <v>9</v>
      </c>
      <c r="D6616">
        <v>5</v>
      </c>
      <c r="E6616" s="2">
        <v>4.4444444444444444E-3</v>
      </c>
      <c r="F6616">
        <v>6.4</v>
      </c>
    </row>
    <row r="6617" spans="1:6" x14ac:dyDescent="0.25">
      <c r="A6617" s="1">
        <v>40725</v>
      </c>
      <c r="B6617" t="s">
        <v>21</v>
      </c>
      <c r="C6617" t="s">
        <v>10</v>
      </c>
      <c r="D6617">
        <v>0</v>
      </c>
      <c r="E6617" s="2">
        <v>0</v>
      </c>
      <c r="F6617">
        <v>0</v>
      </c>
    </row>
    <row r="6618" spans="1:6" x14ac:dyDescent="0.25">
      <c r="A6618" s="1">
        <v>40725</v>
      </c>
      <c r="B6618" t="s">
        <v>21</v>
      </c>
      <c r="C6618" t="s">
        <v>11</v>
      </c>
      <c r="D6618">
        <v>8</v>
      </c>
      <c r="E6618" s="2">
        <v>5.0347222222222225E-3</v>
      </c>
      <c r="F6618">
        <v>7.25</v>
      </c>
    </row>
    <row r="6619" spans="1:6" x14ac:dyDescent="0.25">
      <c r="A6619" s="1">
        <v>40725</v>
      </c>
      <c r="B6619" t="s">
        <v>22</v>
      </c>
      <c r="C6619" t="s">
        <v>6</v>
      </c>
      <c r="D6619">
        <v>18</v>
      </c>
      <c r="E6619" s="2">
        <v>2.3125E-2</v>
      </c>
      <c r="F6619">
        <v>33.299999999999997</v>
      </c>
    </row>
    <row r="6620" spans="1:6" x14ac:dyDescent="0.25">
      <c r="A6620" s="1">
        <v>40725</v>
      </c>
      <c r="B6620" t="s">
        <v>22</v>
      </c>
      <c r="C6620" t="s">
        <v>7</v>
      </c>
      <c r="D6620">
        <v>9</v>
      </c>
      <c r="E6620" s="2">
        <v>1.2222222222222223E-2</v>
      </c>
      <c r="F6620">
        <v>17.600000000000001</v>
      </c>
    </row>
    <row r="6621" spans="1:6" x14ac:dyDescent="0.25">
      <c r="A6621" s="1">
        <v>40725</v>
      </c>
      <c r="B6621" t="s">
        <v>22</v>
      </c>
      <c r="C6621" t="s">
        <v>8</v>
      </c>
      <c r="D6621">
        <v>9</v>
      </c>
      <c r="E6621" s="2">
        <v>1.0219907407407407E-2</v>
      </c>
      <c r="F6621">
        <v>14.716666666666667</v>
      </c>
    </row>
    <row r="6622" spans="1:6" x14ac:dyDescent="0.25">
      <c r="A6622" s="1">
        <v>40725</v>
      </c>
      <c r="B6622" t="s">
        <v>22</v>
      </c>
      <c r="C6622" t="s">
        <v>9</v>
      </c>
      <c r="D6622">
        <v>4</v>
      </c>
      <c r="E6622" s="2">
        <v>2.3726851851851851E-3</v>
      </c>
      <c r="F6622">
        <v>3.4166666666666665</v>
      </c>
    </row>
    <row r="6623" spans="1:6" x14ac:dyDescent="0.25">
      <c r="A6623" s="1">
        <v>40725</v>
      </c>
      <c r="B6623" t="s">
        <v>22</v>
      </c>
      <c r="C6623" t="s">
        <v>10</v>
      </c>
      <c r="D6623">
        <v>2</v>
      </c>
      <c r="E6623" s="2">
        <v>1.1111111111111111E-3</v>
      </c>
      <c r="F6623">
        <v>1.6</v>
      </c>
    </row>
    <row r="6624" spans="1:6" x14ac:dyDescent="0.25">
      <c r="A6624" s="1">
        <v>40725</v>
      </c>
      <c r="B6624" t="s">
        <v>22</v>
      </c>
      <c r="C6624" t="s">
        <v>11</v>
      </c>
      <c r="D6624">
        <v>14</v>
      </c>
      <c r="E6624" s="2">
        <v>1.1886574074074074E-2</v>
      </c>
      <c r="F6624">
        <v>17.116666666666667</v>
      </c>
    </row>
    <row r="6625" spans="1:6" x14ac:dyDescent="0.25">
      <c r="A6625" s="1">
        <v>40725</v>
      </c>
      <c r="B6625" t="s">
        <v>23</v>
      </c>
      <c r="C6625" t="s">
        <v>6</v>
      </c>
      <c r="D6625">
        <v>91</v>
      </c>
      <c r="E6625" s="2">
        <v>9.6273148148148149E-2</v>
      </c>
      <c r="F6625">
        <v>138.63333333333333</v>
      </c>
    </row>
    <row r="6626" spans="1:6" x14ac:dyDescent="0.25">
      <c r="A6626" s="1">
        <v>40725</v>
      </c>
      <c r="B6626" t="s">
        <v>23</v>
      </c>
      <c r="C6626" t="s">
        <v>7</v>
      </c>
      <c r="D6626">
        <v>84</v>
      </c>
      <c r="E6626" s="2">
        <v>9.2546296296296293E-2</v>
      </c>
      <c r="F6626">
        <v>133.26666666666668</v>
      </c>
    </row>
    <row r="6627" spans="1:6" x14ac:dyDescent="0.25">
      <c r="A6627" s="1">
        <v>40725</v>
      </c>
      <c r="B6627" t="s">
        <v>23</v>
      </c>
      <c r="C6627" t="s">
        <v>8</v>
      </c>
      <c r="D6627">
        <v>68</v>
      </c>
      <c r="E6627" s="2">
        <v>6.5590277777777775E-2</v>
      </c>
      <c r="F6627">
        <v>94.45</v>
      </c>
    </row>
    <row r="6628" spans="1:6" x14ac:dyDescent="0.25">
      <c r="A6628" s="1">
        <v>40725</v>
      </c>
      <c r="B6628" t="s">
        <v>23</v>
      </c>
      <c r="C6628" t="s">
        <v>9</v>
      </c>
      <c r="D6628">
        <v>49</v>
      </c>
      <c r="E6628" s="2">
        <v>3.7662037037037036E-2</v>
      </c>
      <c r="F6628">
        <v>54.233333333333334</v>
      </c>
    </row>
    <row r="6629" spans="1:6" x14ac:dyDescent="0.25">
      <c r="A6629" s="1">
        <v>40725</v>
      </c>
      <c r="B6629" t="s">
        <v>23</v>
      </c>
      <c r="C6629" t="s">
        <v>10</v>
      </c>
      <c r="D6629">
        <v>22</v>
      </c>
      <c r="E6629" s="2">
        <v>2.9340277777777778E-2</v>
      </c>
      <c r="F6629">
        <v>42.25</v>
      </c>
    </row>
    <row r="6630" spans="1:6" x14ac:dyDescent="0.25">
      <c r="A6630" s="1">
        <v>40725</v>
      </c>
      <c r="B6630" t="s">
        <v>23</v>
      </c>
      <c r="C6630" t="s">
        <v>11</v>
      </c>
      <c r="D6630">
        <v>92</v>
      </c>
      <c r="E6630" s="2">
        <v>7.9606481481481486E-2</v>
      </c>
      <c r="F6630">
        <v>114.63333333333334</v>
      </c>
    </row>
    <row r="6631" spans="1:6" x14ac:dyDescent="0.25">
      <c r="A6631" s="1">
        <v>40725</v>
      </c>
      <c r="B6631" t="s">
        <v>24</v>
      </c>
      <c r="C6631" t="s">
        <v>6</v>
      </c>
      <c r="D6631">
        <v>67</v>
      </c>
      <c r="E6631" s="2">
        <v>6.9641203703703705E-2</v>
      </c>
      <c r="F6631">
        <v>100.28333333333333</v>
      </c>
    </row>
    <row r="6632" spans="1:6" x14ac:dyDescent="0.25">
      <c r="A6632" s="1">
        <v>40725</v>
      </c>
      <c r="B6632" t="s">
        <v>24</v>
      </c>
      <c r="C6632" t="s">
        <v>7</v>
      </c>
      <c r="D6632">
        <v>67</v>
      </c>
      <c r="E6632" s="2">
        <v>5.8703703703703702E-2</v>
      </c>
      <c r="F6632">
        <v>84.533333333333331</v>
      </c>
    </row>
    <row r="6633" spans="1:6" x14ac:dyDescent="0.25">
      <c r="A6633" s="1">
        <v>40725</v>
      </c>
      <c r="B6633" t="s">
        <v>24</v>
      </c>
      <c r="C6633" t="s">
        <v>8</v>
      </c>
      <c r="D6633">
        <v>43</v>
      </c>
      <c r="E6633" s="2">
        <v>3.6261574074074071E-2</v>
      </c>
      <c r="F6633">
        <v>52.216666666666669</v>
      </c>
    </row>
    <row r="6634" spans="1:6" x14ac:dyDescent="0.25">
      <c r="A6634" s="1">
        <v>40725</v>
      </c>
      <c r="B6634" t="s">
        <v>24</v>
      </c>
      <c r="C6634" t="s">
        <v>9</v>
      </c>
      <c r="D6634">
        <v>30</v>
      </c>
      <c r="E6634" s="2">
        <v>2.0636574074074075E-2</v>
      </c>
      <c r="F6634">
        <v>29.716666666666665</v>
      </c>
    </row>
    <row r="6635" spans="1:6" x14ac:dyDescent="0.25">
      <c r="A6635" s="1">
        <v>40725</v>
      </c>
      <c r="B6635" t="s">
        <v>24</v>
      </c>
      <c r="C6635" t="s">
        <v>10</v>
      </c>
      <c r="D6635">
        <v>3</v>
      </c>
      <c r="E6635" s="2">
        <v>2.5925925925925925E-3</v>
      </c>
      <c r="F6635">
        <v>3.7333333333333334</v>
      </c>
    </row>
    <row r="6636" spans="1:6" x14ac:dyDescent="0.25">
      <c r="A6636" s="1">
        <v>40725</v>
      </c>
      <c r="B6636" t="s">
        <v>24</v>
      </c>
      <c r="C6636" t="s">
        <v>11</v>
      </c>
      <c r="D6636">
        <v>45</v>
      </c>
      <c r="E6636" s="2">
        <v>2.6157407407407407E-2</v>
      </c>
      <c r="F6636">
        <v>37.666666666666664</v>
      </c>
    </row>
    <row r="6637" spans="1:6" x14ac:dyDescent="0.25">
      <c r="A6637" s="1">
        <v>40756</v>
      </c>
      <c r="B6637" t="s">
        <v>5</v>
      </c>
      <c r="C6637" t="s">
        <v>6</v>
      </c>
      <c r="D6637">
        <v>44</v>
      </c>
      <c r="E6637" s="2">
        <v>3.9571759259259258E-2</v>
      </c>
      <c r="F6637">
        <v>56.983333333333334</v>
      </c>
    </row>
    <row r="6638" spans="1:6" x14ac:dyDescent="0.25">
      <c r="A6638" s="1">
        <v>40756</v>
      </c>
      <c r="B6638" t="s">
        <v>5</v>
      </c>
      <c r="C6638" t="s">
        <v>7</v>
      </c>
      <c r="D6638">
        <v>50</v>
      </c>
      <c r="E6638" s="2">
        <v>3.5567129629629629E-2</v>
      </c>
      <c r="F6638">
        <v>51.216666666666669</v>
      </c>
    </row>
    <row r="6639" spans="1:6" x14ac:dyDescent="0.25">
      <c r="A6639" s="1">
        <v>40756</v>
      </c>
      <c r="B6639" t="s">
        <v>5</v>
      </c>
      <c r="C6639" t="s">
        <v>8</v>
      </c>
      <c r="D6639">
        <v>36</v>
      </c>
      <c r="E6639" s="2">
        <v>2.9965277777777778E-2</v>
      </c>
      <c r="F6639">
        <v>43.15</v>
      </c>
    </row>
    <row r="6640" spans="1:6" x14ac:dyDescent="0.25">
      <c r="A6640" s="1">
        <v>40756</v>
      </c>
      <c r="B6640" t="s">
        <v>5</v>
      </c>
      <c r="C6640" t="s">
        <v>9</v>
      </c>
      <c r="D6640">
        <v>24</v>
      </c>
      <c r="E6640" s="2">
        <v>1.3333333333333334E-2</v>
      </c>
      <c r="F6640">
        <v>19.2</v>
      </c>
    </row>
    <row r="6641" spans="1:6" x14ac:dyDescent="0.25">
      <c r="A6641" s="1">
        <v>40756</v>
      </c>
      <c r="B6641" t="s">
        <v>5</v>
      </c>
      <c r="C6641" t="s">
        <v>10</v>
      </c>
      <c r="D6641">
        <v>15</v>
      </c>
      <c r="E6641" s="2">
        <v>1.7476851851851851E-2</v>
      </c>
      <c r="F6641">
        <v>25.166666666666668</v>
      </c>
    </row>
    <row r="6642" spans="1:6" x14ac:dyDescent="0.25">
      <c r="A6642" s="1">
        <v>40756</v>
      </c>
      <c r="B6642" t="s">
        <v>5</v>
      </c>
      <c r="C6642" t="s">
        <v>11</v>
      </c>
      <c r="D6642">
        <v>27</v>
      </c>
      <c r="E6642" s="2">
        <v>1.8217592592592594E-2</v>
      </c>
      <c r="F6642">
        <v>26.233333333333334</v>
      </c>
    </row>
    <row r="6643" spans="1:6" x14ac:dyDescent="0.25">
      <c r="A6643" s="1">
        <v>40756</v>
      </c>
      <c r="B6643" t="s">
        <v>12</v>
      </c>
      <c r="C6643" t="s">
        <v>6</v>
      </c>
      <c r="D6643">
        <v>77</v>
      </c>
      <c r="E6643" s="2">
        <v>9.796296296296296E-2</v>
      </c>
      <c r="F6643">
        <v>141.06666666666666</v>
      </c>
    </row>
    <row r="6644" spans="1:6" x14ac:dyDescent="0.25">
      <c r="A6644" s="1">
        <v>40756</v>
      </c>
      <c r="B6644" t="s">
        <v>12</v>
      </c>
      <c r="C6644" t="s">
        <v>7</v>
      </c>
      <c r="D6644">
        <v>50</v>
      </c>
      <c r="E6644" s="2">
        <v>6.33912037037037E-2</v>
      </c>
      <c r="F6644">
        <v>91.283333333333331</v>
      </c>
    </row>
    <row r="6645" spans="1:6" x14ac:dyDescent="0.25">
      <c r="A6645" s="1">
        <v>40756</v>
      </c>
      <c r="B6645" t="s">
        <v>12</v>
      </c>
      <c r="C6645" t="s">
        <v>8</v>
      </c>
      <c r="D6645">
        <v>26</v>
      </c>
      <c r="E6645" s="2">
        <v>3.6782407407407409E-2</v>
      </c>
      <c r="F6645">
        <v>52.966666666666669</v>
      </c>
    </row>
    <row r="6646" spans="1:6" x14ac:dyDescent="0.25">
      <c r="A6646" s="1">
        <v>40756</v>
      </c>
      <c r="B6646" t="s">
        <v>12</v>
      </c>
      <c r="C6646" t="s">
        <v>9</v>
      </c>
      <c r="D6646">
        <v>7</v>
      </c>
      <c r="E6646" s="2">
        <v>4.1435185185185186E-3</v>
      </c>
      <c r="F6646">
        <v>5.9666666666666668</v>
      </c>
    </row>
    <row r="6647" spans="1:6" x14ac:dyDescent="0.25">
      <c r="A6647" s="1">
        <v>40756</v>
      </c>
      <c r="B6647" t="s">
        <v>12</v>
      </c>
      <c r="C6647" t="s">
        <v>10</v>
      </c>
      <c r="D6647">
        <v>44</v>
      </c>
      <c r="E6647" s="2">
        <v>7.9826388888888891E-2</v>
      </c>
      <c r="F6647">
        <v>114.95</v>
      </c>
    </row>
    <row r="6648" spans="1:6" x14ac:dyDescent="0.25">
      <c r="A6648" s="1">
        <v>40756</v>
      </c>
      <c r="B6648" t="s">
        <v>12</v>
      </c>
      <c r="C6648" t="s">
        <v>11</v>
      </c>
      <c r="D6648">
        <v>45</v>
      </c>
      <c r="E6648" s="2">
        <v>4.5243055555555557E-2</v>
      </c>
      <c r="F6648">
        <v>65.150000000000006</v>
      </c>
    </row>
    <row r="6649" spans="1:6" x14ac:dyDescent="0.25">
      <c r="A6649" s="1">
        <v>40756</v>
      </c>
      <c r="B6649" t="s">
        <v>13</v>
      </c>
      <c r="C6649" t="s">
        <v>6</v>
      </c>
      <c r="D6649">
        <v>129</v>
      </c>
      <c r="E6649" s="2">
        <v>0.14890046296296297</v>
      </c>
      <c r="F6649">
        <v>214.41666666666666</v>
      </c>
    </row>
    <row r="6650" spans="1:6" x14ac:dyDescent="0.25">
      <c r="A6650" s="1">
        <v>40756</v>
      </c>
      <c r="B6650" t="s">
        <v>13</v>
      </c>
      <c r="C6650" t="s">
        <v>7</v>
      </c>
      <c r="D6650">
        <v>136</v>
      </c>
      <c r="E6650" s="2">
        <v>0.15663194444444445</v>
      </c>
      <c r="F6650">
        <v>225.55</v>
      </c>
    </row>
    <row r="6651" spans="1:6" x14ac:dyDescent="0.25">
      <c r="A6651" s="1">
        <v>40756</v>
      </c>
      <c r="B6651" t="s">
        <v>13</v>
      </c>
      <c r="C6651" t="s">
        <v>8</v>
      </c>
      <c r="D6651">
        <v>79</v>
      </c>
      <c r="E6651" s="2">
        <v>8.9722222222222217E-2</v>
      </c>
      <c r="F6651">
        <v>129.19999999999999</v>
      </c>
    </row>
    <row r="6652" spans="1:6" x14ac:dyDescent="0.25">
      <c r="A6652" s="1">
        <v>40756</v>
      </c>
      <c r="B6652" t="s">
        <v>13</v>
      </c>
      <c r="C6652" t="s">
        <v>9</v>
      </c>
      <c r="D6652">
        <v>52</v>
      </c>
      <c r="E6652" s="2">
        <v>4.1215277777777781E-2</v>
      </c>
      <c r="F6652">
        <v>59.35</v>
      </c>
    </row>
    <row r="6653" spans="1:6" x14ac:dyDescent="0.25">
      <c r="A6653" s="1">
        <v>40756</v>
      </c>
      <c r="B6653" t="s">
        <v>13</v>
      </c>
      <c r="C6653" t="s">
        <v>10</v>
      </c>
      <c r="D6653">
        <v>42</v>
      </c>
      <c r="E6653" s="2">
        <v>5.6018518518518516E-2</v>
      </c>
      <c r="F6653">
        <v>80.666666666666671</v>
      </c>
    </row>
    <row r="6654" spans="1:6" x14ac:dyDescent="0.25">
      <c r="A6654" s="1">
        <v>40756</v>
      </c>
      <c r="B6654" t="s">
        <v>13</v>
      </c>
      <c r="C6654" t="s">
        <v>11</v>
      </c>
      <c r="D6654">
        <v>63</v>
      </c>
      <c r="E6654" s="2">
        <v>5.724537037037037E-2</v>
      </c>
      <c r="F6654">
        <v>82.433333333333337</v>
      </c>
    </row>
    <row r="6655" spans="1:6" x14ac:dyDescent="0.25">
      <c r="A6655" s="1">
        <v>40756</v>
      </c>
      <c r="B6655" t="s">
        <v>14</v>
      </c>
      <c r="C6655" t="s">
        <v>6</v>
      </c>
      <c r="D6655">
        <v>16</v>
      </c>
      <c r="E6655" s="2">
        <v>2.0416666666666666E-2</v>
      </c>
      <c r="F6655">
        <v>29.4</v>
      </c>
    </row>
    <row r="6656" spans="1:6" x14ac:dyDescent="0.25">
      <c r="A6656" s="1">
        <v>40756</v>
      </c>
      <c r="B6656" t="s">
        <v>14</v>
      </c>
      <c r="C6656" t="s">
        <v>7</v>
      </c>
      <c r="D6656">
        <v>22</v>
      </c>
      <c r="E6656" s="2">
        <v>2.7523148148148147E-2</v>
      </c>
      <c r="F6656">
        <v>39.633333333333333</v>
      </c>
    </row>
    <row r="6657" spans="1:6" x14ac:dyDescent="0.25">
      <c r="A6657" s="1">
        <v>40756</v>
      </c>
      <c r="B6657" t="s">
        <v>14</v>
      </c>
      <c r="C6657" t="s">
        <v>8</v>
      </c>
      <c r="D6657">
        <v>15</v>
      </c>
      <c r="E6657" s="2">
        <v>1.8067129629629631E-2</v>
      </c>
      <c r="F6657">
        <v>26.016666666666666</v>
      </c>
    </row>
    <row r="6658" spans="1:6" x14ac:dyDescent="0.25">
      <c r="A6658" s="1">
        <v>40756</v>
      </c>
      <c r="B6658" t="s">
        <v>14</v>
      </c>
      <c r="C6658" t="s">
        <v>9</v>
      </c>
      <c r="D6658">
        <v>6</v>
      </c>
      <c r="E6658" s="2">
        <v>5.138888888888889E-3</v>
      </c>
      <c r="F6658">
        <v>7.4</v>
      </c>
    </row>
    <row r="6659" spans="1:6" x14ac:dyDescent="0.25">
      <c r="A6659" s="1">
        <v>40756</v>
      </c>
      <c r="B6659" t="s">
        <v>14</v>
      </c>
      <c r="C6659" t="s">
        <v>10</v>
      </c>
      <c r="D6659">
        <v>0</v>
      </c>
      <c r="E6659" s="2">
        <v>0</v>
      </c>
      <c r="F6659">
        <v>0</v>
      </c>
    </row>
    <row r="6660" spans="1:6" x14ac:dyDescent="0.25">
      <c r="A6660" s="1">
        <v>40756</v>
      </c>
      <c r="B6660" t="s">
        <v>14</v>
      </c>
      <c r="C6660" t="s">
        <v>11</v>
      </c>
      <c r="D6660">
        <v>10</v>
      </c>
      <c r="E6660" s="2">
        <v>1.2407407407407407E-2</v>
      </c>
      <c r="F6660">
        <v>17.866666666666667</v>
      </c>
    </row>
    <row r="6661" spans="1:6" x14ac:dyDescent="0.25">
      <c r="A6661" s="1">
        <v>40756</v>
      </c>
      <c r="B6661" t="s">
        <v>15</v>
      </c>
      <c r="C6661" t="s">
        <v>6</v>
      </c>
      <c r="D6661">
        <v>48</v>
      </c>
      <c r="E6661" s="2">
        <v>4.8298611111111112E-2</v>
      </c>
      <c r="F6661">
        <v>69.55</v>
      </c>
    </row>
    <row r="6662" spans="1:6" x14ac:dyDescent="0.25">
      <c r="A6662" s="1">
        <v>40756</v>
      </c>
      <c r="B6662" t="s">
        <v>15</v>
      </c>
      <c r="C6662" t="s">
        <v>7</v>
      </c>
      <c r="D6662">
        <v>32</v>
      </c>
      <c r="E6662" s="2">
        <v>3.4212962962962966E-2</v>
      </c>
      <c r="F6662">
        <v>49.266666666666666</v>
      </c>
    </row>
    <row r="6663" spans="1:6" x14ac:dyDescent="0.25">
      <c r="A6663" s="1">
        <v>40756</v>
      </c>
      <c r="B6663" t="s">
        <v>15</v>
      </c>
      <c r="C6663" t="s">
        <v>8</v>
      </c>
      <c r="D6663">
        <v>23</v>
      </c>
      <c r="E6663" s="2">
        <v>2.1608796296296296E-2</v>
      </c>
      <c r="F6663">
        <v>31.116666666666667</v>
      </c>
    </row>
    <row r="6664" spans="1:6" x14ac:dyDescent="0.25">
      <c r="A6664" s="1">
        <v>40756</v>
      </c>
      <c r="B6664" t="s">
        <v>15</v>
      </c>
      <c r="C6664" t="s">
        <v>9</v>
      </c>
      <c r="D6664">
        <v>6</v>
      </c>
      <c r="E6664" s="2">
        <v>3.2291666666666666E-3</v>
      </c>
      <c r="F6664">
        <v>4.6500000000000004</v>
      </c>
    </row>
    <row r="6665" spans="1:6" x14ac:dyDescent="0.25">
      <c r="A6665" s="1">
        <v>40756</v>
      </c>
      <c r="B6665" t="s">
        <v>15</v>
      </c>
      <c r="C6665" t="s">
        <v>10</v>
      </c>
      <c r="D6665">
        <v>9</v>
      </c>
      <c r="E6665" s="2">
        <v>1.1898148148148149E-2</v>
      </c>
      <c r="F6665">
        <v>17.133333333333333</v>
      </c>
    </row>
    <row r="6666" spans="1:6" x14ac:dyDescent="0.25">
      <c r="A6666" s="1">
        <v>40756</v>
      </c>
      <c r="B6666" t="s">
        <v>15</v>
      </c>
      <c r="C6666" t="s">
        <v>11</v>
      </c>
      <c r="D6666">
        <v>21</v>
      </c>
      <c r="E6666" s="2">
        <v>1.8877314814814816E-2</v>
      </c>
      <c r="F6666">
        <v>27.183333333333334</v>
      </c>
    </row>
    <row r="6667" spans="1:6" x14ac:dyDescent="0.25">
      <c r="A6667" s="1">
        <v>40756</v>
      </c>
      <c r="B6667" t="s">
        <v>16</v>
      </c>
      <c r="C6667" t="s">
        <v>6</v>
      </c>
      <c r="D6667">
        <v>49</v>
      </c>
      <c r="E6667" s="2">
        <v>4.3032407407407408E-2</v>
      </c>
      <c r="F6667">
        <v>61.966666666666669</v>
      </c>
    </row>
    <row r="6668" spans="1:6" x14ac:dyDescent="0.25">
      <c r="A6668" s="1">
        <v>40756</v>
      </c>
      <c r="B6668" t="s">
        <v>16</v>
      </c>
      <c r="C6668" t="s">
        <v>7</v>
      </c>
      <c r="D6668">
        <v>54</v>
      </c>
      <c r="E6668" s="2">
        <v>4.3599537037037034E-2</v>
      </c>
      <c r="F6668">
        <v>62.783333333333331</v>
      </c>
    </row>
    <row r="6669" spans="1:6" x14ac:dyDescent="0.25">
      <c r="A6669" s="1">
        <v>40756</v>
      </c>
      <c r="B6669" t="s">
        <v>16</v>
      </c>
      <c r="C6669" t="s">
        <v>8</v>
      </c>
      <c r="D6669">
        <v>57</v>
      </c>
      <c r="E6669" s="2">
        <v>4.6168981481481484E-2</v>
      </c>
      <c r="F6669">
        <v>66.483333333333334</v>
      </c>
    </row>
    <row r="6670" spans="1:6" x14ac:dyDescent="0.25">
      <c r="A6670" s="1">
        <v>40756</v>
      </c>
      <c r="B6670" t="s">
        <v>16</v>
      </c>
      <c r="C6670" t="s">
        <v>9</v>
      </c>
      <c r="D6670">
        <v>29</v>
      </c>
      <c r="E6670" s="2">
        <v>2.0358796296296295E-2</v>
      </c>
      <c r="F6670">
        <v>29.316666666666666</v>
      </c>
    </row>
    <row r="6671" spans="1:6" x14ac:dyDescent="0.25">
      <c r="A6671" s="1">
        <v>40756</v>
      </c>
      <c r="B6671" t="s">
        <v>16</v>
      </c>
      <c r="C6671" t="s">
        <v>10</v>
      </c>
      <c r="D6671">
        <v>1</v>
      </c>
      <c r="E6671" s="2">
        <v>5.6712962962962967E-4</v>
      </c>
      <c r="F6671">
        <v>0.81666666666666665</v>
      </c>
    </row>
    <row r="6672" spans="1:6" x14ac:dyDescent="0.25">
      <c r="A6672" s="1">
        <v>40756</v>
      </c>
      <c r="B6672" t="s">
        <v>16</v>
      </c>
      <c r="C6672" t="s">
        <v>11</v>
      </c>
      <c r="D6672">
        <v>69</v>
      </c>
      <c r="E6672" s="2">
        <v>5.1030092592592592E-2</v>
      </c>
      <c r="F6672">
        <v>73.483333333333334</v>
      </c>
    </row>
    <row r="6673" spans="1:6" x14ac:dyDescent="0.25">
      <c r="A6673" s="1">
        <v>40756</v>
      </c>
      <c r="B6673" t="s">
        <v>17</v>
      </c>
      <c r="C6673" t="s">
        <v>6</v>
      </c>
      <c r="D6673">
        <v>9</v>
      </c>
      <c r="E6673" s="2">
        <v>6.4467592592592588E-3</v>
      </c>
      <c r="F6673">
        <v>9.2833333333333332</v>
      </c>
    </row>
    <row r="6674" spans="1:6" x14ac:dyDescent="0.25">
      <c r="A6674" s="1">
        <v>40756</v>
      </c>
      <c r="B6674" t="s">
        <v>17</v>
      </c>
      <c r="C6674" t="s">
        <v>7</v>
      </c>
      <c r="D6674">
        <v>8</v>
      </c>
      <c r="E6674" s="2">
        <v>8.2407407407407412E-3</v>
      </c>
      <c r="F6674">
        <v>11.866666666666667</v>
      </c>
    </row>
    <row r="6675" spans="1:6" x14ac:dyDescent="0.25">
      <c r="A6675" s="1">
        <v>40756</v>
      </c>
      <c r="B6675" t="s">
        <v>17</v>
      </c>
      <c r="C6675" t="s">
        <v>8</v>
      </c>
      <c r="D6675">
        <v>5</v>
      </c>
      <c r="E6675" s="2">
        <v>5.3009259259259259E-3</v>
      </c>
      <c r="F6675">
        <v>7.6333333333333329</v>
      </c>
    </row>
    <row r="6676" spans="1:6" x14ac:dyDescent="0.25">
      <c r="A6676" s="1">
        <v>40756</v>
      </c>
      <c r="B6676" t="s">
        <v>17</v>
      </c>
      <c r="C6676" t="s">
        <v>9</v>
      </c>
      <c r="D6676">
        <v>9</v>
      </c>
      <c r="E6676" s="2">
        <v>7.0486111111111114E-3</v>
      </c>
      <c r="F6676">
        <v>10.15</v>
      </c>
    </row>
    <row r="6677" spans="1:6" x14ac:dyDescent="0.25">
      <c r="A6677" s="1">
        <v>40756</v>
      </c>
      <c r="B6677" t="s">
        <v>17</v>
      </c>
      <c r="C6677" t="s">
        <v>10</v>
      </c>
      <c r="D6677">
        <v>6</v>
      </c>
      <c r="E6677" s="2">
        <v>8.2407407407407412E-3</v>
      </c>
      <c r="F6677">
        <v>11.866666666666667</v>
      </c>
    </row>
    <row r="6678" spans="1:6" x14ac:dyDescent="0.25">
      <c r="A6678" s="1">
        <v>40756</v>
      </c>
      <c r="B6678" t="s">
        <v>17</v>
      </c>
      <c r="C6678" t="s">
        <v>11</v>
      </c>
      <c r="D6678">
        <v>2</v>
      </c>
      <c r="E6678" s="2">
        <v>1.6782407407407408E-3</v>
      </c>
      <c r="F6678">
        <v>2.4166666666666665</v>
      </c>
    </row>
    <row r="6679" spans="1:6" x14ac:dyDescent="0.25">
      <c r="A6679" s="1">
        <v>40756</v>
      </c>
      <c r="B6679" t="s">
        <v>18</v>
      </c>
      <c r="C6679" t="s">
        <v>6</v>
      </c>
      <c r="D6679">
        <v>77</v>
      </c>
      <c r="E6679" s="2">
        <v>6.5787037037037033E-2</v>
      </c>
      <c r="F6679">
        <v>94.733333333333334</v>
      </c>
    </row>
    <row r="6680" spans="1:6" x14ac:dyDescent="0.25">
      <c r="A6680" s="1">
        <v>40756</v>
      </c>
      <c r="B6680" t="s">
        <v>18</v>
      </c>
      <c r="C6680" t="s">
        <v>7</v>
      </c>
      <c r="D6680">
        <v>111</v>
      </c>
      <c r="E6680" s="2">
        <v>0.10075231481481481</v>
      </c>
      <c r="F6680">
        <v>145.08333333333334</v>
      </c>
    </row>
    <row r="6681" spans="1:6" x14ac:dyDescent="0.25">
      <c r="A6681" s="1">
        <v>40756</v>
      </c>
      <c r="B6681" t="s">
        <v>18</v>
      </c>
      <c r="C6681" t="s">
        <v>8</v>
      </c>
      <c r="D6681">
        <v>68</v>
      </c>
      <c r="E6681" s="2">
        <v>6.1354166666666668E-2</v>
      </c>
      <c r="F6681">
        <v>88.35</v>
      </c>
    </row>
    <row r="6682" spans="1:6" x14ac:dyDescent="0.25">
      <c r="A6682" s="1">
        <v>40756</v>
      </c>
      <c r="B6682" t="s">
        <v>18</v>
      </c>
      <c r="C6682" t="s">
        <v>9</v>
      </c>
      <c r="D6682">
        <v>83</v>
      </c>
      <c r="E6682" s="2">
        <v>4.9780092592592591E-2</v>
      </c>
      <c r="F6682">
        <v>71.683333333333337</v>
      </c>
    </row>
    <row r="6683" spans="1:6" x14ac:dyDescent="0.25">
      <c r="A6683" s="1">
        <v>40756</v>
      </c>
      <c r="B6683" t="s">
        <v>18</v>
      </c>
      <c r="C6683" t="s">
        <v>10</v>
      </c>
      <c r="D6683">
        <v>158</v>
      </c>
      <c r="E6683" s="2">
        <v>0.17398148148148149</v>
      </c>
      <c r="F6683">
        <v>250.53333333333333</v>
      </c>
    </row>
    <row r="6684" spans="1:6" x14ac:dyDescent="0.25">
      <c r="A6684" s="1">
        <v>40756</v>
      </c>
      <c r="B6684" t="s">
        <v>18</v>
      </c>
      <c r="C6684" t="s">
        <v>11</v>
      </c>
      <c r="D6684">
        <v>37</v>
      </c>
      <c r="E6684" s="2">
        <v>2.5173611111111112E-2</v>
      </c>
      <c r="F6684">
        <v>36.25</v>
      </c>
    </row>
    <row r="6685" spans="1:6" x14ac:dyDescent="0.25">
      <c r="A6685" s="1">
        <v>40756</v>
      </c>
      <c r="B6685" t="s">
        <v>19</v>
      </c>
      <c r="C6685" t="s">
        <v>6</v>
      </c>
      <c r="D6685">
        <v>44</v>
      </c>
      <c r="E6685" s="2">
        <v>4.400462962962963E-2</v>
      </c>
      <c r="F6685">
        <v>63.366666666666667</v>
      </c>
    </row>
    <row r="6686" spans="1:6" x14ac:dyDescent="0.25">
      <c r="A6686" s="1">
        <v>40756</v>
      </c>
      <c r="B6686" t="s">
        <v>19</v>
      </c>
      <c r="C6686" t="s">
        <v>7</v>
      </c>
      <c r="D6686">
        <v>46</v>
      </c>
      <c r="E6686" s="2">
        <v>5.0428240740740739E-2</v>
      </c>
      <c r="F6686">
        <v>72.61666666666666</v>
      </c>
    </row>
    <row r="6687" spans="1:6" x14ac:dyDescent="0.25">
      <c r="A6687" s="1">
        <v>40756</v>
      </c>
      <c r="B6687" t="s">
        <v>19</v>
      </c>
      <c r="C6687" t="s">
        <v>8</v>
      </c>
      <c r="D6687">
        <v>36</v>
      </c>
      <c r="E6687" s="2">
        <v>3.9756944444444442E-2</v>
      </c>
      <c r="F6687">
        <v>57.25</v>
      </c>
    </row>
    <row r="6688" spans="1:6" x14ac:dyDescent="0.25">
      <c r="A6688" s="1">
        <v>40756</v>
      </c>
      <c r="B6688" t="s">
        <v>19</v>
      </c>
      <c r="C6688" t="s">
        <v>9</v>
      </c>
      <c r="D6688">
        <v>30</v>
      </c>
      <c r="E6688" s="2">
        <v>2.4236111111111111E-2</v>
      </c>
      <c r="F6688">
        <v>34.9</v>
      </c>
    </row>
    <row r="6689" spans="1:6" x14ac:dyDescent="0.25">
      <c r="A6689" s="1">
        <v>40756</v>
      </c>
      <c r="B6689" t="s">
        <v>19</v>
      </c>
      <c r="C6689" t="s">
        <v>10</v>
      </c>
      <c r="D6689">
        <v>9</v>
      </c>
      <c r="E6689" s="2">
        <v>9.1782407407407403E-3</v>
      </c>
      <c r="F6689">
        <v>13.216666666666667</v>
      </c>
    </row>
    <row r="6690" spans="1:6" x14ac:dyDescent="0.25">
      <c r="A6690" s="1">
        <v>40756</v>
      </c>
      <c r="B6690" t="s">
        <v>19</v>
      </c>
      <c r="C6690" t="s">
        <v>11</v>
      </c>
      <c r="D6690">
        <v>33</v>
      </c>
      <c r="E6690" s="2">
        <v>2.7685185185185184E-2</v>
      </c>
      <c r="F6690">
        <v>39.866666666666667</v>
      </c>
    </row>
    <row r="6691" spans="1:6" x14ac:dyDescent="0.25">
      <c r="A6691" s="1">
        <v>40756</v>
      </c>
      <c r="B6691" t="s">
        <v>20</v>
      </c>
      <c r="C6691" t="s">
        <v>6</v>
      </c>
      <c r="D6691">
        <v>36</v>
      </c>
      <c r="E6691" s="2">
        <v>4.4502314814814814E-2</v>
      </c>
      <c r="F6691">
        <v>64.083333333333329</v>
      </c>
    </row>
    <row r="6692" spans="1:6" x14ac:dyDescent="0.25">
      <c r="A6692" s="1">
        <v>40756</v>
      </c>
      <c r="B6692" t="s">
        <v>20</v>
      </c>
      <c r="C6692" t="s">
        <v>7</v>
      </c>
      <c r="D6692">
        <v>28</v>
      </c>
      <c r="E6692" s="2">
        <v>3.2129629629629633E-2</v>
      </c>
      <c r="F6692">
        <v>46.266666666666666</v>
      </c>
    </row>
    <row r="6693" spans="1:6" x14ac:dyDescent="0.25">
      <c r="A6693" s="1">
        <v>40756</v>
      </c>
      <c r="B6693" t="s">
        <v>20</v>
      </c>
      <c r="C6693" t="s">
        <v>8</v>
      </c>
      <c r="D6693">
        <v>38</v>
      </c>
      <c r="E6693" s="2">
        <v>3.9432870370370368E-2</v>
      </c>
      <c r="F6693">
        <v>56.783333333333331</v>
      </c>
    </row>
    <row r="6694" spans="1:6" x14ac:dyDescent="0.25">
      <c r="A6694" s="1">
        <v>40756</v>
      </c>
      <c r="B6694" t="s">
        <v>20</v>
      </c>
      <c r="C6694" t="s">
        <v>9</v>
      </c>
      <c r="D6694">
        <v>17</v>
      </c>
      <c r="E6694" s="2">
        <v>1.7094907407407406E-2</v>
      </c>
      <c r="F6694">
        <v>24.616666666666667</v>
      </c>
    </row>
    <row r="6695" spans="1:6" x14ac:dyDescent="0.25">
      <c r="A6695" s="1">
        <v>40756</v>
      </c>
      <c r="B6695" t="s">
        <v>20</v>
      </c>
      <c r="C6695" t="s">
        <v>10</v>
      </c>
      <c r="D6695">
        <v>2</v>
      </c>
      <c r="E6695" s="2">
        <v>2.2222222222222222E-3</v>
      </c>
      <c r="F6695">
        <v>3.2</v>
      </c>
    </row>
    <row r="6696" spans="1:6" x14ac:dyDescent="0.25">
      <c r="A6696" s="1">
        <v>40756</v>
      </c>
      <c r="B6696" t="s">
        <v>20</v>
      </c>
      <c r="C6696" t="s">
        <v>11</v>
      </c>
      <c r="D6696">
        <v>20</v>
      </c>
      <c r="E6696" s="2">
        <v>1.3333333333333334E-2</v>
      </c>
      <c r="F6696">
        <v>19.2</v>
      </c>
    </row>
    <row r="6697" spans="1:6" x14ac:dyDescent="0.25">
      <c r="A6697" s="1">
        <v>40756</v>
      </c>
      <c r="B6697" t="s">
        <v>21</v>
      </c>
      <c r="C6697" t="s">
        <v>6</v>
      </c>
      <c r="D6697">
        <v>18</v>
      </c>
      <c r="E6697" s="2">
        <v>2.0648148148148148E-2</v>
      </c>
      <c r="F6697">
        <v>29.733333333333334</v>
      </c>
    </row>
    <row r="6698" spans="1:6" x14ac:dyDescent="0.25">
      <c r="A6698" s="1">
        <v>40756</v>
      </c>
      <c r="B6698" t="s">
        <v>21</v>
      </c>
      <c r="C6698" t="s">
        <v>7</v>
      </c>
      <c r="D6698">
        <v>17</v>
      </c>
      <c r="E6698" s="2">
        <v>2.1574074074074075E-2</v>
      </c>
      <c r="F6698">
        <v>31.066666666666666</v>
      </c>
    </row>
    <row r="6699" spans="1:6" x14ac:dyDescent="0.25">
      <c r="A6699" s="1">
        <v>40756</v>
      </c>
      <c r="B6699" t="s">
        <v>21</v>
      </c>
      <c r="C6699" t="s">
        <v>8</v>
      </c>
      <c r="D6699">
        <v>18</v>
      </c>
      <c r="E6699" s="2">
        <v>2.5833333333333333E-2</v>
      </c>
      <c r="F6699">
        <v>37.200000000000003</v>
      </c>
    </row>
    <row r="6700" spans="1:6" x14ac:dyDescent="0.25">
      <c r="A6700" s="1">
        <v>40756</v>
      </c>
      <c r="B6700" t="s">
        <v>21</v>
      </c>
      <c r="C6700" t="s">
        <v>9</v>
      </c>
      <c r="D6700">
        <v>14</v>
      </c>
      <c r="E6700" s="2">
        <v>1.2835648148148148E-2</v>
      </c>
      <c r="F6700">
        <v>18.483333333333334</v>
      </c>
    </row>
    <row r="6701" spans="1:6" x14ac:dyDescent="0.25">
      <c r="A6701" s="1">
        <v>40756</v>
      </c>
      <c r="B6701" t="s">
        <v>21</v>
      </c>
      <c r="C6701" t="s">
        <v>10</v>
      </c>
      <c r="D6701">
        <v>3</v>
      </c>
      <c r="E6701" s="2">
        <v>4.6412037037037038E-3</v>
      </c>
      <c r="F6701">
        <v>6.6833333333333336</v>
      </c>
    </row>
    <row r="6702" spans="1:6" x14ac:dyDescent="0.25">
      <c r="A6702" s="1">
        <v>40756</v>
      </c>
      <c r="B6702" t="s">
        <v>21</v>
      </c>
      <c r="C6702" t="s">
        <v>11</v>
      </c>
      <c r="D6702">
        <v>20</v>
      </c>
      <c r="E6702" s="2">
        <v>2.1215277777777777E-2</v>
      </c>
      <c r="F6702">
        <v>30.55</v>
      </c>
    </row>
    <row r="6703" spans="1:6" x14ac:dyDescent="0.25">
      <c r="A6703" s="1">
        <v>40756</v>
      </c>
      <c r="B6703" t="s">
        <v>22</v>
      </c>
      <c r="C6703" t="s">
        <v>6</v>
      </c>
      <c r="D6703">
        <v>14</v>
      </c>
      <c r="E6703" s="2">
        <v>1.6805555555555556E-2</v>
      </c>
      <c r="F6703">
        <v>24.2</v>
      </c>
    </row>
    <row r="6704" spans="1:6" x14ac:dyDescent="0.25">
      <c r="A6704" s="1">
        <v>40756</v>
      </c>
      <c r="B6704" t="s">
        <v>22</v>
      </c>
      <c r="C6704" t="s">
        <v>7</v>
      </c>
      <c r="D6704">
        <v>6</v>
      </c>
      <c r="E6704" s="2">
        <v>6.1921296296296299E-3</v>
      </c>
      <c r="F6704">
        <v>8.9166666666666661</v>
      </c>
    </row>
    <row r="6705" spans="1:6" x14ac:dyDescent="0.25">
      <c r="A6705" s="1">
        <v>40756</v>
      </c>
      <c r="B6705" t="s">
        <v>22</v>
      </c>
      <c r="C6705" t="s">
        <v>8</v>
      </c>
      <c r="D6705">
        <v>3</v>
      </c>
      <c r="E6705" s="2">
        <v>3.9814814814814817E-3</v>
      </c>
      <c r="F6705">
        <v>5.7333333333333334</v>
      </c>
    </row>
    <row r="6706" spans="1:6" x14ac:dyDescent="0.25">
      <c r="A6706" s="1">
        <v>40756</v>
      </c>
      <c r="B6706" t="s">
        <v>22</v>
      </c>
      <c r="C6706" t="s">
        <v>9</v>
      </c>
      <c r="D6706">
        <v>3</v>
      </c>
      <c r="E6706" s="2">
        <v>1.736111111111111E-3</v>
      </c>
      <c r="F6706">
        <v>2.5</v>
      </c>
    </row>
    <row r="6707" spans="1:6" x14ac:dyDescent="0.25">
      <c r="A6707" s="1">
        <v>40756</v>
      </c>
      <c r="B6707" t="s">
        <v>22</v>
      </c>
      <c r="C6707" t="s">
        <v>10</v>
      </c>
      <c r="D6707">
        <v>0</v>
      </c>
      <c r="E6707" s="2">
        <v>0</v>
      </c>
      <c r="F6707">
        <v>0</v>
      </c>
    </row>
    <row r="6708" spans="1:6" x14ac:dyDescent="0.25">
      <c r="A6708" s="1">
        <v>40756</v>
      </c>
      <c r="B6708" t="s">
        <v>22</v>
      </c>
      <c r="C6708" t="s">
        <v>11</v>
      </c>
      <c r="D6708">
        <v>4</v>
      </c>
      <c r="E6708" s="2">
        <v>5.3009259259259259E-3</v>
      </c>
      <c r="F6708">
        <v>7.6333333333333329</v>
      </c>
    </row>
    <row r="6709" spans="1:6" x14ac:dyDescent="0.25">
      <c r="A6709" s="1">
        <v>40756</v>
      </c>
      <c r="B6709" t="s">
        <v>23</v>
      </c>
      <c r="C6709" t="s">
        <v>6</v>
      </c>
      <c r="D6709">
        <v>137</v>
      </c>
      <c r="E6709" s="2">
        <v>0.14086805555555557</v>
      </c>
      <c r="F6709">
        <v>202.85</v>
      </c>
    </row>
    <row r="6710" spans="1:6" x14ac:dyDescent="0.25">
      <c r="A6710" s="1">
        <v>40756</v>
      </c>
      <c r="B6710" t="s">
        <v>23</v>
      </c>
      <c r="C6710" t="s">
        <v>7</v>
      </c>
      <c r="D6710">
        <v>124</v>
      </c>
      <c r="E6710" s="2">
        <v>0.13758101851851851</v>
      </c>
      <c r="F6710">
        <v>198.11666666666667</v>
      </c>
    </row>
    <row r="6711" spans="1:6" x14ac:dyDescent="0.25">
      <c r="A6711" s="1">
        <v>40756</v>
      </c>
      <c r="B6711" t="s">
        <v>23</v>
      </c>
      <c r="C6711" t="s">
        <v>8</v>
      </c>
      <c r="D6711">
        <v>92</v>
      </c>
      <c r="E6711" s="2">
        <v>9.3784722222222228E-2</v>
      </c>
      <c r="F6711">
        <v>135.05000000000001</v>
      </c>
    </row>
    <row r="6712" spans="1:6" x14ac:dyDescent="0.25">
      <c r="A6712" s="1">
        <v>40756</v>
      </c>
      <c r="B6712" t="s">
        <v>23</v>
      </c>
      <c r="C6712" t="s">
        <v>9</v>
      </c>
      <c r="D6712">
        <v>79</v>
      </c>
      <c r="E6712" s="2">
        <v>5.2777777777777778E-2</v>
      </c>
      <c r="F6712">
        <v>76</v>
      </c>
    </row>
    <row r="6713" spans="1:6" x14ac:dyDescent="0.25">
      <c r="A6713" s="1">
        <v>40756</v>
      </c>
      <c r="B6713" t="s">
        <v>23</v>
      </c>
      <c r="C6713" t="s">
        <v>10</v>
      </c>
      <c r="D6713">
        <v>38</v>
      </c>
      <c r="E6713" s="2">
        <v>4.2928240740740739E-2</v>
      </c>
      <c r="F6713">
        <v>61.81666666666667</v>
      </c>
    </row>
    <row r="6714" spans="1:6" x14ac:dyDescent="0.25">
      <c r="A6714" s="1">
        <v>40756</v>
      </c>
      <c r="B6714" t="s">
        <v>23</v>
      </c>
      <c r="C6714" t="s">
        <v>11</v>
      </c>
      <c r="D6714">
        <v>125</v>
      </c>
      <c r="E6714" s="2">
        <v>0.10361111111111111</v>
      </c>
      <c r="F6714">
        <v>149.19999999999999</v>
      </c>
    </row>
    <row r="6715" spans="1:6" x14ac:dyDescent="0.25">
      <c r="A6715" s="1">
        <v>40756</v>
      </c>
      <c r="B6715" t="s">
        <v>24</v>
      </c>
      <c r="C6715" t="s">
        <v>6</v>
      </c>
      <c r="D6715">
        <v>81</v>
      </c>
      <c r="E6715" s="2">
        <v>7.1122685185185192E-2</v>
      </c>
      <c r="F6715">
        <v>102.41666666666667</v>
      </c>
    </row>
    <row r="6716" spans="1:6" x14ac:dyDescent="0.25">
      <c r="A6716" s="1">
        <v>40756</v>
      </c>
      <c r="B6716" t="s">
        <v>24</v>
      </c>
      <c r="C6716" t="s">
        <v>7</v>
      </c>
      <c r="D6716">
        <v>57</v>
      </c>
      <c r="E6716" s="2">
        <v>4.9166666666666664E-2</v>
      </c>
      <c r="F6716">
        <v>70.8</v>
      </c>
    </row>
    <row r="6717" spans="1:6" x14ac:dyDescent="0.25">
      <c r="A6717" s="1">
        <v>40756</v>
      </c>
      <c r="B6717" t="s">
        <v>24</v>
      </c>
      <c r="C6717" t="s">
        <v>8</v>
      </c>
      <c r="D6717">
        <v>41</v>
      </c>
      <c r="E6717" s="2">
        <v>4.144675925925926E-2</v>
      </c>
      <c r="F6717">
        <v>59.68333333333333</v>
      </c>
    </row>
    <row r="6718" spans="1:6" x14ac:dyDescent="0.25">
      <c r="A6718" s="1">
        <v>40756</v>
      </c>
      <c r="B6718" t="s">
        <v>24</v>
      </c>
      <c r="C6718" t="s">
        <v>9</v>
      </c>
      <c r="D6718">
        <v>24</v>
      </c>
      <c r="E6718" s="2">
        <v>1.5601851851851851E-2</v>
      </c>
      <c r="F6718">
        <v>22.466666666666665</v>
      </c>
    </row>
    <row r="6719" spans="1:6" x14ac:dyDescent="0.25">
      <c r="A6719" s="1">
        <v>40756</v>
      </c>
      <c r="B6719" t="s">
        <v>24</v>
      </c>
      <c r="C6719" t="s">
        <v>10</v>
      </c>
      <c r="D6719">
        <v>1</v>
      </c>
      <c r="E6719" s="2">
        <v>2.3263888888888887E-3</v>
      </c>
      <c r="F6719">
        <v>3.35</v>
      </c>
    </row>
    <row r="6720" spans="1:6" x14ac:dyDescent="0.25">
      <c r="A6720" s="1">
        <v>40756</v>
      </c>
      <c r="B6720" t="s">
        <v>24</v>
      </c>
      <c r="C6720" t="s">
        <v>11</v>
      </c>
      <c r="D6720">
        <v>31</v>
      </c>
      <c r="E6720" s="2">
        <v>1.9583333333333335E-2</v>
      </c>
      <c r="F6720">
        <v>28.2</v>
      </c>
    </row>
    <row r="6721" spans="1:6" x14ac:dyDescent="0.25">
      <c r="A6721" s="1">
        <v>40787</v>
      </c>
      <c r="B6721" t="s">
        <v>5</v>
      </c>
      <c r="C6721" t="s">
        <v>6</v>
      </c>
      <c r="D6721">
        <v>17</v>
      </c>
      <c r="E6721" s="2">
        <v>1.2870370370370371E-2</v>
      </c>
      <c r="F6721">
        <v>18.533333333333335</v>
      </c>
    </row>
    <row r="6722" spans="1:6" x14ac:dyDescent="0.25">
      <c r="A6722" s="1">
        <v>40787</v>
      </c>
      <c r="B6722" t="s">
        <v>5</v>
      </c>
      <c r="C6722" t="s">
        <v>7</v>
      </c>
      <c r="D6722">
        <v>19</v>
      </c>
      <c r="E6722" s="2">
        <v>1.1076388888888889E-2</v>
      </c>
      <c r="F6722">
        <v>15.95</v>
      </c>
    </row>
    <row r="6723" spans="1:6" x14ac:dyDescent="0.25">
      <c r="A6723" s="1">
        <v>40787</v>
      </c>
      <c r="B6723" t="s">
        <v>5</v>
      </c>
      <c r="C6723" t="s">
        <v>8</v>
      </c>
      <c r="D6723">
        <v>13</v>
      </c>
      <c r="E6723" s="2">
        <v>8.3333333333333332E-3</v>
      </c>
      <c r="F6723">
        <v>12</v>
      </c>
    </row>
    <row r="6724" spans="1:6" x14ac:dyDescent="0.25">
      <c r="A6724" s="1">
        <v>40787</v>
      </c>
      <c r="B6724" t="s">
        <v>5</v>
      </c>
      <c r="C6724" t="s">
        <v>9</v>
      </c>
      <c r="D6724">
        <v>5</v>
      </c>
      <c r="E6724" s="2">
        <v>2.5925925925925925E-3</v>
      </c>
      <c r="F6724">
        <v>3.7333333333333334</v>
      </c>
    </row>
    <row r="6725" spans="1:6" x14ac:dyDescent="0.25">
      <c r="A6725" s="1">
        <v>40787</v>
      </c>
      <c r="B6725" t="s">
        <v>5</v>
      </c>
      <c r="C6725" t="s">
        <v>10</v>
      </c>
      <c r="D6725">
        <v>1</v>
      </c>
      <c r="E6725" s="2">
        <v>1.261574074074074E-3</v>
      </c>
      <c r="F6725">
        <v>1.8166666666666667</v>
      </c>
    </row>
    <row r="6726" spans="1:6" x14ac:dyDescent="0.25">
      <c r="A6726" s="1">
        <v>40787</v>
      </c>
      <c r="B6726" t="s">
        <v>5</v>
      </c>
      <c r="C6726" t="s">
        <v>11</v>
      </c>
      <c r="D6726">
        <v>16</v>
      </c>
      <c r="E6726" s="2">
        <v>7.905092592592592E-3</v>
      </c>
      <c r="F6726">
        <v>11.383333333333333</v>
      </c>
    </row>
    <row r="6727" spans="1:6" x14ac:dyDescent="0.25">
      <c r="A6727" s="1">
        <v>40787</v>
      </c>
      <c r="B6727" t="s">
        <v>12</v>
      </c>
      <c r="C6727" t="s">
        <v>6</v>
      </c>
      <c r="D6727">
        <v>49</v>
      </c>
      <c r="E6727" s="2">
        <v>6.2604166666666669E-2</v>
      </c>
      <c r="F6727">
        <v>90.15</v>
      </c>
    </row>
    <row r="6728" spans="1:6" x14ac:dyDescent="0.25">
      <c r="A6728" s="1">
        <v>40787</v>
      </c>
      <c r="B6728" t="s">
        <v>12</v>
      </c>
      <c r="C6728" t="s">
        <v>7</v>
      </c>
      <c r="D6728">
        <v>39</v>
      </c>
      <c r="E6728" s="2">
        <v>4.8958333333333333E-2</v>
      </c>
      <c r="F6728">
        <v>70.5</v>
      </c>
    </row>
    <row r="6729" spans="1:6" x14ac:dyDescent="0.25">
      <c r="A6729" s="1">
        <v>40787</v>
      </c>
      <c r="B6729" t="s">
        <v>12</v>
      </c>
      <c r="C6729" t="s">
        <v>8</v>
      </c>
      <c r="D6729">
        <v>27</v>
      </c>
      <c r="E6729" s="2">
        <v>3.3252314814814818E-2</v>
      </c>
      <c r="F6729">
        <v>47.883333333333333</v>
      </c>
    </row>
    <row r="6730" spans="1:6" x14ac:dyDescent="0.25">
      <c r="A6730" s="1">
        <v>40787</v>
      </c>
      <c r="B6730" t="s">
        <v>12</v>
      </c>
      <c r="C6730" t="s">
        <v>9</v>
      </c>
      <c r="D6730">
        <v>14</v>
      </c>
      <c r="E6730" s="2">
        <v>8.1597222222222227E-3</v>
      </c>
      <c r="F6730">
        <v>11.75</v>
      </c>
    </row>
    <row r="6731" spans="1:6" x14ac:dyDescent="0.25">
      <c r="A6731" s="1">
        <v>40787</v>
      </c>
      <c r="B6731" t="s">
        <v>12</v>
      </c>
      <c r="C6731" t="s">
        <v>10</v>
      </c>
      <c r="D6731">
        <v>58</v>
      </c>
      <c r="E6731" s="2">
        <v>0.10351851851851852</v>
      </c>
      <c r="F6731">
        <v>149.06666666666666</v>
      </c>
    </row>
    <row r="6732" spans="1:6" x14ac:dyDescent="0.25">
      <c r="A6732" s="1">
        <v>40787</v>
      </c>
      <c r="B6732" t="s">
        <v>12</v>
      </c>
      <c r="C6732" t="s">
        <v>11</v>
      </c>
      <c r="D6732">
        <v>46</v>
      </c>
      <c r="E6732" s="2">
        <v>4.5023148148148145E-2</v>
      </c>
      <c r="F6732">
        <v>64.833333333333329</v>
      </c>
    </row>
    <row r="6733" spans="1:6" x14ac:dyDescent="0.25">
      <c r="A6733" s="1">
        <v>40787</v>
      </c>
      <c r="B6733" t="s">
        <v>13</v>
      </c>
      <c r="C6733" t="s">
        <v>6</v>
      </c>
      <c r="D6733">
        <v>78</v>
      </c>
      <c r="E6733" s="2">
        <v>8.1539351851851849E-2</v>
      </c>
      <c r="F6733">
        <v>117.41666666666667</v>
      </c>
    </row>
    <row r="6734" spans="1:6" x14ac:dyDescent="0.25">
      <c r="A6734" s="1">
        <v>40787</v>
      </c>
      <c r="B6734" t="s">
        <v>13</v>
      </c>
      <c r="C6734" t="s">
        <v>7</v>
      </c>
      <c r="D6734">
        <v>92</v>
      </c>
      <c r="E6734" s="2">
        <v>9.420138888888889E-2</v>
      </c>
      <c r="F6734">
        <v>135.65</v>
      </c>
    </row>
    <row r="6735" spans="1:6" x14ac:dyDescent="0.25">
      <c r="A6735" s="1">
        <v>40787</v>
      </c>
      <c r="B6735" t="s">
        <v>13</v>
      </c>
      <c r="C6735" t="s">
        <v>8</v>
      </c>
      <c r="D6735">
        <v>39</v>
      </c>
      <c r="E6735" s="2">
        <v>4.6828703703703706E-2</v>
      </c>
      <c r="F6735">
        <v>67.433333333333337</v>
      </c>
    </row>
    <row r="6736" spans="1:6" x14ac:dyDescent="0.25">
      <c r="A6736" s="1">
        <v>40787</v>
      </c>
      <c r="B6736" t="s">
        <v>13</v>
      </c>
      <c r="C6736" t="s">
        <v>9</v>
      </c>
      <c r="D6736">
        <v>51</v>
      </c>
      <c r="E6736" s="2">
        <v>4.4363425925925924E-2</v>
      </c>
      <c r="F6736">
        <v>63.883333333333333</v>
      </c>
    </row>
    <row r="6737" spans="1:6" x14ac:dyDescent="0.25">
      <c r="A6737" s="1">
        <v>40787</v>
      </c>
      <c r="B6737" t="s">
        <v>13</v>
      </c>
      <c r="C6737" t="s">
        <v>10</v>
      </c>
      <c r="D6737">
        <v>41</v>
      </c>
      <c r="E6737" s="2">
        <v>5.244212962962963E-2</v>
      </c>
      <c r="F6737">
        <v>75.516666666666666</v>
      </c>
    </row>
    <row r="6738" spans="1:6" x14ac:dyDescent="0.25">
      <c r="A6738" s="1">
        <v>40787</v>
      </c>
      <c r="B6738" t="s">
        <v>13</v>
      </c>
      <c r="C6738" t="s">
        <v>11</v>
      </c>
      <c r="D6738">
        <v>37</v>
      </c>
      <c r="E6738" s="2">
        <v>3.4131944444444444E-2</v>
      </c>
      <c r="F6738">
        <v>49.15</v>
      </c>
    </row>
    <row r="6739" spans="1:6" x14ac:dyDescent="0.25">
      <c r="A6739" s="1">
        <v>40787</v>
      </c>
      <c r="B6739" t="s">
        <v>14</v>
      </c>
      <c r="C6739" t="s">
        <v>6</v>
      </c>
      <c r="D6739">
        <v>18</v>
      </c>
      <c r="E6739" s="2">
        <v>2.2222222222222223E-2</v>
      </c>
      <c r="F6739">
        <v>32</v>
      </c>
    </row>
    <row r="6740" spans="1:6" x14ac:dyDescent="0.25">
      <c r="A6740" s="1">
        <v>40787</v>
      </c>
      <c r="B6740" t="s">
        <v>14</v>
      </c>
      <c r="C6740" t="s">
        <v>7</v>
      </c>
      <c r="D6740">
        <v>25</v>
      </c>
      <c r="E6740" s="2">
        <v>3.9039351851851853E-2</v>
      </c>
      <c r="F6740">
        <v>56.216666666666669</v>
      </c>
    </row>
    <row r="6741" spans="1:6" x14ac:dyDescent="0.25">
      <c r="A6741" s="1">
        <v>40787</v>
      </c>
      <c r="B6741" t="s">
        <v>14</v>
      </c>
      <c r="C6741" t="s">
        <v>8</v>
      </c>
      <c r="D6741">
        <v>15</v>
      </c>
      <c r="E6741" s="2">
        <v>2.0381944444444446E-2</v>
      </c>
      <c r="F6741">
        <v>29.35</v>
      </c>
    </row>
    <row r="6742" spans="1:6" x14ac:dyDescent="0.25">
      <c r="A6742" s="1">
        <v>40787</v>
      </c>
      <c r="B6742" t="s">
        <v>14</v>
      </c>
      <c r="C6742" t="s">
        <v>9</v>
      </c>
      <c r="D6742">
        <v>10</v>
      </c>
      <c r="E6742" s="2">
        <v>8.7615740740740744E-3</v>
      </c>
      <c r="F6742">
        <v>12.616666666666667</v>
      </c>
    </row>
    <row r="6743" spans="1:6" x14ac:dyDescent="0.25">
      <c r="A6743" s="1">
        <v>40787</v>
      </c>
      <c r="B6743" t="s">
        <v>14</v>
      </c>
      <c r="C6743" t="s">
        <v>10</v>
      </c>
      <c r="D6743">
        <v>4</v>
      </c>
      <c r="E6743" s="2">
        <v>5.9490740740740745E-3</v>
      </c>
      <c r="F6743">
        <v>8.5666666666666664</v>
      </c>
    </row>
    <row r="6744" spans="1:6" x14ac:dyDescent="0.25">
      <c r="A6744" s="1">
        <v>40787</v>
      </c>
      <c r="B6744" t="s">
        <v>14</v>
      </c>
      <c r="C6744" t="s">
        <v>11</v>
      </c>
      <c r="D6744">
        <v>21</v>
      </c>
      <c r="E6744" s="2">
        <v>2.2916666666666665E-2</v>
      </c>
      <c r="F6744">
        <v>33</v>
      </c>
    </row>
    <row r="6745" spans="1:6" x14ac:dyDescent="0.25">
      <c r="A6745" s="1">
        <v>40787</v>
      </c>
      <c r="B6745" t="s">
        <v>15</v>
      </c>
      <c r="C6745" t="s">
        <v>6</v>
      </c>
      <c r="D6745">
        <v>23</v>
      </c>
      <c r="E6745" s="2">
        <v>2.431712962962963E-2</v>
      </c>
      <c r="F6745">
        <v>35.016666666666666</v>
      </c>
    </row>
    <row r="6746" spans="1:6" x14ac:dyDescent="0.25">
      <c r="A6746" s="1">
        <v>40787</v>
      </c>
      <c r="B6746" t="s">
        <v>15</v>
      </c>
      <c r="C6746" t="s">
        <v>7</v>
      </c>
      <c r="D6746">
        <v>17</v>
      </c>
      <c r="E6746" s="2">
        <v>1.5694444444444445E-2</v>
      </c>
      <c r="F6746">
        <v>22.6</v>
      </c>
    </row>
    <row r="6747" spans="1:6" x14ac:dyDescent="0.25">
      <c r="A6747" s="1">
        <v>40787</v>
      </c>
      <c r="B6747" t="s">
        <v>15</v>
      </c>
      <c r="C6747" t="s">
        <v>8</v>
      </c>
      <c r="D6747">
        <v>5</v>
      </c>
      <c r="E6747" s="2">
        <v>2.3460648148148147E-2</v>
      </c>
      <c r="F6747">
        <v>33.783333333333331</v>
      </c>
    </row>
    <row r="6748" spans="1:6" x14ac:dyDescent="0.25">
      <c r="A6748" s="1">
        <v>40787</v>
      </c>
      <c r="B6748" t="s">
        <v>15</v>
      </c>
      <c r="C6748" t="s">
        <v>9</v>
      </c>
      <c r="D6748">
        <v>6</v>
      </c>
      <c r="E6748" s="2">
        <v>2.673611111111111E-3</v>
      </c>
      <c r="F6748">
        <v>3.85</v>
      </c>
    </row>
    <row r="6749" spans="1:6" x14ac:dyDescent="0.25">
      <c r="A6749" s="1">
        <v>40787</v>
      </c>
      <c r="B6749" t="s">
        <v>15</v>
      </c>
      <c r="C6749" t="s">
        <v>10</v>
      </c>
      <c r="D6749">
        <v>6</v>
      </c>
      <c r="E6749" s="2">
        <v>8.4490740740740741E-3</v>
      </c>
      <c r="F6749">
        <v>12.166666666666666</v>
      </c>
    </row>
    <row r="6750" spans="1:6" x14ac:dyDescent="0.25">
      <c r="A6750" s="1">
        <v>40787</v>
      </c>
      <c r="B6750" t="s">
        <v>15</v>
      </c>
      <c r="C6750" t="s">
        <v>11</v>
      </c>
      <c r="D6750">
        <v>11</v>
      </c>
      <c r="E6750" s="2">
        <v>1.0243055555555556E-2</v>
      </c>
      <c r="F6750">
        <v>14.75</v>
      </c>
    </row>
    <row r="6751" spans="1:6" x14ac:dyDescent="0.25">
      <c r="A6751" s="1">
        <v>40787</v>
      </c>
      <c r="B6751" t="s">
        <v>16</v>
      </c>
      <c r="C6751" t="s">
        <v>6</v>
      </c>
      <c r="D6751">
        <v>28</v>
      </c>
      <c r="E6751" s="2">
        <v>2.8958333333333332E-2</v>
      </c>
      <c r="F6751">
        <v>41.7</v>
      </c>
    </row>
    <row r="6752" spans="1:6" x14ac:dyDescent="0.25">
      <c r="A6752" s="1">
        <v>40787</v>
      </c>
      <c r="B6752" t="s">
        <v>16</v>
      </c>
      <c r="C6752" t="s">
        <v>7</v>
      </c>
      <c r="D6752">
        <v>29</v>
      </c>
      <c r="E6752" s="2">
        <v>2.7777777777777776E-2</v>
      </c>
      <c r="F6752">
        <v>40</v>
      </c>
    </row>
    <row r="6753" spans="1:6" x14ac:dyDescent="0.25">
      <c r="A6753" s="1">
        <v>40787</v>
      </c>
      <c r="B6753" t="s">
        <v>16</v>
      </c>
      <c r="C6753" t="s">
        <v>8</v>
      </c>
      <c r="D6753">
        <v>32</v>
      </c>
      <c r="E6753" s="2">
        <v>2.7476851851851853E-2</v>
      </c>
      <c r="F6753">
        <v>39.56666666666667</v>
      </c>
    </row>
    <row r="6754" spans="1:6" x14ac:dyDescent="0.25">
      <c r="A6754" s="1">
        <v>40787</v>
      </c>
      <c r="B6754" t="s">
        <v>16</v>
      </c>
      <c r="C6754" t="s">
        <v>9</v>
      </c>
      <c r="D6754">
        <v>10</v>
      </c>
      <c r="E6754" s="2">
        <v>7.5578703703703702E-3</v>
      </c>
      <c r="F6754">
        <v>10.883333333333333</v>
      </c>
    </row>
    <row r="6755" spans="1:6" x14ac:dyDescent="0.25">
      <c r="A6755" s="1">
        <v>40787</v>
      </c>
      <c r="B6755" t="s">
        <v>16</v>
      </c>
      <c r="C6755" t="s">
        <v>10</v>
      </c>
      <c r="D6755">
        <v>0</v>
      </c>
      <c r="E6755" s="2">
        <v>0</v>
      </c>
      <c r="F6755">
        <v>0</v>
      </c>
    </row>
    <row r="6756" spans="1:6" x14ac:dyDescent="0.25">
      <c r="A6756" s="1">
        <v>40787</v>
      </c>
      <c r="B6756" t="s">
        <v>16</v>
      </c>
      <c r="C6756" t="s">
        <v>11</v>
      </c>
      <c r="D6756">
        <v>42</v>
      </c>
      <c r="E6756" s="2">
        <v>3.6168981481481483E-2</v>
      </c>
      <c r="F6756">
        <v>52.083333333333336</v>
      </c>
    </row>
    <row r="6757" spans="1:6" x14ac:dyDescent="0.25">
      <c r="A6757" s="1">
        <v>40787</v>
      </c>
      <c r="B6757" t="s">
        <v>17</v>
      </c>
      <c r="C6757" t="s">
        <v>6</v>
      </c>
      <c r="D6757">
        <v>9</v>
      </c>
      <c r="E6757" s="2">
        <v>5.8912037037037041E-3</v>
      </c>
      <c r="F6757">
        <v>8.4833333333333325</v>
      </c>
    </row>
    <row r="6758" spans="1:6" x14ac:dyDescent="0.25">
      <c r="A6758" s="1">
        <v>40787</v>
      </c>
      <c r="B6758" t="s">
        <v>17</v>
      </c>
      <c r="C6758" t="s">
        <v>7</v>
      </c>
      <c r="D6758">
        <v>13</v>
      </c>
      <c r="E6758" s="2">
        <v>1.050925925925926E-2</v>
      </c>
      <c r="F6758">
        <v>15.133333333333333</v>
      </c>
    </row>
    <row r="6759" spans="1:6" x14ac:dyDescent="0.25">
      <c r="A6759" s="1">
        <v>40787</v>
      </c>
      <c r="B6759" t="s">
        <v>17</v>
      </c>
      <c r="C6759" t="s">
        <v>8</v>
      </c>
      <c r="D6759">
        <v>9</v>
      </c>
      <c r="E6759" s="2">
        <v>9.7106481481481488E-3</v>
      </c>
      <c r="F6759">
        <v>13.983333333333333</v>
      </c>
    </row>
    <row r="6760" spans="1:6" x14ac:dyDescent="0.25">
      <c r="A6760" s="1">
        <v>40787</v>
      </c>
      <c r="B6760" t="s">
        <v>17</v>
      </c>
      <c r="C6760" t="s">
        <v>9</v>
      </c>
      <c r="D6760">
        <v>3</v>
      </c>
      <c r="E6760" s="2">
        <v>1.724537037037037E-3</v>
      </c>
      <c r="F6760">
        <v>2.4833333333333334</v>
      </c>
    </row>
    <row r="6761" spans="1:6" x14ac:dyDescent="0.25">
      <c r="A6761" s="1">
        <v>40787</v>
      </c>
      <c r="B6761" t="s">
        <v>17</v>
      </c>
      <c r="C6761" t="s">
        <v>10</v>
      </c>
      <c r="D6761">
        <v>4</v>
      </c>
      <c r="E6761" s="2">
        <v>3.9583333333333337E-3</v>
      </c>
      <c r="F6761">
        <v>5.7</v>
      </c>
    </row>
    <row r="6762" spans="1:6" x14ac:dyDescent="0.25">
      <c r="A6762" s="1">
        <v>40787</v>
      </c>
      <c r="B6762" t="s">
        <v>17</v>
      </c>
      <c r="C6762" t="s">
        <v>11</v>
      </c>
      <c r="D6762">
        <v>8</v>
      </c>
      <c r="E6762" s="2">
        <v>8.8078703703703704E-3</v>
      </c>
      <c r="F6762">
        <v>12.683333333333334</v>
      </c>
    </row>
    <row r="6763" spans="1:6" x14ac:dyDescent="0.25">
      <c r="A6763" s="1">
        <v>40787</v>
      </c>
      <c r="B6763" t="s">
        <v>18</v>
      </c>
      <c r="C6763" t="s">
        <v>6</v>
      </c>
      <c r="D6763">
        <v>85</v>
      </c>
      <c r="E6763" s="2">
        <v>0.10383101851851852</v>
      </c>
      <c r="F6763">
        <v>149.51666666666668</v>
      </c>
    </row>
    <row r="6764" spans="1:6" x14ac:dyDescent="0.25">
      <c r="A6764" s="1">
        <v>40787</v>
      </c>
      <c r="B6764" t="s">
        <v>18</v>
      </c>
      <c r="C6764" t="s">
        <v>7</v>
      </c>
      <c r="D6764">
        <v>81</v>
      </c>
      <c r="E6764" s="2">
        <v>8.3298611111111115E-2</v>
      </c>
      <c r="F6764">
        <v>119.95</v>
      </c>
    </row>
    <row r="6765" spans="1:6" x14ac:dyDescent="0.25">
      <c r="A6765" s="1">
        <v>40787</v>
      </c>
      <c r="B6765" t="s">
        <v>18</v>
      </c>
      <c r="C6765" t="s">
        <v>8</v>
      </c>
      <c r="D6765">
        <v>44</v>
      </c>
      <c r="E6765" s="2">
        <v>4.4872685185185182E-2</v>
      </c>
      <c r="F6765">
        <v>64.61666666666666</v>
      </c>
    </row>
    <row r="6766" spans="1:6" x14ac:dyDescent="0.25">
      <c r="A6766" s="1">
        <v>40787</v>
      </c>
      <c r="B6766" t="s">
        <v>18</v>
      </c>
      <c r="C6766" t="s">
        <v>9</v>
      </c>
      <c r="D6766">
        <v>73</v>
      </c>
      <c r="E6766" s="2">
        <v>4.6192129629629632E-2</v>
      </c>
      <c r="F6766">
        <v>66.516666666666666</v>
      </c>
    </row>
    <row r="6767" spans="1:6" x14ac:dyDescent="0.25">
      <c r="A6767" s="1">
        <v>40787</v>
      </c>
      <c r="B6767" t="s">
        <v>18</v>
      </c>
      <c r="C6767" t="s">
        <v>10</v>
      </c>
      <c r="D6767">
        <v>142</v>
      </c>
      <c r="E6767" s="2">
        <v>0.18184027777777778</v>
      </c>
      <c r="F6767">
        <v>261.85000000000002</v>
      </c>
    </row>
    <row r="6768" spans="1:6" x14ac:dyDescent="0.25">
      <c r="A6768" s="1">
        <v>40787</v>
      </c>
      <c r="B6768" t="s">
        <v>18</v>
      </c>
      <c r="C6768" t="s">
        <v>11</v>
      </c>
      <c r="D6768">
        <v>35</v>
      </c>
      <c r="E6768" s="2">
        <v>2.388888888888889E-2</v>
      </c>
      <c r="F6768">
        <v>34.4</v>
      </c>
    </row>
    <row r="6769" spans="1:6" x14ac:dyDescent="0.25">
      <c r="A6769" s="1">
        <v>40787</v>
      </c>
      <c r="B6769" t="s">
        <v>19</v>
      </c>
      <c r="C6769" t="s">
        <v>6</v>
      </c>
      <c r="D6769">
        <v>61</v>
      </c>
      <c r="E6769" s="2">
        <v>5.8263888888888886E-2</v>
      </c>
      <c r="F6769">
        <v>83.9</v>
      </c>
    </row>
    <row r="6770" spans="1:6" x14ac:dyDescent="0.25">
      <c r="A6770" s="1">
        <v>40787</v>
      </c>
      <c r="B6770" t="s">
        <v>19</v>
      </c>
      <c r="C6770" t="s">
        <v>7</v>
      </c>
      <c r="D6770">
        <v>73</v>
      </c>
      <c r="E6770" s="2">
        <v>8.0509259259259253E-2</v>
      </c>
      <c r="F6770">
        <v>115.93333333333334</v>
      </c>
    </row>
    <row r="6771" spans="1:6" x14ac:dyDescent="0.25">
      <c r="A6771" s="1">
        <v>40787</v>
      </c>
      <c r="B6771" t="s">
        <v>19</v>
      </c>
      <c r="C6771" t="s">
        <v>8</v>
      </c>
      <c r="D6771">
        <v>63</v>
      </c>
      <c r="E6771" s="2">
        <v>6.3009259259259265E-2</v>
      </c>
      <c r="F6771">
        <v>90.733333333333334</v>
      </c>
    </row>
    <row r="6772" spans="1:6" x14ac:dyDescent="0.25">
      <c r="A6772" s="1">
        <v>40787</v>
      </c>
      <c r="B6772" t="s">
        <v>19</v>
      </c>
      <c r="C6772" t="s">
        <v>9</v>
      </c>
      <c r="D6772">
        <v>59</v>
      </c>
      <c r="E6772" s="2">
        <v>4.2824074074074077E-2</v>
      </c>
      <c r="F6772">
        <v>61.666666666666664</v>
      </c>
    </row>
    <row r="6773" spans="1:6" x14ac:dyDescent="0.25">
      <c r="A6773" s="1">
        <v>40787</v>
      </c>
      <c r="B6773" t="s">
        <v>19</v>
      </c>
      <c r="C6773" t="s">
        <v>10</v>
      </c>
      <c r="D6773">
        <v>15</v>
      </c>
      <c r="E6773" s="2">
        <v>1.712962962962963E-2</v>
      </c>
      <c r="F6773">
        <v>24.666666666666668</v>
      </c>
    </row>
    <row r="6774" spans="1:6" x14ac:dyDescent="0.25">
      <c r="A6774" s="1">
        <v>40787</v>
      </c>
      <c r="B6774" t="s">
        <v>19</v>
      </c>
      <c r="C6774" t="s">
        <v>11</v>
      </c>
      <c r="D6774">
        <v>64</v>
      </c>
      <c r="E6774" s="2">
        <v>4.6261574074074073E-2</v>
      </c>
      <c r="F6774">
        <v>66.61666666666666</v>
      </c>
    </row>
    <row r="6775" spans="1:6" x14ac:dyDescent="0.25">
      <c r="A6775" s="1">
        <v>40787</v>
      </c>
      <c r="B6775" t="s">
        <v>20</v>
      </c>
      <c r="C6775" t="s">
        <v>6</v>
      </c>
      <c r="D6775">
        <v>49</v>
      </c>
      <c r="E6775" s="2">
        <v>6.0196759259259262E-2</v>
      </c>
      <c r="F6775">
        <v>86.683333333333337</v>
      </c>
    </row>
    <row r="6776" spans="1:6" x14ac:dyDescent="0.25">
      <c r="A6776" s="1">
        <v>40787</v>
      </c>
      <c r="B6776" t="s">
        <v>20</v>
      </c>
      <c r="C6776" t="s">
        <v>7</v>
      </c>
      <c r="D6776">
        <v>55</v>
      </c>
      <c r="E6776" s="2">
        <v>6.2280092592592595E-2</v>
      </c>
      <c r="F6776">
        <v>89.683333333333337</v>
      </c>
    </row>
    <row r="6777" spans="1:6" x14ac:dyDescent="0.25">
      <c r="A6777" s="1">
        <v>40787</v>
      </c>
      <c r="B6777" t="s">
        <v>20</v>
      </c>
      <c r="C6777" t="s">
        <v>8</v>
      </c>
      <c r="D6777">
        <v>53</v>
      </c>
      <c r="E6777" s="2">
        <v>5.7685185185185187E-2</v>
      </c>
      <c r="F6777">
        <v>83.066666666666663</v>
      </c>
    </row>
    <row r="6778" spans="1:6" x14ac:dyDescent="0.25">
      <c r="A6778" s="1">
        <v>40787</v>
      </c>
      <c r="B6778" t="s">
        <v>20</v>
      </c>
      <c r="C6778" t="s">
        <v>9</v>
      </c>
      <c r="D6778">
        <v>34</v>
      </c>
      <c r="E6778" s="2">
        <v>2.4895833333333332E-2</v>
      </c>
      <c r="F6778">
        <v>35.85</v>
      </c>
    </row>
    <row r="6779" spans="1:6" x14ac:dyDescent="0.25">
      <c r="A6779" s="1">
        <v>40787</v>
      </c>
      <c r="B6779" t="s">
        <v>20</v>
      </c>
      <c r="C6779" t="s">
        <v>10</v>
      </c>
      <c r="D6779">
        <v>7</v>
      </c>
      <c r="E6779" s="2">
        <v>6.122685185185185E-3</v>
      </c>
      <c r="F6779">
        <v>8.8166666666666664</v>
      </c>
    </row>
    <row r="6780" spans="1:6" x14ac:dyDescent="0.25">
      <c r="A6780" s="1">
        <v>40787</v>
      </c>
      <c r="B6780" t="s">
        <v>20</v>
      </c>
      <c r="C6780" t="s">
        <v>11</v>
      </c>
      <c r="D6780">
        <v>35</v>
      </c>
      <c r="E6780" s="2">
        <v>2.792824074074074E-2</v>
      </c>
      <c r="F6780">
        <v>40.216666666666669</v>
      </c>
    </row>
    <row r="6781" spans="1:6" x14ac:dyDescent="0.25">
      <c r="A6781" s="1">
        <v>40787</v>
      </c>
      <c r="B6781" t="s">
        <v>21</v>
      </c>
      <c r="C6781" t="s">
        <v>6</v>
      </c>
      <c r="D6781">
        <v>23</v>
      </c>
      <c r="E6781" s="2">
        <v>2.4189814814814813E-2</v>
      </c>
      <c r="F6781">
        <v>34.833333333333336</v>
      </c>
    </row>
    <row r="6782" spans="1:6" x14ac:dyDescent="0.25">
      <c r="A6782" s="1">
        <v>40787</v>
      </c>
      <c r="B6782" t="s">
        <v>21</v>
      </c>
      <c r="C6782" t="s">
        <v>7</v>
      </c>
      <c r="D6782">
        <v>14</v>
      </c>
      <c r="E6782" s="2">
        <v>1.9756944444444445E-2</v>
      </c>
      <c r="F6782">
        <v>28.45</v>
      </c>
    </row>
    <row r="6783" spans="1:6" x14ac:dyDescent="0.25">
      <c r="A6783" s="1">
        <v>40787</v>
      </c>
      <c r="B6783" t="s">
        <v>21</v>
      </c>
      <c r="C6783" t="s">
        <v>8</v>
      </c>
      <c r="D6783">
        <v>22</v>
      </c>
      <c r="E6783" s="2">
        <v>2.6469907407407407E-2</v>
      </c>
      <c r="F6783">
        <v>38.116666666666667</v>
      </c>
    </row>
    <row r="6784" spans="1:6" x14ac:dyDescent="0.25">
      <c r="A6784" s="1">
        <v>40787</v>
      </c>
      <c r="B6784" t="s">
        <v>21</v>
      </c>
      <c r="C6784" t="s">
        <v>9</v>
      </c>
      <c r="D6784">
        <v>11</v>
      </c>
      <c r="E6784" s="2">
        <v>8.9930555555555562E-3</v>
      </c>
      <c r="F6784">
        <v>12.95</v>
      </c>
    </row>
    <row r="6785" spans="1:6" x14ac:dyDescent="0.25">
      <c r="A6785" s="1">
        <v>40787</v>
      </c>
      <c r="B6785" t="s">
        <v>21</v>
      </c>
      <c r="C6785" t="s">
        <v>10</v>
      </c>
      <c r="D6785">
        <v>5</v>
      </c>
      <c r="E6785" s="2">
        <v>8.4259259259259253E-3</v>
      </c>
      <c r="F6785">
        <v>12.133333333333333</v>
      </c>
    </row>
    <row r="6786" spans="1:6" x14ac:dyDescent="0.25">
      <c r="A6786" s="1">
        <v>40787</v>
      </c>
      <c r="B6786" t="s">
        <v>21</v>
      </c>
      <c r="C6786" t="s">
        <v>11</v>
      </c>
      <c r="D6786">
        <v>9</v>
      </c>
      <c r="E6786" s="2">
        <v>9.3518518518518525E-3</v>
      </c>
      <c r="F6786">
        <v>13.466666666666667</v>
      </c>
    </row>
    <row r="6787" spans="1:6" x14ac:dyDescent="0.25">
      <c r="A6787" s="1">
        <v>40787</v>
      </c>
      <c r="B6787" t="s">
        <v>22</v>
      </c>
      <c r="C6787" t="s">
        <v>6</v>
      </c>
      <c r="D6787">
        <v>13</v>
      </c>
      <c r="E6787" s="2">
        <v>1.2962962962962963E-2</v>
      </c>
      <c r="F6787">
        <v>18.666666666666668</v>
      </c>
    </row>
    <row r="6788" spans="1:6" x14ac:dyDescent="0.25">
      <c r="A6788" s="1">
        <v>40787</v>
      </c>
      <c r="B6788" t="s">
        <v>22</v>
      </c>
      <c r="C6788" t="s">
        <v>7</v>
      </c>
      <c r="D6788">
        <v>8</v>
      </c>
      <c r="E6788" s="2">
        <v>8.0208333333333329E-3</v>
      </c>
      <c r="F6788">
        <v>11.55</v>
      </c>
    </row>
    <row r="6789" spans="1:6" x14ac:dyDescent="0.25">
      <c r="A6789" s="1">
        <v>40787</v>
      </c>
      <c r="B6789" t="s">
        <v>22</v>
      </c>
      <c r="C6789" t="s">
        <v>8</v>
      </c>
      <c r="D6789">
        <v>10</v>
      </c>
      <c r="E6789" s="2">
        <v>9.3981481481481485E-3</v>
      </c>
      <c r="F6789">
        <v>13.533333333333333</v>
      </c>
    </row>
    <row r="6790" spans="1:6" x14ac:dyDescent="0.25">
      <c r="A6790" s="1">
        <v>40787</v>
      </c>
      <c r="B6790" t="s">
        <v>22</v>
      </c>
      <c r="C6790" t="s">
        <v>9</v>
      </c>
      <c r="D6790">
        <v>9</v>
      </c>
      <c r="E6790" s="2">
        <v>6.6666666666666671E-3</v>
      </c>
      <c r="F6790">
        <v>9.6</v>
      </c>
    </row>
    <row r="6791" spans="1:6" x14ac:dyDescent="0.25">
      <c r="A6791" s="1">
        <v>40787</v>
      </c>
      <c r="B6791" t="s">
        <v>22</v>
      </c>
      <c r="C6791" t="s">
        <v>10</v>
      </c>
      <c r="D6791">
        <v>2</v>
      </c>
      <c r="E6791" s="2">
        <v>2.1180555555555558E-3</v>
      </c>
      <c r="F6791">
        <v>3.05</v>
      </c>
    </row>
    <row r="6792" spans="1:6" x14ac:dyDescent="0.25">
      <c r="A6792" s="1">
        <v>40787</v>
      </c>
      <c r="B6792" t="s">
        <v>22</v>
      </c>
      <c r="C6792" t="s">
        <v>11</v>
      </c>
      <c r="D6792">
        <v>12</v>
      </c>
      <c r="E6792" s="2">
        <v>1.1307870370370371E-2</v>
      </c>
      <c r="F6792">
        <v>16.283333333333335</v>
      </c>
    </row>
    <row r="6793" spans="1:6" x14ac:dyDescent="0.25">
      <c r="A6793" s="1">
        <v>40787</v>
      </c>
      <c r="B6793" t="s">
        <v>23</v>
      </c>
      <c r="C6793" t="s">
        <v>6</v>
      </c>
      <c r="D6793">
        <v>71</v>
      </c>
      <c r="E6793" s="2">
        <v>7.3993055555555562E-2</v>
      </c>
      <c r="F6793">
        <v>106.55</v>
      </c>
    </row>
    <row r="6794" spans="1:6" x14ac:dyDescent="0.25">
      <c r="A6794" s="1">
        <v>40787</v>
      </c>
      <c r="B6794" t="s">
        <v>23</v>
      </c>
      <c r="C6794" t="s">
        <v>7</v>
      </c>
      <c r="D6794">
        <v>71</v>
      </c>
      <c r="E6794" s="2">
        <v>8.2962962962962961E-2</v>
      </c>
      <c r="F6794">
        <v>119.46666666666667</v>
      </c>
    </row>
    <row r="6795" spans="1:6" x14ac:dyDescent="0.25">
      <c r="A6795" s="1">
        <v>40787</v>
      </c>
      <c r="B6795" t="s">
        <v>23</v>
      </c>
      <c r="C6795" t="s">
        <v>8</v>
      </c>
      <c r="D6795">
        <v>43</v>
      </c>
      <c r="E6795" s="2">
        <v>4.6342592592592595E-2</v>
      </c>
      <c r="F6795">
        <v>66.733333333333334</v>
      </c>
    </row>
    <row r="6796" spans="1:6" x14ac:dyDescent="0.25">
      <c r="A6796" s="1">
        <v>40787</v>
      </c>
      <c r="B6796" t="s">
        <v>23</v>
      </c>
      <c r="C6796" t="s">
        <v>9</v>
      </c>
      <c r="D6796">
        <v>53</v>
      </c>
      <c r="E6796" s="2">
        <v>3.695601851851852E-2</v>
      </c>
      <c r="F6796">
        <v>53.216666666666669</v>
      </c>
    </row>
    <row r="6797" spans="1:6" x14ac:dyDescent="0.25">
      <c r="A6797" s="1">
        <v>40787</v>
      </c>
      <c r="B6797" t="s">
        <v>23</v>
      </c>
      <c r="C6797" t="s">
        <v>10</v>
      </c>
      <c r="D6797">
        <v>20</v>
      </c>
      <c r="E6797" s="2">
        <v>2.9618055555555557E-2</v>
      </c>
      <c r="F6797">
        <v>42.65</v>
      </c>
    </row>
    <row r="6798" spans="1:6" x14ac:dyDescent="0.25">
      <c r="A6798" s="1">
        <v>40787</v>
      </c>
      <c r="B6798" t="s">
        <v>23</v>
      </c>
      <c r="C6798" t="s">
        <v>11</v>
      </c>
      <c r="D6798">
        <v>56</v>
      </c>
      <c r="E6798" s="2">
        <v>5.1099537037037034E-2</v>
      </c>
      <c r="F6798">
        <v>73.583333333333329</v>
      </c>
    </row>
    <row r="6799" spans="1:6" x14ac:dyDescent="0.25">
      <c r="A6799" s="1">
        <v>40787</v>
      </c>
      <c r="B6799" t="s">
        <v>24</v>
      </c>
      <c r="C6799" t="s">
        <v>6</v>
      </c>
      <c r="D6799">
        <v>61</v>
      </c>
      <c r="E6799" s="2">
        <v>5.921296296296296E-2</v>
      </c>
      <c r="F6799">
        <v>85.266666666666666</v>
      </c>
    </row>
    <row r="6800" spans="1:6" x14ac:dyDescent="0.25">
      <c r="A6800" s="1">
        <v>40787</v>
      </c>
      <c r="B6800" t="s">
        <v>24</v>
      </c>
      <c r="C6800" t="s">
        <v>7</v>
      </c>
      <c r="D6800">
        <v>53</v>
      </c>
      <c r="E6800" s="2">
        <v>4.1423611111111112E-2</v>
      </c>
      <c r="F6800">
        <v>59.65</v>
      </c>
    </row>
    <row r="6801" spans="1:6" x14ac:dyDescent="0.25">
      <c r="A6801" s="1">
        <v>40787</v>
      </c>
      <c r="B6801" t="s">
        <v>24</v>
      </c>
      <c r="C6801" t="s">
        <v>8</v>
      </c>
      <c r="D6801">
        <v>29</v>
      </c>
      <c r="E6801" s="2">
        <v>2.4583333333333332E-2</v>
      </c>
      <c r="F6801">
        <v>35.4</v>
      </c>
    </row>
    <row r="6802" spans="1:6" x14ac:dyDescent="0.25">
      <c r="A6802" s="1">
        <v>40787</v>
      </c>
      <c r="B6802" t="s">
        <v>24</v>
      </c>
      <c r="C6802" t="s">
        <v>9</v>
      </c>
      <c r="D6802">
        <v>21</v>
      </c>
      <c r="E6802" s="2">
        <v>1.1203703703703704E-2</v>
      </c>
      <c r="F6802">
        <v>16.133333333333333</v>
      </c>
    </row>
    <row r="6803" spans="1:6" x14ac:dyDescent="0.25">
      <c r="A6803" s="1">
        <v>40787</v>
      </c>
      <c r="B6803" t="s">
        <v>24</v>
      </c>
      <c r="C6803" t="s">
        <v>10</v>
      </c>
      <c r="D6803">
        <v>0</v>
      </c>
      <c r="E6803" s="2">
        <v>0</v>
      </c>
      <c r="F6803">
        <v>0</v>
      </c>
    </row>
    <row r="6804" spans="1:6" x14ac:dyDescent="0.25">
      <c r="A6804" s="1">
        <v>40787</v>
      </c>
      <c r="B6804" t="s">
        <v>24</v>
      </c>
      <c r="C6804" t="s">
        <v>11</v>
      </c>
      <c r="D6804">
        <v>33</v>
      </c>
      <c r="E6804" s="2">
        <v>1.8749999999999999E-2</v>
      </c>
      <c r="F6804">
        <v>27</v>
      </c>
    </row>
    <row r="6805" spans="1:6" x14ac:dyDescent="0.25">
      <c r="A6805" s="1">
        <v>40817</v>
      </c>
      <c r="B6805" t="s">
        <v>5</v>
      </c>
      <c r="C6805" t="s">
        <v>6</v>
      </c>
      <c r="D6805">
        <v>26</v>
      </c>
      <c r="E6805" s="2">
        <v>1.9178240740740742E-2</v>
      </c>
      <c r="F6805">
        <v>27.616666666666667</v>
      </c>
    </row>
    <row r="6806" spans="1:6" x14ac:dyDescent="0.25">
      <c r="A6806" s="1">
        <v>40817</v>
      </c>
      <c r="B6806" t="s">
        <v>5</v>
      </c>
      <c r="C6806" t="s">
        <v>7</v>
      </c>
      <c r="D6806">
        <v>26</v>
      </c>
      <c r="E6806" s="2">
        <v>1.7523148148148149E-2</v>
      </c>
      <c r="F6806">
        <v>25.233333333333334</v>
      </c>
    </row>
    <row r="6807" spans="1:6" x14ac:dyDescent="0.25">
      <c r="A6807" s="1">
        <v>40817</v>
      </c>
      <c r="B6807" t="s">
        <v>5</v>
      </c>
      <c r="C6807" t="s">
        <v>8</v>
      </c>
      <c r="D6807">
        <v>16</v>
      </c>
      <c r="E6807" s="2">
        <v>9.6990740740740735E-3</v>
      </c>
      <c r="F6807">
        <v>13.966666666666667</v>
      </c>
    </row>
    <row r="6808" spans="1:6" x14ac:dyDescent="0.25">
      <c r="A6808" s="1">
        <v>40817</v>
      </c>
      <c r="B6808" t="s">
        <v>5</v>
      </c>
      <c r="C6808" t="s">
        <v>9</v>
      </c>
      <c r="D6808">
        <v>15</v>
      </c>
      <c r="E6808" s="2">
        <v>9.1550925925925931E-3</v>
      </c>
      <c r="F6808">
        <v>13.183333333333334</v>
      </c>
    </row>
    <row r="6809" spans="1:6" x14ac:dyDescent="0.25">
      <c r="A6809" s="1">
        <v>40817</v>
      </c>
      <c r="B6809" t="s">
        <v>5</v>
      </c>
      <c r="C6809" t="s">
        <v>10</v>
      </c>
      <c r="D6809">
        <v>8</v>
      </c>
      <c r="E6809" s="2">
        <v>7.4189814814814813E-3</v>
      </c>
      <c r="F6809">
        <v>10.683333333333334</v>
      </c>
    </row>
    <row r="6810" spans="1:6" x14ac:dyDescent="0.25">
      <c r="A6810" s="1">
        <v>40817</v>
      </c>
      <c r="B6810" t="s">
        <v>5</v>
      </c>
      <c r="C6810" t="s">
        <v>11</v>
      </c>
      <c r="D6810">
        <v>18</v>
      </c>
      <c r="E6810" s="2">
        <v>1.0648148148148148E-2</v>
      </c>
      <c r="F6810">
        <v>15.333333333333334</v>
      </c>
    </row>
    <row r="6811" spans="1:6" x14ac:dyDescent="0.25">
      <c r="A6811" s="1">
        <v>40817</v>
      </c>
      <c r="B6811" t="s">
        <v>12</v>
      </c>
      <c r="C6811" t="s">
        <v>6</v>
      </c>
      <c r="D6811">
        <v>53</v>
      </c>
      <c r="E6811" s="2">
        <v>6.8090277777777777E-2</v>
      </c>
      <c r="F6811">
        <v>98.05</v>
      </c>
    </row>
    <row r="6812" spans="1:6" x14ac:dyDescent="0.25">
      <c r="A6812" s="1">
        <v>40817</v>
      </c>
      <c r="B6812" t="s">
        <v>12</v>
      </c>
      <c r="C6812" t="s">
        <v>7</v>
      </c>
      <c r="D6812">
        <v>31</v>
      </c>
      <c r="E6812" s="2">
        <v>3.7523148148148146E-2</v>
      </c>
      <c r="F6812">
        <v>54.033333333333331</v>
      </c>
    </row>
    <row r="6813" spans="1:6" x14ac:dyDescent="0.25">
      <c r="A6813" s="1">
        <v>40817</v>
      </c>
      <c r="B6813" t="s">
        <v>12</v>
      </c>
      <c r="C6813" t="s">
        <v>8</v>
      </c>
      <c r="D6813">
        <v>23</v>
      </c>
      <c r="E6813" s="2">
        <v>3.4131944444444444E-2</v>
      </c>
      <c r="F6813">
        <v>49.15</v>
      </c>
    </row>
    <row r="6814" spans="1:6" x14ac:dyDescent="0.25">
      <c r="A6814" s="1">
        <v>40817</v>
      </c>
      <c r="B6814" t="s">
        <v>12</v>
      </c>
      <c r="C6814" t="s">
        <v>9</v>
      </c>
      <c r="D6814">
        <v>15</v>
      </c>
      <c r="E6814" s="2">
        <v>9.1550925925925931E-3</v>
      </c>
      <c r="F6814">
        <v>13.183333333333334</v>
      </c>
    </row>
    <row r="6815" spans="1:6" x14ac:dyDescent="0.25">
      <c r="A6815" s="1">
        <v>40817</v>
      </c>
      <c r="B6815" t="s">
        <v>12</v>
      </c>
      <c r="C6815" t="s">
        <v>10</v>
      </c>
      <c r="D6815">
        <v>62</v>
      </c>
      <c r="E6815" s="2">
        <v>0.10774305555555555</v>
      </c>
      <c r="F6815">
        <v>155.15</v>
      </c>
    </row>
    <row r="6816" spans="1:6" x14ac:dyDescent="0.25">
      <c r="A6816" s="1">
        <v>40817</v>
      </c>
      <c r="B6816" t="s">
        <v>12</v>
      </c>
      <c r="C6816" t="s">
        <v>11</v>
      </c>
      <c r="D6816">
        <v>49</v>
      </c>
      <c r="E6816" s="2">
        <v>0.10072916666666666</v>
      </c>
      <c r="F6816">
        <v>145.05000000000001</v>
      </c>
    </row>
    <row r="6817" spans="1:6" x14ac:dyDescent="0.25">
      <c r="A6817" s="1">
        <v>40817</v>
      </c>
      <c r="B6817" t="s">
        <v>13</v>
      </c>
      <c r="C6817" t="s">
        <v>6</v>
      </c>
      <c r="D6817">
        <v>63</v>
      </c>
      <c r="E6817" s="2">
        <v>6.4270833333333333E-2</v>
      </c>
      <c r="F6817">
        <v>92.55</v>
      </c>
    </row>
    <row r="6818" spans="1:6" x14ac:dyDescent="0.25">
      <c r="A6818" s="1">
        <v>40817</v>
      </c>
      <c r="B6818" t="s">
        <v>13</v>
      </c>
      <c r="C6818" t="s">
        <v>7</v>
      </c>
      <c r="D6818">
        <v>65</v>
      </c>
      <c r="E6818" s="2">
        <v>7.993055555555556E-2</v>
      </c>
      <c r="F6818">
        <v>115.1</v>
      </c>
    </row>
    <row r="6819" spans="1:6" x14ac:dyDescent="0.25">
      <c r="A6819" s="1">
        <v>40817</v>
      </c>
      <c r="B6819" t="s">
        <v>13</v>
      </c>
      <c r="C6819" t="s">
        <v>8</v>
      </c>
      <c r="D6819">
        <v>37</v>
      </c>
      <c r="E6819" s="2">
        <v>4.3229166666666666E-2</v>
      </c>
      <c r="F6819">
        <v>62.25</v>
      </c>
    </row>
    <row r="6820" spans="1:6" x14ac:dyDescent="0.25">
      <c r="A6820" s="1">
        <v>40817</v>
      </c>
      <c r="B6820" t="s">
        <v>13</v>
      </c>
      <c r="C6820" t="s">
        <v>9</v>
      </c>
      <c r="D6820">
        <v>40</v>
      </c>
      <c r="E6820" s="2">
        <v>2.9374999999999998E-2</v>
      </c>
      <c r="F6820">
        <v>42.3</v>
      </c>
    </row>
    <row r="6821" spans="1:6" x14ac:dyDescent="0.25">
      <c r="A6821" s="1">
        <v>40817</v>
      </c>
      <c r="B6821" t="s">
        <v>13</v>
      </c>
      <c r="C6821" t="s">
        <v>10</v>
      </c>
      <c r="D6821">
        <v>37</v>
      </c>
      <c r="E6821" s="2">
        <v>4.476851851851852E-2</v>
      </c>
      <c r="F6821">
        <v>64.466666666666669</v>
      </c>
    </row>
    <row r="6822" spans="1:6" x14ac:dyDescent="0.25">
      <c r="A6822" s="1">
        <v>40817</v>
      </c>
      <c r="B6822" t="s">
        <v>13</v>
      </c>
      <c r="C6822" t="s">
        <v>11</v>
      </c>
      <c r="D6822">
        <v>41</v>
      </c>
      <c r="E6822" s="2">
        <v>3.528935185185185E-2</v>
      </c>
      <c r="F6822">
        <v>50.81666666666667</v>
      </c>
    </row>
    <row r="6823" spans="1:6" x14ac:dyDescent="0.25">
      <c r="A6823" s="1">
        <v>40817</v>
      </c>
      <c r="B6823" t="s">
        <v>14</v>
      </c>
      <c r="C6823" t="s">
        <v>6</v>
      </c>
      <c r="D6823">
        <v>12</v>
      </c>
      <c r="E6823" s="2">
        <v>1.3645833333333333E-2</v>
      </c>
      <c r="F6823">
        <v>19.649999999999999</v>
      </c>
    </row>
    <row r="6824" spans="1:6" x14ac:dyDescent="0.25">
      <c r="A6824" s="1">
        <v>40817</v>
      </c>
      <c r="B6824" t="s">
        <v>14</v>
      </c>
      <c r="C6824" t="s">
        <v>7</v>
      </c>
      <c r="D6824">
        <v>12</v>
      </c>
      <c r="E6824" s="2">
        <v>1.9745370370370371E-2</v>
      </c>
      <c r="F6824">
        <v>28.433333333333334</v>
      </c>
    </row>
    <row r="6825" spans="1:6" x14ac:dyDescent="0.25">
      <c r="A6825" s="1">
        <v>40817</v>
      </c>
      <c r="B6825" t="s">
        <v>14</v>
      </c>
      <c r="C6825" t="s">
        <v>8</v>
      </c>
      <c r="D6825">
        <v>2</v>
      </c>
      <c r="E6825" s="2">
        <v>3.1944444444444446E-3</v>
      </c>
      <c r="F6825">
        <v>4.5999999999999996</v>
      </c>
    </row>
    <row r="6826" spans="1:6" x14ac:dyDescent="0.25">
      <c r="A6826" s="1">
        <v>40817</v>
      </c>
      <c r="B6826" t="s">
        <v>14</v>
      </c>
      <c r="C6826" t="s">
        <v>9</v>
      </c>
      <c r="D6826">
        <v>7</v>
      </c>
      <c r="E6826" s="2">
        <v>6.5162037037037037E-3</v>
      </c>
      <c r="F6826">
        <v>9.3833333333333329</v>
      </c>
    </row>
    <row r="6827" spans="1:6" x14ac:dyDescent="0.25">
      <c r="A6827" s="1">
        <v>40817</v>
      </c>
      <c r="B6827" t="s">
        <v>14</v>
      </c>
      <c r="C6827" t="s">
        <v>10</v>
      </c>
      <c r="D6827">
        <v>0</v>
      </c>
      <c r="E6827" s="2">
        <v>0</v>
      </c>
      <c r="F6827">
        <v>0</v>
      </c>
    </row>
    <row r="6828" spans="1:6" x14ac:dyDescent="0.25">
      <c r="A6828" s="1">
        <v>40817</v>
      </c>
      <c r="B6828" t="s">
        <v>14</v>
      </c>
      <c r="C6828" t="s">
        <v>11</v>
      </c>
      <c r="D6828">
        <v>5</v>
      </c>
      <c r="E6828" s="2">
        <v>5.2314814814814811E-3</v>
      </c>
      <c r="F6828">
        <v>7.5333333333333332</v>
      </c>
    </row>
    <row r="6829" spans="1:6" x14ac:dyDescent="0.25">
      <c r="A6829" s="1">
        <v>40817</v>
      </c>
      <c r="B6829" t="s">
        <v>15</v>
      </c>
      <c r="C6829" t="s">
        <v>6</v>
      </c>
      <c r="D6829">
        <v>23</v>
      </c>
      <c r="E6829" s="2">
        <v>2.7245370370370371E-2</v>
      </c>
      <c r="F6829">
        <v>39.233333333333334</v>
      </c>
    </row>
    <row r="6830" spans="1:6" x14ac:dyDescent="0.25">
      <c r="A6830" s="1">
        <v>40817</v>
      </c>
      <c r="B6830" t="s">
        <v>15</v>
      </c>
      <c r="C6830" t="s">
        <v>7</v>
      </c>
      <c r="D6830">
        <v>13</v>
      </c>
      <c r="E6830" s="2">
        <v>1.2962962962962963E-2</v>
      </c>
      <c r="F6830">
        <v>18.666666666666668</v>
      </c>
    </row>
    <row r="6831" spans="1:6" x14ac:dyDescent="0.25">
      <c r="A6831" s="1">
        <v>40817</v>
      </c>
      <c r="B6831" t="s">
        <v>15</v>
      </c>
      <c r="C6831" t="s">
        <v>8</v>
      </c>
      <c r="D6831">
        <v>10</v>
      </c>
      <c r="E6831" s="2">
        <v>8.4606481481481477E-3</v>
      </c>
      <c r="F6831">
        <v>12.183333333333334</v>
      </c>
    </row>
    <row r="6832" spans="1:6" x14ac:dyDescent="0.25">
      <c r="A6832" s="1">
        <v>40817</v>
      </c>
      <c r="B6832" t="s">
        <v>15</v>
      </c>
      <c r="C6832" t="s">
        <v>9</v>
      </c>
      <c r="D6832">
        <v>10</v>
      </c>
      <c r="E6832" s="2">
        <v>5.5092592592592589E-3</v>
      </c>
      <c r="F6832">
        <v>7.9333333333333336</v>
      </c>
    </row>
    <row r="6833" spans="1:6" x14ac:dyDescent="0.25">
      <c r="A6833" s="1">
        <v>40817</v>
      </c>
      <c r="B6833" t="s">
        <v>15</v>
      </c>
      <c r="C6833" t="s">
        <v>10</v>
      </c>
      <c r="D6833">
        <v>3</v>
      </c>
      <c r="E6833" s="2">
        <v>3.6226851851851854E-3</v>
      </c>
      <c r="F6833">
        <v>5.2166666666666668</v>
      </c>
    </row>
    <row r="6834" spans="1:6" x14ac:dyDescent="0.25">
      <c r="A6834" s="1">
        <v>40817</v>
      </c>
      <c r="B6834" t="s">
        <v>15</v>
      </c>
      <c r="C6834" t="s">
        <v>11</v>
      </c>
      <c r="D6834">
        <v>10</v>
      </c>
      <c r="E6834" s="2">
        <v>7.9398148148148145E-3</v>
      </c>
      <c r="F6834">
        <v>11.433333333333334</v>
      </c>
    </row>
    <row r="6835" spans="1:6" x14ac:dyDescent="0.25">
      <c r="A6835" s="1">
        <v>40817</v>
      </c>
      <c r="B6835" t="s">
        <v>16</v>
      </c>
      <c r="C6835" t="s">
        <v>6</v>
      </c>
      <c r="D6835">
        <v>30</v>
      </c>
      <c r="E6835" s="2">
        <v>3.0266203703703705E-2</v>
      </c>
      <c r="F6835">
        <v>43.583333333333336</v>
      </c>
    </row>
    <row r="6836" spans="1:6" x14ac:dyDescent="0.25">
      <c r="A6836" s="1">
        <v>40817</v>
      </c>
      <c r="B6836" t="s">
        <v>16</v>
      </c>
      <c r="C6836" t="s">
        <v>7</v>
      </c>
      <c r="D6836">
        <v>34</v>
      </c>
      <c r="E6836" s="2">
        <v>3.3321759259259259E-2</v>
      </c>
      <c r="F6836">
        <v>47.983333333333334</v>
      </c>
    </row>
    <row r="6837" spans="1:6" x14ac:dyDescent="0.25">
      <c r="A6837" s="1">
        <v>40817</v>
      </c>
      <c r="B6837" t="s">
        <v>16</v>
      </c>
      <c r="C6837" t="s">
        <v>8</v>
      </c>
      <c r="D6837">
        <v>21</v>
      </c>
      <c r="E6837" s="2">
        <v>1.8240740740740741E-2</v>
      </c>
      <c r="F6837">
        <v>26.266666666666666</v>
      </c>
    </row>
    <row r="6838" spans="1:6" x14ac:dyDescent="0.25">
      <c r="A6838" s="1">
        <v>40817</v>
      </c>
      <c r="B6838" t="s">
        <v>16</v>
      </c>
      <c r="C6838" t="s">
        <v>9</v>
      </c>
      <c r="D6838">
        <v>14</v>
      </c>
      <c r="E6838" s="2">
        <v>9.8379629629629633E-3</v>
      </c>
      <c r="F6838">
        <v>14.166666666666666</v>
      </c>
    </row>
    <row r="6839" spans="1:6" x14ac:dyDescent="0.25">
      <c r="A6839" s="1">
        <v>40817</v>
      </c>
      <c r="B6839" t="s">
        <v>16</v>
      </c>
      <c r="C6839" t="s">
        <v>10</v>
      </c>
      <c r="D6839">
        <v>3</v>
      </c>
      <c r="E6839" s="2">
        <v>4.5949074074074078E-3</v>
      </c>
      <c r="F6839">
        <v>6.6166666666666671</v>
      </c>
    </row>
    <row r="6840" spans="1:6" x14ac:dyDescent="0.25">
      <c r="A6840" s="1">
        <v>40817</v>
      </c>
      <c r="B6840" t="s">
        <v>16</v>
      </c>
      <c r="C6840" t="s">
        <v>11</v>
      </c>
      <c r="D6840">
        <v>37</v>
      </c>
      <c r="E6840" s="2">
        <v>2.9942129629629631E-2</v>
      </c>
      <c r="F6840">
        <v>43.116666666666667</v>
      </c>
    </row>
    <row r="6841" spans="1:6" x14ac:dyDescent="0.25">
      <c r="A6841" s="1">
        <v>40817</v>
      </c>
      <c r="B6841" t="s">
        <v>17</v>
      </c>
      <c r="C6841" t="s">
        <v>6</v>
      </c>
      <c r="D6841">
        <v>11</v>
      </c>
      <c r="E6841" s="2">
        <v>9.9884259259259266E-3</v>
      </c>
      <c r="F6841">
        <v>14.383333333333333</v>
      </c>
    </row>
    <row r="6842" spans="1:6" x14ac:dyDescent="0.25">
      <c r="A6842" s="1">
        <v>40817</v>
      </c>
      <c r="B6842" t="s">
        <v>17</v>
      </c>
      <c r="C6842" t="s">
        <v>7</v>
      </c>
      <c r="D6842">
        <v>16</v>
      </c>
      <c r="E6842" s="2">
        <v>1.8252314814814815E-2</v>
      </c>
      <c r="F6842">
        <v>26.283333333333335</v>
      </c>
    </row>
    <row r="6843" spans="1:6" x14ac:dyDescent="0.25">
      <c r="A6843" s="1">
        <v>40817</v>
      </c>
      <c r="B6843" t="s">
        <v>17</v>
      </c>
      <c r="C6843" t="s">
        <v>8</v>
      </c>
      <c r="D6843">
        <v>4</v>
      </c>
      <c r="E6843" s="2">
        <v>5.9837962962962961E-3</v>
      </c>
      <c r="F6843">
        <v>8.6166666666666671</v>
      </c>
    </row>
    <row r="6844" spans="1:6" x14ac:dyDescent="0.25">
      <c r="A6844" s="1">
        <v>40817</v>
      </c>
      <c r="B6844" t="s">
        <v>17</v>
      </c>
      <c r="C6844" t="s">
        <v>9</v>
      </c>
      <c r="D6844">
        <v>7</v>
      </c>
      <c r="E6844" s="2">
        <v>5.4976851851851853E-3</v>
      </c>
      <c r="F6844">
        <v>7.916666666666667</v>
      </c>
    </row>
    <row r="6845" spans="1:6" x14ac:dyDescent="0.25">
      <c r="A6845" s="1">
        <v>40817</v>
      </c>
      <c r="B6845" t="s">
        <v>17</v>
      </c>
      <c r="C6845" t="s">
        <v>10</v>
      </c>
      <c r="D6845">
        <v>12</v>
      </c>
      <c r="E6845" s="2">
        <v>1.4004629629629629E-2</v>
      </c>
      <c r="F6845">
        <v>20.166666666666668</v>
      </c>
    </row>
    <row r="6846" spans="1:6" x14ac:dyDescent="0.25">
      <c r="A6846" s="1">
        <v>40817</v>
      </c>
      <c r="B6846" t="s">
        <v>17</v>
      </c>
      <c r="C6846" t="s">
        <v>11</v>
      </c>
      <c r="D6846">
        <v>4</v>
      </c>
      <c r="E6846" s="2">
        <v>4.0509259259259257E-3</v>
      </c>
      <c r="F6846">
        <v>5.833333333333333</v>
      </c>
    </row>
    <row r="6847" spans="1:6" x14ac:dyDescent="0.25">
      <c r="A6847" s="1">
        <v>40817</v>
      </c>
      <c r="B6847" t="s">
        <v>18</v>
      </c>
      <c r="C6847" t="s">
        <v>6</v>
      </c>
      <c r="D6847">
        <v>69</v>
      </c>
      <c r="E6847" s="2">
        <v>6.1793981481481484E-2</v>
      </c>
      <c r="F6847">
        <v>88.983333333333334</v>
      </c>
    </row>
    <row r="6848" spans="1:6" x14ac:dyDescent="0.25">
      <c r="A6848" s="1">
        <v>40817</v>
      </c>
      <c r="B6848" t="s">
        <v>18</v>
      </c>
      <c r="C6848" t="s">
        <v>7</v>
      </c>
      <c r="D6848">
        <v>75</v>
      </c>
      <c r="E6848" s="2">
        <v>7.2615740740740745E-2</v>
      </c>
      <c r="F6848">
        <v>104.56666666666666</v>
      </c>
    </row>
    <row r="6849" spans="1:6" x14ac:dyDescent="0.25">
      <c r="A6849" s="1">
        <v>40817</v>
      </c>
      <c r="B6849" t="s">
        <v>18</v>
      </c>
      <c r="C6849" t="s">
        <v>8</v>
      </c>
      <c r="D6849">
        <v>59</v>
      </c>
      <c r="E6849" s="2">
        <v>6.2766203703703699E-2</v>
      </c>
      <c r="F6849">
        <v>90.38333333333334</v>
      </c>
    </row>
    <row r="6850" spans="1:6" x14ac:dyDescent="0.25">
      <c r="A6850" s="1">
        <v>40817</v>
      </c>
      <c r="B6850" t="s">
        <v>18</v>
      </c>
      <c r="C6850" t="s">
        <v>9</v>
      </c>
      <c r="D6850">
        <v>85</v>
      </c>
      <c r="E6850" s="2">
        <v>5.2175925925925924E-2</v>
      </c>
      <c r="F6850">
        <v>75.13333333333334</v>
      </c>
    </row>
    <row r="6851" spans="1:6" x14ac:dyDescent="0.25">
      <c r="A6851" s="1">
        <v>40817</v>
      </c>
      <c r="B6851" t="s">
        <v>18</v>
      </c>
      <c r="C6851" t="s">
        <v>10</v>
      </c>
      <c r="D6851">
        <v>133</v>
      </c>
      <c r="E6851" s="2">
        <v>0.16164351851851852</v>
      </c>
      <c r="F6851">
        <v>232.76666666666668</v>
      </c>
    </row>
    <row r="6852" spans="1:6" x14ac:dyDescent="0.25">
      <c r="A6852" s="1">
        <v>40817</v>
      </c>
      <c r="B6852" t="s">
        <v>18</v>
      </c>
      <c r="C6852" t="s">
        <v>11</v>
      </c>
      <c r="D6852">
        <v>50</v>
      </c>
      <c r="E6852" s="2">
        <v>3.2523148148148148E-2</v>
      </c>
      <c r="F6852">
        <v>46.833333333333336</v>
      </c>
    </row>
    <row r="6853" spans="1:6" x14ac:dyDescent="0.25">
      <c r="A6853" s="1">
        <v>40817</v>
      </c>
      <c r="B6853" t="s">
        <v>19</v>
      </c>
      <c r="C6853" t="s">
        <v>6</v>
      </c>
      <c r="D6853">
        <v>45</v>
      </c>
      <c r="E6853" s="2">
        <v>4.5486111111111109E-2</v>
      </c>
      <c r="F6853">
        <v>65.5</v>
      </c>
    </row>
    <row r="6854" spans="1:6" x14ac:dyDescent="0.25">
      <c r="A6854" s="1">
        <v>40817</v>
      </c>
      <c r="B6854" t="s">
        <v>19</v>
      </c>
      <c r="C6854" t="s">
        <v>7</v>
      </c>
      <c r="D6854">
        <v>36</v>
      </c>
      <c r="E6854" s="2">
        <v>4.1724537037037039E-2</v>
      </c>
      <c r="F6854">
        <v>60.083333333333336</v>
      </c>
    </row>
    <row r="6855" spans="1:6" x14ac:dyDescent="0.25">
      <c r="A6855" s="1">
        <v>40817</v>
      </c>
      <c r="B6855" t="s">
        <v>19</v>
      </c>
      <c r="C6855" t="s">
        <v>8</v>
      </c>
      <c r="D6855">
        <v>41</v>
      </c>
      <c r="E6855" s="2">
        <v>3.6307870370370372E-2</v>
      </c>
      <c r="F6855">
        <v>52.283333333333331</v>
      </c>
    </row>
    <row r="6856" spans="1:6" x14ac:dyDescent="0.25">
      <c r="A6856" s="1">
        <v>40817</v>
      </c>
      <c r="B6856" t="s">
        <v>19</v>
      </c>
      <c r="C6856" t="s">
        <v>9</v>
      </c>
      <c r="D6856">
        <v>28</v>
      </c>
      <c r="E6856" s="2">
        <v>2.0497685185185185E-2</v>
      </c>
      <c r="F6856">
        <v>29.516666666666666</v>
      </c>
    </row>
    <row r="6857" spans="1:6" x14ac:dyDescent="0.25">
      <c r="A6857" s="1">
        <v>40817</v>
      </c>
      <c r="B6857" t="s">
        <v>19</v>
      </c>
      <c r="C6857" t="s">
        <v>10</v>
      </c>
      <c r="D6857">
        <v>4</v>
      </c>
      <c r="E6857" s="2">
        <v>4.8032407407407407E-3</v>
      </c>
      <c r="F6857">
        <v>6.916666666666667</v>
      </c>
    </row>
    <row r="6858" spans="1:6" x14ac:dyDescent="0.25">
      <c r="A6858" s="1">
        <v>40817</v>
      </c>
      <c r="B6858" t="s">
        <v>19</v>
      </c>
      <c r="C6858" t="s">
        <v>11</v>
      </c>
      <c r="D6858">
        <v>39</v>
      </c>
      <c r="E6858" s="2">
        <v>3.2546296296296295E-2</v>
      </c>
      <c r="F6858">
        <v>46.866666666666667</v>
      </c>
    </row>
    <row r="6859" spans="1:6" x14ac:dyDescent="0.25">
      <c r="A6859" s="1">
        <v>40817</v>
      </c>
      <c r="B6859" t="s">
        <v>20</v>
      </c>
      <c r="C6859" t="s">
        <v>6</v>
      </c>
      <c r="D6859">
        <v>91</v>
      </c>
      <c r="E6859" s="2">
        <v>0.10960648148148149</v>
      </c>
      <c r="F6859">
        <v>157.83333333333334</v>
      </c>
    </row>
    <row r="6860" spans="1:6" x14ac:dyDescent="0.25">
      <c r="A6860" s="1">
        <v>40817</v>
      </c>
      <c r="B6860" t="s">
        <v>20</v>
      </c>
      <c r="C6860" t="s">
        <v>7</v>
      </c>
      <c r="D6860">
        <v>140</v>
      </c>
      <c r="E6860" s="2">
        <v>0.14547453703703703</v>
      </c>
      <c r="F6860">
        <v>209.48333333333332</v>
      </c>
    </row>
    <row r="6861" spans="1:6" x14ac:dyDescent="0.25">
      <c r="A6861" s="1">
        <v>40817</v>
      </c>
      <c r="B6861" t="s">
        <v>20</v>
      </c>
      <c r="C6861" t="s">
        <v>8</v>
      </c>
      <c r="D6861">
        <v>74</v>
      </c>
      <c r="E6861" s="2">
        <v>7.3020833333333326E-2</v>
      </c>
      <c r="F6861">
        <v>105.15</v>
      </c>
    </row>
    <row r="6862" spans="1:6" x14ac:dyDescent="0.25">
      <c r="A6862" s="1">
        <v>40817</v>
      </c>
      <c r="B6862" t="s">
        <v>20</v>
      </c>
      <c r="C6862" t="s">
        <v>9</v>
      </c>
      <c r="D6862">
        <v>43</v>
      </c>
      <c r="E6862" s="2">
        <v>3.8692129629629632E-2</v>
      </c>
      <c r="F6862">
        <v>55.716666666666669</v>
      </c>
    </row>
    <row r="6863" spans="1:6" x14ac:dyDescent="0.25">
      <c r="A6863" s="1">
        <v>40817</v>
      </c>
      <c r="B6863" t="s">
        <v>20</v>
      </c>
      <c r="C6863" t="s">
        <v>10</v>
      </c>
      <c r="D6863">
        <v>10</v>
      </c>
      <c r="E6863" s="2">
        <v>1.173611111111111E-2</v>
      </c>
      <c r="F6863">
        <v>16.899999999999999</v>
      </c>
    </row>
    <row r="6864" spans="1:6" x14ac:dyDescent="0.25">
      <c r="A6864" s="1">
        <v>40817</v>
      </c>
      <c r="B6864" t="s">
        <v>20</v>
      </c>
      <c r="C6864" t="s">
        <v>11</v>
      </c>
      <c r="D6864">
        <v>50</v>
      </c>
      <c r="E6864" s="2">
        <v>3.6562499999999998E-2</v>
      </c>
      <c r="F6864">
        <v>52.65</v>
      </c>
    </row>
    <row r="6865" spans="1:6" x14ac:dyDescent="0.25">
      <c r="A6865" s="1">
        <v>40817</v>
      </c>
      <c r="B6865" t="s">
        <v>21</v>
      </c>
      <c r="C6865" t="s">
        <v>6</v>
      </c>
      <c r="D6865">
        <v>20</v>
      </c>
      <c r="E6865" s="2">
        <v>2.4953703703703704E-2</v>
      </c>
      <c r="F6865">
        <v>35.93333333333333</v>
      </c>
    </row>
    <row r="6866" spans="1:6" x14ac:dyDescent="0.25">
      <c r="A6866" s="1">
        <v>40817</v>
      </c>
      <c r="B6866" t="s">
        <v>21</v>
      </c>
      <c r="C6866" t="s">
        <v>7</v>
      </c>
      <c r="D6866">
        <v>10</v>
      </c>
      <c r="E6866" s="2">
        <v>9.8263888888888897E-3</v>
      </c>
      <c r="F6866">
        <v>14.15</v>
      </c>
    </row>
    <row r="6867" spans="1:6" x14ac:dyDescent="0.25">
      <c r="A6867" s="1">
        <v>40817</v>
      </c>
      <c r="B6867" t="s">
        <v>21</v>
      </c>
      <c r="C6867" t="s">
        <v>8</v>
      </c>
      <c r="D6867">
        <v>11</v>
      </c>
      <c r="E6867" s="2">
        <v>1.6851851851851851E-2</v>
      </c>
      <c r="F6867">
        <v>24.266666666666666</v>
      </c>
    </row>
    <row r="6868" spans="1:6" x14ac:dyDescent="0.25">
      <c r="A6868" s="1">
        <v>40817</v>
      </c>
      <c r="B6868" t="s">
        <v>21</v>
      </c>
      <c r="C6868" t="s">
        <v>9</v>
      </c>
      <c r="D6868">
        <v>2</v>
      </c>
      <c r="E6868" s="2">
        <v>1.3425925925925925E-3</v>
      </c>
      <c r="F6868">
        <v>1.9333333333333333</v>
      </c>
    </row>
    <row r="6869" spans="1:6" x14ac:dyDescent="0.25">
      <c r="A6869" s="1">
        <v>40817</v>
      </c>
      <c r="B6869" t="s">
        <v>21</v>
      </c>
      <c r="C6869" t="s">
        <v>10</v>
      </c>
      <c r="D6869">
        <v>3</v>
      </c>
      <c r="E6869" s="2">
        <v>3.5185185185185185E-3</v>
      </c>
      <c r="F6869">
        <v>5.0666666666666664</v>
      </c>
    </row>
    <row r="6870" spans="1:6" x14ac:dyDescent="0.25">
      <c r="A6870" s="1">
        <v>40817</v>
      </c>
      <c r="B6870" t="s">
        <v>21</v>
      </c>
      <c r="C6870" t="s">
        <v>11</v>
      </c>
      <c r="D6870">
        <v>17</v>
      </c>
      <c r="E6870" s="2">
        <v>1.8553240740740742E-2</v>
      </c>
      <c r="F6870">
        <v>26.716666666666665</v>
      </c>
    </row>
    <row r="6871" spans="1:6" x14ac:dyDescent="0.25">
      <c r="A6871" s="1">
        <v>40817</v>
      </c>
      <c r="B6871" t="s">
        <v>22</v>
      </c>
      <c r="C6871" t="s">
        <v>6</v>
      </c>
      <c r="D6871">
        <v>7</v>
      </c>
      <c r="E6871" s="2">
        <v>6.7708333333333336E-3</v>
      </c>
      <c r="F6871">
        <v>9.75</v>
      </c>
    </row>
    <row r="6872" spans="1:6" x14ac:dyDescent="0.25">
      <c r="A6872" s="1">
        <v>40817</v>
      </c>
      <c r="B6872" t="s">
        <v>22</v>
      </c>
      <c r="C6872" t="s">
        <v>7</v>
      </c>
      <c r="D6872">
        <v>8</v>
      </c>
      <c r="E6872" s="2">
        <v>1.1076388888888889E-2</v>
      </c>
      <c r="F6872">
        <v>15.95</v>
      </c>
    </row>
    <row r="6873" spans="1:6" x14ac:dyDescent="0.25">
      <c r="A6873" s="1">
        <v>40817</v>
      </c>
      <c r="B6873" t="s">
        <v>22</v>
      </c>
      <c r="C6873" t="s">
        <v>8</v>
      </c>
      <c r="D6873">
        <v>7</v>
      </c>
      <c r="E6873" s="2">
        <v>8.9351851851851849E-3</v>
      </c>
      <c r="F6873">
        <v>12.866666666666667</v>
      </c>
    </row>
    <row r="6874" spans="1:6" x14ac:dyDescent="0.25">
      <c r="A6874" s="1">
        <v>40817</v>
      </c>
      <c r="B6874" t="s">
        <v>22</v>
      </c>
      <c r="C6874" t="s">
        <v>9</v>
      </c>
      <c r="D6874">
        <v>0</v>
      </c>
      <c r="E6874" s="2">
        <v>0</v>
      </c>
      <c r="F6874">
        <v>0</v>
      </c>
    </row>
    <row r="6875" spans="1:6" x14ac:dyDescent="0.25">
      <c r="A6875" s="1">
        <v>40817</v>
      </c>
      <c r="B6875" t="s">
        <v>22</v>
      </c>
      <c r="C6875" t="s">
        <v>10</v>
      </c>
      <c r="D6875">
        <v>1</v>
      </c>
      <c r="E6875" s="2">
        <v>1.8171296296296297E-3</v>
      </c>
      <c r="F6875">
        <v>2.6166666666666667</v>
      </c>
    </row>
    <row r="6876" spans="1:6" x14ac:dyDescent="0.25">
      <c r="A6876" s="1">
        <v>40817</v>
      </c>
      <c r="B6876" t="s">
        <v>22</v>
      </c>
      <c r="C6876" t="s">
        <v>11</v>
      </c>
      <c r="D6876">
        <v>3</v>
      </c>
      <c r="E6876" s="2">
        <v>2.9513888888888888E-3</v>
      </c>
      <c r="F6876">
        <v>4.25</v>
      </c>
    </row>
    <row r="6877" spans="1:6" x14ac:dyDescent="0.25">
      <c r="A6877" s="1">
        <v>40817</v>
      </c>
      <c r="B6877" t="s">
        <v>23</v>
      </c>
      <c r="C6877" t="s">
        <v>6</v>
      </c>
      <c r="D6877">
        <v>86</v>
      </c>
      <c r="E6877" s="2">
        <v>8.0925925925925929E-2</v>
      </c>
      <c r="F6877">
        <v>116.53333333333333</v>
      </c>
    </row>
    <row r="6878" spans="1:6" x14ac:dyDescent="0.25">
      <c r="A6878" s="1">
        <v>40817</v>
      </c>
      <c r="B6878" t="s">
        <v>23</v>
      </c>
      <c r="C6878" t="s">
        <v>7</v>
      </c>
      <c r="D6878">
        <v>74</v>
      </c>
      <c r="E6878" s="2">
        <v>8.3333333333333329E-2</v>
      </c>
      <c r="F6878">
        <v>120</v>
      </c>
    </row>
    <row r="6879" spans="1:6" x14ac:dyDescent="0.25">
      <c r="A6879" s="1">
        <v>40817</v>
      </c>
      <c r="B6879" t="s">
        <v>23</v>
      </c>
      <c r="C6879" t="s">
        <v>8</v>
      </c>
      <c r="D6879">
        <v>57</v>
      </c>
      <c r="E6879" s="2">
        <v>6.9444444444444448E-2</v>
      </c>
      <c r="F6879">
        <v>100</v>
      </c>
    </row>
    <row r="6880" spans="1:6" x14ac:dyDescent="0.25">
      <c r="A6880" s="1">
        <v>40817</v>
      </c>
      <c r="B6880" t="s">
        <v>23</v>
      </c>
      <c r="C6880" t="s">
        <v>9</v>
      </c>
      <c r="D6880">
        <v>73</v>
      </c>
      <c r="E6880" s="2">
        <v>4.8356481481481479E-2</v>
      </c>
      <c r="F6880">
        <v>69.63333333333334</v>
      </c>
    </row>
    <row r="6881" spans="1:6" x14ac:dyDescent="0.25">
      <c r="A6881" s="1">
        <v>40817</v>
      </c>
      <c r="B6881" t="s">
        <v>23</v>
      </c>
      <c r="C6881" t="s">
        <v>10</v>
      </c>
      <c r="D6881">
        <v>33</v>
      </c>
      <c r="E6881" s="2">
        <v>4.3819444444444446E-2</v>
      </c>
      <c r="F6881">
        <v>63.1</v>
      </c>
    </row>
    <row r="6882" spans="1:6" x14ac:dyDescent="0.25">
      <c r="A6882" s="1">
        <v>40817</v>
      </c>
      <c r="B6882" t="s">
        <v>23</v>
      </c>
      <c r="C6882" t="s">
        <v>11</v>
      </c>
      <c r="D6882">
        <v>78</v>
      </c>
      <c r="E6882" s="2">
        <v>7.739583333333333E-2</v>
      </c>
      <c r="F6882">
        <v>111.45</v>
      </c>
    </row>
    <row r="6883" spans="1:6" x14ac:dyDescent="0.25">
      <c r="A6883" s="1">
        <v>40817</v>
      </c>
      <c r="B6883" t="s">
        <v>24</v>
      </c>
      <c r="C6883" t="s">
        <v>6</v>
      </c>
      <c r="D6883">
        <v>75</v>
      </c>
      <c r="E6883" s="2">
        <v>8.7824074074074068E-2</v>
      </c>
      <c r="F6883">
        <v>126.46666666666667</v>
      </c>
    </row>
    <row r="6884" spans="1:6" x14ac:dyDescent="0.25">
      <c r="A6884" s="1">
        <v>40817</v>
      </c>
      <c r="B6884" t="s">
        <v>24</v>
      </c>
      <c r="C6884" t="s">
        <v>7</v>
      </c>
      <c r="D6884">
        <v>63</v>
      </c>
      <c r="E6884" s="2">
        <v>6.6400462962962967E-2</v>
      </c>
      <c r="F6884">
        <v>95.61666666666666</v>
      </c>
    </row>
    <row r="6885" spans="1:6" x14ac:dyDescent="0.25">
      <c r="A6885" s="1">
        <v>40817</v>
      </c>
      <c r="B6885" t="s">
        <v>24</v>
      </c>
      <c r="C6885" t="s">
        <v>8</v>
      </c>
      <c r="D6885">
        <v>33</v>
      </c>
      <c r="E6885" s="2">
        <v>3.3726851851851855E-2</v>
      </c>
      <c r="F6885">
        <v>48.56666666666667</v>
      </c>
    </row>
    <row r="6886" spans="1:6" x14ac:dyDescent="0.25">
      <c r="A6886" s="1">
        <v>40817</v>
      </c>
      <c r="B6886" t="s">
        <v>24</v>
      </c>
      <c r="C6886" t="s">
        <v>9</v>
      </c>
      <c r="D6886">
        <v>18</v>
      </c>
      <c r="E6886" s="2">
        <v>1.0787037037037038E-2</v>
      </c>
      <c r="F6886">
        <v>15.533333333333333</v>
      </c>
    </row>
    <row r="6887" spans="1:6" x14ac:dyDescent="0.25">
      <c r="A6887" s="1">
        <v>40817</v>
      </c>
      <c r="B6887" t="s">
        <v>24</v>
      </c>
      <c r="C6887" t="s">
        <v>10</v>
      </c>
      <c r="D6887">
        <v>0</v>
      </c>
      <c r="E6887" s="2">
        <v>0</v>
      </c>
      <c r="F6887">
        <v>0</v>
      </c>
    </row>
    <row r="6888" spans="1:6" x14ac:dyDescent="0.25">
      <c r="A6888" s="1">
        <v>40817</v>
      </c>
      <c r="B6888" t="s">
        <v>24</v>
      </c>
      <c r="C6888" t="s">
        <v>11</v>
      </c>
      <c r="D6888">
        <v>36</v>
      </c>
      <c r="E6888" s="2">
        <v>2.2824074074074073E-2</v>
      </c>
      <c r="F6888">
        <v>32.866666666666667</v>
      </c>
    </row>
    <row r="6889" spans="1:6" x14ac:dyDescent="0.25">
      <c r="A6889" s="1">
        <v>40848</v>
      </c>
      <c r="B6889" t="s">
        <v>5</v>
      </c>
      <c r="C6889" t="s">
        <v>6</v>
      </c>
      <c r="D6889">
        <v>69</v>
      </c>
      <c r="E6889" s="2">
        <v>6.6458333333333328E-2</v>
      </c>
      <c r="F6889">
        <v>95.7</v>
      </c>
    </row>
    <row r="6890" spans="1:6" x14ac:dyDescent="0.25">
      <c r="A6890" s="1">
        <v>40848</v>
      </c>
      <c r="B6890" t="s">
        <v>5</v>
      </c>
      <c r="C6890" t="s">
        <v>7</v>
      </c>
      <c r="D6890">
        <v>50</v>
      </c>
      <c r="E6890" s="2">
        <v>4.5856481481481484E-2</v>
      </c>
      <c r="F6890">
        <v>66.033333333333331</v>
      </c>
    </row>
    <row r="6891" spans="1:6" x14ac:dyDescent="0.25">
      <c r="A6891" s="1">
        <v>40848</v>
      </c>
      <c r="B6891" t="s">
        <v>5</v>
      </c>
      <c r="C6891" t="s">
        <v>8</v>
      </c>
      <c r="D6891">
        <v>47</v>
      </c>
      <c r="E6891" s="2">
        <v>4.0902777777777781E-2</v>
      </c>
      <c r="F6891">
        <v>58.9</v>
      </c>
    </row>
    <row r="6892" spans="1:6" x14ac:dyDescent="0.25">
      <c r="A6892" s="1">
        <v>40848</v>
      </c>
      <c r="B6892" t="s">
        <v>5</v>
      </c>
      <c r="C6892" t="s">
        <v>9</v>
      </c>
      <c r="D6892">
        <v>21</v>
      </c>
      <c r="E6892" s="2">
        <v>1.4282407407407407E-2</v>
      </c>
      <c r="F6892">
        <v>20.566666666666666</v>
      </c>
    </row>
    <row r="6893" spans="1:6" x14ac:dyDescent="0.25">
      <c r="A6893" s="1">
        <v>40848</v>
      </c>
      <c r="B6893" t="s">
        <v>5</v>
      </c>
      <c r="C6893" t="s">
        <v>10</v>
      </c>
      <c r="D6893">
        <v>3</v>
      </c>
      <c r="E6893" s="2">
        <v>6.8287037037037036E-4</v>
      </c>
      <c r="F6893">
        <v>0.98333333333333328</v>
      </c>
    </row>
    <row r="6894" spans="1:6" x14ac:dyDescent="0.25">
      <c r="A6894" s="1">
        <v>40848</v>
      </c>
      <c r="B6894" t="s">
        <v>5</v>
      </c>
      <c r="C6894" t="s">
        <v>11</v>
      </c>
      <c r="D6894">
        <v>45</v>
      </c>
      <c r="E6894" s="2">
        <v>3.0752314814814816E-2</v>
      </c>
      <c r="F6894">
        <v>44.283333333333331</v>
      </c>
    </row>
    <row r="6895" spans="1:6" x14ac:dyDescent="0.25">
      <c r="A6895" s="1">
        <v>40848</v>
      </c>
      <c r="B6895" t="s">
        <v>12</v>
      </c>
      <c r="C6895" t="s">
        <v>6</v>
      </c>
      <c r="D6895">
        <v>58</v>
      </c>
      <c r="E6895" s="2">
        <v>8.4178240740740734E-2</v>
      </c>
      <c r="F6895">
        <v>121.21666666666667</v>
      </c>
    </row>
    <row r="6896" spans="1:6" x14ac:dyDescent="0.25">
      <c r="A6896" s="1">
        <v>40848</v>
      </c>
      <c r="B6896" t="s">
        <v>12</v>
      </c>
      <c r="C6896" t="s">
        <v>7</v>
      </c>
      <c r="D6896">
        <v>50</v>
      </c>
      <c r="E6896" s="2">
        <v>6.8113425925925924E-2</v>
      </c>
      <c r="F6896">
        <v>98.083333333333329</v>
      </c>
    </row>
    <row r="6897" spans="1:6" x14ac:dyDescent="0.25">
      <c r="A6897" s="1">
        <v>40848</v>
      </c>
      <c r="B6897" t="s">
        <v>12</v>
      </c>
      <c r="C6897" t="s">
        <v>8</v>
      </c>
      <c r="D6897">
        <v>29</v>
      </c>
      <c r="E6897" s="2">
        <v>3.9861111111111111E-2</v>
      </c>
      <c r="F6897">
        <v>57.4</v>
      </c>
    </row>
    <row r="6898" spans="1:6" x14ac:dyDescent="0.25">
      <c r="A6898" s="1">
        <v>40848</v>
      </c>
      <c r="B6898" t="s">
        <v>12</v>
      </c>
      <c r="C6898" t="s">
        <v>9</v>
      </c>
      <c r="D6898">
        <v>10</v>
      </c>
      <c r="E6898" s="2">
        <v>4.8726851851851848E-3</v>
      </c>
      <c r="F6898">
        <v>7.0166666666666666</v>
      </c>
    </row>
    <row r="6899" spans="1:6" x14ac:dyDescent="0.25">
      <c r="A6899" s="1">
        <v>40848</v>
      </c>
      <c r="B6899" t="s">
        <v>12</v>
      </c>
      <c r="C6899" t="s">
        <v>10</v>
      </c>
      <c r="D6899">
        <v>80</v>
      </c>
      <c r="E6899" s="2">
        <v>0.13940972222222223</v>
      </c>
      <c r="F6899">
        <v>200.75</v>
      </c>
    </row>
    <row r="6900" spans="1:6" x14ac:dyDescent="0.25">
      <c r="A6900" s="1">
        <v>40848</v>
      </c>
      <c r="B6900" t="s">
        <v>12</v>
      </c>
      <c r="C6900" t="s">
        <v>11</v>
      </c>
      <c r="D6900">
        <v>64</v>
      </c>
      <c r="E6900" s="2">
        <v>5.9756944444444446E-2</v>
      </c>
      <c r="F6900">
        <v>86.05</v>
      </c>
    </row>
    <row r="6901" spans="1:6" x14ac:dyDescent="0.25">
      <c r="A6901" s="1">
        <v>40848</v>
      </c>
      <c r="B6901" t="s">
        <v>13</v>
      </c>
      <c r="C6901" t="s">
        <v>6</v>
      </c>
      <c r="D6901">
        <v>95</v>
      </c>
      <c r="E6901" s="2">
        <v>0.12531249999999999</v>
      </c>
      <c r="F6901">
        <v>180.45</v>
      </c>
    </row>
    <row r="6902" spans="1:6" x14ac:dyDescent="0.25">
      <c r="A6902" s="1">
        <v>40848</v>
      </c>
      <c r="B6902" t="s">
        <v>13</v>
      </c>
      <c r="C6902" t="s">
        <v>7</v>
      </c>
      <c r="D6902">
        <v>105</v>
      </c>
      <c r="E6902" s="2">
        <v>0.14175925925925925</v>
      </c>
      <c r="F6902">
        <v>204.13333333333333</v>
      </c>
    </row>
    <row r="6903" spans="1:6" x14ac:dyDescent="0.25">
      <c r="A6903" s="1">
        <v>40848</v>
      </c>
      <c r="B6903" t="s">
        <v>13</v>
      </c>
      <c r="C6903" t="s">
        <v>8</v>
      </c>
      <c r="D6903">
        <v>71</v>
      </c>
      <c r="E6903" s="2">
        <v>7.6168981481481476E-2</v>
      </c>
      <c r="F6903">
        <v>109.68333333333334</v>
      </c>
    </row>
    <row r="6904" spans="1:6" x14ac:dyDescent="0.25">
      <c r="A6904" s="1">
        <v>40848</v>
      </c>
      <c r="B6904" t="s">
        <v>13</v>
      </c>
      <c r="C6904" t="s">
        <v>9</v>
      </c>
      <c r="D6904">
        <v>43</v>
      </c>
      <c r="E6904" s="2">
        <v>3.408564814814815E-2</v>
      </c>
      <c r="F6904">
        <v>49.083333333333336</v>
      </c>
    </row>
    <row r="6905" spans="1:6" x14ac:dyDescent="0.25">
      <c r="A6905" s="1">
        <v>40848</v>
      </c>
      <c r="B6905" t="s">
        <v>13</v>
      </c>
      <c r="C6905" t="s">
        <v>10</v>
      </c>
      <c r="D6905">
        <v>33</v>
      </c>
      <c r="E6905" s="2">
        <v>4.2650462962962966E-2</v>
      </c>
      <c r="F6905">
        <v>61.416666666666664</v>
      </c>
    </row>
    <row r="6906" spans="1:6" x14ac:dyDescent="0.25">
      <c r="A6906" s="1">
        <v>40848</v>
      </c>
      <c r="B6906" t="s">
        <v>13</v>
      </c>
      <c r="C6906" t="s">
        <v>11</v>
      </c>
      <c r="D6906">
        <v>58</v>
      </c>
      <c r="E6906" s="2">
        <v>5.6365740740740744E-2</v>
      </c>
      <c r="F6906">
        <v>81.166666666666671</v>
      </c>
    </row>
    <row r="6907" spans="1:6" x14ac:dyDescent="0.25">
      <c r="A6907" s="1">
        <v>40848</v>
      </c>
      <c r="B6907" t="s">
        <v>14</v>
      </c>
      <c r="C6907" t="s">
        <v>6</v>
      </c>
      <c r="D6907">
        <v>17</v>
      </c>
      <c r="E6907" s="2">
        <v>2.3136574074074073E-2</v>
      </c>
      <c r="F6907">
        <v>33.31666666666667</v>
      </c>
    </row>
    <row r="6908" spans="1:6" x14ac:dyDescent="0.25">
      <c r="A6908" s="1">
        <v>40848</v>
      </c>
      <c r="B6908" t="s">
        <v>14</v>
      </c>
      <c r="C6908" t="s">
        <v>7</v>
      </c>
      <c r="D6908">
        <v>15</v>
      </c>
      <c r="E6908" s="2">
        <v>2.431712962962963E-2</v>
      </c>
      <c r="F6908">
        <v>35.016666666666666</v>
      </c>
    </row>
    <row r="6909" spans="1:6" x14ac:dyDescent="0.25">
      <c r="A6909" s="1">
        <v>40848</v>
      </c>
      <c r="B6909" t="s">
        <v>14</v>
      </c>
      <c r="C6909" t="s">
        <v>8</v>
      </c>
      <c r="D6909">
        <v>6</v>
      </c>
      <c r="E6909" s="2">
        <v>9.8263888888888897E-3</v>
      </c>
      <c r="F6909">
        <v>14.15</v>
      </c>
    </row>
    <row r="6910" spans="1:6" x14ac:dyDescent="0.25">
      <c r="A6910" s="1">
        <v>40848</v>
      </c>
      <c r="B6910" t="s">
        <v>14</v>
      </c>
      <c r="C6910" t="s">
        <v>9</v>
      </c>
      <c r="D6910">
        <v>5</v>
      </c>
      <c r="E6910" s="2">
        <v>4.4907407407407405E-3</v>
      </c>
      <c r="F6910">
        <v>6.4666666666666668</v>
      </c>
    </row>
    <row r="6911" spans="1:6" x14ac:dyDescent="0.25">
      <c r="A6911" s="1">
        <v>40848</v>
      </c>
      <c r="B6911" t="s">
        <v>14</v>
      </c>
      <c r="C6911" t="s">
        <v>10</v>
      </c>
      <c r="D6911">
        <v>2</v>
      </c>
      <c r="E6911" s="2">
        <v>3.425925925925926E-3</v>
      </c>
      <c r="F6911">
        <v>4.9333333333333336</v>
      </c>
    </row>
    <row r="6912" spans="1:6" x14ac:dyDescent="0.25">
      <c r="A6912" s="1">
        <v>40848</v>
      </c>
      <c r="B6912" t="s">
        <v>14</v>
      </c>
      <c r="C6912" t="s">
        <v>11</v>
      </c>
      <c r="D6912">
        <v>9</v>
      </c>
      <c r="E6912" s="2">
        <v>8.5763888888888886E-3</v>
      </c>
      <c r="F6912">
        <v>12.35</v>
      </c>
    </row>
    <row r="6913" spans="1:6" x14ac:dyDescent="0.25">
      <c r="A6913" s="1">
        <v>40848</v>
      </c>
      <c r="B6913" t="s">
        <v>15</v>
      </c>
      <c r="C6913" t="s">
        <v>6</v>
      </c>
      <c r="D6913">
        <v>32</v>
      </c>
      <c r="E6913" s="2">
        <v>3.9120370370370368E-2</v>
      </c>
      <c r="F6913">
        <v>56.333333333333336</v>
      </c>
    </row>
    <row r="6914" spans="1:6" x14ac:dyDescent="0.25">
      <c r="A6914" s="1">
        <v>40848</v>
      </c>
      <c r="B6914" t="s">
        <v>15</v>
      </c>
      <c r="C6914" t="s">
        <v>7</v>
      </c>
      <c r="D6914">
        <v>39</v>
      </c>
      <c r="E6914" s="2">
        <v>4.1608796296296297E-2</v>
      </c>
      <c r="F6914">
        <v>59.916666666666664</v>
      </c>
    </row>
    <row r="6915" spans="1:6" x14ac:dyDescent="0.25">
      <c r="A6915" s="1">
        <v>40848</v>
      </c>
      <c r="B6915" t="s">
        <v>15</v>
      </c>
      <c r="C6915" t="s">
        <v>8</v>
      </c>
      <c r="D6915">
        <v>16</v>
      </c>
      <c r="E6915" s="2">
        <v>1.7650462962962962E-2</v>
      </c>
      <c r="F6915">
        <v>25.416666666666668</v>
      </c>
    </row>
    <row r="6916" spans="1:6" x14ac:dyDescent="0.25">
      <c r="A6916" s="1">
        <v>40848</v>
      </c>
      <c r="B6916" t="s">
        <v>15</v>
      </c>
      <c r="C6916" t="s">
        <v>9</v>
      </c>
      <c r="D6916">
        <v>11</v>
      </c>
      <c r="E6916" s="2">
        <v>7.037037037037037E-3</v>
      </c>
      <c r="F6916">
        <v>10.133333333333333</v>
      </c>
    </row>
    <row r="6917" spans="1:6" x14ac:dyDescent="0.25">
      <c r="A6917" s="1">
        <v>40848</v>
      </c>
      <c r="B6917" t="s">
        <v>15</v>
      </c>
      <c r="C6917" t="s">
        <v>10</v>
      </c>
      <c r="D6917">
        <v>11</v>
      </c>
      <c r="E6917" s="2">
        <v>1.3483796296296296E-2</v>
      </c>
      <c r="F6917">
        <v>19.416666666666668</v>
      </c>
    </row>
    <row r="6918" spans="1:6" x14ac:dyDescent="0.25">
      <c r="A6918" s="1">
        <v>40848</v>
      </c>
      <c r="B6918" t="s">
        <v>15</v>
      </c>
      <c r="C6918" t="s">
        <v>11</v>
      </c>
      <c r="D6918">
        <v>10</v>
      </c>
      <c r="E6918" s="2">
        <v>9.0393518518518522E-3</v>
      </c>
      <c r="F6918">
        <v>13.016666666666667</v>
      </c>
    </row>
    <row r="6919" spans="1:6" x14ac:dyDescent="0.25">
      <c r="A6919" s="1">
        <v>40848</v>
      </c>
      <c r="B6919" t="s">
        <v>16</v>
      </c>
      <c r="C6919" t="s">
        <v>6</v>
      </c>
      <c r="D6919">
        <v>60</v>
      </c>
      <c r="E6919" s="2">
        <v>5.8761574074074077E-2</v>
      </c>
      <c r="F6919">
        <v>84.61666666666666</v>
      </c>
    </row>
    <row r="6920" spans="1:6" x14ac:dyDescent="0.25">
      <c r="A6920" s="1">
        <v>40848</v>
      </c>
      <c r="B6920" t="s">
        <v>16</v>
      </c>
      <c r="C6920" t="s">
        <v>7</v>
      </c>
      <c r="D6920">
        <v>51</v>
      </c>
      <c r="E6920" s="2">
        <v>5.1111111111111114E-2</v>
      </c>
      <c r="F6920">
        <v>73.599999999999994</v>
      </c>
    </row>
    <row r="6921" spans="1:6" x14ac:dyDescent="0.25">
      <c r="A6921" s="1">
        <v>40848</v>
      </c>
      <c r="B6921" t="s">
        <v>16</v>
      </c>
      <c r="C6921" t="s">
        <v>8</v>
      </c>
      <c r="D6921">
        <v>46</v>
      </c>
      <c r="E6921" s="2">
        <v>4.5671296296296293E-2</v>
      </c>
      <c r="F6921">
        <v>65.766666666666666</v>
      </c>
    </row>
    <row r="6922" spans="1:6" x14ac:dyDescent="0.25">
      <c r="A6922" s="1">
        <v>40848</v>
      </c>
      <c r="B6922" t="s">
        <v>16</v>
      </c>
      <c r="C6922" t="s">
        <v>9</v>
      </c>
      <c r="D6922">
        <v>19</v>
      </c>
      <c r="E6922" s="2">
        <v>1.3009259259259259E-2</v>
      </c>
      <c r="F6922">
        <v>18.733333333333334</v>
      </c>
    </row>
    <row r="6923" spans="1:6" x14ac:dyDescent="0.25">
      <c r="A6923" s="1">
        <v>40848</v>
      </c>
      <c r="B6923" t="s">
        <v>16</v>
      </c>
      <c r="C6923" t="s">
        <v>10</v>
      </c>
      <c r="D6923">
        <v>14</v>
      </c>
      <c r="E6923" s="2">
        <v>1.4039351851851851E-2</v>
      </c>
      <c r="F6923">
        <v>20.216666666666665</v>
      </c>
    </row>
    <row r="6924" spans="1:6" x14ac:dyDescent="0.25">
      <c r="A6924" s="1">
        <v>40848</v>
      </c>
      <c r="B6924" t="s">
        <v>16</v>
      </c>
      <c r="C6924" t="s">
        <v>11</v>
      </c>
      <c r="D6924">
        <v>57</v>
      </c>
      <c r="E6924" s="2">
        <v>5.3055555555555557E-2</v>
      </c>
      <c r="F6924">
        <v>76.400000000000006</v>
      </c>
    </row>
    <row r="6925" spans="1:6" x14ac:dyDescent="0.25">
      <c r="A6925" s="1">
        <v>40848</v>
      </c>
      <c r="B6925" t="s">
        <v>17</v>
      </c>
      <c r="C6925" t="s">
        <v>6</v>
      </c>
      <c r="D6925">
        <v>17</v>
      </c>
      <c r="E6925" s="2">
        <v>1.5462962962962963E-2</v>
      </c>
      <c r="F6925">
        <v>22.266666666666666</v>
      </c>
    </row>
    <row r="6926" spans="1:6" x14ac:dyDescent="0.25">
      <c r="A6926" s="1">
        <v>40848</v>
      </c>
      <c r="B6926" t="s">
        <v>17</v>
      </c>
      <c r="C6926" t="s">
        <v>7</v>
      </c>
      <c r="D6926">
        <v>17</v>
      </c>
      <c r="E6926" s="2">
        <v>0.02</v>
      </c>
      <c r="F6926">
        <v>28.8</v>
      </c>
    </row>
    <row r="6927" spans="1:6" x14ac:dyDescent="0.25">
      <c r="A6927" s="1">
        <v>40848</v>
      </c>
      <c r="B6927" t="s">
        <v>17</v>
      </c>
      <c r="C6927" t="s">
        <v>8</v>
      </c>
      <c r="D6927">
        <v>16</v>
      </c>
      <c r="E6927" s="2">
        <v>1.5856481481481482E-2</v>
      </c>
      <c r="F6927">
        <v>22.833333333333332</v>
      </c>
    </row>
    <row r="6928" spans="1:6" x14ac:dyDescent="0.25">
      <c r="A6928" s="1">
        <v>40848</v>
      </c>
      <c r="B6928" t="s">
        <v>17</v>
      </c>
      <c r="C6928" t="s">
        <v>9</v>
      </c>
      <c r="D6928">
        <v>8</v>
      </c>
      <c r="E6928" s="2">
        <v>5.4861111111111109E-3</v>
      </c>
      <c r="F6928">
        <v>7.9</v>
      </c>
    </row>
    <row r="6929" spans="1:6" x14ac:dyDescent="0.25">
      <c r="A6929" s="1">
        <v>40848</v>
      </c>
      <c r="B6929" t="s">
        <v>17</v>
      </c>
      <c r="C6929" t="s">
        <v>10</v>
      </c>
      <c r="D6929">
        <v>7</v>
      </c>
      <c r="E6929" s="2">
        <v>5.5902777777777773E-3</v>
      </c>
      <c r="F6929">
        <v>8.0500000000000007</v>
      </c>
    </row>
    <row r="6930" spans="1:6" x14ac:dyDescent="0.25">
      <c r="A6930" s="1">
        <v>40848</v>
      </c>
      <c r="B6930" t="s">
        <v>17</v>
      </c>
      <c r="C6930" t="s">
        <v>11</v>
      </c>
      <c r="D6930">
        <v>12</v>
      </c>
      <c r="E6930" s="2">
        <v>8.0787037037037043E-3</v>
      </c>
      <c r="F6930">
        <v>11.633333333333333</v>
      </c>
    </row>
    <row r="6931" spans="1:6" x14ac:dyDescent="0.25">
      <c r="A6931" s="1">
        <v>40848</v>
      </c>
      <c r="B6931" t="s">
        <v>18</v>
      </c>
      <c r="C6931" t="s">
        <v>6</v>
      </c>
      <c r="D6931">
        <v>100</v>
      </c>
      <c r="E6931" s="2">
        <v>8.6863425925925927E-2</v>
      </c>
      <c r="F6931">
        <v>125.08333333333333</v>
      </c>
    </row>
    <row r="6932" spans="1:6" x14ac:dyDescent="0.25">
      <c r="A6932" s="1">
        <v>40848</v>
      </c>
      <c r="B6932" t="s">
        <v>18</v>
      </c>
      <c r="C6932" t="s">
        <v>7</v>
      </c>
      <c r="D6932">
        <v>111</v>
      </c>
      <c r="E6932" s="2">
        <v>9.8680555555555549E-2</v>
      </c>
      <c r="F6932">
        <v>142.1</v>
      </c>
    </row>
    <row r="6933" spans="1:6" x14ac:dyDescent="0.25">
      <c r="A6933" s="1">
        <v>40848</v>
      </c>
      <c r="B6933" t="s">
        <v>18</v>
      </c>
      <c r="C6933" t="s">
        <v>8</v>
      </c>
      <c r="D6933">
        <v>83</v>
      </c>
      <c r="E6933" s="2">
        <v>7.2685185185185186E-2</v>
      </c>
      <c r="F6933">
        <v>104.66666666666667</v>
      </c>
    </row>
    <row r="6934" spans="1:6" x14ac:dyDescent="0.25">
      <c r="A6934" s="1">
        <v>40848</v>
      </c>
      <c r="B6934" t="s">
        <v>18</v>
      </c>
      <c r="C6934" t="s">
        <v>9</v>
      </c>
      <c r="D6934">
        <v>116</v>
      </c>
      <c r="E6934" s="2">
        <v>7.8715277777777773E-2</v>
      </c>
      <c r="F6934">
        <v>113.35</v>
      </c>
    </row>
    <row r="6935" spans="1:6" x14ac:dyDescent="0.25">
      <c r="A6935" s="1">
        <v>40848</v>
      </c>
      <c r="B6935" t="s">
        <v>18</v>
      </c>
      <c r="C6935" t="s">
        <v>10</v>
      </c>
      <c r="D6935">
        <v>176</v>
      </c>
      <c r="E6935" s="2">
        <v>0.20010416666666667</v>
      </c>
      <c r="F6935">
        <v>288.14999999999998</v>
      </c>
    </row>
    <row r="6936" spans="1:6" x14ac:dyDescent="0.25">
      <c r="A6936" s="1">
        <v>40848</v>
      </c>
      <c r="B6936" t="s">
        <v>18</v>
      </c>
      <c r="C6936" t="s">
        <v>11</v>
      </c>
      <c r="D6936">
        <v>65</v>
      </c>
      <c r="E6936" s="2">
        <v>4.0208333333333332E-2</v>
      </c>
      <c r="F6936">
        <v>57.9</v>
      </c>
    </row>
    <row r="6937" spans="1:6" x14ac:dyDescent="0.25">
      <c r="A6937" s="1">
        <v>40848</v>
      </c>
      <c r="B6937" t="s">
        <v>19</v>
      </c>
      <c r="C6937" t="s">
        <v>6</v>
      </c>
      <c r="D6937">
        <v>48</v>
      </c>
      <c r="E6937" s="2">
        <v>4.6759259259259257E-2</v>
      </c>
      <c r="F6937">
        <v>67.333333333333329</v>
      </c>
    </row>
    <row r="6938" spans="1:6" x14ac:dyDescent="0.25">
      <c r="A6938" s="1">
        <v>40848</v>
      </c>
      <c r="B6938" t="s">
        <v>19</v>
      </c>
      <c r="C6938" t="s">
        <v>7</v>
      </c>
      <c r="D6938">
        <v>42</v>
      </c>
      <c r="E6938" s="2">
        <v>5.0277777777777775E-2</v>
      </c>
      <c r="F6938">
        <v>72.400000000000006</v>
      </c>
    </row>
    <row r="6939" spans="1:6" x14ac:dyDescent="0.25">
      <c r="A6939" s="1">
        <v>40848</v>
      </c>
      <c r="B6939" t="s">
        <v>19</v>
      </c>
      <c r="C6939" t="s">
        <v>8</v>
      </c>
      <c r="D6939">
        <v>27</v>
      </c>
      <c r="E6939" s="2">
        <v>2.8148148148148148E-2</v>
      </c>
      <c r="F6939">
        <v>40.533333333333331</v>
      </c>
    </row>
    <row r="6940" spans="1:6" x14ac:dyDescent="0.25">
      <c r="A6940" s="1">
        <v>40848</v>
      </c>
      <c r="B6940" t="s">
        <v>19</v>
      </c>
      <c r="C6940" t="s">
        <v>9</v>
      </c>
      <c r="D6940">
        <v>49</v>
      </c>
      <c r="E6940" s="2">
        <v>3.09375E-2</v>
      </c>
      <c r="F6940">
        <v>44.55</v>
      </c>
    </row>
    <row r="6941" spans="1:6" x14ac:dyDescent="0.25">
      <c r="A6941" s="1">
        <v>40848</v>
      </c>
      <c r="B6941" t="s">
        <v>19</v>
      </c>
      <c r="C6941" t="s">
        <v>10</v>
      </c>
      <c r="D6941">
        <v>11</v>
      </c>
      <c r="E6941" s="2">
        <v>1.3449074074074073E-2</v>
      </c>
      <c r="F6941">
        <v>19.366666666666667</v>
      </c>
    </row>
    <row r="6942" spans="1:6" x14ac:dyDescent="0.25">
      <c r="A6942" s="1">
        <v>40848</v>
      </c>
      <c r="B6942" t="s">
        <v>19</v>
      </c>
      <c r="C6942" t="s">
        <v>11</v>
      </c>
      <c r="D6942">
        <v>44</v>
      </c>
      <c r="E6942" s="2">
        <v>3.6215277777777777E-2</v>
      </c>
      <c r="F6942">
        <v>52.15</v>
      </c>
    </row>
    <row r="6943" spans="1:6" x14ac:dyDescent="0.25">
      <c r="A6943" s="1">
        <v>40848</v>
      </c>
      <c r="B6943" t="s">
        <v>20</v>
      </c>
      <c r="C6943" t="s">
        <v>6</v>
      </c>
      <c r="D6943">
        <v>43</v>
      </c>
      <c r="E6943" s="2">
        <v>4.476851851851852E-2</v>
      </c>
      <c r="F6943">
        <v>64.466666666666669</v>
      </c>
    </row>
    <row r="6944" spans="1:6" x14ac:dyDescent="0.25">
      <c r="A6944" s="1">
        <v>40848</v>
      </c>
      <c r="B6944" t="s">
        <v>20</v>
      </c>
      <c r="C6944" t="s">
        <v>7</v>
      </c>
      <c r="D6944">
        <v>66</v>
      </c>
      <c r="E6944" s="2">
        <v>9.1643518518518513E-2</v>
      </c>
      <c r="F6944">
        <v>131.96666666666667</v>
      </c>
    </row>
    <row r="6945" spans="1:6" x14ac:dyDescent="0.25">
      <c r="A6945" s="1">
        <v>40848</v>
      </c>
      <c r="B6945" t="s">
        <v>20</v>
      </c>
      <c r="C6945" t="s">
        <v>8</v>
      </c>
      <c r="D6945">
        <v>34</v>
      </c>
      <c r="E6945" s="2">
        <v>3.2800925925925928E-2</v>
      </c>
      <c r="F6945">
        <v>47.233333333333334</v>
      </c>
    </row>
    <row r="6946" spans="1:6" x14ac:dyDescent="0.25">
      <c r="A6946" s="1">
        <v>40848</v>
      </c>
      <c r="B6946" t="s">
        <v>20</v>
      </c>
      <c r="C6946" t="s">
        <v>9</v>
      </c>
      <c r="D6946">
        <v>28</v>
      </c>
      <c r="E6946" s="2">
        <v>2.2777777777777779E-2</v>
      </c>
      <c r="F6946">
        <v>32.799999999999997</v>
      </c>
    </row>
    <row r="6947" spans="1:6" x14ac:dyDescent="0.25">
      <c r="A6947" s="1">
        <v>40848</v>
      </c>
      <c r="B6947" t="s">
        <v>20</v>
      </c>
      <c r="C6947" t="s">
        <v>10</v>
      </c>
      <c r="D6947">
        <v>4</v>
      </c>
      <c r="E6947" s="2">
        <v>5.9722222222222225E-3</v>
      </c>
      <c r="F6947">
        <v>8.6</v>
      </c>
    </row>
    <row r="6948" spans="1:6" x14ac:dyDescent="0.25">
      <c r="A6948" s="1">
        <v>40848</v>
      </c>
      <c r="B6948" t="s">
        <v>20</v>
      </c>
      <c r="C6948" t="s">
        <v>11</v>
      </c>
      <c r="D6948">
        <v>26</v>
      </c>
      <c r="E6948" s="2">
        <v>2.2858796296296297E-2</v>
      </c>
      <c r="F6948">
        <v>32.916666666666664</v>
      </c>
    </row>
    <row r="6949" spans="1:6" x14ac:dyDescent="0.25">
      <c r="A6949" s="1">
        <v>40848</v>
      </c>
      <c r="B6949" t="s">
        <v>21</v>
      </c>
      <c r="C6949" t="s">
        <v>6</v>
      </c>
      <c r="D6949">
        <v>22</v>
      </c>
      <c r="E6949" s="2">
        <v>2.7083333333333334E-2</v>
      </c>
      <c r="F6949">
        <v>39</v>
      </c>
    </row>
    <row r="6950" spans="1:6" x14ac:dyDescent="0.25">
      <c r="A6950" s="1">
        <v>40848</v>
      </c>
      <c r="B6950" t="s">
        <v>21</v>
      </c>
      <c r="C6950" t="s">
        <v>7</v>
      </c>
      <c r="D6950">
        <v>21</v>
      </c>
      <c r="E6950" s="2">
        <v>3.3923611111111113E-2</v>
      </c>
      <c r="F6950">
        <v>48.85</v>
      </c>
    </row>
    <row r="6951" spans="1:6" x14ac:dyDescent="0.25">
      <c r="A6951" s="1">
        <v>40848</v>
      </c>
      <c r="B6951" t="s">
        <v>21</v>
      </c>
      <c r="C6951" t="s">
        <v>8</v>
      </c>
      <c r="D6951">
        <v>20</v>
      </c>
      <c r="E6951" s="2">
        <v>2.9664351851851851E-2</v>
      </c>
      <c r="F6951">
        <v>42.716666666666669</v>
      </c>
    </row>
    <row r="6952" spans="1:6" x14ac:dyDescent="0.25">
      <c r="A6952" s="1">
        <v>40848</v>
      </c>
      <c r="B6952" t="s">
        <v>21</v>
      </c>
      <c r="C6952" t="s">
        <v>9</v>
      </c>
      <c r="D6952">
        <v>11</v>
      </c>
      <c r="E6952" s="2">
        <v>1.0763888888888889E-2</v>
      </c>
      <c r="F6952">
        <v>15.5</v>
      </c>
    </row>
    <row r="6953" spans="1:6" x14ac:dyDescent="0.25">
      <c r="A6953" s="1">
        <v>40848</v>
      </c>
      <c r="B6953" t="s">
        <v>21</v>
      </c>
      <c r="C6953" t="s">
        <v>10</v>
      </c>
      <c r="D6953">
        <v>1</v>
      </c>
      <c r="E6953" s="2">
        <v>1.6898148148148148E-3</v>
      </c>
      <c r="F6953">
        <v>2.4333333333333336</v>
      </c>
    </row>
    <row r="6954" spans="1:6" x14ac:dyDescent="0.25">
      <c r="A6954" s="1">
        <v>40848</v>
      </c>
      <c r="B6954" t="s">
        <v>21</v>
      </c>
      <c r="C6954" t="s">
        <v>11</v>
      </c>
      <c r="D6954">
        <v>20</v>
      </c>
      <c r="E6954" s="2">
        <v>2.3217592592592592E-2</v>
      </c>
      <c r="F6954">
        <v>33.43333333333333</v>
      </c>
    </row>
    <row r="6955" spans="1:6" x14ac:dyDescent="0.25">
      <c r="A6955" s="1">
        <v>40848</v>
      </c>
      <c r="B6955" t="s">
        <v>22</v>
      </c>
      <c r="C6955" t="s">
        <v>6</v>
      </c>
      <c r="D6955">
        <v>20</v>
      </c>
      <c r="E6955" s="2">
        <v>1.7789351851851851E-2</v>
      </c>
      <c r="F6955">
        <v>25.616666666666667</v>
      </c>
    </row>
    <row r="6956" spans="1:6" x14ac:dyDescent="0.25">
      <c r="A6956" s="1">
        <v>40848</v>
      </c>
      <c r="B6956" t="s">
        <v>22</v>
      </c>
      <c r="C6956" t="s">
        <v>7</v>
      </c>
      <c r="D6956">
        <v>18</v>
      </c>
      <c r="E6956" s="2">
        <v>1.5092592592592593E-2</v>
      </c>
      <c r="F6956">
        <v>21.733333333333334</v>
      </c>
    </row>
    <row r="6957" spans="1:6" x14ac:dyDescent="0.25">
      <c r="A6957" s="1">
        <v>40848</v>
      </c>
      <c r="B6957" t="s">
        <v>22</v>
      </c>
      <c r="C6957" t="s">
        <v>8</v>
      </c>
      <c r="D6957">
        <v>9</v>
      </c>
      <c r="E6957" s="2">
        <v>7.5810185185185182E-3</v>
      </c>
      <c r="F6957">
        <v>10.916666666666666</v>
      </c>
    </row>
    <row r="6958" spans="1:6" x14ac:dyDescent="0.25">
      <c r="A6958" s="1">
        <v>40848</v>
      </c>
      <c r="B6958" t="s">
        <v>22</v>
      </c>
      <c r="C6958" t="s">
        <v>9</v>
      </c>
      <c r="D6958">
        <v>12</v>
      </c>
      <c r="E6958" s="2">
        <v>6.3773148148148148E-3</v>
      </c>
      <c r="F6958">
        <v>9.1833333333333336</v>
      </c>
    </row>
    <row r="6959" spans="1:6" x14ac:dyDescent="0.25">
      <c r="A6959" s="1">
        <v>40848</v>
      </c>
      <c r="B6959" t="s">
        <v>22</v>
      </c>
      <c r="C6959" t="s">
        <v>10</v>
      </c>
      <c r="D6959">
        <v>8</v>
      </c>
      <c r="E6959" s="2">
        <v>8.4953703703703701E-3</v>
      </c>
      <c r="F6959">
        <v>12.233333333333333</v>
      </c>
    </row>
    <row r="6960" spans="1:6" x14ac:dyDescent="0.25">
      <c r="A6960" s="1">
        <v>40848</v>
      </c>
      <c r="B6960" t="s">
        <v>22</v>
      </c>
      <c r="C6960" t="s">
        <v>11</v>
      </c>
      <c r="D6960">
        <v>11</v>
      </c>
      <c r="E6960" s="2">
        <v>9.8263888888888897E-3</v>
      </c>
      <c r="F6960">
        <v>14.15</v>
      </c>
    </row>
    <row r="6961" spans="1:6" x14ac:dyDescent="0.25">
      <c r="A6961" s="1">
        <v>40848</v>
      </c>
      <c r="B6961" t="s">
        <v>23</v>
      </c>
      <c r="C6961" t="s">
        <v>6</v>
      </c>
      <c r="D6961">
        <v>121</v>
      </c>
      <c r="E6961" s="2">
        <v>0.12783564814814816</v>
      </c>
      <c r="F6961">
        <v>184.08333333333334</v>
      </c>
    </row>
    <row r="6962" spans="1:6" x14ac:dyDescent="0.25">
      <c r="A6962" s="1">
        <v>40848</v>
      </c>
      <c r="B6962" t="s">
        <v>23</v>
      </c>
      <c r="C6962" t="s">
        <v>7</v>
      </c>
      <c r="D6962">
        <v>102</v>
      </c>
      <c r="E6962" s="2">
        <v>0.12231481481481482</v>
      </c>
      <c r="F6962">
        <v>176.13333333333333</v>
      </c>
    </row>
    <row r="6963" spans="1:6" x14ac:dyDescent="0.25">
      <c r="A6963" s="1">
        <v>40848</v>
      </c>
      <c r="B6963" t="s">
        <v>23</v>
      </c>
      <c r="C6963" t="s">
        <v>8</v>
      </c>
      <c r="D6963">
        <v>78</v>
      </c>
      <c r="E6963" s="2">
        <v>9.2361111111111116E-2</v>
      </c>
      <c r="F6963">
        <v>133</v>
      </c>
    </row>
    <row r="6964" spans="1:6" x14ac:dyDescent="0.25">
      <c r="A6964" s="1">
        <v>40848</v>
      </c>
      <c r="B6964" t="s">
        <v>23</v>
      </c>
      <c r="C6964" t="s">
        <v>9</v>
      </c>
      <c r="D6964">
        <v>71</v>
      </c>
      <c r="E6964" s="2">
        <v>5.2175925925925924E-2</v>
      </c>
      <c r="F6964">
        <v>75.13333333333334</v>
      </c>
    </row>
    <row r="6965" spans="1:6" x14ac:dyDescent="0.25">
      <c r="A6965" s="1">
        <v>40848</v>
      </c>
      <c r="B6965" t="s">
        <v>23</v>
      </c>
      <c r="C6965" t="s">
        <v>10</v>
      </c>
      <c r="D6965">
        <v>48</v>
      </c>
      <c r="E6965" s="2">
        <v>6.7905092592592586E-2</v>
      </c>
      <c r="F6965">
        <v>97.783333333333331</v>
      </c>
    </row>
    <row r="6966" spans="1:6" x14ac:dyDescent="0.25">
      <c r="A6966" s="1">
        <v>40848</v>
      </c>
      <c r="B6966" t="s">
        <v>23</v>
      </c>
      <c r="C6966" t="s">
        <v>11</v>
      </c>
      <c r="D6966">
        <v>111</v>
      </c>
      <c r="E6966" s="2">
        <v>8.4212962962962962E-2</v>
      </c>
      <c r="F6966">
        <v>121.26666666666667</v>
      </c>
    </row>
    <row r="6967" spans="1:6" x14ac:dyDescent="0.25">
      <c r="A6967" s="1">
        <v>40848</v>
      </c>
      <c r="B6967" t="s">
        <v>24</v>
      </c>
      <c r="C6967" t="s">
        <v>6</v>
      </c>
      <c r="D6967">
        <v>44</v>
      </c>
      <c r="E6967" s="2">
        <v>3.5127314814814813E-2</v>
      </c>
      <c r="F6967">
        <v>50.583333333333336</v>
      </c>
    </row>
    <row r="6968" spans="1:6" x14ac:dyDescent="0.25">
      <c r="A6968" s="1">
        <v>40848</v>
      </c>
      <c r="B6968" t="s">
        <v>24</v>
      </c>
      <c r="C6968" t="s">
        <v>7</v>
      </c>
      <c r="D6968">
        <v>33</v>
      </c>
      <c r="E6968" s="2">
        <v>3.8055555555555558E-2</v>
      </c>
      <c r="F6968">
        <v>54.8</v>
      </c>
    </row>
    <row r="6969" spans="1:6" x14ac:dyDescent="0.25">
      <c r="A6969" s="1">
        <v>40848</v>
      </c>
      <c r="B6969" t="s">
        <v>24</v>
      </c>
      <c r="C6969" t="s">
        <v>8</v>
      </c>
      <c r="D6969">
        <v>16</v>
      </c>
      <c r="E6969" s="2">
        <v>1.2800925925925926E-2</v>
      </c>
      <c r="F6969">
        <v>18.433333333333334</v>
      </c>
    </row>
    <row r="6970" spans="1:6" x14ac:dyDescent="0.25">
      <c r="A6970" s="1">
        <v>40848</v>
      </c>
      <c r="B6970" t="s">
        <v>24</v>
      </c>
      <c r="C6970" t="s">
        <v>9</v>
      </c>
      <c r="D6970">
        <v>11</v>
      </c>
      <c r="E6970" s="2">
        <v>6.5856481481481478E-3</v>
      </c>
      <c r="F6970">
        <v>9.4833333333333325</v>
      </c>
    </row>
    <row r="6971" spans="1:6" x14ac:dyDescent="0.25">
      <c r="A6971" s="1">
        <v>40848</v>
      </c>
      <c r="B6971" t="s">
        <v>24</v>
      </c>
      <c r="C6971" t="s">
        <v>10</v>
      </c>
      <c r="D6971">
        <v>0</v>
      </c>
      <c r="E6971" s="2">
        <v>0</v>
      </c>
      <c r="F6971">
        <v>0</v>
      </c>
    </row>
    <row r="6972" spans="1:6" x14ac:dyDescent="0.25">
      <c r="A6972" s="1">
        <v>40848</v>
      </c>
      <c r="B6972" t="s">
        <v>24</v>
      </c>
      <c r="C6972" t="s">
        <v>11</v>
      </c>
      <c r="D6972">
        <v>24</v>
      </c>
      <c r="E6972" s="2">
        <v>1.5636574074074074E-2</v>
      </c>
      <c r="F6972">
        <v>22.516666666666666</v>
      </c>
    </row>
    <row r="6973" spans="1:6" x14ac:dyDescent="0.25">
      <c r="A6973" s="1">
        <v>40878</v>
      </c>
      <c r="B6973" t="s">
        <v>5</v>
      </c>
      <c r="C6973" t="s">
        <v>6</v>
      </c>
      <c r="D6973">
        <v>38</v>
      </c>
      <c r="E6973" s="2">
        <v>2.9351851851851851E-2</v>
      </c>
      <c r="F6973">
        <v>42.266666666666666</v>
      </c>
    </row>
    <row r="6974" spans="1:6" x14ac:dyDescent="0.25">
      <c r="A6974" s="1">
        <v>40878</v>
      </c>
      <c r="B6974" t="s">
        <v>5</v>
      </c>
      <c r="C6974" t="s">
        <v>7</v>
      </c>
      <c r="D6974">
        <v>26</v>
      </c>
      <c r="E6974" s="2">
        <v>2.1446759259259259E-2</v>
      </c>
      <c r="F6974">
        <v>30.883333333333333</v>
      </c>
    </row>
    <row r="6975" spans="1:6" x14ac:dyDescent="0.25">
      <c r="A6975" s="1">
        <v>40878</v>
      </c>
      <c r="B6975" t="s">
        <v>5</v>
      </c>
      <c r="C6975" t="s">
        <v>8</v>
      </c>
      <c r="D6975">
        <v>28</v>
      </c>
      <c r="E6975" s="2">
        <v>2.2465277777777778E-2</v>
      </c>
      <c r="F6975">
        <v>32.35</v>
      </c>
    </row>
    <row r="6976" spans="1:6" x14ac:dyDescent="0.25">
      <c r="A6976" s="1">
        <v>40878</v>
      </c>
      <c r="B6976" t="s">
        <v>5</v>
      </c>
      <c r="C6976" t="s">
        <v>9</v>
      </c>
      <c r="D6976">
        <v>10</v>
      </c>
      <c r="E6976" s="2">
        <v>5.5439814814814813E-3</v>
      </c>
      <c r="F6976">
        <v>7.9833333333333334</v>
      </c>
    </row>
    <row r="6977" spans="1:6" x14ac:dyDescent="0.25">
      <c r="A6977" s="1">
        <v>40878</v>
      </c>
      <c r="B6977" t="s">
        <v>5</v>
      </c>
      <c r="C6977" t="s">
        <v>10</v>
      </c>
      <c r="D6977">
        <v>2</v>
      </c>
      <c r="E6977" s="2">
        <v>2.2800925925925927E-3</v>
      </c>
      <c r="F6977">
        <v>3.2833333333333332</v>
      </c>
    </row>
    <row r="6978" spans="1:6" x14ac:dyDescent="0.25">
      <c r="A6978" s="1">
        <v>40878</v>
      </c>
      <c r="B6978" t="s">
        <v>5</v>
      </c>
      <c r="C6978" t="s">
        <v>11</v>
      </c>
      <c r="D6978">
        <v>16</v>
      </c>
      <c r="E6978" s="2">
        <v>1.1331018518518518E-2</v>
      </c>
      <c r="F6978">
        <v>16.316666666666666</v>
      </c>
    </row>
    <row r="6979" spans="1:6" x14ac:dyDescent="0.25">
      <c r="A6979" s="1">
        <v>40878</v>
      </c>
      <c r="B6979" t="s">
        <v>12</v>
      </c>
      <c r="C6979" t="s">
        <v>6</v>
      </c>
      <c r="D6979">
        <v>68</v>
      </c>
      <c r="E6979" s="2">
        <v>8.8923611111111106E-2</v>
      </c>
      <c r="F6979">
        <v>128.05000000000001</v>
      </c>
    </row>
    <row r="6980" spans="1:6" x14ac:dyDescent="0.25">
      <c r="A6980" s="1">
        <v>40878</v>
      </c>
      <c r="B6980" t="s">
        <v>12</v>
      </c>
      <c r="C6980" t="s">
        <v>7</v>
      </c>
      <c r="D6980">
        <v>42</v>
      </c>
      <c r="E6980" s="2">
        <v>5.016203703703704E-2</v>
      </c>
      <c r="F6980">
        <v>72.233333333333334</v>
      </c>
    </row>
    <row r="6981" spans="1:6" x14ac:dyDescent="0.25">
      <c r="A6981" s="1">
        <v>40878</v>
      </c>
      <c r="B6981" t="s">
        <v>12</v>
      </c>
      <c r="C6981" t="s">
        <v>8</v>
      </c>
      <c r="D6981">
        <v>33</v>
      </c>
      <c r="E6981" s="2">
        <v>4.5995370370370367E-2</v>
      </c>
      <c r="F6981">
        <v>66.233333333333334</v>
      </c>
    </row>
    <row r="6982" spans="1:6" x14ac:dyDescent="0.25">
      <c r="A6982" s="1">
        <v>40878</v>
      </c>
      <c r="B6982" t="s">
        <v>12</v>
      </c>
      <c r="C6982" t="s">
        <v>9</v>
      </c>
      <c r="D6982">
        <v>8</v>
      </c>
      <c r="E6982" s="2">
        <v>5.37037037037037E-3</v>
      </c>
      <c r="F6982">
        <v>7.7333333333333334</v>
      </c>
    </row>
    <row r="6983" spans="1:6" x14ac:dyDescent="0.25">
      <c r="A6983" s="1">
        <v>40878</v>
      </c>
      <c r="B6983" t="s">
        <v>12</v>
      </c>
      <c r="C6983" t="s">
        <v>10</v>
      </c>
      <c r="D6983">
        <v>47</v>
      </c>
      <c r="E6983" s="2">
        <v>7.3194444444444451E-2</v>
      </c>
      <c r="F6983">
        <v>105.4</v>
      </c>
    </row>
    <row r="6984" spans="1:6" x14ac:dyDescent="0.25">
      <c r="A6984" s="1">
        <v>40878</v>
      </c>
      <c r="B6984" t="s">
        <v>12</v>
      </c>
      <c r="C6984" t="s">
        <v>11</v>
      </c>
      <c r="D6984">
        <v>42</v>
      </c>
      <c r="E6984" s="2">
        <v>4.1099537037037039E-2</v>
      </c>
      <c r="F6984">
        <v>59.18333333333333</v>
      </c>
    </row>
    <row r="6985" spans="1:6" x14ac:dyDescent="0.25">
      <c r="A6985" s="1">
        <v>40878</v>
      </c>
      <c r="B6985" t="s">
        <v>13</v>
      </c>
      <c r="C6985" t="s">
        <v>6</v>
      </c>
      <c r="D6985">
        <v>67</v>
      </c>
      <c r="E6985" s="2">
        <v>7.6898148148148146E-2</v>
      </c>
      <c r="F6985">
        <v>110.73333333333333</v>
      </c>
    </row>
    <row r="6986" spans="1:6" x14ac:dyDescent="0.25">
      <c r="A6986" s="1">
        <v>40878</v>
      </c>
      <c r="B6986" t="s">
        <v>13</v>
      </c>
      <c r="C6986" t="s">
        <v>7</v>
      </c>
      <c r="D6986">
        <v>73</v>
      </c>
      <c r="E6986" s="2">
        <v>0.10167824074074074</v>
      </c>
      <c r="F6986">
        <v>146.41666666666666</v>
      </c>
    </row>
    <row r="6987" spans="1:6" x14ac:dyDescent="0.25">
      <c r="A6987" s="1">
        <v>40878</v>
      </c>
      <c r="B6987" t="s">
        <v>13</v>
      </c>
      <c r="C6987" t="s">
        <v>8</v>
      </c>
      <c r="D6987">
        <v>48</v>
      </c>
      <c r="E6987" s="2">
        <v>6.2881944444444449E-2</v>
      </c>
      <c r="F6987">
        <v>90.55</v>
      </c>
    </row>
    <row r="6988" spans="1:6" x14ac:dyDescent="0.25">
      <c r="A6988" s="1">
        <v>40878</v>
      </c>
      <c r="B6988" t="s">
        <v>13</v>
      </c>
      <c r="C6988" t="s">
        <v>9</v>
      </c>
      <c r="D6988">
        <v>37</v>
      </c>
      <c r="E6988" s="2">
        <v>2.6979166666666665E-2</v>
      </c>
      <c r="F6988">
        <v>38.85</v>
      </c>
    </row>
    <row r="6989" spans="1:6" x14ac:dyDescent="0.25">
      <c r="A6989" s="1">
        <v>40878</v>
      </c>
      <c r="B6989" t="s">
        <v>13</v>
      </c>
      <c r="C6989" t="s">
        <v>10</v>
      </c>
      <c r="D6989">
        <v>18</v>
      </c>
      <c r="E6989" s="2">
        <v>2.6585648148148146E-2</v>
      </c>
      <c r="F6989">
        <v>38.283333333333331</v>
      </c>
    </row>
    <row r="6990" spans="1:6" x14ac:dyDescent="0.25">
      <c r="A6990" s="1">
        <v>40878</v>
      </c>
      <c r="B6990" t="s">
        <v>13</v>
      </c>
      <c r="C6990" t="s">
        <v>11</v>
      </c>
      <c r="D6990">
        <v>32</v>
      </c>
      <c r="E6990" s="2">
        <v>3.3657407407407407E-2</v>
      </c>
      <c r="F6990">
        <v>48.466666666666669</v>
      </c>
    </row>
    <row r="6991" spans="1:6" x14ac:dyDescent="0.25">
      <c r="A6991" s="1">
        <v>40878</v>
      </c>
      <c r="B6991" t="s">
        <v>14</v>
      </c>
      <c r="C6991" t="s">
        <v>6</v>
      </c>
      <c r="D6991">
        <v>8</v>
      </c>
      <c r="E6991" s="2">
        <v>9.1319444444444443E-3</v>
      </c>
      <c r="F6991">
        <v>13.15</v>
      </c>
    </row>
    <row r="6992" spans="1:6" x14ac:dyDescent="0.25">
      <c r="A6992" s="1">
        <v>40878</v>
      </c>
      <c r="B6992" t="s">
        <v>14</v>
      </c>
      <c r="C6992" t="s">
        <v>7</v>
      </c>
      <c r="D6992">
        <v>8</v>
      </c>
      <c r="E6992" s="2">
        <v>1.6527777777777777E-2</v>
      </c>
      <c r="F6992">
        <v>23.8</v>
      </c>
    </row>
    <row r="6993" spans="1:6" x14ac:dyDescent="0.25">
      <c r="A6993" s="1">
        <v>40878</v>
      </c>
      <c r="B6993" t="s">
        <v>14</v>
      </c>
      <c r="C6993" t="s">
        <v>8</v>
      </c>
      <c r="D6993">
        <v>4</v>
      </c>
      <c r="E6993" s="2">
        <v>3.2407407407407406E-3</v>
      </c>
      <c r="F6993">
        <v>4.666666666666667</v>
      </c>
    </row>
    <row r="6994" spans="1:6" x14ac:dyDescent="0.25">
      <c r="A6994" s="1">
        <v>40878</v>
      </c>
      <c r="B6994" t="s">
        <v>14</v>
      </c>
      <c r="C6994" t="s">
        <v>9</v>
      </c>
      <c r="D6994">
        <v>7</v>
      </c>
      <c r="E6994" s="2">
        <v>4.7106481481481478E-3</v>
      </c>
      <c r="F6994">
        <v>6.7833333333333332</v>
      </c>
    </row>
    <row r="6995" spans="1:6" x14ac:dyDescent="0.25">
      <c r="A6995" s="1">
        <v>40878</v>
      </c>
      <c r="B6995" t="s">
        <v>14</v>
      </c>
      <c r="C6995" t="s">
        <v>10</v>
      </c>
      <c r="D6995">
        <v>1</v>
      </c>
      <c r="E6995" s="2">
        <v>6.018518518518519E-4</v>
      </c>
      <c r="F6995">
        <v>0.8666666666666667</v>
      </c>
    </row>
    <row r="6996" spans="1:6" x14ac:dyDescent="0.25">
      <c r="A6996" s="1">
        <v>40878</v>
      </c>
      <c r="B6996" t="s">
        <v>14</v>
      </c>
      <c r="C6996" t="s">
        <v>11</v>
      </c>
      <c r="D6996">
        <v>2</v>
      </c>
      <c r="E6996" s="2">
        <v>1.8518518518518519E-3</v>
      </c>
      <c r="F6996">
        <v>2.6666666666666665</v>
      </c>
    </row>
    <row r="6997" spans="1:6" x14ac:dyDescent="0.25">
      <c r="A6997" s="1">
        <v>40878</v>
      </c>
      <c r="B6997" t="s">
        <v>15</v>
      </c>
      <c r="C6997" t="s">
        <v>6</v>
      </c>
      <c r="D6997">
        <v>20</v>
      </c>
      <c r="E6997" s="2">
        <v>2.1886574074074076E-2</v>
      </c>
      <c r="F6997">
        <v>31.516666666666666</v>
      </c>
    </row>
    <row r="6998" spans="1:6" x14ac:dyDescent="0.25">
      <c r="A6998" s="1">
        <v>40878</v>
      </c>
      <c r="B6998" t="s">
        <v>15</v>
      </c>
      <c r="C6998" t="s">
        <v>7</v>
      </c>
      <c r="D6998">
        <v>20</v>
      </c>
      <c r="E6998" s="2">
        <v>1.8020833333333333E-2</v>
      </c>
      <c r="F6998">
        <v>25.95</v>
      </c>
    </row>
    <row r="6999" spans="1:6" x14ac:dyDescent="0.25">
      <c r="A6999" s="1">
        <v>40878</v>
      </c>
      <c r="B6999" t="s">
        <v>15</v>
      </c>
      <c r="C6999" t="s">
        <v>8</v>
      </c>
      <c r="D6999">
        <v>16</v>
      </c>
      <c r="E6999" s="2">
        <v>1.7175925925925924E-2</v>
      </c>
      <c r="F6999">
        <v>24.733333333333334</v>
      </c>
    </row>
    <row r="7000" spans="1:6" x14ac:dyDescent="0.25">
      <c r="A7000" s="1">
        <v>40878</v>
      </c>
      <c r="B7000" t="s">
        <v>15</v>
      </c>
      <c r="C7000" t="s">
        <v>9</v>
      </c>
      <c r="D7000">
        <v>8</v>
      </c>
      <c r="E7000" s="2">
        <v>5.4629629629629629E-3</v>
      </c>
      <c r="F7000">
        <v>7.8666666666666671</v>
      </c>
    </row>
    <row r="7001" spans="1:6" x14ac:dyDescent="0.25">
      <c r="A7001" s="1">
        <v>40878</v>
      </c>
      <c r="B7001" t="s">
        <v>15</v>
      </c>
      <c r="C7001" t="s">
        <v>10</v>
      </c>
      <c r="D7001">
        <v>8</v>
      </c>
      <c r="E7001" s="2">
        <v>1.1435185185185185E-2</v>
      </c>
      <c r="F7001">
        <v>16.466666666666665</v>
      </c>
    </row>
    <row r="7002" spans="1:6" x14ac:dyDescent="0.25">
      <c r="A7002" s="1">
        <v>40878</v>
      </c>
      <c r="B7002" t="s">
        <v>15</v>
      </c>
      <c r="C7002" t="s">
        <v>11</v>
      </c>
      <c r="D7002">
        <v>11</v>
      </c>
      <c r="E7002" s="2">
        <v>1.0752314814814815E-2</v>
      </c>
      <c r="F7002">
        <v>15.483333333333333</v>
      </c>
    </row>
    <row r="7003" spans="1:6" x14ac:dyDescent="0.25">
      <c r="A7003" s="1">
        <v>40878</v>
      </c>
      <c r="B7003" t="s">
        <v>16</v>
      </c>
      <c r="C7003" t="s">
        <v>6</v>
      </c>
      <c r="D7003">
        <v>35</v>
      </c>
      <c r="E7003" s="2">
        <v>3.2395833333333332E-2</v>
      </c>
      <c r="F7003">
        <v>46.65</v>
      </c>
    </row>
    <row r="7004" spans="1:6" x14ac:dyDescent="0.25">
      <c r="A7004" s="1">
        <v>40878</v>
      </c>
      <c r="B7004" t="s">
        <v>16</v>
      </c>
      <c r="C7004" t="s">
        <v>7</v>
      </c>
      <c r="D7004">
        <v>37</v>
      </c>
      <c r="E7004" s="2">
        <v>3.3796296296296297E-2</v>
      </c>
      <c r="F7004">
        <v>48.666666666666664</v>
      </c>
    </row>
    <row r="7005" spans="1:6" x14ac:dyDescent="0.25">
      <c r="A7005" s="1">
        <v>40878</v>
      </c>
      <c r="B7005" t="s">
        <v>16</v>
      </c>
      <c r="C7005" t="s">
        <v>8</v>
      </c>
      <c r="D7005">
        <v>33</v>
      </c>
      <c r="E7005" s="2">
        <v>2.8171296296296295E-2</v>
      </c>
      <c r="F7005">
        <v>40.56666666666667</v>
      </c>
    </row>
    <row r="7006" spans="1:6" x14ac:dyDescent="0.25">
      <c r="A7006" s="1">
        <v>40878</v>
      </c>
      <c r="B7006" t="s">
        <v>16</v>
      </c>
      <c r="C7006" t="s">
        <v>9</v>
      </c>
      <c r="D7006">
        <v>17</v>
      </c>
      <c r="E7006" s="2">
        <v>1.1122685185185185E-2</v>
      </c>
      <c r="F7006">
        <v>16.016666666666666</v>
      </c>
    </row>
    <row r="7007" spans="1:6" x14ac:dyDescent="0.25">
      <c r="A7007" s="1">
        <v>40878</v>
      </c>
      <c r="B7007" t="s">
        <v>16</v>
      </c>
      <c r="C7007" t="s">
        <v>10</v>
      </c>
      <c r="D7007">
        <v>1</v>
      </c>
      <c r="E7007" s="2">
        <v>5.5555555555555556E-4</v>
      </c>
      <c r="F7007">
        <v>0.8</v>
      </c>
    </row>
    <row r="7008" spans="1:6" x14ac:dyDescent="0.25">
      <c r="A7008" s="1">
        <v>40878</v>
      </c>
      <c r="B7008" t="s">
        <v>16</v>
      </c>
      <c r="C7008" t="s">
        <v>11</v>
      </c>
      <c r="D7008">
        <v>37</v>
      </c>
      <c r="E7008" s="2">
        <v>3.1238425925925926E-2</v>
      </c>
      <c r="F7008">
        <v>44.983333333333334</v>
      </c>
    </row>
    <row r="7009" spans="1:6" x14ac:dyDescent="0.25">
      <c r="A7009" s="1">
        <v>40878</v>
      </c>
      <c r="B7009" t="s">
        <v>17</v>
      </c>
      <c r="C7009" t="s">
        <v>6</v>
      </c>
      <c r="D7009">
        <v>13</v>
      </c>
      <c r="E7009" s="2">
        <v>1.1238425925925926E-2</v>
      </c>
      <c r="F7009">
        <v>16.183333333333334</v>
      </c>
    </row>
    <row r="7010" spans="1:6" x14ac:dyDescent="0.25">
      <c r="A7010" s="1">
        <v>40878</v>
      </c>
      <c r="B7010" t="s">
        <v>17</v>
      </c>
      <c r="C7010" t="s">
        <v>7</v>
      </c>
      <c r="D7010">
        <v>17</v>
      </c>
      <c r="E7010" s="2">
        <v>1.667824074074074E-2</v>
      </c>
      <c r="F7010">
        <v>24.016666666666666</v>
      </c>
    </row>
    <row r="7011" spans="1:6" x14ac:dyDescent="0.25">
      <c r="A7011" s="1">
        <v>40878</v>
      </c>
      <c r="B7011" t="s">
        <v>17</v>
      </c>
      <c r="C7011" t="s">
        <v>8</v>
      </c>
      <c r="D7011">
        <v>8</v>
      </c>
      <c r="E7011" s="2">
        <v>7.4421296296296293E-3</v>
      </c>
      <c r="F7011">
        <v>10.716666666666667</v>
      </c>
    </row>
    <row r="7012" spans="1:6" x14ac:dyDescent="0.25">
      <c r="A7012" s="1">
        <v>40878</v>
      </c>
      <c r="B7012" t="s">
        <v>17</v>
      </c>
      <c r="C7012" t="s">
        <v>9</v>
      </c>
      <c r="D7012">
        <v>9</v>
      </c>
      <c r="E7012" s="2">
        <v>5.3819444444444444E-3</v>
      </c>
      <c r="F7012">
        <v>7.75</v>
      </c>
    </row>
    <row r="7013" spans="1:6" x14ac:dyDescent="0.25">
      <c r="A7013" s="1">
        <v>40878</v>
      </c>
      <c r="B7013" t="s">
        <v>17</v>
      </c>
      <c r="C7013" t="s">
        <v>10</v>
      </c>
      <c r="D7013">
        <v>11</v>
      </c>
      <c r="E7013" s="2">
        <v>1.3043981481481481E-2</v>
      </c>
      <c r="F7013">
        <v>18.783333333333335</v>
      </c>
    </row>
    <row r="7014" spans="1:6" x14ac:dyDescent="0.25">
      <c r="A7014" s="1">
        <v>40878</v>
      </c>
      <c r="B7014" t="s">
        <v>17</v>
      </c>
      <c r="C7014" t="s">
        <v>11</v>
      </c>
      <c r="D7014">
        <v>6</v>
      </c>
      <c r="E7014" s="2">
        <v>4.1550925925925922E-3</v>
      </c>
      <c r="F7014">
        <v>5.9833333333333334</v>
      </c>
    </row>
    <row r="7015" spans="1:6" x14ac:dyDescent="0.25">
      <c r="A7015" s="1">
        <v>40878</v>
      </c>
      <c r="B7015" t="s">
        <v>18</v>
      </c>
      <c r="C7015" t="s">
        <v>6</v>
      </c>
      <c r="D7015">
        <v>61</v>
      </c>
      <c r="E7015" s="2">
        <v>5.5428240740740743E-2</v>
      </c>
      <c r="F7015">
        <v>79.816666666666663</v>
      </c>
    </row>
    <row r="7016" spans="1:6" x14ac:dyDescent="0.25">
      <c r="A7016" s="1">
        <v>40878</v>
      </c>
      <c r="B7016" t="s">
        <v>18</v>
      </c>
      <c r="C7016" t="s">
        <v>7</v>
      </c>
      <c r="D7016">
        <v>114</v>
      </c>
      <c r="E7016" s="2">
        <v>9.9259259259259255E-2</v>
      </c>
      <c r="F7016">
        <v>142.93333333333334</v>
      </c>
    </row>
    <row r="7017" spans="1:6" x14ac:dyDescent="0.25">
      <c r="A7017" s="1">
        <v>40878</v>
      </c>
      <c r="B7017" t="s">
        <v>18</v>
      </c>
      <c r="C7017" t="s">
        <v>8</v>
      </c>
      <c r="D7017">
        <v>40</v>
      </c>
      <c r="E7017" s="2">
        <v>3.0636574074074073E-2</v>
      </c>
      <c r="F7017">
        <v>44.116666666666667</v>
      </c>
    </row>
    <row r="7018" spans="1:6" x14ac:dyDescent="0.25">
      <c r="A7018" s="1">
        <v>40878</v>
      </c>
      <c r="B7018" t="s">
        <v>18</v>
      </c>
      <c r="C7018" t="s">
        <v>9</v>
      </c>
      <c r="D7018">
        <v>67</v>
      </c>
      <c r="E7018" s="2">
        <v>4.6805555555555559E-2</v>
      </c>
      <c r="F7018">
        <v>67.400000000000006</v>
      </c>
    </row>
    <row r="7019" spans="1:6" x14ac:dyDescent="0.25">
      <c r="A7019" s="1">
        <v>40878</v>
      </c>
      <c r="B7019" t="s">
        <v>18</v>
      </c>
      <c r="C7019" t="s">
        <v>10</v>
      </c>
      <c r="D7019">
        <v>133</v>
      </c>
      <c r="E7019" s="2">
        <v>0.1570138888888889</v>
      </c>
      <c r="F7019">
        <v>226.1</v>
      </c>
    </row>
    <row r="7020" spans="1:6" x14ac:dyDescent="0.25">
      <c r="A7020" s="1">
        <v>40878</v>
      </c>
      <c r="B7020" t="s">
        <v>18</v>
      </c>
      <c r="C7020" t="s">
        <v>11</v>
      </c>
      <c r="D7020">
        <v>32</v>
      </c>
      <c r="E7020" s="2">
        <v>1.9942129629629629E-2</v>
      </c>
      <c r="F7020">
        <v>28.716666666666665</v>
      </c>
    </row>
    <row r="7021" spans="1:6" x14ac:dyDescent="0.25">
      <c r="A7021" s="1">
        <v>40878</v>
      </c>
      <c r="B7021" t="s">
        <v>19</v>
      </c>
      <c r="C7021" t="s">
        <v>6</v>
      </c>
      <c r="D7021">
        <v>37</v>
      </c>
      <c r="E7021" s="2">
        <v>3.3437500000000002E-2</v>
      </c>
      <c r="F7021">
        <v>48.15</v>
      </c>
    </row>
    <row r="7022" spans="1:6" x14ac:dyDescent="0.25">
      <c r="A7022" s="1">
        <v>40878</v>
      </c>
      <c r="B7022" t="s">
        <v>19</v>
      </c>
      <c r="C7022" t="s">
        <v>7</v>
      </c>
      <c r="D7022">
        <v>28</v>
      </c>
      <c r="E7022" s="2">
        <v>2.5381944444444443E-2</v>
      </c>
      <c r="F7022">
        <v>36.549999999999997</v>
      </c>
    </row>
    <row r="7023" spans="1:6" x14ac:dyDescent="0.25">
      <c r="A7023" s="1">
        <v>40878</v>
      </c>
      <c r="B7023" t="s">
        <v>19</v>
      </c>
      <c r="C7023" t="s">
        <v>8</v>
      </c>
      <c r="D7023">
        <v>31</v>
      </c>
      <c r="E7023" s="2">
        <v>3.0972222222222224E-2</v>
      </c>
      <c r="F7023">
        <v>44.6</v>
      </c>
    </row>
    <row r="7024" spans="1:6" x14ac:dyDescent="0.25">
      <c r="A7024" s="1">
        <v>40878</v>
      </c>
      <c r="B7024" t="s">
        <v>19</v>
      </c>
      <c r="C7024" t="s">
        <v>9</v>
      </c>
      <c r="D7024">
        <v>34</v>
      </c>
      <c r="E7024" s="2">
        <v>2.4548611111111111E-2</v>
      </c>
      <c r="F7024">
        <v>35.35</v>
      </c>
    </row>
    <row r="7025" spans="1:6" x14ac:dyDescent="0.25">
      <c r="A7025" s="1">
        <v>40878</v>
      </c>
      <c r="B7025" t="s">
        <v>19</v>
      </c>
      <c r="C7025" t="s">
        <v>10</v>
      </c>
      <c r="D7025">
        <v>14</v>
      </c>
      <c r="E7025" s="2">
        <v>1.4444444444444444E-2</v>
      </c>
      <c r="F7025">
        <v>20.8</v>
      </c>
    </row>
    <row r="7026" spans="1:6" x14ac:dyDescent="0.25">
      <c r="A7026" s="1">
        <v>40878</v>
      </c>
      <c r="B7026" t="s">
        <v>19</v>
      </c>
      <c r="C7026" t="s">
        <v>11</v>
      </c>
      <c r="D7026">
        <v>33</v>
      </c>
      <c r="E7026" s="2">
        <v>2.9641203703703704E-2</v>
      </c>
      <c r="F7026">
        <v>42.68333333333333</v>
      </c>
    </row>
    <row r="7027" spans="1:6" x14ac:dyDescent="0.25">
      <c r="A7027" s="1">
        <v>40878</v>
      </c>
      <c r="B7027" t="s">
        <v>20</v>
      </c>
      <c r="C7027" t="s">
        <v>6</v>
      </c>
      <c r="D7027">
        <v>26</v>
      </c>
      <c r="E7027" s="2">
        <v>3.0891203703703702E-2</v>
      </c>
      <c r="F7027">
        <v>44.483333333333334</v>
      </c>
    </row>
    <row r="7028" spans="1:6" x14ac:dyDescent="0.25">
      <c r="A7028" s="1">
        <v>40878</v>
      </c>
      <c r="B7028" t="s">
        <v>20</v>
      </c>
      <c r="C7028" t="s">
        <v>7</v>
      </c>
      <c r="D7028">
        <v>30</v>
      </c>
      <c r="E7028" s="2">
        <v>3.3518518518518517E-2</v>
      </c>
      <c r="F7028">
        <v>48.266666666666666</v>
      </c>
    </row>
    <row r="7029" spans="1:6" x14ac:dyDescent="0.25">
      <c r="A7029" s="1">
        <v>40878</v>
      </c>
      <c r="B7029" t="s">
        <v>20</v>
      </c>
      <c r="C7029" t="s">
        <v>8</v>
      </c>
      <c r="D7029">
        <v>27</v>
      </c>
      <c r="E7029" s="2">
        <v>3.2881944444444443E-2</v>
      </c>
      <c r="F7029">
        <v>47.35</v>
      </c>
    </row>
    <row r="7030" spans="1:6" x14ac:dyDescent="0.25">
      <c r="A7030" s="1">
        <v>40878</v>
      </c>
      <c r="B7030" t="s">
        <v>20</v>
      </c>
      <c r="C7030" t="s">
        <v>9</v>
      </c>
      <c r="D7030">
        <v>22</v>
      </c>
      <c r="E7030" s="2">
        <v>1.8645833333333334E-2</v>
      </c>
      <c r="F7030">
        <v>26.85</v>
      </c>
    </row>
    <row r="7031" spans="1:6" x14ac:dyDescent="0.25">
      <c r="A7031" s="1">
        <v>40878</v>
      </c>
      <c r="B7031" t="s">
        <v>20</v>
      </c>
      <c r="C7031" t="s">
        <v>10</v>
      </c>
      <c r="D7031">
        <v>7</v>
      </c>
      <c r="E7031" s="2">
        <v>8.9814814814814809E-3</v>
      </c>
      <c r="F7031">
        <v>12.933333333333334</v>
      </c>
    </row>
    <row r="7032" spans="1:6" x14ac:dyDescent="0.25">
      <c r="A7032" s="1">
        <v>40878</v>
      </c>
      <c r="B7032" t="s">
        <v>20</v>
      </c>
      <c r="C7032" t="s">
        <v>11</v>
      </c>
      <c r="D7032">
        <v>19</v>
      </c>
      <c r="E7032" s="2">
        <v>1.6643518518518519E-2</v>
      </c>
      <c r="F7032">
        <v>23.966666666666665</v>
      </c>
    </row>
    <row r="7033" spans="1:6" x14ac:dyDescent="0.25">
      <c r="A7033" s="1">
        <v>40878</v>
      </c>
      <c r="B7033" t="s">
        <v>21</v>
      </c>
      <c r="C7033" t="s">
        <v>6</v>
      </c>
      <c r="D7033">
        <v>23</v>
      </c>
      <c r="E7033" s="2">
        <v>2.7604166666666666E-2</v>
      </c>
      <c r="F7033">
        <v>39.75</v>
      </c>
    </row>
    <row r="7034" spans="1:6" x14ac:dyDescent="0.25">
      <c r="A7034" s="1">
        <v>40878</v>
      </c>
      <c r="B7034" t="s">
        <v>21</v>
      </c>
      <c r="C7034" t="s">
        <v>7</v>
      </c>
      <c r="D7034">
        <v>33</v>
      </c>
      <c r="E7034" s="2">
        <v>4.283564814814815E-2</v>
      </c>
      <c r="F7034">
        <v>61.68333333333333</v>
      </c>
    </row>
    <row r="7035" spans="1:6" x14ac:dyDescent="0.25">
      <c r="A7035" s="1">
        <v>40878</v>
      </c>
      <c r="B7035" t="s">
        <v>21</v>
      </c>
      <c r="C7035" t="s">
        <v>8</v>
      </c>
      <c r="D7035">
        <v>18</v>
      </c>
      <c r="E7035" s="2">
        <v>2.2430555555555554E-2</v>
      </c>
      <c r="F7035">
        <v>32.299999999999997</v>
      </c>
    </row>
    <row r="7036" spans="1:6" x14ac:dyDescent="0.25">
      <c r="A7036" s="1">
        <v>40878</v>
      </c>
      <c r="B7036" t="s">
        <v>21</v>
      </c>
      <c r="C7036" t="s">
        <v>9</v>
      </c>
      <c r="D7036">
        <v>11</v>
      </c>
      <c r="E7036" s="2">
        <v>8.8541666666666664E-3</v>
      </c>
      <c r="F7036">
        <v>12.75</v>
      </c>
    </row>
    <row r="7037" spans="1:6" x14ac:dyDescent="0.25">
      <c r="A7037" s="1">
        <v>40878</v>
      </c>
      <c r="B7037" t="s">
        <v>21</v>
      </c>
      <c r="C7037" t="s">
        <v>10</v>
      </c>
      <c r="D7037">
        <v>2</v>
      </c>
      <c r="E7037" s="2">
        <v>2.5578703703703705E-3</v>
      </c>
      <c r="F7037">
        <v>3.6833333333333336</v>
      </c>
    </row>
    <row r="7038" spans="1:6" x14ac:dyDescent="0.25">
      <c r="A7038" s="1">
        <v>40878</v>
      </c>
      <c r="B7038" t="s">
        <v>21</v>
      </c>
      <c r="C7038" t="s">
        <v>11</v>
      </c>
      <c r="D7038">
        <v>22</v>
      </c>
      <c r="E7038" s="2">
        <v>2.0717592592592593E-2</v>
      </c>
      <c r="F7038">
        <v>29.833333333333332</v>
      </c>
    </row>
    <row r="7039" spans="1:6" x14ac:dyDescent="0.25">
      <c r="A7039" s="1">
        <v>40878</v>
      </c>
      <c r="B7039" t="s">
        <v>22</v>
      </c>
      <c r="C7039" t="s">
        <v>6</v>
      </c>
      <c r="D7039">
        <v>12</v>
      </c>
      <c r="E7039" s="2">
        <v>1.5717592592592592E-2</v>
      </c>
      <c r="F7039">
        <v>22.633333333333333</v>
      </c>
    </row>
    <row r="7040" spans="1:6" x14ac:dyDescent="0.25">
      <c r="A7040" s="1">
        <v>40878</v>
      </c>
      <c r="B7040" t="s">
        <v>22</v>
      </c>
      <c r="C7040" t="s">
        <v>7</v>
      </c>
      <c r="D7040">
        <v>8</v>
      </c>
      <c r="E7040" s="2">
        <v>8.9930555555555562E-3</v>
      </c>
      <c r="F7040">
        <v>12.95</v>
      </c>
    </row>
    <row r="7041" spans="1:6" x14ac:dyDescent="0.25">
      <c r="A7041" s="1">
        <v>40878</v>
      </c>
      <c r="B7041" t="s">
        <v>22</v>
      </c>
      <c r="C7041" t="s">
        <v>8</v>
      </c>
      <c r="D7041">
        <v>10</v>
      </c>
      <c r="E7041" s="2">
        <v>1.050925925925926E-2</v>
      </c>
      <c r="F7041">
        <v>15.133333333333333</v>
      </c>
    </row>
    <row r="7042" spans="1:6" x14ac:dyDescent="0.25">
      <c r="A7042" s="1">
        <v>40878</v>
      </c>
      <c r="B7042" t="s">
        <v>22</v>
      </c>
      <c r="C7042" t="s">
        <v>9</v>
      </c>
      <c r="D7042">
        <v>7</v>
      </c>
      <c r="E7042" s="2">
        <v>5.0231481481481481E-3</v>
      </c>
      <c r="F7042">
        <v>7.2333333333333334</v>
      </c>
    </row>
    <row r="7043" spans="1:6" x14ac:dyDescent="0.25">
      <c r="A7043" s="1">
        <v>40878</v>
      </c>
      <c r="B7043" t="s">
        <v>22</v>
      </c>
      <c r="C7043" t="s">
        <v>10</v>
      </c>
      <c r="D7043">
        <v>3</v>
      </c>
      <c r="E7043" s="2">
        <v>2.3495370370370371E-3</v>
      </c>
      <c r="F7043">
        <v>3.3833333333333333</v>
      </c>
    </row>
    <row r="7044" spans="1:6" x14ac:dyDescent="0.25">
      <c r="A7044" s="1">
        <v>40878</v>
      </c>
      <c r="B7044" t="s">
        <v>22</v>
      </c>
      <c r="C7044" t="s">
        <v>11</v>
      </c>
      <c r="D7044">
        <v>8</v>
      </c>
      <c r="E7044" s="2">
        <v>7.9282407407407409E-3</v>
      </c>
      <c r="F7044">
        <v>11.416666666666666</v>
      </c>
    </row>
    <row r="7045" spans="1:6" x14ac:dyDescent="0.25">
      <c r="A7045" s="1">
        <v>40878</v>
      </c>
      <c r="B7045" t="s">
        <v>23</v>
      </c>
      <c r="C7045" t="s">
        <v>6</v>
      </c>
      <c r="D7045">
        <v>149</v>
      </c>
      <c r="E7045" s="2">
        <v>0.16740740740740739</v>
      </c>
      <c r="F7045">
        <v>241.06666666666666</v>
      </c>
    </row>
    <row r="7046" spans="1:6" x14ac:dyDescent="0.25">
      <c r="A7046" s="1">
        <v>40878</v>
      </c>
      <c r="B7046" t="s">
        <v>23</v>
      </c>
      <c r="C7046" t="s">
        <v>7</v>
      </c>
      <c r="D7046">
        <v>125</v>
      </c>
      <c r="E7046" s="2">
        <v>0.16364583333333332</v>
      </c>
      <c r="F7046">
        <v>235.65</v>
      </c>
    </row>
    <row r="7047" spans="1:6" x14ac:dyDescent="0.25">
      <c r="A7047" s="1">
        <v>40878</v>
      </c>
      <c r="B7047" t="s">
        <v>23</v>
      </c>
      <c r="C7047" t="s">
        <v>8</v>
      </c>
      <c r="D7047">
        <v>90</v>
      </c>
      <c r="E7047" s="2">
        <v>0.10109953703703704</v>
      </c>
      <c r="F7047">
        <v>145.58333333333334</v>
      </c>
    </row>
    <row r="7048" spans="1:6" x14ac:dyDescent="0.25">
      <c r="A7048" s="1">
        <v>40878</v>
      </c>
      <c r="B7048" t="s">
        <v>23</v>
      </c>
      <c r="C7048" t="s">
        <v>9</v>
      </c>
      <c r="D7048">
        <v>80</v>
      </c>
      <c r="E7048" s="2">
        <v>5.0636574074074077E-2</v>
      </c>
      <c r="F7048">
        <v>72.916666666666671</v>
      </c>
    </row>
    <row r="7049" spans="1:6" x14ac:dyDescent="0.25">
      <c r="A7049" s="1">
        <v>40878</v>
      </c>
      <c r="B7049" t="s">
        <v>23</v>
      </c>
      <c r="C7049" t="s">
        <v>10</v>
      </c>
      <c r="D7049">
        <v>25</v>
      </c>
      <c r="E7049" s="2">
        <v>3.3020833333333333E-2</v>
      </c>
      <c r="F7049">
        <v>47.55</v>
      </c>
    </row>
    <row r="7050" spans="1:6" x14ac:dyDescent="0.25">
      <c r="A7050" s="1">
        <v>40878</v>
      </c>
      <c r="B7050" t="s">
        <v>23</v>
      </c>
      <c r="C7050" t="s">
        <v>11</v>
      </c>
      <c r="D7050">
        <v>122</v>
      </c>
      <c r="E7050" s="2">
        <v>0.11321759259259259</v>
      </c>
      <c r="F7050">
        <v>163.03333333333333</v>
      </c>
    </row>
    <row r="7051" spans="1:6" x14ac:dyDescent="0.25">
      <c r="A7051" s="1">
        <v>40878</v>
      </c>
      <c r="B7051" t="s">
        <v>24</v>
      </c>
      <c r="C7051" t="s">
        <v>6</v>
      </c>
      <c r="D7051">
        <v>38</v>
      </c>
      <c r="E7051" s="2">
        <v>3.5937499999999997E-2</v>
      </c>
      <c r="F7051">
        <v>51.75</v>
      </c>
    </row>
    <row r="7052" spans="1:6" x14ac:dyDescent="0.25">
      <c r="A7052" s="1">
        <v>40878</v>
      </c>
      <c r="B7052" t="s">
        <v>24</v>
      </c>
      <c r="C7052" t="s">
        <v>7</v>
      </c>
      <c r="D7052">
        <v>27</v>
      </c>
      <c r="E7052" s="2">
        <v>2.5578703703703704E-2</v>
      </c>
      <c r="F7052">
        <v>36.833333333333336</v>
      </c>
    </row>
    <row r="7053" spans="1:6" x14ac:dyDescent="0.25">
      <c r="A7053" s="1">
        <v>40878</v>
      </c>
      <c r="B7053" t="s">
        <v>24</v>
      </c>
      <c r="C7053" t="s">
        <v>8</v>
      </c>
      <c r="D7053">
        <v>11</v>
      </c>
      <c r="E7053" s="2">
        <v>1.1527777777777777E-2</v>
      </c>
      <c r="F7053">
        <v>16.600000000000001</v>
      </c>
    </row>
    <row r="7054" spans="1:6" x14ac:dyDescent="0.25">
      <c r="A7054" s="1">
        <v>40878</v>
      </c>
      <c r="B7054" t="s">
        <v>24</v>
      </c>
      <c r="C7054" t="s">
        <v>9</v>
      </c>
      <c r="D7054">
        <v>14</v>
      </c>
      <c r="E7054" s="2">
        <v>9.9189814814814817E-3</v>
      </c>
      <c r="F7054">
        <v>14.283333333333333</v>
      </c>
    </row>
    <row r="7055" spans="1:6" x14ac:dyDescent="0.25">
      <c r="A7055" s="1">
        <v>40878</v>
      </c>
      <c r="B7055" t="s">
        <v>24</v>
      </c>
      <c r="C7055" t="s">
        <v>10</v>
      </c>
      <c r="D7055">
        <v>1</v>
      </c>
      <c r="E7055" s="2">
        <v>1.5509259259259259E-3</v>
      </c>
      <c r="F7055">
        <v>2.2333333333333334</v>
      </c>
    </row>
    <row r="7056" spans="1:6" x14ac:dyDescent="0.25">
      <c r="A7056" s="1">
        <v>40878</v>
      </c>
      <c r="B7056" t="s">
        <v>24</v>
      </c>
      <c r="C7056" t="s">
        <v>11</v>
      </c>
      <c r="D7056">
        <v>23</v>
      </c>
      <c r="E7056" s="2">
        <v>1.7650462962962962E-2</v>
      </c>
      <c r="F7056">
        <v>25.416666666666668</v>
      </c>
    </row>
    <row r="7057" spans="1:6" x14ac:dyDescent="0.25">
      <c r="A7057" s="1">
        <v>40909</v>
      </c>
      <c r="B7057" t="s">
        <v>5</v>
      </c>
      <c r="C7057" t="s">
        <v>6</v>
      </c>
      <c r="D7057">
        <v>111</v>
      </c>
      <c r="E7057" s="2">
        <v>0.11131944444444444</v>
      </c>
      <c r="F7057">
        <v>160.30000000000001</v>
      </c>
    </row>
    <row r="7058" spans="1:6" x14ac:dyDescent="0.25">
      <c r="A7058" s="1">
        <v>40909</v>
      </c>
      <c r="B7058" t="s">
        <v>5</v>
      </c>
      <c r="C7058" t="s">
        <v>7</v>
      </c>
      <c r="D7058">
        <v>80</v>
      </c>
      <c r="E7058" s="2">
        <v>8.0138888888888885E-2</v>
      </c>
      <c r="F7058">
        <v>115.4</v>
      </c>
    </row>
    <row r="7059" spans="1:6" x14ac:dyDescent="0.25">
      <c r="A7059" s="1">
        <v>40909</v>
      </c>
      <c r="B7059" t="s">
        <v>5</v>
      </c>
      <c r="C7059" t="s">
        <v>8</v>
      </c>
      <c r="D7059">
        <v>45</v>
      </c>
      <c r="E7059" s="2">
        <v>4.0567129629629627E-2</v>
      </c>
      <c r="F7059">
        <v>58.416666666666664</v>
      </c>
    </row>
    <row r="7060" spans="1:6" x14ac:dyDescent="0.25">
      <c r="A7060" s="1">
        <v>40909</v>
      </c>
      <c r="B7060" t="s">
        <v>5</v>
      </c>
      <c r="C7060" t="s">
        <v>9</v>
      </c>
      <c r="D7060">
        <v>18</v>
      </c>
      <c r="E7060" s="2">
        <v>1.2685185185185185E-2</v>
      </c>
      <c r="F7060">
        <v>18.266666666666666</v>
      </c>
    </row>
    <row r="7061" spans="1:6" x14ac:dyDescent="0.25">
      <c r="A7061" s="1">
        <v>40909</v>
      </c>
      <c r="B7061" t="s">
        <v>5</v>
      </c>
      <c r="C7061" t="s">
        <v>10</v>
      </c>
      <c r="D7061">
        <v>2</v>
      </c>
      <c r="E7061" s="2">
        <v>8.6805555555555551E-4</v>
      </c>
      <c r="F7061">
        <v>1.25</v>
      </c>
    </row>
    <row r="7062" spans="1:6" x14ac:dyDescent="0.25">
      <c r="A7062" s="1">
        <v>40909</v>
      </c>
      <c r="B7062" t="s">
        <v>5</v>
      </c>
      <c r="C7062" t="s">
        <v>11</v>
      </c>
      <c r="D7062">
        <v>45</v>
      </c>
      <c r="E7062" s="2">
        <v>4.1006944444444443E-2</v>
      </c>
      <c r="F7062">
        <v>59.05</v>
      </c>
    </row>
    <row r="7063" spans="1:6" x14ac:dyDescent="0.25">
      <c r="A7063" s="1">
        <v>40909</v>
      </c>
      <c r="B7063" t="s">
        <v>12</v>
      </c>
      <c r="C7063" t="s">
        <v>6</v>
      </c>
      <c r="D7063">
        <v>73</v>
      </c>
      <c r="E7063" s="2">
        <v>9.6030092592592597E-2</v>
      </c>
      <c r="F7063">
        <v>138.28333333333333</v>
      </c>
    </row>
    <row r="7064" spans="1:6" x14ac:dyDescent="0.25">
      <c r="A7064" s="1">
        <v>40909</v>
      </c>
      <c r="B7064" t="s">
        <v>12</v>
      </c>
      <c r="C7064" t="s">
        <v>7</v>
      </c>
      <c r="D7064">
        <v>59</v>
      </c>
      <c r="E7064" s="2">
        <v>7.631944444444444E-2</v>
      </c>
      <c r="F7064">
        <v>109.9</v>
      </c>
    </row>
    <row r="7065" spans="1:6" x14ac:dyDescent="0.25">
      <c r="A7065" s="1">
        <v>40909</v>
      </c>
      <c r="B7065" t="s">
        <v>12</v>
      </c>
      <c r="C7065" t="s">
        <v>8</v>
      </c>
      <c r="D7065">
        <v>38</v>
      </c>
      <c r="E7065" s="2">
        <v>4.7557870370370368E-2</v>
      </c>
      <c r="F7065">
        <v>68.483333333333334</v>
      </c>
    </row>
    <row r="7066" spans="1:6" x14ac:dyDescent="0.25">
      <c r="A7066" s="1">
        <v>40909</v>
      </c>
      <c r="B7066" t="s">
        <v>12</v>
      </c>
      <c r="C7066" t="s">
        <v>9</v>
      </c>
      <c r="D7066">
        <v>16</v>
      </c>
      <c r="E7066" s="2">
        <v>1.9097222222222224E-2</v>
      </c>
      <c r="F7066">
        <v>27.5</v>
      </c>
    </row>
    <row r="7067" spans="1:6" x14ac:dyDescent="0.25">
      <c r="A7067" s="1">
        <v>40909</v>
      </c>
      <c r="B7067" t="s">
        <v>12</v>
      </c>
      <c r="C7067" t="s">
        <v>10</v>
      </c>
      <c r="D7067">
        <v>33</v>
      </c>
      <c r="E7067" s="2">
        <v>5.2060185185185189E-2</v>
      </c>
      <c r="F7067">
        <v>74.966666666666669</v>
      </c>
    </row>
    <row r="7068" spans="1:6" x14ac:dyDescent="0.25">
      <c r="A7068" s="1">
        <v>40909</v>
      </c>
      <c r="B7068" t="s">
        <v>12</v>
      </c>
      <c r="C7068" t="s">
        <v>11</v>
      </c>
      <c r="D7068">
        <v>60</v>
      </c>
      <c r="E7068" s="2">
        <v>6.1886574074074073E-2</v>
      </c>
      <c r="F7068">
        <v>89.11666666666666</v>
      </c>
    </row>
    <row r="7069" spans="1:6" x14ac:dyDescent="0.25">
      <c r="A7069" s="1">
        <v>40909</v>
      </c>
      <c r="B7069" t="s">
        <v>13</v>
      </c>
      <c r="C7069" t="s">
        <v>6</v>
      </c>
      <c r="D7069">
        <v>99</v>
      </c>
      <c r="E7069" s="2">
        <v>0.16248842592592594</v>
      </c>
      <c r="F7069">
        <v>233.98333333333332</v>
      </c>
    </row>
    <row r="7070" spans="1:6" x14ac:dyDescent="0.25">
      <c r="A7070" s="1">
        <v>40909</v>
      </c>
      <c r="B7070" t="s">
        <v>13</v>
      </c>
      <c r="C7070" t="s">
        <v>7</v>
      </c>
      <c r="D7070">
        <v>111</v>
      </c>
      <c r="E7070" s="2">
        <v>0.12184027777777778</v>
      </c>
      <c r="F7070">
        <v>175.45</v>
      </c>
    </row>
    <row r="7071" spans="1:6" x14ac:dyDescent="0.25">
      <c r="A7071" s="1">
        <v>40909</v>
      </c>
      <c r="B7071" t="s">
        <v>13</v>
      </c>
      <c r="C7071" t="s">
        <v>8</v>
      </c>
      <c r="D7071">
        <v>78</v>
      </c>
      <c r="E7071" s="2">
        <v>8.1516203703703702E-2</v>
      </c>
      <c r="F7071">
        <v>117.38333333333334</v>
      </c>
    </row>
    <row r="7072" spans="1:6" x14ac:dyDescent="0.25">
      <c r="A7072" s="1">
        <v>40909</v>
      </c>
      <c r="B7072" t="s">
        <v>13</v>
      </c>
      <c r="C7072" t="s">
        <v>9</v>
      </c>
      <c r="D7072">
        <v>64</v>
      </c>
      <c r="E7072" s="2">
        <v>4.9155092592592591E-2</v>
      </c>
      <c r="F7072">
        <v>70.783333333333331</v>
      </c>
    </row>
    <row r="7073" spans="1:6" x14ac:dyDescent="0.25">
      <c r="A7073" s="1">
        <v>40909</v>
      </c>
      <c r="B7073" t="s">
        <v>13</v>
      </c>
      <c r="C7073" t="s">
        <v>10</v>
      </c>
      <c r="D7073">
        <v>31</v>
      </c>
      <c r="E7073" s="2">
        <v>3.6736111111111108E-2</v>
      </c>
      <c r="F7073">
        <v>52.9</v>
      </c>
    </row>
    <row r="7074" spans="1:6" x14ac:dyDescent="0.25">
      <c r="A7074" s="1">
        <v>40909</v>
      </c>
      <c r="B7074" t="s">
        <v>13</v>
      </c>
      <c r="C7074" t="s">
        <v>11</v>
      </c>
      <c r="D7074">
        <v>56</v>
      </c>
      <c r="E7074" s="2">
        <v>5.872685185185185E-2</v>
      </c>
      <c r="F7074">
        <v>84.566666666666663</v>
      </c>
    </row>
    <row r="7075" spans="1:6" x14ac:dyDescent="0.25">
      <c r="A7075" s="1">
        <v>40909</v>
      </c>
      <c r="B7075" t="s">
        <v>14</v>
      </c>
      <c r="C7075" t="s">
        <v>6</v>
      </c>
      <c r="D7075">
        <v>14</v>
      </c>
      <c r="E7075" s="2">
        <v>1.5162037037037036E-2</v>
      </c>
      <c r="F7075">
        <v>21.833333333333332</v>
      </c>
    </row>
    <row r="7076" spans="1:6" x14ac:dyDescent="0.25">
      <c r="A7076" s="1">
        <v>40909</v>
      </c>
      <c r="B7076" t="s">
        <v>14</v>
      </c>
      <c r="C7076" t="s">
        <v>7</v>
      </c>
      <c r="D7076">
        <v>16</v>
      </c>
      <c r="E7076" s="2">
        <v>3.3379629629629627E-2</v>
      </c>
      <c r="F7076">
        <v>48.06666666666667</v>
      </c>
    </row>
    <row r="7077" spans="1:6" x14ac:dyDescent="0.25">
      <c r="A7077" s="1">
        <v>40909</v>
      </c>
      <c r="B7077" t="s">
        <v>14</v>
      </c>
      <c r="C7077" t="s">
        <v>8</v>
      </c>
      <c r="D7077">
        <v>10</v>
      </c>
      <c r="E7077" s="2">
        <v>1.3206018518518518E-2</v>
      </c>
      <c r="F7077">
        <v>19.016666666666666</v>
      </c>
    </row>
    <row r="7078" spans="1:6" x14ac:dyDescent="0.25">
      <c r="A7078" s="1">
        <v>40909</v>
      </c>
      <c r="B7078" t="s">
        <v>14</v>
      </c>
      <c r="C7078" t="s">
        <v>9</v>
      </c>
      <c r="D7078">
        <v>6</v>
      </c>
      <c r="E7078" s="2">
        <v>3.5069444444444445E-3</v>
      </c>
      <c r="F7078">
        <v>5.05</v>
      </c>
    </row>
    <row r="7079" spans="1:6" x14ac:dyDescent="0.25">
      <c r="A7079" s="1">
        <v>40909</v>
      </c>
      <c r="B7079" t="s">
        <v>14</v>
      </c>
      <c r="C7079" t="s">
        <v>10</v>
      </c>
      <c r="D7079">
        <v>2</v>
      </c>
      <c r="E7079" s="2">
        <v>3.9930555555555552E-3</v>
      </c>
      <c r="F7079">
        <v>5.75</v>
      </c>
    </row>
    <row r="7080" spans="1:6" x14ac:dyDescent="0.25">
      <c r="A7080" s="1">
        <v>40909</v>
      </c>
      <c r="B7080" t="s">
        <v>14</v>
      </c>
      <c r="C7080" t="s">
        <v>11</v>
      </c>
      <c r="D7080">
        <v>8</v>
      </c>
      <c r="E7080" s="2">
        <v>8.7037037037037031E-3</v>
      </c>
      <c r="F7080">
        <v>12.533333333333333</v>
      </c>
    </row>
    <row r="7081" spans="1:6" x14ac:dyDescent="0.25">
      <c r="A7081" s="1">
        <v>40909</v>
      </c>
      <c r="B7081" t="s">
        <v>15</v>
      </c>
      <c r="C7081" t="s">
        <v>6</v>
      </c>
      <c r="D7081">
        <v>26</v>
      </c>
      <c r="E7081" s="2">
        <v>2.7974537037037037E-2</v>
      </c>
      <c r="F7081">
        <v>40.283333333333331</v>
      </c>
    </row>
    <row r="7082" spans="1:6" x14ac:dyDescent="0.25">
      <c r="A7082" s="1">
        <v>40909</v>
      </c>
      <c r="B7082" t="s">
        <v>15</v>
      </c>
      <c r="C7082" t="s">
        <v>7</v>
      </c>
      <c r="D7082">
        <v>50</v>
      </c>
      <c r="E7082" s="2">
        <v>4.5763888888888889E-2</v>
      </c>
      <c r="F7082">
        <v>65.900000000000006</v>
      </c>
    </row>
    <row r="7083" spans="1:6" x14ac:dyDescent="0.25">
      <c r="A7083" s="1">
        <v>40909</v>
      </c>
      <c r="B7083" t="s">
        <v>15</v>
      </c>
      <c r="C7083" t="s">
        <v>8</v>
      </c>
      <c r="D7083">
        <v>15</v>
      </c>
      <c r="E7083" s="2">
        <v>1.462962962962963E-2</v>
      </c>
      <c r="F7083">
        <v>21.066666666666666</v>
      </c>
    </row>
    <row r="7084" spans="1:6" x14ac:dyDescent="0.25">
      <c r="A7084" s="1">
        <v>40909</v>
      </c>
      <c r="B7084" t="s">
        <v>15</v>
      </c>
      <c r="C7084" t="s">
        <v>9</v>
      </c>
      <c r="D7084">
        <v>16</v>
      </c>
      <c r="E7084" s="2">
        <v>7.789351851851852E-3</v>
      </c>
      <c r="F7084">
        <v>11.216666666666667</v>
      </c>
    </row>
    <row r="7085" spans="1:6" x14ac:dyDescent="0.25">
      <c r="A7085" s="1">
        <v>40909</v>
      </c>
      <c r="B7085" t="s">
        <v>15</v>
      </c>
      <c r="C7085" t="s">
        <v>10</v>
      </c>
      <c r="D7085">
        <v>5</v>
      </c>
      <c r="E7085" s="2">
        <v>7.1759259259259259E-3</v>
      </c>
      <c r="F7085">
        <v>10.333333333333334</v>
      </c>
    </row>
    <row r="7086" spans="1:6" x14ac:dyDescent="0.25">
      <c r="A7086" s="1">
        <v>40909</v>
      </c>
      <c r="B7086" t="s">
        <v>15</v>
      </c>
      <c r="C7086" t="s">
        <v>11</v>
      </c>
      <c r="D7086">
        <v>23</v>
      </c>
      <c r="E7086" s="2">
        <v>2.0682870370370369E-2</v>
      </c>
      <c r="F7086">
        <v>29.783333333333335</v>
      </c>
    </row>
    <row r="7087" spans="1:6" x14ac:dyDescent="0.25">
      <c r="A7087" s="1">
        <v>40909</v>
      </c>
      <c r="B7087" t="s">
        <v>16</v>
      </c>
      <c r="C7087" t="s">
        <v>6</v>
      </c>
      <c r="D7087">
        <v>29</v>
      </c>
      <c r="E7087" s="2">
        <v>2.627314814814815E-2</v>
      </c>
      <c r="F7087">
        <v>37.833333333333336</v>
      </c>
    </row>
    <row r="7088" spans="1:6" x14ac:dyDescent="0.25">
      <c r="A7088" s="1">
        <v>40909</v>
      </c>
      <c r="B7088" t="s">
        <v>16</v>
      </c>
      <c r="C7088" t="s">
        <v>7</v>
      </c>
      <c r="D7088">
        <v>27</v>
      </c>
      <c r="E7088" s="2">
        <v>2.869212962962963E-2</v>
      </c>
      <c r="F7088">
        <v>41.31666666666667</v>
      </c>
    </row>
    <row r="7089" spans="1:6" x14ac:dyDescent="0.25">
      <c r="A7089" s="1">
        <v>40909</v>
      </c>
      <c r="B7089" t="s">
        <v>16</v>
      </c>
      <c r="C7089" t="s">
        <v>8</v>
      </c>
      <c r="D7089">
        <v>33</v>
      </c>
      <c r="E7089" s="2">
        <v>3.1805555555555552E-2</v>
      </c>
      <c r="F7089">
        <v>45.8</v>
      </c>
    </row>
    <row r="7090" spans="1:6" x14ac:dyDescent="0.25">
      <c r="A7090" s="1">
        <v>40909</v>
      </c>
      <c r="B7090" t="s">
        <v>16</v>
      </c>
      <c r="C7090" t="s">
        <v>9</v>
      </c>
      <c r="D7090">
        <v>12</v>
      </c>
      <c r="E7090" s="2">
        <v>6.7361111111111111E-3</v>
      </c>
      <c r="F7090">
        <v>9.6999999999999993</v>
      </c>
    </row>
    <row r="7091" spans="1:6" x14ac:dyDescent="0.25">
      <c r="A7091" s="1">
        <v>40909</v>
      </c>
      <c r="B7091" t="s">
        <v>16</v>
      </c>
      <c r="C7091" t="s">
        <v>10</v>
      </c>
      <c r="D7091">
        <v>3</v>
      </c>
      <c r="E7091" s="2">
        <v>3.0324074074074073E-3</v>
      </c>
      <c r="F7091">
        <v>4.3666666666666663</v>
      </c>
    </row>
    <row r="7092" spans="1:6" x14ac:dyDescent="0.25">
      <c r="A7092" s="1">
        <v>40909</v>
      </c>
      <c r="B7092" t="s">
        <v>16</v>
      </c>
      <c r="C7092" t="s">
        <v>11</v>
      </c>
      <c r="D7092">
        <v>49</v>
      </c>
      <c r="E7092" s="2">
        <v>4.297453703703704E-2</v>
      </c>
      <c r="F7092">
        <v>61.883333333333333</v>
      </c>
    </row>
    <row r="7093" spans="1:6" x14ac:dyDescent="0.25">
      <c r="A7093" s="1">
        <v>40909</v>
      </c>
      <c r="B7093" t="s">
        <v>17</v>
      </c>
      <c r="C7093" t="s">
        <v>6</v>
      </c>
      <c r="D7093">
        <v>12</v>
      </c>
      <c r="E7093" s="2">
        <v>1.0289351851851852E-2</v>
      </c>
      <c r="F7093">
        <v>14.816666666666666</v>
      </c>
    </row>
    <row r="7094" spans="1:6" x14ac:dyDescent="0.25">
      <c r="A7094" s="1">
        <v>40909</v>
      </c>
      <c r="B7094" t="s">
        <v>17</v>
      </c>
      <c r="C7094" t="s">
        <v>7</v>
      </c>
      <c r="D7094">
        <v>8</v>
      </c>
      <c r="E7094" s="2">
        <v>9.2592592592592587E-3</v>
      </c>
      <c r="F7094">
        <v>13.333333333333334</v>
      </c>
    </row>
    <row r="7095" spans="1:6" x14ac:dyDescent="0.25">
      <c r="A7095" s="1">
        <v>40909</v>
      </c>
      <c r="B7095" t="s">
        <v>17</v>
      </c>
      <c r="C7095" t="s">
        <v>8</v>
      </c>
      <c r="D7095">
        <v>9</v>
      </c>
      <c r="E7095" s="2">
        <v>6.7245370370370367E-3</v>
      </c>
      <c r="F7095">
        <v>9.6833333333333336</v>
      </c>
    </row>
    <row r="7096" spans="1:6" x14ac:dyDescent="0.25">
      <c r="A7096" s="1">
        <v>40909</v>
      </c>
      <c r="B7096" t="s">
        <v>17</v>
      </c>
      <c r="C7096" t="s">
        <v>9</v>
      </c>
      <c r="D7096">
        <v>4</v>
      </c>
      <c r="E7096" s="2">
        <v>1.9675925925925924E-3</v>
      </c>
      <c r="F7096">
        <v>2.8333333333333335</v>
      </c>
    </row>
    <row r="7097" spans="1:6" x14ac:dyDescent="0.25">
      <c r="A7097" s="1">
        <v>40909</v>
      </c>
      <c r="B7097" t="s">
        <v>17</v>
      </c>
      <c r="C7097" t="s">
        <v>10</v>
      </c>
      <c r="D7097">
        <v>10</v>
      </c>
      <c r="E7097" s="2">
        <v>9.3055555555555548E-3</v>
      </c>
      <c r="F7097">
        <v>13.4</v>
      </c>
    </row>
    <row r="7098" spans="1:6" x14ac:dyDescent="0.25">
      <c r="A7098" s="1">
        <v>40909</v>
      </c>
      <c r="B7098" t="s">
        <v>17</v>
      </c>
      <c r="C7098" t="s">
        <v>11</v>
      </c>
      <c r="D7098">
        <v>8</v>
      </c>
      <c r="E7098" s="2">
        <v>6.3078703703703708E-3</v>
      </c>
      <c r="F7098">
        <v>9.0833333333333339</v>
      </c>
    </row>
    <row r="7099" spans="1:6" x14ac:dyDescent="0.25">
      <c r="A7099" s="1">
        <v>40909</v>
      </c>
      <c r="B7099" t="s">
        <v>18</v>
      </c>
      <c r="C7099" t="s">
        <v>6</v>
      </c>
      <c r="D7099">
        <v>72</v>
      </c>
      <c r="E7099" s="2">
        <v>6.4733796296296303E-2</v>
      </c>
      <c r="F7099">
        <v>93.216666666666669</v>
      </c>
    </row>
    <row r="7100" spans="1:6" x14ac:dyDescent="0.25">
      <c r="A7100" s="1">
        <v>40909</v>
      </c>
      <c r="B7100" t="s">
        <v>18</v>
      </c>
      <c r="C7100" t="s">
        <v>7</v>
      </c>
      <c r="D7100">
        <v>97</v>
      </c>
      <c r="E7100" s="2">
        <v>9.5011574074074068E-2</v>
      </c>
      <c r="F7100">
        <v>136.81666666666666</v>
      </c>
    </row>
    <row r="7101" spans="1:6" x14ac:dyDescent="0.25">
      <c r="A7101" s="1">
        <v>40909</v>
      </c>
      <c r="B7101" t="s">
        <v>18</v>
      </c>
      <c r="C7101" t="s">
        <v>8</v>
      </c>
      <c r="D7101">
        <v>53</v>
      </c>
      <c r="E7101" s="2">
        <v>5.1516203703703703E-2</v>
      </c>
      <c r="F7101">
        <v>74.183333333333337</v>
      </c>
    </row>
    <row r="7102" spans="1:6" x14ac:dyDescent="0.25">
      <c r="A7102" s="1">
        <v>40909</v>
      </c>
      <c r="B7102" t="s">
        <v>18</v>
      </c>
      <c r="C7102" t="s">
        <v>9</v>
      </c>
      <c r="D7102">
        <v>93</v>
      </c>
      <c r="E7102" s="2">
        <v>6.1041666666666668E-2</v>
      </c>
      <c r="F7102">
        <v>87.9</v>
      </c>
    </row>
    <row r="7103" spans="1:6" x14ac:dyDescent="0.25">
      <c r="A7103" s="1">
        <v>40909</v>
      </c>
      <c r="B7103" t="s">
        <v>18</v>
      </c>
      <c r="C7103" t="s">
        <v>10</v>
      </c>
      <c r="D7103">
        <v>178</v>
      </c>
      <c r="E7103" s="2">
        <v>0.18552083333333333</v>
      </c>
      <c r="F7103">
        <v>267.14999999999998</v>
      </c>
    </row>
    <row r="7104" spans="1:6" x14ac:dyDescent="0.25">
      <c r="A7104" s="1">
        <v>40909</v>
      </c>
      <c r="B7104" t="s">
        <v>18</v>
      </c>
      <c r="C7104" t="s">
        <v>11</v>
      </c>
      <c r="D7104">
        <v>44</v>
      </c>
      <c r="E7104" s="2">
        <v>3.1273148148148147E-2</v>
      </c>
      <c r="F7104">
        <v>45.033333333333331</v>
      </c>
    </row>
    <row r="7105" spans="1:6" x14ac:dyDescent="0.25">
      <c r="A7105" s="1">
        <v>40909</v>
      </c>
      <c r="B7105" t="s">
        <v>19</v>
      </c>
      <c r="C7105" t="s">
        <v>6</v>
      </c>
      <c r="D7105">
        <v>28</v>
      </c>
      <c r="E7105" s="2">
        <v>2.585648148148148E-2</v>
      </c>
      <c r="F7105">
        <v>37.233333333333334</v>
      </c>
    </row>
    <row r="7106" spans="1:6" x14ac:dyDescent="0.25">
      <c r="A7106" s="1">
        <v>40909</v>
      </c>
      <c r="B7106" t="s">
        <v>19</v>
      </c>
      <c r="C7106" t="s">
        <v>7</v>
      </c>
      <c r="D7106">
        <v>23</v>
      </c>
      <c r="E7106" s="2">
        <v>2.7592592592592592E-2</v>
      </c>
      <c r="F7106">
        <v>39.733333333333334</v>
      </c>
    </row>
    <row r="7107" spans="1:6" x14ac:dyDescent="0.25">
      <c r="A7107" s="1">
        <v>40909</v>
      </c>
      <c r="B7107" t="s">
        <v>19</v>
      </c>
      <c r="C7107" t="s">
        <v>8</v>
      </c>
      <c r="D7107">
        <v>28</v>
      </c>
      <c r="E7107" s="2">
        <v>2.8333333333333332E-2</v>
      </c>
      <c r="F7107">
        <v>40.799999999999997</v>
      </c>
    </row>
    <row r="7108" spans="1:6" x14ac:dyDescent="0.25">
      <c r="A7108" s="1">
        <v>40909</v>
      </c>
      <c r="B7108" t="s">
        <v>19</v>
      </c>
      <c r="C7108" t="s">
        <v>9</v>
      </c>
      <c r="D7108">
        <v>19</v>
      </c>
      <c r="E7108" s="2">
        <v>1.4421296296296297E-2</v>
      </c>
      <c r="F7108">
        <v>20.766666666666666</v>
      </c>
    </row>
    <row r="7109" spans="1:6" x14ac:dyDescent="0.25">
      <c r="A7109" s="1">
        <v>40909</v>
      </c>
      <c r="B7109" t="s">
        <v>19</v>
      </c>
      <c r="C7109" t="s">
        <v>10</v>
      </c>
      <c r="D7109">
        <v>14</v>
      </c>
      <c r="E7109" s="2">
        <v>1.4375000000000001E-2</v>
      </c>
      <c r="F7109">
        <v>20.7</v>
      </c>
    </row>
    <row r="7110" spans="1:6" x14ac:dyDescent="0.25">
      <c r="A7110" s="1">
        <v>40909</v>
      </c>
      <c r="B7110" t="s">
        <v>19</v>
      </c>
      <c r="C7110" t="s">
        <v>11</v>
      </c>
      <c r="D7110">
        <v>25</v>
      </c>
      <c r="E7110" s="2">
        <v>2.3726851851851853E-2</v>
      </c>
      <c r="F7110">
        <v>34.166666666666664</v>
      </c>
    </row>
    <row r="7111" spans="1:6" x14ac:dyDescent="0.25">
      <c r="A7111" s="1">
        <v>40909</v>
      </c>
      <c r="B7111" t="s">
        <v>20</v>
      </c>
      <c r="C7111" t="s">
        <v>6</v>
      </c>
      <c r="D7111">
        <v>79</v>
      </c>
      <c r="E7111" s="2">
        <v>9.1886574074074079E-2</v>
      </c>
      <c r="F7111">
        <v>132.31666666666666</v>
      </c>
    </row>
    <row r="7112" spans="1:6" x14ac:dyDescent="0.25">
      <c r="A7112" s="1">
        <v>40909</v>
      </c>
      <c r="B7112" t="s">
        <v>20</v>
      </c>
      <c r="C7112" t="s">
        <v>7</v>
      </c>
      <c r="D7112">
        <v>103</v>
      </c>
      <c r="E7112" s="2">
        <v>0.10157407407407408</v>
      </c>
      <c r="F7112">
        <v>146.26666666666668</v>
      </c>
    </row>
    <row r="7113" spans="1:6" x14ac:dyDescent="0.25">
      <c r="A7113" s="1">
        <v>40909</v>
      </c>
      <c r="B7113" t="s">
        <v>20</v>
      </c>
      <c r="C7113" t="s">
        <v>8</v>
      </c>
      <c r="D7113">
        <v>82</v>
      </c>
      <c r="E7113" s="2">
        <v>9.4594907407407405E-2</v>
      </c>
      <c r="F7113">
        <v>136.21666666666667</v>
      </c>
    </row>
    <row r="7114" spans="1:6" x14ac:dyDescent="0.25">
      <c r="A7114" s="1">
        <v>40909</v>
      </c>
      <c r="B7114" t="s">
        <v>20</v>
      </c>
      <c r="C7114" t="s">
        <v>9</v>
      </c>
      <c r="D7114">
        <v>52</v>
      </c>
      <c r="E7114" s="2">
        <v>3.9594907407407405E-2</v>
      </c>
      <c r="F7114">
        <v>57.016666666666666</v>
      </c>
    </row>
    <row r="7115" spans="1:6" x14ac:dyDescent="0.25">
      <c r="A7115" s="1">
        <v>40909</v>
      </c>
      <c r="B7115" t="s">
        <v>20</v>
      </c>
      <c r="C7115" t="s">
        <v>10</v>
      </c>
      <c r="D7115">
        <v>13</v>
      </c>
      <c r="E7115" s="2">
        <v>1.2858796296296297E-2</v>
      </c>
      <c r="F7115">
        <v>18.516666666666666</v>
      </c>
    </row>
    <row r="7116" spans="1:6" x14ac:dyDescent="0.25">
      <c r="A7116" s="1">
        <v>40909</v>
      </c>
      <c r="B7116" t="s">
        <v>20</v>
      </c>
      <c r="C7116" t="s">
        <v>11</v>
      </c>
      <c r="D7116">
        <v>46</v>
      </c>
      <c r="E7116" s="2">
        <v>4.7824074074074074E-2</v>
      </c>
      <c r="F7116">
        <v>68.86666666666666</v>
      </c>
    </row>
    <row r="7117" spans="1:6" x14ac:dyDescent="0.25">
      <c r="A7117" s="1">
        <v>40909</v>
      </c>
      <c r="B7117" t="s">
        <v>21</v>
      </c>
      <c r="C7117" t="s">
        <v>6</v>
      </c>
      <c r="D7117">
        <v>32</v>
      </c>
      <c r="E7117" s="2">
        <v>4.1238425925925928E-2</v>
      </c>
      <c r="F7117">
        <v>59.383333333333333</v>
      </c>
    </row>
    <row r="7118" spans="1:6" x14ac:dyDescent="0.25">
      <c r="A7118" s="1">
        <v>40909</v>
      </c>
      <c r="B7118" t="s">
        <v>21</v>
      </c>
      <c r="C7118" t="s">
        <v>7</v>
      </c>
      <c r="D7118">
        <v>29</v>
      </c>
      <c r="E7118" s="2">
        <v>4.1701388888888892E-2</v>
      </c>
      <c r="F7118">
        <v>60.05</v>
      </c>
    </row>
    <row r="7119" spans="1:6" x14ac:dyDescent="0.25">
      <c r="A7119" s="1">
        <v>40909</v>
      </c>
      <c r="B7119" t="s">
        <v>21</v>
      </c>
      <c r="C7119" t="s">
        <v>8</v>
      </c>
      <c r="D7119">
        <v>17</v>
      </c>
      <c r="E7119" s="2">
        <v>2.2141203703703705E-2</v>
      </c>
      <c r="F7119">
        <v>31.883333333333333</v>
      </c>
    </row>
    <row r="7120" spans="1:6" x14ac:dyDescent="0.25">
      <c r="A7120" s="1">
        <v>40909</v>
      </c>
      <c r="B7120" t="s">
        <v>21</v>
      </c>
      <c r="C7120" t="s">
        <v>9</v>
      </c>
      <c r="D7120">
        <v>11</v>
      </c>
      <c r="E7120" s="2">
        <v>9.8379629629629633E-3</v>
      </c>
      <c r="F7120">
        <v>14.166666666666666</v>
      </c>
    </row>
    <row r="7121" spans="1:6" x14ac:dyDescent="0.25">
      <c r="A7121" s="1">
        <v>40909</v>
      </c>
      <c r="B7121" t="s">
        <v>21</v>
      </c>
      <c r="C7121" t="s">
        <v>10</v>
      </c>
      <c r="D7121">
        <v>3</v>
      </c>
      <c r="E7121" s="2">
        <v>3.9467592592592592E-3</v>
      </c>
      <c r="F7121">
        <v>5.6833333333333336</v>
      </c>
    </row>
    <row r="7122" spans="1:6" x14ac:dyDescent="0.25">
      <c r="A7122" s="1">
        <v>40909</v>
      </c>
      <c r="B7122" t="s">
        <v>21</v>
      </c>
      <c r="C7122" t="s">
        <v>11</v>
      </c>
      <c r="D7122">
        <v>19</v>
      </c>
      <c r="E7122" s="2">
        <v>2.2800925925925926E-2</v>
      </c>
      <c r="F7122">
        <v>32.833333333333336</v>
      </c>
    </row>
    <row r="7123" spans="1:6" x14ac:dyDescent="0.25">
      <c r="A7123" s="1">
        <v>40909</v>
      </c>
      <c r="B7123" t="s">
        <v>22</v>
      </c>
      <c r="C7123" t="s">
        <v>6</v>
      </c>
      <c r="D7123">
        <v>13</v>
      </c>
      <c r="E7123" s="2">
        <v>1.9756944444444445E-2</v>
      </c>
      <c r="F7123">
        <v>28.45</v>
      </c>
    </row>
    <row r="7124" spans="1:6" x14ac:dyDescent="0.25">
      <c r="A7124" s="1">
        <v>40909</v>
      </c>
      <c r="B7124" t="s">
        <v>22</v>
      </c>
      <c r="C7124" t="s">
        <v>7</v>
      </c>
      <c r="D7124">
        <v>9</v>
      </c>
      <c r="E7124" s="2">
        <v>9.3287037037037036E-3</v>
      </c>
      <c r="F7124">
        <v>13.433333333333334</v>
      </c>
    </row>
    <row r="7125" spans="1:6" x14ac:dyDescent="0.25">
      <c r="A7125" s="1">
        <v>40909</v>
      </c>
      <c r="B7125" t="s">
        <v>22</v>
      </c>
      <c r="C7125" t="s">
        <v>8</v>
      </c>
      <c r="D7125">
        <v>6</v>
      </c>
      <c r="E7125" s="2">
        <v>6.6782407407407407E-3</v>
      </c>
      <c r="F7125">
        <v>9.6166666666666671</v>
      </c>
    </row>
    <row r="7126" spans="1:6" x14ac:dyDescent="0.25">
      <c r="A7126" s="1">
        <v>40909</v>
      </c>
      <c r="B7126" t="s">
        <v>22</v>
      </c>
      <c r="C7126" t="s">
        <v>9</v>
      </c>
      <c r="D7126">
        <v>6</v>
      </c>
      <c r="E7126" s="2">
        <v>4.2592592592592595E-3</v>
      </c>
      <c r="F7126">
        <v>6.1333333333333337</v>
      </c>
    </row>
    <row r="7127" spans="1:6" x14ac:dyDescent="0.25">
      <c r="A7127" s="1">
        <v>40909</v>
      </c>
      <c r="B7127" t="s">
        <v>22</v>
      </c>
      <c r="C7127" t="s">
        <v>10</v>
      </c>
      <c r="D7127">
        <v>3</v>
      </c>
      <c r="E7127" s="2">
        <v>3.8194444444444443E-3</v>
      </c>
      <c r="F7127">
        <v>5.5</v>
      </c>
    </row>
    <row r="7128" spans="1:6" x14ac:dyDescent="0.25">
      <c r="A7128" s="1">
        <v>40909</v>
      </c>
      <c r="B7128" t="s">
        <v>22</v>
      </c>
      <c r="C7128" t="s">
        <v>11</v>
      </c>
      <c r="D7128">
        <v>7</v>
      </c>
      <c r="E7128" s="2">
        <v>6.0879629629629626E-3</v>
      </c>
      <c r="F7128">
        <v>8.7666666666666675</v>
      </c>
    </row>
    <row r="7129" spans="1:6" x14ac:dyDescent="0.25">
      <c r="A7129" s="1">
        <v>40909</v>
      </c>
      <c r="B7129" t="s">
        <v>23</v>
      </c>
      <c r="C7129" t="s">
        <v>6</v>
      </c>
      <c r="D7129">
        <v>111</v>
      </c>
      <c r="E7129" s="2">
        <v>0.12979166666666667</v>
      </c>
      <c r="F7129">
        <v>186.9</v>
      </c>
    </row>
    <row r="7130" spans="1:6" x14ac:dyDescent="0.25">
      <c r="A7130" s="1">
        <v>40909</v>
      </c>
      <c r="B7130" t="s">
        <v>23</v>
      </c>
      <c r="C7130" t="s">
        <v>7</v>
      </c>
      <c r="D7130">
        <v>105</v>
      </c>
      <c r="E7130" s="2">
        <v>0.15065972222222221</v>
      </c>
      <c r="F7130">
        <v>216.95</v>
      </c>
    </row>
    <row r="7131" spans="1:6" x14ac:dyDescent="0.25">
      <c r="A7131" s="1">
        <v>40909</v>
      </c>
      <c r="B7131" t="s">
        <v>23</v>
      </c>
      <c r="C7131" t="s">
        <v>8</v>
      </c>
      <c r="D7131">
        <v>74</v>
      </c>
      <c r="E7131" s="2">
        <v>9.6828703703703708E-2</v>
      </c>
      <c r="F7131">
        <v>139.43333333333334</v>
      </c>
    </row>
    <row r="7132" spans="1:6" x14ac:dyDescent="0.25">
      <c r="A7132" s="1">
        <v>40909</v>
      </c>
      <c r="B7132" t="s">
        <v>23</v>
      </c>
      <c r="C7132" t="s">
        <v>9</v>
      </c>
      <c r="D7132">
        <v>61</v>
      </c>
      <c r="E7132" s="2">
        <v>4.7824074074074074E-2</v>
      </c>
      <c r="F7132">
        <v>68.86666666666666</v>
      </c>
    </row>
    <row r="7133" spans="1:6" x14ac:dyDescent="0.25">
      <c r="A7133" s="1">
        <v>40909</v>
      </c>
      <c r="B7133" t="s">
        <v>23</v>
      </c>
      <c r="C7133" t="s">
        <v>10</v>
      </c>
      <c r="D7133">
        <v>38</v>
      </c>
      <c r="E7133" s="2">
        <v>5.2569444444444446E-2</v>
      </c>
      <c r="F7133">
        <v>75.7</v>
      </c>
    </row>
    <row r="7134" spans="1:6" x14ac:dyDescent="0.25">
      <c r="A7134" s="1">
        <v>40909</v>
      </c>
      <c r="B7134" t="s">
        <v>23</v>
      </c>
      <c r="C7134" t="s">
        <v>11</v>
      </c>
      <c r="D7134">
        <v>78</v>
      </c>
      <c r="E7134" s="2">
        <v>7.7210648148148153E-2</v>
      </c>
      <c r="F7134">
        <v>111.18333333333334</v>
      </c>
    </row>
    <row r="7135" spans="1:6" x14ac:dyDescent="0.25">
      <c r="A7135" s="1">
        <v>40909</v>
      </c>
      <c r="B7135" t="s">
        <v>24</v>
      </c>
      <c r="C7135" t="s">
        <v>6</v>
      </c>
      <c r="D7135">
        <v>47</v>
      </c>
      <c r="E7135" s="2">
        <v>4.6215277777777779E-2</v>
      </c>
      <c r="F7135">
        <v>66.55</v>
      </c>
    </row>
    <row r="7136" spans="1:6" x14ac:dyDescent="0.25">
      <c r="A7136" s="1">
        <v>40909</v>
      </c>
      <c r="B7136" t="s">
        <v>24</v>
      </c>
      <c r="C7136" t="s">
        <v>7</v>
      </c>
      <c r="D7136">
        <v>44</v>
      </c>
      <c r="E7136" s="2">
        <v>3.0613425925925926E-2</v>
      </c>
      <c r="F7136">
        <v>44.083333333333336</v>
      </c>
    </row>
    <row r="7137" spans="1:6" x14ac:dyDescent="0.25">
      <c r="A7137" s="1">
        <v>40909</v>
      </c>
      <c r="B7137" t="s">
        <v>24</v>
      </c>
      <c r="C7137" t="s">
        <v>8</v>
      </c>
      <c r="D7137">
        <v>24</v>
      </c>
      <c r="E7137" s="2">
        <v>1.8807870370370371E-2</v>
      </c>
      <c r="F7137">
        <v>27.083333333333332</v>
      </c>
    </row>
    <row r="7138" spans="1:6" x14ac:dyDescent="0.25">
      <c r="A7138" s="1">
        <v>40909</v>
      </c>
      <c r="B7138" t="s">
        <v>24</v>
      </c>
      <c r="C7138" t="s">
        <v>9</v>
      </c>
      <c r="D7138">
        <v>7</v>
      </c>
      <c r="E7138" s="2">
        <v>3.7152777777777778E-3</v>
      </c>
      <c r="F7138">
        <v>5.35</v>
      </c>
    </row>
    <row r="7139" spans="1:6" x14ac:dyDescent="0.25">
      <c r="A7139" s="1">
        <v>40909</v>
      </c>
      <c r="B7139" t="s">
        <v>24</v>
      </c>
      <c r="C7139" t="s">
        <v>10</v>
      </c>
      <c r="D7139">
        <v>0</v>
      </c>
      <c r="E7139" s="2">
        <v>0</v>
      </c>
      <c r="F7139">
        <v>0</v>
      </c>
    </row>
    <row r="7140" spans="1:6" x14ac:dyDescent="0.25">
      <c r="A7140" s="1">
        <v>40909</v>
      </c>
      <c r="B7140" t="s">
        <v>24</v>
      </c>
      <c r="C7140" t="s">
        <v>11</v>
      </c>
      <c r="D7140">
        <v>26</v>
      </c>
      <c r="E7140" s="2">
        <v>1.9722222222222221E-2</v>
      </c>
      <c r="F7140">
        <v>28.4</v>
      </c>
    </row>
    <row r="7141" spans="1:6" x14ac:dyDescent="0.25">
      <c r="A7141" s="1">
        <v>40940</v>
      </c>
      <c r="B7141" t="s">
        <v>5</v>
      </c>
      <c r="C7141" t="s">
        <v>6</v>
      </c>
      <c r="D7141">
        <v>63</v>
      </c>
      <c r="E7141" s="2">
        <v>5.8449074074074077E-2</v>
      </c>
      <c r="F7141">
        <v>84.166666666666671</v>
      </c>
    </row>
    <row r="7142" spans="1:6" x14ac:dyDescent="0.25">
      <c r="A7142" s="1">
        <v>40940</v>
      </c>
      <c r="B7142" t="s">
        <v>5</v>
      </c>
      <c r="C7142" t="s">
        <v>7</v>
      </c>
      <c r="D7142">
        <v>59</v>
      </c>
      <c r="E7142" s="2">
        <v>5.7928240740740738E-2</v>
      </c>
      <c r="F7142">
        <v>83.416666666666671</v>
      </c>
    </row>
    <row r="7143" spans="1:6" x14ac:dyDescent="0.25">
      <c r="A7143" s="1">
        <v>40940</v>
      </c>
      <c r="B7143" t="s">
        <v>5</v>
      </c>
      <c r="C7143" t="s">
        <v>8</v>
      </c>
      <c r="D7143">
        <v>40</v>
      </c>
      <c r="E7143" s="2">
        <v>3.1643518518518515E-2</v>
      </c>
      <c r="F7143">
        <v>45.56666666666667</v>
      </c>
    </row>
    <row r="7144" spans="1:6" x14ac:dyDescent="0.25">
      <c r="A7144" s="1">
        <v>40940</v>
      </c>
      <c r="B7144" t="s">
        <v>5</v>
      </c>
      <c r="C7144" t="s">
        <v>9</v>
      </c>
      <c r="D7144">
        <v>11</v>
      </c>
      <c r="E7144" s="2">
        <v>4.7453703703703703E-3</v>
      </c>
      <c r="F7144">
        <v>6.833333333333333</v>
      </c>
    </row>
    <row r="7145" spans="1:6" x14ac:dyDescent="0.25">
      <c r="A7145" s="1">
        <v>40940</v>
      </c>
      <c r="B7145" t="s">
        <v>5</v>
      </c>
      <c r="C7145" t="s">
        <v>10</v>
      </c>
      <c r="D7145">
        <v>0</v>
      </c>
      <c r="E7145" s="2">
        <v>0</v>
      </c>
      <c r="F7145">
        <v>0</v>
      </c>
    </row>
    <row r="7146" spans="1:6" x14ac:dyDescent="0.25">
      <c r="A7146" s="1">
        <v>40940</v>
      </c>
      <c r="B7146" t="s">
        <v>5</v>
      </c>
      <c r="C7146" t="s">
        <v>11</v>
      </c>
      <c r="D7146">
        <v>50</v>
      </c>
      <c r="E7146" s="2">
        <v>3.5578703703703703E-2</v>
      </c>
      <c r="F7146">
        <v>51.233333333333334</v>
      </c>
    </row>
    <row r="7147" spans="1:6" x14ac:dyDescent="0.25">
      <c r="A7147" s="1">
        <v>40940</v>
      </c>
      <c r="B7147" t="s">
        <v>12</v>
      </c>
      <c r="C7147" t="s">
        <v>6</v>
      </c>
      <c r="D7147">
        <v>50</v>
      </c>
      <c r="E7147" s="2">
        <v>6.3831018518518523E-2</v>
      </c>
      <c r="F7147">
        <v>91.916666666666671</v>
      </c>
    </row>
    <row r="7148" spans="1:6" x14ac:dyDescent="0.25">
      <c r="A7148" s="1">
        <v>40940</v>
      </c>
      <c r="B7148" t="s">
        <v>12</v>
      </c>
      <c r="C7148" t="s">
        <v>7</v>
      </c>
      <c r="D7148">
        <v>36</v>
      </c>
      <c r="E7148" s="2">
        <v>4.6435185185185184E-2</v>
      </c>
      <c r="F7148">
        <v>66.86666666666666</v>
      </c>
    </row>
    <row r="7149" spans="1:6" x14ac:dyDescent="0.25">
      <c r="A7149" s="1">
        <v>40940</v>
      </c>
      <c r="B7149" t="s">
        <v>12</v>
      </c>
      <c r="C7149" t="s">
        <v>8</v>
      </c>
      <c r="D7149">
        <v>29</v>
      </c>
      <c r="E7149" s="2">
        <v>3.8796296296296294E-2</v>
      </c>
      <c r="F7149">
        <v>55.866666666666667</v>
      </c>
    </row>
    <row r="7150" spans="1:6" x14ac:dyDescent="0.25">
      <c r="A7150" s="1">
        <v>40940</v>
      </c>
      <c r="B7150" t="s">
        <v>12</v>
      </c>
      <c r="C7150" t="s">
        <v>9</v>
      </c>
      <c r="D7150">
        <v>17</v>
      </c>
      <c r="E7150" s="2">
        <v>1.3391203703703704E-2</v>
      </c>
      <c r="F7150">
        <v>19.283333333333335</v>
      </c>
    </row>
    <row r="7151" spans="1:6" x14ac:dyDescent="0.25">
      <c r="A7151" s="1">
        <v>40940</v>
      </c>
      <c r="B7151" t="s">
        <v>12</v>
      </c>
      <c r="C7151" t="s">
        <v>10</v>
      </c>
      <c r="D7151">
        <v>36</v>
      </c>
      <c r="E7151" s="2">
        <v>5.3518518518518521E-2</v>
      </c>
      <c r="F7151">
        <v>77.066666666666663</v>
      </c>
    </row>
    <row r="7152" spans="1:6" x14ac:dyDescent="0.25">
      <c r="A7152" s="1">
        <v>40940</v>
      </c>
      <c r="B7152" t="s">
        <v>12</v>
      </c>
      <c r="C7152" t="s">
        <v>11</v>
      </c>
      <c r="D7152">
        <v>52</v>
      </c>
      <c r="E7152" s="2">
        <v>5.5671296296296295E-2</v>
      </c>
      <c r="F7152">
        <v>80.166666666666671</v>
      </c>
    </row>
    <row r="7153" spans="1:6" x14ac:dyDescent="0.25">
      <c r="A7153" s="1">
        <v>40940</v>
      </c>
      <c r="B7153" t="s">
        <v>13</v>
      </c>
      <c r="C7153" t="s">
        <v>6</v>
      </c>
      <c r="D7153">
        <v>65</v>
      </c>
      <c r="E7153" s="2">
        <v>7.1111111111111111E-2</v>
      </c>
      <c r="F7153">
        <v>102.4</v>
      </c>
    </row>
    <row r="7154" spans="1:6" x14ac:dyDescent="0.25">
      <c r="A7154" s="1">
        <v>40940</v>
      </c>
      <c r="B7154" t="s">
        <v>13</v>
      </c>
      <c r="C7154" t="s">
        <v>7</v>
      </c>
      <c r="D7154">
        <v>68</v>
      </c>
      <c r="E7154" s="2">
        <v>7.7523148148148147E-2</v>
      </c>
      <c r="F7154">
        <v>111.63333333333334</v>
      </c>
    </row>
    <row r="7155" spans="1:6" x14ac:dyDescent="0.25">
      <c r="A7155" s="1">
        <v>40940</v>
      </c>
      <c r="B7155" t="s">
        <v>13</v>
      </c>
      <c r="C7155" t="s">
        <v>8</v>
      </c>
      <c r="D7155">
        <v>52</v>
      </c>
      <c r="E7155" s="2">
        <v>6.145833333333333E-2</v>
      </c>
      <c r="F7155">
        <v>88.5</v>
      </c>
    </row>
    <row r="7156" spans="1:6" x14ac:dyDescent="0.25">
      <c r="A7156" s="1">
        <v>40940</v>
      </c>
      <c r="B7156" t="s">
        <v>13</v>
      </c>
      <c r="C7156" t="s">
        <v>9</v>
      </c>
      <c r="D7156">
        <v>30</v>
      </c>
      <c r="E7156" s="2">
        <v>2.5208333333333333E-2</v>
      </c>
      <c r="F7156">
        <v>36.299999999999997</v>
      </c>
    </row>
    <row r="7157" spans="1:6" x14ac:dyDescent="0.25">
      <c r="A7157" s="1">
        <v>40940</v>
      </c>
      <c r="B7157" t="s">
        <v>13</v>
      </c>
      <c r="C7157" t="s">
        <v>10</v>
      </c>
      <c r="D7157">
        <v>26</v>
      </c>
      <c r="E7157" s="2">
        <v>3.107638888888889E-2</v>
      </c>
      <c r="F7157">
        <v>44.75</v>
      </c>
    </row>
    <row r="7158" spans="1:6" x14ac:dyDescent="0.25">
      <c r="A7158" s="1">
        <v>40940</v>
      </c>
      <c r="B7158" t="s">
        <v>13</v>
      </c>
      <c r="C7158" t="s">
        <v>11</v>
      </c>
      <c r="D7158">
        <v>35</v>
      </c>
      <c r="E7158" s="2">
        <v>3.3611111111111112E-2</v>
      </c>
      <c r="F7158">
        <v>48.4</v>
      </c>
    </row>
    <row r="7159" spans="1:6" x14ac:dyDescent="0.25">
      <c r="A7159" s="1">
        <v>40940</v>
      </c>
      <c r="B7159" t="s">
        <v>14</v>
      </c>
      <c r="C7159" t="s">
        <v>6</v>
      </c>
      <c r="D7159">
        <v>9</v>
      </c>
      <c r="E7159" s="2">
        <v>1.3425925925925926E-2</v>
      </c>
      <c r="F7159">
        <v>19.333333333333332</v>
      </c>
    </row>
    <row r="7160" spans="1:6" x14ac:dyDescent="0.25">
      <c r="A7160" s="1">
        <v>40940</v>
      </c>
      <c r="B7160" t="s">
        <v>14</v>
      </c>
      <c r="C7160" t="s">
        <v>7</v>
      </c>
      <c r="D7160">
        <v>13</v>
      </c>
      <c r="E7160" s="2">
        <v>2.8773148148148148E-2</v>
      </c>
      <c r="F7160">
        <v>41.43333333333333</v>
      </c>
    </row>
    <row r="7161" spans="1:6" x14ac:dyDescent="0.25">
      <c r="A7161" s="1">
        <v>40940</v>
      </c>
      <c r="B7161" t="s">
        <v>14</v>
      </c>
      <c r="C7161" t="s">
        <v>8</v>
      </c>
      <c r="D7161">
        <v>7</v>
      </c>
      <c r="E7161" s="2">
        <v>1.0949074074074075E-2</v>
      </c>
      <c r="F7161">
        <v>15.766666666666667</v>
      </c>
    </row>
    <row r="7162" spans="1:6" x14ac:dyDescent="0.25">
      <c r="A7162" s="1">
        <v>40940</v>
      </c>
      <c r="B7162" t="s">
        <v>14</v>
      </c>
      <c r="C7162" t="s">
        <v>9</v>
      </c>
      <c r="D7162">
        <v>2</v>
      </c>
      <c r="E7162" s="2">
        <v>1.8865740740740742E-3</v>
      </c>
      <c r="F7162">
        <v>2.7166666666666668</v>
      </c>
    </row>
    <row r="7163" spans="1:6" x14ac:dyDescent="0.25">
      <c r="A7163" s="1">
        <v>40940</v>
      </c>
      <c r="B7163" t="s">
        <v>14</v>
      </c>
      <c r="C7163" t="s">
        <v>10</v>
      </c>
      <c r="D7163">
        <v>3</v>
      </c>
      <c r="E7163" s="2">
        <v>5.4166666666666669E-3</v>
      </c>
      <c r="F7163">
        <v>7.8</v>
      </c>
    </row>
    <row r="7164" spans="1:6" x14ac:dyDescent="0.25">
      <c r="A7164" s="1">
        <v>40940</v>
      </c>
      <c r="B7164" t="s">
        <v>14</v>
      </c>
      <c r="C7164" t="s">
        <v>11</v>
      </c>
      <c r="D7164">
        <v>5</v>
      </c>
      <c r="E7164" s="2">
        <v>4.6990740740740743E-3</v>
      </c>
      <c r="F7164">
        <v>6.7666666666666666</v>
      </c>
    </row>
    <row r="7165" spans="1:6" x14ac:dyDescent="0.25">
      <c r="A7165" s="1">
        <v>40940</v>
      </c>
      <c r="B7165" t="s">
        <v>15</v>
      </c>
      <c r="C7165" t="s">
        <v>6</v>
      </c>
      <c r="D7165">
        <v>57</v>
      </c>
      <c r="E7165" s="2">
        <v>5.7187500000000002E-2</v>
      </c>
      <c r="F7165">
        <v>82.35</v>
      </c>
    </row>
    <row r="7166" spans="1:6" x14ac:dyDescent="0.25">
      <c r="A7166" s="1">
        <v>40940</v>
      </c>
      <c r="B7166" t="s">
        <v>15</v>
      </c>
      <c r="C7166" t="s">
        <v>7</v>
      </c>
      <c r="D7166">
        <v>47</v>
      </c>
      <c r="E7166" s="2">
        <v>4.659722222222222E-2</v>
      </c>
      <c r="F7166">
        <v>67.099999999999994</v>
      </c>
    </row>
    <row r="7167" spans="1:6" x14ac:dyDescent="0.25">
      <c r="A7167" s="1">
        <v>40940</v>
      </c>
      <c r="B7167" t="s">
        <v>15</v>
      </c>
      <c r="C7167" t="s">
        <v>8</v>
      </c>
      <c r="D7167">
        <v>22</v>
      </c>
      <c r="E7167" s="2">
        <v>2.388888888888889E-2</v>
      </c>
      <c r="F7167">
        <v>34.4</v>
      </c>
    </row>
    <row r="7168" spans="1:6" x14ac:dyDescent="0.25">
      <c r="A7168" s="1">
        <v>40940</v>
      </c>
      <c r="B7168" t="s">
        <v>15</v>
      </c>
      <c r="C7168" t="s">
        <v>9</v>
      </c>
      <c r="D7168">
        <v>7</v>
      </c>
      <c r="E7168" s="2">
        <v>3.2060185185185186E-3</v>
      </c>
      <c r="F7168">
        <v>4.6166666666666671</v>
      </c>
    </row>
    <row r="7169" spans="1:6" x14ac:dyDescent="0.25">
      <c r="A7169" s="1">
        <v>40940</v>
      </c>
      <c r="B7169" t="s">
        <v>15</v>
      </c>
      <c r="C7169" t="s">
        <v>10</v>
      </c>
      <c r="D7169">
        <v>6</v>
      </c>
      <c r="E7169" s="2">
        <v>7.2337962962962963E-3</v>
      </c>
      <c r="F7169">
        <v>10.416666666666666</v>
      </c>
    </row>
    <row r="7170" spans="1:6" x14ac:dyDescent="0.25">
      <c r="A7170" s="1">
        <v>40940</v>
      </c>
      <c r="B7170" t="s">
        <v>15</v>
      </c>
      <c r="C7170" t="s">
        <v>11</v>
      </c>
      <c r="D7170">
        <v>19</v>
      </c>
      <c r="E7170" s="2">
        <v>1.7569444444444443E-2</v>
      </c>
      <c r="F7170">
        <v>25.3</v>
      </c>
    </row>
    <row r="7171" spans="1:6" x14ac:dyDescent="0.25">
      <c r="A7171" s="1">
        <v>40940</v>
      </c>
      <c r="B7171" t="s">
        <v>16</v>
      </c>
      <c r="C7171" t="s">
        <v>6</v>
      </c>
      <c r="D7171">
        <v>25</v>
      </c>
      <c r="E7171" s="2">
        <v>2.1458333333333333E-2</v>
      </c>
      <c r="F7171">
        <v>30.9</v>
      </c>
    </row>
    <row r="7172" spans="1:6" x14ac:dyDescent="0.25">
      <c r="A7172" s="1">
        <v>40940</v>
      </c>
      <c r="B7172" t="s">
        <v>16</v>
      </c>
      <c r="C7172" t="s">
        <v>7</v>
      </c>
      <c r="D7172">
        <v>19</v>
      </c>
      <c r="E7172" s="2">
        <v>1.8541666666666668E-2</v>
      </c>
      <c r="F7172">
        <v>26.7</v>
      </c>
    </row>
    <row r="7173" spans="1:6" x14ac:dyDescent="0.25">
      <c r="A7173" s="1">
        <v>40940</v>
      </c>
      <c r="B7173" t="s">
        <v>16</v>
      </c>
      <c r="C7173" t="s">
        <v>8</v>
      </c>
      <c r="D7173">
        <v>17</v>
      </c>
      <c r="E7173" s="2">
        <v>1.0775462962962962E-2</v>
      </c>
      <c r="F7173">
        <v>15.516666666666667</v>
      </c>
    </row>
    <row r="7174" spans="1:6" x14ac:dyDescent="0.25">
      <c r="A7174" s="1">
        <v>40940</v>
      </c>
      <c r="B7174" t="s">
        <v>16</v>
      </c>
      <c r="C7174" t="s">
        <v>9</v>
      </c>
      <c r="D7174">
        <v>5</v>
      </c>
      <c r="E7174" s="2">
        <v>2.7546296296296294E-3</v>
      </c>
      <c r="F7174">
        <v>3.9666666666666668</v>
      </c>
    </row>
    <row r="7175" spans="1:6" x14ac:dyDescent="0.25">
      <c r="A7175" s="1">
        <v>40940</v>
      </c>
      <c r="B7175" t="s">
        <v>16</v>
      </c>
      <c r="C7175" t="s">
        <v>10</v>
      </c>
      <c r="D7175">
        <v>5</v>
      </c>
      <c r="E7175" s="2">
        <v>3.0208333333333333E-3</v>
      </c>
      <c r="F7175">
        <v>4.3499999999999996</v>
      </c>
    </row>
    <row r="7176" spans="1:6" x14ac:dyDescent="0.25">
      <c r="A7176" s="1">
        <v>40940</v>
      </c>
      <c r="B7176" t="s">
        <v>16</v>
      </c>
      <c r="C7176" t="s">
        <v>11</v>
      </c>
      <c r="D7176">
        <v>31</v>
      </c>
      <c r="E7176" s="2">
        <v>2.1527777777777778E-2</v>
      </c>
      <c r="F7176">
        <v>31</v>
      </c>
    </row>
    <row r="7177" spans="1:6" x14ac:dyDescent="0.25">
      <c r="A7177" s="1">
        <v>40940</v>
      </c>
      <c r="B7177" t="s">
        <v>17</v>
      </c>
      <c r="C7177" t="s">
        <v>6</v>
      </c>
      <c r="D7177">
        <v>10</v>
      </c>
      <c r="E7177" s="2">
        <v>9.6412037037037039E-3</v>
      </c>
      <c r="F7177">
        <v>13.883333333333333</v>
      </c>
    </row>
    <row r="7178" spans="1:6" x14ac:dyDescent="0.25">
      <c r="A7178" s="1">
        <v>40940</v>
      </c>
      <c r="B7178" t="s">
        <v>17</v>
      </c>
      <c r="C7178" t="s">
        <v>7</v>
      </c>
      <c r="D7178">
        <v>12</v>
      </c>
      <c r="E7178" s="2">
        <v>1.0763888888888889E-2</v>
      </c>
      <c r="F7178">
        <v>15.5</v>
      </c>
    </row>
    <row r="7179" spans="1:6" x14ac:dyDescent="0.25">
      <c r="A7179" s="1">
        <v>40940</v>
      </c>
      <c r="B7179" t="s">
        <v>17</v>
      </c>
      <c r="C7179" t="s">
        <v>8</v>
      </c>
      <c r="D7179">
        <v>6</v>
      </c>
      <c r="E7179" s="2">
        <v>6.5393518518518517E-3</v>
      </c>
      <c r="F7179">
        <v>9.4166666666666661</v>
      </c>
    </row>
    <row r="7180" spans="1:6" x14ac:dyDescent="0.25">
      <c r="A7180" s="1">
        <v>40940</v>
      </c>
      <c r="B7180" t="s">
        <v>17</v>
      </c>
      <c r="C7180" t="s">
        <v>9</v>
      </c>
      <c r="D7180">
        <v>4</v>
      </c>
      <c r="E7180" s="2">
        <v>4.1550925925925922E-3</v>
      </c>
      <c r="F7180">
        <v>5.9833333333333334</v>
      </c>
    </row>
    <row r="7181" spans="1:6" x14ac:dyDescent="0.25">
      <c r="A7181" s="1">
        <v>40940</v>
      </c>
      <c r="B7181" t="s">
        <v>17</v>
      </c>
      <c r="C7181" t="s">
        <v>10</v>
      </c>
      <c r="D7181">
        <v>11</v>
      </c>
      <c r="E7181" s="2">
        <v>9.8842592592592593E-3</v>
      </c>
      <c r="F7181">
        <v>14.233333333333333</v>
      </c>
    </row>
    <row r="7182" spans="1:6" x14ac:dyDescent="0.25">
      <c r="A7182" s="1">
        <v>40940</v>
      </c>
      <c r="B7182" t="s">
        <v>17</v>
      </c>
      <c r="C7182" t="s">
        <v>11</v>
      </c>
      <c r="D7182">
        <v>14</v>
      </c>
      <c r="E7182" s="2">
        <v>1.5046296296296295E-2</v>
      </c>
      <c r="F7182">
        <v>21.666666666666668</v>
      </c>
    </row>
    <row r="7183" spans="1:6" x14ac:dyDescent="0.25">
      <c r="A7183" s="1">
        <v>40940</v>
      </c>
      <c r="B7183" t="s">
        <v>18</v>
      </c>
      <c r="C7183" t="s">
        <v>6</v>
      </c>
      <c r="D7183">
        <v>53</v>
      </c>
      <c r="E7183" s="2">
        <v>4.6990740740740743E-2</v>
      </c>
      <c r="F7183">
        <v>67.666666666666671</v>
      </c>
    </row>
    <row r="7184" spans="1:6" x14ac:dyDescent="0.25">
      <c r="A7184" s="1">
        <v>40940</v>
      </c>
      <c r="B7184" t="s">
        <v>18</v>
      </c>
      <c r="C7184" t="s">
        <v>7</v>
      </c>
      <c r="D7184">
        <v>74</v>
      </c>
      <c r="E7184" s="2">
        <v>7.1423611111111104E-2</v>
      </c>
      <c r="F7184">
        <v>102.85</v>
      </c>
    </row>
    <row r="7185" spans="1:6" x14ac:dyDescent="0.25">
      <c r="A7185" s="1">
        <v>40940</v>
      </c>
      <c r="B7185" t="s">
        <v>18</v>
      </c>
      <c r="C7185" t="s">
        <v>8</v>
      </c>
      <c r="D7185">
        <v>40</v>
      </c>
      <c r="E7185" s="2">
        <v>3.7384259259259256E-2</v>
      </c>
      <c r="F7185">
        <v>53.833333333333336</v>
      </c>
    </row>
    <row r="7186" spans="1:6" x14ac:dyDescent="0.25">
      <c r="A7186" s="1">
        <v>40940</v>
      </c>
      <c r="B7186" t="s">
        <v>18</v>
      </c>
      <c r="C7186" t="s">
        <v>9</v>
      </c>
      <c r="D7186">
        <v>79</v>
      </c>
      <c r="E7186" s="2">
        <v>5.2199074074074071E-2</v>
      </c>
      <c r="F7186">
        <v>75.166666666666671</v>
      </c>
    </row>
    <row r="7187" spans="1:6" x14ac:dyDescent="0.25">
      <c r="A7187" s="1">
        <v>40940</v>
      </c>
      <c r="B7187" t="s">
        <v>18</v>
      </c>
      <c r="C7187" t="s">
        <v>10</v>
      </c>
      <c r="D7187">
        <v>132</v>
      </c>
      <c r="E7187" s="2">
        <v>0.14659722222222221</v>
      </c>
      <c r="F7187">
        <v>211.1</v>
      </c>
    </row>
    <row r="7188" spans="1:6" x14ac:dyDescent="0.25">
      <c r="A7188" s="1">
        <v>40940</v>
      </c>
      <c r="B7188" t="s">
        <v>18</v>
      </c>
      <c r="C7188" t="s">
        <v>11</v>
      </c>
      <c r="D7188">
        <v>36</v>
      </c>
      <c r="E7188" s="2">
        <v>2.3738425925925927E-2</v>
      </c>
      <c r="F7188">
        <v>34.18333333333333</v>
      </c>
    </row>
    <row r="7189" spans="1:6" x14ac:dyDescent="0.25">
      <c r="A7189" s="1">
        <v>40940</v>
      </c>
      <c r="B7189" t="s">
        <v>19</v>
      </c>
      <c r="C7189" t="s">
        <v>6</v>
      </c>
      <c r="D7189">
        <v>26</v>
      </c>
      <c r="E7189" s="2">
        <v>2.6168981481481481E-2</v>
      </c>
      <c r="F7189">
        <v>37.68333333333333</v>
      </c>
    </row>
    <row r="7190" spans="1:6" x14ac:dyDescent="0.25">
      <c r="A7190" s="1">
        <v>40940</v>
      </c>
      <c r="B7190" t="s">
        <v>19</v>
      </c>
      <c r="C7190" t="s">
        <v>7</v>
      </c>
      <c r="D7190">
        <v>23</v>
      </c>
      <c r="E7190" s="2">
        <v>2.5046296296296296E-2</v>
      </c>
      <c r="F7190">
        <v>36.06666666666667</v>
      </c>
    </row>
    <row r="7191" spans="1:6" x14ac:dyDescent="0.25">
      <c r="A7191" s="1">
        <v>40940</v>
      </c>
      <c r="B7191" t="s">
        <v>19</v>
      </c>
      <c r="C7191" t="s">
        <v>8</v>
      </c>
      <c r="D7191">
        <v>28</v>
      </c>
      <c r="E7191" s="2">
        <v>2.8576388888888887E-2</v>
      </c>
      <c r="F7191">
        <v>41.15</v>
      </c>
    </row>
    <row r="7192" spans="1:6" x14ac:dyDescent="0.25">
      <c r="A7192" s="1">
        <v>40940</v>
      </c>
      <c r="B7192" t="s">
        <v>19</v>
      </c>
      <c r="C7192" t="s">
        <v>9</v>
      </c>
      <c r="D7192">
        <v>32</v>
      </c>
      <c r="E7192" s="2">
        <v>1.9594907407407408E-2</v>
      </c>
      <c r="F7192">
        <v>28.216666666666665</v>
      </c>
    </row>
    <row r="7193" spans="1:6" x14ac:dyDescent="0.25">
      <c r="A7193" s="1">
        <v>40940</v>
      </c>
      <c r="B7193" t="s">
        <v>19</v>
      </c>
      <c r="C7193" t="s">
        <v>10</v>
      </c>
      <c r="D7193">
        <v>7</v>
      </c>
      <c r="E7193" s="2">
        <v>4.6643518518518518E-3</v>
      </c>
      <c r="F7193">
        <v>6.7166666666666668</v>
      </c>
    </row>
    <row r="7194" spans="1:6" x14ac:dyDescent="0.25">
      <c r="A7194" s="1">
        <v>40940</v>
      </c>
      <c r="B7194" t="s">
        <v>19</v>
      </c>
      <c r="C7194" t="s">
        <v>11</v>
      </c>
      <c r="D7194">
        <v>34</v>
      </c>
      <c r="E7194" s="2">
        <v>2.5729166666666668E-2</v>
      </c>
      <c r="F7194">
        <v>37.049999999999997</v>
      </c>
    </row>
    <row r="7195" spans="1:6" x14ac:dyDescent="0.25">
      <c r="A7195" s="1">
        <v>40940</v>
      </c>
      <c r="B7195" t="s">
        <v>20</v>
      </c>
      <c r="C7195" t="s">
        <v>6</v>
      </c>
      <c r="D7195">
        <v>87</v>
      </c>
      <c r="E7195" s="2">
        <v>0.11811342592592593</v>
      </c>
      <c r="F7195">
        <v>170.08333333333334</v>
      </c>
    </row>
    <row r="7196" spans="1:6" x14ac:dyDescent="0.25">
      <c r="A7196" s="1">
        <v>40940</v>
      </c>
      <c r="B7196" t="s">
        <v>20</v>
      </c>
      <c r="C7196" t="s">
        <v>7</v>
      </c>
      <c r="D7196">
        <v>107</v>
      </c>
      <c r="E7196" s="2">
        <v>0.12966435185185185</v>
      </c>
      <c r="F7196">
        <v>186.71666666666667</v>
      </c>
    </row>
    <row r="7197" spans="1:6" x14ac:dyDescent="0.25">
      <c r="A7197" s="1">
        <v>40940</v>
      </c>
      <c r="B7197" t="s">
        <v>20</v>
      </c>
      <c r="C7197" t="s">
        <v>8</v>
      </c>
      <c r="D7197">
        <v>82</v>
      </c>
      <c r="E7197" s="2">
        <v>7.829861111111111E-2</v>
      </c>
      <c r="F7197">
        <v>112.75</v>
      </c>
    </row>
    <row r="7198" spans="1:6" x14ac:dyDescent="0.25">
      <c r="A7198" s="1">
        <v>40940</v>
      </c>
      <c r="B7198" t="s">
        <v>20</v>
      </c>
      <c r="C7198" t="s">
        <v>9</v>
      </c>
      <c r="D7198">
        <v>51</v>
      </c>
      <c r="E7198" s="2">
        <v>3.7974537037037036E-2</v>
      </c>
      <c r="F7198">
        <v>54.68333333333333</v>
      </c>
    </row>
    <row r="7199" spans="1:6" x14ac:dyDescent="0.25">
      <c r="A7199" s="1">
        <v>40940</v>
      </c>
      <c r="B7199" t="s">
        <v>20</v>
      </c>
      <c r="C7199" t="s">
        <v>10</v>
      </c>
      <c r="D7199">
        <v>7</v>
      </c>
      <c r="E7199" s="2">
        <v>4.3518518518518515E-3</v>
      </c>
      <c r="F7199">
        <v>6.2666666666666666</v>
      </c>
    </row>
    <row r="7200" spans="1:6" x14ac:dyDescent="0.25">
      <c r="A7200" s="1">
        <v>40940</v>
      </c>
      <c r="B7200" t="s">
        <v>20</v>
      </c>
      <c r="C7200" t="s">
        <v>11</v>
      </c>
      <c r="D7200">
        <v>69</v>
      </c>
      <c r="E7200" s="2">
        <v>5.3576388888888889E-2</v>
      </c>
      <c r="F7200">
        <v>77.150000000000006</v>
      </c>
    </row>
    <row r="7201" spans="1:6" x14ac:dyDescent="0.25">
      <c r="A7201" s="1">
        <v>40940</v>
      </c>
      <c r="B7201" t="s">
        <v>21</v>
      </c>
      <c r="C7201" t="s">
        <v>6</v>
      </c>
      <c r="D7201">
        <v>22</v>
      </c>
      <c r="E7201" s="2">
        <v>2.7210648148148147E-2</v>
      </c>
      <c r="F7201">
        <v>39.18333333333333</v>
      </c>
    </row>
    <row r="7202" spans="1:6" x14ac:dyDescent="0.25">
      <c r="A7202" s="1">
        <v>40940</v>
      </c>
      <c r="B7202" t="s">
        <v>21</v>
      </c>
      <c r="C7202" t="s">
        <v>7</v>
      </c>
      <c r="D7202">
        <v>15</v>
      </c>
      <c r="E7202" s="2">
        <v>2.2962962962962963E-2</v>
      </c>
      <c r="F7202">
        <v>33.06666666666667</v>
      </c>
    </row>
    <row r="7203" spans="1:6" x14ac:dyDescent="0.25">
      <c r="A7203" s="1">
        <v>40940</v>
      </c>
      <c r="B7203" t="s">
        <v>21</v>
      </c>
      <c r="C7203" t="s">
        <v>8</v>
      </c>
      <c r="D7203">
        <v>15</v>
      </c>
      <c r="E7203" s="2">
        <v>2.1342592592592594E-2</v>
      </c>
      <c r="F7203">
        <v>30.733333333333334</v>
      </c>
    </row>
    <row r="7204" spans="1:6" x14ac:dyDescent="0.25">
      <c r="A7204" s="1">
        <v>40940</v>
      </c>
      <c r="B7204" t="s">
        <v>21</v>
      </c>
      <c r="C7204" t="s">
        <v>9</v>
      </c>
      <c r="D7204">
        <v>10</v>
      </c>
      <c r="E7204" s="2">
        <v>9.0740740740740747E-3</v>
      </c>
      <c r="F7204">
        <v>13.066666666666666</v>
      </c>
    </row>
    <row r="7205" spans="1:6" x14ac:dyDescent="0.25">
      <c r="A7205" s="1">
        <v>40940</v>
      </c>
      <c r="B7205" t="s">
        <v>21</v>
      </c>
      <c r="C7205" t="s">
        <v>10</v>
      </c>
      <c r="D7205">
        <v>1</v>
      </c>
      <c r="E7205" s="2">
        <v>1.0648148148148149E-3</v>
      </c>
      <c r="F7205">
        <v>1.5333333333333332</v>
      </c>
    </row>
    <row r="7206" spans="1:6" x14ac:dyDescent="0.25">
      <c r="A7206" s="1">
        <v>40940</v>
      </c>
      <c r="B7206" t="s">
        <v>21</v>
      </c>
      <c r="C7206" t="s">
        <v>11</v>
      </c>
      <c r="D7206">
        <v>13</v>
      </c>
      <c r="E7206" s="2">
        <v>1.3645833333333333E-2</v>
      </c>
      <c r="F7206">
        <v>19.649999999999999</v>
      </c>
    </row>
    <row r="7207" spans="1:6" x14ac:dyDescent="0.25">
      <c r="A7207" s="1">
        <v>40940</v>
      </c>
      <c r="B7207" t="s">
        <v>22</v>
      </c>
      <c r="C7207" t="s">
        <v>6</v>
      </c>
      <c r="D7207">
        <v>5</v>
      </c>
      <c r="E7207" s="2">
        <v>3.5995370370370369E-3</v>
      </c>
      <c r="F7207">
        <v>5.1833333333333336</v>
      </c>
    </row>
    <row r="7208" spans="1:6" x14ac:dyDescent="0.25">
      <c r="A7208" s="1">
        <v>40940</v>
      </c>
      <c r="B7208" t="s">
        <v>22</v>
      </c>
      <c r="C7208" t="s">
        <v>7</v>
      </c>
      <c r="D7208">
        <v>9</v>
      </c>
      <c r="E7208" s="2">
        <v>1.0659722222222221E-2</v>
      </c>
      <c r="F7208">
        <v>15.35</v>
      </c>
    </row>
    <row r="7209" spans="1:6" x14ac:dyDescent="0.25">
      <c r="A7209" s="1">
        <v>40940</v>
      </c>
      <c r="B7209" t="s">
        <v>22</v>
      </c>
      <c r="C7209" t="s">
        <v>8</v>
      </c>
      <c r="D7209">
        <v>2</v>
      </c>
      <c r="E7209" s="2">
        <v>2.4652777777777776E-3</v>
      </c>
      <c r="F7209">
        <v>3.55</v>
      </c>
    </row>
    <row r="7210" spans="1:6" x14ac:dyDescent="0.25">
      <c r="A7210" s="1">
        <v>40940</v>
      </c>
      <c r="B7210" t="s">
        <v>22</v>
      </c>
      <c r="C7210" t="s">
        <v>9</v>
      </c>
      <c r="D7210">
        <v>4</v>
      </c>
      <c r="E7210" s="2">
        <v>3.6921296296296298E-3</v>
      </c>
      <c r="F7210">
        <v>5.3166666666666664</v>
      </c>
    </row>
    <row r="7211" spans="1:6" x14ac:dyDescent="0.25">
      <c r="A7211" s="1">
        <v>40940</v>
      </c>
      <c r="B7211" t="s">
        <v>22</v>
      </c>
      <c r="C7211" t="s">
        <v>10</v>
      </c>
      <c r="D7211">
        <v>1</v>
      </c>
      <c r="E7211" s="2">
        <v>2.3148148148148147E-5</v>
      </c>
      <c r="F7211">
        <v>3.3333333333333333E-2</v>
      </c>
    </row>
    <row r="7212" spans="1:6" x14ac:dyDescent="0.25">
      <c r="A7212" s="1">
        <v>40940</v>
      </c>
      <c r="B7212" t="s">
        <v>22</v>
      </c>
      <c r="C7212" t="s">
        <v>11</v>
      </c>
      <c r="D7212">
        <v>8</v>
      </c>
      <c r="E7212" s="2">
        <v>8.5763888888888886E-3</v>
      </c>
      <c r="F7212">
        <v>12.35</v>
      </c>
    </row>
    <row r="7213" spans="1:6" x14ac:dyDescent="0.25">
      <c r="A7213" s="1">
        <v>40940</v>
      </c>
      <c r="B7213" t="s">
        <v>23</v>
      </c>
      <c r="C7213" t="s">
        <v>6</v>
      </c>
      <c r="D7213">
        <v>106</v>
      </c>
      <c r="E7213" s="2">
        <v>0.11387731481481482</v>
      </c>
      <c r="F7213">
        <v>163.98333333333332</v>
      </c>
    </row>
    <row r="7214" spans="1:6" x14ac:dyDescent="0.25">
      <c r="A7214" s="1">
        <v>40940</v>
      </c>
      <c r="B7214" t="s">
        <v>23</v>
      </c>
      <c r="C7214" t="s">
        <v>7</v>
      </c>
      <c r="D7214">
        <v>98</v>
      </c>
      <c r="E7214" s="2">
        <v>0.12746527777777777</v>
      </c>
      <c r="F7214">
        <v>183.55</v>
      </c>
    </row>
    <row r="7215" spans="1:6" x14ac:dyDescent="0.25">
      <c r="A7215" s="1">
        <v>40940</v>
      </c>
      <c r="B7215" t="s">
        <v>23</v>
      </c>
      <c r="C7215" t="s">
        <v>8</v>
      </c>
      <c r="D7215">
        <v>62</v>
      </c>
      <c r="E7215" s="2">
        <v>6.1712962962962963E-2</v>
      </c>
      <c r="F7215">
        <v>88.86666666666666</v>
      </c>
    </row>
    <row r="7216" spans="1:6" x14ac:dyDescent="0.25">
      <c r="A7216" s="1">
        <v>40940</v>
      </c>
      <c r="B7216" t="s">
        <v>23</v>
      </c>
      <c r="C7216" t="s">
        <v>9</v>
      </c>
      <c r="D7216">
        <v>66</v>
      </c>
      <c r="E7216" s="2">
        <v>5.1562499999999997E-2</v>
      </c>
      <c r="F7216">
        <v>74.25</v>
      </c>
    </row>
    <row r="7217" spans="1:6" x14ac:dyDescent="0.25">
      <c r="A7217" s="1">
        <v>40940</v>
      </c>
      <c r="B7217" t="s">
        <v>23</v>
      </c>
      <c r="C7217" t="s">
        <v>10</v>
      </c>
      <c r="D7217">
        <v>35</v>
      </c>
      <c r="E7217" s="2">
        <v>4.1770833333333333E-2</v>
      </c>
      <c r="F7217">
        <v>60.15</v>
      </c>
    </row>
    <row r="7218" spans="1:6" x14ac:dyDescent="0.25">
      <c r="A7218" s="1">
        <v>40940</v>
      </c>
      <c r="B7218" t="s">
        <v>23</v>
      </c>
      <c r="C7218" t="s">
        <v>11</v>
      </c>
      <c r="D7218">
        <v>73</v>
      </c>
      <c r="E7218" s="2">
        <v>5.814814814814815E-2</v>
      </c>
      <c r="F7218">
        <v>83.733333333333334</v>
      </c>
    </row>
    <row r="7219" spans="1:6" x14ac:dyDescent="0.25">
      <c r="A7219" s="1">
        <v>40940</v>
      </c>
      <c r="B7219" t="s">
        <v>24</v>
      </c>
      <c r="C7219" t="s">
        <v>6</v>
      </c>
      <c r="D7219">
        <v>37</v>
      </c>
      <c r="E7219" s="2">
        <v>3.8425925925925926E-2</v>
      </c>
      <c r="F7219">
        <v>55.333333333333336</v>
      </c>
    </row>
    <row r="7220" spans="1:6" x14ac:dyDescent="0.25">
      <c r="A7220" s="1">
        <v>40940</v>
      </c>
      <c r="B7220" t="s">
        <v>24</v>
      </c>
      <c r="C7220" t="s">
        <v>7</v>
      </c>
      <c r="D7220">
        <v>35</v>
      </c>
      <c r="E7220" s="2">
        <v>3.0706018518518518E-2</v>
      </c>
      <c r="F7220">
        <v>44.216666666666669</v>
      </c>
    </row>
    <row r="7221" spans="1:6" x14ac:dyDescent="0.25">
      <c r="A7221" s="1">
        <v>40940</v>
      </c>
      <c r="B7221" t="s">
        <v>24</v>
      </c>
      <c r="C7221" t="s">
        <v>8</v>
      </c>
      <c r="D7221">
        <v>17</v>
      </c>
      <c r="E7221" s="2">
        <v>1.5219907407407408E-2</v>
      </c>
      <c r="F7221">
        <v>21.916666666666668</v>
      </c>
    </row>
    <row r="7222" spans="1:6" x14ac:dyDescent="0.25">
      <c r="A7222" s="1">
        <v>40940</v>
      </c>
      <c r="B7222" t="s">
        <v>24</v>
      </c>
      <c r="C7222" t="s">
        <v>9</v>
      </c>
      <c r="D7222">
        <v>9</v>
      </c>
      <c r="E7222" s="2">
        <v>5.0578703703703706E-3</v>
      </c>
      <c r="F7222">
        <v>7.2833333333333332</v>
      </c>
    </row>
    <row r="7223" spans="1:6" x14ac:dyDescent="0.25">
      <c r="A7223" s="1">
        <v>40940</v>
      </c>
      <c r="B7223" t="s">
        <v>24</v>
      </c>
      <c r="C7223" t="s">
        <v>10</v>
      </c>
      <c r="D7223">
        <v>0</v>
      </c>
      <c r="E7223" s="2">
        <v>0</v>
      </c>
      <c r="F7223">
        <v>0</v>
      </c>
    </row>
    <row r="7224" spans="1:6" x14ac:dyDescent="0.25">
      <c r="A7224" s="1">
        <v>40940</v>
      </c>
      <c r="B7224" t="s">
        <v>24</v>
      </c>
      <c r="C7224" t="s">
        <v>11</v>
      </c>
      <c r="D7224">
        <v>18</v>
      </c>
      <c r="E7224" s="2">
        <v>1.3865740740740741E-2</v>
      </c>
      <c r="F7224">
        <v>19.966666666666665</v>
      </c>
    </row>
    <row r="7225" spans="1:6" x14ac:dyDescent="0.25">
      <c r="A7225" s="1">
        <v>40969</v>
      </c>
      <c r="B7225" t="s">
        <v>5</v>
      </c>
      <c r="C7225" t="s">
        <v>6</v>
      </c>
      <c r="D7225">
        <v>58</v>
      </c>
      <c r="E7225" s="2">
        <v>5.4930555555555559E-2</v>
      </c>
      <c r="F7225">
        <v>79.099999999999994</v>
      </c>
    </row>
    <row r="7226" spans="1:6" x14ac:dyDescent="0.25">
      <c r="A7226" s="1">
        <v>40969</v>
      </c>
      <c r="B7226" t="s">
        <v>5</v>
      </c>
      <c r="C7226" t="s">
        <v>7</v>
      </c>
      <c r="D7226">
        <v>52</v>
      </c>
      <c r="E7226" s="2">
        <v>3.9016203703703706E-2</v>
      </c>
      <c r="F7226">
        <v>56.18333333333333</v>
      </c>
    </row>
    <row r="7227" spans="1:6" x14ac:dyDescent="0.25">
      <c r="A7227" s="1">
        <v>40969</v>
      </c>
      <c r="B7227" t="s">
        <v>5</v>
      </c>
      <c r="C7227" t="s">
        <v>8</v>
      </c>
      <c r="D7227">
        <v>34</v>
      </c>
      <c r="E7227" s="2">
        <v>2.9722222222222223E-2</v>
      </c>
      <c r="F7227">
        <v>42.8</v>
      </c>
    </row>
    <row r="7228" spans="1:6" x14ac:dyDescent="0.25">
      <c r="A7228" s="1">
        <v>40969</v>
      </c>
      <c r="B7228" t="s">
        <v>5</v>
      </c>
      <c r="C7228" t="s">
        <v>9</v>
      </c>
      <c r="D7228">
        <v>16</v>
      </c>
      <c r="E7228" s="2">
        <v>1.1967592592592592E-2</v>
      </c>
      <c r="F7228">
        <v>17.233333333333334</v>
      </c>
    </row>
    <row r="7229" spans="1:6" x14ac:dyDescent="0.25">
      <c r="A7229" s="1">
        <v>40969</v>
      </c>
      <c r="B7229" t="s">
        <v>5</v>
      </c>
      <c r="C7229" t="s">
        <v>10</v>
      </c>
      <c r="D7229">
        <v>2</v>
      </c>
      <c r="E7229" s="2">
        <v>2.2569444444444442E-3</v>
      </c>
      <c r="F7229">
        <v>3.25</v>
      </c>
    </row>
    <row r="7230" spans="1:6" x14ac:dyDescent="0.25">
      <c r="A7230" s="1">
        <v>40969</v>
      </c>
      <c r="B7230" t="s">
        <v>5</v>
      </c>
      <c r="C7230" t="s">
        <v>11</v>
      </c>
      <c r="D7230">
        <v>32</v>
      </c>
      <c r="E7230" s="2">
        <v>2.4293981481481482E-2</v>
      </c>
      <c r="F7230">
        <v>34.983333333333334</v>
      </c>
    </row>
    <row r="7231" spans="1:6" x14ac:dyDescent="0.25">
      <c r="A7231" s="1">
        <v>40969</v>
      </c>
      <c r="B7231" t="s">
        <v>12</v>
      </c>
      <c r="C7231" t="s">
        <v>6</v>
      </c>
      <c r="D7231">
        <v>36</v>
      </c>
      <c r="E7231" s="2">
        <v>5.0636574074074077E-2</v>
      </c>
      <c r="F7231">
        <v>72.916666666666671</v>
      </c>
    </row>
    <row r="7232" spans="1:6" x14ac:dyDescent="0.25">
      <c r="A7232" s="1">
        <v>40969</v>
      </c>
      <c r="B7232" t="s">
        <v>12</v>
      </c>
      <c r="C7232" t="s">
        <v>7</v>
      </c>
      <c r="D7232">
        <v>22</v>
      </c>
      <c r="E7232" s="2">
        <v>3.0659722222222224E-2</v>
      </c>
      <c r="F7232">
        <v>44.15</v>
      </c>
    </row>
    <row r="7233" spans="1:6" x14ac:dyDescent="0.25">
      <c r="A7233" s="1">
        <v>40969</v>
      </c>
      <c r="B7233" t="s">
        <v>12</v>
      </c>
      <c r="C7233" t="s">
        <v>8</v>
      </c>
      <c r="D7233">
        <v>17</v>
      </c>
      <c r="E7233" s="2">
        <v>2.5219907407407406E-2</v>
      </c>
      <c r="F7233">
        <v>36.31666666666667</v>
      </c>
    </row>
    <row r="7234" spans="1:6" x14ac:dyDescent="0.25">
      <c r="A7234" s="1">
        <v>40969</v>
      </c>
      <c r="B7234" t="s">
        <v>12</v>
      </c>
      <c r="C7234" t="s">
        <v>9</v>
      </c>
      <c r="D7234">
        <v>12</v>
      </c>
      <c r="E7234" s="2">
        <v>8.2638888888888883E-3</v>
      </c>
      <c r="F7234">
        <v>11.9</v>
      </c>
    </row>
    <row r="7235" spans="1:6" x14ac:dyDescent="0.25">
      <c r="A7235" s="1">
        <v>40969</v>
      </c>
      <c r="B7235" t="s">
        <v>12</v>
      </c>
      <c r="C7235" t="s">
        <v>10</v>
      </c>
      <c r="D7235">
        <v>20</v>
      </c>
      <c r="E7235" s="2">
        <v>3.6701388888888888E-2</v>
      </c>
      <c r="F7235">
        <v>52.85</v>
      </c>
    </row>
    <row r="7236" spans="1:6" x14ac:dyDescent="0.25">
      <c r="A7236" s="1">
        <v>40969</v>
      </c>
      <c r="B7236" t="s">
        <v>12</v>
      </c>
      <c r="C7236" t="s">
        <v>11</v>
      </c>
      <c r="D7236">
        <v>34</v>
      </c>
      <c r="E7236" s="2">
        <v>3.246527777777778E-2</v>
      </c>
      <c r="F7236">
        <v>46.75</v>
      </c>
    </row>
    <row r="7237" spans="1:6" x14ac:dyDescent="0.25">
      <c r="A7237" s="1">
        <v>40969</v>
      </c>
      <c r="B7237" t="s">
        <v>13</v>
      </c>
      <c r="C7237" t="s">
        <v>6</v>
      </c>
      <c r="D7237">
        <v>38</v>
      </c>
      <c r="E7237" s="2">
        <v>4.760416666666667E-2</v>
      </c>
      <c r="F7237">
        <v>68.55</v>
      </c>
    </row>
    <row r="7238" spans="1:6" x14ac:dyDescent="0.25">
      <c r="A7238" s="1">
        <v>40969</v>
      </c>
      <c r="B7238" t="s">
        <v>13</v>
      </c>
      <c r="C7238" t="s">
        <v>7</v>
      </c>
      <c r="D7238">
        <v>27</v>
      </c>
      <c r="E7238" s="2">
        <v>3.1990740740740743E-2</v>
      </c>
      <c r="F7238">
        <v>46.06666666666667</v>
      </c>
    </row>
    <row r="7239" spans="1:6" x14ac:dyDescent="0.25">
      <c r="A7239" s="1">
        <v>40969</v>
      </c>
      <c r="B7239" t="s">
        <v>13</v>
      </c>
      <c r="C7239" t="s">
        <v>8</v>
      </c>
      <c r="D7239">
        <v>27</v>
      </c>
      <c r="E7239" s="2">
        <v>2.9976851851851852E-2</v>
      </c>
      <c r="F7239">
        <v>43.166666666666664</v>
      </c>
    </row>
    <row r="7240" spans="1:6" x14ac:dyDescent="0.25">
      <c r="A7240" s="1">
        <v>40969</v>
      </c>
      <c r="B7240" t="s">
        <v>13</v>
      </c>
      <c r="C7240" t="s">
        <v>9</v>
      </c>
      <c r="D7240">
        <v>21</v>
      </c>
      <c r="E7240" s="2">
        <v>1.6157407407407409E-2</v>
      </c>
      <c r="F7240">
        <v>23.266666666666666</v>
      </c>
    </row>
    <row r="7241" spans="1:6" x14ac:dyDescent="0.25">
      <c r="A7241" s="1">
        <v>40969</v>
      </c>
      <c r="B7241" t="s">
        <v>13</v>
      </c>
      <c r="C7241" t="s">
        <v>10</v>
      </c>
      <c r="D7241">
        <v>20</v>
      </c>
      <c r="E7241" s="2">
        <v>2.8587962962962964E-2</v>
      </c>
      <c r="F7241">
        <v>41.166666666666664</v>
      </c>
    </row>
    <row r="7242" spans="1:6" x14ac:dyDescent="0.25">
      <c r="A7242" s="1">
        <v>40969</v>
      </c>
      <c r="B7242" t="s">
        <v>13</v>
      </c>
      <c r="C7242" t="s">
        <v>11</v>
      </c>
      <c r="D7242">
        <v>16</v>
      </c>
      <c r="E7242" s="2">
        <v>1.4525462962962962E-2</v>
      </c>
      <c r="F7242">
        <v>20.916666666666668</v>
      </c>
    </row>
    <row r="7243" spans="1:6" x14ac:dyDescent="0.25">
      <c r="A7243" s="1">
        <v>40969</v>
      </c>
      <c r="B7243" t="s">
        <v>14</v>
      </c>
      <c r="C7243" t="s">
        <v>6</v>
      </c>
      <c r="D7243">
        <v>11</v>
      </c>
      <c r="E7243" s="2">
        <v>1.4189814814814815E-2</v>
      </c>
      <c r="F7243">
        <v>20.433333333333334</v>
      </c>
    </row>
    <row r="7244" spans="1:6" x14ac:dyDescent="0.25">
      <c r="A7244" s="1">
        <v>40969</v>
      </c>
      <c r="B7244" t="s">
        <v>14</v>
      </c>
      <c r="C7244" t="s">
        <v>7</v>
      </c>
      <c r="D7244">
        <v>15</v>
      </c>
      <c r="E7244" s="2">
        <v>2.7175925925925926E-2</v>
      </c>
      <c r="F7244">
        <v>39.133333333333333</v>
      </c>
    </row>
    <row r="7245" spans="1:6" x14ac:dyDescent="0.25">
      <c r="A7245" s="1">
        <v>40969</v>
      </c>
      <c r="B7245" t="s">
        <v>14</v>
      </c>
      <c r="C7245" t="s">
        <v>8</v>
      </c>
      <c r="D7245">
        <v>6</v>
      </c>
      <c r="E7245" s="2">
        <v>1.0092592592592592E-2</v>
      </c>
      <c r="F7245">
        <v>14.533333333333333</v>
      </c>
    </row>
    <row r="7246" spans="1:6" x14ac:dyDescent="0.25">
      <c r="A7246" s="1">
        <v>40969</v>
      </c>
      <c r="B7246" t="s">
        <v>14</v>
      </c>
      <c r="C7246" t="s">
        <v>9</v>
      </c>
      <c r="D7246">
        <v>2</v>
      </c>
      <c r="E7246" s="2">
        <v>2.0370370370370369E-3</v>
      </c>
      <c r="F7246">
        <v>2.9333333333333336</v>
      </c>
    </row>
    <row r="7247" spans="1:6" x14ac:dyDescent="0.25">
      <c r="A7247" s="1">
        <v>40969</v>
      </c>
      <c r="B7247" t="s">
        <v>14</v>
      </c>
      <c r="C7247" t="s">
        <v>10</v>
      </c>
      <c r="D7247">
        <v>0</v>
      </c>
      <c r="E7247" s="2">
        <v>0</v>
      </c>
      <c r="F7247">
        <v>0</v>
      </c>
    </row>
    <row r="7248" spans="1:6" x14ac:dyDescent="0.25">
      <c r="A7248" s="1">
        <v>40969</v>
      </c>
      <c r="B7248" t="s">
        <v>14</v>
      </c>
      <c r="C7248" t="s">
        <v>11</v>
      </c>
      <c r="D7248">
        <v>7</v>
      </c>
      <c r="E7248" s="2">
        <v>7.3379629629629628E-3</v>
      </c>
      <c r="F7248">
        <v>10.566666666666666</v>
      </c>
    </row>
    <row r="7249" spans="1:6" x14ac:dyDescent="0.25">
      <c r="A7249" s="1">
        <v>40969</v>
      </c>
      <c r="B7249" t="s">
        <v>15</v>
      </c>
      <c r="C7249" t="s">
        <v>6</v>
      </c>
      <c r="D7249">
        <v>35</v>
      </c>
      <c r="E7249" s="2">
        <v>3.9664351851851853E-2</v>
      </c>
      <c r="F7249">
        <v>57.116666666666667</v>
      </c>
    </row>
    <row r="7250" spans="1:6" x14ac:dyDescent="0.25">
      <c r="A7250" s="1">
        <v>40969</v>
      </c>
      <c r="B7250" t="s">
        <v>15</v>
      </c>
      <c r="C7250" t="s">
        <v>7</v>
      </c>
      <c r="D7250">
        <v>27</v>
      </c>
      <c r="E7250" s="2">
        <v>2.6921296296296297E-2</v>
      </c>
      <c r="F7250">
        <v>38.766666666666666</v>
      </c>
    </row>
    <row r="7251" spans="1:6" x14ac:dyDescent="0.25">
      <c r="A7251" s="1">
        <v>40969</v>
      </c>
      <c r="B7251" t="s">
        <v>15</v>
      </c>
      <c r="C7251" t="s">
        <v>8</v>
      </c>
      <c r="D7251">
        <v>23</v>
      </c>
      <c r="E7251" s="2">
        <v>2.1712962962962962E-2</v>
      </c>
      <c r="F7251">
        <v>31.266666666666666</v>
      </c>
    </row>
    <row r="7252" spans="1:6" x14ac:dyDescent="0.25">
      <c r="A7252" s="1">
        <v>40969</v>
      </c>
      <c r="B7252" t="s">
        <v>15</v>
      </c>
      <c r="C7252" t="s">
        <v>9</v>
      </c>
      <c r="D7252">
        <v>8</v>
      </c>
      <c r="E7252" s="2">
        <v>4.178240740740741E-3</v>
      </c>
      <c r="F7252">
        <v>6.0166666666666666</v>
      </c>
    </row>
    <row r="7253" spans="1:6" x14ac:dyDescent="0.25">
      <c r="A7253" s="1">
        <v>40969</v>
      </c>
      <c r="B7253" t="s">
        <v>15</v>
      </c>
      <c r="C7253" t="s">
        <v>10</v>
      </c>
      <c r="D7253">
        <v>12</v>
      </c>
      <c r="E7253" s="2">
        <v>1.5289351851851853E-2</v>
      </c>
      <c r="F7253">
        <v>22.016666666666666</v>
      </c>
    </row>
    <row r="7254" spans="1:6" x14ac:dyDescent="0.25">
      <c r="A7254" s="1">
        <v>40969</v>
      </c>
      <c r="B7254" t="s">
        <v>15</v>
      </c>
      <c r="C7254" t="s">
        <v>11</v>
      </c>
      <c r="D7254">
        <v>11</v>
      </c>
      <c r="E7254" s="2">
        <v>9.3865740740740732E-3</v>
      </c>
      <c r="F7254">
        <v>13.516666666666667</v>
      </c>
    </row>
    <row r="7255" spans="1:6" x14ac:dyDescent="0.25">
      <c r="A7255" s="1">
        <v>40969</v>
      </c>
      <c r="B7255" t="s">
        <v>16</v>
      </c>
      <c r="C7255" t="s">
        <v>6</v>
      </c>
      <c r="D7255">
        <v>25</v>
      </c>
      <c r="E7255" s="2">
        <v>2.5011574074074075E-2</v>
      </c>
      <c r="F7255">
        <v>36.016666666666666</v>
      </c>
    </row>
    <row r="7256" spans="1:6" x14ac:dyDescent="0.25">
      <c r="A7256" s="1">
        <v>40969</v>
      </c>
      <c r="B7256" t="s">
        <v>16</v>
      </c>
      <c r="C7256" t="s">
        <v>7</v>
      </c>
      <c r="D7256">
        <v>29</v>
      </c>
      <c r="E7256" s="2">
        <v>2.8356481481481483E-2</v>
      </c>
      <c r="F7256">
        <v>40.833333333333336</v>
      </c>
    </row>
    <row r="7257" spans="1:6" x14ac:dyDescent="0.25">
      <c r="A7257" s="1">
        <v>40969</v>
      </c>
      <c r="B7257" t="s">
        <v>16</v>
      </c>
      <c r="C7257" t="s">
        <v>8</v>
      </c>
      <c r="D7257">
        <v>15</v>
      </c>
      <c r="E7257" s="2">
        <v>1.6203703703703703E-2</v>
      </c>
      <c r="F7257">
        <v>23.333333333333332</v>
      </c>
    </row>
    <row r="7258" spans="1:6" x14ac:dyDescent="0.25">
      <c r="A7258" s="1">
        <v>40969</v>
      </c>
      <c r="B7258" t="s">
        <v>16</v>
      </c>
      <c r="C7258" t="s">
        <v>9</v>
      </c>
      <c r="D7258">
        <v>18</v>
      </c>
      <c r="E7258" s="2">
        <v>1.1863425925925927E-2</v>
      </c>
      <c r="F7258">
        <v>17.083333333333332</v>
      </c>
    </row>
    <row r="7259" spans="1:6" x14ac:dyDescent="0.25">
      <c r="A7259" s="1">
        <v>40969</v>
      </c>
      <c r="B7259" t="s">
        <v>16</v>
      </c>
      <c r="C7259" t="s">
        <v>10</v>
      </c>
      <c r="D7259">
        <v>5</v>
      </c>
      <c r="E7259" s="2">
        <v>3.2870370370370371E-3</v>
      </c>
      <c r="F7259">
        <v>4.7333333333333334</v>
      </c>
    </row>
    <row r="7260" spans="1:6" x14ac:dyDescent="0.25">
      <c r="A7260" s="1">
        <v>40969</v>
      </c>
      <c r="B7260" t="s">
        <v>16</v>
      </c>
      <c r="C7260" t="s">
        <v>11</v>
      </c>
      <c r="D7260">
        <v>28</v>
      </c>
      <c r="E7260" s="2">
        <v>2.3078703703703702E-2</v>
      </c>
      <c r="F7260">
        <v>33.233333333333334</v>
      </c>
    </row>
    <row r="7261" spans="1:6" x14ac:dyDescent="0.25">
      <c r="A7261" s="1">
        <v>40969</v>
      </c>
      <c r="B7261" t="s">
        <v>17</v>
      </c>
      <c r="C7261" t="s">
        <v>6</v>
      </c>
      <c r="D7261">
        <v>19</v>
      </c>
      <c r="E7261" s="2">
        <v>2.1180555555555557E-2</v>
      </c>
      <c r="F7261">
        <v>30.5</v>
      </c>
    </row>
    <row r="7262" spans="1:6" x14ac:dyDescent="0.25">
      <c r="A7262" s="1">
        <v>40969</v>
      </c>
      <c r="B7262" t="s">
        <v>17</v>
      </c>
      <c r="C7262" t="s">
        <v>7</v>
      </c>
      <c r="D7262">
        <v>20</v>
      </c>
      <c r="E7262" s="2">
        <v>1.8344907407407407E-2</v>
      </c>
      <c r="F7262">
        <v>26.416666666666668</v>
      </c>
    </row>
    <row r="7263" spans="1:6" x14ac:dyDescent="0.25">
      <c r="A7263" s="1">
        <v>40969</v>
      </c>
      <c r="B7263" t="s">
        <v>17</v>
      </c>
      <c r="C7263" t="s">
        <v>8</v>
      </c>
      <c r="D7263">
        <v>9</v>
      </c>
      <c r="E7263" s="2">
        <v>8.8425925925925929E-3</v>
      </c>
      <c r="F7263">
        <v>12.733333333333333</v>
      </c>
    </row>
    <row r="7264" spans="1:6" x14ac:dyDescent="0.25">
      <c r="A7264" s="1">
        <v>40969</v>
      </c>
      <c r="B7264" t="s">
        <v>17</v>
      </c>
      <c r="C7264" t="s">
        <v>9</v>
      </c>
      <c r="D7264">
        <v>5</v>
      </c>
      <c r="E7264" s="2">
        <v>4.2939814814814811E-3</v>
      </c>
      <c r="F7264">
        <v>6.1833333333333336</v>
      </c>
    </row>
    <row r="7265" spans="1:6" x14ac:dyDescent="0.25">
      <c r="A7265" s="1">
        <v>40969</v>
      </c>
      <c r="B7265" t="s">
        <v>17</v>
      </c>
      <c r="C7265" t="s">
        <v>10</v>
      </c>
      <c r="D7265">
        <v>8</v>
      </c>
      <c r="E7265" s="2">
        <v>8.9583333333333338E-3</v>
      </c>
      <c r="F7265">
        <v>12.9</v>
      </c>
    </row>
    <row r="7266" spans="1:6" x14ac:dyDescent="0.25">
      <c r="A7266" s="1">
        <v>40969</v>
      </c>
      <c r="B7266" t="s">
        <v>17</v>
      </c>
      <c r="C7266" t="s">
        <v>11</v>
      </c>
      <c r="D7266">
        <v>12</v>
      </c>
      <c r="E7266" s="2">
        <v>9.6643518518518511E-3</v>
      </c>
      <c r="F7266">
        <v>13.916666666666666</v>
      </c>
    </row>
    <row r="7267" spans="1:6" x14ac:dyDescent="0.25">
      <c r="A7267" s="1">
        <v>40969</v>
      </c>
      <c r="B7267" t="s">
        <v>18</v>
      </c>
      <c r="C7267" t="s">
        <v>6</v>
      </c>
      <c r="D7267">
        <v>40</v>
      </c>
      <c r="E7267" s="2">
        <v>3.6585648148148145E-2</v>
      </c>
      <c r="F7267">
        <v>52.68333333333333</v>
      </c>
    </row>
    <row r="7268" spans="1:6" x14ac:dyDescent="0.25">
      <c r="A7268" s="1">
        <v>40969</v>
      </c>
      <c r="B7268" t="s">
        <v>18</v>
      </c>
      <c r="C7268" t="s">
        <v>7</v>
      </c>
      <c r="D7268">
        <v>51</v>
      </c>
      <c r="E7268" s="2">
        <v>3.8877314814814816E-2</v>
      </c>
      <c r="F7268">
        <v>55.983333333333334</v>
      </c>
    </row>
    <row r="7269" spans="1:6" x14ac:dyDescent="0.25">
      <c r="A7269" s="1">
        <v>40969</v>
      </c>
      <c r="B7269" t="s">
        <v>18</v>
      </c>
      <c r="C7269" t="s">
        <v>8</v>
      </c>
      <c r="D7269">
        <v>26</v>
      </c>
      <c r="E7269" s="2">
        <v>2.0393518518518519E-2</v>
      </c>
      <c r="F7269">
        <v>29.366666666666667</v>
      </c>
    </row>
    <row r="7270" spans="1:6" x14ac:dyDescent="0.25">
      <c r="A7270" s="1">
        <v>40969</v>
      </c>
      <c r="B7270" t="s">
        <v>18</v>
      </c>
      <c r="C7270" t="s">
        <v>9</v>
      </c>
      <c r="D7270">
        <v>68</v>
      </c>
      <c r="E7270" s="2">
        <v>4.8888888888888891E-2</v>
      </c>
      <c r="F7270">
        <v>70.400000000000006</v>
      </c>
    </row>
    <row r="7271" spans="1:6" x14ac:dyDescent="0.25">
      <c r="A7271" s="1">
        <v>40969</v>
      </c>
      <c r="B7271" t="s">
        <v>18</v>
      </c>
      <c r="C7271" t="s">
        <v>10</v>
      </c>
      <c r="D7271">
        <v>110</v>
      </c>
      <c r="E7271" s="2">
        <v>0.11486111111111111</v>
      </c>
      <c r="F7271">
        <v>165.4</v>
      </c>
    </row>
    <row r="7272" spans="1:6" x14ac:dyDescent="0.25">
      <c r="A7272" s="1">
        <v>40969</v>
      </c>
      <c r="B7272" t="s">
        <v>18</v>
      </c>
      <c r="C7272" t="s">
        <v>11</v>
      </c>
      <c r="D7272">
        <v>18</v>
      </c>
      <c r="E7272" s="2">
        <v>1.1793981481481482E-2</v>
      </c>
      <c r="F7272">
        <v>16.983333333333334</v>
      </c>
    </row>
    <row r="7273" spans="1:6" x14ac:dyDescent="0.25">
      <c r="A7273" s="1">
        <v>40969</v>
      </c>
      <c r="B7273" t="s">
        <v>19</v>
      </c>
      <c r="C7273" t="s">
        <v>6</v>
      </c>
      <c r="D7273">
        <v>26</v>
      </c>
      <c r="E7273" s="2">
        <v>2.9398148148148149E-2</v>
      </c>
      <c r="F7273">
        <v>42.333333333333336</v>
      </c>
    </row>
    <row r="7274" spans="1:6" x14ac:dyDescent="0.25">
      <c r="A7274" s="1">
        <v>40969</v>
      </c>
      <c r="B7274" t="s">
        <v>19</v>
      </c>
      <c r="C7274" t="s">
        <v>7</v>
      </c>
      <c r="D7274">
        <v>29</v>
      </c>
      <c r="E7274" s="2">
        <v>2.8564814814814814E-2</v>
      </c>
      <c r="F7274">
        <v>41.133333333333333</v>
      </c>
    </row>
    <row r="7275" spans="1:6" x14ac:dyDescent="0.25">
      <c r="A7275" s="1">
        <v>40969</v>
      </c>
      <c r="B7275" t="s">
        <v>19</v>
      </c>
      <c r="C7275" t="s">
        <v>8</v>
      </c>
      <c r="D7275">
        <v>15</v>
      </c>
      <c r="E7275" s="2">
        <v>1.4594907407407407E-2</v>
      </c>
      <c r="F7275">
        <v>21.016666666666666</v>
      </c>
    </row>
    <row r="7276" spans="1:6" x14ac:dyDescent="0.25">
      <c r="A7276" s="1">
        <v>40969</v>
      </c>
      <c r="B7276" t="s">
        <v>19</v>
      </c>
      <c r="C7276" t="s">
        <v>9</v>
      </c>
      <c r="D7276">
        <v>17</v>
      </c>
      <c r="E7276" s="2">
        <v>1.1759259259259259E-2</v>
      </c>
      <c r="F7276">
        <v>16.933333333333334</v>
      </c>
    </row>
    <row r="7277" spans="1:6" x14ac:dyDescent="0.25">
      <c r="A7277" s="1">
        <v>40969</v>
      </c>
      <c r="B7277" t="s">
        <v>19</v>
      </c>
      <c r="C7277" t="s">
        <v>10</v>
      </c>
      <c r="D7277">
        <v>10</v>
      </c>
      <c r="E7277" s="2">
        <v>8.2986111111111108E-3</v>
      </c>
      <c r="F7277">
        <v>11.95</v>
      </c>
    </row>
    <row r="7278" spans="1:6" x14ac:dyDescent="0.25">
      <c r="A7278" s="1">
        <v>40969</v>
      </c>
      <c r="B7278" t="s">
        <v>19</v>
      </c>
      <c r="C7278" t="s">
        <v>11</v>
      </c>
      <c r="D7278">
        <v>19</v>
      </c>
      <c r="E7278" s="2">
        <v>1.5868055555555555E-2</v>
      </c>
      <c r="F7278">
        <v>22.85</v>
      </c>
    </row>
    <row r="7279" spans="1:6" x14ac:dyDescent="0.25">
      <c r="A7279" s="1">
        <v>40969</v>
      </c>
      <c r="B7279" t="s">
        <v>20</v>
      </c>
      <c r="C7279" t="s">
        <v>6</v>
      </c>
      <c r="D7279">
        <v>195</v>
      </c>
      <c r="E7279" s="2">
        <v>0.21861111111111112</v>
      </c>
      <c r="F7279">
        <v>314.8</v>
      </c>
    </row>
    <row r="7280" spans="1:6" x14ac:dyDescent="0.25">
      <c r="A7280" s="1">
        <v>40969</v>
      </c>
      <c r="B7280" t="s">
        <v>20</v>
      </c>
      <c r="C7280" t="s">
        <v>7</v>
      </c>
      <c r="D7280">
        <v>198</v>
      </c>
      <c r="E7280" s="2">
        <v>0.23578703703703704</v>
      </c>
      <c r="F7280">
        <v>339.53333333333336</v>
      </c>
    </row>
    <row r="7281" spans="1:6" x14ac:dyDescent="0.25">
      <c r="A7281" s="1">
        <v>40969</v>
      </c>
      <c r="B7281" t="s">
        <v>20</v>
      </c>
      <c r="C7281" t="s">
        <v>8</v>
      </c>
      <c r="D7281">
        <v>155</v>
      </c>
      <c r="E7281" s="2">
        <v>0.17619212962962963</v>
      </c>
      <c r="F7281">
        <v>253.71666666666667</v>
      </c>
    </row>
    <row r="7282" spans="1:6" x14ac:dyDescent="0.25">
      <c r="A7282" s="1">
        <v>40969</v>
      </c>
      <c r="B7282" t="s">
        <v>20</v>
      </c>
      <c r="C7282" t="s">
        <v>9</v>
      </c>
      <c r="D7282">
        <v>89</v>
      </c>
      <c r="E7282" s="2">
        <v>7.6365740740740734E-2</v>
      </c>
      <c r="F7282">
        <v>109.96666666666667</v>
      </c>
    </row>
    <row r="7283" spans="1:6" x14ac:dyDescent="0.25">
      <c r="A7283" s="1">
        <v>40969</v>
      </c>
      <c r="B7283" t="s">
        <v>20</v>
      </c>
      <c r="C7283" t="s">
        <v>10</v>
      </c>
      <c r="D7283">
        <v>35</v>
      </c>
      <c r="E7283" s="2">
        <v>4.0613425925925928E-2</v>
      </c>
      <c r="F7283">
        <v>58.483333333333334</v>
      </c>
    </row>
    <row r="7284" spans="1:6" x14ac:dyDescent="0.25">
      <c r="A7284" s="1">
        <v>40969</v>
      </c>
      <c r="B7284" t="s">
        <v>20</v>
      </c>
      <c r="C7284" t="s">
        <v>11</v>
      </c>
      <c r="D7284">
        <v>147</v>
      </c>
      <c r="E7284" s="2">
        <v>0.13782407407407407</v>
      </c>
      <c r="F7284">
        <v>198.46666666666667</v>
      </c>
    </row>
    <row r="7285" spans="1:6" x14ac:dyDescent="0.25">
      <c r="A7285" s="1">
        <v>40969</v>
      </c>
      <c r="B7285" t="s">
        <v>21</v>
      </c>
      <c r="C7285" t="s">
        <v>6</v>
      </c>
      <c r="D7285">
        <v>17</v>
      </c>
      <c r="E7285" s="2">
        <v>2.7453703703703702E-2</v>
      </c>
      <c r="F7285">
        <v>39.533333333333331</v>
      </c>
    </row>
    <row r="7286" spans="1:6" x14ac:dyDescent="0.25">
      <c r="A7286" s="1">
        <v>40969</v>
      </c>
      <c r="B7286" t="s">
        <v>21</v>
      </c>
      <c r="C7286" t="s">
        <v>7</v>
      </c>
      <c r="D7286">
        <v>19</v>
      </c>
      <c r="E7286" s="2">
        <v>3.1828703703703706E-2</v>
      </c>
      <c r="F7286">
        <v>45.833333333333336</v>
      </c>
    </row>
    <row r="7287" spans="1:6" x14ac:dyDescent="0.25">
      <c r="A7287" s="1">
        <v>40969</v>
      </c>
      <c r="B7287" t="s">
        <v>21</v>
      </c>
      <c r="C7287" t="s">
        <v>8</v>
      </c>
      <c r="D7287">
        <v>13</v>
      </c>
      <c r="E7287" s="2">
        <v>1.7974537037037035E-2</v>
      </c>
      <c r="F7287">
        <v>25.883333333333333</v>
      </c>
    </row>
    <row r="7288" spans="1:6" x14ac:dyDescent="0.25">
      <c r="A7288" s="1">
        <v>40969</v>
      </c>
      <c r="B7288" t="s">
        <v>21</v>
      </c>
      <c r="C7288" t="s">
        <v>9</v>
      </c>
      <c r="D7288">
        <v>10</v>
      </c>
      <c r="E7288" s="2">
        <v>8.4837962962962966E-3</v>
      </c>
      <c r="F7288">
        <v>12.216666666666667</v>
      </c>
    </row>
    <row r="7289" spans="1:6" x14ac:dyDescent="0.25">
      <c r="A7289" s="1">
        <v>40969</v>
      </c>
      <c r="B7289" t="s">
        <v>21</v>
      </c>
      <c r="C7289" t="s">
        <v>10</v>
      </c>
      <c r="D7289">
        <v>5</v>
      </c>
      <c r="E7289" s="2">
        <v>8.6574074074074071E-3</v>
      </c>
      <c r="F7289">
        <v>12.466666666666667</v>
      </c>
    </row>
    <row r="7290" spans="1:6" x14ac:dyDescent="0.25">
      <c r="A7290" s="1">
        <v>40969</v>
      </c>
      <c r="B7290" t="s">
        <v>21</v>
      </c>
      <c r="C7290" t="s">
        <v>11</v>
      </c>
      <c r="D7290">
        <v>21</v>
      </c>
      <c r="E7290" s="2">
        <v>2.2847222222222224E-2</v>
      </c>
      <c r="F7290">
        <v>32.9</v>
      </c>
    </row>
    <row r="7291" spans="1:6" x14ac:dyDescent="0.25">
      <c r="A7291" s="1">
        <v>40969</v>
      </c>
      <c r="B7291" t="s">
        <v>22</v>
      </c>
      <c r="C7291" t="s">
        <v>6</v>
      </c>
      <c r="D7291">
        <v>8</v>
      </c>
      <c r="E7291" s="2">
        <v>1.1655092592592592E-2</v>
      </c>
      <c r="F7291">
        <v>16.783333333333335</v>
      </c>
    </row>
    <row r="7292" spans="1:6" x14ac:dyDescent="0.25">
      <c r="A7292" s="1">
        <v>40969</v>
      </c>
      <c r="B7292" t="s">
        <v>22</v>
      </c>
      <c r="C7292" t="s">
        <v>7</v>
      </c>
      <c r="D7292">
        <v>7</v>
      </c>
      <c r="E7292" s="2">
        <v>6.7245370370370367E-3</v>
      </c>
      <c r="F7292">
        <v>9.6833333333333336</v>
      </c>
    </row>
    <row r="7293" spans="1:6" x14ac:dyDescent="0.25">
      <c r="A7293" s="1">
        <v>40969</v>
      </c>
      <c r="B7293" t="s">
        <v>22</v>
      </c>
      <c r="C7293" t="s">
        <v>8</v>
      </c>
      <c r="D7293">
        <v>8</v>
      </c>
      <c r="E7293" s="2">
        <v>9.7337962962962959E-3</v>
      </c>
      <c r="F7293">
        <v>14.016666666666667</v>
      </c>
    </row>
    <row r="7294" spans="1:6" x14ac:dyDescent="0.25">
      <c r="A7294" s="1">
        <v>40969</v>
      </c>
      <c r="B7294" t="s">
        <v>22</v>
      </c>
      <c r="C7294" t="s">
        <v>9</v>
      </c>
      <c r="D7294">
        <v>3</v>
      </c>
      <c r="E7294" s="2">
        <v>1.6782407407407408E-3</v>
      </c>
      <c r="F7294">
        <v>2.4166666666666665</v>
      </c>
    </row>
    <row r="7295" spans="1:6" x14ac:dyDescent="0.25">
      <c r="A7295" s="1">
        <v>40969</v>
      </c>
      <c r="B7295" t="s">
        <v>22</v>
      </c>
      <c r="C7295" t="s">
        <v>10</v>
      </c>
      <c r="D7295">
        <v>1</v>
      </c>
      <c r="E7295" s="2">
        <v>1.0069444444444444E-3</v>
      </c>
      <c r="F7295">
        <v>1.45</v>
      </c>
    </row>
    <row r="7296" spans="1:6" x14ac:dyDescent="0.25">
      <c r="A7296" s="1">
        <v>40969</v>
      </c>
      <c r="B7296" t="s">
        <v>22</v>
      </c>
      <c r="C7296" t="s">
        <v>11</v>
      </c>
      <c r="D7296">
        <v>5</v>
      </c>
      <c r="E7296" s="2">
        <v>3.9467592592592592E-3</v>
      </c>
      <c r="F7296">
        <v>5.6833333333333336</v>
      </c>
    </row>
    <row r="7297" spans="1:6" x14ac:dyDescent="0.25">
      <c r="A7297" s="1">
        <v>40969</v>
      </c>
      <c r="B7297" t="s">
        <v>23</v>
      </c>
      <c r="C7297" t="s">
        <v>6</v>
      </c>
      <c r="D7297">
        <v>80</v>
      </c>
      <c r="E7297" s="2">
        <v>8.3206018518518512E-2</v>
      </c>
      <c r="F7297">
        <v>119.81666666666666</v>
      </c>
    </row>
    <row r="7298" spans="1:6" x14ac:dyDescent="0.25">
      <c r="A7298" s="1">
        <v>40969</v>
      </c>
      <c r="B7298" t="s">
        <v>23</v>
      </c>
      <c r="C7298" t="s">
        <v>7</v>
      </c>
      <c r="D7298">
        <v>101</v>
      </c>
      <c r="E7298" s="2">
        <v>0.13210648148148149</v>
      </c>
      <c r="F7298">
        <v>190.23333333333332</v>
      </c>
    </row>
    <row r="7299" spans="1:6" x14ac:dyDescent="0.25">
      <c r="A7299" s="1">
        <v>40969</v>
      </c>
      <c r="B7299" t="s">
        <v>23</v>
      </c>
      <c r="C7299" t="s">
        <v>8</v>
      </c>
      <c r="D7299">
        <v>40</v>
      </c>
      <c r="E7299" s="2">
        <v>4.5393518518518521E-2</v>
      </c>
      <c r="F7299">
        <v>65.36666666666666</v>
      </c>
    </row>
    <row r="7300" spans="1:6" x14ac:dyDescent="0.25">
      <c r="A7300" s="1">
        <v>40969</v>
      </c>
      <c r="B7300" t="s">
        <v>23</v>
      </c>
      <c r="C7300" t="s">
        <v>9</v>
      </c>
      <c r="D7300">
        <v>52</v>
      </c>
      <c r="E7300" s="2">
        <v>3.6261574074074071E-2</v>
      </c>
      <c r="F7300">
        <v>52.216666666666669</v>
      </c>
    </row>
    <row r="7301" spans="1:6" x14ac:dyDescent="0.25">
      <c r="A7301" s="1">
        <v>40969</v>
      </c>
      <c r="B7301" t="s">
        <v>23</v>
      </c>
      <c r="C7301" t="s">
        <v>10</v>
      </c>
      <c r="D7301">
        <v>29</v>
      </c>
      <c r="E7301" s="2">
        <v>3.215277777777778E-2</v>
      </c>
      <c r="F7301">
        <v>46.3</v>
      </c>
    </row>
    <row r="7302" spans="1:6" x14ac:dyDescent="0.25">
      <c r="A7302" s="1">
        <v>40969</v>
      </c>
      <c r="B7302" t="s">
        <v>23</v>
      </c>
      <c r="C7302" t="s">
        <v>11</v>
      </c>
      <c r="D7302">
        <v>53</v>
      </c>
      <c r="E7302" s="2">
        <v>4.3946759259259262E-2</v>
      </c>
      <c r="F7302">
        <v>63.283333333333331</v>
      </c>
    </row>
    <row r="7303" spans="1:6" x14ac:dyDescent="0.25">
      <c r="A7303" s="1">
        <v>40969</v>
      </c>
      <c r="B7303" t="s">
        <v>24</v>
      </c>
      <c r="C7303" t="s">
        <v>6</v>
      </c>
      <c r="D7303">
        <v>36</v>
      </c>
      <c r="E7303" s="2">
        <v>3.5081018518518518E-2</v>
      </c>
      <c r="F7303">
        <v>50.516666666666666</v>
      </c>
    </row>
    <row r="7304" spans="1:6" x14ac:dyDescent="0.25">
      <c r="A7304" s="1">
        <v>40969</v>
      </c>
      <c r="B7304" t="s">
        <v>24</v>
      </c>
      <c r="C7304" t="s">
        <v>7</v>
      </c>
      <c r="D7304">
        <v>41</v>
      </c>
      <c r="E7304" s="2">
        <v>3.4861111111111114E-2</v>
      </c>
      <c r="F7304">
        <v>50.2</v>
      </c>
    </row>
    <row r="7305" spans="1:6" x14ac:dyDescent="0.25">
      <c r="A7305" s="1">
        <v>40969</v>
      </c>
      <c r="B7305" t="s">
        <v>24</v>
      </c>
      <c r="C7305" t="s">
        <v>8</v>
      </c>
      <c r="D7305">
        <v>19</v>
      </c>
      <c r="E7305" s="2">
        <v>1.1064814814814816E-2</v>
      </c>
      <c r="F7305">
        <v>15.933333333333334</v>
      </c>
    </row>
    <row r="7306" spans="1:6" x14ac:dyDescent="0.25">
      <c r="A7306" s="1">
        <v>40969</v>
      </c>
      <c r="B7306" t="s">
        <v>24</v>
      </c>
      <c r="C7306" t="s">
        <v>9</v>
      </c>
      <c r="D7306">
        <v>6</v>
      </c>
      <c r="E7306" s="2">
        <v>2.4074074074074076E-3</v>
      </c>
      <c r="F7306">
        <v>3.4666666666666668</v>
      </c>
    </row>
    <row r="7307" spans="1:6" x14ac:dyDescent="0.25">
      <c r="A7307" s="1">
        <v>40969</v>
      </c>
      <c r="B7307" t="s">
        <v>24</v>
      </c>
      <c r="C7307" t="s">
        <v>10</v>
      </c>
      <c r="D7307">
        <v>0</v>
      </c>
      <c r="E7307" s="2">
        <v>0</v>
      </c>
      <c r="F7307">
        <v>0</v>
      </c>
    </row>
    <row r="7308" spans="1:6" x14ac:dyDescent="0.25">
      <c r="A7308" s="1">
        <v>40969</v>
      </c>
      <c r="B7308" t="s">
        <v>24</v>
      </c>
      <c r="C7308" t="s">
        <v>11</v>
      </c>
      <c r="D7308">
        <v>20</v>
      </c>
      <c r="E7308" s="2">
        <v>1.3402777777777777E-2</v>
      </c>
      <c r="F7308">
        <v>19.3</v>
      </c>
    </row>
    <row r="7309" spans="1:6" x14ac:dyDescent="0.25">
      <c r="A7309" s="1">
        <v>41000</v>
      </c>
      <c r="B7309" t="s">
        <v>5</v>
      </c>
      <c r="C7309" t="s">
        <v>6</v>
      </c>
      <c r="D7309">
        <v>21</v>
      </c>
      <c r="E7309" s="2">
        <v>1.5694444444444445E-2</v>
      </c>
      <c r="F7309">
        <v>22.6</v>
      </c>
    </row>
    <row r="7310" spans="1:6" x14ac:dyDescent="0.25">
      <c r="A7310" s="1">
        <v>41000</v>
      </c>
      <c r="B7310" t="s">
        <v>5</v>
      </c>
      <c r="C7310" t="s">
        <v>7</v>
      </c>
      <c r="D7310">
        <v>25</v>
      </c>
      <c r="E7310" s="2">
        <v>1.804398148148148E-2</v>
      </c>
      <c r="F7310">
        <v>25.983333333333334</v>
      </c>
    </row>
    <row r="7311" spans="1:6" x14ac:dyDescent="0.25">
      <c r="A7311" s="1">
        <v>41000</v>
      </c>
      <c r="B7311" t="s">
        <v>5</v>
      </c>
      <c r="C7311" t="s">
        <v>8</v>
      </c>
      <c r="D7311">
        <v>17</v>
      </c>
      <c r="E7311" s="2">
        <v>1.1261574074074075E-2</v>
      </c>
      <c r="F7311">
        <v>16.216666666666665</v>
      </c>
    </row>
    <row r="7312" spans="1:6" x14ac:dyDescent="0.25">
      <c r="A7312" s="1">
        <v>41000</v>
      </c>
      <c r="B7312" t="s">
        <v>5</v>
      </c>
      <c r="C7312" t="s">
        <v>9</v>
      </c>
      <c r="D7312">
        <v>15</v>
      </c>
      <c r="E7312" s="2">
        <v>7.8935185185185185E-3</v>
      </c>
      <c r="F7312">
        <v>11.366666666666667</v>
      </c>
    </row>
    <row r="7313" spans="1:6" x14ac:dyDescent="0.25">
      <c r="A7313" s="1">
        <v>41000</v>
      </c>
      <c r="B7313" t="s">
        <v>5</v>
      </c>
      <c r="C7313" t="s">
        <v>10</v>
      </c>
      <c r="D7313">
        <v>4</v>
      </c>
      <c r="E7313" s="2">
        <v>2.9745370370370373E-3</v>
      </c>
      <c r="F7313">
        <v>4.2833333333333332</v>
      </c>
    </row>
    <row r="7314" spans="1:6" x14ac:dyDescent="0.25">
      <c r="A7314" s="1">
        <v>41000</v>
      </c>
      <c r="B7314" t="s">
        <v>5</v>
      </c>
      <c r="C7314" t="s">
        <v>11</v>
      </c>
      <c r="D7314">
        <v>16</v>
      </c>
      <c r="E7314" s="2">
        <v>9.7569444444444448E-3</v>
      </c>
      <c r="F7314">
        <v>14.05</v>
      </c>
    </row>
    <row r="7315" spans="1:6" x14ac:dyDescent="0.25">
      <c r="A7315" s="1">
        <v>41000</v>
      </c>
      <c r="B7315" t="s">
        <v>12</v>
      </c>
      <c r="C7315" t="s">
        <v>6</v>
      </c>
      <c r="D7315">
        <v>37</v>
      </c>
      <c r="E7315" s="2">
        <v>4.9166666666666664E-2</v>
      </c>
      <c r="F7315">
        <v>70.8</v>
      </c>
    </row>
    <row r="7316" spans="1:6" x14ac:dyDescent="0.25">
      <c r="A7316" s="1">
        <v>41000</v>
      </c>
      <c r="B7316" t="s">
        <v>12</v>
      </c>
      <c r="C7316" t="s">
        <v>7</v>
      </c>
      <c r="D7316">
        <v>36</v>
      </c>
      <c r="E7316" s="2">
        <v>4.1967592592592591E-2</v>
      </c>
      <c r="F7316">
        <v>60.43333333333333</v>
      </c>
    </row>
    <row r="7317" spans="1:6" x14ac:dyDescent="0.25">
      <c r="A7317" s="1">
        <v>41000</v>
      </c>
      <c r="B7317" t="s">
        <v>12</v>
      </c>
      <c r="C7317" t="s">
        <v>8</v>
      </c>
      <c r="D7317">
        <v>14</v>
      </c>
      <c r="E7317" s="2">
        <v>1.9328703703703702E-2</v>
      </c>
      <c r="F7317">
        <v>27.833333333333332</v>
      </c>
    </row>
    <row r="7318" spans="1:6" x14ac:dyDescent="0.25">
      <c r="A7318" s="1">
        <v>41000</v>
      </c>
      <c r="B7318" t="s">
        <v>12</v>
      </c>
      <c r="C7318" t="s">
        <v>9</v>
      </c>
      <c r="D7318">
        <v>14</v>
      </c>
      <c r="E7318" s="2">
        <v>9.6296296296296303E-3</v>
      </c>
      <c r="F7318">
        <v>13.866666666666667</v>
      </c>
    </row>
    <row r="7319" spans="1:6" x14ac:dyDescent="0.25">
      <c r="A7319" s="1">
        <v>41000</v>
      </c>
      <c r="B7319" t="s">
        <v>12</v>
      </c>
      <c r="C7319" t="s">
        <v>10</v>
      </c>
      <c r="D7319">
        <v>18</v>
      </c>
      <c r="E7319" s="2">
        <v>3.229166666666667E-2</v>
      </c>
      <c r="F7319">
        <v>46.5</v>
      </c>
    </row>
    <row r="7320" spans="1:6" x14ac:dyDescent="0.25">
      <c r="A7320" s="1">
        <v>41000</v>
      </c>
      <c r="B7320" t="s">
        <v>12</v>
      </c>
      <c r="C7320" t="s">
        <v>11</v>
      </c>
      <c r="D7320">
        <v>52</v>
      </c>
      <c r="E7320" s="2">
        <v>5.1967592592592593E-2</v>
      </c>
      <c r="F7320">
        <v>74.833333333333329</v>
      </c>
    </row>
    <row r="7321" spans="1:6" x14ac:dyDescent="0.25">
      <c r="A7321" s="1">
        <v>41000</v>
      </c>
      <c r="B7321" t="s">
        <v>13</v>
      </c>
      <c r="C7321" t="s">
        <v>6</v>
      </c>
      <c r="D7321">
        <v>68</v>
      </c>
      <c r="E7321" s="2">
        <v>7.5914351851851858E-2</v>
      </c>
      <c r="F7321">
        <v>109.31666666666666</v>
      </c>
    </row>
    <row r="7322" spans="1:6" x14ac:dyDescent="0.25">
      <c r="A7322" s="1">
        <v>41000</v>
      </c>
      <c r="B7322" t="s">
        <v>13</v>
      </c>
      <c r="C7322" t="s">
        <v>7</v>
      </c>
      <c r="D7322">
        <v>72</v>
      </c>
      <c r="E7322" s="2">
        <v>9.6851851851851856E-2</v>
      </c>
      <c r="F7322">
        <v>139.46666666666667</v>
      </c>
    </row>
    <row r="7323" spans="1:6" x14ac:dyDescent="0.25">
      <c r="A7323" s="1">
        <v>41000</v>
      </c>
      <c r="B7323" t="s">
        <v>13</v>
      </c>
      <c r="C7323" t="s">
        <v>8</v>
      </c>
      <c r="D7323">
        <v>35</v>
      </c>
      <c r="E7323" s="2">
        <v>4.9444444444444444E-2</v>
      </c>
      <c r="F7323">
        <v>71.2</v>
      </c>
    </row>
    <row r="7324" spans="1:6" x14ac:dyDescent="0.25">
      <c r="A7324" s="1">
        <v>41000</v>
      </c>
      <c r="B7324" t="s">
        <v>13</v>
      </c>
      <c r="C7324" t="s">
        <v>9</v>
      </c>
      <c r="D7324">
        <v>28</v>
      </c>
      <c r="E7324" s="2">
        <v>2.0196759259259258E-2</v>
      </c>
      <c r="F7324">
        <v>29.083333333333332</v>
      </c>
    </row>
    <row r="7325" spans="1:6" x14ac:dyDescent="0.25">
      <c r="A7325" s="1">
        <v>41000</v>
      </c>
      <c r="B7325" t="s">
        <v>13</v>
      </c>
      <c r="C7325" t="s">
        <v>10</v>
      </c>
      <c r="D7325">
        <v>17</v>
      </c>
      <c r="E7325" s="2">
        <v>2.2442129629629631E-2</v>
      </c>
      <c r="F7325">
        <v>32.31666666666667</v>
      </c>
    </row>
    <row r="7326" spans="1:6" x14ac:dyDescent="0.25">
      <c r="A7326" s="1">
        <v>41000</v>
      </c>
      <c r="B7326" t="s">
        <v>13</v>
      </c>
      <c r="C7326" t="s">
        <v>11</v>
      </c>
      <c r="D7326">
        <v>29</v>
      </c>
      <c r="E7326" s="2">
        <v>2.8854166666666667E-2</v>
      </c>
      <c r="F7326">
        <v>41.55</v>
      </c>
    </row>
    <row r="7327" spans="1:6" x14ac:dyDescent="0.25">
      <c r="A7327" s="1">
        <v>41000</v>
      </c>
      <c r="B7327" t="s">
        <v>14</v>
      </c>
      <c r="C7327" t="s">
        <v>6</v>
      </c>
      <c r="D7327">
        <v>9</v>
      </c>
      <c r="E7327" s="2">
        <v>1.1828703703703704E-2</v>
      </c>
      <c r="F7327">
        <v>17.033333333333335</v>
      </c>
    </row>
    <row r="7328" spans="1:6" x14ac:dyDescent="0.25">
      <c r="A7328" s="1">
        <v>41000</v>
      </c>
      <c r="B7328" t="s">
        <v>14</v>
      </c>
      <c r="C7328" t="s">
        <v>7</v>
      </c>
      <c r="D7328">
        <v>7</v>
      </c>
      <c r="E7328" s="2">
        <v>1.5104166666666667E-2</v>
      </c>
      <c r="F7328">
        <v>21.75</v>
      </c>
    </row>
    <row r="7329" spans="1:6" x14ac:dyDescent="0.25">
      <c r="A7329" s="1">
        <v>41000</v>
      </c>
      <c r="B7329" t="s">
        <v>14</v>
      </c>
      <c r="C7329" t="s">
        <v>8</v>
      </c>
      <c r="D7329">
        <v>5</v>
      </c>
      <c r="E7329" s="2">
        <v>9.3634259259259261E-3</v>
      </c>
      <c r="F7329">
        <v>13.483333333333333</v>
      </c>
    </row>
    <row r="7330" spans="1:6" x14ac:dyDescent="0.25">
      <c r="A7330" s="1">
        <v>41000</v>
      </c>
      <c r="B7330" t="s">
        <v>14</v>
      </c>
      <c r="C7330" t="s">
        <v>9</v>
      </c>
      <c r="D7330">
        <v>1</v>
      </c>
      <c r="E7330" s="2">
        <v>4.2824074074074075E-4</v>
      </c>
      <c r="F7330">
        <v>0.6166666666666667</v>
      </c>
    </row>
    <row r="7331" spans="1:6" x14ac:dyDescent="0.25">
      <c r="A7331" s="1">
        <v>41000</v>
      </c>
      <c r="B7331" t="s">
        <v>14</v>
      </c>
      <c r="C7331" t="s">
        <v>10</v>
      </c>
      <c r="D7331">
        <v>0</v>
      </c>
      <c r="E7331" s="2">
        <v>0</v>
      </c>
      <c r="F7331">
        <v>0</v>
      </c>
    </row>
    <row r="7332" spans="1:6" x14ac:dyDescent="0.25">
      <c r="A7332" s="1">
        <v>41000</v>
      </c>
      <c r="B7332" t="s">
        <v>14</v>
      </c>
      <c r="C7332" t="s">
        <v>11</v>
      </c>
      <c r="D7332">
        <v>6</v>
      </c>
      <c r="E7332" s="2">
        <v>7.4768518518518517E-3</v>
      </c>
      <c r="F7332">
        <v>10.766666666666667</v>
      </c>
    </row>
    <row r="7333" spans="1:6" x14ac:dyDescent="0.25">
      <c r="A7333" s="1">
        <v>41000</v>
      </c>
      <c r="B7333" t="s">
        <v>15</v>
      </c>
      <c r="C7333" t="s">
        <v>6</v>
      </c>
      <c r="D7333">
        <v>27</v>
      </c>
      <c r="E7333" s="2">
        <v>2.5868055555555554E-2</v>
      </c>
      <c r="F7333">
        <v>37.25</v>
      </c>
    </row>
    <row r="7334" spans="1:6" x14ac:dyDescent="0.25">
      <c r="A7334" s="1">
        <v>41000</v>
      </c>
      <c r="B7334" t="s">
        <v>15</v>
      </c>
      <c r="C7334" t="s">
        <v>7</v>
      </c>
      <c r="D7334">
        <v>25</v>
      </c>
      <c r="E7334" s="2">
        <v>2.732638888888889E-2</v>
      </c>
      <c r="F7334">
        <v>39.35</v>
      </c>
    </row>
    <row r="7335" spans="1:6" x14ac:dyDescent="0.25">
      <c r="A7335" s="1">
        <v>41000</v>
      </c>
      <c r="B7335" t="s">
        <v>15</v>
      </c>
      <c r="C7335" t="s">
        <v>8</v>
      </c>
      <c r="D7335">
        <v>15</v>
      </c>
      <c r="E7335" s="2">
        <v>1.3414351851851853E-2</v>
      </c>
      <c r="F7335">
        <v>19.316666666666666</v>
      </c>
    </row>
    <row r="7336" spans="1:6" x14ac:dyDescent="0.25">
      <c r="A7336" s="1">
        <v>41000</v>
      </c>
      <c r="B7336" t="s">
        <v>15</v>
      </c>
      <c r="C7336" t="s">
        <v>9</v>
      </c>
      <c r="D7336">
        <v>9</v>
      </c>
      <c r="E7336" s="2">
        <v>4.4444444444444444E-3</v>
      </c>
      <c r="F7336">
        <v>6.4</v>
      </c>
    </row>
    <row r="7337" spans="1:6" x14ac:dyDescent="0.25">
      <c r="A7337" s="1">
        <v>41000</v>
      </c>
      <c r="B7337" t="s">
        <v>15</v>
      </c>
      <c r="C7337" t="s">
        <v>10</v>
      </c>
      <c r="D7337">
        <v>4</v>
      </c>
      <c r="E7337" s="2">
        <v>2.0254629629629629E-3</v>
      </c>
      <c r="F7337">
        <v>2.9166666666666665</v>
      </c>
    </row>
    <row r="7338" spans="1:6" x14ac:dyDescent="0.25">
      <c r="A7338" s="1">
        <v>41000</v>
      </c>
      <c r="B7338" t="s">
        <v>15</v>
      </c>
      <c r="C7338" t="s">
        <v>11</v>
      </c>
      <c r="D7338">
        <v>11</v>
      </c>
      <c r="E7338" s="2">
        <v>7.2222222222222219E-3</v>
      </c>
      <c r="F7338">
        <v>10.4</v>
      </c>
    </row>
    <row r="7339" spans="1:6" x14ac:dyDescent="0.25">
      <c r="A7339" s="1">
        <v>41000</v>
      </c>
      <c r="B7339" t="s">
        <v>16</v>
      </c>
      <c r="C7339" t="s">
        <v>6</v>
      </c>
      <c r="D7339">
        <v>61</v>
      </c>
      <c r="E7339" s="2">
        <v>5.9409722222222225E-2</v>
      </c>
      <c r="F7339">
        <v>85.55</v>
      </c>
    </row>
    <row r="7340" spans="1:6" x14ac:dyDescent="0.25">
      <c r="A7340" s="1">
        <v>41000</v>
      </c>
      <c r="B7340" t="s">
        <v>16</v>
      </c>
      <c r="C7340" t="s">
        <v>7</v>
      </c>
      <c r="D7340">
        <v>42</v>
      </c>
      <c r="E7340" s="2">
        <v>3.7337962962962962E-2</v>
      </c>
      <c r="F7340">
        <v>53.766666666666666</v>
      </c>
    </row>
    <row r="7341" spans="1:6" x14ac:dyDescent="0.25">
      <c r="A7341" s="1">
        <v>41000</v>
      </c>
      <c r="B7341" t="s">
        <v>16</v>
      </c>
      <c r="C7341" t="s">
        <v>8</v>
      </c>
      <c r="D7341">
        <v>48</v>
      </c>
      <c r="E7341" s="2">
        <v>4.400462962962963E-2</v>
      </c>
      <c r="F7341">
        <v>63.366666666666667</v>
      </c>
    </row>
    <row r="7342" spans="1:6" x14ac:dyDescent="0.25">
      <c r="A7342" s="1">
        <v>41000</v>
      </c>
      <c r="B7342" t="s">
        <v>16</v>
      </c>
      <c r="C7342" t="s">
        <v>9</v>
      </c>
      <c r="D7342">
        <v>23</v>
      </c>
      <c r="E7342" s="2">
        <v>1.5219907407407408E-2</v>
      </c>
      <c r="F7342">
        <v>21.916666666666668</v>
      </c>
    </row>
    <row r="7343" spans="1:6" x14ac:dyDescent="0.25">
      <c r="A7343" s="1">
        <v>41000</v>
      </c>
      <c r="B7343" t="s">
        <v>16</v>
      </c>
      <c r="C7343" t="s">
        <v>10</v>
      </c>
      <c r="D7343">
        <v>5</v>
      </c>
      <c r="E7343" s="2">
        <v>2.9166666666666668E-3</v>
      </c>
      <c r="F7343">
        <v>4.2</v>
      </c>
    </row>
    <row r="7344" spans="1:6" x14ac:dyDescent="0.25">
      <c r="A7344" s="1">
        <v>41000</v>
      </c>
      <c r="B7344" t="s">
        <v>16</v>
      </c>
      <c r="C7344" t="s">
        <v>11</v>
      </c>
      <c r="D7344">
        <v>38</v>
      </c>
      <c r="E7344" s="2">
        <v>3.246527777777778E-2</v>
      </c>
      <c r="F7344">
        <v>46.75</v>
      </c>
    </row>
    <row r="7345" spans="1:6" x14ac:dyDescent="0.25">
      <c r="A7345" s="1">
        <v>41000</v>
      </c>
      <c r="B7345" t="s">
        <v>17</v>
      </c>
      <c r="C7345" t="s">
        <v>6</v>
      </c>
      <c r="D7345">
        <v>13</v>
      </c>
      <c r="E7345" s="2">
        <v>1.1631944444444445E-2</v>
      </c>
      <c r="F7345">
        <v>16.75</v>
      </c>
    </row>
    <row r="7346" spans="1:6" x14ac:dyDescent="0.25">
      <c r="A7346" s="1">
        <v>41000</v>
      </c>
      <c r="B7346" t="s">
        <v>17</v>
      </c>
      <c r="C7346" t="s">
        <v>7</v>
      </c>
      <c r="D7346">
        <v>10</v>
      </c>
      <c r="E7346" s="2">
        <v>9.5949074074074079E-3</v>
      </c>
      <c r="F7346">
        <v>13.816666666666666</v>
      </c>
    </row>
    <row r="7347" spans="1:6" x14ac:dyDescent="0.25">
      <c r="A7347" s="1">
        <v>41000</v>
      </c>
      <c r="B7347" t="s">
        <v>17</v>
      </c>
      <c r="C7347" t="s">
        <v>8</v>
      </c>
      <c r="D7347">
        <v>9</v>
      </c>
      <c r="E7347" s="2">
        <v>1.3113425925925926E-2</v>
      </c>
      <c r="F7347">
        <v>18.883333333333333</v>
      </c>
    </row>
    <row r="7348" spans="1:6" x14ac:dyDescent="0.25">
      <c r="A7348" s="1">
        <v>41000</v>
      </c>
      <c r="B7348" t="s">
        <v>17</v>
      </c>
      <c r="C7348" t="s">
        <v>9</v>
      </c>
      <c r="D7348">
        <v>4</v>
      </c>
      <c r="E7348" s="2">
        <v>2.1643518518518518E-3</v>
      </c>
      <c r="F7348">
        <v>3.1166666666666667</v>
      </c>
    </row>
    <row r="7349" spans="1:6" x14ac:dyDescent="0.25">
      <c r="A7349" s="1">
        <v>41000</v>
      </c>
      <c r="B7349" t="s">
        <v>17</v>
      </c>
      <c r="C7349" t="s">
        <v>10</v>
      </c>
      <c r="D7349">
        <v>5</v>
      </c>
      <c r="E7349" s="2">
        <v>4.6990740740740743E-3</v>
      </c>
      <c r="F7349">
        <v>6.7666666666666666</v>
      </c>
    </row>
    <row r="7350" spans="1:6" x14ac:dyDescent="0.25">
      <c r="A7350" s="1">
        <v>41000</v>
      </c>
      <c r="B7350" t="s">
        <v>17</v>
      </c>
      <c r="C7350" t="s">
        <v>11</v>
      </c>
      <c r="D7350">
        <v>5</v>
      </c>
      <c r="E7350" s="2">
        <v>3.5879629629629629E-3</v>
      </c>
      <c r="F7350">
        <v>5.166666666666667</v>
      </c>
    </row>
    <row r="7351" spans="1:6" x14ac:dyDescent="0.25">
      <c r="A7351" s="1">
        <v>41000</v>
      </c>
      <c r="B7351" t="s">
        <v>18</v>
      </c>
      <c r="C7351" t="s">
        <v>6</v>
      </c>
      <c r="D7351">
        <v>59</v>
      </c>
      <c r="E7351" s="2">
        <v>4.3541666666666666E-2</v>
      </c>
      <c r="F7351">
        <v>62.7</v>
      </c>
    </row>
    <row r="7352" spans="1:6" x14ac:dyDescent="0.25">
      <c r="A7352" s="1">
        <v>41000</v>
      </c>
      <c r="B7352" t="s">
        <v>18</v>
      </c>
      <c r="C7352" t="s">
        <v>7</v>
      </c>
      <c r="D7352">
        <v>70</v>
      </c>
      <c r="E7352" s="2">
        <v>5.1608796296296298E-2</v>
      </c>
      <c r="F7352">
        <v>74.316666666666663</v>
      </c>
    </row>
    <row r="7353" spans="1:6" x14ac:dyDescent="0.25">
      <c r="A7353" s="1">
        <v>41000</v>
      </c>
      <c r="B7353" t="s">
        <v>18</v>
      </c>
      <c r="C7353" t="s">
        <v>8</v>
      </c>
      <c r="D7353">
        <v>33</v>
      </c>
      <c r="E7353" s="2">
        <v>2.0150462962962964E-2</v>
      </c>
      <c r="F7353">
        <v>29.016666666666666</v>
      </c>
    </row>
    <row r="7354" spans="1:6" x14ac:dyDescent="0.25">
      <c r="A7354" s="1">
        <v>41000</v>
      </c>
      <c r="B7354" t="s">
        <v>18</v>
      </c>
      <c r="C7354" t="s">
        <v>9</v>
      </c>
      <c r="D7354">
        <v>63</v>
      </c>
      <c r="E7354" s="2">
        <v>3.7314814814814815E-2</v>
      </c>
      <c r="F7354">
        <v>53.733333333333334</v>
      </c>
    </row>
    <row r="7355" spans="1:6" x14ac:dyDescent="0.25">
      <c r="A7355" s="1">
        <v>41000</v>
      </c>
      <c r="B7355" t="s">
        <v>18</v>
      </c>
      <c r="C7355" t="s">
        <v>10</v>
      </c>
      <c r="D7355">
        <v>127</v>
      </c>
      <c r="E7355" s="2">
        <v>0.136875</v>
      </c>
      <c r="F7355">
        <v>197.1</v>
      </c>
    </row>
    <row r="7356" spans="1:6" x14ac:dyDescent="0.25">
      <c r="A7356" s="1">
        <v>41000</v>
      </c>
      <c r="B7356" t="s">
        <v>18</v>
      </c>
      <c r="C7356" t="s">
        <v>11</v>
      </c>
      <c r="D7356">
        <v>25</v>
      </c>
      <c r="E7356" s="2">
        <v>1.2847222222222222E-2</v>
      </c>
      <c r="F7356">
        <v>18.5</v>
      </c>
    </row>
    <row r="7357" spans="1:6" x14ac:dyDescent="0.25">
      <c r="A7357" s="1">
        <v>41000</v>
      </c>
      <c r="B7357" t="s">
        <v>19</v>
      </c>
      <c r="C7357" t="s">
        <v>6</v>
      </c>
      <c r="D7357">
        <v>31</v>
      </c>
      <c r="E7357" s="2">
        <v>3.1631944444444442E-2</v>
      </c>
      <c r="F7357">
        <v>45.55</v>
      </c>
    </row>
    <row r="7358" spans="1:6" x14ac:dyDescent="0.25">
      <c r="A7358" s="1">
        <v>41000</v>
      </c>
      <c r="B7358" t="s">
        <v>19</v>
      </c>
      <c r="C7358" t="s">
        <v>7</v>
      </c>
      <c r="D7358">
        <v>35</v>
      </c>
      <c r="E7358" s="2">
        <v>4.027777777777778E-2</v>
      </c>
      <c r="F7358">
        <v>58</v>
      </c>
    </row>
    <row r="7359" spans="1:6" x14ac:dyDescent="0.25">
      <c r="A7359" s="1">
        <v>41000</v>
      </c>
      <c r="B7359" t="s">
        <v>19</v>
      </c>
      <c r="C7359" t="s">
        <v>8</v>
      </c>
      <c r="D7359">
        <v>25</v>
      </c>
      <c r="E7359" s="2">
        <v>2.1863425925925925E-2</v>
      </c>
      <c r="F7359">
        <v>31.483333333333334</v>
      </c>
    </row>
    <row r="7360" spans="1:6" x14ac:dyDescent="0.25">
      <c r="A7360" s="1">
        <v>41000</v>
      </c>
      <c r="B7360" t="s">
        <v>19</v>
      </c>
      <c r="C7360" t="s">
        <v>9</v>
      </c>
      <c r="D7360">
        <v>25</v>
      </c>
      <c r="E7360" s="2">
        <v>1.8668981481481481E-2</v>
      </c>
      <c r="F7360">
        <v>26.883333333333333</v>
      </c>
    </row>
    <row r="7361" spans="1:6" x14ac:dyDescent="0.25">
      <c r="A7361" s="1">
        <v>41000</v>
      </c>
      <c r="B7361" t="s">
        <v>19</v>
      </c>
      <c r="C7361" t="s">
        <v>10</v>
      </c>
      <c r="D7361">
        <v>12</v>
      </c>
      <c r="E7361" s="2">
        <v>1.1585648148148149E-2</v>
      </c>
      <c r="F7361">
        <v>16.683333333333334</v>
      </c>
    </row>
    <row r="7362" spans="1:6" x14ac:dyDescent="0.25">
      <c r="A7362" s="1">
        <v>41000</v>
      </c>
      <c r="B7362" t="s">
        <v>19</v>
      </c>
      <c r="C7362" t="s">
        <v>11</v>
      </c>
      <c r="D7362">
        <v>22</v>
      </c>
      <c r="E7362" s="2">
        <v>2.2731481481481481E-2</v>
      </c>
      <c r="F7362">
        <v>32.733333333333334</v>
      </c>
    </row>
    <row r="7363" spans="1:6" x14ac:dyDescent="0.25">
      <c r="A7363" s="1">
        <v>41000</v>
      </c>
      <c r="B7363" t="s">
        <v>20</v>
      </c>
      <c r="C7363" t="s">
        <v>6</v>
      </c>
      <c r="D7363">
        <v>120</v>
      </c>
      <c r="E7363" s="2">
        <v>0.15108796296296295</v>
      </c>
      <c r="F7363">
        <v>217.56666666666666</v>
      </c>
    </row>
    <row r="7364" spans="1:6" x14ac:dyDescent="0.25">
      <c r="A7364" s="1">
        <v>41000</v>
      </c>
      <c r="B7364" t="s">
        <v>20</v>
      </c>
      <c r="C7364" t="s">
        <v>7</v>
      </c>
      <c r="D7364">
        <v>129</v>
      </c>
      <c r="E7364" s="2">
        <v>0.14359953703703704</v>
      </c>
      <c r="F7364">
        <v>206.78333333333333</v>
      </c>
    </row>
    <row r="7365" spans="1:6" x14ac:dyDescent="0.25">
      <c r="A7365" s="1">
        <v>41000</v>
      </c>
      <c r="B7365" t="s">
        <v>20</v>
      </c>
      <c r="C7365" t="s">
        <v>8</v>
      </c>
      <c r="D7365">
        <v>109</v>
      </c>
      <c r="E7365" s="2">
        <v>0.12224537037037037</v>
      </c>
      <c r="F7365">
        <v>176.03333333333333</v>
      </c>
    </row>
    <row r="7366" spans="1:6" x14ac:dyDescent="0.25">
      <c r="A7366" s="1">
        <v>41000</v>
      </c>
      <c r="B7366" t="s">
        <v>20</v>
      </c>
      <c r="C7366" t="s">
        <v>9</v>
      </c>
      <c r="D7366">
        <v>52</v>
      </c>
      <c r="E7366" s="2">
        <v>5.347222222222222E-2</v>
      </c>
      <c r="F7366">
        <v>77</v>
      </c>
    </row>
    <row r="7367" spans="1:6" x14ac:dyDescent="0.25">
      <c r="A7367" s="1">
        <v>41000</v>
      </c>
      <c r="B7367" t="s">
        <v>20</v>
      </c>
      <c r="C7367" t="s">
        <v>10</v>
      </c>
      <c r="D7367">
        <v>39</v>
      </c>
      <c r="E7367" s="2">
        <v>5.2245370370370373E-2</v>
      </c>
      <c r="F7367">
        <v>75.233333333333334</v>
      </c>
    </row>
    <row r="7368" spans="1:6" x14ac:dyDescent="0.25">
      <c r="A7368" s="1">
        <v>41000</v>
      </c>
      <c r="B7368" t="s">
        <v>20</v>
      </c>
      <c r="C7368" t="s">
        <v>11</v>
      </c>
      <c r="D7368">
        <v>142</v>
      </c>
      <c r="E7368" s="2">
        <v>0.10782407407407407</v>
      </c>
      <c r="F7368">
        <v>155.26666666666668</v>
      </c>
    </row>
    <row r="7369" spans="1:6" x14ac:dyDescent="0.25">
      <c r="A7369" s="1">
        <v>41000</v>
      </c>
      <c r="B7369" t="s">
        <v>21</v>
      </c>
      <c r="C7369" t="s">
        <v>6</v>
      </c>
      <c r="D7369">
        <v>14</v>
      </c>
      <c r="E7369" s="2">
        <v>1.480324074074074E-2</v>
      </c>
      <c r="F7369">
        <v>21.316666666666666</v>
      </c>
    </row>
    <row r="7370" spans="1:6" x14ac:dyDescent="0.25">
      <c r="A7370" s="1">
        <v>41000</v>
      </c>
      <c r="B7370" t="s">
        <v>21</v>
      </c>
      <c r="C7370" t="s">
        <v>7</v>
      </c>
      <c r="D7370">
        <v>18</v>
      </c>
      <c r="E7370" s="2">
        <v>2.9849537037037036E-2</v>
      </c>
      <c r="F7370">
        <v>42.983333333333334</v>
      </c>
    </row>
    <row r="7371" spans="1:6" x14ac:dyDescent="0.25">
      <c r="A7371" s="1">
        <v>41000</v>
      </c>
      <c r="B7371" t="s">
        <v>21</v>
      </c>
      <c r="C7371" t="s">
        <v>8</v>
      </c>
      <c r="D7371">
        <v>8</v>
      </c>
      <c r="E7371" s="2">
        <v>1.2488425925925925E-2</v>
      </c>
      <c r="F7371">
        <v>17.983333333333334</v>
      </c>
    </row>
    <row r="7372" spans="1:6" x14ac:dyDescent="0.25">
      <c r="A7372" s="1">
        <v>41000</v>
      </c>
      <c r="B7372" t="s">
        <v>21</v>
      </c>
      <c r="C7372" t="s">
        <v>9</v>
      </c>
      <c r="D7372">
        <v>4</v>
      </c>
      <c r="E7372" s="2">
        <v>2.5462962962962965E-3</v>
      </c>
      <c r="F7372">
        <v>3.6666666666666665</v>
      </c>
    </row>
    <row r="7373" spans="1:6" x14ac:dyDescent="0.25">
      <c r="A7373" s="1">
        <v>41000</v>
      </c>
      <c r="B7373" t="s">
        <v>21</v>
      </c>
      <c r="C7373" t="s">
        <v>10</v>
      </c>
      <c r="D7373">
        <v>1</v>
      </c>
      <c r="E7373" s="2">
        <v>1.8518518518518519E-3</v>
      </c>
      <c r="F7373">
        <v>2.6666666666666665</v>
      </c>
    </row>
    <row r="7374" spans="1:6" x14ac:dyDescent="0.25">
      <c r="A7374" s="1">
        <v>41000</v>
      </c>
      <c r="B7374" t="s">
        <v>21</v>
      </c>
      <c r="C7374" t="s">
        <v>11</v>
      </c>
      <c r="D7374">
        <v>12</v>
      </c>
      <c r="E7374" s="2">
        <v>1.3831018518518519E-2</v>
      </c>
      <c r="F7374">
        <v>19.916666666666668</v>
      </c>
    </row>
    <row r="7375" spans="1:6" x14ac:dyDescent="0.25">
      <c r="A7375" s="1">
        <v>41000</v>
      </c>
      <c r="B7375" t="s">
        <v>22</v>
      </c>
      <c r="C7375" t="s">
        <v>6</v>
      </c>
      <c r="D7375">
        <v>15</v>
      </c>
      <c r="E7375" s="2">
        <v>1.5150462962962963E-2</v>
      </c>
      <c r="F7375">
        <v>21.816666666666666</v>
      </c>
    </row>
    <row r="7376" spans="1:6" x14ac:dyDescent="0.25">
      <c r="A7376" s="1">
        <v>41000</v>
      </c>
      <c r="B7376" t="s">
        <v>22</v>
      </c>
      <c r="C7376" t="s">
        <v>7</v>
      </c>
      <c r="D7376">
        <v>13</v>
      </c>
      <c r="E7376" s="2">
        <v>1.3541666666666667E-2</v>
      </c>
      <c r="F7376">
        <v>19.5</v>
      </c>
    </row>
    <row r="7377" spans="1:6" x14ac:dyDescent="0.25">
      <c r="A7377" s="1">
        <v>41000</v>
      </c>
      <c r="B7377" t="s">
        <v>22</v>
      </c>
      <c r="C7377" t="s">
        <v>8</v>
      </c>
      <c r="D7377">
        <v>7</v>
      </c>
      <c r="E7377" s="2">
        <v>8.2870370370370372E-3</v>
      </c>
      <c r="F7377">
        <v>11.933333333333334</v>
      </c>
    </row>
    <row r="7378" spans="1:6" x14ac:dyDescent="0.25">
      <c r="A7378" s="1">
        <v>41000</v>
      </c>
      <c r="B7378" t="s">
        <v>22</v>
      </c>
      <c r="C7378" t="s">
        <v>9</v>
      </c>
      <c r="D7378">
        <v>5</v>
      </c>
      <c r="E7378" s="2">
        <v>2.9166666666666668E-3</v>
      </c>
      <c r="F7378">
        <v>4.2</v>
      </c>
    </row>
    <row r="7379" spans="1:6" x14ac:dyDescent="0.25">
      <c r="A7379" s="1">
        <v>41000</v>
      </c>
      <c r="B7379" t="s">
        <v>22</v>
      </c>
      <c r="C7379" t="s">
        <v>10</v>
      </c>
      <c r="D7379">
        <v>4</v>
      </c>
      <c r="E7379" s="2">
        <v>4.2939814814814811E-3</v>
      </c>
      <c r="F7379">
        <v>6.1833333333333336</v>
      </c>
    </row>
    <row r="7380" spans="1:6" x14ac:dyDescent="0.25">
      <c r="A7380" s="1">
        <v>41000</v>
      </c>
      <c r="B7380" t="s">
        <v>22</v>
      </c>
      <c r="C7380" t="s">
        <v>11</v>
      </c>
      <c r="D7380">
        <v>11</v>
      </c>
      <c r="E7380" s="2">
        <v>9.0509259259259258E-3</v>
      </c>
      <c r="F7380">
        <v>13.033333333333333</v>
      </c>
    </row>
    <row r="7381" spans="1:6" x14ac:dyDescent="0.25">
      <c r="A7381" s="1">
        <v>41000</v>
      </c>
      <c r="B7381" t="s">
        <v>23</v>
      </c>
      <c r="C7381" t="s">
        <v>6</v>
      </c>
      <c r="D7381">
        <v>72</v>
      </c>
      <c r="E7381" s="2">
        <v>7.5520833333333329E-2</v>
      </c>
      <c r="F7381">
        <v>108.75</v>
      </c>
    </row>
    <row r="7382" spans="1:6" x14ac:dyDescent="0.25">
      <c r="A7382" s="1">
        <v>41000</v>
      </c>
      <c r="B7382" t="s">
        <v>23</v>
      </c>
      <c r="C7382" t="s">
        <v>7</v>
      </c>
      <c r="D7382">
        <v>85</v>
      </c>
      <c r="E7382" s="2">
        <v>0.12325231481481481</v>
      </c>
      <c r="F7382">
        <v>177.48333333333332</v>
      </c>
    </row>
    <row r="7383" spans="1:6" x14ac:dyDescent="0.25">
      <c r="A7383" s="1">
        <v>41000</v>
      </c>
      <c r="B7383" t="s">
        <v>23</v>
      </c>
      <c r="C7383" t="s">
        <v>8</v>
      </c>
      <c r="D7383">
        <v>55</v>
      </c>
      <c r="E7383" s="2">
        <v>6.1793981481481484E-2</v>
      </c>
      <c r="F7383">
        <v>88.983333333333334</v>
      </c>
    </row>
    <row r="7384" spans="1:6" x14ac:dyDescent="0.25">
      <c r="A7384" s="1">
        <v>41000</v>
      </c>
      <c r="B7384" t="s">
        <v>23</v>
      </c>
      <c r="C7384" t="s">
        <v>9</v>
      </c>
      <c r="D7384">
        <v>53</v>
      </c>
      <c r="E7384" s="2">
        <v>3.6967592592592594E-2</v>
      </c>
      <c r="F7384">
        <v>53.233333333333334</v>
      </c>
    </row>
    <row r="7385" spans="1:6" x14ac:dyDescent="0.25">
      <c r="A7385" s="1">
        <v>41000</v>
      </c>
      <c r="B7385" t="s">
        <v>23</v>
      </c>
      <c r="C7385" t="s">
        <v>10</v>
      </c>
      <c r="D7385">
        <v>31</v>
      </c>
      <c r="E7385" s="2">
        <v>4.5335648148148146E-2</v>
      </c>
      <c r="F7385">
        <v>65.283333333333331</v>
      </c>
    </row>
    <row r="7386" spans="1:6" x14ac:dyDescent="0.25">
      <c r="A7386" s="1">
        <v>41000</v>
      </c>
      <c r="B7386" t="s">
        <v>23</v>
      </c>
      <c r="C7386" t="s">
        <v>11</v>
      </c>
      <c r="D7386">
        <v>72</v>
      </c>
      <c r="E7386" s="2">
        <v>5.9131944444444445E-2</v>
      </c>
      <c r="F7386">
        <v>85.15</v>
      </c>
    </row>
    <row r="7387" spans="1:6" x14ac:dyDescent="0.25">
      <c r="A7387" s="1">
        <v>41000</v>
      </c>
      <c r="B7387" t="s">
        <v>24</v>
      </c>
      <c r="C7387" t="s">
        <v>6</v>
      </c>
      <c r="D7387">
        <v>28</v>
      </c>
      <c r="E7387" s="2">
        <v>2.914351851851852E-2</v>
      </c>
      <c r="F7387">
        <v>41.966666666666669</v>
      </c>
    </row>
    <row r="7388" spans="1:6" x14ac:dyDescent="0.25">
      <c r="A7388" s="1">
        <v>41000</v>
      </c>
      <c r="B7388" t="s">
        <v>24</v>
      </c>
      <c r="C7388" t="s">
        <v>7</v>
      </c>
      <c r="D7388">
        <v>23</v>
      </c>
      <c r="E7388" s="2">
        <v>1.5162037037037036E-2</v>
      </c>
      <c r="F7388">
        <v>21.833333333333332</v>
      </c>
    </row>
    <row r="7389" spans="1:6" x14ac:dyDescent="0.25">
      <c r="A7389" s="1">
        <v>41000</v>
      </c>
      <c r="B7389" t="s">
        <v>24</v>
      </c>
      <c r="C7389" t="s">
        <v>8</v>
      </c>
      <c r="D7389">
        <v>22</v>
      </c>
      <c r="E7389" s="2">
        <v>1.4004629629629629E-2</v>
      </c>
      <c r="F7389">
        <v>20.166666666666668</v>
      </c>
    </row>
    <row r="7390" spans="1:6" x14ac:dyDescent="0.25">
      <c r="A7390" s="1">
        <v>41000</v>
      </c>
      <c r="B7390" t="s">
        <v>24</v>
      </c>
      <c r="C7390" t="s">
        <v>9</v>
      </c>
      <c r="D7390">
        <v>16</v>
      </c>
      <c r="E7390" s="2">
        <v>8.3796296296296292E-3</v>
      </c>
      <c r="F7390">
        <v>12.066666666666666</v>
      </c>
    </row>
    <row r="7391" spans="1:6" x14ac:dyDescent="0.25">
      <c r="A7391" s="1">
        <v>41000</v>
      </c>
      <c r="B7391" t="s">
        <v>24</v>
      </c>
      <c r="C7391" t="s">
        <v>10</v>
      </c>
      <c r="D7391">
        <v>2</v>
      </c>
      <c r="E7391" s="2">
        <v>1.5625000000000001E-3</v>
      </c>
      <c r="F7391">
        <v>2.25</v>
      </c>
    </row>
    <row r="7392" spans="1:6" x14ac:dyDescent="0.25">
      <c r="A7392" s="1">
        <v>41000</v>
      </c>
      <c r="B7392" t="s">
        <v>24</v>
      </c>
      <c r="C7392" t="s">
        <v>11</v>
      </c>
      <c r="D7392">
        <v>22</v>
      </c>
      <c r="E7392" s="2">
        <v>1.5069444444444444E-2</v>
      </c>
      <c r="F7392">
        <v>21.7</v>
      </c>
    </row>
    <row r="7393" spans="1:6" x14ac:dyDescent="0.25">
      <c r="A7393" s="1">
        <v>41030</v>
      </c>
      <c r="B7393" t="s">
        <v>5</v>
      </c>
      <c r="C7393" t="s">
        <v>6</v>
      </c>
      <c r="D7393">
        <v>42</v>
      </c>
      <c r="E7393" s="2">
        <v>4.0057870370370369E-2</v>
      </c>
      <c r="F7393">
        <v>57.68333333333333</v>
      </c>
    </row>
    <row r="7394" spans="1:6" x14ac:dyDescent="0.25">
      <c r="A7394" s="1">
        <v>41030</v>
      </c>
      <c r="B7394" t="s">
        <v>5</v>
      </c>
      <c r="C7394" t="s">
        <v>7</v>
      </c>
      <c r="D7394">
        <v>37</v>
      </c>
      <c r="E7394" s="2">
        <v>3.0648148148148147E-2</v>
      </c>
      <c r="F7394">
        <v>44.133333333333333</v>
      </c>
    </row>
    <row r="7395" spans="1:6" x14ac:dyDescent="0.25">
      <c r="A7395" s="1">
        <v>41030</v>
      </c>
      <c r="B7395" t="s">
        <v>5</v>
      </c>
      <c r="C7395" t="s">
        <v>8</v>
      </c>
      <c r="D7395">
        <v>29</v>
      </c>
      <c r="E7395" s="2">
        <v>2.5868055555555554E-2</v>
      </c>
      <c r="F7395">
        <v>37.25</v>
      </c>
    </row>
    <row r="7396" spans="1:6" x14ac:dyDescent="0.25">
      <c r="A7396" s="1">
        <v>41030</v>
      </c>
      <c r="B7396" t="s">
        <v>5</v>
      </c>
      <c r="C7396" t="s">
        <v>9</v>
      </c>
      <c r="D7396">
        <v>12</v>
      </c>
      <c r="E7396" s="2">
        <v>8.5995370370370375E-3</v>
      </c>
      <c r="F7396">
        <v>12.383333333333333</v>
      </c>
    </row>
    <row r="7397" spans="1:6" x14ac:dyDescent="0.25">
      <c r="A7397" s="1">
        <v>41030</v>
      </c>
      <c r="B7397" t="s">
        <v>5</v>
      </c>
      <c r="C7397" t="s">
        <v>10</v>
      </c>
      <c r="D7397">
        <v>3</v>
      </c>
      <c r="E7397" s="2">
        <v>1.8518518518518519E-3</v>
      </c>
      <c r="F7397">
        <v>2.6666666666666665</v>
      </c>
    </row>
    <row r="7398" spans="1:6" x14ac:dyDescent="0.25">
      <c r="A7398" s="1">
        <v>41030</v>
      </c>
      <c r="B7398" t="s">
        <v>5</v>
      </c>
      <c r="C7398" t="s">
        <v>11</v>
      </c>
      <c r="D7398">
        <v>18</v>
      </c>
      <c r="E7398" s="2">
        <v>1.3356481481481481E-2</v>
      </c>
      <c r="F7398">
        <v>19.233333333333334</v>
      </c>
    </row>
    <row r="7399" spans="1:6" x14ac:dyDescent="0.25">
      <c r="A7399" s="1">
        <v>41030</v>
      </c>
      <c r="B7399" t="s">
        <v>12</v>
      </c>
      <c r="C7399" t="s">
        <v>6</v>
      </c>
      <c r="D7399">
        <v>63</v>
      </c>
      <c r="E7399" s="2">
        <v>8.0694444444444444E-2</v>
      </c>
      <c r="F7399">
        <v>116.2</v>
      </c>
    </row>
    <row r="7400" spans="1:6" x14ac:dyDescent="0.25">
      <c r="A7400" s="1">
        <v>41030</v>
      </c>
      <c r="B7400" t="s">
        <v>12</v>
      </c>
      <c r="C7400" t="s">
        <v>7</v>
      </c>
      <c r="D7400">
        <v>33</v>
      </c>
      <c r="E7400" s="2">
        <v>5.2789351851851851E-2</v>
      </c>
      <c r="F7400">
        <v>76.016666666666666</v>
      </c>
    </row>
    <row r="7401" spans="1:6" x14ac:dyDescent="0.25">
      <c r="A7401" s="1">
        <v>41030</v>
      </c>
      <c r="B7401" t="s">
        <v>12</v>
      </c>
      <c r="C7401" t="s">
        <v>8</v>
      </c>
      <c r="D7401">
        <v>30</v>
      </c>
      <c r="E7401" s="2">
        <v>3.366898148148148E-2</v>
      </c>
      <c r="F7401">
        <v>48.483333333333334</v>
      </c>
    </row>
    <row r="7402" spans="1:6" x14ac:dyDescent="0.25">
      <c r="A7402" s="1">
        <v>41030</v>
      </c>
      <c r="B7402" t="s">
        <v>12</v>
      </c>
      <c r="C7402" t="s">
        <v>9</v>
      </c>
      <c r="D7402">
        <v>19</v>
      </c>
      <c r="E7402" s="2">
        <v>1.0185185185185186E-2</v>
      </c>
      <c r="F7402">
        <v>14.666666666666666</v>
      </c>
    </row>
    <row r="7403" spans="1:6" x14ac:dyDescent="0.25">
      <c r="A7403" s="1">
        <v>41030</v>
      </c>
      <c r="B7403" t="s">
        <v>12</v>
      </c>
      <c r="C7403" t="s">
        <v>10</v>
      </c>
      <c r="D7403">
        <v>38</v>
      </c>
      <c r="E7403" s="2">
        <v>6.6238425925925923E-2</v>
      </c>
      <c r="F7403">
        <v>95.38333333333334</v>
      </c>
    </row>
    <row r="7404" spans="1:6" x14ac:dyDescent="0.25">
      <c r="A7404" s="1">
        <v>41030</v>
      </c>
      <c r="B7404" t="s">
        <v>12</v>
      </c>
      <c r="C7404" t="s">
        <v>11</v>
      </c>
      <c r="D7404">
        <v>61</v>
      </c>
      <c r="E7404" s="2">
        <v>5.5289351851851853E-2</v>
      </c>
      <c r="F7404">
        <v>79.61666666666666</v>
      </c>
    </row>
    <row r="7405" spans="1:6" x14ac:dyDescent="0.25">
      <c r="A7405" s="1">
        <v>41030</v>
      </c>
      <c r="B7405" t="s">
        <v>13</v>
      </c>
      <c r="C7405" t="s">
        <v>6</v>
      </c>
      <c r="D7405">
        <v>62</v>
      </c>
      <c r="E7405" s="2">
        <v>6.3472222222222222E-2</v>
      </c>
      <c r="F7405">
        <v>91.4</v>
      </c>
    </row>
    <row r="7406" spans="1:6" x14ac:dyDescent="0.25">
      <c r="A7406" s="1">
        <v>41030</v>
      </c>
      <c r="B7406" t="s">
        <v>13</v>
      </c>
      <c r="C7406" t="s">
        <v>7</v>
      </c>
      <c r="D7406">
        <v>69</v>
      </c>
      <c r="E7406" s="2">
        <v>9.0729166666666666E-2</v>
      </c>
      <c r="F7406">
        <v>130.65</v>
      </c>
    </row>
    <row r="7407" spans="1:6" x14ac:dyDescent="0.25">
      <c r="A7407" s="1">
        <v>41030</v>
      </c>
      <c r="B7407" t="s">
        <v>13</v>
      </c>
      <c r="C7407" t="s">
        <v>8</v>
      </c>
      <c r="D7407">
        <v>49</v>
      </c>
      <c r="E7407" s="2">
        <v>5.6770833333333333E-2</v>
      </c>
      <c r="F7407">
        <v>81.75</v>
      </c>
    </row>
    <row r="7408" spans="1:6" x14ac:dyDescent="0.25">
      <c r="A7408" s="1">
        <v>41030</v>
      </c>
      <c r="B7408" t="s">
        <v>13</v>
      </c>
      <c r="C7408" t="s">
        <v>9</v>
      </c>
      <c r="D7408">
        <v>33</v>
      </c>
      <c r="E7408" s="2">
        <v>2.7696759259259258E-2</v>
      </c>
      <c r="F7408">
        <v>39.883333333333333</v>
      </c>
    </row>
    <row r="7409" spans="1:6" x14ac:dyDescent="0.25">
      <c r="A7409" s="1">
        <v>41030</v>
      </c>
      <c r="B7409" t="s">
        <v>13</v>
      </c>
      <c r="C7409" t="s">
        <v>10</v>
      </c>
      <c r="D7409">
        <v>33</v>
      </c>
      <c r="E7409" s="2">
        <v>4.2511574074074077E-2</v>
      </c>
      <c r="F7409">
        <v>61.216666666666669</v>
      </c>
    </row>
    <row r="7410" spans="1:6" x14ac:dyDescent="0.25">
      <c r="A7410" s="1">
        <v>41030</v>
      </c>
      <c r="B7410" t="s">
        <v>13</v>
      </c>
      <c r="C7410" t="s">
        <v>11</v>
      </c>
      <c r="D7410">
        <v>33</v>
      </c>
      <c r="E7410" s="2">
        <v>2.8194444444444446E-2</v>
      </c>
      <c r="F7410">
        <v>40.6</v>
      </c>
    </row>
    <row r="7411" spans="1:6" x14ac:dyDescent="0.25">
      <c r="A7411" s="1">
        <v>41030</v>
      </c>
      <c r="B7411" t="s">
        <v>14</v>
      </c>
      <c r="C7411" t="s">
        <v>6</v>
      </c>
      <c r="D7411">
        <v>16</v>
      </c>
      <c r="E7411" s="2">
        <v>2.2534722222222223E-2</v>
      </c>
      <c r="F7411">
        <v>32.450000000000003</v>
      </c>
    </row>
    <row r="7412" spans="1:6" x14ac:dyDescent="0.25">
      <c r="A7412" s="1">
        <v>41030</v>
      </c>
      <c r="B7412" t="s">
        <v>14</v>
      </c>
      <c r="C7412" t="s">
        <v>7</v>
      </c>
      <c r="D7412">
        <v>18</v>
      </c>
      <c r="E7412" s="2">
        <v>3.1736111111111111E-2</v>
      </c>
      <c r="F7412">
        <v>45.7</v>
      </c>
    </row>
    <row r="7413" spans="1:6" x14ac:dyDescent="0.25">
      <c r="A7413" s="1">
        <v>41030</v>
      </c>
      <c r="B7413" t="s">
        <v>14</v>
      </c>
      <c r="C7413" t="s">
        <v>8</v>
      </c>
      <c r="D7413">
        <v>6</v>
      </c>
      <c r="E7413" s="2">
        <v>8.773148148148148E-3</v>
      </c>
      <c r="F7413">
        <v>12.633333333333333</v>
      </c>
    </row>
    <row r="7414" spans="1:6" x14ac:dyDescent="0.25">
      <c r="A7414" s="1">
        <v>41030</v>
      </c>
      <c r="B7414" t="s">
        <v>14</v>
      </c>
      <c r="C7414" t="s">
        <v>9</v>
      </c>
      <c r="D7414">
        <v>5</v>
      </c>
      <c r="E7414" s="2">
        <v>3.8425925925925928E-3</v>
      </c>
      <c r="F7414">
        <v>5.5333333333333332</v>
      </c>
    </row>
    <row r="7415" spans="1:6" x14ac:dyDescent="0.25">
      <c r="A7415" s="1">
        <v>41030</v>
      </c>
      <c r="B7415" t="s">
        <v>14</v>
      </c>
      <c r="C7415" t="s">
        <v>10</v>
      </c>
      <c r="D7415">
        <v>1</v>
      </c>
      <c r="E7415" s="2">
        <v>2.2916666666666667E-3</v>
      </c>
      <c r="F7415">
        <v>3.3</v>
      </c>
    </row>
    <row r="7416" spans="1:6" x14ac:dyDescent="0.25">
      <c r="A7416" s="1">
        <v>41030</v>
      </c>
      <c r="B7416" t="s">
        <v>14</v>
      </c>
      <c r="C7416" t="s">
        <v>11</v>
      </c>
      <c r="D7416">
        <v>6</v>
      </c>
      <c r="E7416" s="2">
        <v>6.076388888888889E-3</v>
      </c>
      <c r="F7416">
        <v>8.75</v>
      </c>
    </row>
    <row r="7417" spans="1:6" x14ac:dyDescent="0.25">
      <c r="A7417" s="1">
        <v>41030</v>
      </c>
      <c r="B7417" t="s">
        <v>15</v>
      </c>
      <c r="C7417" t="s">
        <v>6</v>
      </c>
      <c r="D7417">
        <v>22</v>
      </c>
      <c r="E7417" s="2">
        <v>2.5879629629629631E-2</v>
      </c>
      <c r="F7417">
        <v>37.266666666666666</v>
      </c>
    </row>
    <row r="7418" spans="1:6" x14ac:dyDescent="0.25">
      <c r="A7418" s="1">
        <v>41030</v>
      </c>
      <c r="B7418" t="s">
        <v>15</v>
      </c>
      <c r="C7418" t="s">
        <v>7</v>
      </c>
      <c r="D7418">
        <v>20</v>
      </c>
      <c r="E7418" s="2">
        <v>2.2233796296296297E-2</v>
      </c>
      <c r="F7418">
        <v>32.016666666666666</v>
      </c>
    </row>
    <row r="7419" spans="1:6" x14ac:dyDescent="0.25">
      <c r="A7419" s="1">
        <v>41030</v>
      </c>
      <c r="B7419" t="s">
        <v>15</v>
      </c>
      <c r="C7419" t="s">
        <v>8</v>
      </c>
      <c r="D7419">
        <v>9</v>
      </c>
      <c r="E7419" s="2">
        <v>7.3842592592592597E-3</v>
      </c>
      <c r="F7419">
        <v>10.633333333333333</v>
      </c>
    </row>
    <row r="7420" spans="1:6" x14ac:dyDescent="0.25">
      <c r="A7420" s="1">
        <v>41030</v>
      </c>
      <c r="B7420" t="s">
        <v>15</v>
      </c>
      <c r="C7420" t="s">
        <v>9</v>
      </c>
      <c r="D7420">
        <v>8</v>
      </c>
      <c r="E7420" s="2">
        <v>5.6481481481481478E-3</v>
      </c>
      <c r="F7420">
        <v>8.1333333333333329</v>
      </c>
    </row>
    <row r="7421" spans="1:6" x14ac:dyDescent="0.25">
      <c r="A7421" s="1">
        <v>41030</v>
      </c>
      <c r="B7421" t="s">
        <v>15</v>
      </c>
      <c r="C7421" t="s">
        <v>10</v>
      </c>
      <c r="D7421">
        <v>7</v>
      </c>
      <c r="E7421" s="2">
        <v>1.1006944444444444E-2</v>
      </c>
      <c r="F7421">
        <v>15.85</v>
      </c>
    </row>
    <row r="7422" spans="1:6" x14ac:dyDescent="0.25">
      <c r="A7422" s="1">
        <v>41030</v>
      </c>
      <c r="B7422" t="s">
        <v>15</v>
      </c>
      <c r="C7422" t="s">
        <v>11</v>
      </c>
      <c r="D7422">
        <v>9</v>
      </c>
      <c r="E7422" s="2">
        <v>6.4583333333333333E-3</v>
      </c>
      <c r="F7422">
        <v>9.3000000000000007</v>
      </c>
    </row>
    <row r="7423" spans="1:6" x14ac:dyDescent="0.25">
      <c r="A7423" s="1">
        <v>41030</v>
      </c>
      <c r="B7423" t="s">
        <v>16</v>
      </c>
      <c r="C7423" t="s">
        <v>6</v>
      </c>
      <c r="D7423">
        <v>40</v>
      </c>
      <c r="E7423" s="2">
        <v>3.5636574074074077E-2</v>
      </c>
      <c r="F7423">
        <v>51.31666666666667</v>
      </c>
    </row>
    <row r="7424" spans="1:6" x14ac:dyDescent="0.25">
      <c r="A7424" s="1">
        <v>41030</v>
      </c>
      <c r="B7424" t="s">
        <v>16</v>
      </c>
      <c r="C7424" t="s">
        <v>7</v>
      </c>
      <c r="D7424">
        <v>29</v>
      </c>
      <c r="E7424" s="2">
        <v>2.6851851851851852E-2</v>
      </c>
      <c r="F7424">
        <v>38.666666666666664</v>
      </c>
    </row>
    <row r="7425" spans="1:6" x14ac:dyDescent="0.25">
      <c r="A7425" s="1">
        <v>41030</v>
      </c>
      <c r="B7425" t="s">
        <v>16</v>
      </c>
      <c r="C7425" t="s">
        <v>8</v>
      </c>
      <c r="D7425">
        <v>34</v>
      </c>
      <c r="E7425" s="2">
        <v>2.5173611111111112E-2</v>
      </c>
      <c r="F7425">
        <v>36.25</v>
      </c>
    </row>
    <row r="7426" spans="1:6" x14ac:dyDescent="0.25">
      <c r="A7426" s="1">
        <v>41030</v>
      </c>
      <c r="B7426" t="s">
        <v>16</v>
      </c>
      <c r="C7426" t="s">
        <v>9</v>
      </c>
      <c r="D7426">
        <v>12</v>
      </c>
      <c r="E7426" s="2">
        <v>5.8912037037037041E-3</v>
      </c>
      <c r="F7426">
        <v>8.4833333333333325</v>
      </c>
    </row>
    <row r="7427" spans="1:6" x14ac:dyDescent="0.25">
      <c r="A7427" s="1">
        <v>41030</v>
      </c>
      <c r="B7427" t="s">
        <v>16</v>
      </c>
      <c r="C7427" t="s">
        <v>10</v>
      </c>
      <c r="D7427">
        <v>2</v>
      </c>
      <c r="E7427" s="2">
        <v>2.9976851851851853E-3</v>
      </c>
      <c r="F7427">
        <v>4.3166666666666664</v>
      </c>
    </row>
    <row r="7428" spans="1:6" x14ac:dyDescent="0.25">
      <c r="A7428" s="1">
        <v>41030</v>
      </c>
      <c r="B7428" t="s">
        <v>16</v>
      </c>
      <c r="C7428" t="s">
        <v>11</v>
      </c>
      <c r="D7428">
        <v>37</v>
      </c>
      <c r="E7428" s="2">
        <v>2.9872685185185186E-2</v>
      </c>
      <c r="F7428">
        <v>43.016666666666666</v>
      </c>
    </row>
    <row r="7429" spans="1:6" x14ac:dyDescent="0.25">
      <c r="A7429" s="1">
        <v>41030</v>
      </c>
      <c r="B7429" t="s">
        <v>17</v>
      </c>
      <c r="C7429" t="s">
        <v>6</v>
      </c>
      <c r="D7429">
        <v>13</v>
      </c>
      <c r="E7429" s="2">
        <v>1.7465277777777777E-2</v>
      </c>
      <c r="F7429">
        <v>25.15</v>
      </c>
    </row>
    <row r="7430" spans="1:6" x14ac:dyDescent="0.25">
      <c r="A7430" s="1">
        <v>41030</v>
      </c>
      <c r="B7430" t="s">
        <v>17</v>
      </c>
      <c r="C7430" t="s">
        <v>7</v>
      </c>
      <c r="D7430">
        <v>18</v>
      </c>
      <c r="E7430" s="2">
        <v>2.2627314814814815E-2</v>
      </c>
      <c r="F7430">
        <v>32.583333333333336</v>
      </c>
    </row>
    <row r="7431" spans="1:6" x14ac:dyDescent="0.25">
      <c r="A7431" s="1">
        <v>41030</v>
      </c>
      <c r="B7431" t="s">
        <v>17</v>
      </c>
      <c r="C7431" t="s">
        <v>8</v>
      </c>
      <c r="D7431">
        <v>10</v>
      </c>
      <c r="E7431" s="2">
        <v>1.3553240740740741E-2</v>
      </c>
      <c r="F7431">
        <v>19.516666666666666</v>
      </c>
    </row>
    <row r="7432" spans="1:6" x14ac:dyDescent="0.25">
      <c r="A7432" s="1">
        <v>41030</v>
      </c>
      <c r="B7432" t="s">
        <v>17</v>
      </c>
      <c r="C7432" t="s">
        <v>9</v>
      </c>
      <c r="D7432">
        <v>7</v>
      </c>
      <c r="E7432" s="2">
        <v>5.4745370370370373E-3</v>
      </c>
      <c r="F7432">
        <v>7.8833333333333329</v>
      </c>
    </row>
    <row r="7433" spans="1:6" x14ac:dyDescent="0.25">
      <c r="A7433" s="1">
        <v>41030</v>
      </c>
      <c r="B7433" t="s">
        <v>17</v>
      </c>
      <c r="C7433" t="s">
        <v>10</v>
      </c>
      <c r="D7433">
        <v>3</v>
      </c>
      <c r="E7433" s="2">
        <v>2.650462962962963E-3</v>
      </c>
      <c r="F7433">
        <v>3.8166666666666664</v>
      </c>
    </row>
    <row r="7434" spans="1:6" x14ac:dyDescent="0.25">
      <c r="A7434" s="1">
        <v>41030</v>
      </c>
      <c r="B7434" t="s">
        <v>17</v>
      </c>
      <c r="C7434" t="s">
        <v>11</v>
      </c>
      <c r="D7434">
        <v>12</v>
      </c>
      <c r="E7434" s="2">
        <v>1.1412037037037037E-2</v>
      </c>
      <c r="F7434">
        <v>16.433333333333334</v>
      </c>
    </row>
    <row r="7435" spans="1:6" x14ac:dyDescent="0.25">
      <c r="A7435" s="1">
        <v>41030</v>
      </c>
      <c r="B7435" t="s">
        <v>18</v>
      </c>
      <c r="C7435" t="s">
        <v>6</v>
      </c>
      <c r="D7435">
        <v>103</v>
      </c>
      <c r="E7435" s="2">
        <v>9.2604166666666668E-2</v>
      </c>
      <c r="F7435">
        <v>133.35</v>
      </c>
    </row>
    <row r="7436" spans="1:6" x14ac:dyDescent="0.25">
      <c r="A7436" s="1">
        <v>41030</v>
      </c>
      <c r="B7436" t="s">
        <v>18</v>
      </c>
      <c r="C7436" t="s">
        <v>7</v>
      </c>
      <c r="D7436">
        <v>144</v>
      </c>
      <c r="E7436" s="2">
        <v>0.12415509259259259</v>
      </c>
      <c r="F7436">
        <v>178.78333333333333</v>
      </c>
    </row>
    <row r="7437" spans="1:6" x14ac:dyDescent="0.25">
      <c r="A7437" s="1">
        <v>41030</v>
      </c>
      <c r="B7437" t="s">
        <v>18</v>
      </c>
      <c r="C7437" t="s">
        <v>8</v>
      </c>
      <c r="D7437">
        <v>69</v>
      </c>
      <c r="E7437" s="2">
        <v>5.8275462962962966E-2</v>
      </c>
      <c r="F7437">
        <v>83.916666666666671</v>
      </c>
    </row>
    <row r="7438" spans="1:6" x14ac:dyDescent="0.25">
      <c r="A7438" s="1">
        <v>41030</v>
      </c>
      <c r="B7438" t="s">
        <v>18</v>
      </c>
      <c r="C7438" t="s">
        <v>9</v>
      </c>
      <c r="D7438">
        <v>107</v>
      </c>
      <c r="E7438" s="2">
        <v>6.9560185185185183E-2</v>
      </c>
      <c r="F7438">
        <v>100.16666666666667</v>
      </c>
    </row>
    <row r="7439" spans="1:6" x14ac:dyDescent="0.25">
      <c r="A7439" s="1">
        <v>41030</v>
      </c>
      <c r="B7439" t="s">
        <v>18</v>
      </c>
      <c r="C7439" t="s">
        <v>10</v>
      </c>
      <c r="D7439">
        <v>169</v>
      </c>
      <c r="E7439" s="2">
        <v>0.1786574074074074</v>
      </c>
      <c r="F7439">
        <v>257.26666666666665</v>
      </c>
    </row>
    <row r="7440" spans="1:6" x14ac:dyDescent="0.25">
      <c r="A7440" s="1">
        <v>41030</v>
      </c>
      <c r="B7440" t="s">
        <v>18</v>
      </c>
      <c r="C7440" t="s">
        <v>11</v>
      </c>
      <c r="D7440">
        <v>58</v>
      </c>
      <c r="E7440" s="2">
        <v>3.4907407407407408E-2</v>
      </c>
      <c r="F7440">
        <v>50.266666666666666</v>
      </c>
    </row>
    <row r="7441" spans="1:6" x14ac:dyDescent="0.25">
      <c r="A7441" s="1">
        <v>41030</v>
      </c>
      <c r="B7441" t="s">
        <v>19</v>
      </c>
      <c r="C7441" t="s">
        <v>6</v>
      </c>
      <c r="D7441">
        <v>28</v>
      </c>
      <c r="E7441" s="2">
        <v>3.0462962962962963E-2</v>
      </c>
      <c r="F7441">
        <v>43.866666666666667</v>
      </c>
    </row>
    <row r="7442" spans="1:6" x14ac:dyDescent="0.25">
      <c r="A7442" s="1">
        <v>41030</v>
      </c>
      <c r="B7442" t="s">
        <v>19</v>
      </c>
      <c r="C7442" t="s">
        <v>7</v>
      </c>
      <c r="D7442">
        <v>28</v>
      </c>
      <c r="E7442" s="2">
        <v>2.8599537037037038E-2</v>
      </c>
      <c r="F7442">
        <v>41.18333333333333</v>
      </c>
    </row>
    <row r="7443" spans="1:6" x14ac:dyDescent="0.25">
      <c r="A7443" s="1">
        <v>41030</v>
      </c>
      <c r="B7443" t="s">
        <v>19</v>
      </c>
      <c r="C7443" t="s">
        <v>8</v>
      </c>
      <c r="D7443">
        <v>25</v>
      </c>
      <c r="E7443" s="2">
        <v>2.732638888888889E-2</v>
      </c>
      <c r="F7443">
        <v>39.35</v>
      </c>
    </row>
    <row r="7444" spans="1:6" x14ac:dyDescent="0.25">
      <c r="A7444" s="1">
        <v>41030</v>
      </c>
      <c r="B7444" t="s">
        <v>19</v>
      </c>
      <c r="C7444" t="s">
        <v>9</v>
      </c>
      <c r="D7444">
        <v>33</v>
      </c>
      <c r="E7444" s="2">
        <v>2.4282407407407409E-2</v>
      </c>
      <c r="F7444">
        <v>34.966666666666669</v>
      </c>
    </row>
    <row r="7445" spans="1:6" x14ac:dyDescent="0.25">
      <c r="A7445" s="1">
        <v>41030</v>
      </c>
      <c r="B7445" t="s">
        <v>19</v>
      </c>
      <c r="C7445" t="s">
        <v>10</v>
      </c>
      <c r="D7445">
        <v>15</v>
      </c>
      <c r="E7445" s="2">
        <v>1.8252314814814815E-2</v>
      </c>
      <c r="F7445">
        <v>26.283333333333335</v>
      </c>
    </row>
    <row r="7446" spans="1:6" x14ac:dyDescent="0.25">
      <c r="A7446" s="1">
        <v>41030</v>
      </c>
      <c r="B7446" t="s">
        <v>19</v>
      </c>
      <c r="C7446" t="s">
        <v>11</v>
      </c>
      <c r="D7446">
        <v>32</v>
      </c>
      <c r="E7446" s="2">
        <v>2.2858796296296297E-2</v>
      </c>
      <c r="F7446">
        <v>32.916666666666664</v>
      </c>
    </row>
    <row r="7447" spans="1:6" x14ac:dyDescent="0.25">
      <c r="A7447" s="1">
        <v>41030</v>
      </c>
      <c r="B7447" t="s">
        <v>20</v>
      </c>
      <c r="C7447" t="s">
        <v>6</v>
      </c>
      <c r="D7447">
        <v>174</v>
      </c>
      <c r="E7447" s="2">
        <v>0.20503472222222222</v>
      </c>
      <c r="F7447">
        <v>295.25</v>
      </c>
    </row>
    <row r="7448" spans="1:6" x14ac:dyDescent="0.25">
      <c r="A7448" s="1">
        <v>41030</v>
      </c>
      <c r="B7448" t="s">
        <v>20</v>
      </c>
      <c r="C7448" t="s">
        <v>7</v>
      </c>
      <c r="D7448">
        <v>221</v>
      </c>
      <c r="E7448" s="2">
        <v>0.27635416666666668</v>
      </c>
      <c r="F7448">
        <v>397.95</v>
      </c>
    </row>
    <row r="7449" spans="1:6" x14ac:dyDescent="0.25">
      <c r="A7449" s="1">
        <v>41030</v>
      </c>
      <c r="B7449" t="s">
        <v>20</v>
      </c>
      <c r="C7449" t="s">
        <v>8</v>
      </c>
      <c r="D7449">
        <v>133</v>
      </c>
      <c r="E7449" s="2">
        <v>0.15831018518518519</v>
      </c>
      <c r="F7449">
        <v>227.96666666666667</v>
      </c>
    </row>
    <row r="7450" spans="1:6" x14ac:dyDescent="0.25">
      <c r="A7450" s="1">
        <v>41030</v>
      </c>
      <c r="B7450" t="s">
        <v>20</v>
      </c>
      <c r="C7450" t="s">
        <v>9</v>
      </c>
      <c r="D7450">
        <v>62</v>
      </c>
      <c r="E7450" s="2">
        <v>5.6053240740740744E-2</v>
      </c>
      <c r="F7450">
        <v>80.716666666666669</v>
      </c>
    </row>
    <row r="7451" spans="1:6" x14ac:dyDescent="0.25">
      <c r="A7451" s="1">
        <v>41030</v>
      </c>
      <c r="B7451" t="s">
        <v>20</v>
      </c>
      <c r="C7451" t="s">
        <v>10</v>
      </c>
      <c r="D7451">
        <v>27</v>
      </c>
      <c r="E7451" s="2">
        <v>3.3449074074074076E-2</v>
      </c>
      <c r="F7451">
        <v>48.166666666666664</v>
      </c>
    </row>
    <row r="7452" spans="1:6" x14ac:dyDescent="0.25">
      <c r="A7452" s="1">
        <v>41030</v>
      </c>
      <c r="B7452" t="s">
        <v>20</v>
      </c>
      <c r="C7452" t="s">
        <v>11</v>
      </c>
      <c r="D7452">
        <v>105</v>
      </c>
      <c r="E7452" s="2">
        <v>8.7928240740740737E-2</v>
      </c>
      <c r="F7452">
        <v>126.61666666666666</v>
      </c>
    </row>
    <row r="7453" spans="1:6" x14ac:dyDescent="0.25">
      <c r="A7453" s="1">
        <v>41030</v>
      </c>
      <c r="B7453" t="s">
        <v>21</v>
      </c>
      <c r="C7453" t="s">
        <v>6</v>
      </c>
      <c r="D7453">
        <v>27</v>
      </c>
      <c r="E7453" s="2">
        <v>3.4652777777777775E-2</v>
      </c>
      <c r="F7453">
        <v>49.9</v>
      </c>
    </row>
    <row r="7454" spans="1:6" x14ac:dyDescent="0.25">
      <c r="A7454" s="1">
        <v>41030</v>
      </c>
      <c r="B7454" t="s">
        <v>21</v>
      </c>
      <c r="C7454" t="s">
        <v>7</v>
      </c>
      <c r="D7454">
        <v>15</v>
      </c>
      <c r="E7454" s="2">
        <v>2.3043981481481481E-2</v>
      </c>
      <c r="F7454">
        <v>33.18333333333333</v>
      </c>
    </row>
    <row r="7455" spans="1:6" x14ac:dyDescent="0.25">
      <c r="A7455" s="1">
        <v>41030</v>
      </c>
      <c r="B7455" t="s">
        <v>21</v>
      </c>
      <c r="C7455" t="s">
        <v>8</v>
      </c>
      <c r="D7455">
        <v>12</v>
      </c>
      <c r="E7455" s="2">
        <v>2.0671296296296295E-2</v>
      </c>
      <c r="F7455">
        <v>29.766666666666666</v>
      </c>
    </row>
    <row r="7456" spans="1:6" x14ac:dyDescent="0.25">
      <c r="A7456" s="1">
        <v>41030</v>
      </c>
      <c r="B7456" t="s">
        <v>21</v>
      </c>
      <c r="C7456" t="s">
        <v>9</v>
      </c>
      <c r="D7456">
        <v>8</v>
      </c>
      <c r="E7456" s="2">
        <v>8.1365740740740738E-3</v>
      </c>
      <c r="F7456">
        <v>11.716666666666667</v>
      </c>
    </row>
    <row r="7457" spans="1:6" x14ac:dyDescent="0.25">
      <c r="A7457" s="1">
        <v>41030</v>
      </c>
      <c r="B7457" t="s">
        <v>21</v>
      </c>
      <c r="C7457" t="s">
        <v>10</v>
      </c>
      <c r="D7457">
        <v>2</v>
      </c>
      <c r="E7457" s="2">
        <v>1.5740740740740741E-3</v>
      </c>
      <c r="F7457">
        <v>2.2666666666666666</v>
      </c>
    </row>
    <row r="7458" spans="1:6" x14ac:dyDescent="0.25">
      <c r="A7458" s="1">
        <v>41030</v>
      </c>
      <c r="B7458" t="s">
        <v>21</v>
      </c>
      <c r="C7458" t="s">
        <v>11</v>
      </c>
      <c r="D7458">
        <v>22</v>
      </c>
      <c r="E7458" s="2">
        <v>2.732638888888889E-2</v>
      </c>
      <c r="F7458">
        <v>39.35</v>
      </c>
    </row>
    <row r="7459" spans="1:6" x14ac:dyDescent="0.25">
      <c r="A7459" s="1">
        <v>41030</v>
      </c>
      <c r="B7459" t="s">
        <v>22</v>
      </c>
      <c r="C7459" t="s">
        <v>6</v>
      </c>
      <c r="D7459">
        <v>7</v>
      </c>
      <c r="E7459" s="2">
        <v>6.7245370370370367E-3</v>
      </c>
      <c r="F7459">
        <v>9.6833333333333336</v>
      </c>
    </row>
    <row r="7460" spans="1:6" x14ac:dyDescent="0.25">
      <c r="A7460" s="1">
        <v>41030</v>
      </c>
      <c r="B7460" t="s">
        <v>22</v>
      </c>
      <c r="C7460" t="s">
        <v>7</v>
      </c>
      <c r="D7460">
        <v>10</v>
      </c>
      <c r="E7460" s="2">
        <v>1.1087962962962963E-2</v>
      </c>
      <c r="F7460">
        <v>15.966666666666667</v>
      </c>
    </row>
    <row r="7461" spans="1:6" x14ac:dyDescent="0.25">
      <c r="A7461" s="1">
        <v>41030</v>
      </c>
      <c r="B7461" t="s">
        <v>22</v>
      </c>
      <c r="C7461" t="s">
        <v>8</v>
      </c>
      <c r="D7461">
        <v>8</v>
      </c>
      <c r="E7461" s="2">
        <v>8.4027777777777781E-3</v>
      </c>
      <c r="F7461">
        <v>12.1</v>
      </c>
    </row>
    <row r="7462" spans="1:6" x14ac:dyDescent="0.25">
      <c r="A7462" s="1">
        <v>41030</v>
      </c>
      <c r="B7462" t="s">
        <v>22</v>
      </c>
      <c r="C7462" t="s">
        <v>9</v>
      </c>
      <c r="D7462">
        <v>5</v>
      </c>
      <c r="E7462" s="2">
        <v>2.1990740740740742E-3</v>
      </c>
      <c r="F7462">
        <v>3.1666666666666665</v>
      </c>
    </row>
    <row r="7463" spans="1:6" x14ac:dyDescent="0.25">
      <c r="A7463" s="1">
        <v>41030</v>
      </c>
      <c r="B7463" t="s">
        <v>22</v>
      </c>
      <c r="C7463" t="s">
        <v>10</v>
      </c>
      <c r="D7463">
        <v>2</v>
      </c>
      <c r="E7463" s="2">
        <v>9.0277777777777774E-4</v>
      </c>
      <c r="F7463">
        <v>1.3</v>
      </c>
    </row>
    <row r="7464" spans="1:6" x14ac:dyDescent="0.25">
      <c r="A7464" s="1">
        <v>41030</v>
      </c>
      <c r="B7464" t="s">
        <v>22</v>
      </c>
      <c r="C7464" t="s">
        <v>11</v>
      </c>
      <c r="D7464">
        <v>8</v>
      </c>
      <c r="E7464" s="2">
        <v>7.858796296296296E-3</v>
      </c>
      <c r="F7464">
        <v>11.316666666666666</v>
      </c>
    </row>
    <row r="7465" spans="1:6" x14ac:dyDescent="0.25">
      <c r="A7465" s="1">
        <v>41030</v>
      </c>
      <c r="B7465" t="s">
        <v>23</v>
      </c>
      <c r="C7465" t="s">
        <v>6</v>
      </c>
      <c r="D7465">
        <v>104</v>
      </c>
      <c r="E7465" s="2">
        <v>0.12038194444444444</v>
      </c>
      <c r="F7465">
        <v>173.35</v>
      </c>
    </row>
    <row r="7466" spans="1:6" x14ac:dyDescent="0.25">
      <c r="A7466" s="1">
        <v>41030</v>
      </c>
      <c r="B7466" t="s">
        <v>23</v>
      </c>
      <c r="C7466" t="s">
        <v>7</v>
      </c>
      <c r="D7466">
        <v>94</v>
      </c>
      <c r="E7466" s="2">
        <v>0.13692129629629629</v>
      </c>
      <c r="F7466">
        <v>197.16666666666666</v>
      </c>
    </row>
    <row r="7467" spans="1:6" x14ac:dyDescent="0.25">
      <c r="A7467" s="1">
        <v>41030</v>
      </c>
      <c r="B7467" t="s">
        <v>23</v>
      </c>
      <c r="C7467" t="s">
        <v>8</v>
      </c>
      <c r="D7467">
        <v>61</v>
      </c>
      <c r="E7467" s="2">
        <v>7.1342592592592596E-2</v>
      </c>
      <c r="F7467">
        <v>102.73333333333333</v>
      </c>
    </row>
    <row r="7468" spans="1:6" x14ac:dyDescent="0.25">
      <c r="A7468" s="1">
        <v>41030</v>
      </c>
      <c r="B7468" t="s">
        <v>23</v>
      </c>
      <c r="C7468" t="s">
        <v>9</v>
      </c>
      <c r="D7468">
        <v>58</v>
      </c>
      <c r="E7468" s="2">
        <v>4.4444444444444446E-2</v>
      </c>
      <c r="F7468">
        <v>64</v>
      </c>
    </row>
    <row r="7469" spans="1:6" x14ac:dyDescent="0.25">
      <c r="A7469" s="1">
        <v>41030</v>
      </c>
      <c r="B7469" t="s">
        <v>23</v>
      </c>
      <c r="C7469" t="s">
        <v>10</v>
      </c>
      <c r="D7469">
        <v>30</v>
      </c>
      <c r="E7469" s="2">
        <v>3.6446759259259262E-2</v>
      </c>
      <c r="F7469">
        <v>52.483333333333334</v>
      </c>
    </row>
    <row r="7470" spans="1:6" x14ac:dyDescent="0.25">
      <c r="A7470" s="1">
        <v>41030</v>
      </c>
      <c r="B7470" t="s">
        <v>23</v>
      </c>
      <c r="C7470" t="s">
        <v>11</v>
      </c>
      <c r="D7470">
        <v>104</v>
      </c>
      <c r="E7470" s="2">
        <v>9.4525462962962964E-2</v>
      </c>
      <c r="F7470">
        <v>136.11666666666667</v>
      </c>
    </row>
    <row r="7471" spans="1:6" x14ac:dyDescent="0.25">
      <c r="A7471" s="1">
        <v>41030</v>
      </c>
      <c r="B7471" t="s">
        <v>24</v>
      </c>
      <c r="C7471" t="s">
        <v>6</v>
      </c>
      <c r="D7471">
        <v>80</v>
      </c>
      <c r="E7471" s="2">
        <v>7.2766203703703708E-2</v>
      </c>
      <c r="F7471">
        <v>104.78333333333333</v>
      </c>
    </row>
    <row r="7472" spans="1:6" x14ac:dyDescent="0.25">
      <c r="A7472" s="1">
        <v>41030</v>
      </c>
      <c r="B7472" t="s">
        <v>24</v>
      </c>
      <c r="C7472" t="s">
        <v>7</v>
      </c>
      <c r="D7472">
        <v>63</v>
      </c>
      <c r="E7472" s="2">
        <v>5.3553240740740742E-2</v>
      </c>
      <c r="F7472">
        <v>77.11666666666666</v>
      </c>
    </row>
    <row r="7473" spans="1:6" x14ac:dyDescent="0.25">
      <c r="A7473" s="1">
        <v>41030</v>
      </c>
      <c r="B7473" t="s">
        <v>24</v>
      </c>
      <c r="C7473" t="s">
        <v>8</v>
      </c>
      <c r="D7473">
        <v>40</v>
      </c>
      <c r="E7473" s="2">
        <v>2.5196759259259259E-2</v>
      </c>
      <c r="F7473">
        <v>36.283333333333331</v>
      </c>
    </row>
    <row r="7474" spans="1:6" x14ac:dyDescent="0.25">
      <c r="A7474" s="1">
        <v>41030</v>
      </c>
      <c r="B7474" t="s">
        <v>24</v>
      </c>
      <c r="C7474" t="s">
        <v>9</v>
      </c>
      <c r="D7474">
        <v>20</v>
      </c>
      <c r="E7474" s="2">
        <v>1.3148148148148148E-2</v>
      </c>
      <c r="F7474">
        <v>18.933333333333334</v>
      </c>
    </row>
    <row r="7475" spans="1:6" x14ac:dyDescent="0.25">
      <c r="A7475" s="1">
        <v>41030</v>
      </c>
      <c r="B7475" t="s">
        <v>24</v>
      </c>
      <c r="C7475" t="s">
        <v>10</v>
      </c>
      <c r="D7475">
        <v>3</v>
      </c>
      <c r="E7475" s="2">
        <v>3.9814814814814817E-3</v>
      </c>
      <c r="F7475">
        <v>5.7333333333333334</v>
      </c>
    </row>
    <row r="7476" spans="1:6" x14ac:dyDescent="0.25">
      <c r="A7476" s="1">
        <v>41030</v>
      </c>
      <c r="B7476" t="s">
        <v>24</v>
      </c>
      <c r="C7476" t="s">
        <v>11</v>
      </c>
      <c r="D7476">
        <v>29</v>
      </c>
      <c r="E7476" s="2">
        <v>2.1030092592592593E-2</v>
      </c>
      <c r="F7476">
        <v>30.283333333333335</v>
      </c>
    </row>
    <row r="7477" spans="1:6" x14ac:dyDescent="0.25">
      <c r="A7477" s="1">
        <v>41061</v>
      </c>
      <c r="B7477" t="s">
        <v>5</v>
      </c>
      <c r="C7477" t="s">
        <v>6</v>
      </c>
      <c r="D7477">
        <v>15</v>
      </c>
      <c r="E7477" s="2">
        <v>1.2106481481481482E-2</v>
      </c>
      <c r="F7477">
        <v>17.433333333333334</v>
      </c>
    </row>
    <row r="7478" spans="1:6" x14ac:dyDescent="0.25">
      <c r="A7478" s="1">
        <v>41061</v>
      </c>
      <c r="B7478" t="s">
        <v>5</v>
      </c>
      <c r="C7478" t="s">
        <v>7</v>
      </c>
      <c r="D7478">
        <v>13</v>
      </c>
      <c r="E7478" s="2">
        <v>8.7962962962962968E-3</v>
      </c>
      <c r="F7478">
        <v>12.666666666666666</v>
      </c>
    </row>
    <row r="7479" spans="1:6" x14ac:dyDescent="0.25">
      <c r="A7479" s="1">
        <v>41061</v>
      </c>
      <c r="B7479" t="s">
        <v>5</v>
      </c>
      <c r="C7479" t="s">
        <v>8</v>
      </c>
      <c r="D7479">
        <v>10</v>
      </c>
      <c r="E7479" s="2">
        <v>6.0416666666666665E-3</v>
      </c>
      <c r="F7479">
        <v>8.6999999999999993</v>
      </c>
    </row>
    <row r="7480" spans="1:6" x14ac:dyDescent="0.25">
      <c r="A7480" s="1">
        <v>41061</v>
      </c>
      <c r="B7480" t="s">
        <v>5</v>
      </c>
      <c r="C7480" t="s">
        <v>9</v>
      </c>
      <c r="D7480">
        <v>12</v>
      </c>
      <c r="E7480" s="2">
        <v>4.340277777777778E-3</v>
      </c>
      <c r="F7480">
        <v>6.25</v>
      </c>
    </row>
    <row r="7481" spans="1:6" x14ac:dyDescent="0.25">
      <c r="A7481" s="1">
        <v>41061</v>
      </c>
      <c r="B7481" t="s">
        <v>5</v>
      </c>
      <c r="C7481" t="s">
        <v>10</v>
      </c>
      <c r="D7481">
        <v>3</v>
      </c>
      <c r="E7481" s="2">
        <v>2.5694444444444445E-3</v>
      </c>
      <c r="F7481">
        <v>3.7</v>
      </c>
    </row>
    <row r="7482" spans="1:6" x14ac:dyDescent="0.25">
      <c r="A7482" s="1">
        <v>41061</v>
      </c>
      <c r="B7482" t="s">
        <v>5</v>
      </c>
      <c r="C7482" t="s">
        <v>11</v>
      </c>
      <c r="D7482">
        <v>15</v>
      </c>
      <c r="E7482" s="2">
        <v>9.4560185185185181E-3</v>
      </c>
      <c r="F7482">
        <v>13.616666666666667</v>
      </c>
    </row>
    <row r="7483" spans="1:6" x14ac:dyDescent="0.25">
      <c r="A7483" s="1">
        <v>41061</v>
      </c>
      <c r="B7483" t="s">
        <v>12</v>
      </c>
      <c r="C7483" t="s">
        <v>6</v>
      </c>
      <c r="D7483">
        <v>47</v>
      </c>
      <c r="E7483" s="2">
        <v>5.769675925925926E-2</v>
      </c>
      <c r="F7483">
        <v>83.083333333333329</v>
      </c>
    </row>
    <row r="7484" spans="1:6" x14ac:dyDescent="0.25">
      <c r="A7484" s="1">
        <v>41061</v>
      </c>
      <c r="B7484" t="s">
        <v>12</v>
      </c>
      <c r="C7484" t="s">
        <v>7</v>
      </c>
      <c r="D7484">
        <v>20</v>
      </c>
      <c r="E7484" s="2">
        <v>2.8738425925925924E-2</v>
      </c>
      <c r="F7484">
        <v>41.383333333333333</v>
      </c>
    </row>
    <row r="7485" spans="1:6" x14ac:dyDescent="0.25">
      <c r="A7485" s="1">
        <v>41061</v>
      </c>
      <c r="B7485" t="s">
        <v>12</v>
      </c>
      <c r="C7485" t="s">
        <v>8</v>
      </c>
      <c r="D7485">
        <v>22</v>
      </c>
      <c r="E7485" s="2">
        <v>3.3506944444444443E-2</v>
      </c>
      <c r="F7485">
        <v>48.25</v>
      </c>
    </row>
    <row r="7486" spans="1:6" x14ac:dyDescent="0.25">
      <c r="A7486" s="1">
        <v>41061</v>
      </c>
      <c r="B7486" t="s">
        <v>12</v>
      </c>
      <c r="C7486" t="s">
        <v>9</v>
      </c>
      <c r="D7486">
        <v>12</v>
      </c>
      <c r="E7486" s="2">
        <v>6.9675925925925929E-3</v>
      </c>
      <c r="F7486">
        <v>10.033333333333333</v>
      </c>
    </row>
    <row r="7487" spans="1:6" x14ac:dyDescent="0.25">
      <c r="A7487" s="1">
        <v>41061</v>
      </c>
      <c r="B7487" t="s">
        <v>12</v>
      </c>
      <c r="C7487" t="s">
        <v>10</v>
      </c>
      <c r="D7487">
        <v>31</v>
      </c>
      <c r="E7487" s="2">
        <v>4.9907407407407407E-2</v>
      </c>
      <c r="F7487">
        <v>71.86666666666666</v>
      </c>
    </row>
    <row r="7488" spans="1:6" x14ac:dyDescent="0.25">
      <c r="A7488" s="1">
        <v>41061</v>
      </c>
      <c r="B7488" t="s">
        <v>12</v>
      </c>
      <c r="C7488" t="s">
        <v>11</v>
      </c>
      <c r="D7488">
        <v>37</v>
      </c>
      <c r="E7488" s="2">
        <v>3.6261574074074071E-2</v>
      </c>
      <c r="F7488">
        <v>52.216666666666669</v>
      </c>
    </row>
    <row r="7489" spans="1:6" x14ac:dyDescent="0.25">
      <c r="A7489" s="1">
        <v>41061</v>
      </c>
      <c r="B7489" t="s">
        <v>13</v>
      </c>
      <c r="C7489" t="s">
        <v>6</v>
      </c>
      <c r="D7489">
        <v>58</v>
      </c>
      <c r="E7489" s="2">
        <v>6.4965277777777775E-2</v>
      </c>
      <c r="F7489">
        <v>93.55</v>
      </c>
    </row>
    <row r="7490" spans="1:6" x14ac:dyDescent="0.25">
      <c r="A7490" s="1">
        <v>41061</v>
      </c>
      <c r="B7490" t="s">
        <v>13</v>
      </c>
      <c r="C7490" t="s">
        <v>7</v>
      </c>
      <c r="D7490">
        <v>70</v>
      </c>
      <c r="E7490" s="2">
        <v>8.1712962962962959E-2</v>
      </c>
      <c r="F7490">
        <v>117.66666666666667</v>
      </c>
    </row>
    <row r="7491" spans="1:6" x14ac:dyDescent="0.25">
      <c r="A7491" s="1">
        <v>41061</v>
      </c>
      <c r="B7491" t="s">
        <v>13</v>
      </c>
      <c r="C7491" t="s">
        <v>8</v>
      </c>
      <c r="D7491">
        <v>40</v>
      </c>
      <c r="E7491" s="2">
        <v>4.4791666666666667E-2</v>
      </c>
      <c r="F7491">
        <v>64.5</v>
      </c>
    </row>
    <row r="7492" spans="1:6" x14ac:dyDescent="0.25">
      <c r="A7492" s="1">
        <v>41061</v>
      </c>
      <c r="B7492" t="s">
        <v>13</v>
      </c>
      <c r="C7492" t="s">
        <v>9</v>
      </c>
      <c r="D7492">
        <v>34</v>
      </c>
      <c r="E7492" s="2">
        <v>2.763888888888889E-2</v>
      </c>
      <c r="F7492">
        <v>39.799999999999997</v>
      </c>
    </row>
    <row r="7493" spans="1:6" x14ac:dyDescent="0.25">
      <c r="A7493" s="1">
        <v>41061</v>
      </c>
      <c r="B7493" t="s">
        <v>13</v>
      </c>
      <c r="C7493" t="s">
        <v>10</v>
      </c>
      <c r="D7493">
        <v>39</v>
      </c>
      <c r="E7493" s="2">
        <v>5.3275462962962962E-2</v>
      </c>
      <c r="F7493">
        <v>76.716666666666669</v>
      </c>
    </row>
    <row r="7494" spans="1:6" x14ac:dyDescent="0.25">
      <c r="A7494" s="1">
        <v>41061</v>
      </c>
      <c r="B7494" t="s">
        <v>13</v>
      </c>
      <c r="C7494" t="s">
        <v>11</v>
      </c>
      <c r="D7494">
        <v>16</v>
      </c>
      <c r="E7494" s="2">
        <v>1.4525462962962962E-2</v>
      </c>
      <c r="F7494">
        <v>20.916666666666668</v>
      </c>
    </row>
    <row r="7495" spans="1:6" x14ac:dyDescent="0.25">
      <c r="A7495" s="1">
        <v>41061</v>
      </c>
      <c r="B7495" t="s">
        <v>14</v>
      </c>
      <c r="C7495" t="s">
        <v>6</v>
      </c>
      <c r="D7495">
        <v>26</v>
      </c>
      <c r="E7495" s="2">
        <v>3.0266203703703705E-2</v>
      </c>
      <c r="F7495">
        <v>43.583333333333336</v>
      </c>
    </row>
    <row r="7496" spans="1:6" x14ac:dyDescent="0.25">
      <c r="A7496" s="1">
        <v>41061</v>
      </c>
      <c r="B7496" t="s">
        <v>14</v>
      </c>
      <c r="C7496" t="s">
        <v>7</v>
      </c>
      <c r="D7496">
        <v>33</v>
      </c>
      <c r="E7496" s="2">
        <v>4.238425925925926E-2</v>
      </c>
      <c r="F7496">
        <v>61.033333333333331</v>
      </c>
    </row>
    <row r="7497" spans="1:6" x14ac:dyDescent="0.25">
      <c r="A7497" s="1">
        <v>41061</v>
      </c>
      <c r="B7497" t="s">
        <v>14</v>
      </c>
      <c r="C7497" t="s">
        <v>8</v>
      </c>
      <c r="D7497">
        <v>14</v>
      </c>
      <c r="E7497" s="2">
        <v>1.7662037037037039E-2</v>
      </c>
      <c r="F7497">
        <v>25.433333333333334</v>
      </c>
    </row>
    <row r="7498" spans="1:6" x14ac:dyDescent="0.25">
      <c r="A7498" s="1">
        <v>41061</v>
      </c>
      <c r="B7498" t="s">
        <v>14</v>
      </c>
      <c r="C7498" t="s">
        <v>9</v>
      </c>
      <c r="D7498">
        <v>7</v>
      </c>
      <c r="E7498" s="2">
        <v>6.5393518518518517E-3</v>
      </c>
      <c r="F7498">
        <v>9.4166666666666661</v>
      </c>
    </row>
    <row r="7499" spans="1:6" x14ac:dyDescent="0.25">
      <c r="A7499" s="1">
        <v>41061</v>
      </c>
      <c r="B7499" t="s">
        <v>14</v>
      </c>
      <c r="C7499" t="s">
        <v>10</v>
      </c>
      <c r="D7499">
        <v>0</v>
      </c>
      <c r="E7499" s="2">
        <v>0</v>
      </c>
      <c r="F7499">
        <v>0</v>
      </c>
    </row>
    <row r="7500" spans="1:6" x14ac:dyDescent="0.25">
      <c r="A7500" s="1">
        <v>41061</v>
      </c>
      <c r="B7500" t="s">
        <v>14</v>
      </c>
      <c r="C7500" t="s">
        <v>11</v>
      </c>
      <c r="D7500">
        <v>16</v>
      </c>
      <c r="E7500" s="2">
        <v>1.8518518518518517E-2</v>
      </c>
      <c r="F7500">
        <v>26.666666666666668</v>
      </c>
    </row>
    <row r="7501" spans="1:6" x14ac:dyDescent="0.25">
      <c r="A7501" s="1">
        <v>41061</v>
      </c>
      <c r="B7501" t="s">
        <v>15</v>
      </c>
      <c r="C7501" t="s">
        <v>6</v>
      </c>
      <c r="D7501">
        <v>19</v>
      </c>
      <c r="E7501" s="2">
        <v>2.4560185185185185E-2</v>
      </c>
      <c r="F7501">
        <v>35.366666666666667</v>
      </c>
    </row>
    <row r="7502" spans="1:6" x14ac:dyDescent="0.25">
      <c r="A7502" s="1">
        <v>41061</v>
      </c>
      <c r="B7502" t="s">
        <v>15</v>
      </c>
      <c r="C7502" t="s">
        <v>7</v>
      </c>
      <c r="D7502">
        <v>15</v>
      </c>
      <c r="E7502" s="2">
        <v>1.3414351851851853E-2</v>
      </c>
      <c r="F7502">
        <v>19.316666666666666</v>
      </c>
    </row>
    <row r="7503" spans="1:6" x14ac:dyDescent="0.25">
      <c r="A7503" s="1">
        <v>41061</v>
      </c>
      <c r="B7503" t="s">
        <v>15</v>
      </c>
      <c r="C7503" t="s">
        <v>8</v>
      </c>
      <c r="D7503">
        <v>11</v>
      </c>
      <c r="E7503" s="2">
        <v>1.6145833333333335E-2</v>
      </c>
      <c r="F7503">
        <v>23.25</v>
      </c>
    </row>
    <row r="7504" spans="1:6" x14ac:dyDescent="0.25">
      <c r="A7504" s="1">
        <v>41061</v>
      </c>
      <c r="B7504" t="s">
        <v>15</v>
      </c>
      <c r="C7504" t="s">
        <v>9</v>
      </c>
      <c r="D7504">
        <v>7</v>
      </c>
      <c r="E7504" s="2">
        <v>5.9143518518518521E-3</v>
      </c>
      <c r="F7504">
        <v>8.5166666666666675</v>
      </c>
    </row>
    <row r="7505" spans="1:6" x14ac:dyDescent="0.25">
      <c r="A7505" s="1">
        <v>41061</v>
      </c>
      <c r="B7505" t="s">
        <v>15</v>
      </c>
      <c r="C7505" t="s">
        <v>10</v>
      </c>
      <c r="D7505">
        <v>9</v>
      </c>
      <c r="E7505" s="2">
        <v>1.193287037037037E-2</v>
      </c>
      <c r="F7505">
        <v>17.183333333333334</v>
      </c>
    </row>
    <row r="7506" spans="1:6" x14ac:dyDescent="0.25">
      <c r="A7506" s="1">
        <v>41061</v>
      </c>
      <c r="B7506" t="s">
        <v>15</v>
      </c>
      <c r="C7506" t="s">
        <v>11</v>
      </c>
      <c r="D7506">
        <v>4</v>
      </c>
      <c r="E7506" s="2">
        <v>2.7430555555555554E-3</v>
      </c>
      <c r="F7506">
        <v>3.95</v>
      </c>
    </row>
    <row r="7507" spans="1:6" x14ac:dyDescent="0.25">
      <c r="A7507" s="1">
        <v>41061</v>
      </c>
      <c r="B7507" t="s">
        <v>16</v>
      </c>
      <c r="C7507" t="s">
        <v>6</v>
      </c>
      <c r="D7507">
        <v>43</v>
      </c>
      <c r="E7507" s="2">
        <v>3.9571759259259258E-2</v>
      </c>
      <c r="F7507">
        <v>56.983333333333334</v>
      </c>
    </row>
    <row r="7508" spans="1:6" x14ac:dyDescent="0.25">
      <c r="A7508" s="1">
        <v>41061</v>
      </c>
      <c r="B7508" t="s">
        <v>16</v>
      </c>
      <c r="C7508" t="s">
        <v>7</v>
      </c>
      <c r="D7508">
        <v>47</v>
      </c>
      <c r="E7508" s="2">
        <v>4.898148148148148E-2</v>
      </c>
      <c r="F7508">
        <v>70.533333333333331</v>
      </c>
    </row>
    <row r="7509" spans="1:6" x14ac:dyDescent="0.25">
      <c r="A7509" s="1">
        <v>41061</v>
      </c>
      <c r="B7509" t="s">
        <v>16</v>
      </c>
      <c r="C7509" t="s">
        <v>8</v>
      </c>
      <c r="D7509">
        <v>41</v>
      </c>
      <c r="E7509" s="2">
        <v>3.7488425925925925E-2</v>
      </c>
      <c r="F7509">
        <v>53.983333333333334</v>
      </c>
    </row>
    <row r="7510" spans="1:6" x14ac:dyDescent="0.25">
      <c r="A7510" s="1">
        <v>41061</v>
      </c>
      <c r="B7510" t="s">
        <v>16</v>
      </c>
      <c r="C7510" t="s">
        <v>9</v>
      </c>
      <c r="D7510">
        <v>23</v>
      </c>
      <c r="E7510" s="2">
        <v>1.7488425925925925E-2</v>
      </c>
      <c r="F7510">
        <v>25.183333333333334</v>
      </c>
    </row>
    <row r="7511" spans="1:6" x14ac:dyDescent="0.25">
      <c r="A7511" s="1">
        <v>41061</v>
      </c>
      <c r="B7511" t="s">
        <v>16</v>
      </c>
      <c r="C7511" t="s">
        <v>10</v>
      </c>
      <c r="D7511">
        <v>0</v>
      </c>
      <c r="E7511" s="2">
        <v>0</v>
      </c>
      <c r="F7511">
        <v>0</v>
      </c>
    </row>
    <row r="7512" spans="1:6" x14ac:dyDescent="0.25">
      <c r="A7512" s="1">
        <v>41061</v>
      </c>
      <c r="B7512" t="s">
        <v>16</v>
      </c>
      <c r="C7512" t="s">
        <v>11</v>
      </c>
      <c r="D7512">
        <v>42</v>
      </c>
      <c r="E7512" s="2">
        <v>3.8379629629629632E-2</v>
      </c>
      <c r="F7512">
        <v>55.266666666666666</v>
      </c>
    </row>
    <row r="7513" spans="1:6" x14ac:dyDescent="0.25">
      <c r="A7513" s="1">
        <v>41061</v>
      </c>
      <c r="B7513" t="s">
        <v>17</v>
      </c>
      <c r="C7513" t="s">
        <v>6</v>
      </c>
      <c r="D7513">
        <v>22</v>
      </c>
      <c r="E7513" s="2">
        <v>2.1574074074074075E-2</v>
      </c>
      <c r="F7513">
        <v>31.066666666666666</v>
      </c>
    </row>
    <row r="7514" spans="1:6" x14ac:dyDescent="0.25">
      <c r="A7514" s="1">
        <v>41061</v>
      </c>
      <c r="B7514" t="s">
        <v>17</v>
      </c>
      <c r="C7514" t="s">
        <v>7</v>
      </c>
      <c r="D7514">
        <v>14</v>
      </c>
      <c r="E7514" s="2">
        <v>1.6759259259259258E-2</v>
      </c>
      <c r="F7514">
        <v>24.133333333333333</v>
      </c>
    </row>
    <row r="7515" spans="1:6" x14ac:dyDescent="0.25">
      <c r="A7515" s="1">
        <v>41061</v>
      </c>
      <c r="B7515" t="s">
        <v>17</v>
      </c>
      <c r="C7515" t="s">
        <v>8</v>
      </c>
      <c r="D7515">
        <v>9</v>
      </c>
      <c r="E7515" s="2">
        <v>9.0972222222222218E-3</v>
      </c>
      <c r="F7515">
        <v>13.1</v>
      </c>
    </row>
    <row r="7516" spans="1:6" x14ac:dyDescent="0.25">
      <c r="A7516" s="1">
        <v>41061</v>
      </c>
      <c r="B7516" t="s">
        <v>17</v>
      </c>
      <c r="C7516" t="s">
        <v>9</v>
      </c>
      <c r="D7516">
        <v>4</v>
      </c>
      <c r="E7516" s="2">
        <v>2.7430555555555554E-3</v>
      </c>
      <c r="F7516">
        <v>3.95</v>
      </c>
    </row>
    <row r="7517" spans="1:6" x14ac:dyDescent="0.25">
      <c r="A7517" s="1">
        <v>41061</v>
      </c>
      <c r="B7517" t="s">
        <v>17</v>
      </c>
      <c r="C7517" t="s">
        <v>10</v>
      </c>
      <c r="D7517">
        <v>3</v>
      </c>
      <c r="E7517" s="2">
        <v>2.7083333333333334E-3</v>
      </c>
      <c r="F7517">
        <v>3.9</v>
      </c>
    </row>
    <row r="7518" spans="1:6" x14ac:dyDescent="0.25">
      <c r="A7518" s="1">
        <v>41061</v>
      </c>
      <c r="B7518" t="s">
        <v>17</v>
      </c>
      <c r="C7518" t="s">
        <v>11</v>
      </c>
      <c r="D7518">
        <v>15</v>
      </c>
      <c r="E7518" s="2">
        <v>1.6712962962962964E-2</v>
      </c>
      <c r="F7518">
        <v>24.066666666666666</v>
      </c>
    </row>
    <row r="7519" spans="1:6" x14ac:dyDescent="0.25">
      <c r="A7519" s="1">
        <v>41061</v>
      </c>
      <c r="B7519" t="s">
        <v>18</v>
      </c>
      <c r="C7519" t="s">
        <v>6</v>
      </c>
      <c r="D7519">
        <v>55</v>
      </c>
      <c r="E7519" s="2">
        <v>4.7881944444444442E-2</v>
      </c>
      <c r="F7519">
        <v>68.95</v>
      </c>
    </row>
    <row r="7520" spans="1:6" x14ac:dyDescent="0.25">
      <c r="A7520" s="1">
        <v>41061</v>
      </c>
      <c r="B7520" t="s">
        <v>18</v>
      </c>
      <c r="C7520" t="s">
        <v>7</v>
      </c>
      <c r="D7520">
        <v>80</v>
      </c>
      <c r="E7520" s="2">
        <v>5.4652777777777779E-2</v>
      </c>
      <c r="F7520">
        <v>78.7</v>
      </c>
    </row>
    <row r="7521" spans="1:6" x14ac:dyDescent="0.25">
      <c r="A7521" s="1">
        <v>41061</v>
      </c>
      <c r="B7521" t="s">
        <v>18</v>
      </c>
      <c r="C7521" t="s">
        <v>8</v>
      </c>
      <c r="D7521">
        <v>37</v>
      </c>
      <c r="E7521" s="2">
        <v>3.0023148148148149E-2</v>
      </c>
      <c r="F7521">
        <v>43.233333333333334</v>
      </c>
    </row>
    <row r="7522" spans="1:6" x14ac:dyDescent="0.25">
      <c r="A7522" s="1">
        <v>41061</v>
      </c>
      <c r="B7522" t="s">
        <v>18</v>
      </c>
      <c r="C7522" t="s">
        <v>9</v>
      </c>
      <c r="D7522">
        <v>46</v>
      </c>
      <c r="E7522" s="2">
        <v>2.9236111111111112E-2</v>
      </c>
      <c r="F7522">
        <v>42.1</v>
      </c>
    </row>
    <row r="7523" spans="1:6" x14ac:dyDescent="0.25">
      <c r="A7523" s="1">
        <v>41061</v>
      </c>
      <c r="B7523" t="s">
        <v>18</v>
      </c>
      <c r="C7523" t="s">
        <v>10</v>
      </c>
      <c r="D7523">
        <v>93</v>
      </c>
      <c r="E7523" s="2">
        <v>0.10621527777777778</v>
      </c>
      <c r="F7523">
        <v>152.94999999999999</v>
      </c>
    </row>
    <row r="7524" spans="1:6" x14ac:dyDescent="0.25">
      <c r="A7524" s="1">
        <v>41061</v>
      </c>
      <c r="B7524" t="s">
        <v>18</v>
      </c>
      <c r="C7524" t="s">
        <v>11</v>
      </c>
      <c r="D7524">
        <v>27</v>
      </c>
      <c r="E7524" s="2">
        <v>1.9143518518518518E-2</v>
      </c>
      <c r="F7524">
        <v>27.566666666666666</v>
      </c>
    </row>
    <row r="7525" spans="1:6" x14ac:dyDescent="0.25">
      <c r="A7525" s="1">
        <v>41061</v>
      </c>
      <c r="B7525" t="s">
        <v>19</v>
      </c>
      <c r="C7525" t="s">
        <v>6</v>
      </c>
      <c r="D7525">
        <v>30</v>
      </c>
      <c r="E7525" s="2">
        <v>2.8599537037037038E-2</v>
      </c>
      <c r="F7525">
        <v>41.18333333333333</v>
      </c>
    </row>
    <row r="7526" spans="1:6" x14ac:dyDescent="0.25">
      <c r="A7526" s="1">
        <v>41061</v>
      </c>
      <c r="B7526" t="s">
        <v>19</v>
      </c>
      <c r="C7526" t="s">
        <v>7</v>
      </c>
      <c r="D7526">
        <v>13</v>
      </c>
      <c r="E7526" s="2">
        <v>1.0451388888888889E-2</v>
      </c>
      <c r="F7526">
        <v>15.05</v>
      </c>
    </row>
    <row r="7527" spans="1:6" x14ac:dyDescent="0.25">
      <c r="A7527" s="1">
        <v>41061</v>
      </c>
      <c r="B7527" t="s">
        <v>19</v>
      </c>
      <c r="C7527" t="s">
        <v>8</v>
      </c>
      <c r="D7527">
        <v>25</v>
      </c>
      <c r="E7527" s="2">
        <v>1.7141203703703704E-2</v>
      </c>
      <c r="F7527">
        <v>24.683333333333334</v>
      </c>
    </row>
    <row r="7528" spans="1:6" x14ac:dyDescent="0.25">
      <c r="A7528" s="1">
        <v>41061</v>
      </c>
      <c r="B7528" t="s">
        <v>19</v>
      </c>
      <c r="C7528" t="s">
        <v>9</v>
      </c>
      <c r="D7528">
        <v>23</v>
      </c>
      <c r="E7528" s="2">
        <v>1.6851851851851851E-2</v>
      </c>
      <c r="F7528">
        <v>24.266666666666666</v>
      </c>
    </row>
    <row r="7529" spans="1:6" x14ac:dyDescent="0.25">
      <c r="A7529" s="1">
        <v>41061</v>
      </c>
      <c r="B7529" t="s">
        <v>19</v>
      </c>
      <c r="C7529" t="s">
        <v>10</v>
      </c>
      <c r="D7529">
        <v>15</v>
      </c>
      <c r="E7529" s="2">
        <v>1.4282407407407407E-2</v>
      </c>
      <c r="F7529">
        <v>20.566666666666666</v>
      </c>
    </row>
    <row r="7530" spans="1:6" x14ac:dyDescent="0.25">
      <c r="A7530" s="1">
        <v>41061</v>
      </c>
      <c r="B7530" t="s">
        <v>19</v>
      </c>
      <c r="C7530" t="s">
        <v>11</v>
      </c>
      <c r="D7530">
        <v>12</v>
      </c>
      <c r="E7530" s="2">
        <v>1.2314814814814815E-2</v>
      </c>
      <c r="F7530">
        <v>17.733333333333334</v>
      </c>
    </row>
    <row r="7531" spans="1:6" x14ac:dyDescent="0.25">
      <c r="A7531" s="1">
        <v>41061</v>
      </c>
      <c r="B7531" t="s">
        <v>20</v>
      </c>
      <c r="C7531" t="s">
        <v>6</v>
      </c>
      <c r="D7531">
        <v>84</v>
      </c>
      <c r="E7531" s="2">
        <v>8.6620370370370375E-2</v>
      </c>
      <c r="F7531">
        <v>124.73333333333333</v>
      </c>
    </row>
    <row r="7532" spans="1:6" x14ac:dyDescent="0.25">
      <c r="A7532" s="1">
        <v>41061</v>
      </c>
      <c r="B7532" t="s">
        <v>20</v>
      </c>
      <c r="C7532" t="s">
        <v>7</v>
      </c>
      <c r="D7532">
        <v>109</v>
      </c>
      <c r="E7532" s="2">
        <v>0.10479166666666667</v>
      </c>
      <c r="F7532">
        <v>150.9</v>
      </c>
    </row>
    <row r="7533" spans="1:6" x14ac:dyDescent="0.25">
      <c r="A7533" s="1">
        <v>41061</v>
      </c>
      <c r="B7533" t="s">
        <v>20</v>
      </c>
      <c r="C7533" t="s">
        <v>8</v>
      </c>
      <c r="D7533">
        <v>89</v>
      </c>
      <c r="E7533" s="2">
        <v>8.9513888888888893E-2</v>
      </c>
      <c r="F7533">
        <v>128.9</v>
      </c>
    </row>
    <row r="7534" spans="1:6" x14ac:dyDescent="0.25">
      <c r="A7534" s="1">
        <v>41061</v>
      </c>
      <c r="B7534" t="s">
        <v>20</v>
      </c>
      <c r="C7534" t="s">
        <v>9</v>
      </c>
      <c r="D7534">
        <v>35</v>
      </c>
      <c r="E7534" s="2">
        <v>2.627314814814815E-2</v>
      </c>
      <c r="F7534">
        <v>37.833333333333336</v>
      </c>
    </row>
    <row r="7535" spans="1:6" x14ac:dyDescent="0.25">
      <c r="A7535" s="1">
        <v>41061</v>
      </c>
      <c r="B7535" t="s">
        <v>20</v>
      </c>
      <c r="C7535" t="s">
        <v>10</v>
      </c>
      <c r="D7535">
        <v>21</v>
      </c>
      <c r="E7535" s="2">
        <v>2.5439814814814814E-2</v>
      </c>
      <c r="F7535">
        <v>36.633333333333333</v>
      </c>
    </row>
    <row r="7536" spans="1:6" x14ac:dyDescent="0.25">
      <c r="A7536" s="1">
        <v>41061</v>
      </c>
      <c r="B7536" t="s">
        <v>20</v>
      </c>
      <c r="C7536" t="s">
        <v>11</v>
      </c>
      <c r="D7536">
        <v>83</v>
      </c>
      <c r="E7536" s="2">
        <v>6.637731481481482E-2</v>
      </c>
      <c r="F7536">
        <v>95.583333333333329</v>
      </c>
    </row>
    <row r="7537" spans="1:6" x14ac:dyDescent="0.25">
      <c r="A7537" s="1">
        <v>41061</v>
      </c>
      <c r="B7537" t="s">
        <v>21</v>
      </c>
      <c r="C7537" t="s">
        <v>6</v>
      </c>
      <c r="D7537">
        <v>11</v>
      </c>
      <c r="E7537" s="2">
        <v>1.2835648148148148E-2</v>
      </c>
      <c r="F7537">
        <v>18.483333333333334</v>
      </c>
    </row>
    <row r="7538" spans="1:6" x14ac:dyDescent="0.25">
      <c r="A7538" s="1">
        <v>41061</v>
      </c>
      <c r="B7538" t="s">
        <v>21</v>
      </c>
      <c r="C7538" t="s">
        <v>7</v>
      </c>
      <c r="D7538">
        <v>19</v>
      </c>
      <c r="E7538" s="2">
        <v>3.3009259259259259E-2</v>
      </c>
      <c r="F7538">
        <v>47.533333333333331</v>
      </c>
    </row>
    <row r="7539" spans="1:6" x14ac:dyDescent="0.25">
      <c r="A7539" s="1">
        <v>41061</v>
      </c>
      <c r="B7539" t="s">
        <v>21</v>
      </c>
      <c r="C7539" t="s">
        <v>8</v>
      </c>
      <c r="D7539">
        <v>11</v>
      </c>
      <c r="E7539" s="2">
        <v>1.6840277777777777E-2</v>
      </c>
      <c r="F7539">
        <v>24.25</v>
      </c>
    </row>
    <row r="7540" spans="1:6" x14ac:dyDescent="0.25">
      <c r="A7540" s="1">
        <v>41061</v>
      </c>
      <c r="B7540" t="s">
        <v>21</v>
      </c>
      <c r="C7540" t="s">
        <v>9</v>
      </c>
      <c r="D7540">
        <v>3</v>
      </c>
      <c r="E7540" s="2">
        <v>2.0833333333333333E-3</v>
      </c>
      <c r="F7540">
        <v>3</v>
      </c>
    </row>
    <row r="7541" spans="1:6" x14ac:dyDescent="0.25">
      <c r="A7541" s="1">
        <v>41061</v>
      </c>
      <c r="B7541" t="s">
        <v>21</v>
      </c>
      <c r="C7541" t="s">
        <v>10</v>
      </c>
      <c r="D7541">
        <v>1</v>
      </c>
      <c r="E7541" s="2">
        <v>2.1064814814814813E-3</v>
      </c>
      <c r="F7541">
        <v>3.0333333333333332</v>
      </c>
    </row>
    <row r="7542" spans="1:6" x14ac:dyDescent="0.25">
      <c r="A7542" s="1">
        <v>41061</v>
      </c>
      <c r="B7542" t="s">
        <v>21</v>
      </c>
      <c r="C7542" t="s">
        <v>11</v>
      </c>
      <c r="D7542">
        <v>14</v>
      </c>
      <c r="E7542" s="2">
        <v>1.6284722222222221E-2</v>
      </c>
      <c r="F7542">
        <v>23.45</v>
      </c>
    </row>
    <row r="7543" spans="1:6" x14ac:dyDescent="0.25">
      <c r="A7543" s="1">
        <v>41061</v>
      </c>
      <c r="B7543" t="s">
        <v>22</v>
      </c>
      <c r="C7543" t="s">
        <v>6</v>
      </c>
      <c r="D7543">
        <v>9</v>
      </c>
      <c r="E7543" s="2">
        <v>1.050925925925926E-2</v>
      </c>
      <c r="F7543">
        <v>15.133333333333333</v>
      </c>
    </row>
    <row r="7544" spans="1:6" x14ac:dyDescent="0.25">
      <c r="A7544" s="1">
        <v>41061</v>
      </c>
      <c r="B7544" t="s">
        <v>22</v>
      </c>
      <c r="C7544" t="s">
        <v>7</v>
      </c>
      <c r="D7544">
        <v>9</v>
      </c>
      <c r="E7544" s="2">
        <v>1.2789351851851852E-2</v>
      </c>
      <c r="F7544">
        <v>18.416666666666668</v>
      </c>
    </row>
    <row r="7545" spans="1:6" x14ac:dyDescent="0.25">
      <c r="A7545" s="1">
        <v>41061</v>
      </c>
      <c r="B7545" t="s">
        <v>22</v>
      </c>
      <c r="C7545" t="s">
        <v>8</v>
      </c>
      <c r="D7545">
        <v>8</v>
      </c>
      <c r="E7545" s="2">
        <v>8.7384259259259255E-3</v>
      </c>
      <c r="F7545">
        <v>12.583333333333334</v>
      </c>
    </row>
    <row r="7546" spans="1:6" x14ac:dyDescent="0.25">
      <c r="A7546" s="1">
        <v>41061</v>
      </c>
      <c r="B7546" t="s">
        <v>22</v>
      </c>
      <c r="C7546" t="s">
        <v>9</v>
      </c>
      <c r="D7546">
        <v>2</v>
      </c>
      <c r="E7546" s="2">
        <v>1.7939814814814815E-3</v>
      </c>
      <c r="F7546">
        <v>2.5833333333333335</v>
      </c>
    </row>
    <row r="7547" spans="1:6" x14ac:dyDescent="0.25">
      <c r="A7547" s="1">
        <v>41061</v>
      </c>
      <c r="B7547" t="s">
        <v>22</v>
      </c>
      <c r="C7547" t="s">
        <v>10</v>
      </c>
      <c r="D7547">
        <v>2</v>
      </c>
      <c r="E7547" s="2">
        <v>6.5972222222222224E-4</v>
      </c>
      <c r="F7547">
        <v>0.95</v>
      </c>
    </row>
    <row r="7548" spans="1:6" x14ac:dyDescent="0.25">
      <c r="A7548" s="1">
        <v>41061</v>
      </c>
      <c r="B7548" t="s">
        <v>22</v>
      </c>
      <c r="C7548" t="s">
        <v>11</v>
      </c>
      <c r="D7548">
        <v>4</v>
      </c>
      <c r="E7548" s="2">
        <v>5.185185185185185E-3</v>
      </c>
      <c r="F7548">
        <v>7.4666666666666668</v>
      </c>
    </row>
    <row r="7549" spans="1:6" x14ac:dyDescent="0.25">
      <c r="A7549" s="1">
        <v>41061</v>
      </c>
      <c r="B7549" t="s">
        <v>23</v>
      </c>
      <c r="C7549" t="s">
        <v>6</v>
      </c>
      <c r="D7549">
        <v>78</v>
      </c>
      <c r="E7549" s="2">
        <v>9.4247685185185184E-2</v>
      </c>
      <c r="F7549">
        <v>135.71666666666667</v>
      </c>
    </row>
    <row r="7550" spans="1:6" x14ac:dyDescent="0.25">
      <c r="A7550" s="1">
        <v>41061</v>
      </c>
      <c r="B7550" t="s">
        <v>23</v>
      </c>
      <c r="C7550" t="s">
        <v>7</v>
      </c>
      <c r="D7550">
        <v>97</v>
      </c>
      <c r="E7550" s="2">
        <v>0.14905092592592592</v>
      </c>
      <c r="F7550">
        <v>214.63333333333333</v>
      </c>
    </row>
    <row r="7551" spans="1:6" x14ac:dyDescent="0.25">
      <c r="A7551" s="1">
        <v>41061</v>
      </c>
      <c r="B7551" t="s">
        <v>23</v>
      </c>
      <c r="C7551" t="s">
        <v>8</v>
      </c>
      <c r="D7551">
        <v>55</v>
      </c>
      <c r="E7551" s="2">
        <v>6.4166666666666664E-2</v>
      </c>
      <c r="F7551">
        <v>92.4</v>
      </c>
    </row>
    <row r="7552" spans="1:6" x14ac:dyDescent="0.25">
      <c r="A7552" s="1">
        <v>41061</v>
      </c>
      <c r="B7552" t="s">
        <v>23</v>
      </c>
      <c r="C7552" t="s">
        <v>9</v>
      </c>
      <c r="D7552">
        <v>42</v>
      </c>
      <c r="E7552" s="2">
        <v>3.3831018518518517E-2</v>
      </c>
      <c r="F7552">
        <v>48.716666666666669</v>
      </c>
    </row>
    <row r="7553" spans="1:6" x14ac:dyDescent="0.25">
      <c r="A7553" s="1">
        <v>41061</v>
      </c>
      <c r="B7553" t="s">
        <v>23</v>
      </c>
      <c r="C7553" t="s">
        <v>10</v>
      </c>
      <c r="D7553">
        <v>31</v>
      </c>
      <c r="E7553" s="2">
        <v>3.3599537037037039E-2</v>
      </c>
      <c r="F7553">
        <v>48.383333333333333</v>
      </c>
    </row>
    <row r="7554" spans="1:6" x14ac:dyDescent="0.25">
      <c r="A7554" s="1">
        <v>41061</v>
      </c>
      <c r="B7554" t="s">
        <v>23</v>
      </c>
      <c r="C7554" t="s">
        <v>11</v>
      </c>
      <c r="D7554">
        <v>53</v>
      </c>
      <c r="E7554" s="2">
        <v>5.199074074074074E-2</v>
      </c>
      <c r="F7554">
        <v>74.86666666666666</v>
      </c>
    </row>
    <row r="7555" spans="1:6" x14ac:dyDescent="0.25">
      <c r="A7555" s="1">
        <v>41061</v>
      </c>
      <c r="B7555" t="s">
        <v>24</v>
      </c>
      <c r="C7555" t="s">
        <v>6</v>
      </c>
      <c r="D7555">
        <v>86</v>
      </c>
      <c r="E7555" s="2">
        <v>7.7708333333333338E-2</v>
      </c>
      <c r="F7555">
        <v>111.9</v>
      </c>
    </row>
    <row r="7556" spans="1:6" x14ac:dyDescent="0.25">
      <c r="A7556" s="1">
        <v>41061</v>
      </c>
      <c r="B7556" t="s">
        <v>24</v>
      </c>
      <c r="C7556" t="s">
        <v>7</v>
      </c>
      <c r="D7556">
        <v>53</v>
      </c>
      <c r="E7556" s="2">
        <v>3.6620370370370373E-2</v>
      </c>
      <c r="F7556">
        <v>52.733333333333334</v>
      </c>
    </row>
    <row r="7557" spans="1:6" x14ac:dyDescent="0.25">
      <c r="A7557" s="1">
        <v>41061</v>
      </c>
      <c r="B7557" t="s">
        <v>24</v>
      </c>
      <c r="C7557" t="s">
        <v>8</v>
      </c>
      <c r="D7557">
        <v>29</v>
      </c>
      <c r="E7557" s="2">
        <v>2.0046296296296295E-2</v>
      </c>
      <c r="F7557">
        <v>28.866666666666667</v>
      </c>
    </row>
    <row r="7558" spans="1:6" x14ac:dyDescent="0.25">
      <c r="A7558" s="1">
        <v>41061</v>
      </c>
      <c r="B7558" t="s">
        <v>24</v>
      </c>
      <c r="C7558" t="s">
        <v>9</v>
      </c>
      <c r="D7558">
        <v>23</v>
      </c>
      <c r="E7558" s="2">
        <v>1.7175925925925924E-2</v>
      </c>
      <c r="F7558">
        <v>24.733333333333334</v>
      </c>
    </row>
    <row r="7559" spans="1:6" x14ac:dyDescent="0.25">
      <c r="A7559" s="1">
        <v>41061</v>
      </c>
      <c r="B7559" t="s">
        <v>24</v>
      </c>
      <c r="C7559" t="s">
        <v>10</v>
      </c>
      <c r="D7559">
        <v>3</v>
      </c>
      <c r="E7559" s="2">
        <v>3.6805555555555554E-3</v>
      </c>
      <c r="F7559">
        <v>5.3</v>
      </c>
    </row>
    <row r="7560" spans="1:6" x14ac:dyDescent="0.25">
      <c r="A7560" s="1">
        <v>41061</v>
      </c>
      <c r="B7560" t="s">
        <v>24</v>
      </c>
      <c r="C7560" t="s">
        <v>11</v>
      </c>
      <c r="D7560">
        <v>73</v>
      </c>
      <c r="E7560" s="2">
        <v>5.0451388888888886E-2</v>
      </c>
      <c r="F7560">
        <v>72.650000000000006</v>
      </c>
    </row>
    <row r="7561" spans="1:6" x14ac:dyDescent="0.25">
      <c r="A7561" s="1">
        <v>41091</v>
      </c>
      <c r="B7561" t="s">
        <v>5</v>
      </c>
      <c r="C7561" t="s">
        <v>6</v>
      </c>
      <c r="D7561">
        <v>45</v>
      </c>
      <c r="E7561" s="2">
        <v>4.1377314814814818E-2</v>
      </c>
      <c r="F7561">
        <v>59.583333333333336</v>
      </c>
    </row>
    <row r="7562" spans="1:6" x14ac:dyDescent="0.25">
      <c r="A7562" s="1">
        <v>41091</v>
      </c>
      <c r="B7562" t="s">
        <v>5</v>
      </c>
      <c r="C7562" t="s">
        <v>7</v>
      </c>
      <c r="D7562">
        <v>62</v>
      </c>
      <c r="E7562" s="2">
        <v>4.7037037037037037E-2</v>
      </c>
      <c r="F7562">
        <v>67.733333333333334</v>
      </c>
    </row>
    <row r="7563" spans="1:6" x14ac:dyDescent="0.25">
      <c r="A7563" s="1">
        <v>41091</v>
      </c>
      <c r="B7563" t="s">
        <v>5</v>
      </c>
      <c r="C7563" t="s">
        <v>8</v>
      </c>
      <c r="D7563">
        <v>39</v>
      </c>
      <c r="E7563" s="2">
        <v>3.3784722222222223E-2</v>
      </c>
      <c r="F7563">
        <v>48.65</v>
      </c>
    </row>
    <row r="7564" spans="1:6" x14ac:dyDescent="0.25">
      <c r="A7564" s="1">
        <v>41091</v>
      </c>
      <c r="B7564" t="s">
        <v>5</v>
      </c>
      <c r="C7564" t="s">
        <v>9</v>
      </c>
      <c r="D7564">
        <v>16</v>
      </c>
      <c r="E7564" s="2">
        <v>1.193287037037037E-2</v>
      </c>
      <c r="F7564">
        <v>17.183333333333334</v>
      </c>
    </row>
    <row r="7565" spans="1:6" x14ac:dyDescent="0.25">
      <c r="A7565" s="1">
        <v>41091</v>
      </c>
      <c r="B7565" t="s">
        <v>5</v>
      </c>
      <c r="C7565" t="s">
        <v>10</v>
      </c>
      <c r="D7565">
        <v>7</v>
      </c>
      <c r="E7565" s="2">
        <v>2.2916666666666667E-3</v>
      </c>
      <c r="F7565">
        <v>3.3</v>
      </c>
    </row>
    <row r="7566" spans="1:6" x14ac:dyDescent="0.25">
      <c r="A7566" s="1">
        <v>41091</v>
      </c>
      <c r="B7566" t="s">
        <v>5</v>
      </c>
      <c r="C7566" t="s">
        <v>11</v>
      </c>
      <c r="D7566">
        <v>44</v>
      </c>
      <c r="E7566" s="2">
        <v>2.7939814814814813E-2</v>
      </c>
      <c r="F7566">
        <v>40.233333333333334</v>
      </c>
    </row>
    <row r="7567" spans="1:6" x14ac:dyDescent="0.25">
      <c r="A7567" s="1">
        <v>41091</v>
      </c>
      <c r="B7567" t="s">
        <v>12</v>
      </c>
      <c r="C7567" t="s">
        <v>6</v>
      </c>
      <c r="D7567">
        <v>79</v>
      </c>
      <c r="E7567" s="2">
        <v>0.10085648148148148</v>
      </c>
      <c r="F7567">
        <v>145.23333333333332</v>
      </c>
    </row>
    <row r="7568" spans="1:6" x14ac:dyDescent="0.25">
      <c r="A7568" s="1">
        <v>41091</v>
      </c>
      <c r="B7568" t="s">
        <v>12</v>
      </c>
      <c r="C7568" t="s">
        <v>7</v>
      </c>
      <c r="D7568">
        <v>35</v>
      </c>
      <c r="E7568" s="2">
        <v>4.0243055555555553E-2</v>
      </c>
      <c r="F7568">
        <v>57.95</v>
      </c>
    </row>
    <row r="7569" spans="1:6" x14ac:dyDescent="0.25">
      <c r="A7569" s="1">
        <v>41091</v>
      </c>
      <c r="B7569" t="s">
        <v>12</v>
      </c>
      <c r="C7569" t="s">
        <v>8</v>
      </c>
      <c r="D7569">
        <v>32</v>
      </c>
      <c r="E7569" s="2">
        <v>4.2638888888888886E-2</v>
      </c>
      <c r="F7569">
        <v>61.4</v>
      </c>
    </row>
    <row r="7570" spans="1:6" x14ac:dyDescent="0.25">
      <c r="A7570" s="1">
        <v>41091</v>
      </c>
      <c r="B7570" t="s">
        <v>12</v>
      </c>
      <c r="C7570" t="s">
        <v>9</v>
      </c>
      <c r="D7570">
        <v>9</v>
      </c>
      <c r="E7570" s="2">
        <v>7.5694444444444446E-3</v>
      </c>
      <c r="F7570">
        <v>10.9</v>
      </c>
    </row>
    <row r="7571" spans="1:6" x14ac:dyDescent="0.25">
      <c r="A7571" s="1">
        <v>41091</v>
      </c>
      <c r="B7571" t="s">
        <v>12</v>
      </c>
      <c r="C7571" t="s">
        <v>10</v>
      </c>
      <c r="D7571">
        <v>42</v>
      </c>
      <c r="E7571" s="2">
        <v>7.4062500000000003E-2</v>
      </c>
      <c r="F7571">
        <v>106.65</v>
      </c>
    </row>
    <row r="7572" spans="1:6" x14ac:dyDescent="0.25">
      <c r="A7572" s="1">
        <v>41091</v>
      </c>
      <c r="B7572" t="s">
        <v>12</v>
      </c>
      <c r="C7572" t="s">
        <v>11</v>
      </c>
      <c r="D7572">
        <v>63</v>
      </c>
      <c r="E7572" s="2">
        <v>6.6967592592592592E-2</v>
      </c>
      <c r="F7572">
        <v>96.433333333333337</v>
      </c>
    </row>
    <row r="7573" spans="1:6" x14ac:dyDescent="0.25">
      <c r="A7573" s="1">
        <v>41091</v>
      </c>
      <c r="B7573" t="s">
        <v>13</v>
      </c>
      <c r="C7573" t="s">
        <v>6</v>
      </c>
      <c r="D7573">
        <v>109</v>
      </c>
      <c r="E7573" s="2">
        <v>0.12787037037037038</v>
      </c>
      <c r="F7573">
        <v>184.13333333333333</v>
      </c>
    </row>
    <row r="7574" spans="1:6" x14ac:dyDescent="0.25">
      <c r="A7574" s="1">
        <v>41091</v>
      </c>
      <c r="B7574" t="s">
        <v>13</v>
      </c>
      <c r="C7574" t="s">
        <v>7</v>
      </c>
      <c r="D7574">
        <v>127</v>
      </c>
      <c r="E7574" s="2">
        <v>0.14212962962962963</v>
      </c>
      <c r="F7574">
        <v>204.66666666666666</v>
      </c>
    </row>
    <row r="7575" spans="1:6" x14ac:dyDescent="0.25">
      <c r="A7575" s="1">
        <v>41091</v>
      </c>
      <c r="B7575" t="s">
        <v>13</v>
      </c>
      <c r="C7575" t="s">
        <v>8</v>
      </c>
      <c r="D7575">
        <v>72</v>
      </c>
      <c r="E7575" s="2">
        <v>7.3113425925925929E-2</v>
      </c>
      <c r="F7575">
        <v>105.28333333333333</v>
      </c>
    </row>
    <row r="7576" spans="1:6" x14ac:dyDescent="0.25">
      <c r="A7576" s="1">
        <v>41091</v>
      </c>
      <c r="B7576" t="s">
        <v>13</v>
      </c>
      <c r="C7576" t="s">
        <v>9</v>
      </c>
      <c r="D7576">
        <v>42</v>
      </c>
      <c r="E7576" s="2">
        <v>3.2662037037037038E-2</v>
      </c>
      <c r="F7576">
        <v>47.033333333333331</v>
      </c>
    </row>
    <row r="7577" spans="1:6" x14ac:dyDescent="0.25">
      <c r="A7577" s="1">
        <v>41091</v>
      </c>
      <c r="B7577" t="s">
        <v>13</v>
      </c>
      <c r="C7577" t="s">
        <v>10</v>
      </c>
      <c r="D7577">
        <v>38</v>
      </c>
      <c r="E7577" s="2">
        <v>5.1736111111111108E-2</v>
      </c>
      <c r="F7577">
        <v>74.5</v>
      </c>
    </row>
    <row r="7578" spans="1:6" x14ac:dyDescent="0.25">
      <c r="A7578" s="1">
        <v>41091</v>
      </c>
      <c r="B7578" t="s">
        <v>13</v>
      </c>
      <c r="C7578" t="s">
        <v>11</v>
      </c>
      <c r="D7578">
        <v>67</v>
      </c>
      <c r="E7578" s="2">
        <v>6.789351851851852E-2</v>
      </c>
      <c r="F7578">
        <v>97.766666666666666</v>
      </c>
    </row>
    <row r="7579" spans="1:6" x14ac:dyDescent="0.25">
      <c r="A7579" s="1">
        <v>41091</v>
      </c>
      <c r="B7579" t="s">
        <v>14</v>
      </c>
      <c r="C7579" t="s">
        <v>6</v>
      </c>
      <c r="D7579">
        <v>11</v>
      </c>
      <c r="E7579" s="2">
        <v>1.3298611111111112E-2</v>
      </c>
      <c r="F7579">
        <v>19.149999999999999</v>
      </c>
    </row>
    <row r="7580" spans="1:6" x14ac:dyDescent="0.25">
      <c r="A7580" s="1">
        <v>41091</v>
      </c>
      <c r="B7580" t="s">
        <v>14</v>
      </c>
      <c r="C7580" t="s">
        <v>7</v>
      </c>
      <c r="D7580">
        <v>16</v>
      </c>
      <c r="E7580" s="2">
        <v>2.3032407407407408E-2</v>
      </c>
      <c r="F7580">
        <v>33.166666666666664</v>
      </c>
    </row>
    <row r="7581" spans="1:6" x14ac:dyDescent="0.25">
      <c r="A7581" s="1">
        <v>41091</v>
      </c>
      <c r="B7581" t="s">
        <v>14</v>
      </c>
      <c r="C7581" t="s">
        <v>8</v>
      </c>
      <c r="D7581">
        <v>7</v>
      </c>
      <c r="E7581" s="2">
        <v>9.9768518518518513E-3</v>
      </c>
      <c r="F7581">
        <v>14.366666666666667</v>
      </c>
    </row>
    <row r="7582" spans="1:6" x14ac:dyDescent="0.25">
      <c r="A7582" s="1">
        <v>41091</v>
      </c>
      <c r="B7582" t="s">
        <v>14</v>
      </c>
      <c r="C7582" t="s">
        <v>9</v>
      </c>
      <c r="D7582">
        <v>5</v>
      </c>
      <c r="E7582" s="2">
        <v>4.1666666666666666E-3</v>
      </c>
      <c r="F7582">
        <v>6</v>
      </c>
    </row>
    <row r="7583" spans="1:6" x14ac:dyDescent="0.25">
      <c r="A7583" s="1">
        <v>41091</v>
      </c>
      <c r="B7583" t="s">
        <v>14</v>
      </c>
      <c r="C7583" t="s">
        <v>10</v>
      </c>
      <c r="D7583">
        <v>0</v>
      </c>
      <c r="E7583" s="2">
        <v>0</v>
      </c>
      <c r="F7583">
        <v>0</v>
      </c>
    </row>
    <row r="7584" spans="1:6" x14ac:dyDescent="0.25">
      <c r="A7584" s="1">
        <v>41091</v>
      </c>
      <c r="B7584" t="s">
        <v>14</v>
      </c>
      <c r="C7584" t="s">
        <v>11</v>
      </c>
      <c r="D7584">
        <v>9</v>
      </c>
      <c r="E7584" s="2">
        <v>1.0983796296296297E-2</v>
      </c>
      <c r="F7584">
        <v>15.816666666666666</v>
      </c>
    </row>
    <row r="7585" spans="1:6" x14ac:dyDescent="0.25">
      <c r="A7585" s="1">
        <v>41091</v>
      </c>
      <c r="B7585" t="s">
        <v>15</v>
      </c>
      <c r="C7585" t="s">
        <v>6</v>
      </c>
      <c r="D7585">
        <v>37</v>
      </c>
      <c r="E7585" s="2">
        <v>4.0567129629629627E-2</v>
      </c>
      <c r="F7585">
        <v>58.416666666666664</v>
      </c>
    </row>
    <row r="7586" spans="1:6" x14ac:dyDescent="0.25">
      <c r="A7586" s="1">
        <v>41091</v>
      </c>
      <c r="B7586" t="s">
        <v>15</v>
      </c>
      <c r="C7586" t="s">
        <v>7</v>
      </c>
      <c r="D7586">
        <v>36</v>
      </c>
      <c r="E7586" s="2">
        <v>3.197916666666667E-2</v>
      </c>
      <c r="F7586">
        <v>46.05</v>
      </c>
    </row>
    <row r="7587" spans="1:6" x14ac:dyDescent="0.25">
      <c r="A7587" s="1">
        <v>41091</v>
      </c>
      <c r="B7587" t="s">
        <v>15</v>
      </c>
      <c r="C7587" t="s">
        <v>8</v>
      </c>
      <c r="D7587">
        <v>17</v>
      </c>
      <c r="E7587" s="2">
        <v>2.0266203703703703E-2</v>
      </c>
      <c r="F7587">
        <v>29.183333333333334</v>
      </c>
    </row>
    <row r="7588" spans="1:6" x14ac:dyDescent="0.25">
      <c r="A7588" s="1">
        <v>41091</v>
      </c>
      <c r="B7588" t="s">
        <v>15</v>
      </c>
      <c r="C7588" t="s">
        <v>9</v>
      </c>
      <c r="D7588">
        <v>9</v>
      </c>
      <c r="E7588" s="2">
        <v>4.1087962962962962E-3</v>
      </c>
      <c r="F7588">
        <v>5.916666666666667</v>
      </c>
    </row>
    <row r="7589" spans="1:6" x14ac:dyDescent="0.25">
      <c r="A7589" s="1">
        <v>41091</v>
      </c>
      <c r="B7589" t="s">
        <v>15</v>
      </c>
      <c r="C7589" t="s">
        <v>10</v>
      </c>
      <c r="D7589">
        <v>9</v>
      </c>
      <c r="E7589" s="2">
        <v>8.9699074074074073E-3</v>
      </c>
      <c r="F7589">
        <v>12.916666666666666</v>
      </c>
    </row>
    <row r="7590" spans="1:6" x14ac:dyDescent="0.25">
      <c r="A7590" s="1">
        <v>41091</v>
      </c>
      <c r="B7590" t="s">
        <v>15</v>
      </c>
      <c r="C7590" t="s">
        <v>11</v>
      </c>
      <c r="D7590">
        <v>14</v>
      </c>
      <c r="E7590" s="2">
        <v>1.0787037037037038E-2</v>
      </c>
      <c r="F7590">
        <v>15.533333333333333</v>
      </c>
    </row>
    <row r="7591" spans="1:6" x14ac:dyDescent="0.25">
      <c r="A7591" s="1">
        <v>41091</v>
      </c>
      <c r="B7591" t="s">
        <v>16</v>
      </c>
      <c r="C7591" t="s">
        <v>6</v>
      </c>
      <c r="D7591">
        <v>39</v>
      </c>
      <c r="E7591" s="2">
        <v>3.4189814814814812E-2</v>
      </c>
      <c r="F7591">
        <v>49.233333333333334</v>
      </c>
    </row>
    <row r="7592" spans="1:6" x14ac:dyDescent="0.25">
      <c r="A7592" s="1">
        <v>41091</v>
      </c>
      <c r="B7592" t="s">
        <v>16</v>
      </c>
      <c r="C7592" t="s">
        <v>7</v>
      </c>
      <c r="D7592">
        <v>36</v>
      </c>
      <c r="E7592" s="2">
        <v>3.2604166666666663E-2</v>
      </c>
      <c r="F7592">
        <v>46.95</v>
      </c>
    </row>
    <row r="7593" spans="1:6" x14ac:dyDescent="0.25">
      <c r="A7593" s="1">
        <v>41091</v>
      </c>
      <c r="B7593" t="s">
        <v>16</v>
      </c>
      <c r="C7593" t="s">
        <v>8</v>
      </c>
      <c r="D7593">
        <v>42</v>
      </c>
      <c r="E7593" s="2">
        <v>3.3645833333333333E-2</v>
      </c>
      <c r="F7593">
        <v>48.45</v>
      </c>
    </row>
    <row r="7594" spans="1:6" x14ac:dyDescent="0.25">
      <c r="A7594" s="1">
        <v>41091</v>
      </c>
      <c r="B7594" t="s">
        <v>16</v>
      </c>
      <c r="C7594" t="s">
        <v>9</v>
      </c>
      <c r="D7594">
        <v>13</v>
      </c>
      <c r="E7594" s="2">
        <v>7.2685185185185188E-3</v>
      </c>
      <c r="F7594">
        <v>10.466666666666667</v>
      </c>
    </row>
    <row r="7595" spans="1:6" x14ac:dyDescent="0.25">
      <c r="A7595" s="1">
        <v>41091</v>
      </c>
      <c r="B7595" t="s">
        <v>16</v>
      </c>
      <c r="C7595" t="s">
        <v>10</v>
      </c>
      <c r="D7595">
        <v>2</v>
      </c>
      <c r="E7595" s="2">
        <v>8.1018518518518516E-4</v>
      </c>
      <c r="F7595">
        <v>1.1666666666666667</v>
      </c>
    </row>
    <row r="7596" spans="1:6" x14ac:dyDescent="0.25">
      <c r="A7596" s="1">
        <v>41091</v>
      </c>
      <c r="B7596" t="s">
        <v>16</v>
      </c>
      <c r="C7596" t="s">
        <v>11</v>
      </c>
      <c r="D7596">
        <v>54</v>
      </c>
      <c r="E7596" s="2">
        <v>3.829861111111111E-2</v>
      </c>
      <c r="F7596">
        <v>55.15</v>
      </c>
    </row>
    <row r="7597" spans="1:6" x14ac:dyDescent="0.25">
      <c r="A7597" s="1">
        <v>41091</v>
      </c>
      <c r="B7597" t="s">
        <v>17</v>
      </c>
      <c r="C7597" t="s">
        <v>6</v>
      </c>
      <c r="D7597">
        <v>13</v>
      </c>
      <c r="E7597" s="2">
        <v>1.4201388888888888E-2</v>
      </c>
      <c r="F7597">
        <v>20.45</v>
      </c>
    </row>
    <row r="7598" spans="1:6" x14ac:dyDescent="0.25">
      <c r="A7598" s="1">
        <v>41091</v>
      </c>
      <c r="B7598" t="s">
        <v>17</v>
      </c>
      <c r="C7598" t="s">
        <v>7</v>
      </c>
      <c r="D7598">
        <v>22</v>
      </c>
      <c r="E7598" s="2">
        <v>2.0243055555555556E-2</v>
      </c>
      <c r="F7598">
        <v>29.15</v>
      </c>
    </row>
    <row r="7599" spans="1:6" x14ac:dyDescent="0.25">
      <c r="A7599" s="1">
        <v>41091</v>
      </c>
      <c r="B7599" t="s">
        <v>17</v>
      </c>
      <c r="C7599" t="s">
        <v>8</v>
      </c>
      <c r="D7599">
        <v>13</v>
      </c>
      <c r="E7599" s="2">
        <v>1.681712962962963E-2</v>
      </c>
      <c r="F7599">
        <v>24.216666666666665</v>
      </c>
    </row>
    <row r="7600" spans="1:6" x14ac:dyDescent="0.25">
      <c r="A7600" s="1">
        <v>41091</v>
      </c>
      <c r="B7600" t="s">
        <v>17</v>
      </c>
      <c r="C7600" t="s">
        <v>9</v>
      </c>
      <c r="D7600">
        <v>7</v>
      </c>
      <c r="E7600" s="2">
        <v>6.8171296296296296E-3</v>
      </c>
      <c r="F7600">
        <v>9.8166666666666664</v>
      </c>
    </row>
    <row r="7601" spans="1:6" x14ac:dyDescent="0.25">
      <c r="A7601" s="1">
        <v>41091</v>
      </c>
      <c r="B7601" t="s">
        <v>17</v>
      </c>
      <c r="C7601" t="s">
        <v>10</v>
      </c>
      <c r="D7601">
        <v>14</v>
      </c>
      <c r="E7601" s="2">
        <v>1.6284722222222221E-2</v>
      </c>
      <c r="F7601">
        <v>23.45</v>
      </c>
    </row>
    <row r="7602" spans="1:6" x14ac:dyDescent="0.25">
      <c r="A7602" s="1">
        <v>41091</v>
      </c>
      <c r="B7602" t="s">
        <v>17</v>
      </c>
      <c r="C7602" t="s">
        <v>11</v>
      </c>
      <c r="D7602">
        <v>11</v>
      </c>
      <c r="E7602" s="2">
        <v>8.472222222222223E-3</v>
      </c>
      <c r="F7602">
        <v>12.2</v>
      </c>
    </row>
    <row r="7603" spans="1:6" x14ac:dyDescent="0.25">
      <c r="A7603" s="1">
        <v>41091</v>
      </c>
      <c r="B7603" t="s">
        <v>18</v>
      </c>
      <c r="C7603" t="s">
        <v>6</v>
      </c>
      <c r="D7603">
        <v>46</v>
      </c>
      <c r="E7603" s="2">
        <v>4.3090277777777776E-2</v>
      </c>
      <c r="F7603">
        <v>62.05</v>
      </c>
    </row>
    <row r="7604" spans="1:6" x14ac:dyDescent="0.25">
      <c r="A7604" s="1">
        <v>41091</v>
      </c>
      <c r="B7604" t="s">
        <v>18</v>
      </c>
      <c r="C7604" t="s">
        <v>7</v>
      </c>
      <c r="D7604">
        <v>96</v>
      </c>
      <c r="E7604" s="2">
        <v>7.1574074074074068E-2</v>
      </c>
      <c r="F7604">
        <v>103.06666666666666</v>
      </c>
    </row>
    <row r="7605" spans="1:6" x14ac:dyDescent="0.25">
      <c r="A7605" s="1">
        <v>41091</v>
      </c>
      <c r="B7605" t="s">
        <v>18</v>
      </c>
      <c r="C7605" t="s">
        <v>8</v>
      </c>
      <c r="D7605">
        <v>45</v>
      </c>
      <c r="E7605" s="2">
        <v>4.0370370370370369E-2</v>
      </c>
      <c r="F7605">
        <v>58.133333333333333</v>
      </c>
    </row>
    <row r="7606" spans="1:6" x14ac:dyDescent="0.25">
      <c r="A7606" s="1">
        <v>41091</v>
      </c>
      <c r="B7606" t="s">
        <v>18</v>
      </c>
      <c r="C7606" t="s">
        <v>9</v>
      </c>
      <c r="D7606">
        <v>41</v>
      </c>
      <c r="E7606" s="2">
        <v>2.6562499999999999E-2</v>
      </c>
      <c r="F7606">
        <v>38.25</v>
      </c>
    </row>
    <row r="7607" spans="1:6" x14ac:dyDescent="0.25">
      <c r="A7607" s="1">
        <v>41091</v>
      </c>
      <c r="B7607" t="s">
        <v>18</v>
      </c>
      <c r="C7607" t="s">
        <v>10</v>
      </c>
      <c r="D7607">
        <v>129</v>
      </c>
      <c r="E7607" s="2">
        <v>0.14862268518518518</v>
      </c>
      <c r="F7607">
        <v>214.01666666666668</v>
      </c>
    </row>
    <row r="7608" spans="1:6" x14ac:dyDescent="0.25">
      <c r="A7608" s="1">
        <v>41091</v>
      </c>
      <c r="B7608" t="s">
        <v>18</v>
      </c>
      <c r="C7608" t="s">
        <v>11</v>
      </c>
      <c r="D7608">
        <v>26</v>
      </c>
      <c r="E7608" s="2">
        <v>1.4189814814814815E-2</v>
      </c>
      <c r="F7608">
        <v>20.433333333333334</v>
      </c>
    </row>
    <row r="7609" spans="1:6" x14ac:dyDescent="0.25">
      <c r="A7609" s="1">
        <v>41091</v>
      </c>
      <c r="B7609" t="s">
        <v>19</v>
      </c>
      <c r="C7609" t="s">
        <v>6</v>
      </c>
      <c r="D7609">
        <v>20</v>
      </c>
      <c r="E7609" s="2">
        <v>2.2037037037037036E-2</v>
      </c>
      <c r="F7609">
        <v>31.733333333333334</v>
      </c>
    </row>
    <row r="7610" spans="1:6" x14ac:dyDescent="0.25">
      <c r="A7610" s="1">
        <v>41091</v>
      </c>
      <c r="B7610" t="s">
        <v>19</v>
      </c>
      <c r="C7610" t="s">
        <v>7</v>
      </c>
      <c r="D7610">
        <v>26</v>
      </c>
      <c r="E7610" s="2">
        <v>1.8229166666666668E-2</v>
      </c>
      <c r="F7610">
        <v>26.25</v>
      </c>
    </row>
    <row r="7611" spans="1:6" x14ac:dyDescent="0.25">
      <c r="A7611" s="1">
        <v>41091</v>
      </c>
      <c r="B7611" t="s">
        <v>19</v>
      </c>
      <c r="C7611" t="s">
        <v>8</v>
      </c>
      <c r="D7611">
        <v>19</v>
      </c>
      <c r="E7611" s="2">
        <v>1.7407407407407406E-2</v>
      </c>
      <c r="F7611">
        <v>25.066666666666666</v>
      </c>
    </row>
    <row r="7612" spans="1:6" x14ac:dyDescent="0.25">
      <c r="A7612" s="1">
        <v>41091</v>
      </c>
      <c r="B7612" t="s">
        <v>19</v>
      </c>
      <c r="C7612" t="s">
        <v>9</v>
      </c>
      <c r="D7612">
        <v>18</v>
      </c>
      <c r="E7612" s="2">
        <v>1.474537037037037E-2</v>
      </c>
      <c r="F7612">
        <v>21.233333333333334</v>
      </c>
    </row>
    <row r="7613" spans="1:6" x14ac:dyDescent="0.25">
      <c r="A7613" s="1">
        <v>41091</v>
      </c>
      <c r="B7613" t="s">
        <v>19</v>
      </c>
      <c r="C7613" t="s">
        <v>10</v>
      </c>
      <c r="D7613">
        <v>14</v>
      </c>
      <c r="E7613" s="2">
        <v>1.7361111111111112E-2</v>
      </c>
      <c r="F7613">
        <v>25</v>
      </c>
    </row>
    <row r="7614" spans="1:6" x14ac:dyDescent="0.25">
      <c r="A7614" s="1">
        <v>41091</v>
      </c>
      <c r="B7614" t="s">
        <v>19</v>
      </c>
      <c r="C7614" t="s">
        <v>11</v>
      </c>
      <c r="D7614">
        <v>25</v>
      </c>
      <c r="E7614" s="2">
        <v>2.1076388888888888E-2</v>
      </c>
      <c r="F7614">
        <v>30.35</v>
      </c>
    </row>
    <row r="7615" spans="1:6" x14ac:dyDescent="0.25">
      <c r="A7615" s="1">
        <v>41091</v>
      </c>
      <c r="B7615" t="s">
        <v>20</v>
      </c>
      <c r="C7615" t="s">
        <v>6</v>
      </c>
      <c r="D7615">
        <v>55</v>
      </c>
      <c r="E7615" s="2">
        <v>5.9988425925925924E-2</v>
      </c>
      <c r="F7615">
        <v>86.38333333333334</v>
      </c>
    </row>
    <row r="7616" spans="1:6" x14ac:dyDescent="0.25">
      <c r="A7616" s="1">
        <v>41091</v>
      </c>
      <c r="B7616" t="s">
        <v>20</v>
      </c>
      <c r="C7616" t="s">
        <v>7</v>
      </c>
      <c r="D7616">
        <v>55</v>
      </c>
      <c r="E7616" s="2">
        <v>4.7905092592592589E-2</v>
      </c>
      <c r="F7616">
        <v>68.983333333333334</v>
      </c>
    </row>
    <row r="7617" spans="1:6" x14ac:dyDescent="0.25">
      <c r="A7617" s="1">
        <v>41091</v>
      </c>
      <c r="B7617" t="s">
        <v>20</v>
      </c>
      <c r="C7617" t="s">
        <v>8</v>
      </c>
      <c r="D7617">
        <v>25</v>
      </c>
      <c r="E7617" s="2">
        <v>2.8055555555555556E-2</v>
      </c>
      <c r="F7617">
        <v>40.4</v>
      </c>
    </row>
    <row r="7618" spans="1:6" x14ac:dyDescent="0.25">
      <c r="A7618" s="1">
        <v>41091</v>
      </c>
      <c r="B7618" t="s">
        <v>20</v>
      </c>
      <c r="C7618" t="s">
        <v>9</v>
      </c>
      <c r="D7618">
        <v>17</v>
      </c>
      <c r="E7618" s="2">
        <v>1.4583333333333334E-2</v>
      </c>
      <c r="F7618">
        <v>21</v>
      </c>
    </row>
    <row r="7619" spans="1:6" x14ac:dyDescent="0.25">
      <c r="A7619" s="1">
        <v>41091</v>
      </c>
      <c r="B7619" t="s">
        <v>20</v>
      </c>
      <c r="C7619" t="s">
        <v>10</v>
      </c>
      <c r="D7619">
        <v>6</v>
      </c>
      <c r="E7619" s="2">
        <v>5.9143518518518521E-3</v>
      </c>
      <c r="F7619">
        <v>8.5166666666666675</v>
      </c>
    </row>
    <row r="7620" spans="1:6" x14ac:dyDescent="0.25">
      <c r="A7620" s="1">
        <v>41091</v>
      </c>
      <c r="B7620" t="s">
        <v>20</v>
      </c>
      <c r="C7620" t="s">
        <v>11</v>
      </c>
      <c r="D7620">
        <v>27</v>
      </c>
      <c r="E7620" s="2">
        <v>2.0891203703703703E-2</v>
      </c>
      <c r="F7620">
        <v>30.083333333333332</v>
      </c>
    </row>
    <row r="7621" spans="1:6" x14ac:dyDescent="0.25">
      <c r="A7621" s="1">
        <v>41091</v>
      </c>
      <c r="B7621" t="s">
        <v>21</v>
      </c>
      <c r="C7621" t="s">
        <v>6</v>
      </c>
      <c r="D7621">
        <v>19</v>
      </c>
      <c r="E7621" s="2">
        <v>2.6886574074074073E-2</v>
      </c>
      <c r="F7621">
        <v>38.716666666666669</v>
      </c>
    </row>
    <row r="7622" spans="1:6" x14ac:dyDescent="0.25">
      <c r="A7622" s="1">
        <v>41091</v>
      </c>
      <c r="B7622" t="s">
        <v>21</v>
      </c>
      <c r="C7622" t="s">
        <v>7</v>
      </c>
      <c r="D7622">
        <v>21</v>
      </c>
      <c r="E7622" s="2">
        <v>3.0729166666666665E-2</v>
      </c>
      <c r="F7622">
        <v>44.25</v>
      </c>
    </row>
    <row r="7623" spans="1:6" x14ac:dyDescent="0.25">
      <c r="A7623" s="1">
        <v>41091</v>
      </c>
      <c r="B7623" t="s">
        <v>21</v>
      </c>
      <c r="C7623" t="s">
        <v>8</v>
      </c>
      <c r="D7623">
        <v>12</v>
      </c>
      <c r="E7623" s="2">
        <v>2.0532407407407409E-2</v>
      </c>
      <c r="F7623">
        <v>29.566666666666666</v>
      </c>
    </row>
    <row r="7624" spans="1:6" x14ac:dyDescent="0.25">
      <c r="A7624" s="1">
        <v>41091</v>
      </c>
      <c r="B7624" t="s">
        <v>21</v>
      </c>
      <c r="C7624" t="s">
        <v>9</v>
      </c>
      <c r="D7624">
        <v>8</v>
      </c>
      <c r="E7624" s="2">
        <v>6.4699074074074077E-3</v>
      </c>
      <c r="F7624">
        <v>9.3166666666666664</v>
      </c>
    </row>
    <row r="7625" spans="1:6" x14ac:dyDescent="0.25">
      <c r="A7625" s="1">
        <v>41091</v>
      </c>
      <c r="B7625" t="s">
        <v>21</v>
      </c>
      <c r="C7625" t="s">
        <v>10</v>
      </c>
      <c r="D7625">
        <v>2</v>
      </c>
      <c r="E7625" s="2">
        <v>2.3148148148148147E-3</v>
      </c>
      <c r="F7625">
        <v>3.3333333333333335</v>
      </c>
    </row>
    <row r="7626" spans="1:6" x14ac:dyDescent="0.25">
      <c r="A7626" s="1">
        <v>41091</v>
      </c>
      <c r="B7626" t="s">
        <v>21</v>
      </c>
      <c r="C7626" t="s">
        <v>11</v>
      </c>
      <c r="D7626">
        <v>12</v>
      </c>
      <c r="E7626" s="2">
        <v>1.1956018518518519E-2</v>
      </c>
      <c r="F7626">
        <v>17.216666666666665</v>
      </c>
    </row>
    <row r="7627" spans="1:6" x14ac:dyDescent="0.25">
      <c r="A7627" s="1">
        <v>41091</v>
      </c>
      <c r="B7627" t="s">
        <v>22</v>
      </c>
      <c r="C7627" t="s">
        <v>6</v>
      </c>
      <c r="D7627">
        <v>20</v>
      </c>
      <c r="E7627" s="2">
        <v>2.5532407407407406E-2</v>
      </c>
      <c r="F7627">
        <v>36.766666666666666</v>
      </c>
    </row>
    <row r="7628" spans="1:6" x14ac:dyDescent="0.25">
      <c r="A7628" s="1">
        <v>41091</v>
      </c>
      <c r="B7628" t="s">
        <v>22</v>
      </c>
      <c r="C7628" t="s">
        <v>7</v>
      </c>
      <c r="D7628">
        <v>14</v>
      </c>
      <c r="E7628" s="2">
        <v>1.7696759259259259E-2</v>
      </c>
      <c r="F7628">
        <v>25.483333333333334</v>
      </c>
    </row>
    <row r="7629" spans="1:6" x14ac:dyDescent="0.25">
      <c r="A7629" s="1">
        <v>41091</v>
      </c>
      <c r="B7629" t="s">
        <v>22</v>
      </c>
      <c r="C7629" t="s">
        <v>8</v>
      </c>
      <c r="D7629">
        <v>5</v>
      </c>
      <c r="E7629" s="2">
        <v>4.8148148148148152E-3</v>
      </c>
      <c r="F7629">
        <v>6.9333333333333336</v>
      </c>
    </row>
    <row r="7630" spans="1:6" x14ac:dyDescent="0.25">
      <c r="A7630" s="1">
        <v>41091</v>
      </c>
      <c r="B7630" t="s">
        <v>22</v>
      </c>
      <c r="C7630" t="s">
        <v>9</v>
      </c>
      <c r="D7630">
        <v>6</v>
      </c>
      <c r="E7630" s="2">
        <v>3.3449074074074076E-3</v>
      </c>
      <c r="F7630">
        <v>4.8166666666666664</v>
      </c>
    </row>
    <row r="7631" spans="1:6" x14ac:dyDescent="0.25">
      <c r="A7631" s="1">
        <v>41091</v>
      </c>
      <c r="B7631" t="s">
        <v>22</v>
      </c>
      <c r="C7631" t="s">
        <v>10</v>
      </c>
      <c r="D7631">
        <v>6</v>
      </c>
      <c r="E7631" s="2">
        <v>5.9490740740740745E-3</v>
      </c>
      <c r="F7631">
        <v>8.5666666666666664</v>
      </c>
    </row>
    <row r="7632" spans="1:6" x14ac:dyDescent="0.25">
      <c r="A7632" s="1">
        <v>41091</v>
      </c>
      <c r="B7632" t="s">
        <v>22</v>
      </c>
      <c r="C7632" t="s">
        <v>11</v>
      </c>
      <c r="D7632">
        <v>7</v>
      </c>
      <c r="E7632" s="2">
        <v>5.7291666666666663E-3</v>
      </c>
      <c r="F7632">
        <v>8.25</v>
      </c>
    </row>
    <row r="7633" spans="1:6" x14ac:dyDescent="0.25">
      <c r="A7633" s="1">
        <v>41091</v>
      </c>
      <c r="B7633" t="s">
        <v>23</v>
      </c>
      <c r="C7633" t="s">
        <v>6</v>
      </c>
      <c r="D7633">
        <v>94</v>
      </c>
      <c r="E7633" s="2">
        <v>9.931712962962963E-2</v>
      </c>
      <c r="F7633">
        <v>143.01666666666668</v>
      </c>
    </row>
    <row r="7634" spans="1:6" x14ac:dyDescent="0.25">
      <c r="A7634" s="1">
        <v>41091</v>
      </c>
      <c r="B7634" t="s">
        <v>23</v>
      </c>
      <c r="C7634" t="s">
        <v>7</v>
      </c>
      <c r="D7634">
        <v>109</v>
      </c>
      <c r="E7634" s="2">
        <v>0.14413194444444444</v>
      </c>
      <c r="F7634">
        <v>207.55</v>
      </c>
    </row>
    <row r="7635" spans="1:6" x14ac:dyDescent="0.25">
      <c r="A7635" s="1">
        <v>41091</v>
      </c>
      <c r="B7635" t="s">
        <v>23</v>
      </c>
      <c r="C7635" t="s">
        <v>8</v>
      </c>
      <c r="D7635">
        <v>77</v>
      </c>
      <c r="E7635" s="2">
        <v>8.3275462962962968E-2</v>
      </c>
      <c r="F7635">
        <v>119.91666666666667</v>
      </c>
    </row>
    <row r="7636" spans="1:6" x14ac:dyDescent="0.25">
      <c r="A7636" s="1">
        <v>41091</v>
      </c>
      <c r="B7636" t="s">
        <v>23</v>
      </c>
      <c r="C7636" t="s">
        <v>9</v>
      </c>
      <c r="D7636">
        <v>51</v>
      </c>
      <c r="E7636" s="2">
        <v>3.4687500000000003E-2</v>
      </c>
      <c r="F7636">
        <v>49.95</v>
      </c>
    </row>
    <row r="7637" spans="1:6" x14ac:dyDescent="0.25">
      <c r="A7637" s="1">
        <v>41091</v>
      </c>
      <c r="B7637" t="s">
        <v>23</v>
      </c>
      <c r="C7637" t="s">
        <v>10</v>
      </c>
      <c r="D7637">
        <v>31</v>
      </c>
      <c r="E7637" s="2">
        <v>3.7199074074074072E-2</v>
      </c>
      <c r="F7637">
        <v>53.56666666666667</v>
      </c>
    </row>
    <row r="7638" spans="1:6" x14ac:dyDescent="0.25">
      <c r="A7638" s="1">
        <v>41091</v>
      </c>
      <c r="B7638" t="s">
        <v>23</v>
      </c>
      <c r="C7638" t="s">
        <v>11</v>
      </c>
      <c r="D7638">
        <v>85</v>
      </c>
      <c r="E7638" s="2">
        <v>6.7025462962962967E-2</v>
      </c>
      <c r="F7638">
        <v>96.516666666666666</v>
      </c>
    </row>
    <row r="7639" spans="1:6" x14ac:dyDescent="0.25">
      <c r="A7639" s="1">
        <v>41091</v>
      </c>
      <c r="B7639" t="s">
        <v>24</v>
      </c>
      <c r="C7639" t="s">
        <v>6</v>
      </c>
      <c r="D7639">
        <v>156</v>
      </c>
      <c r="E7639" s="2">
        <v>0.1554861111111111</v>
      </c>
      <c r="F7639">
        <v>223.9</v>
      </c>
    </row>
    <row r="7640" spans="1:6" x14ac:dyDescent="0.25">
      <c r="A7640" s="1">
        <v>41091</v>
      </c>
      <c r="B7640" t="s">
        <v>24</v>
      </c>
      <c r="C7640" t="s">
        <v>7</v>
      </c>
      <c r="D7640">
        <v>172</v>
      </c>
      <c r="E7640" s="2">
        <v>0.15247685185185186</v>
      </c>
      <c r="F7640">
        <v>219.56666666666666</v>
      </c>
    </row>
    <row r="7641" spans="1:6" x14ac:dyDescent="0.25">
      <c r="A7641" s="1">
        <v>41091</v>
      </c>
      <c r="B7641" t="s">
        <v>24</v>
      </c>
      <c r="C7641" t="s">
        <v>8</v>
      </c>
      <c r="D7641">
        <v>105</v>
      </c>
      <c r="E7641" s="2">
        <v>9.796296296296296E-2</v>
      </c>
      <c r="F7641">
        <v>141.06666666666666</v>
      </c>
    </row>
    <row r="7642" spans="1:6" x14ac:dyDescent="0.25">
      <c r="A7642" s="1">
        <v>41091</v>
      </c>
      <c r="B7642" t="s">
        <v>24</v>
      </c>
      <c r="C7642" t="s">
        <v>9</v>
      </c>
      <c r="D7642">
        <v>46</v>
      </c>
      <c r="E7642" s="2">
        <v>3.3831018518518517E-2</v>
      </c>
      <c r="F7642">
        <v>48.716666666666669</v>
      </c>
    </row>
    <row r="7643" spans="1:6" x14ac:dyDescent="0.25">
      <c r="A7643" s="1">
        <v>41091</v>
      </c>
      <c r="B7643" t="s">
        <v>24</v>
      </c>
      <c r="C7643" t="s">
        <v>10</v>
      </c>
      <c r="D7643">
        <v>10</v>
      </c>
      <c r="E7643" s="2">
        <v>1.4664351851851852E-2</v>
      </c>
      <c r="F7643">
        <v>21.116666666666667</v>
      </c>
    </row>
    <row r="7644" spans="1:6" x14ac:dyDescent="0.25">
      <c r="A7644" s="1">
        <v>41091</v>
      </c>
      <c r="B7644" t="s">
        <v>24</v>
      </c>
      <c r="C7644" t="s">
        <v>11</v>
      </c>
      <c r="D7644">
        <v>75</v>
      </c>
      <c r="E7644" s="2">
        <v>5.1932870370370372E-2</v>
      </c>
      <c r="F7644">
        <v>74.783333333333331</v>
      </c>
    </row>
    <row r="7645" spans="1:6" x14ac:dyDescent="0.25">
      <c r="A7645" s="1">
        <v>41122</v>
      </c>
      <c r="B7645" t="s">
        <v>5</v>
      </c>
      <c r="C7645" t="s">
        <v>6</v>
      </c>
      <c r="D7645">
        <v>36</v>
      </c>
      <c r="E7645" s="2">
        <v>2.8819444444444446E-2</v>
      </c>
      <c r="F7645">
        <v>41.5</v>
      </c>
    </row>
    <row r="7646" spans="1:6" x14ac:dyDescent="0.25">
      <c r="A7646" s="1">
        <v>41122</v>
      </c>
      <c r="B7646" t="s">
        <v>5</v>
      </c>
      <c r="C7646" t="s">
        <v>7</v>
      </c>
      <c r="D7646">
        <v>47</v>
      </c>
      <c r="E7646" s="2">
        <v>3.2685185185185185E-2</v>
      </c>
      <c r="F7646">
        <v>47.06666666666667</v>
      </c>
    </row>
    <row r="7647" spans="1:6" x14ac:dyDescent="0.25">
      <c r="A7647" s="1">
        <v>41122</v>
      </c>
      <c r="B7647" t="s">
        <v>5</v>
      </c>
      <c r="C7647" t="s">
        <v>8</v>
      </c>
      <c r="D7647">
        <v>38</v>
      </c>
      <c r="E7647" s="2">
        <v>2.7743055555555556E-2</v>
      </c>
      <c r="F7647">
        <v>39.950000000000003</v>
      </c>
    </row>
    <row r="7648" spans="1:6" x14ac:dyDescent="0.25">
      <c r="A7648" s="1">
        <v>41122</v>
      </c>
      <c r="B7648" t="s">
        <v>5</v>
      </c>
      <c r="C7648" t="s">
        <v>9</v>
      </c>
      <c r="D7648">
        <v>16</v>
      </c>
      <c r="E7648" s="2">
        <v>8.1712962962962963E-3</v>
      </c>
      <c r="F7648">
        <v>11.766666666666667</v>
      </c>
    </row>
    <row r="7649" spans="1:6" x14ac:dyDescent="0.25">
      <c r="A7649" s="1">
        <v>41122</v>
      </c>
      <c r="B7649" t="s">
        <v>5</v>
      </c>
      <c r="C7649" t="s">
        <v>10</v>
      </c>
      <c r="D7649">
        <v>8</v>
      </c>
      <c r="E7649" s="2">
        <v>7.6851851851851855E-3</v>
      </c>
      <c r="F7649">
        <v>11.066666666666666</v>
      </c>
    </row>
    <row r="7650" spans="1:6" x14ac:dyDescent="0.25">
      <c r="A7650" s="1">
        <v>41122</v>
      </c>
      <c r="B7650" t="s">
        <v>5</v>
      </c>
      <c r="C7650" t="s">
        <v>11</v>
      </c>
      <c r="D7650">
        <v>26</v>
      </c>
      <c r="E7650" s="2">
        <v>1.6122685185185184E-2</v>
      </c>
      <c r="F7650">
        <v>23.216666666666665</v>
      </c>
    </row>
    <row r="7651" spans="1:6" x14ac:dyDescent="0.25">
      <c r="A7651" s="1">
        <v>41122</v>
      </c>
      <c r="B7651" t="s">
        <v>12</v>
      </c>
      <c r="C7651" t="s">
        <v>6</v>
      </c>
      <c r="D7651">
        <v>52</v>
      </c>
      <c r="E7651" s="2">
        <v>6.8692129629629631E-2</v>
      </c>
      <c r="F7651">
        <v>98.916666666666671</v>
      </c>
    </row>
    <row r="7652" spans="1:6" x14ac:dyDescent="0.25">
      <c r="A7652" s="1">
        <v>41122</v>
      </c>
      <c r="B7652" t="s">
        <v>12</v>
      </c>
      <c r="C7652" t="s">
        <v>7</v>
      </c>
      <c r="D7652">
        <v>26</v>
      </c>
      <c r="E7652" s="2">
        <v>3.9861111111111111E-2</v>
      </c>
      <c r="F7652">
        <v>57.4</v>
      </c>
    </row>
    <row r="7653" spans="1:6" x14ac:dyDescent="0.25">
      <c r="A7653" s="1">
        <v>41122</v>
      </c>
      <c r="B7653" t="s">
        <v>12</v>
      </c>
      <c r="C7653" t="s">
        <v>8</v>
      </c>
      <c r="D7653">
        <v>17</v>
      </c>
      <c r="E7653" s="2">
        <v>2.420138888888889E-2</v>
      </c>
      <c r="F7653">
        <v>34.85</v>
      </c>
    </row>
    <row r="7654" spans="1:6" x14ac:dyDescent="0.25">
      <c r="A7654" s="1">
        <v>41122</v>
      </c>
      <c r="B7654" t="s">
        <v>12</v>
      </c>
      <c r="C7654" t="s">
        <v>9</v>
      </c>
      <c r="D7654">
        <v>8</v>
      </c>
      <c r="E7654" s="2">
        <v>6.5509259259259262E-3</v>
      </c>
      <c r="F7654">
        <v>9.4333333333333336</v>
      </c>
    </row>
    <row r="7655" spans="1:6" x14ac:dyDescent="0.25">
      <c r="A7655" s="1">
        <v>41122</v>
      </c>
      <c r="B7655" t="s">
        <v>12</v>
      </c>
      <c r="C7655" t="s">
        <v>10</v>
      </c>
      <c r="D7655">
        <v>22</v>
      </c>
      <c r="E7655" s="2">
        <v>3.9131944444444441E-2</v>
      </c>
      <c r="F7655">
        <v>56.35</v>
      </c>
    </row>
    <row r="7656" spans="1:6" x14ac:dyDescent="0.25">
      <c r="A7656" s="1">
        <v>41122</v>
      </c>
      <c r="B7656" t="s">
        <v>12</v>
      </c>
      <c r="C7656" t="s">
        <v>11</v>
      </c>
      <c r="D7656">
        <v>36</v>
      </c>
      <c r="E7656" s="2">
        <v>3.7743055555555557E-2</v>
      </c>
      <c r="F7656">
        <v>54.35</v>
      </c>
    </row>
    <row r="7657" spans="1:6" x14ac:dyDescent="0.25">
      <c r="A7657" s="1">
        <v>41122</v>
      </c>
      <c r="B7657" t="s">
        <v>13</v>
      </c>
      <c r="C7657" t="s">
        <v>6</v>
      </c>
      <c r="D7657">
        <v>62</v>
      </c>
      <c r="E7657" s="2">
        <v>7.2141203703703707E-2</v>
      </c>
      <c r="F7657">
        <v>103.88333333333334</v>
      </c>
    </row>
    <row r="7658" spans="1:6" x14ac:dyDescent="0.25">
      <c r="A7658" s="1">
        <v>41122</v>
      </c>
      <c r="B7658" t="s">
        <v>13</v>
      </c>
      <c r="C7658" t="s">
        <v>7</v>
      </c>
      <c r="D7658">
        <v>69</v>
      </c>
      <c r="E7658" s="2">
        <v>8.0173611111111112E-2</v>
      </c>
      <c r="F7658">
        <v>115.45</v>
      </c>
    </row>
    <row r="7659" spans="1:6" x14ac:dyDescent="0.25">
      <c r="A7659" s="1">
        <v>41122</v>
      </c>
      <c r="B7659" t="s">
        <v>13</v>
      </c>
      <c r="C7659" t="s">
        <v>8</v>
      </c>
      <c r="D7659">
        <v>39</v>
      </c>
      <c r="E7659" s="2">
        <v>4.7349537037037037E-2</v>
      </c>
      <c r="F7659">
        <v>68.183333333333337</v>
      </c>
    </row>
    <row r="7660" spans="1:6" x14ac:dyDescent="0.25">
      <c r="A7660" s="1">
        <v>41122</v>
      </c>
      <c r="B7660" t="s">
        <v>13</v>
      </c>
      <c r="C7660" t="s">
        <v>9</v>
      </c>
      <c r="D7660">
        <v>34</v>
      </c>
      <c r="E7660" s="2">
        <v>2.7037037037037037E-2</v>
      </c>
      <c r="F7660">
        <v>38.93333333333333</v>
      </c>
    </row>
    <row r="7661" spans="1:6" x14ac:dyDescent="0.25">
      <c r="A7661" s="1">
        <v>41122</v>
      </c>
      <c r="B7661" t="s">
        <v>13</v>
      </c>
      <c r="C7661" t="s">
        <v>10</v>
      </c>
      <c r="D7661">
        <v>28</v>
      </c>
      <c r="E7661" s="2">
        <v>3.7523148148148146E-2</v>
      </c>
      <c r="F7661">
        <v>54.033333333333331</v>
      </c>
    </row>
    <row r="7662" spans="1:6" x14ac:dyDescent="0.25">
      <c r="A7662" s="1">
        <v>41122</v>
      </c>
      <c r="B7662" t="s">
        <v>13</v>
      </c>
      <c r="C7662" t="s">
        <v>11</v>
      </c>
      <c r="D7662">
        <v>34</v>
      </c>
      <c r="E7662" s="2">
        <v>3.815972222222222E-2</v>
      </c>
      <c r="F7662">
        <v>54.95</v>
      </c>
    </row>
    <row r="7663" spans="1:6" x14ac:dyDescent="0.25">
      <c r="A7663" s="1">
        <v>41122</v>
      </c>
      <c r="B7663" t="s">
        <v>14</v>
      </c>
      <c r="C7663" t="s">
        <v>6</v>
      </c>
      <c r="D7663">
        <v>18</v>
      </c>
      <c r="E7663" s="2">
        <v>1.9143518518518518E-2</v>
      </c>
      <c r="F7663">
        <v>27.566666666666666</v>
      </c>
    </row>
    <row r="7664" spans="1:6" x14ac:dyDescent="0.25">
      <c r="A7664" s="1">
        <v>41122</v>
      </c>
      <c r="B7664" t="s">
        <v>14</v>
      </c>
      <c r="C7664" t="s">
        <v>7</v>
      </c>
      <c r="D7664">
        <v>14</v>
      </c>
      <c r="E7664" s="2">
        <v>1.6562500000000001E-2</v>
      </c>
      <c r="F7664">
        <v>23.85</v>
      </c>
    </row>
    <row r="7665" spans="1:6" x14ac:dyDescent="0.25">
      <c r="A7665" s="1">
        <v>41122</v>
      </c>
      <c r="B7665" t="s">
        <v>14</v>
      </c>
      <c r="C7665" t="s">
        <v>8</v>
      </c>
      <c r="D7665">
        <v>5</v>
      </c>
      <c r="E7665" s="2">
        <v>7.3263888888888892E-3</v>
      </c>
      <c r="F7665">
        <v>10.55</v>
      </c>
    </row>
    <row r="7666" spans="1:6" x14ac:dyDescent="0.25">
      <c r="A7666" s="1">
        <v>41122</v>
      </c>
      <c r="B7666" t="s">
        <v>14</v>
      </c>
      <c r="C7666" t="s">
        <v>9</v>
      </c>
      <c r="D7666">
        <v>4</v>
      </c>
      <c r="E7666" s="2">
        <v>4.1666666666666666E-3</v>
      </c>
      <c r="F7666">
        <v>6</v>
      </c>
    </row>
    <row r="7667" spans="1:6" x14ac:dyDescent="0.25">
      <c r="A7667" s="1">
        <v>41122</v>
      </c>
      <c r="B7667" t="s">
        <v>14</v>
      </c>
      <c r="C7667" t="s">
        <v>10</v>
      </c>
      <c r="D7667">
        <v>1</v>
      </c>
      <c r="E7667" s="2">
        <v>1.3773148148148147E-3</v>
      </c>
      <c r="F7667">
        <v>1.9833333333333334</v>
      </c>
    </row>
    <row r="7668" spans="1:6" x14ac:dyDescent="0.25">
      <c r="A7668" s="1">
        <v>41122</v>
      </c>
      <c r="B7668" t="s">
        <v>14</v>
      </c>
      <c r="C7668" t="s">
        <v>11</v>
      </c>
      <c r="D7668">
        <v>9</v>
      </c>
      <c r="E7668" s="2">
        <v>1.1354166666666667E-2</v>
      </c>
      <c r="F7668">
        <v>16.350000000000001</v>
      </c>
    </row>
    <row r="7669" spans="1:6" x14ac:dyDescent="0.25">
      <c r="A7669" s="1">
        <v>41122</v>
      </c>
      <c r="B7669" t="s">
        <v>15</v>
      </c>
      <c r="C7669" t="s">
        <v>6</v>
      </c>
      <c r="D7669">
        <v>50</v>
      </c>
      <c r="E7669" s="2">
        <v>5.846064814814815E-2</v>
      </c>
      <c r="F7669">
        <v>84.183333333333337</v>
      </c>
    </row>
    <row r="7670" spans="1:6" x14ac:dyDescent="0.25">
      <c r="A7670" s="1">
        <v>41122</v>
      </c>
      <c r="B7670" t="s">
        <v>15</v>
      </c>
      <c r="C7670" t="s">
        <v>7</v>
      </c>
      <c r="D7670">
        <v>27</v>
      </c>
      <c r="E7670" s="2">
        <v>2.9247685185185186E-2</v>
      </c>
      <c r="F7670">
        <v>42.116666666666667</v>
      </c>
    </row>
    <row r="7671" spans="1:6" x14ac:dyDescent="0.25">
      <c r="A7671" s="1">
        <v>41122</v>
      </c>
      <c r="B7671" t="s">
        <v>15</v>
      </c>
      <c r="C7671" t="s">
        <v>8</v>
      </c>
      <c r="D7671">
        <v>20</v>
      </c>
      <c r="E7671" s="2">
        <v>1.6921296296296295E-2</v>
      </c>
      <c r="F7671">
        <v>24.366666666666667</v>
      </c>
    </row>
    <row r="7672" spans="1:6" x14ac:dyDescent="0.25">
      <c r="A7672" s="1">
        <v>41122</v>
      </c>
      <c r="B7672" t="s">
        <v>15</v>
      </c>
      <c r="C7672" t="s">
        <v>9</v>
      </c>
      <c r="D7672">
        <v>10</v>
      </c>
      <c r="E7672" s="2">
        <v>6.6087962962962966E-3</v>
      </c>
      <c r="F7672">
        <v>9.5166666666666675</v>
      </c>
    </row>
    <row r="7673" spans="1:6" x14ac:dyDescent="0.25">
      <c r="A7673" s="1">
        <v>41122</v>
      </c>
      <c r="B7673" t="s">
        <v>15</v>
      </c>
      <c r="C7673" t="s">
        <v>10</v>
      </c>
      <c r="D7673">
        <v>9</v>
      </c>
      <c r="E7673" s="2">
        <v>1.1944444444444445E-2</v>
      </c>
      <c r="F7673">
        <v>17.2</v>
      </c>
    </row>
    <row r="7674" spans="1:6" x14ac:dyDescent="0.25">
      <c r="A7674" s="1">
        <v>41122</v>
      </c>
      <c r="B7674" t="s">
        <v>15</v>
      </c>
      <c r="C7674" t="s">
        <v>11</v>
      </c>
      <c r="D7674">
        <v>19</v>
      </c>
      <c r="E7674" s="2">
        <v>2.0717592592592593E-2</v>
      </c>
      <c r="F7674">
        <v>29.833333333333332</v>
      </c>
    </row>
    <row r="7675" spans="1:6" x14ac:dyDescent="0.25">
      <c r="A7675" s="1">
        <v>41122</v>
      </c>
      <c r="B7675" t="s">
        <v>16</v>
      </c>
      <c r="C7675" t="s">
        <v>6</v>
      </c>
      <c r="D7675">
        <v>22</v>
      </c>
      <c r="E7675" s="2">
        <v>2.0694444444444446E-2</v>
      </c>
      <c r="F7675">
        <v>29.8</v>
      </c>
    </row>
    <row r="7676" spans="1:6" x14ac:dyDescent="0.25">
      <c r="A7676" s="1">
        <v>41122</v>
      </c>
      <c r="B7676" t="s">
        <v>16</v>
      </c>
      <c r="C7676" t="s">
        <v>7</v>
      </c>
      <c r="D7676">
        <v>33</v>
      </c>
      <c r="E7676" s="2">
        <v>2.7800925925925927E-2</v>
      </c>
      <c r="F7676">
        <v>40.033333333333331</v>
      </c>
    </row>
    <row r="7677" spans="1:6" x14ac:dyDescent="0.25">
      <c r="A7677" s="1">
        <v>41122</v>
      </c>
      <c r="B7677" t="s">
        <v>16</v>
      </c>
      <c r="C7677" t="s">
        <v>8</v>
      </c>
      <c r="D7677">
        <v>19</v>
      </c>
      <c r="E7677" s="2">
        <v>1.1145833333333334E-2</v>
      </c>
      <c r="F7677">
        <v>16.05</v>
      </c>
    </row>
    <row r="7678" spans="1:6" x14ac:dyDescent="0.25">
      <c r="A7678" s="1">
        <v>41122</v>
      </c>
      <c r="B7678" t="s">
        <v>16</v>
      </c>
      <c r="C7678" t="s">
        <v>9</v>
      </c>
      <c r="D7678">
        <v>14</v>
      </c>
      <c r="E7678" s="2">
        <v>6.7708333333333336E-3</v>
      </c>
      <c r="F7678">
        <v>9.75</v>
      </c>
    </row>
    <row r="7679" spans="1:6" x14ac:dyDescent="0.25">
      <c r="A7679" s="1">
        <v>41122</v>
      </c>
      <c r="B7679" t="s">
        <v>16</v>
      </c>
      <c r="C7679" t="s">
        <v>10</v>
      </c>
      <c r="D7679">
        <v>4</v>
      </c>
      <c r="E7679" s="2">
        <v>4.6874999999999998E-3</v>
      </c>
      <c r="F7679">
        <v>6.75</v>
      </c>
    </row>
    <row r="7680" spans="1:6" x14ac:dyDescent="0.25">
      <c r="A7680" s="1">
        <v>41122</v>
      </c>
      <c r="B7680" t="s">
        <v>16</v>
      </c>
      <c r="C7680" t="s">
        <v>11</v>
      </c>
      <c r="D7680">
        <v>24</v>
      </c>
      <c r="E7680" s="2">
        <v>1.7233796296296296E-2</v>
      </c>
      <c r="F7680">
        <v>24.816666666666666</v>
      </c>
    </row>
    <row r="7681" spans="1:6" x14ac:dyDescent="0.25">
      <c r="A7681" s="1">
        <v>41122</v>
      </c>
      <c r="B7681" t="s">
        <v>17</v>
      </c>
      <c r="C7681" t="s">
        <v>6</v>
      </c>
      <c r="D7681">
        <v>10</v>
      </c>
      <c r="E7681" s="2">
        <v>1.2106481481481482E-2</v>
      </c>
      <c r="F7681">
        <v>17.433333333333334</v>
      </c>
    </row>
    <row r="7682" spans="1:6" x14ac:dyDescent="0.25">
      <c r="A7682" s="1">
        <v>41122</v>
      </c>
      <c r="B7682" t="s">
        <v>17</v>
      </c>
      <c r="C7682" t="s">
        <v>7</v>
      </c>
      <c r="D7682">
        <v>17</v>
      </c>
      <c r="E7682" s="2">
        <v>1.4143518518518519E-2</v>
      </c>
      <c r="F7682">
        <v>20.366666666666667</v>
      </c>
    </row>
    <row r="7683" spans="1:6" x14ac:dyDescent="0.25">
      <c r="A7683" s="1">
        <v>41122</v>
      </c>
      <c r="B7683" t="s">
        <v>17</v>
      </c>
      <c r="C7683" t="s">
        <v>8</v>
      </c>
      <c r="D7683">
        <v>6</v>
      </c>
      <c r="E7683" s="2">
        <v>5.3125000000000004E-3</v>
      </c>
      <c r="F7683">
        <v>7.65</v>
      </c>
    </row>
    <row r="7684" spans="1:6" x14ac:dyDescent="0.25">
      <c r="A7684" s="1">
        <v>41122</v>
      </c>
      <c r="B7684" t="s">
        <v>17</v>
      </c>
      <c r="C7684" t="s">
        <v>9</v>
      </c>
      <c r="D7684">
        <v>7</v>
      </c>
      <c r="E7684" s="2">
        <v>3.9004629629629628E-3</v>
      </c>
      <c r="F7684">
        <v>5.6166666666666671</v>
      </c>
    </row>
    <row r="7685" spans="1:6" x14ac:dyDescent="0.25">
      <c r="A7685" s="1">
        <v>41122</v>
      </c>
      <c r="B7685" t="s">
        <v>17</v>
      </c>
      <c r="C7685" t="s">
        <v>10</v>
      </c>
      <c r="D7685">
        <v>6</v>
      </c>
      <c r="E7685" s="2">
        <v>6.5509259259259262E-3</v>
      </c>
      <c r="F7685">
        <v>9.4333333333333336</v>
      </c>
    </row>
    <row r="7686" spans="1:6" x14ac:dyDescent="0.25">
      <c r="A7686" s="1">
        <v>41122</v>
      </c>
      <c r="B7686" t="s">
        <v>17</v>
      </c>
      <c r="C7686" t="s">
        <v>11</v>
      </c>
      <c r="D7686">
        <v>5</v>
      </c>
      <c r="E7686" s="2">
        <v>5.0694444444444441E-3</v>
      </c>
      <c r="F7686">
        <v>7.3</v>
      </c>
    </row>
    <row r="7687" spans="1:6" x14ac:dyDescent="0.25">
      <c r="A7687" s="1">
        <v>41122</v>
      </c>
      <c r="B7687" t="s">
        <v>18</v>
      </c>
      <c r="C7687" t="s">
        <v>6</v>
      </c>
      <c r="D7687">
        <v>44</v>
      </c>
      <c r="E7687" s="2">
        <v>3.6319444444444446E-2</v>
      </c>
      <c r="F7687">
        <v>52.3</v>
      </c>
    </row>
    <row r="7688" spans="1:6" x14ac:dyDescent="0.25">
      <c r="A7688" s="1">
        <v>41122</v>
      </c>
      <c r="B7688" t="s">
        <v>18</v>
      </c>
      <c r="C7688" t="s">
        <v>7</v>
      </c>
      <c r="D7688">
        <v>85</v>
      </c>
      <c r="E7688" s="2">
        <v>7.2430555555555554E-2</v>
      </c>
      <c r="F7688">
        <v>104.3</v>
      </c>
    </row>
    <row r="7689" spans="1:6" x14ac:dyDescent="0.25">
      <c r="A7689" s="1">
        <v>41122</v>
      </c>
      <c r="B7689" t="s">
        <v>18</v>
      </c>
      <c r="C7689" t="s">
        <v>8</v>
      </c>
      <c r="D7689">
        <v>42</v>
      </c>
      <c r="E7689" s="2">
        <v>3.2418981481481479E-2</v>
      </c>
      <c r="F7689">
        <v>46.68333333333333</v>
      </c>
    </row>
    <row r="7690" spans="1:6" x14ac:dyDescent="0.25">
      <c r="A7690" s="1">
        <v>41122</v>
      </c>
      <c r="B7690" t="s">
        <v>18</v>
      </c>
      <c r="C7690" t="s">
        <v>9</v>
      </c>
      <c r="D7690">
        <v>57</v>
      </c>
      <c r="E7690" s="2">
        <v>3.6712962962962961E-2</v>
      </c>
      <c r="F7690">
        <v>52.866666666666667</v>
      </c>
    </row>
    <row r="7691" spans="1:6" x14ac:dyDescent="0.25">
      <c r="A7691" s="1">
        <v>41122</v>
      </c>
      <c r="B7691" t="s">
        <v>18</v>
      </c>
      <c r="C7691" t="s">
        <v>10</v>
      </c>
      <c r="D7691">
        <v>109</v>
      </c>
      <c r="E7691" s="2">
        <v>0.1323263888888889</v>
      </c>
      <c r="F7691">
        <v>190.55</v>
      </c>
    </row>
    <row r="7692" spans="1:6" x14ac:dyDescent="0.25">
      <c r="A7692" s="1">
        <v>41122</v>
      </c>
      <c r="B7692" t="s">
        <v>18</v>
      </c>
      <c r="C7692" t="s">
        <v>11</v>
      </c>
      <c r="D7692">
        <v>40</v>
      </c>
      <c r="E7692" s="2">
        <v>2.4965277777777777E-2</v>
      </c>
      <c r="F7692">
        <v>35.950000000000003</v>
      </c>
    </row>
    <row r="7693" spans="1:6" x14ac:dyDescent="0.25">
      <c r="A7693" s="1">
        <v>41122</v>
      </c>
      <c r="B7693" t="s">
        <v>19</v>
      </c>
      <c r="C7693" t="s">
        <v>6</v>
      </c>
      <c r="D7693">
        <v>19</v>
      </c>
      <c r="E7693" s="2">
        <v>1.8298611111111113E-2</v>
      </c>
      <c r="F7693">
        <v>26.35</v>
      </c>
    </row>
    <row r="7694" spans="1:6" x14ac:dyDescent="0.25">
      <c r="A7694" s="1">
        <v>41122</v>
      </c>
      <c r="B7694" t="s">
        <v>19</v>
      </c>
      <c r="C7694" t="s">
        <v>7</v>
      </c>
      <c r="D7694">
        <v>19</v>
      </c>
      <c r="E7694" s="2">
        <v>1.7997685185185186E-2</v>
      </c>
      <c r="F7694">
        <v>25.916666666666668</v>
      </c>
    </row>
    <row r="7695" spans="1:6" x14ac:dyDescent="0.25">
      <c r="A7695" s="1">
        <v>41122</v>
      </c>
      <c r="B7695" t="s">
        <v>19</v>
      </c>
      <c r="C7695" t="s">
        <v>8</v>
      </c>
      <c r="D7695">
        <v>20</v>
      </c>
      <c r="E7695" s="2">
        <v>1.9525462962962963E-2</v>
      </c>
      <c r="F7695">
        <v>28.116666666666667</v>
      </c>
    </row>
    <row r="7696" spans="1:6" x14ac:dyDescent="0.25">
      <c r="A7696" s="1">
        <v>41122</v>
      </c>
      <c r="B7696" t="s">
        <v>19</v>
      </c>
      <c r="C7696" t="s">
        <v>9</v>
      </c>
      <c r="D7696">
        <v>20</v>
      </c>
      <c r="E7696" s="2">
        <v>1.3414351851851853E-2</v>
      </c>
      <c r="F7696">
        <v>19.316666666666666</v>
      </c>
    </row>
    <row r="7697" spans="1:6" x14ac:dyDescent="0.25">
      <c r="A7697" s="1">
        <v>41122</v>
      </c>
      <c r="B7697" t="s">
        <v>19</v>
      </c>
      <c r="C7697" t="s">
        <v>10</v>
      </c>
      <c r="D7697">
        <v>17</v>
      </c>
      <c r="E7697" s="2">
        <v>2.252314814814815E-2</v>
      </c>
      <c r="F7697">
        <v>32.43333333333333</v>
      </c>
    </row>
    <row r="7698" spans="1:6" x14ac:dyDescent="0.25">
      <c r="A7698" s="1">
        <v>41122</v>
      </c>
      <c r="B7698" t="s">
        <v>19</v>
      </c>
      <c r="C7698" t="s">
        <v>11</v>
      </c>
      <c r="D7698">
        <v>17</v>
      </c>
      <c r="E7698" s="2">
        <v>1.6493055555555556E-2</v>
      </c>
      <c r="F7698">
        <v>23.75</v>
      </c>
    </row>
    <row r="7699" spans="1:6" x14ac:dyDescent="0.25">
      <c r="A7699" s="1">
        <v>41122</v>
      </c>
      <c r="B7699" t="s">
        <v>20</v>
      </c>
      <c r="C7699" t="s">
        <v>6</v>
      </c>
      <c r="D7699">
        <v>37</v>
      </c>
      <c r="E7699" s="2">
        <v>3.7488425925925925E-2</v>
      </c>
      <c r="F7699">
        <v>53.983333333333334</v>
      </c>
    </row>
    <row r="7700" spans="1:6" x14ac:dyDescent="0.25">
      <c r="A7700" s="1">
        <v>41122</v>
      </c>
      <c r="B7700" t="s">
        <v>20</v>
      </c>
      <c r="C7700" t="s">
        <v>7</v>
      </c>
      <c r="D7700">
        <v>32</v>
      </c>
      <c r="E7700" s="2">
        <v>4.2314814814814812E-2</v>
      </c>
      <c r="F7700">
        <v>60.93333333333333</v>
      </c>
    </row>
    <row r="7701" spans="1:6" x14ac:dyDescent="0.25">
      <c r="A7701" s="1">
        <v>41122</v>
      </c>
      <c r="B7701" t="s">
        <v>20</v>
      </c>
      <c r="C7701" t="s">
        <v>8</v>
      </c>
      <c r="D7701">
        <v>37</v>
      </c>
      <c r="E7701" s="2">
        <v>3.8043981481481484E-2</v>
      </c>
      <c r="F7701">
        <v>54.783333333333331</v>
      </c>
    </row>
    <row r="7702" spans="1:6" x14ac:dyDescent="0.25">
      <c r="A7702" s="1">
        <v>41122</v>
      </c>
      <c r="B7702" t="s">
        <v>20</v>
      </c>
      <c r="C7702" t="s">
        <v>9</v>
      </c>
      <c r="D7702">
        <v>18</v>
      </c>
      <c r="E7702" s="2">
        <v>1.3182870370370371E-2</v>
      </c>
      <c r="F7702">
        <v>18.983333333333334</v>
      </c>
    </row>
    <row r="7703" spans="1:6" x14ac:dyDescent="0.25">
      <c r="A7703" s="1">
        <v>41122</v>
      </c>
      <c r="B7703" t="s">
        <v>20</v>
      </c>
      <c r="C7703" t="s">
        <v>10</v>
      </c>
      <c r="D7703">
        <v>6</v>
      </c>
      <c r="E7703" s="2">
        <v>8.3449074074074068E-3</v>
      </c>
      <c r="F7703">
        <v>12.016666666666667</v>
      </c>
    </row>
    <row r="7704" spans="1:6" x14ac:dyDescent="0.25">
      <c r="A7704" s="1">
        <v>41122</v>
      </c>
      <c r="B7704" t="s">
        <v>20</v>
      </c>
      <c r="C7704" t="s">
        <v>11</v>
      </c>
      <c r="D7704">
        <v>29</v>
      </c>
      <c r="E7704" s="2">
        <v>2.3391203703703702E-2</v>
      </c>
      <c r="F7704">
        <v>33.68333333333333</v>
      </c>
    </row>
    <row r="7705" spans="1:6" x14ac:dyDescent="0.25">
      <c r="A7705" s="1">
        <v>41122</v>
      </c>
      <c r="B7705" t="s">
        <v>21</v>
      </c>
      <c r="C7705" t="s">
        <v>6</v>
      </c>
      <c r="D7705">
        <v>22</v>
      </c>
      <c r="E7705" s="2">
        <v>2.5312500000000002E-2</v>
      </c>
      <c r="F7705">
        <v>36.450000000000003</v>
      </c>
    </row>
    <row r="7706" spans="1:6" x14ac:dyDescent="0.25">
      <c r="A7706" s="1">
        <v>41122</v>
      </c>
      <c r="B7706" t="s">
        <v>21</v>
      </c>
      <c r="C7706" t="s">
        <v>7</v>
      </c>
      <c r="D7706">
        <v>31</v>
      </c>
      <c r="E7706" s="2">
        <v>3.5196759259259261E-2</v>
      </c>
      <c r="F7706">
        <v>50.68333333333333</v>
      </c>
    </row>
    <row r="7707" spans="1:6" x14ac:dyDescent="0.25">
      <c r="A7707" s="1">
        <v>41122</v>
      </c>
      <c r="B7707" t="s">
        <v>21</v>
      </c>
      <c r="C7707" t="s">
        <v>8</v>
      </c>
      <c r="D7707">
        <v>21</v>
      </c>
      <c r="E7707" s="2">
        <v>2.0821759259259259E-2</v>
      </c>
      <c r="F7707">
        <v>29.983333333333334</v>
      </c>
    </row>
    <row r="7708" spans="1:6" x14ac:dyDescent="0.25">
      <c r="A7708" s="1">
        <v>41122</v>
      </c>
      <c r="B7708" t="s">
        <v>21</v>
      </c>
      <c r="C7708" t="s">
        <v>9</v>
      </c>
      <c r="D7708">
        <v>11</v>
      </c>
      <c r="E7708" s="2">
        <v>9.7337962962962959E-3</v>
      </c>
      <c r="F7708">
        <v>14.016666666666667</v>
      </c>
    </row>
    <row r="7709" spans="1:6" x14ac:dyDescent="0.25">
      <c r="A7709" s="1">
        <v>41122</v>
      </c>
      <c r="B7709" t="s">
        <v>21</v>
      </c>
      <c r="C7709" t="s">
        <v>10</v>
      </c>
      <c r="D7709">
        <v>2</v>
      </c>
      <c r="E7709" s="2">
        <v>3.4953703703703705E-3</v>
      </c>
      <c r="F7709">
        <v>5.0333333333333332</v>
      </c>
    </row>
    <row r="7710" spans="1:6" x14ac:dyDescent="0.25">
      <c r="A7710" s="1">
        <v>41122</v>
      </c>
      <c r="B7710" t="s">
        <v>21</v>
      </c>
      <c r="C7710" t="s">
        <v>11</v>
      </c>
      <c r="D7710">
        <v>20</v>
      </c>
      <c r="E7710" s="2">
        <v>1.9004629629629628E-2</v>
      </c>
      <c r="F7710">
        <v>27.366666666666667</v>
      </c>
    </row>
    <row r="7711" spans="1:6" x14ac:dyDescent="0.25">
      <c r="A7711" s="1">
        <v>41122</v>
      </c>
      <c r="B7711" t="s">
        <v>22</v>
      </c>
      <c r="C7711" t="s">
        <v>6</v>
      </c>
      <c r="D7711">
        <v>27</v>
      </c>
      <c r="E7711" s="2">
        <v>3.8692129629629632E-2</v>
      </c>
      <c r="F7711">
        <v>55.716666666666669</v>
      </c>
    </row>
    <row r="7712" spans="1:6" x14ac:dyDescent="0.25">
      <c r="A7712" s="1">
        <v>41122</v>
      </c>
      <c r="B7712" t="s">
        <v>22</v>
      </c>
      <c r="C7712" t="s">
        <v>7</v>
      </c>
      <c r="D7712">
        <v>16</v>
      </c>
      <c r="E7712" s="2">
        <v>2.4618055555555556E-2</v>
      </c>
      <c r="F7712">
        <v>35.450000000000003</v>
      </c>
    </row>
    <row r="7713" spans="1:6" x14ac:dyDescent="0.25">
      <c r="A7713" s="1">
        <v>41122</v>
      </c>
      <c r="B7713" t="s">
        <v>22</v>
      </c>
      <c r="C7713" t="s">
        <v>8</v>
      </c>
      <c r="D7713">
        <v>12</v>
      </c>
      <c r="E7713" s="2">
        <v>1.3518518518518518E-2</v>
      </c>
      <c r="F7713">
        <v>19.466666666666665</v>
      </c>
    </row>
    <row r="7714" spans="1:6" x14ac:dyDescent="0.25">
      <c r="A7714" s="1">
        <v>41122</v>
      </c>
      <c r="B7714" t="s">
        <v>22</v>
      </c>
      <c r="C7714" t="s">
        <v>9</v>
      </c>
      <c r="D7714">
        <v>5</v>
      </c>
      <c r="E7714" s="2">
        <v>4.0046296296296297E-3</v>
      </c>
      <c r="F7714">
        <v>5.7666666666666666</v>
      </c>
    </row>
    <row r="7715" spans="1:6" x14ac:dyDescent="0.25">
      <c r="A7715" s="1">
        <v>41122</v>
      </c>
      <c r="B7715" t="s">
        <v>22</v>
      </c>
      <c r="C7715" t="s">
        <v>10</v>
      </c>
      <c r="D7715">
        <v>5</v>
      </c>
      <c r="E7715" s="2">
        <v>4.3750000000000004E-3</v>
      </c>
      <c r="F7715">
        <v>6.3</v>
      </c>
    </row>
    <row r="7716" spans="1:6" x14ac:dyDescent="0.25">
      <c r="A7716" s="1">
        <v>41122</v>
      </c>
      <c r="B7716" t="s">
        <v>22</v>
      </c>
      <c r="C7716" t="s">
        <v>11</v>
      </c>
      <c r="D7716">
        <v>12</v>
      </c>
      <c r="E7716" s="2">
        <v>1.2893518518518518E-2</v>
      </c>
      <c r="F7716">
        <v>18.566666666666666</v>
      </c>
    </row>
    <row r="7717" spans="1:6" x14ac:dyDescent="0.25">
      <c r="A7717" s="1">
        <v>41122</v>
      </c>
      <c r="B7717" t="s">
        <v>23</v>
      </c>
      <c r="C7717" t="s">
        <v>6</v>
      </c>
      <c r="D7717">
        <v>99</v>
      </c>
      <c r="E7717" s="2">
        <v>0.11113425925925927</v>
      </c>
      <c r="F7717">
        <v>160.03333333333333</v>
      </c>
    </row>
    <row r="7718" spans="1:6" x14ac:dyDescent="0.25">
      <c r="A7718" s="1">
        <v>41122</v>
      </c>
      <c r="B7718" t="s">
        <v>23</v>
      </c>
      <c r="C7718" t="s">
        <v>7</v>
      </c>
      <c r="D7718">
        <v>82</v>
      </c>
      <c r="E7718" s="2">
        <v>0.10087962962962962</v>
      </c>
      <c r="F7718">
        <v>145.26666666666668</v>
      </c>
    </row>
    <row r="7719" spans="1:6" x14ac:dyDescent="0.25">
      <c r="A7719" s="1">
        <v>41122</v>
      </c>
      <c r="B7719" t="s">
        <v>23</v>
      </c>
      <c r="C7719" t="s">
        <v>8</v>
      </c>
      <c r="D7719">
        <v>62</v>
      </c>
      <c r="E7719" s="2">
        <v>7.0833333333333331E-2</v>
      </c>
      <c r="F7719">
        <v>102</v>
      </c>
    </row>
    <row r="7720" spans="1:6" x14ac:dyDescent="0.25">
      <c r="A7720" s="1">
        <v>41122</v>
      </c>
      <c r="B7720" t="s">
        <v>23</v>
      </c>
      <c r="C7720" t="s">
        <v>9</v>
      </c>
      <c r="D7720">
        <v>45</v>
      </c>
      <c r="E7720" s="2">
        <v>3.7106481481481483E-2</v>
      </c>
      <c r="F7720">
        <v>53.43333333333333</v>
      </c>
    </row>
    <row r="7721" spans="1:6" x14ac:dyDescent="0.25">
      <c r="A7721" s="1">
        <v>41122</v>
      </c>
      <c r="B7721" t="s">
        <v>23</v>
      </c>
      <c r="C7721" t="s">
        <v>10</v>
      </c>
      <c r="D7721">
        <v>30</v>
      </c>
      <c r="E7721" s="2">
        <v>3.6145833333333335E-2</v>
      </c>
      <c r="F7721">
        <v>52.05</v>
      </c>
    </row>
    <row r="7722" spans="1:6" x14ac:dyDescent="0.25">
      <c r="A7722" s="1">
        <v>41122</v>
      </c>
      <c r="B7722" t="s">
        <v>23</v>
      </c>
      <c r="C7722" t="s">
        <v>11</v>
      </c>
      <c r="D7722">
        <v>74</v>
      </c>
      <c r="E7722" s="2">
        <v>6.1574074074074073E-2</v>
      </c>
      <c r="F7722">
        <v>88.666666666666671</v>
      </c>
    </row>
    <row r="7723" spans="1:6" x14ac:dyDescent="0.25">
      <c r="A7723" s="1">
        <v>41122</v>
      </c>
      <c r="B7723" t="s">
        <v>24</v>
      </c>
      <c r="C7723" t="s">
        <v>6</v>
      </c>
      <c r="D7723">
        <v>108</v>
      </c>
      <c r="E7723" s="2">
        <v>0.12465277777777778</v>
      </c>
      <c r="F7723">
        <v>179.5</v>
      </c>
    </row>
    <row r="7724" spans="1:6" x14ac:dyDescent="0.25">
      <c r="A7724" s="1">
        <v>41122</v>
      </c>
      <c r="B7724" t="s">
        <v>24</v>
      </c>
      <c r="C7724" t="s">
        <v>7</v>
      </c>
      <c r="D7724">
        <v>179</v>
      </c>
      <c r="E7724" s="2">
        <v>0.16718749999999999</v>
      </c>
      <c r="F7724">
        <v>240.75</v>
      </c>
    </row>
    <row r="7725" spans="1:6" x14ac:dyDescent="0.25">
      <c r="A7725" s="1">
        <v>41122</v>
      </c>
      <c r="B7725" t="s">
        <v>24</v>
      </c>
      <c r="C7725" t="s">
        <v>8</v>
      </c>
      <c r="D7725">
        <v>73</v>
      </c>
      <c r="E7725" s="2">
        <v>7.3124999999999996E-2</v>
      </c>
      <c r="F7725">
        <v>105.3</v>
      </c>
    </row>
    <row r="7726" spans="1:6" x14ac:dyDescent="0.25">
      <c r="A7726" s="1">
        <v>41122</v>
      </c>
      <c r="B7726" t="s">
        <v>24</v>
      </c>
      <c r="C7726" t="s">
        <v>9</v>
      </c>
      <c r="D7726">
        <v>29</v>
      </c>
      <c r="E7726" s="2">
        <v>2.5069444444444443E-2</v>
      </c>
      <c r="F7726">
        <v>36.1</v>
      </c>
    </row>
    <row r="7727" spans="1:6" x14ac:dyDescent="0.25">
      <c r="A7727" s="1">
        <v>41122</v>
      </c>
      <c r="B7727" t="s">
        <v>24</v>
      </c>
      <c r="C7727" t="s">
        <v>10</v>
      </c>
      <c r="D7727">
        <v>3</v>
      </c>
      <c r="E7727" s="2">
        <v>4.1319444444444442E-3</v>
      </c>
      <c r="F7727">
        <v>5.95</v>
      </c>
    </row>
    <row r="7728" spans="1:6" x14ac:dyDescent="0.25">
      <c r="A7728" s="1">
        <v>41122</v>
      </c>
      <c r="B7728" t="s">
        <v>24</v>
      </c>
      <c r="C7728" t="s">
        <v>11</v>
      </c>
      <c r="D7728">
        <v>43</v>
      </c>
      <c r="E7728" s="2">
        <v>2.9282407407407406E-2</v>
      </c>
      <c r="F7728">
        <v>42.166666666666664</v>
      </c>
    </row>
    <row r="7729" spans="1:6" x14ac:dyDescent="0.25">
      <c r="A7729" s="1">
        <v>41153</v>
      </c>
      <c r="B7729" t="s">
        <v>5</v>
      </c>
      <c r="C7729" t="s">
        <v>6</v>
      </c>
      <c r="D7729">
        <v>18</v>
      </c>
      <c r="E7729" s="2">
        <v>1.9571759259259261E-2</v>
      </c>
      <c r="F7729">
        <v>28.183333333333334</v>
      </c>
    </row>
    <row r="7730" spans="1:6" x14ac:dyDescent="0.25">
      <c r="A7730" s="1">
        <v>41153</v>
      </c>
      <c r="B7730" t="s">
        <v>5</v>
      </c>
      <c r="C7730" t="s">
        <v>7</v>
      </c>
      <c r="D7730">
        <v>19</v>
      </c>
      <c r="E7730" s="2">
        <v>1.2766203703703703E-2</v>
      </c>
      <c r="F7730">
        <v>18.383333333333333</v>
      </c>
    </row>
    <row r="7731" spans="1:6" x14ac:dyDescent="0.25">
      <c r="A7731" s="1">
        <v>41153</v>
      </c>
      <c r="B7731" t="s">
        <v>5</v>
      </c>
      <c r="C7731" t="s">
        <v>8</v>
      </c>
      <c r="D7731">
        <v>18</v>
      </c>
      <c r="E7731" s="2">
        <v>1.4027777777777778E-2</v>
      </c>
      <c r="F7731">
        <v>20.2</v>
      </c>
    </row>
    <row r="7732" spans="1:6" x14ac:dyDescent="0.25">
      <c r="A7732" s="1">
        <v>41153</v>
      </c>
      <c r="B7732" t="s">
        <v>5</v>
      </c>
      <c r="C7732" t="s">
        <v>9</v>
      </c>
      <c r="D7732">
        <v>8</v>
      </c>
      <c r="E7732" s="2">
        <v>3.5763888888888889E-3</v>
      </c>
      <c r="F7732">
        <v>5.15</v>
      </c>
    </row>
    <row r="7733" spans="1:6" x14ac:dyDescent="0.25">
      <c r="A7733" s="1">
        <v>41153</v>
      </c>
      <c r="B7733" t="s">
        <v>5</v>
      </c>
      <c r="C7733" t="s">
        <v>10</v>
      </c>
      <c r="D7733">
        <v>3</v>
      </c>
      <c r="E7733" s="2">
        <v>7.291666666666667E-4</v>
      </c>
      <c r="F7733">
        <v>1.05</v>
      </c>
    </row>
    <row r="7734" spans="1:6" x14ac:dyDescent="0.25">
      <c r="A7734" s="1">
        <v>41153</v>
      </c>
      <c r="B7734" t="s">
        <v>5</v>
      </c>
      <c r="C7734" t="s">
        <v>11</v>
      </c>
      <c r="D7734">
        <v>16</v>
      </c>
      <c r="E7734" s="2">
        <v>9.1782407407407403E-3</v>
      </c>
      <c r="F7734">
        <v>13.216666666666667</v>
      </c>
    </row>
    <row r="7735" spans="1:6" x14ac:dyDescent="0.25">
      <c r="A7735" s="1">
        <v>41153</v>
      </c>
      <c r="B7735" t="s">
        <v>12</v>
      </c>
      <c r="C7735" t="s">
        <v>6</v>
      </c>
      <c r="D7735">
        <v>55</v>
      </c>
      <c r="E7735" s="2">
        <v>7.3287037037037039E-2</v>
      </c>
      <c r="F7735">
        <v>105.53333333333333</v>
      </c>
    </row>
    <row r="7736" spans="1:6" x14ac:dyDescent="0.25">
      <c r="A7736" s="1">
        <v>41153</v>
      </c>
      <c r="B7736" t="s">
        <v>12</v>
      </c>
      <c r="C7736" t="s">
        <v>7</v>
      </c>
      <c r="D7736">
        <v>35</v>
      </c>
      <c r="E7736" s="2">
        <v>4.8055555555555553E-2</v>
      </c>
      <c r="F7736">
        <v>69.2</v>
      </c>
    </row>
    <row r="7737" spans="1:6" x14ac:dyDescent="0.25">
      <c r="A7737" s="1">
        <v>41153</v>
      </c>
      <c r="B7737" t="s">
        <v>12</v>
      </c>
      <c r="C7737" t="s">
        <v>8</v>
      </c>
      <c r="D7737">
        <v>20</v>
      </c>
      <c r="E7737" s="2">
        <v>2.4421296296296295E-2</v>
      </c>
      <c r="F7737">
        <v>35.166666666666664</v>
      </c>
    </row>
    <row r="7738" spans="1:6" x14ac:dyDescent="0.25">
      <c r="A7738" s="1">
        <v>41153</v>
      </c>
      <c r="B7738" t="s">
        <v>12</v>
      </c>
      <c r="C7738" t="s">
        <v>9</v>
      </c>
      <c r="D7738">
        <v>15</v>
      </c>
      <c r="E7738" s="2">
        <v>9.525462962962963E-3</v>
      </c>
      <c r="F7738">
        <v>13.716666666666667</v>
      </c>
    </row>
    <row r="7739" spans="1:6" x14ac:dyDescent="0.25">
      <c r="A7739" s="1">
        <v>41153</v>
      </c>
      <c r="B7739" t="s">
        <v>12</v>
      </c>
      <c r="C7739" t="s">
        <v>10</v>
      </c>
      <c r="D7739">
        <v>27</v>
      </c>
      <c r="E7739" s="2">
        <v>4.6516203703703705E-2</v>
      </c>
      <c r="F7739">
        <v>66.983333333333334</v>
      </c>
    </row>
    <row r="7740" spans="1:6" x14ac:dyDescent="0.25">
      <c r="A7740" s="1">
        <v>41153</v>
      </c>
      <c r="B7740" t="s">
        <v>12</v>
      </c>
      <c r="C7740" t="s">
        <v>11</v>
      </c>
      <c r="D7740">
        <v>55</v>
      </c>
      <c r="E7740" s="2">
        <v>5.3298611111111109E-2</v>
      </c>
      <c r="F7740">
        <v>76.75</v>
      </c>
    </row>
    <row r="7741" spans="1:6" x14ac:dyDescent="0.25">
      <c r="A7741" s="1">
        <v>41153</v>
      </c>
      <c r="B7741" t="s">
        <v>13</v>
      </c>
      <c r="C7741" t="s">
        <v>6</v>
      </c>
      <c r="D7741">
        <v>63</v>
      </c>
      <c r="E7741" s="2">
        <v>7.3506944444444444E-2</v>
      </c>
      <c r="F7741">
        <v>105.85</v>
      </c>
    </row>
    <row r="7742" spans="1:6" x14ac:dyDescent="0.25">
      <c r="A7742" s="1">
        <v>41153</v>
      </c>
      <c r="B7742" t="s">
        <v>13</v>
      </c>
      <c r="C7742" t="s">
        <v>7</v>
      </c>
      <c r="D7742">
        <v>106</v>
      </c>
      <c r="E7742" s="2">
        <v>0.12427083333333333</v>
      </c>
      <c r="F7742">
        <v>178.95</v>
      </c>
    </row>
    <row r="7743" spans="1:6" x14ac:dyDescent="0.25">
      <c r="A7743" s="1">
        <v>41153</v>
      </c>
      <c r="B7743" t="s">
        <v>13</v>
      </c>
      <c r="C7743" t="s">
        <v>8</v>
      </c>
      <c r="D7743">
        <v>68</v>
      </c>
      <c r="E7743" s="2">
        <v>7.2222222222222215E-2</v>
      </c>
      <c r="F7743">
        <v>104</v>
      </c>
    </row>
    <row r="7744" spans="1:6" x14ac:dyDescent="0.25">
      <c r="A7744" s="1">
        <v>41153</v>
      </c>
      <c r="B7744" t="s">
        <v>13</v>
      </c>
      <c r="C7744" t="s">
        <v>9</v>
      </c>
      <c r="D7744">
        <v>32</v>
      </c>
      <c r="E7744" s="2">
        <v>2.6747685185185187E-2</v>
      </c>
      <c r="F7744">
        <v>38.516666666666666</v>
      </c>
    </row>
    <row r="7745" spans="1:6" x14ac:dyDescent="0.25">
      <c r="A7745" s="1">
        <v>41153</v>
      </c>
      <c r="B7745" t="s">
        <v>13</v>
      </c>
      <c r="C7745" t="s">
        <v>10</v>
      </c>
      <c r="D7745">
        <v>37</v>
      </c>
      <c r="E7745" s="2">
        <v>5.2071759259259262E-2</v>
      </c>
      <c r="F7745">
        <v>74.983333333333334</v>
      </c>
    </row>
    <row r="7746" spans="1:6" x14ac:dyDescent="0.25">
      <c r="A7746" s="1">
        <v>41153</v>
      </c>
      <c r="B7746" t="s">
        <v>13</v>
      </c>
      <c r="C7746" t="s">
        <v>11</v>
      </c>
      <c r="D7746">
        <v>43</v>
      </c>
      <c r="E7746" s="2">
        <v>3.7905092592592594E-2</v>
      </c>
      <c r="F7746">
        <v>54.583333333333336</v>
      </c>
    </row>
    <row r="7747" spans="1:6" x14ac:dyDescent="0.25">
      <c r="A7747" s="1">
        <v>41153</v>
      </c>
      <c r="B7747" t="s">
        <v>14</v>
      </c>
      <c r="C7747" t="s">
        <v>6</v>
      </c>
      <c r="D7747">
        <v>26</v>
      </c>
      <c r="E7747" s="2">
        <v>3.453703703703704E-2</v>
      </c>
      <c r="F7747">
        <v>49.733333333333334</v>
      </c>
    </row>
    <row r="7748" spans="1:6" x14ac:dyDescent="0.25">
      <c r="A7748" s="1">
        <v>41153</v>
      </c>
      <c r="B7748" t="s">
        <v>14</v>
      </c>
      <c r="C7748" t="s">
        <v>7</v>
      </c>
      <c r="D7748">
        <v>26</v>
      </c>
      <c r="E7748" s="2">
        <v>4.3981481481481483E-2</v>
      </c>
      <c r="F7748">
        <v>63.333333333333336</v>
      </c>
    </row>
    <row r="7749" spans="1:6" x14ac:dyDescent="0.25">
      <c r="A7749" s="1">
        <v>41153</v>
      </c>
      <c r="B7749" t="s">
        <v>14</v>
      </c>
      <c r="C7749" t="s">
        <v>8</v>
      </c>
      <c r="D7749">
        <v>27</v>
      </c>
      <c r="E7749" s="2">
        <v>3.1064814814814816E-2</v>
      </c>
      <c r="F7749">
        <v>44.733333333333334</v>
      </c>
    </row>
    <row r="7750" spans="1:6" x14ac:dyDescent="0.25">
      <c r="A7750" s="1">
        <v>41153</v>
      </c>
      <c r="B7750" t="s">
        <v>14</v>
      </c>
      <c r="C7750" t="s">
        <v>9</v>
      </c>
      <c r="D7750">
        <v>11</v>
      </c>
      <c r="E7750" s="2">
        <v>9.7222222222222224E-3</v>
      </c>
      <c r="F7750">
        <v>14</v>
      </c>
    </row>
    <row r="7751" spans="1:6" x14ac:dyDescent="0.25">
      <c r="A7751" s="1">
        <v>41153</v>
      </c>
      <c r="B7751" t="s">
        <v>14</v>
      </c>
      <c r="C7751" t="s">
        <v>10</v>
      </c>
      <c r="D7751">
        <v>0</v>
      </c>
      <c r="E7751" s="2">
        <v>0</v>
      </c>
      <c r="F7751">
        <v>0</v>
      </c>
    </row>
    <row r="7752" spans="1:6" x14ac:dyDescent="0.25">
      <c r="A7752" s="1">
        <v>41153</v>
      </c>
      <c r="B7752" t="s">
        <v>14</v>
      </c>
      <c r="C7752" t="s">
        <v>11</v>
      </c>
      <c r="D7752">
        <v>13</v>
      </c>
      <c r="E7752" s="2">
        <v>1.462962962962963E-2</v>
      </c>
      <c r="F7752">
        <v>21.066666666666666</v>
      </c>
    </row>
    <row r="7753" spans="1:6" x14ac:dyDescent="0.25">
      <c r="A7753" s="1">
        <v>41153</v>
      </c>
      <c r="B7753" t="s">
        <v>15</v>
      </c>
      <c r="C7753" t="s">
        <v>6</v>
      </c>
      <c r="D7753">
        <v>15</v>
      </c>
      <c r="E7753" s="2">
        <v>1.773148148148148E-2</v>
      </c>
      <c r="F7753">
        <v>25.533333333333335</v>
      </c>
    </row>
    <row r="7754" spans="1:6" x14ac:dyDescent="0.25">
      <c r="A7754" s="1">
        <v>41153</v>
      </c>
      <c r="B7754" t="s">
        <v>15</v>
      </c>
      <c r="C7754" t="s">
        <v>7</v>
      </c>
      <c r="D7754">
        <v>14</v>
      </c>
      <c r="E7754" s="2">
        <v>1.849537037037037E-2</v>
      </c>
      <c r="F7754">
        <v>26.633333333333333</v>
      </c>
    </row>
    <row r="7755" spans="1:6" x14ac:dyDescent="0.25">
      <c r="A7755" s="1">
        <v>41153</v>
      </c>
      <c r="B7755" t="s">
        <v>15</v>
      </c>
      <c r="C7755" t="s">
        <v>8</v>
      </c>
      <c r="D7755">
        <v>14</v>
      </c>
      <c r="E7755" s="2">
        <v>1.6516203703703703E-2</v>
      </c>
      <c r="F7755">
        <v>23.783333333333335</v>
      </c>
    </row>
    <row r="7756" spans="1:6" x14ac:dyDescent="0.25">
      <c r="A7756" s="1">
        <v>41153</v>
      </c>
      <c r="B7756" t="s">
        <v>15</v>
      </c>
      <c r="C7756" t="s">
        <v>9</v>
      </c>
      <c r="D7756">
        <v>10</v>
      </c>
      <c r="E7756" s="2">
        <v>6.1689814814814819E-3</v>
      </c>
      <c r="F7756">
        <v>8.8833333333333329</v>
      </c>
    </row>
    <row r="7757" spans="1:6" x14ac:dyDescent="0.25">
      <c r="A7757" s="1">
        <v>41153</v>
      </c>
      <c r="B7757" t="s">
        <v>15</v>
      </c>
      <c r="C7757" t="s">
        <v>10</v>
      </c>
      <c r="D7757">
        <v>5</v>
      </c>
      <c r="E7757" s="2">
        <v>8.067129629629629E-3</v>
      </c>
      <c r="F7757">
        <v>11.616666666666667</v>
      </c>
    </row>
    <row r="7758" spans="1:6" x14ac:dyDescent="0.25">
      <c r="A7758" s="1">
        <v>41153</v>
      </c>
      <c r="B7758" t="s">
        <v>15</v>
      </c>
      <c r="C7758" t="s">
        <v>11</v>
      </c>
      <c r="D7758">
        <v>7</v>
      </c>
      <c r="E7758" s="2">
        <v>3.8657407407407408E-3</v>
      </c>
      <c r="F7758">
        <v>5.5666666666666664</v>
      </c>
    </row>
    <row r="7759" spans="1:6" x14ac:dyDescent="0.25">
      <c r="A7759" s="1">
        <v>41153</v>
      </c>
      <c r="B7759" t="s">
        <v>16</v>
      </c>
      <c r="C7759" t="s">
        <v>6</v>
      </c>
      <c r="D7759">
        <v>60</v>
      </c>
      <c r="E7759" s="2">
        <v>6.368055555555556E-2</v>
      </c>
      <c r="F7759">
        <v>91.7</v>
      </c>
    </row>
    <row r="7760" spans="1:6" x14ac:dyDescent="0.25">
      <c r="A7760" s="1">
        <v>41153</v>
      </c>
      <c r="B7760" t="s">
        <v>16</v>
      </c>
      <c r="C7760" t="s">
        <v>7</v>
      </c>
      <c r="D7760">
        <v>47</v>
      </c>
      <c r="E7760" s="2">
        <v>5.1504629629629629E-2</v>
      </c>
      <c r="F7760">
        <v>74.166666666666671</v>
      </c>
    </row>
    <row r="7761" spans="1:6" x14ac:dyDescent="0.25">
      <c r="A7761" s="1">
        <v>41153</v>
      </c>
      <c r="B7761" t="s">
        <v>16</v>
      </c>
      <c r="C7761" t="s">
        <v>8</v>
      </c>
      <c r="D7761">
        <v>38</v>
      </c>
      <c r="E7761" s="2">
        <v>3.5543981481481482E-2</v>
      </c>
      <c r="F7761">
        <v>51.18333333333333</v>
      </c>
    </row>
    <row r="7762" spans="1:6" x14ac:dyDescent="0.25">
      <c r="A7762" s="1">
        <v>41153</v>
      </c>
      <c r="B7762" t="s">
        <v>16</v>
      </c>
      <c r="C7762" t="s">
        <v>9</v>
      </c>
      <c r="D7762">
        <v>6</v>
      </c>
      <c r="E7762" s="2">
        <v>4.9189814814814816E-3</v>
      </c>
      <c r="F7762">
        <v>7.083333333333333</v>
      </c>
    </row>
    <row r="7763" spans="1:6" x14ac:dyDescent="0.25">
      <c r="A7763" s="1">
        <v>41153</v>
      </c>
      <c r="B7763" t="s">
        <v>16</v>
      </c>
      <c r="C7763" t="s">
        <v>10</v>
      </c>
      <c r="D7763">
        <v>2</v>
      </c>
      <c r="E7763" s="2">
        <v>2.2106481481481482E-3</v>
      </c>
      <c r="F7763">
        <v>3.1833333333333331</v>
      </c>
    </row>
    <row r="7764" spans="1:6" x14ac:dyDescent="0.25">
      <c r="A7764" s="1">
        <v>41153</v>
      </c>
      <c r="B7764" t="s">
        <v>16</v>
      </c>
      <c r="C7764" t="s">
        <v>11</v>
      </c>
      <c r="D7764">
        <v>49</v>
      </c>
      <c r="E7764" s="2">
        <v>5.2615740740740741E-2</v>
      </c>
      <c r="F7764">
        <v>75.766666666666666</v>
      </c>
    </row>
    <row r="7765" spans="1:6" x14ac:dyDescent="0.25">
      <c r="A7765" s="1">
        <v>41153</v>
      </c>
      <c r="B7765" t="s">
        <v>17</v>
      </c>
      <c r="C7765" t="s">
        <v>6</v>
      </c>
      <c r="D7765">
        <v>15</v>
      </c>
      <c r="E7765" s="2">
        <v>1.7719907407407406E-2</v>
      </c>
      <c r="F7765">
        <v>25.516666666666666</v>
      </c>
    </row>
    <row r="7766" spans="1:6" x14ac:dyDescent="0.25">
      <c r="A7766" s="1">
        <v>41153</v>
      </c>
      <c r="B7766" t="s">
        <v>17</v>
      </c>
      <c r="C7766" t="s">
        <v>7</v>
      </c>
      <c r="D7766">
        <v>10</v>
      </c>
      <c r="E7766" s="2">
        <v>1.2199074074074074E-2</v>
      </c>
      <c r="F7766">
        <v>17.566666666666666</v>
      </c>
    </row>
    <row r="7767" spans="1:6" x14ac:dyDescent="0.25">
      <c r="A7767" s="1">
        <v>41153</v>
      </c>
      <c r="B7767" t="s">
        <v>17</v>
      </c>
      <c r="C7767" t="s">
        <v>8</v>
      </c>
      <c r="D7767">
        <v>8</v>
      </c>
      <c r="E7767" s="2">
        <v>6.0069444444444441E-3</v>
      </c>
      <c r="F7767">
        <v>8.65</v>
      </c>
    </row>
    <row r="7768" spans="1:6" x14ac:dyDescent="0.25">
      <c r="A7768" s="1">
        <v>41153</v>
      </c>
      <c r="B7768" t="s">
        <v>17</v>
      </c>
      <c r="C7768" t="s">
        <v>9</v>
      </c>
      <c r="D7768">
        <v>3</v>
      </c>
      <c r="E7768" s="2">
        <v>1.0648148148148149E-3</v>
      </c>
      <c r="F7768">
        <v>1.5333333333333332</v>
      </c>
    </row>
    <row r="7769" spans="1:6" x14ac:dyDescent="0.25">
      <c r="A7769" s="1">
        <v>41153</v>
      </c>
      <c r="B7769" t="s">
        <v>17</v>
      </c>
      <c r="C7769" t="s">
        <v>10</v>
      </c>
      <c r="D7769">
        <v>7</v>
      </c>
      <c r="E7769" s="2">
        <v>7.5578703703703702E-3</v>
      </c>
      <c r="F7769">
        <v>10.883333333333333</v>
      </c>
    </row>
    <row r="7770" spans="1:6" x14ac:dyDescent="0.25">
      <c r="A7770" s="1">
        <v>41153</v>
      </c>
      <c r="B7770" t="s">
        <v>17</v>
      </c>
      <c r="C7770" t="s">
        <v>11</v>
      </c>
      <c r="D7770">
        <v>4</v>
      </c>
      <c r="E7770" s="2">
        <v>3.5879629629629629E-3</v>
      </c>
      <c r="F7770">
        <v>5.166666666666667</v>
      </c>
    </row>
    <row r="7771" spans="1:6" x14ac:dyDescent="0.25">
      <c r="A7771" s="1">
        <v>41153</v>
      </c>
      <c r="B7771" t="s">
        <v>18</v>
      </c>
      <c r="C7771" t="s">
        <v>6</v>
      </c>
      <c r="D7771">
        <v>52</v>
      </c>
      <c r="E7771" s="2">
        <v>5.4421296296296294E-2</v>
      </c>
      <c r="F7771">
        <v>78.36666666666666</v>
      </c>
    </row>
    <row r="7772" spans="1:6" x14ac:dyDescent="0.25">
      <c r="A7772" s="1">
        <v>41153</v>
      </c>
      <c r="B7772" t="s">
        <v>18</v>
      </c>
      <c r="C7772" t="s">
        <v>7</v>
      </c>
      <c r="D7772">
        <v>67</v>
      </c>
      <c r="E7772" s="2">
        <v>5.5763888888888891E-2</v>
      </c>
      <c r="F7772">
        <v>80.3</v>
      </c>
    </row>
    <row r="7773" spans="1:6" x14ac:dyDescent="0.25">
      <c r="A7773" s="1">
        <v>41153</v>
      </c>
      <c r="B7773" t="s">
        <v>18</v>
      </c>
      <c r="C7773" t="s">
        <v>8</v>
      </c>
      <c r="D7773">
        <v>36</v>
      </c>
      <c r="E7773" s="2">
        <v>3.0567129629629628E-2</v>
      </c>
      <c r="F7773">
        <v>44.016666666666666</v>
      </c>
    </row>
    <row r="7774" spans="1:6" x14ac:dyDescent="0.25">
      <c r="A7774" s="1">
        <v>41153</v>
      </c>
      <c r="B7774" t="s">
        <v>18</v>
      </c>
      <c r="C7774" t="s">
        <v>9</v>
      </c>
      <c r="D7774">
        <v>49</v>
      </c>
      <c r="E7774" s="2">
        <v>2.8634259259259259E-2</v>
      </c>
      <c r="F7774">
        <v>41.233333333333334</v>
      </c>
    </row>
    <row r="7775" spans="1:6" x14ac:dyDescent="0.25">
      <c r="A7775" s="1">
        <v>41153</v>
      </c>
      <c r="B7775" t="s">
        <v>18</v>
      </c>
      <c r="C7775" t="s">
        <v>10</v>
      </c>
      <c r="D7775">
        <v>98</v>
      </c>
      <c r="E7775" s="2">
        <v>0.11321759259259259</v>
      </c>
      <c r="F7775">
        <v>163.03333333333333</v>
      </c>
    </row>
    <row r="7776" spans="1:6" x14ac:dyDescent="0.25">
      <c r="A7776" s="1">
        <v>41153</v>
      </c>
      <c r="B7776" t="s">
        <v>18</v>
      </c>
      <c r="C7776" t="s">
        <v>11</v>
      </c>
      <c r="D7776">
        <v>32</v>
      </c>
      <c r="E7776" s="2">
        <v>1.9131944444444444E-2</v>
      </c>
      <c r="F7776">
        <v>27.55</v>
      </c>
    </row>
    <row r="7777" spans="1:6" x14ac:dyDescent="0.25">
      <c r="A7777" s="1">
        <v>41153</v>
      </c>
      <c r="B7777" t="s">
        <v>19</v>
      </c>
      <c r="C7777" t="s">
        <v>6</v>
      </c>
      <c r="D7777">
        <v>30</v>
      </c>
      <c r="E7777" s="2">
        <v>3.5219907407407408E-2</v>
      </c>
      <c r="F7777">
        <v>50.716666666666669</v>
      </c>
    </row>
    <row r="7778" spans="1:6" x14ac:dyDescent="0.25">
      <c r="A7778" s="1">
        <v>41153</v>
      </c>
      <c r="B7778" t="s">
        <v>19</v>
      </c>
      <c r="C7778" t="s">
        <v>7</v>
      </c>
      <c r="D7778">
        <v>32</v>
      </c>
      <c r="E7778" s="2">
        <v>0.04</v>
      </c>
      <c r="F7778">
        <v>57.6</v>
      </c>
    </row>
    <row r="7779" spans="1:6" x14ac:dyDescent="0.25">
      <c r="A7779" s="1">
        <v>41153</v>
      </c>
      <c r="B7779" t="s">
        <v>19</v>
      </c>
      <c r="C7779" t="s">
        <v>8</v>
      </c>
      <c r="D7779">
        <v>29</v>
      </c>
      <c r="E7779" s="2">
        <v>3.4907407407407408E-2</v>
      </c>
      <c r="F7779">
        <v>50.266666666666666</v>
      </c>
    </row>
    <row r="7780" spans="1:6" x14ac:dyDescent="0.25">
      <c r="A7780" s="1">
        <v>41153</v>
      </c>
      <c r="B7780" t="s">
        <v>19</v>
      </c>
      <c r="C7780" t="s">
        <v>9</v>
      </c>
      <c r="D7780">
        <v>28</v>
      </c>
      <c r="E7780" s="2">
        <v>1.923611111111111E-2</v>
      </c>
      <c r="F7780">
        <v>27.7</v>
      </c>
    </row>
    <row r="7781" spans="1:6" x14ac:dyDescent="0.25">
      <c r="A7781" s="1">
        <v>41153</v>
      </c>
      <c r="B7781" t="s">
        <v>19</v>
      </c>
      <c r="C7781" t="s">
        <v>10</v>
      </c>
      <c r="D7781">
        <v>10</v>
      </c>
      <c r="E7781" s="2">
        <v>1.1157407407407408E-2</v>
      </c>
      <c r="F7781">
        <v>16.066666666666666</v>
      </c>
    </row>
    <row r="7782" spans="1:6" x14ac:dyDescent="0.25">
      <c r="A7782" s="1">
        <v>41153</v>
      </c>
      <c r="B7782" t="s">
        <v>19</v>
      </c>
      <c r="C7782" t="s">
        <v>11</v>
      </c>
      <c r="D7782">
        <v>31</v>
      </c>
      <c r="E7782" s="2">
        <v>2.7986111111111111E-2</v>
      </c>
      <c r="F7782">
        <v>40.299999999999997</v>
      </c>
    </row>
    <row r="7783" spans="1:6" x14ac:dyDescent="0.25">
      <c r="A7783" s="1">
        <v>41153</v>
      </c>
      <c r="B7783" t="s">
        <v>20</v>
      </c>
      <c r="C7783" t="s">
        <v>6</v>
      </c>
      <c r="D7783">
        <v>34</v>
      </c>
      <c r="E7783" s="2">
        <v>3.9479166666666669E-2</v>
      </c>
      <c r="F7783">
        <v>56.85</v>
      </c>
    </row>
    <row r="7784" spans="1:6" x14ac:dyDescent="0.25">
      <c r="A7784" s="1">
        <v>41153</v>
      </c>
      <c r="B7784" t="s">
        <v>20</v>
      </c>
      <c r="C7784" t="s">
        <v>7</v>
      </c>
      <c r="D7784">
        <v>39</v>
      </c>
      <c r="E7784" s="2">
        <v>4.4641203703703704E-2</v>
      </c>
      <c r="F7784">
        <v>64.283333333333331</v>
      </c>
    </row>
    <row r="7785" spans="1:6" x14ac:dyDescent="0.25">
      <c r="A7785" s="1">
        <v>41153</v>
      </c>
      <c r="B7785" t="s">
        <v>20</v>
      </c>
      <c r="C7785" t="s">
        <v>8</v>
      </c>
      <c r="D7785">
        <v>38</v>
      </c>
      <c r="E7785" s="2">
        <v>3.9004629629629632E-2</v>
      </c>
      <c r="F7785">
        <v>56.166666666666664</v>
      </c>
    </row>
    <row r="7786" spans="1:6" x14ac:dyDescent="0.25">
      <c r="A7786" s="1">
        <v>41153</v>
      </c>
      <c r="B7786" t="s">
        <v>20</v>
      </c>
      <c r="C7786" t="s">
        <v>9</v>
      </c>
      <c r="D7786">
        <v>23</v>
      </c>
      <c r="E7786" s="2">
        <v>1.9791666666666666E-2</v>
      </c>
      <c r="F7786">
        <v>28.5</v>
      </c>
    </row>
    <row r="7787" spans="1:6" x14ac:dyDescent="0.25">
      <c r="A7787" s="1">
        <v>41153</v>
      </c>
      <c r="B7787" t="s">
        <v>20</v>
      </c>
      <c r="C7787" t="s">
        <v>10</v>
      </c>
      <c r="D7787">
        <v>5</v>
      </c>
      <c r="E7787" s="2">
        <v>8.067129629629629E-3</v>
      </c>
      <c r="F7787">
        <v>11.616666666666667</v>
      </c>
    </row>
    <row r="7788" spans="1:6" x14ac:dyDescent="0.25">
      <c r="A7788" s="1">
        <v>41153</v>
      </c>
      <c r="B7788" t="s">
        <v>20</v>
      </c>
      <c r="C7788" t="s">
        <v>11</v>
      </c>
      <c r="D7788">
        <v>29</v>
      </c>
      <c r="E7788" s="2">
        <v>2.4363425925925927E-2</v>
      </c>
      <c r="F7788">
        <v>35.083333333333336</v>
      </c>
    </row>
    <row r="7789" spans="1:6" x14ac:dyDescent="0.25">
      <c r="A7789" s="1">
        <v>41153</v>
      </c>
      <c r="B7789" t="s">
        <v>21</v>
      </c>
      <c r="C7789" t="s">
        <v>6</v>
      </c>
      <c r="D7789">
        <v>14</v>
      </c>
      <c r="E7789" s="2">
        <v>1.849537037037037E-2</v>
      </c>
      <c r="F7789">
        <v>26.633333333333333</v>
      </c>
    </row>
    <row r="7790" spans="1:6" x14ac:dyDescent="0.25">
      <c r="A7790" s="1">
        <v>41153</v>
      </c>
      <c r="B7790" t="s">
        <v>21</v>
      </c>
      <c r="C7790" t="s">
        <v>7</v>
      </c>
      <c r="D7790">
        <v>27</v>
      </c>
      <c r="E7790" s="2">
        <v>3.6273148148148152E-2</v>
      </c>
      <c r="F7790">
        <v>52.233333333333334</v>
      </c>
    </row>
    <row r="7791" spans="1:6" x14ac:dyDescent="0.25">
      <c r="A7791" s="1">
        <v>41153</v>
      </c>
      <c r="B7791" t="s">
        <v>21</v>
      </c>
      <c r="C7791" t="s">
        <v>8</v>
      </c>
      <c r="D7791">
        <v>18</v>
      </c>
      <c r="E7791" s="2">
        <v>2.4525462962962964E-2</v>
      </c>
      <c r="F7791">
        <v>35.31666666666667</v>
      </c>
    </row>
    <row r="7792" spans="1:6" x14ac:dyDescent="0.25">
      <c r="A7792" s="1">
        <v>41153</v>
      </c>
      <c r="B7792" t="s">
        <v>21</v>
      </c>
      <c r="C7792" t="s">
        <v>9</v>
      </c>
      <c r="D7792">
        <v>9</v>
      </c>
      <c r="E7792" s="2">
        <v>8.3564814814814821E-3</v>
      </c>
      <c r="F7792">
        <v>12.033333333333333</v>
      </c>
    </row>
    <row r="7793" spans="1:6" x14ac:dyDescent="0.25">
      <c r="A7793" s="1">
        <v>41153</v>
      </c>
      <c r="B7793" t="s">
        <v>21</v>
      </c>
      <c r="C7793" t="s">
        <v>10</v>
      </c>
      <c r="D7793">
        <v>2</v>
      </c>
      <c r="E7793" s="2">
        <v>2.8472222222222223E-3</v>
      </c>
      <c r="F7793">
        <v>4.0999999999999996</v>
      </c>
    </row>
    <row r="7794" spans="1:6" x14ac:dyDescent="0.25">
      <c r="A7794" s="1">
        <v>41153</v>
      </c>
      <c r="B7794" t="s">
        <v>21</v>
      </c>
      <c r="C7794" t="s">
        <v>11</v>
      </c>
      <c r="D7794">
        <v>19</v>
      </c>
      <c r="E7794" s="2">
        <v>1.8402777777777778E-2</v>
      </c>
      <c r="F7794">
        <v>26.5</v>
      </c>
    </row>
    <row r="7795" spans="1:6" x14ac:dyDescent="0.25">
      <c r="A7795" s="1">
        <v>41153</v>
      </c>
      <c r="B7795" t="s">
        <v>22</v>
      </c>
      <c r="C7795" t="s">
        <v>6</v>
      </c>
      <c r="D7795">
        <v>13</v>
      </c>
      <c r="E7795" s="2">
        <v>1.6145833333333335E-2</v>
      </c>
      <c r="F7795">
        <v>23.25</v>
      </c>
    </row>
    <row r="7796" spans="1:6" x14ac:dyDescent="0.25">
      <c r="A7796" s="1">
        <v>41153</v>
      </c>
      <c r="B7796" t="s">
        <v>22</v>
      </c>
      <c r="C7796" t="s">
        <v>7</v>
      </c>
      <c r="D7796">
        <v>7</v>
      </c>
      <c r="E7796" s="2">
        <v>7.8472222222222224E-3</v>
      </c>
      <c r="F7796">
        <v>11.3</v>
      </c>
    </row>
    <row r="7797" spans="1:6" x14ac:dyDescent="0.25">
      <c r="A7797" s="1">
        <v>41153</v>
      </c>
      <c r="B7797" t="s">
        <v>22</v>
      </c>
      <c r="C7797" t="s">
        <v>8</v>
      </c>
      <c r="D7797">
        <v>6</v>
      </c>
      <c r="E7797" s="2">
        <v>5.1504629629629626E-3</v>
      </c>
      <c r="F7797">
        <v>7.416666666666667</v>
      </c>
    </row>
    <row r="7798" spans="1:6" x14ac:dyDescent="0.25">
      <c r="A7798" s="1">
        <v>41153</v>
      </c>
      <c r="B7798" t="s">
        <v>22</v>
      </c>
      <c r="C7798" t="s">
        <v>9</v>
      </c>
      <c r="D7798">
        <v>3</v>
      </c>
      <c r="E7798" s="2">
        <v>1.5509259259259259E-3</v>
      </c>
      <c r="F7798">
        <v>2.2333333333333334</v>
      </c>
    </row>
    <row r="7799" spans="1:6" x14ac:dyDescent="0.25">
      <c r="A7799" s="1">
        <v>41153</v>
      </c>
      <c r="B7799" t="s">
        <v>22</v>
      </c>
      <c r="C7799" t="s">
        <v>10</v>
      </c>
      <c r="D7799">
        <v>1</v>
      </c>
      <c r="E7799" s="2">
        <v>2.4305555555555555E-4</v>
      </c>
      <c r="F7799">
        <v>0.35</v>
      </c>
    </row>
    <row r="7800" spans="1:6" x14ac:dyDescent="0.25">
      <c r="A7800" s="1">
        <v>41153</v>
      </c>
      <c r="B7800" t="s">
        <v>22</v>
      </c>
      <c r="C7800" t="s">
        <v>11</v>
      </c>
      <c r="D7800">
        <v>5</v>
      </c>
      <c r="E7800" s="2">
        <v>5.5092592592592589E-3</v>
      </c>
      <c r="F7800">
        <v>7.9333333333333336</v>
      </c>
    </row>
    <row r="7801" spans="1:6" x14ac:dyDescent="0.25">
      <c r="A7801" s="1">
        <v>41153</v>
      </c>
      <c r="B7801" t="s">
        <v>23</v>
      </c>
      <c r="C7801" t="s">
        <v>6</v>
      </c>
      <c r="D7801">
        <v>120</v>
      </c>
      <c r="E7801" s="2">
        <v>0.15611111111111112</v>
      </c>
      <c r="F7801">
        <v>224.8</v>
      </c>
    </row>
    <row r="7802" spans="1:6" x14ac:dyDescent="0.25">
      <c r="A7802" s="1">
        <v>41153</v>
      </c>
      <c r="B7802" t="s">
        <v>23</v>
      </c>
      <c r="C7802" t="s">
        <v>7</v>
      </c>
      <c r="D7802">
        <v>138</v>
      </c>
      <c r="E7802" s="2">
        <v>0.18608796296296296</v>
      </c>
      <c r="F7802">
        <v>267.96666666666664</v>
      </c>
    </row>
    <row r="7803" spans="1:6" x14ac:dyDescent="0.25">
      <c r="A7803" s="1">
        <v>41153</v>
      </c>
      <c r="B7803" t="s">
        <v>23</v>
      </c>
      <c r="C7803" t="s">
        <v>8</v>
      </c>
      <c r="D7803">
        <v>89</v>
      </c>
      <c r="E7803" s="2">
        <v>9.6759259259259253E-2</v>
      </c>
      <c r="F7803">
        <v>139.33333333333334</v>
      </c>
    </row>
    <row r="7804" spans="1:6" x14ac:dyDescent="0.25">
      <c r="A7804" s="1">
        <v>41153</v>
      </c>
      <c r="B7804" t="s">
        <v>23</v>
      </c>
      <c r="C7804" t="s">
        <v>9</v>
      </c>
      <c r="D7804">
        <v>68</v>
      </c>
      <c r="E7804" s="2">
        <v>4.9780092592592591E-2</v>
      </c>
      <c r="F7804">
        <v>71.683333333333337</v>
      </c>
    </row>
    <row r="7805" spans="1:6" x14ac:dyDescent="0.25">
      <c r="A7805" s="1">
        <v>41153</v>
      </c>
      <c r="B7805" t="s">
        <v>23</v>
      </c>
      <c r="C7805" t="s">
        <v>10</v>
      </c>
      <c r="D7805">
        <v>59</v>
      </c>
      <c r="E7805" s="2">
        <v>6.475694444444445E-2</v>
      </c>
      <c r="F7805">
        <v>93.25</v>
      </c>
    </row>
    <row r="7806" spans="1:6" x14ac:dyDescent="0.25">
      <c r="A7806" s="1">
        <v>41153</v>
      </c>
      <c r="B7806" t="s">
        <v>23</v>
      </c>
      <c r="C7806" t="s">
        <v>11</v>
      </c>
      <c r="D7806">
        <v>109</v>
      </c>
      <c r="E7806" s="2">
        <v>9.2418981481481477E-2</v>
      </c>
      <c r="F7806">
        <v>133.08333333333334</v>
      </c>
    </row>
    <row r="7807" spans="1:6" x14ac:dyDescent="0.25">
      <c r="A7807" s="1">
        <v>41153</v>
      </c>
      <c r="B7807" t="s">
        <v>24</v>
      </c>
      <c r="C7807" t="s">
        <v>6</v>
      </c>
      <c r="D7807">
        <v>44</v>
      </c>
      <c r="E7807" s="2">
        <v>4.5925925925925926E-2</v>
      </c>
      <c r="F7807">
        <v>66.13333333333334</v>
      </c>
    </row>
    <row r="7808" spans="1:6" x14ac:dyDescent="0.25">
      <c r="A7808" s="1">
        <v>41153</v>
      </c>
      <c r="B7808" t="s">
        <v>24</v>
      </c>
      <c r="C7808" t="s">
        <v>7</v>
      </c>
      <c r="D7808">
        <v>36</v>
      </c>
      <c r="E7808" s="2">
        <v>2.6249999999999999E-2</v>
      </c>
      <c r="F7808">
        <v>37.799999999999997</v>
      </c>
    </row>
    <row r="7809" spans="1:6" x14ac:dyDescent="0.25">
      <c r="A7809" s="1">
        <v>41153</v>
      </c>
      <c r="B7809" t="s">
        <v>24</v>
      </c>
      <c r="C7809" t="s">
        <v>8</v>
      </c>
      <c r="D7809">
        <v>14</v>
      </c>
      <c r="E7809" s="2">
        <v>1.1087962962962963E-2</v>
      </c>
      <c r="F7809">
        <v>15.966666666666667</v>
      </c>
    </row>
    <row r="7810" spans="1:6" x14ac:dyDescent="0.25">
      <c r="A7810" s="1">
        <v>41153</v>
      </c>
      <c r="B7810" t="s">
        <v>24</v>
      </c>
      <c r="C7810" t="s">
        <v>9</v>
      </c>
      <c r="D7810">
        <v>9</v>
      </c>
      <c r="E7810" s="2">
        <v>7.3842592592592597E-3</v>
      </c>
      <c r="F7810">
        <v>10.633333333333333</v>
      </c>
    </row>
    <row r="7811" spans="1:6" x14ac:dyDescent="0.25">
      <c r="A7811" s="1">
        <v>41153</v>
      </c>
      <c r="B7811" t="s">
        <v>24</v>
      </c>
      <c r="C7811" t="s">
        <v>10</v>
      </c>
      <c r="D7811">
        <v>0</v>
      </c>
      <c r="E7811" s="2">
        <v>0</v>
      </c>
      <c r="F7811">
        <v>0</v>
      </c>
    </row>
    <row r="7812" spans="1:6" x14ac:dyDescent="0.25">
      <c r="A7812" s="1">
        <v>41153</v>
      </c>
      <c r="B7812" t="s">
        <v>24</v>
      </c>
      <c r="C7812" t="s">
        <v>11</v>
      </c>
      <c r="D7812">
        <v>27</v>
      </c>
      <c r="E7812" s="2">
        <v>2.101851851851852E-2</v>
      </c>
      <c r="F7812">
        <v>30.266666666666666</v>
      </c>
    </row>
    <row r="7813" spans="1:6" x14ac:dyDescent="0.25">
      <c r="A7813" s="1">
        <v>41183</v>
      </c>
      <c r="B7813" t="s">
        <v>5</v>
      </c>
      <c r="C7813" t="s">
        <v>6</v>
      </c>
      <c r="D7813">
        <v>59</v>
      </c>
      <c r="E7813" s="2">
        <v>5.8877314814814813E-2</v>
      </c>
      <c r="F7813">
        <v>84.783333333333331</v>
      </c>
    </row>
    <row r="7814" spans="1:6" x14ac:dyDescent="0.25">
      <c r="A7814" s="1">
        <v>41183</v>
      </c>
      <c r="B7814" t="s">
        <v>5</v>
      </c>
      <c r="C7814" t="s">
        <v>7</v>
      </c>
      <c r="D7814">
        <v>70</v>
      </c>
      <c r="E7814" s="2">
        <v>5.4421296296296294E-2</v>
      </c>
      <c r="F7814">
        <v>78.36666666666666</v>
      </c>
    </row>
    <row r="7815" spans="1:6" x14ac:dyDescent="0.25">
      <c r="A7815" s="1">
        <v>41183</v>
      </c>
      <c r="B7815" t="s">
        <v>5</v>
      </c>
      <c r="C7815" t="s">
        <v>8</v>
      </c>
      <c r="D7815">
        <v>45</v>
      </c>
      <c r="E7815" s="2">
        <v>3.8761574074074073E-2</v>
      </c>
      <c r="F7815">
        <v>55.81666666666667</v>
      </c>
    </row>
    <row r="7816" spans="1:6" x14ac:dyDescent="0.25">
      <c r="A7816" s="1">
        <v>41183</v>
      </c>
      <c r="B7816" t="s">
        <v>5</v>
      </c>
      <c r="C7816" t="s">
        <v>9</v>
      </c>
      <c r="D7816">
        <v>20</v>
      </c>
      <c r="E7816" s="2">
        <v>1.4039351851851851E-2</v>
      </c>
      <c r="F7816">
        <v>20.216666666666665</v>
      </c>
    </row>
    <row r="7817" spans="1:6" x14ac:dyDescent="0.25">
      <c r="A7817" s="1">
        <v>41183</v>
      </c>
      <c r="B7817" t="s">
        <v>5</v>
      </c>
      <c r="C7817" t="s">
        <v>10</v>
      </c>
      <c r="D7817">
        <v>5</v>
      </c>
      <c r="E7817" s="2">
        <v>4.4791666666666669E-3</v>
      </c>
      <c r="F7817">
        <v>6.45</v>
      </c>
    </row>
    <row r="7818" spans="1:6" x14ac:dyDescent="0.25">
      <c r="A7818" s="1">
        <v>41183</v>
      </c>
      <c r="B7818" t="s">
        <v>5</v>
      </c>
      <c r="C7818" t="s">
        <v>11</v>
      </c>
      <c r="D7818">
        <v>60</v>
      </c>
      <c r="E7818" s="2">
        <v>4.8055555555555553E-2</v>
      </c>
      <c r="F7818">
        <v>69.2</v>
      </c>
    </row>
    <row r="7819" spans="1:6" x14ac:dyDescent="0.25">
      <c r="A7819" s="1">
        <v>41183</v>
      </c>
      <c r="B7819" t="s">
        <v>12</v>
      </c>
      <c r="C7819" t="s">
        <v>6</v>
      </c>
      <c r="D7819">
        <v>64</v>
      </c>
      <c r="E7819" s="2">
        <v>7.5937500000000005E-2</v>
      </c>
      <c r="F7819">
        <v>109.35</v>
      </c>
    </row>
    <row r="7820" spans="1:6" x14ac:dyDescent="0.25">
      <c r="A7820" s="1">
        <v>41183</v>
      </c>
      <c r="B7820" t="s">
        <v>12</v>
      </c>
      <c r="C7820" t="s">
        <v>7</v>
      </c>
      <c r="D7820">
        <v>43</v>
      </c>
      <c r="E7820" s="2">
        <v>6.3668981481481479E-2</v>
      </c>
      <c r="F7820">
        <v>91.683333333333337</v>
      </c>
    </row>
    <row r="7821" spans="1:6" x14ac:dyDescent="0.25">
      <c r="A7821" s="1">
        <v>41183</v>
      </c>
      <c r="B7821" t="s">
        <v>12</v>
      </c>
      <c r="C7821" t="s">
        <v>8</v>
      </c>
      <c r="D7821">
        <v>31</v>
      </c>
      <c r="E7821" s="2">
        <v>4.5462962962962962E-2</v>
      </c>
      <c r="F7821">
        <v>65.466666666666669</v>
      </c>
    </row>
    <row r="7822" spans="1:6" x14ac:dyDescent="0.25">
      <c r="A7822" s="1">
        <v>41183</v>
      </c>
      <c r="B7822" t="s">
        <v>12</v>
      </c>
      <c r="C7822" t="s">
        <v>9</v>
      </c>
      <c r="D7822">
        <v>19</v>
      </c>
      <c r="E7822" s="2">
        <v>1.193287037037037E-2</v>
      </c>
      <c r="F7822">
        <v>17.183333333333334</v>
      </c>
    </row>
    <row r="7823" spans="1:6" x14ac:dyDescent="0.25">
      <c r="A7823" s="1">
        <v>41183</v>
      </c>
      <c r="B7823" t="s">
        <v>12</v>
      </c>
      <c r="C7823" t="s">
        <v>10</v>
      </c>
      <c r="D7823">
        <v>39</v>
      </c>
      <c r="E7823" s="2">
        <v>6.5856481481481488E-2</v>
      </c>
      <c r="F7823">
        <v>94.833333333333329</v>
      </c>
    </row>
    <row r="7824" spans="1:6" x14ac:dyDescent="0.25">
      <c r="A7824" s="1">
        <v>41183</v>
      </c>
      <c r="B7824" t="s">
        <v>12</v>
      </c>
      <c r="C7824" t="s">
        <v>11</v>
      </c>
      <c r="D7824">
        <v>58</v>
      </c>
      <c r="E7824" s="2">
        <v>6.9097222222222227E-2</v>
      </c>
      <c r="F7824">
        <v>99.5</v>
      </c>
    </row>
    <row r="7825" spans="1:6" x14ac:dyDescent="0.25">
      <c r="A7825" s="1">
        <v>41183</v>
      </c>
      <c r="B7825" t="s">
        <v>13</v>
      </c>
      <c r="C7825" t="s">
        <v>6</v>
      </c>
      <c r="D7825">
        <v>87</v>
      </c>
      <c r="E7825" s="2">
        <v>0.10490740740740741</v>
      </c>
      <c r="F7825">
        <v>151.06666666666666</v>
      </c>
    </row>
    <row r="7826" spans="1:6" x14ac:dyDescent="0.25">
      <c r="A7826" s="1">
        <v>41183</v>
      </c>
      <c r="B7826" t="s">
        <v>13</v>
      </c>
      <c r="C7826" t="s">
        <v>7</v>
      </c>
      <c r="D7826">
        <v>119</v>
      </c>
      <c r="E7826" s="2">
        <v>0.14859953703703704</v>
      </c>
      <c r="F7826">
        <v>213.98333333333332</v>
      </c>
    </row>
    <row r="7827" spans="1:6" x14ac:dyDescent="0.25">
      <c r="A7827" s="1">
        <v>41183</v>
      </c>
      <c r="B7827" t="s">
        <v>13</v>
      </c>
      <c r="C7827" t="s">
        <v>8</v>
      </c>
      <c r="D7827">
        <v>60</v>
      </c>
      <c r="E7827" s="2">
        <v>6.9270833333333337E-2</v>
      </c>
      <c r="F7827">
        <v>99.75</v>
      </c>
    </row>
    <row r="7828" spans="1:6" x14ac:dyDescent="0.25">
      <c r="A7828" s="1">
        <v>41183</v>
      </c>
      <c r="B7828" t="s">
        <v>13</v>
      </c>
      <c r="C7828" t="s">
        <v>9</v>
      </c>
      <c r="D7828">
        <v>31</v>
      </c>
      <c r="E7828" s="2">
        <v>2.3495370370370371E-2</v>
      </c>
      <c r="F7828">
        <v>33.833333333333336</v>
      </c>
    </row>
    <row r="7829" spans="1:6" x14ac:dyDescent="0.25">
      <c r="A7829" s="1">
        <v>41183</v>
      </c>
      <c r="B7829" t="s">
        <v>13</v>
      </c>
      <c r="C7829" t="s">
        <v>10</v>
      </c>
      <c r="D7829">
        <v>37</v>
      </c>
      <c r="E7829" s="2">
        <v>5.0150462962962966E-2</v>
      </c>
      <c r="F7829">
        <v>72.216666666666669</v>
      </c>
    </row>
    <row r="7830" spans="1:6" x14ac:dyDescent="0.25">
      <c r="A7830" s="1">
        <v>41183</v>
      </c>
      <c r="B7830" t="s">
        <v>13</v>
      </c>
      <c r="C7830" t="s">
        <v>11</v>
      </c>
      <c r="D7830">
        <v>32</v>
      </c>
      <c r="E7830" s="2">
        <v>2.9270833333333333E-2</v>
      </c>
      <c r="F7830">
        <v>42.15</v>
      </c>
    </row>
    <row r="7831" spans="1:6" x14ac:dyDescent="0.25">
      <c r="A7831" s="1">
        <v>41183</v>
      </c>
      <c r="B7831" t="s">
        <v>14</v>
      </c>
      <c r="C7831" t="s">
        <v>6</v>
      </c>
      <c r="D7831">
        <v>16</v>
      </c>
      <c r="E7831" s="2">
        <v>2.3078703703703702E-2</v>
      </c>
      <c r="F7831">
        <v>33.233333333333334</v>
      </c>
    </row>
    <row r="7832" spans="1:6" x14ac:dyDescent="0.25">
      <c r="A7832" s="1">
        <v>41183</v>
      </c>
      <c r="B7832" t="s">
        <v>14</v>
      </c>
      <c r="C7832" t="s">
        <v>7</v>
      </c>
      <c r="D7832">
        <v>23</v>
      </c>
      <c r="E7832" s="2">
        <v>4.175925925925926E-2</v>
      </c>
      <c r="F7832">
        <v>60.133333333333333</v>
      </c>
    </row>
    <row r="7833" spans="1:6" x14ac:dyDescent="0.25">
      <c r="A7833" s="1">
        <v>41183</v>
      </c>
      <c r="B7833" t="s">
        <v>14</v>
      </c>
      <c r="C7833" t="s">
        <v>8</v>
      </c>
      <c r="D7833">
        <v>15</v>
      </c>
      <c r="E7833" s="2">
        <v>1.7361111111111112E-2</v>
      </c>
      <c r="F7833">
        <v>25</v>
      </c>
    </row>
    <row r="7834" spans="1:6" x14ac:dyDescent="0.25">
      <c r="A7834" s="1">
        <v>41183</v>
      </c>
      <c r="B7834" t="s">
        <v>14</v>
      </c>
      <c r="C7834" t="s">
        <v>9</v>
      </c>
      <c r="D7834">
        <v>4</v>
      </c>
      <c r="E7834" s="2">
        <v>3.9004629629629628E-3</v>
      </c>
      <c r="F7834">
        <v>5.6166666666666671</v>
      </c>
    </row>
    <row r="7835" spans="1:6" x14ac:dyDescent="0.25">
      <c r="A7835" s="1">
        <v>41183</v>
      </c>
      <c r="B7835" t="s">
        <v>14</v>
      </c>
      <c r="C7835" t="s">
        <v>10</v>
      </c>
      <c r="D7835">
        <v>4</v>
      </c>
      <c r="E7835" s="2">
        <v>8.1712962962962963E-3</v>
      </c>
      <c r="F7835">
        <v>11.766666666666667</v>
      </c>
    </row>
    <row r="7836" spans="1:6" x14ac:dyDescent="0.25">
      <c r="A7836" s="1">
        <v>41183</v>
      </c>
      <c r="B7836" t="s">
        <v>14</v>
      </c>
      <c r="C7836" t="s">
        <v>11</v>
      </c>
      <c r="D7836">
        <v>8</v>
      </c>
      <c r="E7836" s="2">
        <v>7.4999999999999997E-3</v>
      </c>
      <c r="F7836">
        <v>10.8</v>
      </c>
    </row>
    <row r="7837" spans="1:6" x14ac:dyDescent="0.25">
      <c r="A7837" s="1">
        <v>41183</v>
      </c>
      <c r="B7837" t="s">
        <v>15</v>
      </c>
      <c r="C7837" t="s">
        <v>6</v>
      </c>
      <c r="D7837">
        <v>25</v>
      </c>
      <c r="E7837" s="2">
        <v>2.4513888888888891E-2</v>
      </c>
      <c r="F7837">
        <v>35.299999999999997</v>
      </c>
    </row>
    <row r="7838" spans="1:6" x14ac:dyDescent="0.25">
      <c r="A7838" s="1">
        <v>41183</v>
      </c>
      <c r="B7838" t="s">
        <v>15</v>
      </c>
      <c r="C7838" t="s">
        <v>7</v>
      </c>
      <c r="D7838">
        <v>25</v>
      </c>
      <c r="E7838" s="2">
        <v>2.4016203703703703E-2</v>
      </c>
      <c r="F7838">
        <v>34.583333333333336</v>
      </c>
    </row>
    <row r="7839" spans="1:6" x14ac:dyDescent="0.25">
      <c r="A7839" s="1">
        <v>41183</v>
      </c>
      <c r="B7839" t="s">
        <v>15</v>
      </c>
      <c r="C7839" t="s">
        <v>8</v>
      </c>
      <c r="D7839">
        <v>24</v>
      </c>
      <c r="E7839" s="2">
        <v>2.3900462962962964E-2</v>
      </c>
      <c r="F7839">
        <v>34.416666666666664</v>
      </c>
    </row>
    <row r="7840" spans="1:6" x14ac:dyDescent="0.25">
      <c r="A7840" s="1">
        <v>41183</v>
      </c>
      <c r="B7840" t="s">
        <v>15</v>
      </c>
      <c r="C7840" t="s">
        <v>9</v>
      </c>
      <c r="D7840">
        <v>7</v>
      </c>
      <c r="E7840" s="2">
        <v>3.7268518518518519E-3</v>
      </c>
      <c r="F7840">
        <v>5.3666666666666663</v>
      </c>
    </row>
    <row r="7841" spans="1:6" x14ac:dyDescent="0.25">
      <c r="A7841" s="1">
        <v>41183</v>
      </c>
      <c r="B7841" t="s">
        <v>15</v>
      </c>
      <c r="C7841" t="s">
        <v>10</v>
      </c>
      <c r="D7841">
        <v>6</v>
      </c>
      <c r="E7841" s="2">
        <v>7.9282407407407409E-3</v>
      </c>
      <c r="F7841">
        <v>11.416666666666666</v>
      </c>
    </row>
    <row r="7842" spans="1:6" x14ac:dyDescent="0.25">
      <c r="A7842" s="1">
        <v>41183</v>
      </c>
      <c r="B7842" t="s">
        <v>15</v>
      </c>
      <c r="C7842" t="s">
        <v>11</v>
      </c>
      <c r="D7842">
        <v>14</v>
      </c>
      <c r="E7842" s="2">
        <v>1.2199074074074074E-2</v>
      </c>
      <c r="F7842">
        <v>17.566666666666666</v>
      </c>
    </row>
    <row r="7843" spans="1:6" x14ac:dyDescent="0.25">
      <c r="A7843" s="1">
        <v>41183</v>
      </c>
      <c r="B7843" t="s">
        <v>16</v>
      </c>
      <c r="C7843" t="s">
        <v>6</v>
      </c>
      <c r="D7843">
        <v>41</v>
      </c>
      <c r="E7843" s="2">
        <v>4.2997685185185187E-2</v>
      </c>
      <c r="F7843">
        <v>61.916666666666664</v>
      </c>
    </row>
    <row r="7844" spans="1:6" x14ac:dyDescent="0.25">
      <c r="A7844" s="1">
        <v>41183</v>
      </c>
      <c r="B7844" t="s">
        <v>16</v>
      </c>
      <c r="C7844" t="s">
        <v>7</v>
      </c>
      <c r="D7844">
        <v>53</v>
      </c>
      <c r="E7844" s="2">
        <v>5.1469907407407409E-2</v>
      </c>
      <c r="F7844">
        <v>74.11666666666666</v>
      </c>
    </row>
    <row r="7845" spans="1:6" x14ac:dyDescent="0.25">
      <c r="A7845" s="1">
        <v>41183</v>
      </c>
      <c r="B7845" t="s">
        <v>16</v>
      </c>
      <c r="C7845" t="s">
        <v>8</v>
      </c>
      <c r="D7845">
        <v>40</v>
      </c>
      <c r="E7845" s="2">
        <v>3.5497685185185188E-2</v>
      </c>
      <c r="F7845">
        <v>51.116666666666667</v>
      </c>
    </row>
    <row r="7846" spans="1:6" x14ac:dyDescent="0.25">
      <c r="A7846" s="1">
        <v>41183</v>
      </c>
      <c r="B7846" t="s">
        <v>16</v>
      </c>
      <c r="C7846" t="s">
        <v>9</v>
      </c>
      <c r="D7846">
        <v>25</v>
      </c>
      <c r="E7846" s="2">
        <v>1.494212962962963E-2</v>
      </c>
      <c r="F7846">
        <v>21.516666666666666</v>
      </c>
    </row>
    <row r="7847" spans="1:6" x14ac:dyDescent="0.25">
      <c r="A7847" s="1">
        <v>41183</v>
      </c>
      <c r="B7847" t="s">
        <v>16</v>
      </c>
      <c r="C7847" t="s">
        <v>10</v>
      </c>
      <c r="D7847">
        <v>1</v>
      </c>
      <c r="E7847" s="2">
        <v>1.8518518518518519E-3</v>
      </c>
      <c r="F7847">
        <v>2.6666666666666665</v>
      </c>
    </row>
    <row r="7848" spans="1:6" x14ac:dyDescent="0.25">
      <c r="A7848" s="1">
        <v>41183</v>
      </c>
      <c r="B7848" t="s">
        <v>16</v>
      </c>
      <c r="C7848" t="s">
        <v>11</v>
      </c>
      <c r="D7848">
        <v>60</v>
      </c>
      <c r="E7848" s="2">
        <v>5.0462962962962966E-2</v>
      </c>
      <c r="F7848">
        <v>72.666666666666671</v>
      </c>
    </row>
    <row r="7849" spans="1:6" x14ac:dyDescent="0.25">
      <c r="A7849" s="1">
        <v>41183</v>
      </c>
      <c r="B7849" t="s">
        <v>17</v>
      </c>
      <c r="C7849" t="s">
        <v>6</v>
      </c>
      <c r="D7849">
        <v>15</v>
      </c>
      <c r="E7849" s="2">
        <v>1.8148148148148149E-2</v>
      </c>
      <c r="F7849">
        <v>26.133333333333333</v>
      </c>
    </row>
    <row r="7850" spans="1:6" x14ac:dyDescent="0.25">
      <c r="A7850" s="1">
        <v>41183</v>
      </c>
      <c r="B7850" t="s">
        <v>17</v>
      </c>
      <c r="C7850" t="s">
        <v>7</v>
      </c>
      <c r="D7850">
        <v>10</v>
      </c>
      <c r="E7850" s="2">
        <v>9.5601851851851855E-3</v>
      </c>
      <c r="F7850">
        <v>13.766666666666667</v>
      </c>
    </row>
    <row r="7851" spans="1:6" x14ac:dyDescent="0.25">
      <c r="A7851" s="1">
        <v>41183</v>
      </c>
      <c r="B7851" t="s">
        <v>17</v>
      </c>
      <c r="C7851" t="s">
        <v>8</v>
      </c>
      <c r="D7851">
        <v>8</v>
      </c>
      <c r="E7851" s="2">
        <v>7.3726851851851852E-3</v>
      </c>
      <c r="F7851">
        <v>10.616666666666667</v>
      </c>
    </row>
    <row r="7852" spans="1:6" x14ac:dyDescent="0.25">
      <c r="A7852" s="1">
        <v>41183</v>
      </c>
      <c r="B7852" t="s">
        <v>17</v>
      </c>
      <c r="C7852" t="s">
        <v>9</v>
      </c>
      <c r="D7852">
        <v>3</v>
      </c>
      <c r="E7852" s="2">
        <v>1.0300925925925926E-3</v>
      </c>
      <c r="F7852">
        <v>1.4833333333333334</v>
      </c>
    </row>
    <row r="7853" spans="1:6" x14ac:dyDescent="0.25">
      <c r="A7853" s="1">
        <v>41183</v>
      </c>
      <c r="B7853" t="s">
        <v>17</v>
      </c>
      <c r="C7853" t="s">
        <v>10</v>
      </c>
      <c r="D7853">
        <v>5</v>
      </c>
      <c r="E7853" s="2">
        <v>1.4120370370370369E-3</v>
      </c>
      <c r="F7853">
        <v>2.0333333333333332</v>
      </c>
    </row>
    <row r="7854" spans="1:6" x14ac:dyDescent="0.25">
      <c r="A7854" s="1">
        <v>41183</v>
      </c>
      <c r="B7854" t="s">
        <v>17</v>
      </c>
      <c r="C7854" t="s">
        <v>11</v>
      </c>
      <c r="D7854">
        <v>4</v>
      </c>
      <c r="E7854" s="2">
        <v>2.2222222222222222E-3</v>
      </c>
      <c r="F7854">
        <v>3.2</v>
      </c>
    </row>
    <row r="7855" spans="1:6" x14ac:dyDescent="0.25">
      <c r="A7855" s="1">
        <v>41183</v>
      </c>
      <c r="B7855" t="s">
        <v>18</v>
      </c>
      <c r="C7855" t="s">
        <v>6</v>
      </c>
      <c r="D7855">
        <v>55</v>
      </c>
      <c r="E7855" s="2">
        <v>4.4386574074074071E-2</v>
      </c>
      <c r="F7855">
        <v>63.916666666666664</v>
      </c>
    </row>
    <row r="7856" spans="1:6" x14ac:dyDescent="0.25">
      <c r="A7856" s="1">
        <v>41183</v>
      </c>
      <c r="B7856" t="s">
        <v>18</v>
      </c>
      <c r="C7856" t="s">
        <v>7</v>
      </c>
      <c r="D7856">
        <v>83</v>
      </c>
      <c r="E7856" s="2">
        <v>7.0740740740740743E-2</v>
      </c>
      <c r="F7856">
        <v>101.86666666666666</v>
      </c>
    </row>
    <row r="7857" spans="1:6" x14ac:dyDescent="0.25">
      <c r="A7857" s="1">
        <v>41183</v>
      </c>
      <c r="B7857" t="s">
        <v>18</v>
      </c>
      <c r="C7857" t="s">
        <v>8</v>
      </c>
      <c r="D7857">
        <v>45</v>
      </c>
      <c r="E7857" s="2">
        <v>3.7905092592592594E-2</v>
      </c>
      <c r="F7857">
        <v>54.583333333333336</v>
      </c>
    </row>
    <row r="7858" spans="1:6" x14ac:dyDescent="0.25">
      <c r="A7858" s="1">
        <v>41183</v>
      </c>
      <c r="B7858" t="s">
        <v>18</v>
      </c>
      <c r="C7858" t="s">
        <v>9</v>
      </c>
      <c r="D7858">
        <v>81</v>
      </c>
      <c r="E7858" s="2">
        <v>5.4907407407407405E-2</v>
      </c>
      <c r="F7858">
        <v>79.066666666666663</v>
      </c>
    </row>
    <row r="7859" spans="1:6" x14ac:dyDescent="0.25">
      <c r="A7859" s="1">
        <v>41183</v>
      </c>
      <c r="B7859" t="s">
        <v>18</v>
      </c>
      <c r="C7859" t="s">
        <v>10</v>
      </c>
      <c r="D7859">
        <v>147</v>
      </c>
      <c r="E7859" s="2">
        <v>0.16841435185185186</v>
      </c>
      <c r="F7859">
        <v>242.51666666666668</v>
      </c>
    </row>
    <row r="7860" spans="1:6" x14ac:dyDescent="0.25">
      <c r="A7860" s="1">
        <v>41183</v>
      </c>
      <c r="B7860" t="s">
        <v>18</v>
      </c>
      <c r="C7860" t="s">
        <v>11</v>
      </c>
      <c r="D7860">
        <v>32</v>
      </c>
      <c r="E7860" s="2">
        <v>2.0578703703703703E-2</v>
      </c>
      <c r="F7860">
        <v>29.633333333333333</v>
      </c>
    </row>
    <row r="7861" spans="1:6" x14ac:dyDescent="0.25">
      <c r="A7861" s="1">
        <v>41183</v>
      </c>
      <c r="B7861" t="s">
        <v>19</v>
      </c>
      <c r="C7861" t="s">
        <v>6</v>
      </c>
      <c r="D7861">
        <v>57</v>
      </c>
      <c r="E7861" s="2">
        <v>5.994212962962963E-2</v>
      </c>
      <c r="F7861">
        <v>86.316666666666663</v>
      </c>
    </row>
    <row r="7862" spans="1:6" x14ac:dyDescent="0.25">
      <c r="A7862" s="1">
        <v>41183</v>
      </c>
      <c r="B7862" t="s">
        <v>19</v>
      </c>
      <c r="C7862" t="s">
        <v>7</v>
      </c>
      <c r="D7862">
        <v>64</v>
      </c>
      <c r="E7862" s="2">
        <v>7.3506944444444444E-2</v>
      </c>
      <c r="F7862">
        <v>105.85</v>
      </c>
    </row>
    <row r="7863" spans="1:6" x14ac:dyDescent="0.25">
      <c r="A7863" s="1">
        <v>41183</v>
      </c>
      <c r="B7863" t="s">
        <v>19</v>
      </c>
      <c r="C7863" t="s">
        <v>8</v>
      </c>
      <c r="D7863">
        <v>54</v>
      </c>
      <c r="E7863" s="2">
        <v>5.3877314814814815E-2</v>
      </c>
      <c r="F7863">
        <v>77.583333333333329</v>
      </c>
    </row>
    <row r="7864" spans="1:6" x14ac:dyDescent="0.25">
      <c r="A7864" s="1">
        <v>41183</v>
      </c>
      <c r="B7864" t="s">
        <v>19</v>
      </c>
      <c r="C7864" t="s">
        <v>9</v>
      </c>
      <c r="D7864">
        <v>58</v>
      </c>
      <c r="E7864" s="2">
        <v>3.6064814814814813E-2</v>
      </c>
      <c r="F7864">
        <v>51.93333333333333</v>
      </c>
    </row>
    <row r="7865" spans="1:6" x14ac:dyDescent="0.25">
      <c r="A7865" s="1">
        <v>41183</v>
      </c>
      <c r="B7865" t="s">
        <v>19</v>
      </c>
      <c r="C7865" t="s">
        <v>10</v>
      </c>
      <c r="D7865">
        <v>19</v>
      </c>
      <c r="E7865" s="2">
        <v>1.699074074074074E-2</v>
      </c>
      <c r="F7865">
        <v>24.466666666666665</v>
      </c>
    </row>
    <row r="7866" spans="1:6" x14ac:dyDescent="0.25">
      <c r="A7866" s="1">
        <v>41183</v>
      </c>
      <c r="B7866" t="s">
        <v>19</v>
      </c>
      <c r="C7866" t="s">
        <v>11</v>
      </c>
      <c r="D7866">
        <v>46</v>
      </c>
      <c r="E7866" s="2">
        <v>4.2118055555555554E-2</v>
      </c>
      <c r="F7866">
        <v>60.65</v>
      </c>
    </row>
    <row r="7867" spans="1:6" x14ac:dyDescent="0.25">
      <c r="A7867" s="1">
        <v>41183</v>
      </c>
      <c r="B7867" t="s">
        <v>20</v>
      </c>
      <c r="C7867" t="s">
        <v>6</v>
      </c>
      <c r="D7867">
        <v>49</v>
      </c>
      <c r="E7867" s="2">
        <v>5.0879629629629629E-2</v>
      </c>
      <c r="F7867">
        <v>73.266666666666666</v>
      </c>
    </row>
    <row r="7868" spans="1:6" x14ac:dyDescent="0.25">
      <c r="A7868" s="1">
        <v>41183</v>
      </c>
      <c r="B7868" t="s">
        <v>20</v>
      </c>
      <c r="C7868" t="s">
        <v>7</v>
      </c>
      <c r="D7868">
        <v>68</v>
      </c>
      <c r="E7868" s="2">
        <v>7.0902777777777773E-2</v>
      </c>
      <c r="F7868">
        <v>102.1</v>
      </c>
    </row>
    <row r="7869" spans="1:6" x14ac:dyDescent="0.25">
      <c r="A7869" s="1">
        <v>41183</v>
      </c>
      <c r="B7869" t="s">
        <v>20</v>
      </c>
      <c r="C7869" t="s">
        <v>8</v>
      </c>
      <c r="D7869">
        <v>50</v>
      </c>
      <c r="E7869" s="2">
        <v>4.8356481481481479E-2</v>
      </c>
      <c r="F7869">
        <v>69.63333333333334</v>
      </c>
    </row>
    <row r="7870" spans="1:6" x14ac:dyDescent="0.25">
      <c r="A7870" s="1">
        <v>41183</v>
      </c>
      <c r="B7870" t="s">
        <v>20</v>
      </c>
      <c r="C7870" t="s">
        <v>9</v>
      </c>
      <c r="D7870">
        <v>24</v>
      </c>
      <c r="E7870" s="2">
        <v>1.90625E-2</v>
      </c>
      <c r="F7870">
        <v>27.45</v>
      </c>
    </row>
    <row r="7871" spans="1:6" x14ac:dyDescent="0.25">
      <c r="A7871" s="1">
        <v>41183</v>
      </c>
      <c r="B7871" t="s">
        <v>20</v>
      </c>
      <c r="C7871" t="s">
        <v>10</v>
      </c>
      <c r="D7871">
        <v>11</v>
      </c>
      <c r="E7871" s="2">
        <v>1.0092592592592592E-2</v>
      </c>
      <c r="F7871">
        <v>14.533333333333333</v>
      </c>
    </row>
    <row r="7872" spans="1:6" x14ac:dyDescent="0.25">
      <c r="A7872" s="1">
        <v>41183</v>
      </c>
      <c r="B7872" t="s">
        <v>20</v>
      </c>
      <c r="C7872" t="s">
        <v>11</v>
      </c>
      <c r="D7872">
        <v>35</v>
      </c>
      <c r="E7872" s="2">
        <v>2.6469907407407407E-2</v>
      </c>
      <c r="F7872">
        <v>38.116666666666667</v>
      </c>
    </row>
    <row r="7873" spans="1:6" x14ac:dyDescent="0.25">
      <c r="A7873" s="1">
        <v>41183</v>
      </c>
      <c r="B7873" t="s">
        <v>21</v>
      </c>
      <c r="C7873" t="s">
        <v>6</v>
      </c>
      <c r="D7873">
        <v>31</v>
      </c>
      <c r="E7873" s="2">
        <v>3.9872685185185185E-2</v>
      </c>
      <c r="F7873">
        <v>57.416666666666664</v>
      </c>
    </row>
    <row r="7874" spans="1:6" x14ac:dyDescent="0.25">
      <c r="A7874" s="1">
        <v>41183</v>
      </c>
      <c r="B7874" t="s">
        <v>21</v>
      </c>
      <c r="C7874" t="s">
        <v>7</v>
      </c>
      <c r="D7874">
        <v>26</v>
      </c>
      <c r="E7874" s="2">
        <v>3.5648148148148151E-2</v>
      </c>
      <c r="F7874">
        <v>51.333333333333336</v>
      </c>
    </row>
    <row r="7875" spans="1:6" x14ac:dyDescent="0.25">
      <c r="A7875" s="1">
        <v>41183</v>
      </c>
      <c r="B7875" t="s">
        <v>21</v>
      </c>
      <c r="C7875" t="s">
        <v>8</v>
      </c>
      <c r="D7875">
        <v>22</v>
      </c>
      <c r="E7875" s="2">
        <v>2.9189814814814814E-2</v>
      </c>
      <c r="F7875">
        <v>42.033333333333331</v>
      </c>
    </row>
    <row r="7876" spans="1:6" x14ac:dyDescent="0.25">
      <c r="A7876" s="1">
        <v>41183</v>
      </c>
      <c r="B7876" t="s">
        <v>21</v>
      </c>
      <c r="C7876" t="s">
        <v>9</v>
      </c>
      <c r="D7876">
        <v>9</v>
      </c>
      <c r="E7876" s="2">
        <v>8.6689814814814806E-3</v>
      </c>
      <c r="F7876">
        <v>12.483333333333333</v>
      </c>
    </row>
    <row r="7877" spans="1:6" x14ac:dyDescent="0.25">
      <c r="A7877" s="1">
        <v>41183</v>
      </c>
      <c r="B7877" t="s">
        <v>21</v>
      </c>
      <c r="C7877" t="s">
        <v>10</v>
      </c>
      <c r="D7877">
        <v>4</v>
      </c>
      <c r="E7877" s="2">
        <v>4.0162037037037041E-3</v>
      </c>
      <c r="F7877">
        <v>5.7833333333333332</v>
      </c>
    </row>
    <row r="7878" spans="1:6" x14ac:dyDescent="0.25">
      <c r="A7878" s="1">
        <v>41183</v>
      </c>
      <c r="B7878" t="s">
        <v>21</v>
      </c>
      <c r="C7878" t="s">
        <v>11</v>
      </c>
      <c r="D7878">
        <v>22</v>
      </c>
      <c r="E7878" s="2">
        <v>1.9409722222222221E-2</v>
      </c>
      <c r="F7878">
        <v>27.95</v>
      </c>
    </row>
    <row r="7879" spans="1:6" x14ac:dyDescent="0.25">
      <c r="A7879" s="1">
        <v>41183</v>
      </c>
      <c r="B7879" t="s">
        <v>22</v>
      </c>
      <c r="C7879" t="s">
        <v>6</v>
      </c>
      <c r="D7879">
        <v>15</v>
      </c>
      <c r="E7879" s="2">
        <v>2.056712962962963E-2</v>
      </c>
      <c r="F7879">
        <v>29.616666666666667</v>
      </c>
    </row>
    <row r="7880" spans="1:6" x14ac:dyDescent="0.25">
      <c r="A7880" s="1">
        <v>41183</v>
      </c>
      <c r="B7880" t="s">
        <v>22</v>
      </c>
      <c r="C7880" t="s">
        <v>7</v>
      </c>
      <c r="D7880">
        <v>12</v>
      </c>
      <c r="E7880" s="2">
        <v>1.4537037037037038E-2</v>
      </c>
      <c r="F7880">
        <v>20.933333333333334</v>
      </c>
    </row>
    <row r="7881" spans="1:6" x14ac:dyDescent="0.25">
      <c r="A7881" s="1">
        <v>41183</v>
      </c>
      <c r="B7881" t="s">
        <v>22</v>
      </c>
      <c r="C7881" t="s">
        <v>8</v>
      </c>
      <c r="D7881">
        <v>8</v>
      </c>
      <c r="E7881" s="2">
        <v>7.8125E-3</v>
      </c>
      <c r="F7881">
        <v>11.25</v>
      </c>
    </row>
    <row r="7882" spans="1:6" x14ac:dyDescent="0.25">
      <c r="A7882" s="1">
        <v>41183</v>
      </c>
      <c r="B7882" t="s">
        <v>22</v>
      </c>
      <c r="C7882" t="s">
        <v>9</v>
      </c>
      <c r="D7882">
        <v>2</v>
      </c>
      <c r="E7882" s="2">
        <v>9.7222222222222219E-4</v>
      </c>
      <c r="F7882">
        <v>1.4</v>
      </c>
    </row>
    <row r="7883" spans="1:6" x14ac:dyDescent="0.25">
      <c r="A7883" s="1">
        <v>41183</v>
      </c>
      <c r="B7883" t="s">
        <v>22</v>
      </c>
      <c r="C7883" t="s">
        <v>10</v>
      </c>
      <c r="D7883">
        <v>2</v>
      </c>
      <c r="E7883" s="2">
        <v>3.0092592592592593E-3</v>
      </c>
      <c r="F7883">
        <v>4.333333333333333</v>
      </c>
    </row>
    <row r="7884" spans="1:6" x14ac:dyDescent="0.25">
      <c r="A7884" s="1">
        <v>41183</v>
      </c>
      <c r="B7884" t="s">
        <v>22</v>
      </c>
      <c r="C7884" t="s">
        <v>11</v>
      </c>
      <c r="D7884">
        <v>9</v>
      </c>
      <c r="E7884" s="2">
        <v>9.9537037037037042E-3</v>
      </c>
      <c r="F7884">
        <v>14.333333333333334</v>
      </c>
    </row>
    <row r="7885" spans="1:6" x14ac:dyDescent="0.25">
      <c r="A7885" s="1">
        <v>41183</v>
      </c>
      <c r="B7885" t="s">
        <v>23</v>
      </c>
      <c r="C7885" t="s">
        <v>6</v>
      </c>
      <c r="D7885">
        <v>133</v>
      </c>
      <c r="E7885" s="2">
        <v>0.16268518518518518</v>
      </c>
      <c r="F7885">
        <v>234.26666666666668</v>
      </c>
    </row>
    <row r="7886" spans="1:6" x14ac:dyDescent="0.25">
      <c r="A7886" s="1">
        <v>41183</v>
      </c>
      <c r="B7886" t="s">
        <v>23</v>
      </c>
      <c r="C7886" t="s">
        <v>7</v>
      </c>
      <c r="D7886">
        <v>139</v>
      </c>
      <c r="E7886" s="2">
        <v>0.19037037037037038</v>
      </c>
      <c r="F7886">
        <v>274.13333333333333</v>
      </c>
    </row>
    <row r="7887" spans="1:6" x14ac:dyDescent="0.25">
      <c r="A7887" s="1">
        <v>41183</v>
      </c>
      <c r="B7887" t="s">
        <v>23</v>
      </c>
      <c r="C7887" t="s">
        <v>8</v>
      </c>
      <c r="D7887">
        <v>87</v>
      </c>
      <c r="E7887" s="2">
        <v>0.10111111111111111</v>
      </c>
      <c r="F7887">
        <v>145.6</v>
      </c>
    </row>
    <row r="7888" spans="1:6" x14ac:dyDescent="0.25">
      <c r="A7888" s="1">
        <v>41183</v>
      </c>
      <c r="B7888" t="s">
        <v>23</v>
      </c>
      <c r="C7888" t="s">
        <v>9</v>
      </c>
      <c r="D7888">
        <v>72</v>
      </c>
      <c r="E7888" s="2">
        <v>5.019675925925926E-2</v>
      </c>
      <c r="F7888">
        <v>72.283333333333331</v>
      </c>
    </row>
    <row r="7889" spans="1:6" x14ac:dyDescent="0.25">
      <c r="A7889" s="1">
        <v>41183</v>
      </c>
      <c r="B7889" t="s">
        <v>23</v>
      </c>
      <c r="C7889" t="s">
        <v>10</v>
      </c>
      <c r="D7889">
        <v>43</v>
      </c>
      <c r="E7889" s="2">
        <v>5.0868055555555555E-2</v>
      </c>
      <c r="F7889">
        <v>73.25</v>
      </c>
    </row>
    <row r="7890" spans="1:6" x14ac:dyDescent="0.25">
      <c r="A7890" s="1">
        <v>41183</v>
      </c>
      <c r="B7890" t="s">
        <v>23</v>
      </c>
      <c r="C7890" t="s">
        <v>11</v>
      </c>
      <c r="D7890">
        <v>119</v>
      </c>
      <c r="E7890" s="2">
        <v>9.7372685185185187E-2</v>
      </c>
      <c r="F7890">
        <v>140.21666666666667</v>
      </c>
    </row>
    <row r="7891" spans="1:6" x14ac:dyDescent="0.25">
      <c r="A7891" s="1">
        <v>41183</v>
      </c>
      <c r="B7891" t="s">
        <v>24</v>
      </c>
      <c r="C7891" t="s">
        <v>6</v>
      </c>
      <c r="D7891">
        <v>61</v>
      </c>
      <c r="E7891" s="2">
        <v>6.6516203703703702E-2</v>
      </c>
      <c r="F7891">
        <v>95.783333333333331</v>
      </c>
    </row>
    <row r="7892" spans="1:6" x14ac:dyDescent="0.25">
      <c r="A7892" s="1">
        <v>41183</v>
      </c>
      <c r="B7892" t="s">
        <v>24</v>
      </c>
      <c r="C7892" t="s">
        <v>7</v>
      </c>
      <c r="D7892">
        <v>35</v>
      </c>
      <c r="E7892" s="2">
        <v>3.366898148148148E-2</v>
      </c>
      <c r="F7892">
        <v>48.483333333333334</v>
      </c>
    </row>
    <row r="7893" spans="1:6" x14ac:dyDescent="0.25">
      <c r="A7893" s="1">
        <v>41183</v>
      </c>
      <c r="B7893" t="s">
        <v>24</v>
      </c>
      <c r="C7893" t="s">
        <v>8</v>
      </c>
      <c r="D7893">
        <v>23</v>
      </c>
      <c r="E7893" s="2">
        <v>2.0370370370370372E-2</v>
      </c>
      <c r="F7893">
        <v>29.333333333333332</v>
      </c>
    </row>
    <row r="7894" spans="1:6" x14ac:dyDescent="0.25">
      <c r="A7894" s="1">
        <v>41183</v>
      </c>
      <c r="B7894" t="s">
        <v>24</v>
      </c>
      <c r="C7894" t="s">
        <v>9</v>
      </c>
      <c r="D7894">
        <v>17</v>
      </c>
      <c r="E7894" s="2">
        <v>1.1863425925925927E-2</v>
      </c>
      <c r="F7894">
        <v>17.083333333333332</v>
      </c>
    </row>
    <row r="7895" spans="1:6" x14ac:dyDescent="0.25">
      <c r="A7895" s="1">
        <v>41183</v>
      </c>
      <c r="B7895" t="s">
        <v>24</v>
      </c>
      <c r="C7895" t="s">
        <v>10</v>
      </c>
      <c r="D7895">
        <v>1</v>
      </c>
      <c r="E7895" s="2">
        <v>1.6898148148148148E-3</v>
      </c>
      <c r="F7895">
        <v>2.4333333333333336</v>
      </c>
    </row>
    <row r="7896" spans="1:6" x14ac:dyDescent="0.25">
      <c r="A7896" s="1">
        <v>41183</v>
      </c>
      <c r="B7896" t="s">
        <v>24</v>
      </c>
      <c r="C7896" t="s">
        <v>11</v>
      </c>
      <c r="D7896">
        <v>29</v>
      </c>
      <c r="E7896" s="2">
        <v>2.1365740740740741E-2</v>
      </c>
      <c r="F7896">
        <v>30.766666666666666</v>
      </c>
    </row>
    <row r="7897" spans="1:6" x14ac:dyDescent="0.25">
      <c r="A7897" s="1">
        <v>41214</v>
      </c>
      <c r="B7897" t="s">
        <v>5</v>
      </c>
      <c r="C7897" t="s">
        <v>6</v>
      </c>
      <c r="D7897">
        <v>17</v>
      </c>
      <c r="E7897" s="2">
        <v>1.4143518518518519E-2</v>
      </c>
      <c r="F7897">
        <v>20.366666666666667</v>
      </c>
    </row>
    <row r="7898" spans="1:6" x14ac:dyDescent="0.25">
      <c r="A7898" s="1">
        <v>41214</v>
      </c>
      <c r="B7898" t="s">
        <v>5</v>
      </c>
      <c r="C7898" t="s">
        <v>7</v>
      </c>
      <c r="D7898">
        <v>28</v>
      </c>
      <c r="E7898" s="2">
        <v>2.329861111111111E-2</v>
      </c>
      <c r="F7898">
        <v>33.549999999999997</v>
      </c>
    </row>
    <row r="7899" spans="1:6" x14ac:dyDescent="0.25">
      <c r="A7899" s="1">
        <v>41214</v>
      </c>
      <c r="B7899" t="s">
        <v>5</v>
      </c>
      <c r="C7899" t="s">
        <v>8</v>
      </c>
      <c r="D7899">
        <v>15</v>
      </c>
      <c r="E7899" s="2">
        <v>1.0578703703703703E-2</v>
      </c>
      <c r="F7899">
        <v>15.233333333333333</v>
      </c>
    </row>
    <row r="7900" spans="1:6" x14ac:dyDescent="0.25">
      <c r="A7900" s="1">
        <v>41214</v>
      </c>
      <c r="B7900" t="s">
        <v>5</v>
      </c>
      <c r="C7900" t="s">
        <v>9</v>
      </c>
      <c r="D7900">
        <v>4</v>
      </c>
      <c r="E7900" s="2">
        <v>1.9097222222222222E-3</v>
      </c>
      <c r="F7900">
        <v>2.75</v>
      </c>
    </row>
    <row r="7901" spans="1:6" x14ac:dyDescent="0.25">
      <c r="A7901" s="1">
        <v>41214</v>
      </c>
      <c r="B7901" t="s">
        <v>5</v>
      </c>
      <c r="C7901" t="s">
        <v>10</v>
      </c>
      <c r="D7901">
        <v>3</v>
      </c>
      <c r="E7901" s="2">
        <v>5.1273148148148146E-3</v>
      </c>
      <c r="F7901">
        <v>7.3833333333333337</v>
      </c>
    </row>
    <row r="7902" spans="1:6" x14ac:dyDescent="0.25">
      <c r="A7902" s="1">
        <v>41214</v>
      </c>
      <c r="B7902" t="s">
        <v>5</v>
      </c>
      <c r="C7902" t="s">
        <v>11</v>
      </c>
      <c r="D7902">
        <v>19</v>
      </c>
      <c r="E7902" s="2">
        <v>1.1111111111111112E-2</v>
      </c>
      <c r="F7902">
        <v>16</v>
      </c>
    </row>
    <row r="7903" spans="1:6" x14ac:dyDescent="0.25">
      <c r="A7903" s="1">
        <v>41214</v>
      </c>
      <c r="B7903" t="s">
        <v>12</v>
      </c>
      <c r="C7903" t="s">
        <v>6</v>
      </c>
      <c r="D7903">
        <v>46</v>
      </c>
      <c r="E7903" s="2">
        <v>6.0277777777777777E-2</v>
      </c>
      <c r="F7903">
        <v>86.8</v>
      </c>
    </row>
    <row r="7904" spans="1:6" x14ac:dyDescent="0.25">
      <c r="A7904" s="1">
        <v>41214</v>
      </c>
      <c r="B7904" t="s">
        <v>12</v>
      </c>
      <c r="C7904" t="s">
        <v>7</v>
      </c>
      <c r="D7904">
        <v>27</v>
      </c>
      <c r="E7904" s="2">
        <v>3.9317129629629632E-2</v>
      </c>
      <c r="F7904">
        <v>56.616666666666667</v>
      </c>
    </row>
    <row r="7905" spans="1:6" x14ac:dyDescent="0.25">
      <c r="A7905" s="1">
        <v>41214</v>
      </c>
      <c r="B7905" t="s">
        <v>12</v>
      </c>
      <c r="C7905" t="s">
        <v>8</v>
      </c>
      <c r="D7905">
        <v>24</v>
      </c>
      <c r="E7905" s="2">
        <v>3.3657407407407407E-2</v>
      </c>
      <c r="F7905">
        <v>48.466666666666669</v>
      </c>
    </row>
    <row r="7906" spans="1:6" x14ac:dyDescent="0.25">
      <c r="A7906" s="1">
        <v>41214</v>
      </c>
      <c r="B7906" t="s">
        <v>12</v>
      </c>
      <c r="C7906" t="s">
        <v>9</v>
      </c>
      <c r="D7906">
        <v>5</v>
      </c>
      <c r="E7906" s="2">
        <v>2.476851851851852E-3</v>
      </c>
      <c r="F7906">
        <v>3.5666666666666664</v>
      </c>
    </row>
    <row r="7907" spans="1:6" x14ac:dyDescent="0.25">
      <c r="A7907" s="1">
        <v>41214</v>
      </c>
      <c r="B7907" t="s">
        <v>12</v>
      </c>
      <c r="C7907" t="s">
        <v>10</v>
      </c>
      <c r="D7907">
        <v>26</v>
      </c>
      <c r="E7907" s="2">
        <v>4.8912037037037039E-2</v>
      </c>
      <c r="F7907">
        <v>70.433333333333337</v>
      </c>
    </row>
    <row r="7908" spans="1:6" x14ac:dyDescent="0.25">
      <c r="A7908" s="1">
        <v>41214</v>
      </c>
      <c r="B7908" t="s">
        <v>12</v>
      </c>
      <c r="C7908" t="s">
        <v>11</v>
      </c>
      <c r="D7908">
        <v>47</v>
      </c>
      <c r="E7908" s="2">
        <v>5.0798611111111114E-2</v>
      </c>
      <c r="F7908">
        <v>73.150000000000006</v>
      </c>
    </row>
    <row r="7909" spans="1:6" x14ac:dyDescent="0.25">
      <c r="A7909" s="1">
        <v>41214</v>
      </c>
      <c r="B7909" t="s">
        <v>13</v>
      </c>
      <c r="C7909" t="s">
        <v>6</v>
      </c>
      <c r="D7909">
        <v>69</v>
      </c>
      <c r="E7909" s="2">
        <v>8.8414351851851855E-2</v>
      </c>
      <c r="F7909">
        <v>127.31666666666666</v>
      </c>
    </row>
    <row r="7910" spans="1:6" x14ac:dyDescent="0.25">
      <c r="A7910" s="1">
        <v>41214</v>
      </c>
      <c r="B7910" t="s">
        <v>13</v>
      </c>
      <c r="C7910" t="s">
        <v>7</v>
      </c>
      <c r="D7910">
        <v>94</v>
      </c>
      <c r="E7910" s="2">
        <v>0.10697916666666667</v>
      </c>
      <c r="F7910">
        <v>154.05000000000001</v>
      </c>
    </row>
    <row r="7911" spans="1:6" x14ac:dyDescent="0.25">
      <c r="A7911" s="1">
        <v>41214</v>
      </c>
      <c r="B7911" t="s">
        <v>13</v>
      </c>
      <c r="C7911" t="s">
        <v>8</v>
      </c>
      <c r="D7911">
        <v>49</v>
      </c>
      <c r="E7911" s="2">
        <v>5.8657407407407408E-2</v>
      </c>
      <c r="F7911">
        <v>84.466666666666669</v>
      </c>
    </row>
    <row r="7912" spans="1:6" x14ac:dyDescent="0.25">
      <c r="A7912" s="1">
        <v>41214</v>
      </c>
      <c r="B7912" t="s">
        <v>13</v>
      </c>
      <c r="C7912" t="s">
        <v>9</v>
      </c>
      <c r="D7912">
        <v>27</v>
      </c>
      <c r="E7912" s="2">
        <v>2.0833333333333332E-2</v>
      </c>
      <c r="F7912">
        <v>30</v>
      </c>
    </row>
    <row r="7913" spans="1:6" x14ac:dyDescent="0.25">
      <c r="A7913" s="1">
        <v>41214</v>
      </c>
      <c r="B7913" t="s">
        <v>13</v>
      </c>
      <c r="C7913" t="s">
        <v>10</v>
      </c>
      <c r="D7913">
        <v>23</v>
      </c>
      <c r="E7913" s="2">
        <v>3.394675925925926E-2</v>
      </c>
      <c r="F7913">
        <v>48.883333333333333</v>
      </c>
    </row>
    <row r="7914" spans="1:6" x14ac:dyDescent="0.25">
      <c r="A7914" s="1">
        <v>41214</v>
      </c>
      <c r="B7914" t="s">
        <v>13</v>
      </c>
      <c r="C7914" t="s">
        <v>11</v>
      </c>
      <c r="D7914">
        <v>29</v>
      </c>
      <c r="E7914" s="2">
        <v>3.1921296296296295E-2</v>
      </c>
      <c r="F7914">
        <v>45.966666666666669</v>
      </c>
    </row>
    <row r="7915" spans="1:6" x14ac:dyDescent="0.25">
      <c r="A7915" s="1">
        <v>41214</v>
      </c>
      <c r="B7915" t="s">
        <v>14</v>
      </c>
      <c r="C7915" t="s">
        <v>6</v>
      </c>
      <c r="D7915">
        <v>5</v>
      </c>
      <c r="E7915" s="2">
        <v>5.8101851851851856E-3</v>
      </c>
      <c r="F7915">
        <v>8.3666666666666671</v>
      </c>
    </row>
    <row r="7916" spans="1:6" x14ac:dyDescent="0.25">
      <c r="A7916" s="1">
        <v>41214</v>
      </c>
      <c r="B7916" t="s">
        <v>14</v>
      </c>
      <c r="C7916" t="s">
        <v>7</v>
      </c>
      <c r="D7916">
        <v>5</v>
      </c>
      <c r="E7916" s="2">
        <v>5.6481481481481478E-3</v>
      </c>
      <c r="F7916">
        <v>8.1333333333333329</v>
      </c>
    </row>
    <row r="7917" spans="1:6" x14ac:dyDescent="0.25">
      <c r="A7917" s="1">
        <v>41214</v>
      </c>
      <c r="B7917" t="s">
        <v>14</v>
      </c>
      <c r="C7917" t="s">
        <v>8</v>
      </c>
      <c r="D7917">
        <v>5</v>
      </c>
      <c r="E7917" s="2">
        <v>6.5509259259259262E-3</v>
      </c>
      <c r="F7917">
        <v>9.4333333333333336</v>
      </c>
    </row>
    <row r="7918" spans="1:6" x14ac:dyDescent="0.25">
      <c r="A7918" s="1">
        <v>41214</v>
      </c>
      <c r="B7918" t="s">
        <v>14</v>
      </c>
      <c r="C7918" t="s">
        <v>9</v>
      </c>
      <c r="D7918">
        <v>5</v>
      </c>
      <c r="E7918" s="2">
        <v>4.4907407407407405E-3</v>
      </c>
      <c r="F7918">
        <v>6.4666666666666668</v>
      </c>
    </row>
    <row r="7919" spans="1:6" x14ac:dyDescent="0.25">
      <c r="A7919" s="1">
        <v>41214</v>
      </c>
      <c r="B7919" t="s">
        <v>14</v>
      </c>
      <c r="C7919" t="s">
        <v>10</v>
      </c>
      <c r="D7919">
        <v>0</v>
      </c>
      <c r="E7919" s="2">
        <v>0</v>
      </c>
      <c r="F7919">
        <v>0</v>
      </c>
    </row>
    <row r="7920" spans="1:6" x14ac:dyDescent="0.25">
      <c r="A7920" s="1">
        <v>41214</v>
      </c>
      <c r="B7920" t="s">
        <v>14</v>
      </c>
      <c r="C7920" t="s">
        <v>11</v>
      </c>
      <c r="D7920">
        <v>3</v>
      </c>
      <c r="E7920" s="2">
        <v>2.9976851851851853E-3</v>
      </c>
      <c r="F7920">
        <v>4.3166666666666664</v>
      </c>
    </row>
    <row r="7921" spans="1:6" x14ac:dyDescent="0.25">
      <c r="A7921" s="1">
        <v>41214</v>
      </c>
      <c r="B7921" t="s">
        <v>15</v>
      </c>
      <c r="C7921" t="s">
        <v>6</v>
      </c>
      <c r="D7921">
        <v>23</v>
      </c>
      <c r="E7921" s="2">
        <v>2.6944444444444444E-2</v>
      </c>
      <c r="F7921">
        <v>38.799999999999997</v>
      </c>
    </row>
    <row r="7922" spans="1:6" x14ac:dyDescent="0.25">
      <c r="A7922" s="1">
        <v>41214</v>
      </c>
      <c r="B7922" t="s">
        <v>15</v>
      </c>
      <c r="C7922" t="s">
        <v>7</v>
      </c>
      <c r="D7922">
        <v>27</v>
      </c>
      <c r="E7922" s="2">
        <v>3.0856481481481481E-2</v>
      </c>
      <c r="F7922">
        <v>44.43333333333333</v>
      </c>
    </row>
    <row r="7923" spans="1:6" x14ac:dyDescent="0.25">
      <c r="A7923" s="1">
        <v>41214</v>
      </c>
      <c r="B7923" t="s">
        <v>15</v>
      </c>
      <c r="C7923" t="s">
        <v>8</v>
      </c>
      <c r="D7923">
        <v>18</v>
      </c>
      <c r="E7923" s="2">
        <v>1.5902777777777776E-2</v>
      </c>
      <c r="F7923">
        <v>22.9</v>
      </c>
    </row>
    <row r="7924" spans="1:6" x14ac:dyDescent="0.25">
      <c r="A7924" s="1">
        <v>41214</v>
      </c>
      <c r="B7924" t="s">
        <v>15</v>
      </c>
      <c r="C7924" t="s">
        <v>9</v>
      </c>
      <c r="D7924">
        <v>9</v>
      </c>
      <c r="E7924" s="2">
        <v>5.3587962962962964E-3</v>
      </c>
      <c r="F7924">
        <v>7.7166666666666668</v>
      </c>
    </row>
    <row r="7925" spans="1:6" x14ac:dyDescent="0.25">
      <c r="A7925" s="1">
        <v>41214</v>
      </c>
      <c r="B7925" t="s">
        <v>15</v>
      </c>
      <c r="C7925" t="s">
        <v>10</v>
      </c>
      <c r="D7925">
        <v>9</v>
      </c>
      <c r="E7925" s="2">
        <v>9.6643518518518511E-3</v>
      </c>
      <c r="F7925">
        <v>13.916666666666666</v>
      </c>
    </row>
    <row r="7926" spans="1:6" x14ac:dyDescent="0.25">
      <c r="A7926" s="1">
        <v>41214</v>
      </c>
      <c r="B7926" t="s">
        <v>15</v>
      </c>
      <c r="C7926" t="s">
        <v>11</v>
      </c>
      <c r="D7926">
        <v>11</v>
      </c>
      <c r="E7926" s="2">
        <v>7.6388888888888886E-3</v>
      </c>
      <c r="F7926">
        <v>11</v>
      </c>
    </row>
    <row r="7927" spans="1:6" x14ac:dyDescent="0.25">
      <c r="A7927" s="1">
        <v>41214</v>
      </c>
      <c r="B7927" t="s">
        <v>16</v>
      </c>
      <c r="C7927" t="s">
        <v>6</v>
      </c>
      <c r="D7927">
        <v>38</v>
      </c>
      <c r="E7927" s="2">
        <v>3.6134259259259262E-2</v>
      </c>
      <c r="F7927">
        <v>52.033333333333331</v>
      </c>
    </row>
    <row r="7928" spans="1:6" x14ac:dyDescent="0.25">
      <c r="A7928" s="1">
        <v>41214</v>
      </c>
      <c r="B7928" t="s">
        <v>16</v>
      </c>
      <c r="C7928" t="s">
        <v>7</v>
      </c>
      <c r="D7928">
        <v>44</v>
      </c>
      <c r="E7928" s="2">
        <v>4.9212962962962965E-2</v>
      </c>
      <c r="F7928">
        <v>70.86666666666666</v>
      </c>
    </row>
    <row r="7929" spans="1:6" x14ac:dyDescent="0.25">
      <c r="A7929" s="1">
        <v>41214</v>
      </c>
      <c r="B7929" t="s">
        <v>16</v>
      </c>
      <c r="C7929" t="s">
        <v>8</v>
      </c>
      <c r="D7929">
        <v>41</v>
      </c>
      <c r="E7929" s="2">
        <v>3.4953703703703702E-2</v>
      </c>
      <c r="F7929">
        <v>50.333333333333336</v>
      </c>
    </row>
    <row r="7930" spans="1:6" x14ac:dyDescent="0.25">
      <c r="A7930" s="1">
        <v>41214</v>
      </c>
      <c r="B7930" t="s">
        <v>16</v>
      </c>
      <c r="C7930" t="s">
        <v>9</v>
      </c>
      <c r="D7930">
        <v>13</v>
      </c>
      <c r="E7930" s="2">
        <v>1.0115740740740741E-2</v>
      </c>
      <c r="F7930">
        <v>14.566666666666666</v>
      </c>
    </row>
    <row r="7931" spans="1:6" x14ac:dyDescent="0.25">
      <c r="A7931" s="1">
        <v>41214</v>
      </c>
      <c r="B7931" t="s">
        <v>16</v>
      </c>
      <c r="C7931" t="s">
        <v>10</v>
      </c>
      <c r="D7931">
        <v>2</v>
      </c>
      <c r="E7931" s="2">
        <v>1.9212962962962964E-3</v>
      </c>
      <c r="F7931">
        <v>2.7666666666666666</v>
      </c>
    </row>
    <row r="7932" spans="1:6" x14ac:dyDescent="0.25">
      <c r="A7932" s="1">
        <v>41214</v>
      </c>
      <c r="B7932" t="s">
        <v>16</v>
      </c>
      <c r="C7932" t="s">
        <v>11</v>
      </c>
      <c r="D7932">
        <v>52</v>
      </c>
      <c r="E7932" s="2">
        <v>4.1863425925925929E-2</v>
      </c>
      <c r="F7932">
        <v>60.283333333333331</v>
      </c>
    </row>
    <row r="7933" spans="1:6" x14ac:dyDescent="0.25">
      <c r="A7933" s="1">
        <v>41214</v>
      </c>
      <c r="B7933" t="s">
        <v>17</v>
      </c>
      <c r="C7933" t="s">
        <v>6</v>
      </c>
      <c r="D7933">
        <v>11</v>
      </c>
      <c r="E7933" s="2">
        <v>1.170138888888889E-2</v>
      </c>
      <c r="F7933">
        <v>16.850000000000001</v>
      </c>
    </row>
    <row r="7934" spans="1:6" x14ac:dyDescent="0.25">
      <c r="A7934" s="1">
        <v>41214</v>
      </c>
      <c r="B7934" t="s">
        <v>17</v>
      </c>
      <c r="C7934" t="s">
        <v>7</v>
      </c>
      <c r="D7934">
        <v>13</v>
      </c>
      <c r="E7934" s="2">
        <v>1.2430555555555556E-2</v>
      </c>
      <c r="F7934">
        <v>17.899999999999999</v>
      </c>
    </row>
    <row r="7935" spans="1:6" x14ac:dyDescent="0.25">
      <c r="A7935" s="1">
        <v>41214</v>
      </c>
      <c r="B7935" t="s">
        <v>17</v>
      </c>
      <c r="C7935" t="s">
        <v>8</v>
      </c>
      <c r="D7935">
        <v>7</v>
      </c>
      <c r="E7935" s="2">
        <v>7.9629629629629634E-3</v>
      </c>
      <c r="F7935">
        <v>11.466666666666667</v>
      </c>
    </row>
    <row r="7936" spans="1:6" x14ac:dyDescent="0.25">
      <c r="A7936" s="1">
        <v>41214</v>
      </c>
      <c r="B7936" t="s">
        <v>17</v>
      </c>
      <c r="C7936" t="s">
        <v>9</v>
      </c>
      <c r="D7936">
        <v>7</v>
      </c>
      <c r="E7936" s="2">
        <v>4.9652777777777777E-3</v>
      </c>
      <c r="F7936">
        <v>7.15</v>
      </c>
    </row>
    <row r="7937" spans="1:6" x14ac:dyDescent="0.25">
      <c r="A7937" s="1">
        <v>41214</v>
      </c>
      <c r="B7937" t="s">
        <v>17</v>
      </c>
      <c r="C7937" t="s">
        <v>10</v>
      </c>
      <c r="D7937">
        <v>5</v>
      </c>
      <c r="E7937" s="2">
        <v>5.8680555555555552E-3</v>
      </c>
      <c r="F7937">
        <v>8.4499999999999993</v>
      </c>
    </row>
    <row r="7938" spans="1:6" x14ac:dyDescent="0.25">
      <c r="A7938" s="1">
        <v>41214</v>
      </c>
      <c r="B7938" t="s">
        <v>17</v>
      </c>
      <c r="C7938" t="s">
        <v>11</v>
      </c>
      <c r="D7938">
        <v>7</v>
      </c>
      <c r="E7938" s="2">
        <v>6.1574074074074074E-3</v>
      </c>
      <c r="F7938">
        <v>8.8666666666666671</v>
      </c>
    </row>
    <row r="7939" spans="1:6" x14ac:dyDescent="0.25">
      <c r="A7939" s="1">
        <v>41214</v>
      </c>
      <c r="B7939" t="s">
        <v>18</v>
      </c>
      <c r="C7939" t="s">
        <v>6</v>
      </c>
      <c r="D7939">
        <v>97</v>
      </c>
      <c r="E7939" s="2">
        <v>9.9456018518518513E-2</v>
      </c>
      <c r="F7939">
        <v>143.21666666666667</v>
      </c>
    </row>
    <row r="7940" spans="1:6" x14ac:dyDescent="0.25">
      <c r="A7940" s="1">
        <v>41214</v>
      </c>
      <c r="B7940" t="s">
        <v>18</v>
      </c>
      <c r="C7940" t="s">
        <v>7</v>
      </c>
      <c r="D7940">
        <v>115</v>
      </c>
      <c r="E7940" s="2">
        <v>0.10434027777777778</v>
      </c>
      <c r="F7940">
        <v>150.25</v>
      </c>
    </row>
    <row r="7941" spans="1:6" x14ac:dyDescent="0.25">
      <c r="A7941" s="1">
        <v>41214</v>
      </c>
      <c r="B7941" t="s">
        <v>18</v>
      </c>
      <c r="C7941" t="s">
        <v>8</v>
      </c>
      <c r="D7941">
        <v>54</v>
      </c>
      <c r="E7941" s="2">
        <v>5.3726851851851852E-2</v>
      </c>
      <c r="F7941">
        <v>77.36666666666666</v>
      </c>
    </row>
    <row r="7942" spans="1:6" x14ac:dyDescent="0.25">
      <c r="A7942" s="1">
        <v>41214</v>
      </c>
      <c r="B7942" t="s">
        <v>18</v>
      </c>
      <c r="C7942" t="s">
        <v>9</v>
      </c>
      <c r="D7942">
        <v>81</v>
      </c>
      <c r="E7942" s="2">
        <v>5.3634259259259257E-2</v>
      </c>
      <c r="F7942">
        <v>77.233333333333334</v>
      </c>
    </row>
    <row r="7943" spans="1:6" x14ac:dyDescent="0.25">
      <c r="A7943" s="1">
        <v>41214</v>
      </c>
      <c r="B7943" t="s">
        <v>18</v>
      </c>
      <c r="C7943" t="s">
        <v>10</v>
      </c>
      <c r="D7943">
        <v>118</v>
      </c>
      <c r="E7943" s="2">
        <v>0.13386574074074073</v>
      </c>
      <c r="F7943">
        <v>192.76666666666668</v>
      </c>
    </row>
    <row r="7944" spans="1:6" x14ac:dyDescent="0.25">
      <c r="A7944" s="1">
        <v>41214</v>
      </c>
      <c r="B7944" t="s">
        <v>18</v>
      </c>
      <c r="C7944" t="s">
        <v>11</v>
      </c>
      <c r="D7944">
        <v>56</v>
      </c>
      <c r="E7944" s="2">
        <v>4.3460648148148151E-2</v>
      </c>
      <c r="F7944">
        <v>62.583333333333336</v>
      </c>
    </row>
    <row r="7945" spans="1:6" x14ac:dyDescent="0.25">
      <c r="A7945" s="1">
        <v>41214</v>
      </c>
      <c r="B7945" t="s">
        <v>19</v>
      </c>
      <c r="C7945" t="s">
        <v>6</v>
      </c>
      <c r="D7945">
        <v>27</v>
      </c>
      <c r="E7945" s="2">
        <v>2.6631944444444444E-2</v>
      </c>
      <c r="F7945">
        <v>38.35</v>
      </c>
    </row>
    <row r="7946" spans="1:6" x14ac:dyDescent="0.25">
      <c r="A7946" s="1">
        <v>41214</v>
      </c>
      <c r="B7946" t="s">
        <v>19</v>
      </c>
      <c r="C7946" t="s">
        <v>7</v>
      </c>
      <c r="D7946">
        <v>32</v>
      </c>
      <c r="E7946" s="2">
        <v>3.2256944444444442E-2</v>
      </c>
      <c r="F7946">
        <v>46.45</v>
      </c>
    </row>
    <row r="7947" spans="1:6" x14ac:dyDescent="0.25">
      <c r="A7947" s="1">
        <v>41214</v>
      </c>
      <c r="B7947" t="s">
        <v>19</v>
      </c>
      <c r="C7947" t="s">
        <v>8</v>
      </c>
      <c r="D7947">
        <v>27</v>
      </c>
      <c r="E7947" s="2">
        <v>2.7013888888888889E-2</v>
      </c>
      <c r="F7947">
        <v>38.9</v>
      </c>
    </row>
    <row r="7948" spans="1:6" x14ac:dyDescent="0.25">
      <c r="A7948" s="1">
        <v>41214</v>
      </c>
      <c r="B7948" t="s">
        <v>19</v>
      </c>
      <c r="C7948" t="s">
        <v>9</v>
      </c>
      <c r="D7948">
        <v>22</v>
      </c>
      <c r="E7948" s="2">
        <v>1.6770833333333332E-2</v>
      </c>
      <c r="F7948">
        <v>24.15</v>
      </c>
    </row>
    <row r="7949" spans="1:6" x14ac:dyDescent="0.25">
      <c r="A7949" s="1">
        <v>41214</v>
      </c>
      <c r="B7949" t="s">
        <v>19</v>
      </c>
      <c r="C7949" t="s">
        <v>10</v>
      </c>
      <c r="D7949">
        <v>10</v>
      </c>
      <c r="E7949" s="2">
        <v>1.3622685185185186E-2</v>
      </c>
      <c r="F7949">
        <v>19.616666666666667</v>
      </c>
    </row>
    <row r="7950" spans="1:6" x14ac:dyDescent="0.25">
      <c r="A7950" s="1">
        <v>41214</v>
      </c>
      <c r="B7950" t="s">
        <v>19</v>
      </c>
      <c r="C7950" t="s">
        <v>11</v>
      </c>
      <c r="D7950">
        <v>28</v>
      </c>
      <c r="E7950" s="2">
        <v>2.4618055555555556E-2</v>
      </c>
      <c r="F7950">
        <v>35.450000000000003</v>
      </c>
    </row>
    <row r="7951" spans="1:6" x14ac:dyDescent="0.25">
      <c r="A7951" s="1">
        <v>41214</v>
      </c>
      <c r="B7951" t="s">
        <v>20</v>
      </c>
      <c r="C7951" t="s">
        <v>6</v>
      </c>
      <c r="D7951">
        <v>56</v>
      </c>
      <c r="E7951" s="2">
        <v>6.3043981481481479E-2</v>
      </c>
      <c r="F7951">
        <v>90.783333333333331</v>
      </c>
    </row>
    <row r="7952" spans="1:6" x14ac:dyDescent="0.25">
      <c r="A7952" s="1">
        <v>41214</v>
      </c>
      <c r="B7952" t="s">
        <v>20</v>
      </c>
      <c r="C7952" t="s">
        <v>7</v>
      </c>
      <c r="D7952">
        <v>96</v>
      </c>
      <c r="E7952" s="2">
        <v>8.8993055555555561E-2</v>
      </c>
      <c r="F7952">
        <v>128.15</v>
      </c>
    </row>
    <row r="7953" spans="1:6" x14ac:dyDescent="0.25">
      <c r="A7953" s="1">
        <v>41214</v>
      </c>
      <c r="B7953" t="s">
        <v>20</v>
      </c>
      <c r="C7953" t="s">
        <v>8</v>
      </c>
      <c r="D7953">
        <v>63</v>
      </c>
      <c r="E7953" s="2">
        <v>0.16298611111111111</v>
      </c>
      <c r="F7953">
        <v>234.7</v>
      </c>
    </row>
    <row r="7954" spans="1:6" x14ac:dyDescent="0.25">
      <c r="A7954" s="1">
        <v>41214</v>
      </c>
      <c r="B7954" t="s">
        <v>20</v>
      </c>
      <c r="C7954" t="s">
        <v>9</v>
      </c>
      <c r="D7954">
        <v>32</v>
      </c>
      <c r="E7954" s="2">
        <v>2.5381944444444443E-2</v>
      </c>
      <c r="F7954">
        <v>36.549999999999997</v>
      </c>
    </row>
    <row r="7955" spans="1:6" x14ac:dyDescent="0.25">
      <c r="A7955" s="1">
        <v>41214</v>
      </c>
      <c r="B7955" t="s">
        <v>20</v>
      </c>
      <c r="C7955" t="s">
        <v>10</v>
      </c>
      <c r="D7955">
        <v>13</v>
      </c>
      <c r="E7955" s="2">
        <v>1.1620370370370371E-2</v>
      </c>
      <c r="F7955">
        <v>16.733333333333334</v>
      </c>
    </row>
    <row r="7956" spans="1:6" x14ac:dyDescent="0.25">
      <c r="A7956" s="1">
        <v>41214</v>
      </c>
      <c r="B7956" t="s">
        <v>20</v>
      </c>
      <c r="C7956" t="s">
        <v>11</v>
      </c>
      <c r="D7956">
        <v>45</v>
      </c>
      <c r="E7956" s="2">
        <v>3.7210648148148145E-2</v>
      </c>
      <c r="F7956">
        <v>53.583333333333336</v>
      </c>
    </row>
    <row r="7957" spans="1:6" x14ac:dyDescent="0.25">
      <c r="A7957" s="1">
        <v>41214</v>
      </c>
      <c r="B7957" t="s">
        <v>21</v>
      </c>
      <c r="C7957" t="s">
        <v>6</v>
      </c>
      <c r="D7957">
        <v>11</v>
      </c>
      <c r="E7957" s="2">
        <v>1.7511574074074075E-2</v>
      </c>
      <c r="F7957">
        <v>25.216666666666665</v>
      </c>
    </row>
    <row r="7958" spans="1:6" x14ac:dyDescent="0.25">
      <c r="A7958" s="1">
        <v>41214</v>
      </c>
      <c r="B7958" t="s">
        <v>21</v>
      </c>
      <c r="C7958" t="s">
        <v>7</v>
      </c>
      <c r="D7958">
        <v>22</v>
      </c>
      <c r="E7958" s="2">
        <v>3.2430555555555553E-2</v>
      </c>
      <c r="F7958">
        <v>46.7</v>
      </c>
    </row>
    <row r="7959" spans="1:6" x14ac:dyDescent="0.25">
      <c r="A7959" s="1">
        <v>41214</v>
      </c>
      <c r="B7959" t="s">
        <v>21</v>
      </c>
      <c r="C7959" t="s">
        <v>8</v>
      </c>
      <c r="D7959">
        <v>17</v>
      </c>
      <c r="E7959" s="2">
        <v>2.2592592592592591E-2</v>
      </c>
      <c r="F7959">
        <v>32.533333333333331</v>
      </c>
    </row>
    <row r="7960" spans="1:6" x14ac:dyDescent="0.25">
      <c r="A7960" s="1">
        <v>41214</v>
      </c>
      <c r="B7960" t="s">
        <v>21</v>
      </c>
      <c r="C7960" t="s">
        <v>9</v>
      </c>
      <c r="D7960">
        <v>10</v>
      </c>
      <c r="E7960" s="2">
        <v>1.0023148148148147E-2</v>
      </c>
      <c r="F7960">
        <v>14.433333333333334</v>
      </c>
    </row>
    <row r="7961" spans="1:6" x14ac:dyDescent="0.25">
      <c r="A7961" s="1">
        <v>41214</v>
      </c>
      <c r="B7961" t="s">
        <v>21</v>
      </c>
      <c r="C7961" t="s">
        <v>10</v>
      </c>
      <c r="D7961">
        <v>2</v>
      </c>
      <c r="E7961" s="2">
        <v>2.7083333333333334E-3</v>
      </c>
      <c r="F7961">
        <v>3.9</v>
      </c>
    </row>
    <row r="7962" spans="1:6" x14ac:dyDescent="0.25">
      <c r="A7962" s="1">
        <v>41214</v>
      </c>
      <c r="B7962" t="s">
        <v>21</v>
      </c>
      <c r="C7962" t="s">
        <v>11</v>
      </c>
      <c r="D7962">
        <v>13</v>
      </c>
      <c r="E7962" s="2">
        <v>1.7071759259259259E-2</v>
      </c>
      <c r="F7962">
        <v>24.583333333333332</v>
      </c>
    </row>
    <row r="7963" spans="1:6" x14ac:dyDescent="0.25">
      <c r="A7963" s="1">
        <v>41214</v>
      </c>
      <c r="B7963" t="s">
        <v>22</v>
      </c>
      <c r="C7963" t="s">
        <v>6</v>
      </c>
      <c r="D7963">
        <v>8</v>
      </c>
      <c r="E7963" s="2">
        <v>1.1076388888888889E-2</v>
      </c>
      <c r="F7963">
        <v>15.95</v>
      </c>
    </row>
    <row r="7964" spans="1:6" x14ac:dyDescent="0.25">
      <c r="A7964" s="1">
        <v>41214</v>
      </c>
      <c r="B7964" t="s">
        <v>22</v>
      </c>
      <c r="C7964" t="s">
        <v>7</v>
      </c>
      <c r="D7964">
        <v>5</v>
      </c>
      <c r="E7964" s="2">
        <v>1.037037037037037E-2</v>
      </c>
      <c r="F7964">
        <v>14.933333333333334</v>
      </c>
    </row>
    <row r="7965" spans="1:6" x14ac:dyDescent="0.25">
      <c r="A7965" s="1">
        <v>41214</v>
      </c>
      <c r="B7965" t="s">
        <v>22</v>
      </c>
      <c r="C7965" t="s">
        <v>8</v>
      </c>
      <c r="D7965">
        <v>4</v>
      </c>
      <c r="E7965" s="2">
        <v>4.3981481481481484E-3</v>
      </c>
      <c r="F7965">
        <v>6.333333333333333</v>
      </c>
    </row>
    <row r="7966" spans="1:6" x14ac:dyDescent="0.25">
      <c r="A7966" s="1">
        <v>41214</v>
      </c>
      <c r="B7966" t="s">
        <v>22</v>
      </c>
      <c r="C7966" t="s">
        <v>9</v>
      </c>
      <c r="D7966">
        <v>6</v>
      </c>
      <c r="E7966" s="2">
        <v>3.3333333333333335E-3</v>
      </c>
      <c r="F7966">
        <v>4.8</v>
      </c>
    </row>
    <row r="7967" spans="1:6" x14ac:dyDescent="0.25">
      <c r="A7967" s="1">
        <v>41214</v>
      </c>
      <c r="B7967" t="s">
        <v>22</v>
      </c>
      <c r="C7967" t="s">
        <v>10</v>
      </c>
      <c r="D7967">
        <v>0</v>
      </c>
      <c r="E7967" s="2">
        <v>0</v>
      </c>
      <c r="F7967">
        <v>0</v>
      </c>
    </row>
    <row r="7968" spans="1:6" x14ac:dyDescent="0.25">
      <c r="A7968" s="1">
        <v>41214</v>
      </c>
      <c r="B7968" t="s">
        <v>22</v>
      </c>
      <c r="C7968" t="s">
        <v>11</v>
      </c>
      <c r="D7968">
        <v>5</v>
      </c>
      <c r="E7968" s="2">
        <v>5.0462962962962961E-3</v>
      </c>
      <c r="F7968">
        <v>7.2666666666666666</v>
      </c>
    </row>
    <row r="7969" spans="1:6" x14ac:dyDescent="0.25">
      <c r="A7969" s="1">
        <v>41214</v>
      </c>
      <c r="B7969" t="s">
        <v>23</v>
      </c>
      <c r="C7969" t="s">
        <v>6</v>
      </c>
      <c r="D7969">
        <v>111</v>
      </c>
      <c r="E7969" s="2">
        <v>0.13351851851851851</v>
      </c>
      <c r="F7969">
        <v>192.26666666666668</v>
      </c>
    </row>
    <row r="7970" spans="1:6" x14ac:dyDescent="0.25">
      <c r="A7970" s="1">
        <v>41214</v>
      </c>
      <c r="B7970" t="s">
        <v>23</v>
      </c>
      <c r="C7970" t="s">
        <v>7</v>
      </c>
      <c r="D7970">
        <v>136</v>
      </c>
      <c r="E7970" s="2">
        <v>0.18258101851851852</v>
      </c>
      <c r="F7970">
        <v>262.91666666666669</v>
      </c>
    </row>
    <row r="7971" spans="1:6" x14ac:dyDescent="0.25">
      <c r="A7971" s="1">
        <v>41214</v>
      </c>
      <c r="B7971" t="s">
        <v>23</v>
      </c>
      <c r="C7971" t="s">
        <v>8</v>
      </c>
      <c r="D7971">
        <v>72</v>
      </c>
      <c r="E7971" s="2">
        <v>8.0902777777777782E-2</v>
      </c>
      <c r="F7971">
        <v>116.5</v>
      </c>
    </row>
    <row r="7972" spans="1:6" x14ac:dyDescent="0.25">
      <c r="A7972" s="1">
        <v>41214</v>
      </c>
      <c r="B7972" t="s">
        <v>23</v>
      </c>
      <c r="C7972" t="s">
        <v>9</v>
      </c>
      <c r="D7972">
        <v>69</v>
      </c>
      <c r="E7972" s="2">
        <v>5.3749999999999999E-2</v>
      </c>
      <c r="F7972">
        <v>77.400000000000006</v>
      </c>
    </row>
    <row r="7973" spans="1:6" x14ac:dyDescent="0.25">
      <c r="A7973" s="1">
        <v>41214</v>
      </c>
      <c r="B7973" t="s">
        <v>23</v>
      </c>
      <c r="C7973" t="s">
        <v>10</v>
      </c>
      <c r="D7973">
        <v>35</v>
      </c>
      <c r="E7973" s="2">
        <v>4.6226851851851852E-2</v>
      </c>
      <c r="F7973">
        <v>66.566666666666663</v>
      </c>
    </row>
    <row r="7974" spans="1:6" x14ac:dyDescent="0.25">
      <c r="A7974" s="1">
        <v>41214</v>
      </c>
      <c r="B7974" t="s">
        <v>23</v>
      </c>
      <c r="C7974" t="s">
        <v>11</v>
      </c>
      <c r="D7974">
        <v>92</v>
      </c>
      <c r="E7974" s="2">
        <v>8.0474537037037039E-2</v>
      </c>
      <c r="F7974">
        <v>115.88333333333334</v>
      </c>
    </row>
    <row r="7975" spans="1:6" x14ac:dyDescent="0.25">
      <c r="A7975" s="1">
        <v>41214</v>
      </c>
      <c r="B7975" t="s">
        <v>24</v>
      </c>
      <c r="C7975" t="s">
        <v>6</v>
      </c>
      <c r="D7975">
        <v>46</v>
      </c>
      <c r="E7975" s="2">
        <v>4.6886574074074074E-2</v>
      </c>
      <c r="F7975">
        <v>67.516666666666666</v>
      </c>
    </row>
    <row r="7976" spans="1:6" x14ac:dyDescent="0.25">
      <c r="A7976" s="1">
        <v>41214</v>
      </c>
      <c r="B7976" t="s">
        <v>24</v>
      </c>
      <c r="C7976" t="s">
        <v>7</v>
      </c>
      <c r="D7976">
        <v>32</v>
      </c>
      <c r="E7976" s="2">
        <v>2.78125E-2</v>
      </c>
      <c r="F7976">
        <v>40.049999999999997</v>
      </c>
    </row>
    <row r="7977" spans="1:6" x14ac:dyDescent="0.25">
      <c r="A7977" s="1">
        <v>41214</v>
      </c>
      <c r="B7977" t="s">
        <v>24</v>
      </c>
      <c r="C7977" t="s">
        <v>8</v>
      </c>
      <c r="D7977">
        <v>27</v>
      </c>
      <c r="E7977" s="2">
        <v>1.5972222222222221E-2</v>
      </c>
      <c r="F7977">
        <v>23</v>
      </c>
    </row>
    <row r="7978" spans="1:6" x14ac:dyDescent="0.25">
      <c r="A7978" s="1">
        <v>41214</v>
      </c>
      <c r="B7978" t="s">
        <v>24</v>
      </c>
      <c r="C7978" t="s">
        <v>9</v>
      </c>
      <c r="D7978">
        <v>12</v>
      </c>
      <c r="E7978" s="2">
        <v>8.7152777777777784E-3</v>
      </c>
      <c r="F7978">
        <v>12.55</v>
      </c>
    </row>
    <row r="7979" spans="1:6" x14ac:dyDescent="0.25">
      <c r="A7979" s="1">
        <v>41214</v>
      </c>
      <c r="B7979" t="s">
        <v>24</v>
      </c>
      <c r="C7979" t="s">
        <v>10</v>
      </c>
      <c r="D7979">
        <v>0</v>
      </c>
      <c r="E7979" s="2">
        <v>0</v>
      </c>
      <c r="F7979">
        <v>0</v>
      </c>
    </row>
    <row r="7980" spans="1:6" x14ac:dyDescent="0.25">
      <c r="A7980" s="1">
        <v>41214</v>
      </c>
      <c r="B7980" t="s">
        <v>24</v>
      </c>
      <c r="C7980" t="s">
        <v>11</v>
      </c>
      <c r="D7980">
        <v>26</v>
      </c>
      <c r="E7980" s="2">
        <v>1.6724537037037038E-2</v>
      </c>
      <c r="F7980">
        <v>24.083333333333332</v>
      </c>
    </row>
    <row r="7981" spans="1:6" x14ac:dyDescent="0.25">
      <c r="A7981" s="1">
        <v>41244</v>
      </c>
      <c r="B7981" t="s">
        <v>5</v>
      </c>
      <c r="C7981" t="s">
        <v>6</v>
      </c>
      <c r="D7981">
        <v>27</v>
      </c>
      <c r="E7981" s="2">
        <v>2.6377314814814815E-2</v>
      </c>
      <c r="F7981">
        <v>37.983333333333334</v>
      </c>
    </row>
    <row r="7982" spans="1:6" x14ac:dyDescent="0.25">
      <c r="A7982" s="1">
        <v>41244</v>
      </c>
      <c r="B7982" t="s">
        <v>5</v>
      </c>
      <c r="C7982" t="s">
        <v>7</v>
      </c>
      <c r="D7982">
        <v>36</v>
      </c>
      <c r="E7982" s="2">
        <v>2.508101851851852E-2</v>
      </c>
      <c r="F7982">
        <v>36.116666666666667</v>
      </c>
    </row>
    <row r="7983" spans="1:6" x14ac:dyDescent="0.25">
      <c r="A7983" s="1">
        <v>41244</v>
      </c>
      <c r="B7983" t="s">
        <v>5</v>
      </c>
      <c r="C7983" t="s">
        <v>8</v>
      </c>
      <c r="D7983">
        <v>19</v>
      </c>
      <c r="E7983" s="2">
        <v>1.4953703703703703E-2</v>
      </c>
      <c r="F7983">
        <v>21.533333333333335</v>
      </c>
    </row>
    <row r="7984" spans="1:6" x14ac:dyDescent="0.25">
      <c r="A7984" s="1">
        <v>41244</v>
      </c>
      <c r="B7984" t="s">
        <v>5</v>
      </c>
      <c r="C7984" t="s">
        <v>9</v>
      </c>
      <c r="D7984">
        <v>12</v>
      </c>
      <c r="E7984" s="2">
        <v>7.0949074074074074E-3</v>
      </c>
      <c r="F7984">
        <v>10.216666666666667</v>
      </c>
    </row>
    <row r="7985" spans="1:6" x14ac:dyDescent="0.25">
      <c r="A7985" s="1">
        <v>41244</v>
      </c>
      <c r="B7985" t="s">
        <v>5</v>
      </c>
      <c r="C7985" t="s">
        <v>10</v>
      </c>
      <c r="D7985">
        <v>4</v>
      </c>
      <c r="E7985" s="2">
        <v>4.6296296296296294E-3</v>
      </c>
      <c r="F7985">
        <v>6.666666666666667</v>
      </c>
    </row>
    <row r="7986" spans="1:6" x14ac:dyDescent="0.25">
      <c r="A7986" s="1">
        <v>41244</v>
      </c>
      <c r="B7986" t="s">
        <v>5</v>
      </c>
      <c r="C7986" t="s">
        <v>11</v>
      </c>
      <c r="D7986">
        <v>18</v>
      </c>
      <c r="E7986" s="2">
        <v>1.3472222222222222E-2</v>
      </c>
      <c r="F7986">
        <v>19.399999999999999</v>
      </c>
    </row>
    <row r="7987" spans="1:6" x14ac:dyDescent="0.25">
      <c r="A7987" s="1">
        <v>41244</v>
      </c>
      <c r="B7987" t="s">
        <v>12</v>
      </c>
      <c r="C7987" t="s">
        <v>6</v>
      </c>
      <c r="D7987">
        <v>63</v>
      </c>
      <c r="E7987" s="2">
        <v>7.7777777777777779E-2</v>
      </c>
      <c r="F7987">
        <v>112</v>
      </c>
    </row>
    <row r="7988" spans="1:6" x14ac:dyDescent="0.25">
      <c r="A7988" s="1">
        <v>41244</v>
      </c>
      <c r="B7988" t="s">
        <v>12</v>
      </c>
      <c r="C7988" t="s">
        <v>7</v>
      </c>
      <c r="D7988">
        <v>50</v>
      </c>
      <c r="E7988" s="2">
        <v>7.1874999999999994E-2</v>
      </c>
      <c r="F7988">
        <v>103.5</v>
      </c>
    </row>
    <row r="7989" spans="1:6" x14ac:dyDescent="0.25">
      <c r="A7989" s="1">
        <v>41244</v>
      </c>
      <c r="B7989" t="s">
        <v>12</v>
      </c>
      <c r="C7989" t="s">
        <v>8</v>
      </c>
      <c r="D7989">
        <v>37</v>
      </c>
      <c r="E7989" s="2">
        <v>4.2534722222222224E-2</v>
      </c>
      <c r="F7989">
        <v>61.25</v>
      </c>
    </row>
    <row r="7990" spans="1:6" x14ac:dyDescent="0.25">
      <c r="A7990" s="1">
        <v>41244</v>
      </c>
      <c r="B7990" t="s">
        <v>12</v>
      </c>
      <c r="C7990" t="s">
        <v>9</v>
      </c>
      <c r="D7990">
        <v>5</v>
      </c>
      <c r="E7990" s="2">
        <v>4.6527777777777774E-3</v>
      </c>
      <c r="F7990">
        <v>6.7</v>
      </c>
    </row>
    <row r="7991" spans="1:6" x14ac:dyDescent="0.25">
      <c r="A7991" s="1">
        <v>41244</v>
      </c>
      <c r="B7991" t="s">
        <v>12</v>
      </c>
      <c r="C7991" t="s">
        <v>10</v>
      </c>
      <c r="D7991">
        <v>23</v>
      </c>
      <c r="E7991" s="2">
        <v>4.2152777777777775E-2</v>
      </c>
      <c r="F7991">
        <v>60.7</v>
      </c>
    </row>
    <row r="7992" spans="1:6" x14ac:dyDescent="0.25">
      <c r="A7992" s="1">
        <v>41244</v>
      </c>
      <c r="B7992" t="s">
        <v>12</v>
      </c>
      <c r="C7992" t="s">
        <v>11</v>
      </c>
      <c r="D7992">
        <v>51</v>
      </c>
      <c r="E7992" s="2">
        <v>5.7592592592592591E-2</v>
      </c>
      <c r="F7992">
        <v>82.933333333333337</v>
      </c>
    </row>
    <row r="7993" spans="1:6" x14ac:dyDescent="0.25">
      <c r="A7993" s="1">
        <v>41244</v>
      </c>
      <c r="B7993" t="s">
        <v>13</v>
      </c>
      <c r="C7993" t="s">
        <v>6</v>
      </c>
      <c r="D7993">
        <v>64</v>
      </c>
      <c r="E7993" s="2">
        <v>9.0925925925925924E-2</v>
      </c>
      <c r="F7993">
        <v>130.93333333333334</v>
      </c>
    </row>
    <row r="7994" spans="1:6" x14ac:dyDescent="0.25">
      <c r="A7994" s="1">
        <v>41244</v>
      </c>
      <c r="B7994" t="s">
        <v>13</v>
      </c>
      <c r="C7994" t="s">
        <v>7</v>
      </c>
      <c r="D7994">
        <v>93</v>
      </c>
      <c r="E7994" s="2">
        <v>0.11928240740740741</v>
      </c>
      <c r="F7994">
        <v>171.76666666666668</v>
      </c>
    </row>
    <row r="7995" spans="1:6" x14ac:dyDescent="0.25">
      <c r="A7995" s="1">
        <v>41244</v>
      </c>
      <c r="B7995" t="s">
        <v>13</v>
      </c>
      <c r="C7995" t="s">
        <v>8</v>
      </c>
      <c r="D7995">
        <v>52</v>
      </c>
      <c r="E7995" s="2">
        <v>6.5000000000000002E-2</v>
      </c>
      <c r="F7995">
        <v>93.6</v>
      </c>
    </row>
    <row r="7996" spans="1:6" x14ac:dyDescent="0.25">
      <c r="A7996" s="1">
        <v>41244</v>
      </c>
      <c r="B7996" t="s">
        <v>13</v>
      </c>
      <c r="C7996" t="s">
        <v>9</v>
      </c>
      <c r="D7996">
        <v>39</v>
      </c>
      <c r="E7996" s="2">
        <v>3.3148148148148149E-2</v>
      </c>
      <c r="F7996">
        <v>47.733333333333334</v>
      </c>
    </row>
    <row r="7997" spans="1:6" x14ac:dyDescent="0.25">
      <c r="A7997" s="1">
        <v>41244</v>
      </c>
      <c r="B7997" t="s">
        <v>13</v>
      </c>
      <c r="C7997" t="s">
        <v>10</v>
      </c>
      <c r="D7997">
        <v>19</v>
      </c>
      <c r="E7997" s="2">
        <v>2.537037037037037E-2</v>
      </c>
      <c r="F7997">
        <v>36.533333333333331</v>
      </c>
    </row>
    <row r="7998" spans="1:6" x14ac:dyDescent="0.25">
      <c r="A7998" s="1">
        <v>41244</v>
      </c>
      <c r="B7998" t="s">
        <v>13</v>
      </c>
      <c r="C7998" t="s">
        <v>11</v>
      </c>
      <c r="D7998">
        <v>41</v>
      </c>
      <c r="E7998" s="2">
        <v>4.0775462962962965E-2</v>
      </c>
      <c r="F7998">
        <v>58.716666666666669</v>
      </c>
    </row>
    <row r="7999" spans="1:6" x14ac:dyDescent="0.25">
      <c r="A7999" s="1">
        <v>41244</v>
      </c>
      <c r="B7999" t="s">
        <v>14</v>
      </c>
      <c r="C7999" t="s">
        <v>6</v>
      </c>
      <c r="D7999">
        <v>8</v>
      </c>
      <c r="E7999" s="2">
        <v>1.2094907407407407E-2</v>
      </c>
      <c r="F7999">
        <v>17.416666666666668</v>
      </c>
    </row>
    <row r="8000" spans="1:6" x14ac:dyDescent="0.25">
      <c r="A8000" s="1">
        <v>41244</v>
      </c>
      <c r="B8000" t="s">
        <v>14</v>
      </c>
      <c r="C8000" t="s">
        <v>7</v>
      </c>
      <c r="D8000">
        <v>14</v>
      </c>
      <c r="E8000" s="2">
        <v>2.5173611111111112E-2</v>
      </c>
      <c r="F8000">
        <v>36.25</v>
      </c>
    </row>
    <row r="8001" spans="1:6" x14ac:dyDescent="0.25">
      <c r="A8001" s="1">
        <v>41244</v>
      </c>
      <c r="B8001" t="s">
        <v>14</v>
      </c>
      <c r="C8001" t="s">
        <v>8</v>
      </c>
      <c r="D8001">
        <v>10</v>
      </c>
      <c r="E8001" s="2">
        <v>1.5358796296296296E-2</v>
      </c>
      <c r="F8001">
        <v>22.116666666666667</v>
      </c>
    </row>
    <row r="8002" spans="1:6" x14ac:dyDescent="0.25">
      <c r="A8002" s="1">
        <v>41244</v>
      </c>
      <c r="B8002" t="s">
        <v>14</v>
      </c>
      <c r="C8002" t="s">
        <v>9</v>
      </c>
      <c r="D8002">
        <v>7</v>
      </c>
      <c r="E8002" s="2">
        <v>4.2824074074074075E-3</v>
      </c>
      <c r="F8002">
        <v>6.166666666666667</v>
      </c>
    </row>
    <row r="8003" spans="1:6" x14ac:dyDescent="0.25">
      <c r="A8003" s="1">
        <v>41244</v>
      </c>
      <c r="B8003" t="s">
        <v>14</v>
      </c>
      <c r="C8003" t="s">
        <v>10</v>
      </c>
      <c r="D8003">
        <v>1</v>
      </c>
      <c r="E8003" s="2">
        <v>1.7824074074074075E-3</v>
      </c>
      <c r="F8003">
        <v>2.5666666666666664</v>
      </c>
    </row>
    <row r="8004" spans="1:6" x14ac:dyDescent="0.25">
      <c r="A8004" s="1">
        <v>41244</v>
      </c>
      <c r="B8004" t="s">
        <v>14</v>
      </c>
      <c r="C8004" t="s">
        <v>11</v>
      </c>
      <c r="D8004">
        <v>9</v>
      </c>
      <c r="E8004" s="2">
        <v>8.9351851851851849E-3</v>
      </c>
      <c r="F8004">
        <v>12.866666666666667</v>
      </c>
    </row>
    <row r="8005" spans="1:6" x14ac:dyDescent="0.25">
      <c r="A8005" s="1">
        <v>41244</v>
      </c>
      <c r="B8005" t="s">
        <v>15</v>
      </c>
      <c r="C8005" t="s">
        <v>6</v>
      </c>
      <c r="D8005">
        <v>23</v>
      </c>
      <c r="E8005" s="2">
        <v>2.2835648148148147E-2</v>
      </c>
      <c r="F8005">
        <v>32.883333333333333</v>
      </c>
    </row>
    <row r="8006" spans="1:6" x14ac:dyDescent="0.25">
      <c r="A8006" s="1">
        <v>41244</v>
      </c>
      <c r="B8006" t="s">
        <v>15</v>
      </c>
      <c r="C8006" t="s">
        <v>7</v>
      </c>
      <c r="D8006">
        <v>25</v>
      </c>
      <c r="E8006" s="2">
        <v>2.4305555555555556E-2</v>
      </c>
      <c r="F8006">
        <v>35</v>
      </c>
    </row>
    <row r="8007" spans="1:6" x14ac:dyDescent="0.25">
      <c r="A8007" s="1">
        <v>41244</v>
      </c>
      <c r="B8007" t="s">
        <v>15</v>
      </c>
      <c r="C8007" t="s">
        <v>8</v>
      </c>
      <c r="D8007">
        <v>18</v>
      </c>
      <c r="E8007" s="2">
        <v>1.6979166666666667E-2</v>
      </c>
      <c r="F8007">
        <v>24.45</v>
      </c>
    </row>
    <row r="8008" spans="1:6" x14ac:dyDescent="0.25">
      <c r="A8008" s="1">
        <v>41244</v>
      </c>
      <c r="B8008" t="s">
        <v>15</v>
      </c>
      <c r="C8008" t="s">
        <v>9</v>
      </c>
      <c r="D8008">
        <v>9</v>
      </c>
      <c r="E8008" s="2">
        <v>3.9814814814814817E-3</v>
      </c>
      <c r="F8008">
        <v>5.7333333333333334</v>
      </c>
    </row>
    <row r="8009" spans="1:6" x14ac:dyDescent="0.25">
      <c r="A8009" s="1">
        <v>41244</v>
      </c>
      <c r="B8009" t="s">
        <v>15</v>
      </c>
      <c r="C8009" t="s">
        <v>10</v>
      </c>
      <c r="D8009">
        <v>14</v>
      </c>
      <c r="E8009" s="2">
        <v>1.5150462962962963E-2</v>
      </c>
      <c r="F8009">
        <v>21.816666666666666</v>
      </c>
    </row>
    <row r="8010" spans="1:6" x14ac:dyDescent="0.25">
      <c r="A8010" s="1">
        <v>41244</v>
      </c>
      <c r="B8010" t="s">
        <v>15</v>
      </c>
      <c r="C8010" t="s">
        <v>11</v>
      </c>
      <c r="D8010">
        <v>12</v>
      </c>
      <c r="E8010" s="2">
        <v>9.0509259259259258E-3</v>
      </c>
      <c r="F8010">
        <v>13.033333333333333</v>
      </c>
    </row>
    <row r="8011" spans="1:6" x14ac:dyDescent="0.25">
      <c r="A8011" s="1">
        <v>41244</v>
      </c>
      <c r="B8011" t="s">
        <v>16</v>
      </c>
      <c r="C8011" t="s">
        <v>6</v>
      </c>
      <c r="D8011">
        <v>49</v>
      </c>
      <c r="E8011" s="2">
        <v>5.3715277777777778E-2</v>
      </c>
      <c r="F8011">
        <v>77.349999999999994</v>
      </c>
    </row>
    <row r="8012" spans="1:6" x14ac:dyDescent="0.25">
      <c r="A8012" s="1">
        <v>41244</v>
      </c>
      <c r="B8012" t="s">
        <v>16</v>
      </c>
      <c r="C8012" t="s">
        <v>7</v>
      </c>
      <c r="D8012">
        <v>48</v>
      </c>
      <c r="E8012" s="2">
        <v>4.5162037037037035E-2</v>
      </c>
      <c r="F8012">
        <v>65.033333333333331</v>
      </c>
    </row>
    <row r="8013" spans="1:6" x14ac:dyDescent="0.25">
      <c r="A8013" s="1">
        <v>41244</v>
      </c>
      <c r="B8013" t="s">
        <v>16</v>
      </c>
      <c r="C8013" t="s">
        <v>8</v>
      </c>
      <c r="D8013">
        <v>36</v>
      </c>
      <c r="E8013" s="2">
        <v>2.9224537037037038E-2</v>
      </c>
      <c r="F8013">
        <v>42.083333333333336</v>
      </c>
    </row>
    <row r="8014" spans="1:6" x14ac:dyDescent="0.25">
      <c r="A8014" s="1">
        <v>41244</v>
      </c>
      <c r="B8014" t="s">
        <v>16</v>
      </c>
      <c r="C8014" t="s">
        <v>9</v>
      </c>
      <c r="D8014">
        <v>13</v>
      </c>
      <c r="E8014" s="2">
        <v>7.1527777777777779E-3</v>
      </c>
      <c r="F8014">
        <v>10.3</v>
      </c>
    </row>
    <row r="8015" spans="1:6" x14ac:dyDescent="0.25">
      <c r="A8015" s="1">
        <v>41244</v>
      </c>
      <c r="B8015" t="s">
        <v>16</v>
      </c>
      <c r="C8015" t="s">
        <v>10</v>
      </c>
      <c r="D8015">
        <v>7</v>
      </c>
      <c r="E8015" s="2">
        <v>6.6550925925925927E-3</v>
      </c>
      <c r="F8015">
        <v>9.5833333333333339</v>
      </c>
    </row>
    <row r="8016" spans="1:6" x14ac:dyDescent="0.25">
      <c r="A8016" s="1">
        <v>41244</v>
      </c>
      <c r="B8016" t="s">
        <v>16</v>
      </c>
      <c r="C8016" t="s">
        <v>11</v>
      </c>
      <c r="D8016">
        <v>53</v>
      </c>
      <c r="E8016" s="2">
        <v>4.4212962962962961E-2</v>
      </c>
      <c r="F8016">
        <v>63.666666666666664</v>
      </c>
    </row>
    <row r="8017" spans="1:6" x14ac:dyDescent="0.25">
      <c r="A8017" s="1">
        <v>41244</v>
      </c>
      <c r="B8017" t="s">
        <v>17</v>
      </c>
      <c r="C8017" t="s">
        <v>6</v>
      </c>
      <c r="D8017">
        <v>7</v>
      </c>
      <c r="E8017" s="2">
        <v>4.4444444444444444E-3</v>
      </c>
      <c r="F8017">
        <v>6.4</v>
      </c>
    </row>
    <row r="8018" spans="1:6" x14ac:dyDescent="0.25">
      <c r="A8018" s="1">
        <v>41244</v>
      </c>
      <c r="B8018" t="s">
        <v>17</v>
      </c>
      <c r="C8018" t="s">
        <v>7</v>
      </c>
      <c r="D8018">
        <v>6</v>
      </c>
      <c r="E8018" s="2">
        <v>8.5069444444444437E-3</v>
      </c>
      <c r="F8018">
        <v>12.25</v>
      </c>
    </row>
    <row r="8019" spans="1:6" x14ac:dyDescent="0.25">
      <c r="A8019" s="1">
        <v>41244</v>
      </c>
      <c r="B8019" t="s">
        <v>17</v>
      </c>
      <c r="C8019" t="s">
        <v>8</v>
      </c>
      <c r="D8019">
        <v>4</v>
      </c>
      <c r="E8019" s="2">
        <v>3.8541666666666668E-3</v>
      </c>
      <c r="F8019">
        <v>5.55</v>
      </c>
    </row>
    <row r="8020" spans="1:6" x14ac:dyDescent="0.25">
      <c r="A8020" s="1">
        <v>41244</v>
      </c>
      <c r="B8020" t="s">
        <v>17</v>
      </c>
      <c r="C8020" t="s">
        <v>9</v>
      </c>
      <c r="D8020">
        <v>3</v>
      </c>
      <c r="E8020" s="2">
        <v>2.8009259259259259E-3</v>
      </c>
      <c r="F8020">
        <v>4.0333333333333332</v>
      </c>
    </row>
    <row r="8021" spans="1:6" x14ac:dyDescent="0.25">
      <c r="A8021" s="1">
        <v>41244</v>
      </c>
      <c r="B8021" t="s">
        <v>17</v>
      </c>
      <c r="C8021" t="s">
        <v>10</v>
      </c>
      <c r="D8021">
        <v>7</v>
      </c>
      <c r="E8021" s="2">
        <v>9.2708333333333341E-3</v>
      </c>
      <c r="F8021">
        <v>13.35</v>
      </c>
    </row>
    <row r="8022" spans="1:6" x14ac:dyDescent="0.25">
      <c r="A8022" s="1">
        <v>41244</v>
      </c>
      <c r="B8022" t="s">
        <v>17</v>
      </c>
      <c r="C8022" t="s">
        <v>11</v>
      </c>
      <c r="D8022">
        <v>5</v>
      </c>
      <c r="E8022" s="2">
        <v>4.7106481481481478E-3</v>
      </c>
      <c r="F8022">
        <v>6.7833333333333332</v>
      </c>
    </row>
    <row r="8023" spans="1:6" x14ac:dyDescent="0.25">
      <c r="A8023" s="1">
        <v>41244</v>
      </c>
      <c r="B8023" t="s">
        <v>18</v>
      </c>
      <c r="C8023" t="s">
        <v>6</v>
      </c>
      <c r="D8023">
        <v>45</v>
      </c>
      <c r="E8023" s="2">
        <v>4.8101851851851854E-2</v>
      </c>
      <c r="F8023">
        <v>69.266666666666666</v>
      </c>
    </row>
    <row r="8024" spans="1:6" x14ac:dyDescent="0.25">
      <c r="A8024" s="1">
        <v>41244</v>
      </c>
      <c r="B8024" t="s">
        <v>18</v>
      </c>
      <c r="C8024" t="s">
        <v>7</v>
      </c>
      <c r="D8024">
        <v>83</v>
      </c>
      <c r="E8024" s="2">
        <v>6.9965277777777779E-2</v>
      </c>
      <c r="F8024">
        <v>100.75</v>
      </c>
    </row>
    <row r="8025" spans="1:6" x14ac:dyDescent="0.25">
      <c r="A8025" s="1">
        <v>41244</v>
      </c>
      <c r="B8025" t="s">
        <v>18</v>
      </c>
      <c r="C8025" t="s">
        <v>8</v>
      </c>
      <c r="D8025">
        <v>50</v>
      </c>
      <c r="E8025" s="2">
        <v>4.4131944444444446E-2</v>
      </c>
      <c r="F8025">
        <v>63.55</v>
      </c>
    </row>
    <row r="8026" spans="1:6" x14ac:dyDescent="0.25">
      <c r="A8026" s="1">
        <v>41244</v>
      </c>
      <c r="B8026" t="s">
        <v>18</v>
      </c>
      <c r="C8026" t="s">
        <v>9</v>
      </c>
      <c r="D8026">
        <v>49</v>
      </c>
      <c r="E8026" s="2">
        <v>3.0312499999999999E-2</v>
      </c>
      <c r="F8026">
        <v>43.65</v>
      </c>
    </row>
    <row r="8027" spans="1:6" x14ac:dyDescent="0.25">
      <c r="A8027" s="1">
        <v>41244</v>
      </c>
      <c r="B8027" t="s">
        <v>18</v>
      </c>
      <c r="C8027" t="s">
        <v>10</v>
      </c>
      <c r="D8027">
        <v>119</v>
      </c>
      <c r="E8027" s="2">
        <v>0.135625</v>
      </c>
      <c r="F8027">
        <v>195.3</v>
      </c>
    </row>
    <row r="8028" spans="1:6" x14ac:dyDescent="0.25">
      <c r="A8028" s="1">
        <v>41244</v>
      </c>
      <c r="B8028" t="s">
        <v>18</v>
      </c>
      <c r="C8028" t="s">
        <v>11</v>
      </c>
      <c r="D8028">
        <v>34</v>
      </c>
      <c r="E8028" s="2">
        <v>2.2499999999999999E-2</v>
      </c>
      <c r="F8028">
        <v>32.4</v>
      </c>
    </row>
    <row r="8029" spans="1:6" x14ac:dyDescent="0.25">
      <c r="A8029" s="1">
        <v>41244</v>
      </c>
      <c r="B8029" t="s">
        <v>19</v>
      </c>
      <c r="C8029" t="s">
        <v>6</v>
      </c>
      <c r="D8029">
        <v>21</v>
      </c>
      <c r="E8029" s="2">
        <v>2.1412037037037038E-2</v>
      </c>
      <c r="F8029">
        <v>30.833333333333332</v>
      </c>
    </row>
    <row r="8030" spans="1:6" x14ac:dyDescent="0.25">
      <c r="A8030" s="1">
        <v>41244</v>
      </c>
      <c r="B8030" t="s">
        <v>19</v>
      </c>
      <c r="C8030" t="s">
        <v>7</v>
      </c>
      <c r="D8030">
        <v>25</v>
      </c>
      <c r="E8030" s="2">
        <v>2.3738425925925927E-2</v>
      </c>
      <c r="F8030">
        <v>34.18333333333333</v>
      </c>
    </row>
    <row r="8031" spans="1:6" x14ac:dyDescent="0.25">
      <c r="A8031" s="1">
        <v>41244</v>
      </c>
      <c r="B8031" t="s">
        <v>19</v>
      </c>
      <c r="C8031" t="s">
        <v>8</v>
      </c>
      <c r="D8031">
        <v>23</v>
      </c>
      <c r="E8031" s="2">
        <v>2.8159722222222221E-2</v>
      </c>
      <c r="F8031">
        <v>40.549999999999997</v>
      </c>
    </row>
    <row r="8032" spans="1:6" x14ac:dyDescent="0.25">
      <c r="A8032" s="1">
        <v>41244</v>
      </c>
      <c r="B8032" t="s">
        <v>19</v>
      </c>
      <c r="C8032" t="s">
        <v>9</v>
      </c>
      <c r="D8032">
        <v>22</v>
      </c>
      <c r="E8032" s="2">
        <v>1.3449074074074073E-2</v>
      </c>
      <c r="F8032">
        <v>19.366666666666667</v>
      </c>
    </row>
    <row r="8033" spans="1:6" x14ac:dyDescent="0.25">
      <c r="A8033" s="1">
        <v>41244</v>
      </c>
      <c r="B8033" t="s">
        <v>19</v>
      </c>
      <c r="C8033" t="s">
        <v>10</v>
      </c>
      <c r="D8033">
        <v>14</v>
      </c>
      <c r="E8033" s="2">
        <v>1.4872685185185185E-2</v>
      </c>
      <c r="F8033">
        <v>21.416666666666668</v>
      </c>
    </row>
    <row r="8034" spans="1:6" x14ac:dyDescent="0.25">
      <c r="A8034" s="1">
        <v>41244</v>
      </c>
      <c r="B8034" t="s">
        <v>19</v>
      </c>
      <c r="C8034" t="s">
        <v>11</v>
      </c>
      <c r="D8034">
        <v>20</v>
      </c>
      <c r="E8034" s="2">
        <v>1.695601851851852E-2</v>
      </c>
      <c r="F8034">
        <v>24.416666666666668</v>
      </c>
    </row>
    <row r="8035" spans="1:6" x14ac:dyDescent="0.25">
      <c r="A8035" s="1">
        <v>41244</v>
      </c>
      <c r="B8035" t="s">
        <v>20</v>
      </c>
      <c r="C8035" t="s">
        <v>6</v>
      </c>
      <c r="D8035">
        <v>31</v>
      </c>
      <c r="E8035" s="2">
        <v>4.2268518518518518E-2</v>
      </c>
      <c r="F8035">
        <v>60.866666666666667</v>
      </c>
    </row>
    <row r="8036" spans="1:6" x14ac:dyDescent="0.25">
      <c r="A8036" s="1">
        <v>41244</v>
      </c>
      <c r="B8036" t="s">
        <v>20</v>
      </c>
      <c r="C8036" t="s">
        <v>7</v>
      </c>
      <c r="D8036">
        <v>43</v>
      </c>
      <c r="E8036" s="2">
        <v>4.0462962962962964E-2</v>
      </c>
      <c r="F8036">
        <v>58.266666666666666</v>
      </c>
    </row>
    <row r="8037" spans="1:6" x14ac:dyDescent="0.25">
      <c r="A8037" s="1">
        <v>41244</v>
      </c>
      <c r="B8037" t="s">
        <v>20</v>
      </c>
      <c r="C8037" t="s">
        <v>8</v>
      </c>
      <c r="D8037">
        <v>22</v>
      </c>
      <c r="E8037" s="2">
        <v>2.1354166666666667E-2</v>
      </c>
      <c r="F8037">
        <v>30.75</v>
      </c>
    </row>
    <row r="8038" spans="1:6" x14ac:dyDescent="0.25">
      <c r="A8038" s="1">
        <v>41244</v>
      </c>
      <c r="B8038" t="s">
        <v>20</v>
      </c>
      <c r="C8038" t="s">
        <v>9</v>
      </c>
      <c r="D8038">
        <v>19</v>
      </c>
      <c r="E8038" s="2">
        <v>1.1898148148148149E-2</v>
      </c>
      <c r="F8038">
        <v>17.133333333333333</v>
      </c>
    </row>
    <row r="8039" spans="1:6" x14ac:dyDescent="0.25">
      <c r="A8039" s="1">
        <v>41244</v>
      </c>
      <c r="B8039" t="s">
        <v>20</v>
      </c>
      <c r="C8039" t="s">
        <v>10</v>
      </c>
      <c r="D8039">
        <v>3</v>
      </c>
      <c r="E8039" s="2">
        <v>1.8287037037037037E-3</v>
      </c>
      <c r="F8039">
        <v>2.6333333333333333</v>
      </c>
    </row>
    <row r="8040" spans="1:6" x14ac:dyDescent="0.25">
      <c r="A8040" s="1">
        <v>41244</v>
      </c>
      <c r="B8040" t="s">
        <v>20</v>
      </c>
      <c r="C8040" t="s">
        <v>11</v>
      </c>
      <c r="D8040">
        <v>18</v>
      </c>
      <c r="E8040" s="2">
        <v>1.818287037037037E-2</v>
      </c>
      <c r="F8040">
        <v>26.183333333333334</v>
      </c>
    </row>
    <row r="8041" spans="1:6" x14ac:dyDescent="0.25">
      <c r="A8041" s="1">
        <v>41244</v>
      </c>
      <c r="B8041" t="s">
        <v>21</v>
      </c>
      <c r="C8041" t="s">
        <v>6</v>
      </c>
      <c r="D8041">
        <v>35</v>
      </c>
      <c r="E8041" s="2">
        <v>4.0925925925925928E-2</v>
      </c>
      <c r="F8041">
        <v>58.93333333333333</v>
      </c>
    </row>
    <row r="8042" spans="1:6" x14ac:dyDescent="0.25">
      <c r="A8042" s="1">
        <v>41244</v>
      </c>
      <c r="B8042" t="s">
        <v>21</v>
      </c>
      <c r="C8042" t="s">
        <v>7</v>
      </c>
      <c r="D8042">
        <v>25</v>
      </c>
      <c r="E8042" s="2">
        <v>4.2627314814814812E-2</v>
      </c>
      <c r="F8042">
        <v>61.383333333333333</v>
      </c>
    </row>
    <row r="8043" spans="1:6" x14ac:dyDescent="0.25">
      <c r="A8043" s="1">
        <v>41244</v>
      </c>
      <c r="B8043" t="s">
        <v>21</v>
      </c>
      <c r="C8043" t="s">
        <v>8</v>
      </c>
      <c r="D8043">
        <v>26</v>
      </c>
      <c r="E8043" s="2">
        <v>3.1400462962962963E-2</v>
      </c>
      <c r="F8043">
        <v>45.216666666666669</v>
      </c>
    </row>
    <row r="8044" spans="1:6" x14ac:dyDescent="0.25">
      <c r="A8044" s="1">
        <v>41244</v>
      </c>
      <c r="B8044" t="s">
        <v>21</v>
      </c>
      <c r="C8044" t="s">
        <v>9</v>
      </c>
      <c r="D8044">
        <v>9</v>
      </c>
      <c r="E8044" s="2">
        <v>7.7546296296296295E-3</v>
      </c>
      <c r="F8044">
        <v>11.166666666666666</v>
      </c>
    </row>
    <row r="8045" spans="1:6" x14ac:dyDescent="0.25">
      <c r="A8045" s="1">
        <v>41244</v>
      </c>
      <c r="B8045" t="s">
        <v>21</v>
      </c>
      <c r="C8045" t="s">
        <v>10</v>
      </c>
      <c r="D8045">
        <v>2</v>
      </c>
      <c r="E8045" s="2">
        <v>1.3310185185185185E-3</v>
      </c>
      <c r="F8045">
        <v>1.9166666666666665</v>
      </c>
    </row>
    <row r="8046" spans="1:6" x14ac:dyDescent="0.25">
      <c r="A8046" s="1">
        <v>41244</v>
      </c>
      <c r="B8046" t="s">
        <v>21</v>
      </c>
      <c r="C8046" t="s">
        <v>11</v>
      </c>
      <c r="D8046">
        <v>20</v>
      </c>
      <c r="E8046" s="2">
        <v>1.8437499999999999E-2</v>
      </c>
      <c r="F8046">
        <v>26.55</v>
      </c>
    </row>
    <row r="8047" spans="1:6" x14ac:dyDescent="0.25">
      <c r="A8047" s="1">
        <v>41244</v>
      </c>
      <c r="B8047" t="s">
        <v>22</v>
      </c>
      <c r="C8047" t="s">
        <v>6</v>
      </c>
      <c r="D8047">
        <v>13</v>
      </c>
      <c r="E8047" s="2">
        <v>1.6886574074074075E-2</v>
      </c>
      <c r="F8047">
        <v>24.316666666666666</v>
      </c>
    </row>
    <row r="8048" spans="1:6" x14ac:dyDescent="0.25">
      <c r="A8048" s="1">
        <v>41244</v>
      </c>
      <c r="B8048" t="s">
        <v>22</v>
      </c>
      <c r="C8048" t="s">
        <v>7</v>
      </c>
      <c r="D8048">
        <v>12</v>
      </c>
      <c r="E8048" s="2">
        <v>1.6481481481481482E-2</v>
      </c>
      <c r="F8048">
        <v>23.733333333333334</v>
      </c>
    </row>
    <row r="8049" spans="1:6" x14ac:dyDescent="0.25">
      <c r="A8049" s="1">
        <v>41244</v>
      </c>
      <c r="B8049" t="s">
        <v>22</v>
      </c>
      <c r="C8049" t="s">
        <v>8</v>
      </c>
      <c r="D8049">
        <v>6</v>
      </c>
      <c r="E8049" s="2">
        <v>7.5925925925925926E-3</v>
      </c>
      <c r="F8049">
        <v>10.933333333333334</v>
      </c>
    </row>
    <row r="8050" spans="1:6" x14ac:dyDescent="0.25">
      <c r="A8050" s="1">
        <v>41244</v>
      </c>
      <c r="B8050" t="s">
        <v>22</v>
      </c>
      <c r="C8050" t="s">
        <v>9</v>
      </c>
      <c r="D8050">
        <v>7</v>
      </c>
      <c r="E8050" s="2">
        <v>3.472222222222222E-3</v>
      </c>
      <c r="F8050">
        <v>5</v>
      </c>
    </row>
    <row r="8051" spans="1:6" x14ac:dyDescent="0.25">
      <c r="A8051" s="1">
        <v>41244</v>
      </c>
      <c r="B8051" t="s">
        <v>22</v>
      </c>
      <c r="C8051" t="s">
        <v>10</v>
      </c>
      <c r="D8051">
        <v>1</v>
      </c>
      <c r="E8051" s="2">
        <v>1.1111111111111111E-3</v>
      </c>
      <c r="F8051">
        <v>1.6</v>
      </c>
    </row>
    <row r="8052" spans="1:6" x14ac:dyDescent="0.25">
      <c r="A8052" s="1">
        <v>41244</v>
      </c>
      <c r="B8052" t="s">
        <v>22</v>
      </c>
      <c r="C8052" t="s">
        <v>11</v>
      </c>
      <c r="D8052">
        <v>9</v>
      </c>
      <c r="E8052" s="2">
        <v>8.1018518518518514E-3</v>
      </c>
      <c r="F8052">
        <v>11.666666666666666</v>
      </c>
    </row>
    <row r="8053" spans="1:6" x14ac:dyDescent="0.25">
      <c r="A8053" s="1">
        <v>41244</v>
      </c>
      <c r="B8053" t="s">
        <v>23</v>
      </c>
      <c r="C8053" t="s">
        <v>6</v>
      </c>
      <c r="D8053">
        <v>132</v>
      </c>
      <c r="E8053" s="2">
        <v>0.15984953703703703</v>
      </c>
      <c r="F8053">
        <v>230.18333333333334</v>
      </c>
    </row>
    <row r="8054" spans="1:6" x14ac:dyDescent="0.25">
      <c r="A8054" s="1">
        <v>41244</v>
      </c>
      <c r="B8054" t="s">
        <v>23</v>
      </c>
      <c r="C8054" t="s">
        <v>7</v>
      </c>
      <c r="D8054">
        <v>171</v>
      </c>
      <c r="E8054" s="2">
        <v>0.22158564814814816</v>
      </c>
      <c r="F8054">
        <v>319.08333333333331</v>
      </c>
    </row>
    <row r="8055" spans="1:6" x14ac:dyDescent="0.25">
      <c r="A8055" s="1">
        <v>41244</v>
      </c>
      <c r="B8055" t="s">
        <v>23</v>
      </c>
      <c r="C8055" t="s">
        <v>8</v>
      </c>
      <c r="D8055">
        <v>101</v>
      </c>
      <c r="E8055" s="2">
        <v>0.11677083333333334</v>
      </c>
      <c r="F8055">
        <v>168.15</v>
      </c>
    </row>
    <row r="8056" spans="1:6" x14ac:dyDescent="0.25">
      <c r="A8056" s="1">
        <v>41244</v>
      </c>
      <c r="B8056" t="s">
        <v>23</v>
      </c>
      <c r="C8056" t="s">
        <v>9</v>
      </c>
      <c r="D8056">
        <v>73</v>
      </c>
      <c r="E8056" s="2">
        <v>5.3715277777777778E-2</v>
      </c>
      <c r="F8056">
        <v>77.349999999999994</v>
      </c>
    </row>
    <row r="8057" spans="1:6" x14ac:dyDescent="0.25">
      <c r="A8057" s="1">
        <v>41244</v>
      </c>
      <c r="B8057" t="s">
        <v>23</v>
      </c>
      <c r="C8057" t="s">
        <v>10</v>
      </c>
      <c r="D8057">
        <v>45</v>
      </c>
      <c r="E8057" s="2">
        <v>5.6354166666666664E-2</v>
      </c>
      <c r="F8057">
        <v>81.150000000000006</v>
      </c>
    </row>
    <row r="8058" spans="1:6" x14ac:dyDescent="0.25">
      <c r="A8058" s="1">
        <v>41244</v>
      </c>
      <c r="B8058" t="s">
        <v>23</v>
      </c>
      <c r="C8058" t="s">
        <v>11</v>
      </c>
      <c r="D8058">
        <v>116</v>
      </c>
      <c r="E8058" s="2">
        <v>0.11362268518518519</v>
      </c>
      <c r="F8058">
        <v>163.61666666666667</v>
      </c>
    </row>
    <row r="8059" spans="1:6" x14ac:dyDescent="0.25">
      <c r="A8059" s="1">
        <v>41244</v>
      </c>
      <c r="B8059" t="s">
        <v>24</v>
      </c>
      <c r="C8059" t="s">
        <v>6</v>
      </c>
      <c r="D8059">
        <v>33</v>
      </c>
      <c r="E8059" s="2">
        <v>3.6342592592592593E-2</v>
      </c>
      <c r="F8059">
        <v>52.333333333333336</v>
      </c>
    </row>
    <row r="8060" spans="1:6" x14ac:dyDescent="0.25">
      <c r="A8060" s="1">
        <v>41244</v>
      </c>
      <c r="B8060" t="s">
        <v>24</v>
      </c>
      <c r="C8060" t="s">
        <v>7</v>
      </c>
      <c r="D8060">
        <v>17</v>
      </c>
      <c r="E8060" s="2">
        <v>1.2013888888888888E-2</v>
      </c>
      <c r="F8060">
        <v>17.3</v>
      </c>
    </row>
    <row r="8061" spans="1:6" x14ac:dyDescent="0.25">
      <c r="A8061" s="1">
        <v>41244</v>
      </c>
      <c r="B8061" t="s">
        <v>24</v>
      </c>
      <c r="C8061" t="s">
        <v>8</v>
      </c>
      <c r="D8061">
        <v>7</v>
      </c>
      <c r="E8061" s="2">
        <v>6.5277777777777782E-3</v>
      </c>
      <c r="F8061">
        <v>9.4</v>
      </c>
    </row>
    <row r="8062" spans="1:6" x14ac:dyDescent="0.25">
      <c r="A8062" s="1">
        <v>41244</v>
      </c>
      <c r="B8062" t="s">
        <v>24</v>
      </c>
      <c r="C8062" t="s">
        <v>9</v>
      </c>
      <c r="D8062">
        <v>16</v>
      </c>
      <c r="E8062" s="2">
        <v>1.1145833333333334E-2</v>
      </c>
      <c r="F8062">
        <v>16.05</v>
      </c>
    </row>
    <row r="8063" spans="1:6" x14ac:dyDescent="0.25">
      <c r="A8063" s="1">
        <v>41244</v>
      </c>
      <c r="B8063" t="s">
        <v>24</v>
      </c>
      <c r="C8063" t="s">
        <v>10</v>
      </c>
      <c r="D8063">
        <v>0</v>
      </c>
      <c r="E8063" s="2">
        <v>0</v>
      </c>
      <c r="F8063">
        <v>0</v>
      </c>
    </row>
    <row r="8064" spans="1:6" x14ac:dyDescent="0.25">
      <c r="A8064" s="1">
        <v>41244</v>
      </c>
      <c r="B8064" t="s">
        <v>24</v>
      </c>
      <c r="C8064" t="s">
        <v>11</v>
      </c>
      <c r="D8064">
        <v>9</v>
      </c>
      <c r="E8064" s="2">
        <v>4.9884259259259257E-3</v>
      </c>
      <c r="F8064">
        <v>7.1833333333333336</v>
      </c>
    </row>
    <row r="8065" spans="1:6" x14ac:dyDescent="0.25">
      <c r="A8065" s="1">
        <v>41275</v>
      </c>
      <c r="B8065" t="s">
        <v>5</v>
      </c>
      <c r="C8065" t="s">
        <v>6</v>
      </c>
      <c r="D8065">
        <v>52</v>
      </c>
      <c r="E8065" s="2">
        <v>4.8657407407407406E-2</v>
      </c>
      <c r="F8065">
        <v>70.066666666666663</v>
      </c>
    </row>
    <row r="8066" spans="1:6" x14ac:dyDescent="0.25">
      <c r="A8066" s="1">
        <v>41275</v>
      </c>
      <c r="B8066" t="s">
        <v>5</v>
      </c>
      <c r="C8066" t="s">
        <v>7</v>
      </c>
      <c r="D8066">
        <v>76</v>
      </c>
      <c r="E8066" s="2">
        <v>5.872685185185185E-2</v>
      </c>
      <c r="F8066">
        <v>84.566666666666663</v>
      </c>
    </row>
    <row r="8067" spans="1:6" x14ac:dyDescent="0.25">
      <c r="A8067" s="1">
        <v>41275</v>
      </c>
      <c r="B8067" t="s">
        <v>5</v>
      </c>
      <c r="C8067" t="s">
        <v>8</v>
      </c>
      <c r="D8067">
        <v>25</v>
      </c>
      <c r="E8067" s="2">
        <v>1.9965277777777776E-2</v>
      </c>
      <c r="F8067">
        <v>28.75</v>
      </c>
    </row>
    <row r="8068" spans="1:6" x14ac:dyDescent="0.25">
      <c r="A8068" s="1">
        <v>41275</v>
      </c>
      <c r="B8068" t="s">
        <v>5</v>
      </c>
      <c r="C8068" t="s">
        <v>9</v>
      </c>
      <c r="D8068">
        <v>12</v>
      </c>
      <c r="E8068" s="2">
        <v>5.4398148148148149E-3</v>
      </c>
      <c r="F8068">
        <v>7.833333333333333</v>
      </c>
    </row>
    <row r="8069" spans="1:6" x14ac:dyDescent="0.25">
      <c r="A8069" s="1">
        <v>41275</v>
      </c>
      <c r="B8069" t="s">
        <v>5</v>
      </c>
      <c r="C8069" t="s">
        <v>10</v>
      </c>
      <c r="D8069">
        <v>2</v>
      </c>
      <c r="E8069" s="2">
        <v>4.6296296296296298E-4</v>
      </c>
      <c r="F8069">
        <v>0.66666666666666663</v>
      </c>
    </row>
    <row r="8070" spans="1:6" x14ac:dyDescent="0.25">
      <c r="A8070" s="1">
        <v>41275</v>
      </c>
      <c r="B8070" t="s">
        <v>5</v>
      </c>
      <c r="C8070" t="s">
        <v>11</v>
      </c>
      <c r="D8070">
        <v>48</v>
      </c>
      <c r="E8070" s="2">
        <v>3.712962962962963E-2</v>
      </c>
      <c r="F8070">
        <v>53.466666666666669</v>
      </c>
    </row>
    <row r="8071" spans="1:6" x14ac:dyDescent="0.25">
      <c r="A8071" s="1">
        <v>41275</v>
      </c>
      <c r="B8071" t="s">
        <v>12</v>
      </c>
      <c r="C8071" t="s">
        <v>6</v>
      </c>
      <c r="D8071">
        <v>76</v>
      </c>
      <c r="E8071" s="2">
        <v>0.11189814814814815</v>
      </c>
      <c r="F8071">
        <v>161.13333333333333</v>
      </c>
    </row>
    <row r="8072" spans="1:6" x14ac:dyDescent="0.25">
      <c r="A8072" s="1">
        <v>41275</v>
      </c>
      <c r="B8072" t="s">
        <v>12</v>
      </c>
      <c r="C8072" t="s">
        <v>7</v>
      </c>
      <c r="D8072">
        <v>67</v>
      </c>
      <c r="E8072" s="2">
        <v>9.8981481481481476E-2</v>
      </c>
      <c r="F8072">
        <v>142.53333333333333</v>
      </c>
    </row>
    <row r="8073" spans="1:6" x14ac:dyDescent="0.25">
      <c r="A8073" s="1">
        <v>41275</v>
      </c>
      <c r="B8073" t="s">
        <v>12</v>
      </c>
      <c r="C8073" t="s">
        <v>8</v>
      </c>
      <c r="D8073">
        <v>24</v>
      </c>
      <c r="E8073" s="2">
        <v>3.3321759259259259E-2</v>
      </c>
      <c r="F8073">
        <v>47.983333333333334</v>
      </c>
    </row>
    <row r="8074" spans="1:6" x14ac:dyDescent="0.25">
      <c r="A8074" s="1">
        <v>41275</v>
      </c>
      <c r="B8074" t="s">
        <v>12</v>
      </c>
      <c r="C8074" t="s">
        <v>9</v>
      </c>
      <c r="D8074">
        <v>12</v>
      </c>
      <c r="E8074" s="2">
        <v>1.0266203703703704E-2</v>
      </c>
      <c r="F8074">
        <v>14.783333333333333</v>
      </c>
    </row>
    <row r="8075" spans="1:6" x14ac:dyDescent="0.25">
      <c r="A8075" s="1">
        <v>41275</v>
      </c>
      <c r="B8075" t="s">
        <v>12</v>
      </c>
      <c r="C8075" t="s">
        <v>10</v>
      </c>
      <c r="D8075">
        <v>23</v>
      </c>
      <c r="E8075" s="2">
        <v>4.1990740740740738E-2</v>
      </c>
      <c r="F8075">
        <v>60.466666666666669</v>
      </c>
    </row>
    <row r="8076" spans="1:6" x14ac:dyDescent="0.25">
      <c r="A8076" s="1">
        <v>41275</v>
      </c>
      <c r="B8076" t="s">
        <v>12</v>
      </c>
      <c r="C8076" t="s">
        <v>11</v>
      </c>
      <c r="D8076">
        <v>58</v>
      </c>
      <c r="E8076" s="2">
        <v>6.0729166666666667E-2</v>
      </c>
      <c r="F8076">
        <v>87.45</v>
      </c>
    </row>
    <row r="8077" spans="1:6" x14ac:dyDescent="0.25">
      <c r="A8077" s="1">
        <v>41275</v>
      </c>
      <c r="B8077" t="s">
        <v>13</v>
      </c>
      <c r="C8077" t="s">
        <v>6</v>
      </c>
      <c r="D8077">
        <v>68</v>
      </c>
      <c r="E8077" s="2">
        <v>8.4930555555555551E-2</v>
      </c>
      <c r="F8077">
        <v>122.3</v>
      </c>
    </row>
    <row r="8078" spans="1:6" x14ac:dyDescent="0.25">
      <c r="A8078" s="1">
        <v>41275</v>
      </c>
      <c r="B8078" t="s">
        <v>13</v>
      </c>
      <c r="C8078" t="s">
        <v>7</v>
      </c>
      <c r="D8078">
        <v>86</v>
      </c>
      <c r="E8078" s="2">
        <v>9.8229166666666673E-2</v>
      </c>
      <c r="F8078">
        <v>141.44999999999999</v>
      </c>
    </row>
    <row r="8079" spans="1:6" x14ac:dyDescent="0.25">
      <c r="A8079" s="1">
        <v>41275</v>
      </c>
      <c r="B8079" t="s">
        <v>13</v>
      </c>
      <c r="C8079" t="s">
        <v>8</v>
      </c>
      <c r="D8079">
        <v>61</v>
      </c>
      <c r="E8079" s="2">
        <v>7.0868055555555559E-2</v>
      </c>
      <c r="F8079">
        <v>102.05</v>
      </c>
    </row>
    <row r="8080" spans="1:6" x14ac:dyDescent="0.25">
      <c r="A8080" s="1">
        <v>41275</v>
      </c>
      <c r="B8080" t="s">
        <v>13</v>
      </c>
      <c r="C8080" t="s">
        <v>9</v>
      </c>
      <c r="D8080">
        <v>45</v>
      </c>
      <c r="E8080" s="2">
        <v>3.1666666666666669E-2</v>
      </c>
      <c r="F8080">
        <v>45.6</v>
      </c>
    </row>
    <row r="8081" spans="1:6" x14ac:dyDescent="0.25">
      <c r="A8081" s="1">
        <v>41275</v>
      </c>
      <c r="B8081" t="s">
        <v>13</v>
      </c>
      <c r="C8081" t="s">
        <v>10</v>
      </c>
      <c r="D8081">
        <v>34</v>
      </c>
      <c r="E8081" s="2">
        <v>3.9918981481481479E-2</v>
      </c>
      <c r="F8081">
        <v>57.483333333333334</v>
      </c>
    </row>
    <row r="8082" spans="1:6" x14ac:dyDescent="0.25">
      <c r="A8082" s="1">
        <v>41275</v>
      </c>
      <c r="B8082" t="s">
        <v>13</v>
      </c>
      <c r="C8082" t="s">
        <v>11</v>
      </c>
      <c r="D8082">
        <v>42</v>
      </c>
      <c r="E8082" s="2">
        <v>3.8680555555555558E-2</v>
      </c>
      <c r="F8082">
        <v>55.7</v>
      </c>
    </row>
    <row r="8083" spans="1:6" x14ac:dyDescent="0.25">
      <c r="A8083" s="1">
        <v>41275</v>
      </c>
      <c r="B8083" t="s">
        <v>14</v>
      </c>
      <c r="C8083" t="s">
        <v>6</v>
      </c>
      <c r="D8083">
        <v>13</v>
      </c>
      <c r="E8083" s="2">
        <v>1.6412037037037037E-2</v>
      </c>
      <c r="F8083">
        <v>23.633333333333333</v>
      </c>
    </row>
    <row r="8084" spans="1:6" x14ac:dyDescent="0.25">
      <c r="A8084" s="1">
        <v>41275</v>
      </c>
      <c r="B8084" t="s">
        <v>14</v>
      </c>
      <c r="C8084" t="s">
        <v>7</v>
      </c>
      <c r="D8084">
        <v>9</v>
      </c>
      <c r="E8084" s="2">
        <v>1.8425925925925925E-2</v>
      </c>
      <c r="F8084">
        <v>26.533333333333335</v>
      </c>
    </row>
    <row r="8085" spans="1:6" x14ac:dyDescent="0.25">
      <c r="A8085" s="1">
        <v>41275</v>
      </c>
      <c r="B8085" t="s">
        <v>14</v>
      </c>
      <c r="C8085" t="s">
        <v>8</v>
      </c>
      <c r="D8085">
        <v>10</v>
      </c>
      <c r="E8085" s="2">
        <v>1.2650462962962962E-2</v>
      </c>
      <c r="F8085">
        <v>18.216666666666665</v>
      </c>
    </row>
    <row r="8086" spans="1:6" x14ac:dyDescent="0.25">
      <c r="A8086" s="1">
        <v>41275</v>
      </c>
      <c r="B8086" t="s">
        <v>14</v>
      </c>
      <c r="C8086" t="s">
        <v>9</v>
      </c>
      <c r="D8086">
        <v>3</v>
      </c>
      <c r="E8086" s="2">
        <v>2.2453703703703702E-3</v>
      </c>
      <c r="F8086">
        <v>3.2333333333333334</v>
      </c>
    </row>
    <row r="8087" spans="1:6" x14ac:dyDescent="0.25">
      <c r="A8087" s="1">
        <v>41275</v>
      </c>
      <c r="B8087" t="s">
        <v>14</v>
      </c>
      <c r="C8087" t="s">
        <v>10</v>
      </c>
      <c r="D8087">
        <v>3</v>
      </c>
      <c r="E8087" s="2">
        <v>4.8726851851851848E-3</v>
      </c>
      <c r="F8087">
        <v>7.0166666666666666</v>
      </c>
    </row>
    <row r="8088" spans="1:6" x14ac:dyDescent="0.25">
      <c r="A8088" s="1">
        <v>41275</v>
      </c>
      <c r="B8088" t="s">
        <v>14</v>
      </c>
      <c r="C8088" t="s">
        <v>11</v>
      </c>
      <c r="D8088">
        <v>13</v>
      </c>
      <c r="E8088" s="2">
        <v>1.2638888888888889E-2</v>
      </c>
      <c r="F8088">
        <v>18.2</v>
      </c>
    </row>
    <row r="8089" spans="1:6" x14ac:dyDescent="0.25">
      <c r="A8089" s="1">
        <v>41275</v>
      </c>
      <c r="B8089" t="s">
        <v>15</v>
      </c>
      <c r="C8089" t="s">
        <v>6</v>
      </c>
      <c r="D8089">
        <v>28</v>
      </c>
      <c r="E8089" s="2">
        <v>3.3067129629629627E-2</v>
      </c>
      <c r="F8089">
        <v>47.616666666666667</v>
      </c>
    </row>
    <row r="8090" spans="1:6" x14ac:dyDescent="0.25">
      <c r="A8090" s="1">
        <v>41275</v>
      </c>
      <c r="B8090" t="s">
        <v>15</v>
      </c>
      <c r="C8090" t="s">
        <v>7</v>
      </c>
      <c r="D8090">
        <v>30</v>
      </c>
      <c r="E8090" s="2">
        <v>2.6238425925925925E-2</v>
      </c>
      <c r="F8090">
        <v>37.783333333333331</v>
      </c>
    </row>
    <row r="8091" spans="1:6" x14ac:dyDescent="0.25">
      <c r="A8091" s="1">
        <v>41275</v>
      </c>
      <c r="B8091" t="s">
        <v>15</v>
      </c>
      <c r="C8091" t="s">
        <v>8</v>
      </c>
      <c r="D8091">
        <v>36</v>
      </c>
      <c r="E8091" s="2">
        <v>3.2500000000000001E-2</v>
      </c>
      <c r="F8091">
        <v>46.8</v>
      </c>
    </row>
    <row r="8092" spans="1:6" x14ac:dyDescent="0.25">
      <c r="A8092" s="1">
        <v>41275</v>
      </c>
      <c r="B8092" t="s">
        <v>15</v>
      </c>
      <c r="C8092" t="s">
        <v>9</v>
      </c>
      <c r="D8092">
        <v>9</v>
      </c>
      <c r="E8092" s="2">
        <v>3.9814814814814817E-3</v>
      </c>
      <c r="F8092">
        <v>5.7333333333333334</v>
      </c>
    </row>
    <row r="8093" spans="1:6" x14ac:dyDescent="0.25">
      <c r="A8093" s="1">
        <v>41275</v>
      </c>
      <c r="B8093" t="s">
        <v>15</v>
      </c>
      <c r="C8093" t="s">
        <v>10</v>
      </c>
      <c r="D8093">
        <v>5</v>
      </c>
      <c r="E8093" s="2">
        <v>7.3611111111111108E-3</v>
      </c>
      <c r="F8093">
        <v>10.6</v>
      </c>
    </row>
    <row r="8094" spans="1:6" x14ac:dyDescent="0.25">
      <c r="A8094" s="1">
        <v>41275</v>
      </c>
      <c r="B8094" t="s">
        <v>15</v>
      </c>
      <c r="C8094" t="s">
        <v>11</v>
      </c>
      <c r="D8094">
        <v>14</v>
      </c>
      <c r="E8094" s="2">
        <v>8.7962962962962968E-3</v>
      </c>
      <c r="F8094">
        <v>12.666666666666666</v>
      </c>
    </row>
    <row r="8095" spans="1:6" x14ac:dyDescent="0.25">
      <c r="A8095" s="1">
        <v>41275</v>
      </c>
      <c r="B8095" t="s">
        <v>16</v>
      </c>
      <c r="C8095" t="s">
        <v>6</v>
      </c>
      <c r="D8095">
        <v>32</v>
      </c>
      <c r="E8095" s="2">
        <v>3.037037037037037E-2</v>
      </c>
      <c r="F8095">
        <v>43.733333333333334</v>
      </c>
    </row>
    <row r="8096" spans="1:6" x14ac:dyDescent="0.25">
      <c r="A8096" s="1">
        <v>41275</v>
      </c>
      <c r="B8096" t="s">
        <v>16</v>
      </c>
      <c r="C8096" t="s">
        <v>7</v>
      </c>
      <c r="D8096">
        <v>42</v>
      </c>
      <c r="E8096" s="2">
        <v>3.9571759259259258E-2</v>
      </c>
      <c r="F8096">
        <v>56.983333333333334</v>
      </c>
    </row>
    <row r="8097" spans="1:6" x14ac:dyDescent="0.25">
      <c r="A8097" s="1">
        <v>41275</v>
      </c>
      <c r="B8097" t="s">
        <v>16</v>
      </c>
      <c r="C8097" t="s">
        <v>8</v>
      </c>
      <c r="D8097">
        <v>30</v>
      </c>
      <c r="E8097" s="2">
        <v>2.5775462962962962E-2</v>
      </c>
      <c r="F8097">
        <v>37.116666666666667</v>
      </c>
    </row>
    <row r="8098" spans="1:6" x14ac:dyDescent="0.25">
      <c r="A8098" s="1">
        <v>41275</v>
      </c>
      <c r="B8098" t="s">
        <v>16</v>
      </c>
      <c r="C8098" t="s">
        <v>9</v>
      </c>
      <c r="D8098">
        <v>13</v>
      </c>
      <c r="E8098" s="2">
        <v>7.013888888888889E-3</v>
      </c>
      <c r="F8098">
        <v>10.1</v>
      </c>
    </row>
    <row r="8099" spans="1:6" x14ac:dyDescent="0.25">
      <c r="A8099" s="1">
        <v>41275</v>
      </c>
      <c r="B8099" t="s">
        <v>16</v>
      </c>
      <c r="C8099" t="s">
        <v>10</v>
      </c>
      <c r="D8099">
        <v>8</v>
      </c>
      <c r="E8099" s="2">
        <v>6.5162037037037037E-3</v>
      </c>
      <c r="F8099">
        <v>9.3833333333333329</v>
      </c>
    </row>
    <row r="8100" spans="1:6" x14ac:dyDescent="0.25">
      <c r="A8100" s="1">
        <v>41275</v>
      </c>
      <c r="B8100" t="s">
        <v>16</v>
      </c>
      <c r="C8100" t="s">
        <v>11</v>
      </c>
      <c r="D8100">
        <v>54</v>
      </c>
      <c r="E8100" s="2">
        <v>4.2141203703703702E-2</v>
      </c>
      <c r="F8100">
        <v>60.68333333333333</v>
      </c>
    </row>
    <row r="8101" spans="1:6" x14ac:dyDescent="0.25">
      <c r="A8101" s="1">
        <v>41275</v>
      </c>
      <c r="B8101" t="s">
        <v>17</v>
      </c>
      <c r="C8101" t="s">
        <v>6</v>
      </c>
      <c r="D8101">
        <v>10</v>
      </c>
      <c r="E8101" s="2">
        <v>1.1481481481481481E-2</v>
      </c>
      <c r="F8101">
        <v>16.533333333333335</v>
      </c>
    </row>
    <row r="8102" spans="1:6" x14ac:dyDescent="0.25">
      <c r="A8102" s="1">
        <v>41275</v>
      </c>
      <c r="B8102" t="s">
        <v>17</v>
      </c>
      <c r="C8102" t="s">
        <v>7</v>
      </c>
      <c r="D8102">
        <v>10</v>
      </c>
      <c r="E8102" s="2">
        <v>7.2916666666666668E-3</v>
      </c>
      <c r="F8102">
        <v>10.5</v>
      </c>
    </row>
    <row r="8103" spans="1:6" x14ac:dyDescent="0.25">
      <c r="A8103" s="1">
        <v>41275</v>
      </c>
      <c r="B8103" t="s">
        <v>17</v>
      </c>
      <c r="C8103" t="s">
        <v>8</v>
      </c>
      <c r="D8103">
        <v>4</v>
      </c>
      <c r="E8103" s="2">
        <v>4.3750000000000004E-3</v>
      </c>
      <c r="F8103">
        <v>6.3</v>
      </c>
    </row>
    <row r="8104" spans="1:6" x14ac:dyDescent="0.25">
      <c r="A8104" s="1">
        <v>41275</v>
      </c>
      <c r="B8104" t="s">
        <v>17</v>
      </c>
      <c r="C8104" t="s">
        <v>9</v>
      </c>
      <c r="D8104">
        <v>7</v>
      </c>
      <c r="E8104" s="2">
        <v>5.4629629629629629E-3</v>
      </c>
      <c r="F8104">
        <v>7.8666666666666671</v>
      </c>
    </row>
    <row r="8105" spans="1:6" x14ac:dyDescent="0.25">
      <c r="A8105" s="1">
        <v>41275</v>
      </c>
      <c r="B8105" t="s">
        <v>17</v>
      </c>
      <c r="C8105" t="s">
        <v>10</v>
      </c>
      <c r="D8105">
        <v>15</v>
      </c>
      <c r="E8105" s="2">
        <v>1.7916666666666668E-2</v>
      </c>
      <c r="F8105">
        <v>25.8</v>
      </c>
    </row>
    <row r="8106" spans="1:6" x14ac:dyDescent="0.25">
      <c r="A8106" s="1">
        <v>41275</v>
      </c>
      <c r="B8106" t="s">
        <v>17</v>
      </c>
      <c r="C8106" t="s">
        <v>11</v>
      </c>
      <c r="D8106">
        <v>5</v>
      </c>
      <c r="E8106" s="2">
        <v>6.2384259259259259E-3</v>
      </c>
      <c r="F8106">
        <v>8.9833333333333325</v>
      </c>
    </row>
    <row r="8107" spans="1:6" x14ac:dyDescent="0.25">
      <c r="A8107" s="1">
        <v>41275</v>
      </c>
      <c r="B8107" t="s">
        <v>18</v>
      </c>
      <c r="C8107" t="s">
        <v>6</v>
      </c>
      <c r="D8107">
        <v>143</v>
      </c>
      <c r="E8107" s="2">
        <v>0.16473379629629631</v>
      </c>
      <c r="F8107">
        <v>237.21666666666667</v>
      </c>
    </row>
    <row r="8108" spans="1:6" x14ac:dyDescent="0.25">
      <c r="A8108" s="1">
        <v>41275</v>
      </c>
      <c r="B8108" t="s">
        <v>18</v>
      </c>
      <c r="C8108" t="s">
        <v>7</v>
      </c>
      <c r="D8108">
        <v>174</v>
      </c>
      <c r="E8108" s="2">
        <v>0.1627662037037037</v>
      </c>
      <c r="F8108">
        <v>234.38333333333333</v>
      </c>
    </row>
    <row r="8109" spans="1:6" x14ac:dyDescent="0.25">
      <c r="A8109" s="1">
        <v>41275</v>
      </c>
      <c r="B8109" t="s">
        <v>18</v>
      </c>
      <c r="C8109" t="s">
        <v>8</v>
      </c>
      <c r="D8109">
        <v>96</v>
      </c>
      <c r="E8109" s="2">
        <v>9.9942129629629631E-2</v>
      </c>
      <c r="F8109">
        <v>143.91666666666666</v>
      </c>
    </row>
    <row r="8110" spans="1:6" x14ac:dyDescent="0.25">
      <c r="A8110" s="1">
        <v>41275</v>
      </c>
      <c r="B8110" t="s">
        <v>18</v>
      </c>
      <c r="C8110" t="s">
        <v>9</v>
      </c>
      <c r="D8110">
        <v>75</v>
      </c>
      <c r="E8110" s="2">
        <v>5.4756944444444441E-2</v>
      </c>
      <c r="F8110">
        <v>78.849999999999994</v>
      </c>
    </row>
    <row r="8111" spans="1:6" x14ac:dyDescent="0.25">
      <c r="A8111" s="1">
        <v>41275</v>
      </c>
      <c r="B8111" t="s">
        <v>18</v>
      </c>
      <c r="C8111" t="s">
        <v>10</v>
      </c>
      <c r="D8111">
        <v>139</v>
      </c>
      <c r="E8111" s="2">
        <v>0.16810185185185186</v>
      </c>
      <c r="F8111">
        <v>242.06666666666666</v>
      </c>
    </row>
    <row r="8112" spans="1:6" x14ac:dyDescent="0.25">
      <c r="A8112" s="1">
        <v>41275</v>
      </c>
      <c r="B8112" t="s">
        <v>18</v>
      </c>
      <c r="C8112" t="s">
        <v>11</v>
      </c>
      <c r="D8112">
        <v>82</v>
      </c>
      <c r="E8112" s="2">
        <v>6.4872685185185186E-2</v>
      </c>
      <c r="F8112">
        <v>93.416666666666671</v>
      </c>
    </row>
    <row r="8113" spans="1:6" x14ac:dyDescent="0.25">
      <c r="A8113" s="1">
        <v>41275</v>
      </c>
      <c r="B8113" t="s">
        <v>19</v>
      </c>
      <c r="C8113" t="s">
        <v>6</v>
      </c>
      <c r="D8113">
        <v>28</v>
      </c>
      <c r="E8113" s="2">
        <v>2.9976851851851852E-2</v>
      </c>
      <c r="F8113">
        <v>43.166666666666664</v>
      </c>
    </row>
    <row r="8114" spans="1:6" x14ac:dyDescent="0.25">
      <c r="A8114" s="1">
        <v>41275</v>
      </c>
      <c r="B8114" t="s">
        <v>19</v>
      </c>
      <c r="C8114" t="s">
        <v>7</v>
      </c>
      <c r="D8114">
        <v>44</v>
      </c>
      <c r="E8114" s="2">
        <v>4.6909722222222221E-2</v>
      </c>
      <c r="F8114">
        <v>67.55</v>
      </c>
    </row>
    <row r="8115" spans="1:6" x14ac:dyDescent="0.25">
      <c r="A8115" s="1">
        <v>41275</v>
      </c>
      <c r="B8115" t="s">
        <v>19</v>
      </c>
      <c r="C8115" t="s">
        <v>8</v>
      </c>
      <c r="D8115">
        <v>33</v>
      </c>
      <c r="E8115" s="2">
        <v>3.6516203703703703E-2</v>
      </c>
      <c r="F8115">
        <v>52.583333333333336</v>
      </c>
    </row>
    <row r="8116" spans="1:6" x14ac:dyDescent="0.25">
      <c r="A8116" s="1">
        <v>41275</v>
      </c>
      <c r="B8116" t="s">
        <v>19</v>
      </c>
      <c r="C8116" t="s">
        <v>9</v>
      </c>
      <c r="D8116">
        <v>28</v>
      </c>
      <c r="E8116" s="2">
        <v>1.8981481481481481E-2</v>
      </c>
      <c r="F8116">
        <v>27.333333333333332</v>
      </c>
    </row>
    <row r="8117" spans="1:6" x14ac:dyDescent="0.25">
      <c r="A8117" s="1">
        <v>41275</v>
      </c>
      <c r="B8117" t="s">
        <v>19</v>
      </c>
      <c r="C8117" t="s">
        <v>10</v>
      </c>
      <c r="D8117">
        <v>14</v>
      </c>
      <c r="E8117" s="2">
        <v>1.5474537037037037E-2</v>
      </c>
      <c r="F8117">
        <v>22.283333333333335</v>
      </c>
    </row>
    <row r="8118" spans="1:6" x14ac:dyDescent="0.25">
      <c r="A8118" s="1">
        <v>41275</v>
      </c>
      <c r="B8118" t="s">
        <v>19</v>
      </c>
      <c r="C8118" t="s">
        <v>11</v>
      </c>
      <c r="D8118">
        <v>46</v>
      </c>
      <c r="E8118" s="2">
        <v>4.3020833333333335E-2</v>
      </c>
      <c r="F8118">
        <v>61.95</v>
      </c>
    </row>
    <row r="8119" spans="1:6" x14ac:dyDescent="0.25">
      <c r="A8119" s="1">
        <v>41275</v>
      </c>
      <c r="B8119" t="s">
        <v>20</v>
      </c>
      <c r="C8119" t="s">
        <v>6</v>
      </c>
      <c r="D8119">
        <v>35</v>
      </c>
      <c r="E8119" s="2">
        <v>3.9687500000000001E-2</v>
      </c>
      <c r="F8119">
        <v>57.15</v>
      </c>
    </row>
    <row r="8120" spans="1:6" x14ac:dyDescent="0.25">
      <c r="A8120" s="1">
        <v>41275</v>
      </c>
      <c r="B8120" t="s">
        <v>20</v>
      </c>
      <c r="C8120" t="s">
        <v>7</v>
      </c>
      <c r="D8120">
        <v>33</v>
      </c>
      <c r="E8120" s="2">
        <v>3.8437499999999999E-2</v>
      </c>
      <c r="F8120">
        <v>55.35</v>
      </c>
    </row>
    <row r="8121" spans="1:6" x14ac:dyDescent="0.25">
      <c r="A8121" s="1">
        <v>41275</v>
      </c>
      <c r="B8121" t="s">
        <v>20</v>
      </c>
      <c r="C8121" t="s">
        <v>8</v>
      </c>
      <c r="D8121">
        <v>23</v>
      </c>
      <c r="E8121" s="2">
        <v>2.2187499999999999E-2</v>
      </c>
      <c r="F8121">
        <v>31.95</v>
      </c>
    </row>
    <row r="8122" spans="1:6" x14ac:dyDescent="0.25">
      <c r="A8122" s="1">
        <v>41275</v>
      </c>
      <c r="B8122" t="s">
        <v>20</v>
      </c>
      <c r="C8122" t="s">
        <v>9</v>
      </c>
      <c r="D8122">
        <v>10</v>
      </c>
      <c r="E8122" s="2">
        <v>8.86574074074074E-3</v>
      </c>
      <c r="F8122">
        <v>12.766666666666667</v>
      </c>
    </row>
    <row r="8123" spans="1:6" x14ac:dyDescent="0.25">
      <c r="A8123" s="1">
        <v>41275</v>
      </c>
      <c r="B8123" t="s">
        <v>20</v>
      </c>
      <c r="C8123" t="s">
        <v>10</v>
      </c>
      <c r="D8123">
        <v>5</v>
      </c>
      <c r="E8123" s="2">
        <v>5.7754629629629631E-3</v>
      </c>
      <c r="F8123">
        <v>8.3166666666666664</v>
      </c>
    </row>
    <row r="8124" spans="1:6" x14ac:dyDescent="0.25">
      <c r="A8124" s="1">
        <v>41275</v>
      </c>
      <c r="B8124" t="s">
        <v>20</v>
      </c>
      <c r="C8124" t="s">
        <v>11</v>
      </c>
      <c r="D8124">
        <v>19</v>
      </c>
      <c r="E8124" s="2">
        <v>1.6331018518518519E-2</v>
      </c>
      <c r="F8124">
        <v>23.516666666666666</v>
      </c>
    </row>
    <row r="8125" spans="1:6" x14ac:dyDescent="0.25">
      <c r="A8125" s="1">
        <v>41275</v>
      </c>
      <c r="B8125" t="s">
        <v>21</v>
      </c>
      <c r="C8125" t="s">
        <v>6</v>
      </c>
      <c r="D8125">
        <v>17</v>
      </c>
      <c r="E8125" s="2">
        <v>2.1874999999999999E-2</v>
      </c>
      <c r="F8125">
        <v>31.5</v>
      </c>
    </row>
    <row r="8126" spans="1:6" x14ac:dyDescent="0.25">
      <c r="A8126" s="1">
        <v>41275</v>
      </c>
      <c r="B8126" t="s">
        <v>21</v>
      </c>
      <c r="C8126" t="s">
        <v>7</v>
      </c>
      <c r="D8126">
        <v>29</v>
      </c>
      <c r="E8126" s="2">
        <v>4.853009259259259E-2</v>
      </c>
      <c r="F8126">
        <v>69.88333333333334</v>
      </c>
    </row>
    <row r="8127" spans="1:6" x14ac:dyDescent="0.25">
      <c r="A8127" s="1">
        <v>41275</v>
      </c>
      <c r="B8127" t="s">
        <v>21</v>
      </c>
      <c r="C8127" t="s">
        <v>8</v>
      </c>
      <c r="D8127">
        <v>20</v>
      </c>
      <c r="E8127" s="2">
        <v>2.2534722222222223E-2</v>
      </c>
      <c r="F8127">
        <v>32.450000000000003</v>
      </c>
    </row>
    <row r="8128" spans="1:6" x14ac:dyDescent="0.25">
      <c r="A8128" s="1">
        <v>41275</v>
      </c>
      <c r="B8128" t="s">
        <v>21</v>
      </c>
      <c r="C8128" t="s">
        <v>9</v>
      </c>
      <c r="D8128">
        <v>13</v>
      </c>
      <c r="E8128" s="2">
        <v>8.2175925925925923E-3</v>
      </c>
      <c r="F8128">
        <v>11.833333333333334</v>
      </c>
    </row>
    <row r="8129" spans="1:6" x14ac:dyDescent="0.25">
      <c r="A8129" s="1">
        <v>41275</v>
      </c>
      <c r="B8129" t="s">
        <v>21</v>
      </c>
      <c r="C8129" t="s">
        <v>10</v>
      </c>
      <c r="D8129">
        <v>5</v>
      </c>
      <c r="E8129" s="2">
        <v>7.6273148148148151E-3</v>
      </c>
      <c r="F8129">
        <v>10.983333333333333</v>
      </c>
    </row>
    <row r="8130" spans="1:6" x14ac:dyDescent="0.25">
      <c r="A8130" s="1">
        <v>41275</v>
      </c>
      <c r="B8130" t="s">
        <v>21</v>
      </c>
      <c r="C8130" t="s">
        <v>11</v>
      </c>
      <c r="D8130">
        <v>20</v>
      </c>
      <c r="E8130" s="2">
        <v>2.1909722222222223E-2</v>
      </c>
      <c r="F8130">
        <v>31.55</v>
      </c>
    </row>
    <row r="8131" spans="1:6" x14ac:dyDescent="0.25">
      <c r="A8131" s="1">
        <v>41275</v>
      </c>
      <c r="B8131" t="s">
        <v>22</v>
      </c>
      <c r="C8131" t="s">
        <v>6</v>
      </c>
      <c r="D8131">
        <v>9</v>
      </c>
      <c r="E8131" s="2">
        <v>1.0439814814814815E-2</v>
      </c>
      <c r="F8131">
        <v>15.033333333333333</v>
      </c>
    </row>
    <row r="8132" spans="1:6" x14ac:dyDescent="0.25">
      <c r="A8132" s="1">
        <v>41275</v>
      </c>
      <c r="B8132" t="s">
        <v>22</v>
      </c>
      <c r="C8132" t="s">
        <v>7</v>
      </c>
      <c r="D8132">
        <v>11</v>
      </c>
      <c r="E8132" s="2">
        <v>1.2916666666666667E-2</v>
      </c>
      <c r="F8132">
        <v>18.600000000000001</v>
      </c>
    </row>
    <row r="8133" spans="1:6" x14ac:dyDescent="0.25">
      <c r="A8133" s="1">
        <v>41275</v>
      </c>
      <c r="B8133" t="s">
        <v>22</v>
      </c>
      <c r="C8133" t="s">
        <v>8</v>
      </c>
      <c r="D8133">
        <v>8</v>
      </c>
      <c r="E8133" s="2">
        <v>1.1574074074074073E-2</v>
      </c>
      <c r="F8133">
        <v>16.666666666666668</v>
      </c>
    </row>
    <row r="8134" spans="1:6" x14ac:dyDescent="0.25">
      <c r="A8134" s="1">
        <v>41275</v>
      </c>
      <c r="B8134" t="s">
        <v>22</v>
      </c>
      <c r="C8134" t="s">
        <v>9</v>
      </c>
      <c r="D8134">
        <v>7</v>
      </c>
      <c r="E8134" s="2">
        <v>3.5416666666666665E-3</v>
      </c>
      <c r="F8134">
        <v>5.0999999999999996</v>
      </c>
    </row>
    <row r="8135" spans="1:6" x14ac:dyDescent="0.25">
      <c r="A8135" s="1">
        <v>41275</v>
      </c>
      <c r="B8135" t="s">
        <v>22</v>
      </c>
      <c r="C8135" t="s">
        <v>10</v>
      </c>
      <c r="D8135">
        <v>3</v>
      </c>
      <c r="E8135" s="2">
        <v>5.1041666666666666E-3</v>
      </c>
      <c r="F8135">
        <v>7.35</v>
      </c>
    </row>
    <row r="8136" spans="1:6" x14ac:dyDescent="0.25">
      <c r="A8136" s="1">
        <v>41275</v>
      </c>
      <c r="B8136" t="s">
        <v>22</v>
      </c>
      <c r="C8136" t="s">
        <v>11</v>
      </c>
      <c r="D8136">
        <v>8</v>
      </c>
      <c r="E8136" s="2">
        <v>5.9953703703703705E-3</v>
      </c>
      <c r="F8136">
        <v>8.6333333333333329</v>
      </c>
    </row>
    <row r="8137" spans="1:6" x14ac:dyDescent="0.25">
      <c r="A8137" s="1">
        <v>41275</v>
      </c>
      <c r="B8137" t="s">
        <v>23</v>
      </c>
      <c r="C8137" t="s">
        <v>6</v>
      </c>
      <c r="D8137">
        <v>154</v>
      </c>
      <c r="E8137" s="2">
        <v>0.18011574074074074</v>
      </c>
      <c r="F8137">
        <v>259.36666666666667</v>
      </c>
    </row>
    <row r="8138" spans="1:6" x14ac:dyDescent="0.25">
      <c r="A8138" s="1">
        <v>41275</v>
      </c>
      <c r="B8138" t="s">
        <v>23</v>
      </c>
      <c r="C8138" t="s">
        <v>7</v>
      </c>
      <c r="D8138">
        <v>166</v>
      </c>
      <c r="E8138" s="2">
        <v>0.22199074074074074</v>
      </c>
      <c r="F8138">
        <v>319.66666666666669</v>
      </c>
    </row>
    <row r="8139" spans="1:6" x14ac:dyDescent="0.25">
      <c r="A8139" s="1">
        <v>41275</v>
      </c>
      <c r="B8139" t="s">
        <v>23</v>
      </c>
      <c r="C8139" t="s">
        <v>8</v>
      </c>
      <c r="D8139">
        <v>107</v>
      </c>
      <c r="E8139" s="2">
        <v>0.12611111111111112</v>
      </c>
      <c r="F8139">
        <v>181.6</v>
      </c>
    </row>
    <row r="8140" spans="1:6" x14ac:dyDescent="0.25">
      <c r="A8140" s="1">
        <v>41275</v>
      </c>
      <c r="B8140" t="s">
        <v>23</v>
      </c>
      <c r="C8140" t="s">
        <v>9</v>
      </c>
      <c r="D8140">
        <v>81</v>
      </c>
      <c r="E8140" s="2">
        <v>5.4375E-2</v>
      </c>
      <c r="F8140">
        <v>78.3</v>
      </c>
    </row>
    <row r="8141" spans="1:6" x14ac:dyDescent="0.25">
      <c r="A8141" s="1">
        <v>41275</v>
      </c>
      <c r="B8141" t="s">
        <v>23</v>
      </c>
      <c r="C8141" t="s">
        <v>10</v>
      </c>
      <c r="D8141">
        <v>56</v>
      </c>
      <c r="E8141" s="2">
        <v>6.7696759259259262E-2</v>
      </c>
      <c r="F8141">
        <v>97.483333333333334</v>
      </c>
    </row>
    <row r="8142" spans="1:6" x14ac:dyDescent="0.25">
      <c r="A8142" s="1">
        <v>41275</v>
      </c>
      <c r="B8142" t="s">
        <v>23</v>
      </c>
      <c r="C8142" t="s">
        <v>11</v>
      </c>
      <c r="D8142">
        <v>110</v>
      </c>
      <c r="E8142" s="2">
        <v>9.3912037037037044E-2</v>
      </c>
      <c r="F8142">
        <v>135.23333333333332</v>
      </c>
    </row>
    <row r="8143" spans="1:6" x14ac:dyDescent="0.25">
      <c r="A8143" s="1">
        <v>41275</v>
      </c>
      <c r="B8143" t="s">
        <v>24</v>
      </c>
      <c r="C8143" t="s">
        <v>6</v>
      </c>
      <c r="D8143">
        <v>56</v>
      </c>
      <c r="E8143" s="2">
        <v>5.8541666666666665E-2</v>
      </c>
      <c r="F8143">
        <v>84.3</v>
      </c>
    </row>
    <row r="8144" spans="1:6" x14ac:dyDescent="0.25">
      <c r="A8144" s="1">
        <v>41275</v>
      </c>
      <c r="B8144" t="s">
        <v>24</v>
      </c>
      <c r="C8144" t="s">
        <v>7</v>
      </c>
      <c r="D8144">
        <v>40</v>
      </c>
      <c r="E8144" s="2">
        <v>3.2604166666666663E-2</v>
      </c>
      <c r="F8144">
        <v>46.95</v>
      </c>
    </row>
    <row r="8145" spans="1:6" x14ac:dyDescent="0.25">
      <c r="A8145" s="1">
        <v>41275</v>
      </c>
      <c r="B8145" t="s">
        <v>24</v>
      </c>
      <c r="C8145" t="s">
        <v>8</v>
      </c>
      <c r="D8145">
        <v>27</v>
      </c>
      <c r="E8145" s="2">
        <v>2.6956018518518518E-2</v>
      </c>
      <c r="F8145">
        <v>38.81666666666667</v>
      </c>
    </row>
    <row r="8146" spans="1:6" x14ac:dyDescent="0.25">
      <c r="A8146" s="1">
        <v>41275</v>
      </c>
      <c r="B8146" t="s">
        <v>24</v>
      </c>
      <c r="C8146" t="s">
        <v>9</v>
      </c>
      <c r="D8146">
        <v>18</v>
      </c>
      <c r="E8146" s="2">
        <v>1.1261574074074075E-2</v>
      </c>
      <c r="F8146">
        <v>16.216666666666665</v>
      </c>
    </row>
    <row r="8147" spans="1:6" x14ac:dyDescent="0.25">
      <c r="A8147" s="1">
        <v>41275</v>
      </c>
      <c r="B8147" t="s">
        <v>24</v>
      </c>
      <c r="C8147" t="s">
        <v>10</v>
      </c>
      <c r="D8147">
        <v>3</v>
      </c>
      <c r="E8147" s="2">
        <v>2.5000000000000001E-3</v>
      </c>
      <c r="F8147">
        <v>3.6</v>
      </c>
    </row>
    <row r="8148" spans="1:6" x14ac:dyDescent="0.25">
      <c r="A8148" s="1">
        <v>41275</v>
      </c>
      <c r="B8148" t="s">
        <v>24</v>
      </c>
      <c r="C8148" t="s">
        <v>11</v>
      </c>
      <c r="D8148">
        <v>31</v>
      </c>
      <c r="E8148" s="2">
        <v>2.6249999999999999E-2</v>
      </c>
      <c r="F8148">
        <v>37.799999999999997</v>
      </c>
    </row>
    <row r="8149" spans="1:6" x14ac:dyDescent="0.25">
      <c r="A8149" s="1">
        <v>41306</v>
      </c>
      <c r="B8149" t="s">
        <v>5</v>
      </c>
      <c r="C8149" t="s">
        <v>6</v>
      </c>
      <c r="D8149">
        <v>30</v>
      </c>
      <c r="E8149" s="2">
        <v>2.3854166666666666E-2</v>
      </c>
      <c r="F8149">
        <v>34.35</v>
      </c>
    </row>
    <row r="8150" spans="1:6" x14ac:dyDescent="0.25">
      <c r="A8150" s="1">
        <v>41306</v>
      </c>
      <c r="B8150" t="s">
        <v>5</v>
      </c>
      <c r="C8150" t="s">
        <v>7</v>
      </c>
      <c r="D8150">
        <v>31</v>
      </c>
      <c r="E8150" s="2">
        <v>2.0011574074074074E-2</v>
      </c>
      <c r="F8150">
        <v>28.816666666666666</v>
      </c>
    </row>
    <row r="8151" spans="1:6" x14ac:dyDescent="0.25">
      <c r="A8151" s="1">
        <v>41306</v>
      </c>
      <c r="B8151" t="s">
        <v>5</v>
      </c>
      <c r="C8151" t="s">
        <v>8</v>
      </c>
      <c r="D8151">
        <v>22</v>
      </c>
      <c r="E8151" s="2">
        <v>1.7384259259259259E-2</v>
      </c>
      <c r="F8151">
        <v>25.033333333333335</v>
      </c>
    </row>
    <row r="8152" spans="1:6" x14ac:dyDescent="0.25">
      <c r="A8152" s="1">
        <v>41306</v>
      </c>
      <c r="B8152" t="s">
        <v>5</v>
      </c>
      <c r="C8152" t="s">
        <v>9</v>
      </c>
      <c r="D8152">
        <v>9</v>
      </c>
      <c r="E8152" s="2">
        <v>3.4375E-3</v>
      </c>
      <c r="F8152">
        <v>4.95</v>
      </c>
    </row>
    <row r="8153" spans="1:6" x14ac:dyDescent="0.25">
      <c r="A8153" s="1">
        <v>41306</v>
      </c>
      <c r="B8153" t="s">
        <v>5</v>
      </c>
      <c r="C8153" t="s">
        <v>10</v>
      </c>
      <c r="D8153">
        <v>0</v>
      </c>
      <c r="E8153" s="2">
        <v>0</v>
      </c>
      <c r="F8153">
        <v>0</v>
      </c>
    </row>
    <row r="8154" spans="1:6" x14ac:dyDescent="0.25">
      <c r="A8154" s="1">
        <v>41306</v>
      </c>
      <c r="B8154" t="s">
        <v>5</v>
      </c>
      <c r="C8154" t="s">
        <v>11</v>
      </c>
      <c r="D8154">
        <v>16</v>
      </c>
      <c r="E8154" s="2">
        <v>1.0162037037037037E-2</v>
      </c>
      <c r="F8154">
        <v>14.633333333333333</v>
      </c>
    </row>
    <row r="8155" spans="1:6" x14ac:dyDescent="0.25">
      <c r="A8155" s="1">
        <v>41306</v>
      </c>
      <c r="B8155" t="s">
        <v>12</v>
      </c>
      <c r="C8155" t="s">
        <v>6</v>
      </c>
      <c r="D8155">
        <v>40</v>
      </c>
      <c r="E8155" s="2">
        <v>5.3657407407407411E-2</v>
      </c>
      <c r="F8155">
        <v>77.266666666666666</v>
      </c>
    </row>
    <row r="8156" spans="1:6" x14ac:dyDescent="0.25">
      <c r="A8156" s="1">
        <v>41306</v>
      </c>
      <c r="B8156" t="s">
        <v>12</v>
      </c>
      <c r="C8156" t="s">
        <v>7</v>
      </c>
      <c r="D8156">
        <v>46</v>
      </c>
      <c r="E8156" s="2">
        <v>6.3495370370370369E-2</v>
      </c>
      <c r="F8156">
        <v>91.433333333333337</v>
      </c>
    </row>
    <row r="8157" spans="1:6" x14ac:dyDescent="0.25">
      <c r="A8157" s="1">
        <v>41306</v>
      </c>
      <c r="B8157" t="s">
        <v>12</v>
      </c>
      <c r="C8157" t="s">
        <v>8</v>
      </c>
      <c r="D8157">
        <v>26</v>
      </c>
      <c r="E8157" s="2">
        <v>3.2951388888888891E-2</v>
      </c>
      <c r="F8157">
        <v>47.45</v>
      </c>
    </row>
    <row r="8158" spans="1:6" x14ac:dyDescent="0.25">
      <c r="A8158" s="1">
        <v>41306</v>
      </c>
      <c r="B8158" t="s">
        <v>12</v>
      </c>
      <c r="C8158" t="s">
        <v>9</v>
      </c>
      <c r="D8158">
        <v>15</v>
      </c>
      <c r="E8158" s="2">
        <v>9.1203703703703707E-3</v>
      </c>
      <c r="F8158">
        <v>13.133333333333333</v>
      </c>
    </row>
    <row r="8159" spans="1:6" x14ac:dyDescent="0.25">
      <c r="A8159" s="1">
        <v>41306</v>
      </c>
      <c r="B8159" t="s">
        <v>12</v>
      </c>
      <c r="C8159" t="s">
        <v>10</v>
      </c>
      <c r="D8159">
        <v>34</v>
      </c>
      <c r="E8159" s="2">
        <v>6.0601851851851851E-2</v>
      </c>
      <c r="F8159">
        <v>87.266666666666666</v>
      </c>
    </row>
    <row r="8160" spans="1:6" x14ac:dyDescent="0.25">
      <c r="A8160" s="1">
        <v>41306</v>
      </c>
      <c r="B8160" t="s">
        <v>12</v>
      </c>
      <c r="C8160" t="s">
        <v>11</v>
      </c>
      <c r="D8160">
        <v>41</v>
      </c>
      <c r="E8160" s="2">
        <v>4.5185185185185182E-2</v>
      </c>
      <c r="F8160">
        <v>65.066666666666663</v>
      </c>
    </row>
    <row r="8161" spans="1:6" x14ac:dyDescent="0.25">
      <c r="A8161" s="1">
        <v>41306</v>
      </c>
      <c r="B8161" t="s">
        <v>13</v>
      </c>
      <c r="C8161" t="s">
        <v>6</v>
      </c>
      <c r="D8161">
        <v>64</v>
      </c>
      <c r="E8161" s="2">
        <v>8.8460648148148149E-2</v>
      </c>
      <c r="F8161">
        <v>127.38333333333334</v>
      </c>
    </row>
    <row r="8162" spans="1:6" x14ac:dyDescent="0.25">
      <c r="A8162" s="1">
        <v>41306</v>
      </c>
      <c r="B8162" t="s">
        <v>13</v>
      </c>
      <c r="C8162" t="s">
        <v>7</v>
      </c>
      <c r="D8162">
        <v>70</v>
      </c>
      <c r="E8162" s="2">
        <v>0.10028935185185185</v>
      </c>
      <c r="F8162">
        <v>144.41666666666666</v>
      </c>
    </row>
    <row r="8163" spans="1:6" x14ac:dyDescent="0.25">
      <c r="A8163" s="1">
        <v>41306</v>
      </c>
      <c r="B8163" t="s">
        <v>13</v>
      </c>
      <c r="C8163" t="s">
        <v>8</v>
      </c>
      <c r="D8163">
        <v>49</v>
      </c>
      <c r="E8163" s="2">
        <v>5.9699074074074071E-2</v>
      </c>
      <c r="F8163">
        <v>85.966666666666669</v>
      </c>
    </row>
    <row r="8164" spans="1:6" x14ac:dyDescent="0.25">
      <c r="A8164" s="1">
        <v>41306</v>
      </c>
      <c r="B8164" t="s">
        <v>13</v>
      </c>
      <c r="C8164" t="s">
        <v>9</v>
      </c>
      <c r="D8164">
        <v>38</v>
      </c>
      <c r="E8164" s="2">
        <v>2.8877314814814814E-2</v>
      </c>
      <c r="F8164">
        <v>41.583333333333336</v>
      </c>
    </row>
    <row r="8165" spans="1:6" x14ac:dyDescent="0.25">
      <c r="A8165" s="1">
        <v>41306</v>
      </c>
      <c r="B8165" t="s">
        <v>13</v>
      </c>
      <c r="C8165" t="s">
        <v>10</v>
      </c>
      <c r="D8165">
        <v>26</v>
      </c>
      <c r="E8165" s="2">
        <v>2.9351851851851851E-2</v>
      </c>
      <c r="F8165">
        <v>42.266666666666666</v>
      </c>
    </row>
    <row r="8166" spans="1:6" x14ac:dyDescent="0.25">
      <c r="A8166" s="1">
        <v>41306</v>
      </c>
      <c r="B8166" t="s">
        <v>13</v>
      </c>
      <c r="C8166" t="s">
        <v>11</v>
      </c>
      <c r="D8166">
        <v>46</v>
      </c>
      <c r="E8166" s="2">
        <v>4.8310185185185185E-2</v>
      </c>
      <c r="F8166">
        <v>69.566666666666663</v>
      </c>
    </row>
    <row r="8167" spans="1:6" x14ac:dyDescent="0.25">
      <c r="A8167" s="1">
        <v>41306</v>
      </c>
      <c r="B8167" t="s">
        <v>14</v>
      </c>
      <c r="C8167" t="s">
        <v>6</v>
      </c>
      <c r="D8167">
        <v>16</v>
      </c>
      <c r="E8167" s="2">
        <v>2.5034722222222222E-2</v>
      </c>
      <c r="F8167">
        <v>36.049999999999997</v>
      </c>
    </row>
    <row r="8168" spans="1:6" x14ac:dyDescent="0.25">
      <c r="A8168" s="1">
        <v>41306</v>
      </c>
      <c r="B8168" t="s">
        <v>14</v>
      </c>
      <c r="C8168" t="s">
        <v>7</v>
      </c>
      <c r="D8168">
        <v>12</v>
      </c>
      <c r="E8168" s="2">
        <v>1.8530092592592591E-2</v>
      </c>
      <c r="F8168">
        <v>26.683333333333334</v>
      </c>
    </row>
    <row r="8169" spans="1:6" x14ac:dyDescent="0.25">
      <c r="A8169" s="1">
        <v>41306</v>
      </c>
      <c r="B8169" t="s">
        <v>14</v>
      </c>
      <c r="C8169" t="s">
        <v>8</v>
      </c>
      <c r="D8169">
        <v>13</v>
      </c>
      <c r="E8169" s="2">
        <v>1.7245370370370369E-2</v>
      </c>
      <c r="F8169">
        <v>24.833333333333332</v>
      </c>
    </row>
    <row r="8170" spans="1:6" x14ac:dyDescent="0.25">
      <c r="A8170" s="1">
        <v>41306</v>
      </c>
      <c r="B8170" t="s">
        <v>14</v>
      </c>
      <c r="C8170" t="s">
        <v>9</v>
      </c>
      <c r="D8170">
        <v>3</v>
      </c>
      <c r="E8170" s="2">
        <v>1.0069444444444444E-3</v>
      </c>
      <c r="F8170">
        <v>1.45</v>
      </c>
    </row>
    <row r="8171" spans="1:6" x14ac:dyDescent="0.25">
      <c r="A8171" s="1">
        <v>41306</v>
      </c>
      <c r="B8171" t="s">
        <v>14</v>
      </c>
      <c r="C8171" t="s">
        <v>10</v>
      </c>
      <c r="D8171">
        <v>3</v>
      </c>
      <c r="E8171" s="2">
        <v>3.8888888888888888E-3</v>
      </c>
      <c r="F8171">
        <v>5.6</v>
      </c>
    </row>
    <row r="8172" spans="1:6" x14ac:dyDescent="0.25">
      <c r="A8172" s="1">
        <v>41306</v>
      </c>
      <c r="B8172" t="s">
        <v>14</v>
      </c>
      <c r="C8172" t="s">
        <v>11</v>
      </c>
      <c r="D8172">
        <v>21</v>
      </c>
      <c r="E8172" s="2">
        <v>1.7511574074074075E-2</v>
      </c>
      <c r="F8172">
        <v>25.216666666666665</v>
      </c>
    </row>
    <row r="8173" spans="1:6" x14ac:dyDescent="0.25">
      <c r="A8173" s="1">
        <v>41306</v>
      </c>
      <c r="B8173" t="s">
        <v>15</v>
      </c>
      <c r="C8173" t="s">
        <v>6</v>
      </c>
      <c r="D8173">
        <v>27</v>
      </c>
      <c r="E8173" s="2">
        <v>3.037037037037037E-2</v>
      </c>
      <c r="F8173">
        <v>43.733333333333334</v>
      </c>
    </row>
    <row r="8174" spans="1:6" x14ac:dyDescent="0.25">
      <c r="A8174" s="1">
        <v>41306</v>
      </c>
      <c r="B8174" t="s">
        <v>15</v>
      </c>
      <c r="C8174" t="s">
        <v>7</v>
      </c>
      <c r="D8174">
        <v>22</v>
      </c>
      <c r="E8174" s="2">
        <v>2.5000000000000001E-2</v>
      </c>
      <c r="F8174">
        <v>36</v>
      </c>
    </row>
    <row r="8175" spans="1:6" x14ac:dyDescent="0.25">
      <c r="A8175" s="1">
        <v>41306</v>
      </c>
      <c r="B8175" t="s">
        <v>15</v>
      </c>
      <c r="C8175" t="s">
        <v>8</v>
      </c>
      <c r="D8175">
        <v>12</v>
      </c>
      <c r="E8175" s="2">
        <v>1.2511574074074074E-2</v>
      </c>
      <c r="F8175">
        <v>18.016666666666666</v>
      </c>
    </row>
    <row r="8176" spans="1:6" x14ac:dyDescent="0.25">
      <c r="A8176" s="1">
        <v>41306</v>
      </c>
      <c r="B8176" t="s">
        <v>15</v>
      </c>
      <c r="C8176" t="s">
        <v>9</v>
      </c>
      <c r="D8176">
        <v>9</v>
      </c>
      <c r="E8176" s="2">
        <v>6.6550925925925927E-3</v>
      </c>
      <c r="F8176">
        <v>9.5833333333333339</v>
      </c>
    </row>
    <row r="8177" spans="1:6" x14ac:dyDescent="0.25">
      <c r="A8177" s="1">
        <v>41306</v>
      </c>
      <c r="B8177" t="s">
        <v>15</v>
      </c>
      <c r="C8177" t="s">
        <v>10</v>
      </c>
      <c r="D8177">
        <v>4</v>
      </c>
      <c r="E8177" s="2">
        <v>5.2314814814814811E-3</v>
      </c>
      <c r="F8177">
        <v>7.5333333333333332</v>
      </c>
    </row>
    <row r="8178" spans="1:6" x14ac:dyDescent="0.25">
      <c r="A8178" s="1">
        <v>41306</v>
      </c>
      <c r="B8178" t="s">
        <v>15</v>
      </c>
      <c r="C8178" t="s">
        <v>11</v>
      </c>
      <c r="D8178">
        <v>5</v>
      </c>
      <c r="E8178" s="2">
        <v>3.7615740740740739E-3</v>
      </c>
      <c r="F8178">
        <v>5.416666666666667</v>
      </c>
    </row>
    <row r="8179" spans="1:6" x14ac:dyDescent="0.25">
      <c r="A8179" s="1">
        <v>41306</v>
      </c>
      <c r="B8179" t="s">
        <v>16</v>
      </c>
      <c r="C8179" t="s">
        <v>6</v>
      </c>
      <c r="D8179">
        <v>32</v>
      </c>
      <c r="E8179" s="2">
        <v>2.5578703703703704E-2</v>
      </c>
      <c r="F8179">
        <v>36.833333333333336</v>
      </c>
    </row>
    <row r="8180" spans="1:6" x14ac:dyDescent="0.25">
      <c r="A8180" s="1">
        <v>41306</v>
      </c>
      <c r="B8180" t="s">
        <v>16</v>
      </c>
      <c r="C8180" t="s">
        <v>7</v>
      </c>
      <c r="D8180">
        <v>33</v>
      </c>
      <c r="E8180" s="2">
        <v>3.0810185185185184E-2</v>
      </c>
      <c r="F8180">
        <v>44.366666666666667</v>
      </c>
    </row>
    <row r="8181" spans="1:6" x14ac:dyDescent="0.25">
      <c r="A8181" s="1">
        <v>41306</v>
      </c>
      <c r="B8181" t="s">
        <v>16</v>
      </c>
      <c r="C8181" t="s">
        <v>8</v>
      </c>
      <c r="D8181">
        <v>25</v>
      </c>
      <c r="E8181" s="2">
        <v>2.0497685185185185E-2</v>
      </c>
      <c r="F8181">
        <v>29.516666666666666</v>
      </c>
    </row>
    <row r="8182" spans="1:6" x14ac:dyDescent="0.25">
      <c r="A8182" s="1">
        <v>41306</v>
      </c>
      <c r="B8182" t="s">
        <v>16</v>
      </c>
      <c r="C8182" t="s">
        <v>9</v>
      </c>
      <c r="D8182">
        <v>21</v>
      </c>
      <c r="E8182" s="2">
        <v>1.2916666666666667E-2</v>
      </c>
      <c r="F8182">
        <v>18.600000000000001</v>
      </c>
    </row>
    <row r="8183" spans="1:6" x14ac:dyDescent="0.25">
      <c r="A8183" s="1">
        <v>41306</v>
      </c>
      <c r="B8183" t="s">
        <v>16</v>
      </c>
      <c r="C8183" t="s">
        <v>10</v>
      </c>
      <c r="D8183">
        <v>3</v>
      </c>
      <c r="E8183" s="2">
        <v>2.0370370370370369E-3</v>
      </c>
      <c r="F8183">
        <v>2.9333333333333336</v>
      </c>
    </row>
    <row r="8184" spans="1:6" x14ac:dyDescent="0.25">
      <c r="A8184" s="1">
        <v>41306</v>
      </c>
      <c r="B8184" t="s">
        <v>16</v>
      </c>
      <c r="C8184" t="s">
        <v>11</v>
      </c>
      <c r="D8184">
        <v>52</v>
      </c>
      <c r="E8184" s="2">
        <v>4.1469907407407407E-2</v>
      </c>
      <c r="F8184">
        <v>59.716666666666669</v>
      </c>
    </row>
    <row r="8185" spans="1:6" x14ac:dyDescent="0.25">
      <c r="A8185" s="1">
        <v>41306</v>
      </c>
      <c r="B8185" t="s">
        <v>17</v>
      </c>
      <c r="C8185" t="s">
        <v>6</v>
      </c>
      <c r="D8185">
        <v>9</v>
      </c>
      <c r="E8185" s="2">
        <v>7.0486111111111114E-3</v>
      </c>
      <c r="F8185">
        <v>10.15</v>
      </c>
    </row>
    <row r="8186" spans="1:6" x14ac:dyDescent="0.25">
      <c r="A8186" s="1">
        <v>41306</v>
      </c>
      <c r="B8186" t="s">
        <v>17</v>
      </c>
      <c r="C8186" t="s">
        <v>7</v>
      </c>
      <c r="D8186">
        <v>9</v>
      </c>
      <c r="E8186" s="2">
        <v>1.1064814814814816E-2</v>
      </c>
      <c r="F8186">
        <v>15.933333333333334</v>
      </c>
    </row>
    <row r="8187" spans="1:6" x14ac:dyDescent="0.25">
      <c r="A8187" s="1">
        <v>41306</v>
      </c>
      <c r="B8187" t="s">
        <v>17</v>
      </c>
      <c r="C8187" t="s">
        <v>8</v>
      </c>
      <c r="D8187">
        <v>3</v>
      </c>
      <c r="E8187" s="2">
        <v>3.3101851851851851E-3</v>
      </c>
      <c r="F8187">
        <v>4.7666666666666666</v>
      </c>
    </row>
    <row r="8188" spans="1:6" x14ac:dyDescent="0.25">
      <c r="A8188" s="1">
        <v>41306</v>
      </c>
      <c r="B8188" t="s">
        <v>17</v>
      </c>
      <c r="C8188" t="s">
        <v>9</v>
      </c>
      <c r="D8188">
        <v>4</v>
      </c>
      <c r="E8188" s="2">
        <v>2.9629629629629628E-3</v>
      </c>
      <c r="F8188">
        <v>4.2666666666666666</v>
      </c>
    </row>
    <row r="8189" spans="1:6" x14ac:dyDescent="0.25">
      <c r="A8189" s="1">
        <v>41306</v>
      </c>
      <c r="B8189" t="s">
        <v>17</v>
      </c>
      <c r="C8189" t="s">
        <v>10</v>
      </c>
      <c r="D8189">
        <v>6</v>
      </c>
      <c r="E8189" s="2">
        <v>3.9814814814814817E-3</v>
      </c>
      <c r="F8189">
        <v>5.7333333333333334</v>
      </c>
    </row>
    <row r="8190" spans="1:6" x14ac:dyDescent="0.25">
      <c r="A8190" s="1">
        <v>41306</v>
      </c>
      <c r="B8190" t="s">
        <v>17</v>
      </c>
      <c r="C8190" t="s">
        <v>11</v>
      </c>
      <c r="D8190">
        <v>2</v>
      </c>
      <c r="E8190" s="2">
        <v>1.1921296296296296E-3</v>
      </c>
      <c r="F8190">
        <v>1.7166666666666668</v>
      </c>
    </row>
    <row r="8191" spans="1:6" x14ac:dyDescent="0.25">
      <c r="A8191" s="1">
        <v>41306</v>
      </c>
      <c r="B8191" t="s">
        <v>18</v>
      </c>
      <c r="C8191" t="s">
        <v>6</v>
      </c>
      <c r="D8191">
        <v>96</v>
      </c>
      <c r="E8191" s="2">
        <v>0.10407407407407407</v>
      </c>
      <c r="F8191">
        <v>149.86666666666667</v>
      </c>
    </row>
    <row r="8192" spans="1:6" x14ac:dyDescent="0.25">
      <c r="A8192" s="1">
        <v>41306</v>
      </c>
      <c r="B8192" t="s">
        <v>18</v>
      </c>
      <c r="C8192" t="s">
        <v>7</v>
      </c>
      <c r="D8192">
        <v>111</v>
      </c>
      <c r="E8192" s="2">
        <v>0.10181712962962963</v>
      </c>
      <c r="F8192">
        <v>146.61666666666667</v>
      </c>
    </row>
    <row r="8193" spans="1:6" x14ac:dyDescent="0.25">
      <c r="A8193" s="1">
        <v>41306</v>
      </c>
      <c r="B8193" t="s">
        <v>18</v>
      </c>
      <c r="C8193" t="s">
        <v>8</v>
      </c>
      <c r="D8193">
        <v>57</v>
      </c>
      <c r="E8193" s="2">
        <v>5.572916666666667E-2</v>
      </c>
      <c r="F8193">
        <v>80.25</v>
      </c>
    </row>
    <row r="8194" spans="1:6" x14ac:dyDescent="0.25">
      <c r="A8194" s="1">
        <v>41306</v>
      </c>
      <c r="B8194" t="s">
        <v>18</v>
      </c>
      <c r="C8194" t="s">
        <v>9</v>
      </c>
      <c r="D8194">
        <v>66</v>
      </c>
      <c r="E8194" s="2">
        <v>4.5937499999999999E-2</v>
      </c>
      <c r="F8194">
        <v>66.150000000000006</v>
      </c>
    </row>
    <row r="8195" spans="1:6" x14ac:dyDescent="0.25">
      <c r="A8195" s="1">
        <v>41306</v>
      </c>
      <c r="B8195" t="s">
        <v>18</v>
      </c>
      <c r="C8195" t="s">
        <v>10</v>
      </c>
      <c r="D8195">
        <v>119</v>
      </c>
      <c r="E8195" s="2">
        <v>0.13664351851851853</v>
      </c>
      <c r="F8195">
        <v>196.76666666666668</v>
      </c>
    </row>
    <row r="8196" spans="1:6" x14ac:dyDescent="0.25">
      <c r="A8196" s="1">
        <v>41306</v>
      </c>
      <c r="B8196" t="s">
        <v>18</v>
      </c>
      <c r="C8196" t="s">
        <v>11</v>
      </c>
      <c r="D8196">
        <v>63</v>
      </c>
      <c r="E8196" s="2">
        <v>5.0405092592592592E-2</v>
      </c>
      <c r="F8196">
        <v>72.583333333333329</v>
      </c>
    </row>
    <row r="8197" spans="1:6" x14ac:dyDescent="0.25">
      <c r="A8197" s="1">
        <v>41306</v>
      </c>
      <c r="B8197" t="s">
        <v>19</v>
      </c>
      <c r="C8197" t="s">
        <v>6</v>
      </c>
      <c r="D8197">
        <v>16</v>
      </c>
      <c r="E8197" s="2">
        <v>1.7905092592592594E-2</v>
      </c>
      <c r="F8197">
        <v>25.783333333333335</v>
      </c>
    </row>
    <row r="8198" spans="1:6" x14ac:dyDescent="0.25">
      <c r="A8198" s="1">
        <v>41306</v>
      </c>
      <c r="B8198" t="s">
        <v>19</v>
      </c>
      <c r="C8198" t="s">
        <v>7</v>
      </c>
      <c r="D8198">
        <v>11</v>
      </c>
      <c r="E8198" s="2">
        <v>1.3460648148148149E-2</v>
      </c>
      <c r="F8198">
        <v>19.383333333333333</v>
      </c>
    </row>
    <row r="8199" spans="1:6" x14ac:dyDescent="0.25">
      <c r="A8199" s="1">
        <v>41306</v>
      </c>
      <c r="B8199" t="s">
        <v>19</v>
      </c>
      <c r="C8199" t="s">
        <v>8</v>
      </c>
      <c r="D8199">
        <v>17</v>
      </c>
      <c r="E8199" s="2">
        <v>1.8414351851851852E-2</v>
      </c>
      <c r="F8199">
        <v>26.516666666666666</v>
      </c>
    </row>
    <row r="8200" spans="1:6" x14ac:dyDescent="0.25">
      <c r="A8200" s="1">
        <v>41306</v>
      </c>
      <c r="B8200" t="s">
        <v>19</v>
      </c>
      <c r="C8200" t="s">
        <v>9</v>
      </c>
      <c r="D8200">
        <v>19</v>
      </c>
      <c r="E8200" s="2">
        <v>1.2870370370370371E-2</v>
      </c>
      <c r="F8200">
        <v>18.533333333333335</v>
      </c>
    </row>
    <row r="8201" spans="1:6" x14ac:dyDescent="0.25">
      <c r="A8201" s="1">
        <v>41306</v>
      </c>
      <c r="B8201" t="s">
        <v>19</v>
      </c>
      <c r="C8201" t="s">
        <v>10</v>
      </c>
      <c r="D8201">
        <v>8</v>
      </c>
      <c r="E8201" s="2">
        <v>9.9652777777777778E-3</v>
      </c>
      <c r="F8201">
        <v>14.35</v>
      </c>
    </row>
    <row r="8202" spans="1:6" x14ac:dyDescent="0.25">
      <c r="A8202" s="1">
        <v>41306</v>
      </c>
      <c r="B8202" t="s">
        <v>19</v>
      </c>
      <c r="C8202" t="s">
        <v>11</v>
      </c>
      <c r="D8202">
        <v>24</v>
      </c>
      <c r="E8202" s="2">
        <v>2.0173611111111111E-2</v>
      </c>
      <c r="F8202">
        <v>29.05</v>
      </c>
    </row>
    <row r="8203" spans="1:6" x14ac:dyDescent="0.25">
      <c r="A8203" s="1">
        <v>41306</v>
      </c>
      <c r="B8203" t="s">
        <v>20</v>
      </c>
      <c r="C8203" t="s">
        <v>6</v>
      </c>
      <c r="D8203">
        <v>16</v>
      </c>
      <c r="E8203" s="2">
        <v>2.1724537037037039E-2</v>
      </c>
      <c r="F8203">
        <v>31.283333333333335</v>
      </c>
    </row>
    <row r="8204" spans="1:6" x14ac:dyDescent="0.25">
      <c r="A8204" s="1">
        <v>41306</v>
      </c>
      <c r="B8204" t="s">
        <v>20</v>
      </c>
      <c r="C8204" t="s">
        <v>7</v>
      </c>
      <c r="D8204">
        <v>29</v>
      </c>
      <c r="E8204" s="2">
        <v>2.837962962962963E-2</v>
      </c>
      <c r="F8204">
        <v>40.866666666666667</v>
      </c>
    </row>
    <row r="8205" spans="1:6" x14ac:dyDescent="0.25">
      <c r="A8205" s="1">
        <v>41306</v>
      </c>
      <c r="B8205" t="s">
        <v>20</v>
      </c>
      <c r="C8205" t="s">
        <v>8</v>
      </c>
      <c r="D8205">
        <v>13</v>
      </c>
      <c r="E8205" s="2">
        <v>1.1481481481481481E-2</v>
      </c>
      <c r="F8205">
        <v>16.533333333333335</v>
      </c>
    </row>
    <row r="8206" spans="1:6" x14ac:dyDescent="0.25">
      <c r="A8206" s="1">
        <v>41306</v>
      </c>
      <c r="B8206" t="s">
        <v>20</v>
      </c>
      <c r="C8206" t="s">
        <v>9</v>
      </c>
      <c r="D8206">
        <v>8</v>
      </c>
      <c r="E8206" s="2">
        <v>5.1736111111111115E-3</v>
      </c>
      <c r="F8206">
        <v>7.45</v>
      </c>
    </row>
    <row r="8207" spans="1:6" x14ac:dyDescent="0.25">
      <c r="A8207" s="1">
        <v>41306</v>
      </c>
      <c r="B8207" t="s">
        <v>20</v>
      </c>
      <c r="C8207" t="s">
        <v>10</v>
      </c>
      <c r="D8207">
        <v>1</v>
      </c>
      <c r="E8207" s="2">
        <v>2.3148148148148149E-4</v>
      </c>
      <c r="F8207">
        <v>0.33333333333333331</v>
      </c>
    </row>
    <row r="8208" spans="1:6" x14ac:dyDescent="0.25">
      <c r="A8208" s="1">
        <v>41306</v>
      </c>
      <c r="B8208" t="s">
        <v>20</v>
      </c>
      <c r="C8208" t="s">
        <v>11</v>
      </c>
      <c r="D8208">
        <v>15</v>
      </c>
      <c r="E8208" s="2">
        <v>1.0821759259259258E-2</v>
      </c>
      <c r="F8208">
        <v>15.583333333333334</v>
      </c>
    </row>
    <row r="8209" spans="1:6" x14ac:dyDescent="0.25">
      <c r="A8209" s="1">
        <v>41306</v>
      </c>
      <c r="B8209" t="s">
        <v>21</v>
      </c>
      <c r="C8209" t="s">
        <v>6</v>
      </c>
      <c r="D8209">
        <v>18</v>
      </c>
      <c r="E8209" s="2">
        <v>2.5104166666666667E-2</v>
      </c>
      <c r="F8209">
        <v>36.15</v>
      </c>
    </row>
    <row r="8210" spans="1:6" x14ac:dyDescent="0.25">
      <c r="A8210" s="1">
        <v>41306</v>
      </c>
      <c r="B8210" t="s">
        <v>21</v>
      </c>
      <c r="C8210" t="s">
        <v>7</v>
      </c>
      <c r="D8210">
        <v>21</v>
      </c>
      <c r="E8210" s="2">
        <v>4.4652777777777777E-2</v>
      </c>
      <c r="F8210">
        <v>64.3</v>
      </c>
    </row>
    <row r="8211" spans="1:6" x14ac:dyDescent="0.25">
      <c r="A8211" s="1">
        <v>41306</v>
      </c>
      <c r="B8211" t="s">
        <v>21</v>
      </c>
      <c r="C8211" t="s">
        <v>8</v>
      </c>
      <c r="D8211">
        <v>16</v>
      </c>
      <c r="E8211" s="2">
        <v>2.2210648148148149E-2</v>
      </c>
      <c r="F8211">
        <v>31.983333333333334</v>
      </c>
    </row>
    <row r="8212" spans="1:6" x14ac:dyDescent="0.25">
      <c r="A8212" s="1">
        <v>41306</v>
      </c>
      <c r="B8212" t="s">
        <v>21</v>
      </c>
      <c r="C8212" t="s">
        <v>9</v>
      </c>
      <c r="D8212">
        <v>5</v>
      </c>
      <c r="E8212" s="2">
        <v>3.2407407407407406E-3</v>
      </c>
      <c r="F8212">
        <v>4.666666666666667</v>
      </c>
    </row>
    <row r="8213" spans="1:6" x14ac:dyDescent="0.25">
      <c r="A8213" s="1">
        <v>41306</v>
      </c>
      <c r="B8213" t="s">
        <v>21</v>
      </c>
      <c r="C8213" t="s">
        <v>10</v>
      </c>
      <c r="D8213">
        <v>3</v>
      </c>
      <c r="E8213" s="2">
        <v>4.8032407407407407E-3</v>
      </c>
      <c r="F8213">
        <v>6.916666666666667</v>
      </c>
    </row>
    <row r="8214" spans="1:6" x14ac:dyDescent="0.25">
      <c r="A8214" s="1">
        <v>41306</v>
      </c>
      <c r="B8214" t="s">
        <v>21</v>
      </c>
      <c r="C8214" t="s">
        <v>11</v>
      </c>
      <c r="D8214">
        <v>14</v>
      </c>
      <c r="E8214" s="2">
        <v>1.3680555555555555E-2</v>
      </c>
      <c r="F8214">
        <v>19.7</v>
      </c>
    </row>
    <row r="8215" spans="1:6" x14ac:dyDescent="0.25">
      <c r="A8215" s="1">
        <v>41306</v>
      </c>
      <c r="B8215" t="s">
        <v>22</v>
      </c>
      <c r="C8215" t="s">
        <v>6</v>
      </c>
      <c r="D8215">
        <v>14</v>
      </c>
      <c r="E8215" s="2">
        <v>1.8148148148148149E-2</v>
      </c>
      <c r="F8215">
        <v>26.133333333333333</v>
      </c>
    </row>
    <row r="8216" spans="1:6" x14ac:dyDescent="0.25">
      <c r="A8216" s="1">
        <v>41306</v>
      </c>
      <c r="B8216" t="s">
        <v>22</v>
      </c>
      <c r="C8216" t="s">
        <v>7</v>
      </c>
      <c r="D8216">
        <v>11</v>
      </c>
      <c r="E8216" s="2">
        <v>1.4131944444444445E-2</v>
      </c>
      <c r="F8216">
        <v>20.350000000000001</v>
      </c>
    </row>
    <row r="8217" spans="1:6" x14ac:dyDescent="0.25">
      <c r="A8217" s="1">
        <v>41306</v>
      </c>
      <c r="B8217" t="s">
        <v>22</v>
      </c>
      <c r="C8217" t="s">
        <v>8</v>
      </c>
      <c r="D8217">
        <v>3</v>
      </c>
      <c r="E8217" s="2">
        <v>3.414351851851852E-3</v>
      </c>
      <c r="F8217">
        <v>4.916666666666667</v>
      </c>
    </row>
    <row r="8218" spans="1:6" x14ac:dyDescent="0.25">
      <c r="A8218" s="1">
        <v>41306</v>
      </c>
      <c r="B8218" t="s">
        <v>22</v>
      </c>
      <c r="C8218" t="s">
        <v>9</v>
      </c>
      <c r="D8218">
        <v>11</v>
      </c>
      <c r="E8218" s="2">
        <v>5.115740740740741E-3</v>
      </c>
      <c r="F8218">
        <v>7.3666666666666663</v>
      </c>
    </row>
    <row r="8219" spans="1:6" x14ac:dyDescent="0.25">
      <c r="A8219" s="1">
        <v>41306</v>
      </c>
      <c r="B8219" t="s">
        <v>22</v>
      </c>
      <c r="C8219" t="s">
        <v>10</v>
      </c>
      <c r="D8219">
        <v>2</v>
      </c>
      <c r="E8219" s="2">
        <v>2.7662037037037039E-3</v>
      </c>
      <c r="F8219">
        <v>3.9833333333333334</v>
      </c>
    </row>
    <row r="8220" spans="1:6" x14ac:dyDescent="0.25">
      <c r="A8220" s="1">
        <v>41306</v>
      </c>
      <c r="B8220" t="s">
        <v>22</v>
      </c>
      <c r="C8220" t="s">
        <v>11</v>
      </c>
      <c r="D8220">
        <v>11</v>
      </c>
      <c r="E8220" s="2">
        <v>1.1805555555555555E-2</v>
      </c>
      <c r="F8220">
        <v>17</v>
      </c>
    </row>
    <row r="8221" spans="1:6" x14ac:dyDescent="0.25">
      <c r="A8221" s="1">
        <v>41306</v>
      </c>
      <c r="B8221" t="s">
        <v>23</v>
      </c>
      <c r="C8221" t="s">
        <v>6</v>
      </c>
      <c r="D8221">
        <v>139</v>
      </c>
      <c r="E8221" s="2">
        <v>0.16503472222222224</v>
      </c>
      <c r="F8221">
        <v>237.65</v>
      </c>
    </row>
    <row r="8222" spans="1:6" x14ac:dyDescent="0.25">
      <c r="A8222" s="1">
        <v>41306</v>
      </c>
      <c r="B8222" t="s">
        <v>23</v>
      </c>
      <c r="C8222" t="s">
        <v>7</v>
      </c>
      <c r="D8222">
        <v>193</v>
      </c>
      <c r="E8222" s="2">
        <v>0.24813657407407408</v>
      </c>
      <c r="F8222">
        <v>357.31666666666666</v>
      </c>
    </row>
    <row r="8223" spans="1:6" x14ac:dyDescent="0.25">
      <c r="A8223" s="1">
        <v>41306</v>
      </c>
      <c r="B8223" t="s">
        <v>23</v>
      </c>
      <c r="C8223" t="s">
        <v>8</v>
      </c>
      <c r="D8223">
        <v>118</v>
      </c>
      <c r="E8223" s="2">
        <v>0.12834490740740739</v>
      </c>
      <c r="F8223">
        <v>184.81666666666666</v>
      </c>
    </row>
    <row r="8224" spans="1:6" x14ac:dyDescent="0.25">
      <c r="A8224" s="1">
        <v>41306</v>
      </c>
      <c r="B8224" t="s">
        <v>23</v>
      </c>
      <c r="C8224" t="s">
        <v>9</v>
      </c>
      <c r="D8224">
        <v>77</v>
      </c>
      <c r="E8224" s="2">
        <v>5.6203703703703707E-2</v>
      </c>
      <c r="F8224">
        <v>80.933333333333337</v>
      </c>
    </row>
    <row r="8225" spans="1:6" x14ac:dyDescent="0.25">
      <c r="A8225" s="1">
        <v>41306</v>
      </c>
      <c r="B8225" t="s">
        <v>23</v>
      </c>
      <c r="C8225" t="s">
        <v>10</v>
      </c>
      <c r="D8225">
        <v>50</v>
      </c>
      <c r="E8225" s="2">
        <v>5.7673611111111113E-2</v>
      </c>
      <c r="F8225">
        <v>83.05</v>
      </c>
    </row>
    <row r="8226" spans="1:6" x14ac:dyDescent="0.25">
      <c r="A8226" s="1">
        <v>41306</v>
      </c>
      <c r="B8226" t="s">
        <v>23</v>
      </c>
      <c r="C8226" t="s">
        <v>11</v>
      </c>
      <c r="D8226">
        <v>128</v>
      </c>
      <c r="E8226" s="2">
        <v>0.12605324074074073</v>
      </c>
      <c r="F8226">
        <v>181.51666666666668</v>
      </c>
    </row>
    <row r="8227" spans="1:6" x14ac:dyDescent="0.25">
      <c r="A8227" s="1">
        <v>41306</v>
      </c>
      <c r="B8227" t="s">
        <v>24</v>
      </c>
      <c r="C8227" t="s">
        <v>6</v>
      </c>
      <c r="D8227">
        <v>43</v>
      </c>
      <c r="E8227" s="2">
        <v>4.5393518518518521E-2</v>
      </c>
      <c r="F8227">
        <v>65.36666666666666</v>
      </c>
    </row>
    <row r="8228" spans="1:6" x14ac:dyDescent="0.25">
      <c r="A8228" s="1">
        <v>41306</v>
      </c>
      <c r="B8228" t="s">
        <v>24</v>
      </c>
      <c r="C8228" t="s">
        <v>7</v>
      </c>
      <c r="D8228">
        <v>34</v>
      </c>
      <c r="E8228" s="2">
        <v>1.8912037037037036E-2</v>
      </c>
      <c r="F8228">
        <v>27.233333333333334</v>
      </c>
    </row>
    <row r="8229" spans="1:6" x14ac:dyDescent="0.25">
      <c r="A8229" s="1">
        <v>41306</v>
      </c>
      <c r="B8229" t="s">
        <v>24</v>
      </c>
      <c r="C8229" t="s">
        <v>8</v>
      </c>
      <c r="D8229">
        <v>25</v>
      </c>
      <c r="E8229" s="2">
        <v>1.9444444444444445E-2</v>
      </c>
      <c r="F8229">
        <v>28</v>
      </c>
    </row>
    <row r="8230" spans="1:6" x14ac:dyDescent="0.25">
      <c r="A8230" s="1">
        <v>41306</v>
      </c>
      <c r="B8230" t="s">
        <v>24</v>
      </c>
      <c r="C8230" t="s">
        <v>9</v>
      </c>
      <c r="D8230">
        <v>17</v>
      </c>
      <c r="E8230" s="2">
        <v>9.5370370370370366E-3</v>
      </c>
      <c r="F8230">
        <v>13.733333333333333</v>
      </c>
    </row>
    <row r="8231" spans="1:6" x14ac:dyDescent="0.25">
      <c r="A8231" s="1">
        <v>41306</v>
      </c>
      <c r="B8231" t="s">
        <v>24</v>
      </c>
      <c r="C8231" t="s">
        <v>10</v>
      </c>
      <c r="D8231">
        <v>1</v>
      </c>
      <c r="E8231" s="2">
        <v>2.0717592592592593E-3</v>
      </c>
      <c r="F8231">
        <v>2.9833333333333334</v>
      </c>
    </row>
    <row r="8232" spans="1:6" x14ac:dyDescent="0.25">
      <c r="A8232" s="1">
        <v>41306</v>
      </c>
      <c r="B8232" t="s">
        <v>24</v>
      </c>
      <c r="C8232" t="s">
        <v>11</v>
      </c>
      <c r="D8232">
        <v>23</v>
      </c>
      <c r="E8232" s="2">
        <v>1.5810185185185184E-2</v>
      </c>
      <c r="F8232">
        <v>22.766666666666666</v>
      </c>
    </row>
    <row r="8233" spans="1:6" x14ac:dyDescent="0.25">
      <c r="A8233" s="1">
        <v>41334</v>
      </c>
      <c r="B8233" t="s">
        <v>5</v>
      </c>
      <c r="C8233" t="s">
        <v>6</v>
      </c>
      <c r="D8233">
        <v>42</v>
      </c>
      <c r="E8233" s="2">
        <v>4.3391203703703703E-2</v>
      </c>
      <c r="F8233">
        <v>62.483333333333334</v>
      </c>
    </row>
    <row r="8234" spans="1:6" x14ac:dyDescent="0.25">
      <c r="A8234" s="1">
        <v>41334</v>
      </c>
      <c r="B8234" t="s">
        <v>5</v>
      </c>
      <c r="C8234" t="s">
        <v>7</v>
      </c>
      <c r="D8234">
        <v>60</v>
      </c>
      <c r="E8234" s="2">
        <v>5.6967592592592591E-2</v>
      </c>
      <c r="F8234">
        <v>82.033333333333331</v>
      </c>
    </row>
    <row r="8235" spans="1:6" x14ac:dyDescent="0.25">
      <c r="A8235" s="1">
        <v>41334</v>
      </c>
      <c r="B8235" t="s">
        <v>5</v>
      </c>
      <c r="C8235" t="s">
        <v>8</v>
      </c>
      <c r="D8235">
        <v>40</v>
      </c>
      <c r="E8235" s="2">
        <v>3.6516203703703703E-2</v>
      </c>
      <c r="F8235">
        <v>52.583333333333336</v>
      </c>
    </row>
    <row r="8236" spans="1:6" x14ac:dyDescent="0.25">
      <c r="A8236" s="1">
        <v>41334</v>
      </c>
      <c r="B8236" t="s">
        <v>5</v>
      </c>
      <c r="C8236" t="s">
        <v>9</v>
      </c>
      <c r="D8236">
        <v>9</v>
      </c>
      <c r="E8236" s="2">
        <v>8.0555555555555554E-3</v>
      </c>
      <c r="F8236">
        <v>11.6</v>
      </c>
    </row>
    <row r="8237" spans="1:6" x14ac:dyDescent="0.25">
      <c r="A8237" s="1">
        <v>41334</v>
      </c>
      <c r="B8237" t="s">
        <v>5</v>
      </c>
      <c r="C8237" t="s">
        <v>10</v>
      </c>
      <c r="D8237">
        <v>0</v>
      </c>
      <c r="E8237" s="2">
        <v>0</v>
      </c>
      <c r="F8237">
        <v>0</v>
      </c>
    </row>
    <row r="8238" spans="1:6" x14ac:dyDescent="0.25">
      <c r="A8238" s="1">
        <v>41334</v>
      </c>
      <c r="B8238" t="s">
        <v>5</v>
      </c>
      <c r="C8238" t="s">
        <v>11</v>
      </c>
      <c r="D8238">
        <v>37</v>
      </c>
      <c r="E8238" s="2">
        <v>3.4583333333333334E-2</v>
      </c>
      <c r="F8238">
        <v>49.8</v>
      </c>
    </row>
    <row r="8239" spans="1:6" x14ac:dyDescent="0.25">
      <c r="A8239" s="1">
        <v>41334</v>
      </c>
      <c r="B8239" t="s">
        <v>12</v>
      </c>
      <c r="C8239" t="s">
        <v>6</v>
      </c>
      <c r="D8239">
        <v>35</v>
      </c>
      <c r="E8239" s="2">
        <v>4.7696759259259258E-2</v>
      </c>
      <c r="F8239">
        <v>68.683333333333337</v>
      </c>
    </row>
    <row r="8240" spans="1:6" x14ac:dyDescent="0.25">
      <c r="A8240" s="1">
        <v>41334</v>
      </c>
      <c r="B8240" t="s">
        <v>12</v>
      </c>
      <c r="C8240" t="s">
        <v>7</v>
      </c>
      <c r="D8240">
        <v>24</v>
      </c>
      <c r="E8240" s="2">
        <v>4.4282407407407409E-2</v>
      </c>
      <c r="F8240">
        <v>63.766666666666666</v>
      </c>
    </row>
    <row r="8241" spans="1:6" x14ac:dyDescent="0.25">
      <c r="A8241" s="1">
        <v>41334</v>
      </c>
      <c r="B8241" t="s">
        <v>12</v>
      </c>
      <c r="C8241" t="s">
        <v>8</v>
      </c>
      <c r="D8241">
        <v>23</v>
      </c>
      <c r="E8241" s="2">
        <v>3.4409722222222223E-2</v>
      </c>
      <c r="F8241">
        <v>49.55</v>
      </c>
    </row>
    <row r="8242" spans="1:6" x14ac:dyDescent="0.25">
      <c r="A8242" s="1">
        <v>41334</v>
      </c>
      <c r="B8242" t="s">
        <v>12</v>
      </c>
      <c r="C8242" t="s">
        <v>9</v>
      </c>
      <c r="D8242">
        <v>14</v>
      </c>
      <c r="E8242" s="2">
        <v>9.7685185185185184E-3</v>
      </c>
      <c r="F8242">
        <v>14.066666666666666</v>
      </c>
    </row>
    <row r="8243" spans="1:6" x14ac:dyDescent="0.25">
      <c r="A8243" s="1">
        <v>41334</v>
      </c>
      <c r="B8243" t="s">
        <v>12</v>
      </c>
      <c r="C8243" t="s">
        <v>10</v>
      </c>
      <c r="D8243">
        <v>21</v>
      </c>
      <c r="E8243" s="2">
        <v>4.327546296296296E-2</v>
      </c>
      <c r="F8243">
        <v>62.31666666666667</v>
      </c>
    </row>
    <row r="8244" spans="1:6" x14ac:dyDescent="0.25">
      <c r="A8244" s="1">
        <v>41334</v>
      </c>
      <c r="B8244" t="s">
        <v>12</v>
      </c>
      <c r="C8244" t="s">
        <v>11</v>
      </c>
      <c r="D8244">
        <v>51</v>
      </c>
      <c r="E8244" s="2">
        <v>5.2372685185185182E-2</v>
      </c>
      <c r="F8244">
        <v>75.416666666666671</v>
      </c>
    </row>
    <row r="8245" spans="1:6" x14ac:dyDescent="0.25">
      <c r="A8245" s="1">
        <v>41334</v>
      </c>
      <c r="B8245" t="s">
        <v>13</v>
      </c>
      <c r="C8245" t="s">
        <v>6</v>
      </c>
      <c r="D8245">
        <v>51</v>
      </c>
      <c r="E8245" s="2">
        <v>6.1666666666666668E-2</v>
      </c>
      <c r="F8245">
        <v>88.8</v>
      </c>
    </row>
    <row r="8246" spans="1:6" x14ac:dyDescent="0.25">
      <c r="A8246" s="1">
        <v>41334</v>
      </c>
      <c r="B8246" t="s">
        <v>13</v>
      </c>
      <c r="C8246" t="s">
        <v>7</v>
      </c>
      <c r="D8246">
        <v>81</v>
      </c>
      <c r="E8246" s="2">
        <v>9.3807870370370375E-2</v>
      </c>
      <c r="F8246">
        <v>135.08333333333334</v>
      </c>
    </row>
    <row r="8247" spans="1:6" x14ac:dyDescent="0.25">
      <c r="A8247" s="1">
        <v>41334</v>
      </c>
      <c r="B8247" t="s">
        <v>13</v>
      </c>
      <c r="C8247" t="s">
        <v>8</v>
      </c>
      <c r="D8247">
        <v>43</v>
      </c>
      <c r="E8247" s="2">
        <v>4.8194444444444443E-2</v>
      </c>
      <c r="F8247">
        <v>69.400000000000006</v>
      </c>
    </row>
    <row r="8248" spans="1:6" x14ac:dyDescent="0.25">
      <c r="A8248" s="1">
        <v>41334</v>
      </c>
      <c r="B8248" t="s">
        <v>13</v>
      </c>
      <c r="C8248" t="s">
        <v>9</v>
      </c>
      <c r="D8248">
        <v>35</v>
      </c>
      <c r="E8248" s="2">
        <v>2.4050925925925927E-2</v>
      </c>
      <c r="F8248">
        <v>34.633333333333333</v>
      </c>
    </row>
    <row r="8249" spans="1:6" x14ac:dyDescent="0.25">
      <c r="A8249" s="1">
        <v>41334</v>
      </c>
      <c r="B8249" t="s">
        <v>13</v>
      </c>
      <c r="C8249" t="s">
        <v>10</v>
      </c>
      <c r="D8249">
        <v>34</v>
      </c>
      <c r="E8249" s="2">
        <v>4.2638888888888886E-2</v>
      </c>
      <c r="F8249">
        <v>61.4</v>
      </c>
    </row>
    <row r="8250" spans="1:6" x14ac:dyDescent="0.25">
      <c r="A8250" s="1">
        <v>41334</v>
      </c>
      <c r="B8250" t="s">
        <v>13</v>
      </c>
      <c r="C8250" t="s">
        <v>11</v>
      </c>
      <c r="D8250">
        <v>33</v>
      </c>
      <c r="E8250" s="2">
        <v>3.1956018518518516E-2</v>
      </c>
      <c r="F8250">
        <v>46.016666666666666</v>
      </c>
    </row>
    <row r="8251" spans="1:6" x14ac:dyDescent="0.25">
      <c r="A8251" s="1">
        <v>41334</v>
      </c>
      <c r="B8251" t="s">
        <v>14</v>
      </c>
      <c r="C8251" t="s">
        <v>6</v>
      </c>
      <c r="D8251">
        <v>9</v>
      </c>
      <c r="E8251" s="2">
        <v>1.2847222222222222E-2</v>
      </c>
      <c r="F8251">
        <v>18.5</v>
      </c>
    </row>
    <row r="8252" spans="1:6" x14ac:dyDescent="0.25">
      <c r="A8252" s="1">
        <v>41334</v>
      </c>
      <c r="B8252" t="s">
        <v>14</v>
      </c>
      <c r="C8252" t="s">
        <v>7</v>
      </c>
      <c r="D8252">
        <v>9</v>
      </c>
      <c r="E8252" s="2">
        <v>1.6238425925925927E-2</v>
      </c>
      <c r="F8252">
        <v>23.383333333333333</v>
      </c>
    </row>
    <row r="8253" spans="1:6" x14ac:dyDescent="0.25">
      <c r="A8253" s="1">
        <v>41334</v>
      </c>
      <c r="B8253" t="s">
        <v>14</v>
      </c>
      <c r="C8253" t="s">
        <v>8</v>
      </c>
      <c r="D8253">
        <v>9</v>
      </c>
      <c r="E8253" s="2">
        <v>1.1817129629629629E-2</v>
      </c>
      <c r="F8253">
        <v>17.016666666666666</v>
      </c>
    </row>
    <row r="8254" spans="1:6" x14ac:dyDescent="0.25">
      <c r="A8254" s="1">
        <v>41334</v>
      </c>
      <c r="B8254" t="s">
        <v>14</v>
      </c>
      <c r="C8254" t="s">
        <v>9</v>
      </c>
      <c r="D8254">
        <v>3</v>
      </c>
      <c r="E8254" s="2">
        <v>1.3310185185185185E-3</v>
      </c>
      <c r="F8254">
        <v>1.9166666666666665</v>
      </c>
    </row>
    <row r="8255" spans="1:6" x14ac:dyDescent="0.25">
      <c r="A8255" s="1">
        <v>41334</v>
      </c>
      <c r="B8255" t="s">
        <v>14</v>
      </c>
      <c r="C8255" t="s">
        <v>10</v>
      </c>
      <c r="D8255">
        <v>0</v>
      </c>
      <c r="E8255" s="2">
        <v>0</v>
      </c>
      <c r="F8255">
        <v>0</v>
      </c>
    </row>
    <row r="8256" spans="1:6" x14ac:dyDescent="0.25">
      <c r="A8256" s="1">
        <v>41334</v>
      </c>
      <c r="B8256" t="s">
        <v>14</v>
      </c>
      <c r="C8256" t="s">
        <v>11</v>
      </c>
      <c r="D8256">
        <v>8</v>
      </c>
      <c r="E8256" s="2">
        <v>6.4814814814814813E-3</v>
      </c>
      <c r="F8256">
        <v>9.3333333333333339</v>
      </c>
    </row>
    <row r="8257" spans="1:6" x14ac:dyDescent="0.25">
      <c r="A8257" s="1">
        <v>41334</v>
      </c>
      <c r="B8257" t="s">
        <v>15</v>
      </c>
      <c r="C8257" t="s">
        <v>6</v>
      </c>
      <c r="D8257">
        <v>25</v>
      </c>
      <c r="E8257" s="2">
        <v>3.1875000000000001E-2</v>
      </c>
      <c r="F8257">
        <v>45.9</v>
      </c>
    </row>
    <row r="8258" spans="1:6" x14ac:dyDescent="0.25">
      <c r="A8258" s="1">
        <v>41334</v>
      </c>
      <c r="B8258" t="s">
        <v>15</v>
      </c>
      <c r="C8258" t="s">
        <v>7</v>
      </c>
      <c r="D8258">
        <v>27</v>
      </c>
      <c r="E8258" s="2">
        <v>2.6898148148148147E-2</v>
      </c>
      <c r="F8258">
        <v>38.733333333333334</v>
      </c>
    </row>
    <row r="8259" spans="1:6" x14ac:dyDescent="0.25">
      <c r="A8259" s="1">
        <v>41334</v>
      </c>
      <c r="B8259" t="s">
        <v>15</v>
      </c>
      <c r="C8259" t="s">
        <v>8</v>
      </c>
      <c r="D8259">
        <v>13</v>
      </c>
      <c r="E8259" s="2">
        <v>1.3599537037037037E-2</v>
      </c>
      <c r="F8259">
        <v>19.583333333333332</v>
      </c>
    </row>
    <row r="8260" spans="1:6" x14ac:dyDescent="0.25">
      <c r="A8260" s="1">
        <v>41334</v>
      </c>
      <c r="B8260" t="s">
        <v>15</v>
      </c>
      <c r="C8260" t="s">
        <v>9</v>
      </c>
      <c r="D8260">
        <v>10</v>
      </c>
      <c r="E8260" s="2">
        <v>7.3958333333333333E-3</v>
      </c>
      <c r="F8260">
        <v>10.65</v>
      </c>
    </row>
    <row r="8261" spans="1:6" x14ac:dyDescent="0.25">
      <c r="A8261" s="1">
        <v>41334</v>
      </c>
      <c r="B8261" t="s">
        <v>15</v>
      </c>
      <c r="C8261" t="s">
        <v>10</v>
      </c>
      <c r="D8261">
        <v>10</v>
      </c>
      <c r="E8261" s="2">
        <v>1.3090277777777777E-2</v>
      </c>
      <c r="F8261">
        <v>18.850000000000001</v>
      </c>
    </row>
    <row r="8262" spans="1:6" x14ac:dyDescent="0.25">
      <c r="A8262" s="1">
        <v>41334</v>
      </c>
      <c r="B8262" t="s">
        <v>15</v>
      </c>
      <c r="C8262" t="s">
        <v>11</v>
      </c>
      <c r="D8262">
        <v>15</v>
      </c>
      <c r="E8262" s="2">
        <v>1.3842592592592592E-2</v>
      </c>
      <c r="F8262">
        <v>19.933333333333334</v>
      </c>
    </row>
    <row r="8263" spans="1:6" x14ac:dyDescent="0.25">
      <c r="A8263" s="1">
        <v>41334</v>
      </c>
      <c r="B8263" t="s">
        <v>16</v>
      </c>
      <c r="C8263" t="s">
        <v>6</v>
      </c>
      <c r="D8263">
        <v>22</v>
      </c>
      <c r="E8263" s="2">
        <v>1.8877314814814816E-2</v>
      </c>
      <c r="F8263">
        <v>27.183333333333334</v>
      </c>
    </row>
    <row r="8264" spans="1:6" x14ac:dyDescent="0.25">
      <c r="A8264" s="1">
        <v>41334</v>
      </c>
      <c r="B8264" t="s">
        <v>16</v>
      </c>
      <c r="C8264" t="s">
        <v>7</v>
      </c>
      <c r="D8264">
        <v>31</v>
      </c>
      <c r="E8264" s="2">
        <v>2.7777777777777776E-2</v>
      </c>
      <c r="F8264">
        <v>40</v>
      </c>
    </row>
    <row r="8265" spans="1:6" x14ac:dyDescent="0.25">
      <c r="A8265" s="1">
        <v>41334</v>
      </c>
      <c r="B8265" t="s">
        <v>16</v>
      </c>
      <c r="C8265" t="s">
        <v>8</v>
      </c>
      <c r="D8265">
        <v>14</v>
      </c>
      <c r="E8265" s="2">
        <v>1.3726851851851851E-2</v>
      </c>
      <c r="F8265">
        <v>19.766666666666666</v>
      </c>
    </row>
    <row r="8266" spans="1:6" x14ac:dyDescent="0.25">
      <c r="A8266" s="1">
        <v>41334</v>
      </c>
      <c r="B8266" t="s">
        <v>16</v>
      </c>
      <c r="C8266" t="s">
        <v>9</v>
      </c>
      <c r="D8266">
        <v>10</v>
      </c>
      <c r="E8266" s="2">
        <v>5.7986111111111112E-3</v>
      </c>
      <c r="F8266">
        <v>8.35</v>
      </c>
    </row>
    <row r="8267" spans="1:6" x14ac:dyDescent="0.25">
      <c r="A8267" s="1">
        <v>41334</v>
      </c>
      <c r="B8267" t="s">
        <v>16</v>
      </c>
      <c r="C8267" t="s">
        <v>10</v>
      </c>
      <c r="D8267">
        <v>5</v>
      </c>
      <c r="E8267" s="2">
        <v>5.4629629629629629E-3</v>
      </c>
      <c r="F8267">
        <v>7.8666666666666671</v>
      </c>
    </row>
    <row r="8268" spans="1:6" x14ac:dyDescent="0.25">
      <c r="A8268" s="1">
        <v>41334</v>
      </c>
      <c r="B8268" t="s">
        <v>16</v>
      </c>
      <c r="C8268" t="s">
        <v>11</v>
      </c>
      <c r="D8268">
        <v>17</v>
      </c>
      <c r="E8268" s="2">
        <v>1.7175925925925924E-2</v>
      </c>
      <c r="F8268">
        <v>24.733333333333334</v>
      </c>
    </row>
    <row r="8269" spans="1:6" x14ac:dyDescent="0.25">
      <c r="A8269" s="1">
        <v>41334</v>
      </c>
      <c r="B8269" t="s">
        <v>17</v>
      </c>
      <c r="C8269" t="s">
        <v>6</v>
      </c>
      <c r="D8269">
        <v>13</v>
      </c>
      <c r="E8269" s="2">
        <v>1.2534722222222221E-2</v>
      </c>
      <c r="F8269">
        <v>18.05</v>
      </c>
    </row>
    <row r="8270" spans="1:6" x14ac:dyDescent="0.25">
      <c r="A8270" s="1">
        <v>41334</v>
      </c>
      <c r="B8270" t="s">
        <v>17</v>
      </c>
      <c r="C8270" t="s">
        <v>7</v>
      </c>
      <c r="D8270">
        <v>21</v>
      </c>
      <c r="E8270" s="2">
        <v>1.9525462962962963E-2</v>
      </c>
      <c r="F8270">
        <v>28.116666666666667</v>
      </c>
    </row>
    <row r="8271" spans="1:6" x14ac:dyDescent="0.25">
      <c r="A8271" s="1">
        <v>41334</v>
      </c>
      <c r="B8271" t="s">
        <v>17</v>
      </c>
      <c r="C8271" t="s">
        <v>8</v>
      </c>
      <c r="D8271">
        <v>12</v>
      </c>
      <c r="E8271" s="2">
        <v>1.3020833333333334E-2</v>
      </c>
      <c r="F8271">
        <v>18.75</v>
      </c>
    </row>
    <row r="8272" spans="1:6" x14ac:dyDescent="0.25">
      <c r="A8272" s="1">
        <v>41334</v>
      </c>
      <c r="B8272" t="s">
        <v>17</v>
      </c>
      <c r="C8272" t="s">
        <v>9</v>
      </c>
      <c r="D8272">
        <v>10</v>
      </c>
      <c r="E8272" s="2">
        <v>6.851851851851852E-3</v>
      </c>
      <c r="F8272">
        <v>9.8666666666666671</v>
      </c>
    </row>
    <row r="8273" spans="1:6" x14ac:dyDescent="0.25">
      <c r="A8273" s="1">
        <v>41334</v>
      </c>
      <c r="B8273" t="s">
        <v>17</v>
      </c>
      <c r="C8273" t="s">
        <v>10</v>
      </c>
      <c r="D8273">
        <v>10</v>
      </c>
      <c r="E8273" s="2">
        <v>9.9537037037037042E-3</v>
      </c>
      <c r="F8273">
        <v>14.333333333333334</v>
      </c>
    </row>
    <row r="8274" spans="1:6" x14ac:dyDescent="0.25">
      <c r="A8274" s="1">
        <v>41334</v>
      </c>
      <c r="B8274" t="s">
        <v>17</v>
      </c>
      <c r="C8274" t="s">
        <v>11</v>
      </c>
      <c r="D8274">
        <v>9</v>
      </c>
      <c r="E8274" s="2">
        <v>1.0023148148148147E-2</v>
      </c>
      <c r="F8274">
        <v>14.433333333333334</v>
      </c>
    </row>
    <row r="8275" spans="1:6" x14ac:dyDescent="0.25">
      <c r="A8275" s="1">
        <v>41334</v>
      </c>
      <c r="B8275" t="s">
        <v>18</v>
      </c>
      <c r="C8275" t="s">
        <v>6</v>
      </c>
      <c r="D8275">
        <v>45</v>
      </c>
      <c r="E8275" s="2">
        <v>4.7893518518518516E-2</v>
      </c>
      <c r="F8275">
        <v>68.966666666666669</v>
      </c>
    </row>
    <row r="8276" spans="1:6" x14ac:dyDescent="0.25">
      <c r="A8276" s="1">
        <v>41334</v>
      </c>
      <c r="B8276" t="s">
        <v>18</v>
      </c>
      <c r="C8276" t="s">
        <v>7</v>
      </c>
      <c r="D8276">
        <v>75</v>
      </c>
      <c r="E8276" s="2">
        <v>6.2337962962962963E-2</v>
      </c>
      <c r="F8276">
        <v>89.766666666666666</v>
      </c>
    </row>
    <row r="8277" spans="1:6" x14ac:dyDescent="0.25">
      <c r="A8277" s="1">
        <v>41334</v>
      </c>
      <c r="B8277" t="s">
        <v>18</v>
      </c>
      <c r="C8277" t="s">
        <v>8</v>
      </c>
      <c r="D8277">
        <v>30</v>
      </c>
      <c r="E8277" s="2">
        <v>2.3831018518518519E-2</v>
      </c>
      <c r="F8277">
        <v>34.31666666666667</v>
      </c>
    </row>
    <row r="8278" spans="1:6" x14ac:dyDescent="0.25">
      <c r="A8278" s="1">
        <v>41334</v>
      </c>
      <c r="B8278" t="s">
        <v>18</v>
      </c>
      <c r="C8278" t="s">
        <v>9</v>
      </c>
      <c r="D8278">
        <v>77</v>
      </c>
      <c r="E8278" s="2">
        <v>4.4131944444444446E-2</v>
      </c>
      <c r="F8278">
        <v>63.55</v>
      </c>
    </row>
    <row r="8279" spans="1:6" x14ac:dyDescent="0.25">
      <c r="A8279" s="1">
        <v>41334</v>
      </c>
      <c r="B8279" t="s">
        <v>18</v>
      </c>
      <c r="C8279" t="s">
        <v>10</v>
      </c>
      <c r="D8279">
        <v>105</v>
      </c>
      <c r="E8279" s="2">
        <v>0.11590277777777777</v>
      </c>
      <c r="F8279">
        <v>166.9</v>
      </c>
    </row>
    <row r="8280" spans="1:6" x14ac:dyDescent="0.25">
      <c r="A8280" s="1">
        <v>41334</v>
      </c>
      <c r="B8280" t="s">
        <v>18</v>
      </c>
      <c r="C8280" t="s">
        <v>11</v>
      </c>
      <c r="D8280">
        <v>31</v>
      </c>
      <c r="E8280" s="2">
        <v>2.4363425925925927E-2</v>
      </c>
      <c r="F8280">
        <v>35.083333333333336</v>
      </c>
    </row>
    <row r="8281" spans="1:6" x14ac:dyDescent="0.25">
      <c r="A8281" s="1">
        <v>41334</v>
      </c>
      <c r="B8281" t="s">
        <v>19</v>
      </c>
      <c r="C8281" t="s">
        <v>6</v>
      </c>
      <c r="D8281">
        <v>32</v>
      </c>
      <c r="E8281" s="2">
        <v>4.3518518518518519E-2</v>
      </c>
      <c r="F8281">
        <v>62.666666666666664</v>
      </c>
    </row>
    <row r="8282" spans="1:6" x14ac:dyDescent="0.25">
      <c r="A8282" s="1">
        <v>41334</v>
      </c>
      <c r="B8282" t="s">
        <v>19</v>
      </c>
      <c r="C8282" t="s">
        <v>7</v>
      </c>
      <c r="D8282">
        <v>38</v>
      </c>
      <c r="E8282" s="2">
        <v>4.4571759259259262E-2</v>
      </c>
      <c r="F8282">
        <v>64.183333333333337</v>
      </c>
    </row>
    <row r="8283" spans="1:6" x14ac:dyDescent="0.25">
      <c r="A8283" s="1">
        <v>41334</v>
      </c>
      <c r="B8283" t="s">
        <v>19</v>
      </c>
      <c r="C8283" t="s">
        <v>8</v>
      </c>
      <c r="D8283">
        <v>35</v>
      </c>
      <c r="E8283" s="2">
        <v>3.9444444444444442E-2</v>
      </c>
      <c r="F8283">
        <v>56.8</v>
      </c>
    </row>
    <row r="8284" spans="1:6" x14ac:dyDescent="0.25">
      <c r="A8284" s="1">
        <v>41334</v>
      </c>
      <c r="B8284" t="s">
        <v>19</v>
      </c>
      <c r="C8284" t="s">
        <v>9</v>
      </c>
      <c r="D8284">
        <v>19</v>
      </c>
      <c r="E8284" s="2">
        <v>1.4270833333333333E-2</v>
      </c>
      <c r="F8284">
        <v>20.55</v>
      </c>
    </row>
    <row r="8285" spans="1:6" x14ac:dyDescent="0.25">
      <c r="A8285" s="1">
        <v>41334</v>
      </c>
      <c r="B8285" t="s">
        <v>19</v>
      </c>
      <c r="C8285" t="s">
        <v>10</v>
      </c>
      <c r="D8285">
        <v>13</v>
      </c>
      <c r="E8285" s="2">
        <v>1.6620370370370369E-2</v>
      </c>
      <c r="F8285">
        <v>23.933333333333334</v>
      </c>
    </row>
    <row r="8286" spans="1:6" x14ac:dyDescent="0.25">
      <c r="A8286" s="1">
        <v>41334</v>
      </c>
      <c r="B8286" t="s">
        <v>19</v>
      </c>
      <c r="C8286" t="s">
        <v>11</v>
      </c>
      <c r="D8286">
        <v>44</v>
      </c>
      <c r="E8286" s="2">
        <v>3.9560185185185184E-2</v>
      </c>
      <c r="F8286">
        <v>56.966666666666669</v>
      </c>
    </row>
    <row r="8287" spans="1:6" x14ac:dyDescent="0.25">
      <c r="A8287" s="1">
        <v>41334</v>
      </c>
      <c r="B8287" t="s">
        <v>20</v>
      </c>
      <c r="C8287" t="s">
        <v>6</v>
      </c>
      <c r="D8287">
        <v>42</v>
      </c>
      <c r="E8287" s="2">
        <v>5.2928240740740741E-2</v>
      </c>
      <c r="F8287">
        <v>76.216666666666669</v>
      </c>
    </row>
    <row r="8288" spans="1:6" x14ac:dyDescent="0.25">
      <c r="A8288" s="1">
        <v>41334</v>
      </c>
      <c r="B8288" t="s">
        <v>20</v>
      </c>
      <c r="C8288" t="s">
        <v>7</v>
      </c>
      <c r="D8288">
        <v>48</v>
      </c>
      <c r="E8288" s="2">
        <v>4.8599537037037038E-2</v>
      </c>
      <c r="F8288">
        <v>69.983333333333334</v>
      </c>
    </row>
    <row r="8289" spans="1:6" x14ac:dyDescent="0.25">
      <c r="A8289" s="1">
        <v>41334</v>
      </c>
      <c r="B8289" t="s">
        <v>20</v>
      </c>
      <c r="C8289" t="s">
        <v>8</v>
      </c>
      <c r="D8289">
        <v>39</v>
      </c>
      <c r="E8289" s="2">
        <v>4.5358796296296293E-2</v>
      </c>
      <c r="F8289">
        <v>65.316666666666663</v>
      </c>
    </row>
    <row r="8290" spans="1:6" x14ac:dyDescent="0.25">
      <c r="A8290" s="1">
        <v>41334</v>
      </c>
      <c r="B8290" t="s">
        <v>20</v>
      </c>
      <c r="C8290" t="s">
        <v>9</v>
      </c>
      <c r="D8290">
        <v>20</v>
      </c>
      <c r="E8290" s="2">
        <v>1.3831018518518519E-2</v>
      </c>
      <c r="F8290">
        <v>19.916666666666668</v>
      </c>
    </row>
    <row r="8291" spans="1:6" x14ac:dyDescent="0.25">
      <c r="A8291" s="1">
        <v>41334</v>
      </c>
      <c r="B8291" t="s">
        <v>20</v>
      </c>
      <c r="C8291" t="s">
        <v>10</v>
      </c>
      <c r="D8291">
        <v>3</v>
      </c>
      <c r="E8291" s="2">
        <v>1.9097222222222222E-3</v>
      </c>
      <c r="F8291">
        <v>2.75</v>
      </c>
    </row>
    <row r="8292" spans="1:6" x14ac:dyDescent="0.25">
      <c r="A8292" s="1">
        <v>41334</v>
      </c>
      <c r="B8292" t="s">
        <v>20</v>
      </c>
      <c r="C8292" t="s">
        <v>11</v>
      </c>
      <c r="D8292">
        <v>34</v>
      </c>
      <c r="E8292" s="2">
        <v>2.8784722222222222E-2</v>
      </c>
      <c r="F8292">
        <v>41.45</v>
      </c>
    </row>
    <row r="8293" spans="1:6" x14ac:dyDescent="0.25">
      <c r="A8293" s="1">
        <v>41334</v>
      </c>
      <c r="B8293" t="s">
        <v>21</v>
      </c>
      <c r="C8293" t="s">
        <v>6</v>
      </c>
      <c r="D8293">
        <v>12</v>
      </c>
      <c r="E8293" s="2">
        <v>1.6944444444444446E-2</v>
      </c>
      <c r="F8293">
        <v>24.4</v>
      </c>
    </row>
    <row r="8294" spans="1:6" x14ac:dyDescent="0.25">
      <c r="A8294" s="1">
        <v>41334</v>
      </c>
      <c r="B8294" t="s">
        <v>21</v>
      </c>
      <c r="C8294" t="s">
        <v>7</v>
      </c>
      <c r="D8294">
        <v>15</v>
      </c>
      <c r="E8294" s="2">
        <v>1.9178240740740742E-2</v>
      </c>
      <c r="F8294">
        <v>27.616666666666667</v>
      </c>
    </row>
    <row r="8295" spans="1:6" x14ac:dyDescent="0.25">
      <c r="A8295" s="1">
        <v>41334</v>
      </c>
      <c r="B8295" t="s">
        <v>21</v>
      </c>
      <c r="C8295" t="s">
        <v>8</v>
      </c>
      <c r="D8295">
        <v>15</v>
      </c>
      <c r="E8295" s="2">
        <v>1.9490740740740739E-2</v>
      </c>
      <c r="F8295">
        <v>28.066666666666666</v>
      </c>
    </row>
    <row r="8296" spans="1:6" x14ac:dyDescent="0.25">
      <c r="A8296" s="1">
        <v>41334</v>
      </c>
      <c r="B8296" t="s">
        <v>21</v>
      </c>
      <c r="C8296" t="s">
        <v>9</v>
      </c>
      <c r="D8296">
        <v>15</v>
      </c>
      <c r="E8296" s="2">
        <v>1.2673611111111111E-2</v>
      </c>
      <c r="F8296">
        <v>18.25</v>
      </c>
    </row>
    <row r="8297" spans="1:6" x14ac:dyDescent="0.25">
      <c r="A8297" s="1">
        <v>41334</v>
      </c>
      <c r="B8297" t="s">
        <v>21</v>
      </c>
      <c r="C8297" t="s">
        <v>10</v>
      </c>
      <c r="D8297">
        <v>2</v>
      </c>
      <c r="E8297" s="2">
        <v>2.8356481481481483E-3</v>
      </c>
      <c r="F8297">
        <v>4.083333333333333</v>
      </c>
    </row>
    <row r="8298" spans="1:6" x14ac:dyDescent="0.25">
      <c r="A8298" s="1">
        <v>41334</v>
      </c>
      <c r="B8298" t="s">
        <v>21</v>
      </c>
      <c r="C8298" t="s">
        <v>11</v>
      </c>
      <c r="D8298">
        <v>17</v>
      </c>
      <c r="E8298" s="2">
        <v>1.6585648148148148E-2</v>
      </c>
      <c r="F8298">
        <v>23.883333333333333</v>
      </c>
    </row>
    <row r="8299" spans="1:6" x14ac:dyDescent="0.25">
      <c r="A8299" s="1">
        <v>41334</v>
      </c>
      <c r="B8299" t="s">
        <v>22</v>
      </c>
      <c r="C8299" t="s">
        <v>6</v>
      </c>
      <c r="D8299">
        <v>16</v>
      </c>
      <c r="E8299" s="2">
        <v>2.0497685185185185E-2</v>
      </c>
      <c r="F8299">
        <v>29.516666666666666</v>
      </c>
    </row>
    <row r="8300" spans="1:6" x14ac:dyDescent="0.25">
      <c r="A8300" s="1">
        <v>41334</v>
      </c>
      <c r="B8300" t="s">
        <v>22</v>
      </c>
      <c r="C8300" t="s">
        <v>7</v>
      </c>
      <c r="D8300">
        <v>8</v>
      </c>
      <c r="E8300" s="2">
        <v>1.306712962962963E-2</v>
      </c>
      <c r="F8300">
        <v>18.816666666666666</v>
      </c>
    </row>
    <row r="8301" spans="1:6" x14ac:dyDescent="0.25">
      <c r="A8301" s="1">
        <v>41334</v>
      </c>
      <c r="B8301" t="s">
        <v>22</v>
      </c>
      <c r="C8301" t="s">
        <v>8</v>
      </c>
      <c r="D8301">
        <v>7</v>
      </c>
      <c r="E8301" s="2">
        <v>6.2037037037037035E-3</v>
      </c>
      <c r="F8301">
        <v>8.9333333333333336</v>
      </c>
    </row>
    <row r="8302" spans="1:6" x14ac:dyDescent="0.25">
      <c r="A8302" s="1">
        <v>41334</v>
      </c>
      <c r="B8302" t="s">
        <v>22</v>
      </c>
      <c r="C8302" t="s">
        <v>9</v>
      </c>
      <c r="D8302">
        <v>4</v>
      </c>
      <c r="E8302" s="2">
        <v>3.7731481481481483E-3</v>
      </c>
      <c r="F8302">
        <v>5.4333333333333336</v>
      </c>
    </row>
    <row r="8303" spans="1:6" x14ac:dyDescent="0.25">
      <c r="A8303" s="1">
        <v>41334</v>
      </c>
      <c r="B8303" t="s">
        <v>22</v>
      </c>
      <c r="C8303" t="s">
        <v>10</v>
      </c>
      <c r="D8303">
        <v>1</v>
      </c>
      <c r="E8303" s="2">
        <v>1.0763888888888889E-3</v>
      </c>
      <c r="F8303">
        <v>1.55</v>
      </c>
    </row>
    <row r="8304" spans="1:6" x14ac:dyDescent="0.25">
      <c r="A8304" s="1">
        <v>41334</v>
      </c>
      <c r="B8304" t="s">
        <v>22</v>
      </c>
      <c r="C8304" t="s">
        <v>11</v>
      </c>
      <c r="D8304">
        <v>8</v>
      </c>
      <c r="E8304" s="2">
        <v>8.6342592592592599E-3</v>
      </c>
      <c r="F8304">
        <v>12.433333333333334</v>
      </c>
    </row>
    <row r="8305" spans="1:6" x14ac:dyDescent="0.25">
      <c r="A8305" s="1">
        <v>41334</v>
      </c>
      <c r="B8305" t="s">
        <v>23</v>
      </c>
      <c r="C8305" t="s">
        <v>6</v>
      </c>
      <c r="D8305">
        <v>164</v>
      </c>
      <c r="E8305" s="2">
        <v>0.2210300925925926</v>
      </c>
      <c r="F8305">
        <v>318.28333333333336</v>
      </c>
    </row>
    <row r="8306" spans="1:6" x14ac:dyDescent="0.25">
      <c r="A8306" s="1">
        <v>41334</v>
      </c>
      <c r="B8306" t="s">
        <v>23</v>
      </c>
      <c r="C8306" t="s">
        <v>7</v>
      </c>
      <c r="D8306">
        <v>156</v>
      </c>
      <c r="E8306" s="2">
        <v>0.21062500000000001</v>
      </c>
      <c r="F8306">
        <v>303.3</v>
      </c>
    </row>
    <row r="8307" spans="1:6" x14ac:dyDescent="0.25">
      <c r="A8307" s="1">
        <v>41334</v>
      </c>
      <c r="B8307" t="s">
        <v>23</v>
      </c>
      <c r="C8307" t="s">
        <v>8</v>
      </c>
      <c r="D8307">
        <v>96</v>
      </c>
      <c r="E8307" s="2">
        <v>0.11063657407407407</v>
      </c>
      <c r="F8307">
        <v>159.31666666666666</v>
      </c>
    </row>
    <row r="8308" spans="1:6" x14ac:dyDescent="0.25">
      <c r="A8308" s="1">
        <v>41334</v>
      </c>
      <c r="B8308" t="s">
        <v>23</v>
      </c>
      <c r="C8308" t="s">
        <v>9</v>
      </c>
      <c r="D8308">
        <v>78</v>
      </c>
      <c r="E8308" s="2">
        <v>5.4317129629629632E-2</v>
      </c>
      <c r="F8308">
        <v>78.216666666666669</v>
      </c>
    </row>
    <row r="8309" spans="1:6" x14ac:dyDescent="0.25">
      <c r="A8309" s="1">
        <v>41334</v>
      </c>
      <c r="B8309" t="s">
        <v>23</v>
      </c>
      <c r="C8309" t="s">
        <v>10</v>
      </c>
      <c r="D8309">
        <v>50</v>
      </c>
      <c r="E8309" s="2">
        <v>6.4456018518518524E-2</v>
      </c>
      <c r="F8309">
        <v>92.816666666666663</v>
      </c>
    </row>
    <row r="8310" spans="1:6" x14ac:dyDescent="0.25">
      <c r="A8310" s="1">
        <v>41334</v>
      </c>
      <c r="B8310" t="s">
        <v>23</v>
      </c>
      <c r="C8310" t="s">
        <v>11</v>
      </c>
      <c r="D8310">
        <v>114</v>
      </c>
      <c r="E8310" s="2">
        <v>0.11554398148148148</v>
      </c>
      <c r="F8310">
        <v>166.38333333333333</v>
      </c>
    </row>
    <row r="8311" spans="1:6" x14ac:dyDescent="0.25">
      <c r="A8311" s="1">
        <v>41334</v>
      </c>
      <c r="B8311" t="s">
        <v>24</v>
      </c>
      <c r="C8311" t="s">
        <v>6</v>
      </c>
      <c r="D8311">
        <v>38</v>
      </c>
      <c r="E8311" s="2">
        <v>3.5104166666666665E-2</v>
      </c>
      <c r="F8311">
        <v>50.55</v>
      </c>
    </row>
    <row r="8312" spans="1:6" x14ac:dyDescent="0.25">
      <c r="A8312" s="1">
        <v>41334</v>
      </c>
      <c r="B8312" t="s">
        <v>24</v>
      </c>
      <c r="C8312" t="s">
        <v>7</v>
      </c>
      <c r="D8312">
        <v>25</v>
      </c>
      <c r="E8312" s="2">
        <v>1.4976851851851852E-2</v>
      </c>
      <c r="F8312">
        <v>21.566666666666666</v>
      </c>
    </row>
    <row r="8313" spans="1:6" x14ac:dyDescent="0.25">
      <c r="A8313" s="1">
        <v>41334</v>
      </c>
      <c r="B8313" t="s">
        <v>24</v>
      </c>
      <c r="C8313" t="s">
        <v>8</v>
      </c>
      <c r="D8313">
        <v>11</v>
      </c>
      <c r="E8313" s="2">
        <v>8.3564814814814821E-3</v>
      </c>
      <c r="F8313">
        <v>12.033333333333333</v>
      </c>
    </row>
    <row r="8314" spans="1:6" x14ac:dyDescent="0.25">
      <c r="A8314" s="1">
        <v>41334</v>
      </c>
      <c r="B8314" t="s">
        <v>24</v>
      </c>
      <c r="C8314" t="s">
        <v>9</v>
      </c>
      <c r="D8314">
        <v>14</v>
      </c>
      <c r="E8314" s="2">
        <v>7.1759259259259259E-3</v>
      </c>
      <c r="F8314">
        <v>10.333333333333334</v>
      </c>
    </row>
    <row r="8315" spans="1:6" x14ac:dyDescent="0.25">
      <c r="A8315" s="1">
        <v>41334</v>
      </c>
      <c r="B8315" t="s">
        <v>24</v>
      </c>
      <c r="C8315" t="s">
        <v>10</v>
      </c>
      <c r="D8315">
        <v>0</v>
      </c>
      <c r="E8315" s="2">
        <v>0</v>
      </c>
      <c r="F8315">
        <v>0</v>
      </c>
    </row>
    <row r="8316" spans="1:6" x14ac:dyDescent="0.25">
      <c r="A8316" s="1">
        <v>41334</v>
      </c>
      <c r="B8316" t="s">
        <v>24</v>
      </c>
      <c r="C8316" t="s">
        <v>11</v>
      </c>
      <c r="D8316">
        <v>14</v>
      </c>
      <c r="E8316" s="2">
        <v>1.1076388888888889E-2</v>
      </c>
      <c r="F8316">
        <v>15.95</v>
      </c>
    </row>
    <row r="8317" spans="1:6" x14ac:dyDescent="0.25">
      <c r="A8317" s="1">
        <v>41365</v>
      </c>
      <c r="B8317" t="s">
        <v>5</v>
      </c>
      <c r="C8317" t="s">
        <v>6</v>
      </c>
      <c r="D8317">
        <v>27</v>
      </c>
      <c r="E8317" s="2">
        <v>2.4988425925925924E-2</v>
      </c>
      <c r="F8317">
        <v>35.983333333333334</v>
      </c>
    </row>
    <row r="8318" spans="1:6" x14ac:dyDescent="0.25">
      <c r="A8318" s="1">
        <v>41365</v>
      </c>
      <c r="B8318" t="s">
        <v>5</v>
      </c>
      <c r="C8318" t="s">
        <v>7</v>
      </c>
      <c r="D8318">
        <v>31</v>
      </c>
      <c r="E8318" s="2">
        <v>1.9849537037037037E-2</v>
      </c>
      <c r="F8318">
        <v>28.583333333333332</v>
      </c>
    </row>
    <row r="8319" spans="1:6" x14ac:dyDescent="0.25">
      <c r="A8319" s="1">
        <v>41365</v>
      </c>
      <c r="B8319" t="s">
        <v>5</v>
      </c>
      <c r="C8319" t="s">
        <v>8</v>
      </c>
      <c r="D8319">
        <v>24</v>
      </c>
      <c r="E8319" s="2">
        <v>2.0763888888888887E-2</v>
      </c>
      <c r="F8319">
        <v>29.9</v>
      </c>
    </row>
    <row r="8320" spans="1:6" x14ac:dyDescent="0.25">
      <c r="A8320" s="1">
        <v>41365</v>
      </c>
      <c r="B8320" t="s">
        <v>5</v>
      </c>
      <c r="C8320" t="s">
        <v>9</v>
      </c>
      <c r="D8320">
        <v>14</v>
      </c>
      <c r="E8320" s="2">
        <v>5.9027777777777776E-3</v>
      </c>
      <c r="F8320">
        <v>8.5</v>
      </c>
    </row>
    <row r="8321" spans="1:6" x14ac:dyDescent="0.25">
      <c r="A8321" s="1">
        <v>41365</v>
      </c>
      <c r="B8321" t="s">
        <v>5</v>
      </c>
      <c r="C8321" t="s">
        <v>10</v>
      </c>
      <c r="D8321">
        <v>5</v>
      </c>
      <c r="E8321" s="2">
        <v>4.0740740740740737E-3</v>
      </c>
      <c r="F8321">
        <v>5.8666666666666671</v>
      </c>
    </row>
    <row r="8322" spans="1:6" x14ac:dyDescent="0.25">
      <c r="A8322" s="1">
        <v>41365</v>
      </c>
      <c r="B8322" t="s">
        <v>5</v>
      </c>
      <c r="C8322" t="s">
        <v>11</v>
      </c>
      <c r="D8322">
        <v>21</v>
      </c>
      <c r="E8322" s="2">
        <v>1.5891203703703703E-2</v>
      </c>
      <c r="F8322">
        <v>22.883333333333333</v>
      </c>
    </row>
    <row r="8323" spans="1:6" x14ac:dyDescent="0.25">
      <c r="A8323" s="1">
        <v>41365</v>
      </c>
      <c r="B8323" t="s">
        <v>12</v>
      </c>
      <c r="C8323" t="s">
        <v>6</v>
      </c>
      <c r="D8323">
        <v>79</v>
      </c>
      <c r="E8323" s="2">
        <v>0.10712962962962963</v>
      </c>
      <c r="F8323">
        <v>154.26666666666668</v>
      </c>
    </row>
    <row r="8324" spans="1:6" x14ac:dyDescent="0.25">
      <c r="A8324" s="1">
        <v>41365</v>
      </c>
      <c r="B8324" t="s">
        <v>12</v>
      </c>
      <c r="C8324" t="s">
        <v>7</v>
      </c>
      <c r="D8324">
        <v>35</v>
      </c>
      <c r="E8324" s="2">
        <v>5.9594907407407409E-2</v>
      </c>
      <c r="F8324">
        <v>85.816666666666663</v>
      </c>
    </row>
    <row r="8325" spans="1:6" x14ac:dyDescent="0.25">
      <c r="A8325" s="1">
        <v>41365</v>
      </c>
      <c r="B8325" t="s">
        <v>12</v>
      </c>
      <c r="C8325" t="s">
        <v>8</v>
      </c>
      <c r="D8325">
        <v>24</v>
      </c>
      <c r="E8325" s="2">
        <v>3.2060185185185185E-2</v>
      </c>
      <c r="F8325">
        <v>46.166666666666664</v>
      </c>
    </row>
    <row r="8326" spans="1:6" x14ac:dyDescent="0.25">
      <c r="A8326" s="1">
        <v>41365</v>
      </c>
      <c r="B8326" t="s">
        <v>12</v>
      </c>
      <c r="C8326" t="s">
        <v>9</v>
      </c>
      <c r="D8326">
        <v>13</v>
      </c>
      <c r="E8326" s="2">
        <v>5.324074074074074E-3</v>
      </c>
      <c r="F8326">
        <v>7.666666666666667</v>
      </c>
    </row>
    <row r="8327" spans="1:6" x14ac:dyDescent="0.25">
      <c r="A8327" s="1">
        <v>41365</v>
      </c>
      <c r="B8327" t="s">
        <v>12</v>
      </c>
      <c r="C8327" t="s">
        <v>10</v>
      </c>
      <c r="D8327">
        <v>29</v>
      </c>
      <c r="E8327" s="2">
        <v>5.4606481481481478E-2</v>
      </c>
      <c r="F8327">
        <v>78.63333333333334</v>
      </c>
    </row>
    <row r="8328" spans="1:6" x14ac:dyDescent="0.25">
      <c r="A8328" s="1">
        <v>41365</v>
      </c>
      <c r="B8328" t="s">
        <v>12</v>
      </c>
      <c r="C8328" t="s">
        <v>11</v>
      </c>
      <c r="D8328">
        <v>48</v>
      </c>
      <c r="E8328" s="2">
        <v>6.4340277777777774E-2</v>
      </c>
      <c r="F8328">
        <v>92.65</v>
      </c>
    </row>
    <row r="8329" spans="1:6" x14ac:dyDescent="0.25">
      <c r="A8329" s="1">
        <v>41365</v>
      </c>
      <c r="B8329" t="s">
        <v>13</v>
      </c>
      <c r="C8329" t="s">
        <v>6</v>
      </c>
      <c r="D8329">
        <v>91</v>
      </c>
      <c r="E8329" s="2">
        <v>0.10351851851851852</v>
      </c>
      <c r="F8329">
        <v>149.06666666666666</v>
      </c>
    </row>
    <row r="8330" spans="1:6" x14ac:dyDescent="0.25">
      <c r="A8330" s="1">
        <v>41365</v>
      </c>
      <c r="B8330" t="s">
        <v>13</v>
      </c>
      <c r="C8330" t="s">
        <v>7</v>
      </c>
      <c r="D8330">
        <v>82</v>
      </c>
      <c r="E8330" s="2">
        <v>0.1167824074074074</v>
      </c>
      <c r="F8330">
        <v>168.16666666666666</v>
      </c>
    </row>
    <row r="8331" spans="1:6" x14ac:dyDescent="0.25">
      <c r="A8331" s="1">
        <v>41365</v>
      </c>
      <c r="B8331" t="s">
        <v>13</v>
      </c>
      <c r="C8331" t="s">
        <v>8</v>
      </c>
      <c r="D8331">
        <v>48</v>
      </c>
      <c r="E8331" s="2">
        <v>6.1840277777777779E-2</v>
      </c>
      <c r="F8331">
        <v>89.05</v>
      </c>
    </row>
    <row r="8332" spans="1:6" x14ac:dyDescent="0.25">
      <c r="A8332" s="1">
        <v>41365</v>
      </c>
      <c r="B8332" t="s">
        <v>13</v>
      </c>
      <c r="C8332" t="s">
        <v>9</v>
      </c>
      <c r="D8332">
        <v>44</v>
      </c>
      <c r="E8332" s="2">
        <v>2.9456018518518517E-2</v>
      </c>
      <c r="F8332">
        <v>42.416666666666664</v>
      </c>
    </row>
    <row r="8333" spans="1:6" x14ac:dyDescent="0.25">
      <c r="A8333" s="1">
        <v>41365</v>
      </c>
      <c r="B8333" t="s">
        <v>13</v>
      </c>
      <c r="C8333" t="s">
        <v>10</v>
      </c>
      <c r="D8333">
        <v>32</v>
      </c>
      <c r="E8333" s="2">
        <v>5.2546296296296299E-2</v>
      </c>
      <c r="F8333">
        <v>75.666666666666671</v>
      </c>
    </row>
    <row r="8334" spans="1:6" x14ac:dyDescent="0.25">
      <c r="A8334" s="1">
        <v>41365</v>
      </c>
      <c r="B8334" t="s">
        <v>13</v>
      </c>
      <c r="C8334" t="s">
        <v>11</v>
      </c>
      <c r="D8334">
        <v>38</v>
      </c>
      <c r="E8334" s="2">
        <v>3.8530092592592595E-2</v>
      </c>
      <c r="F8334">
        <v>55.483333333333334</v>
      </c>
    </row>
    <row r="8335" spans="1:6" x14ac:dyDescent="0.25">
      <c r="A8335" s="1">
        <v>41365</v>
      </c>
      <c r="B8335" t="s">
        <v>14</v>
      </c>
      <c r="C8335" t="s">
        <v>6</v>
      </c>
      <c r="D8335">
        <v>14</v>
      </c>
      <c r="E8335" s="2">
        <v>1.9027777777777779E-2</v>
      </c>
      <c r="F8335">
        <v>27.4</v>
      </c>
    </row>
    <row r="8336" spans="1:6" x14ac:dyDescent="0.25">
      <c r="A8336" s="1">
        <v>41365</v>
      </c>
      <c r="B8336" t="s">
        <v>14</v>
      </c>
      <c r="C8336" t="s">
        <v>7</v>
      </c>
      <c r="D8336">
        <v>18</v>
      </c>
      <c r="E8336" s="2">
        <v>3.0972222222222224E-2</v>
      </c>
      <c r="F8336">
        <v>44.6</v>
      </c>
    </row>
    <row r="8337" spans="1:6" x14ac:dyDescent="0.25">
      <c r="A8337" s="1">
        <v>41365</v>
      </c>
      <c r="B8337" t="s">
        <v>14</v>
      </c>
      <c r="C8337" t="s">
        <v>8</v>
      </c>
      <c r="D8337">
        <v>13</v>
      </c>
      <c r="E8337" s="2">
        <v>1.7002314814814814E-2</v>
      </c>
      <c r="F8337">
        <v>24.483333333333334</v>
      </c>
    </row>
    <row r="8338" spans="1:6" x14ac:dyDescent="0.25">
      <c r="A8338" s="1">
        <v>41365</v>
      </c>
      <c r="B8338" t="s">
        <v>14</v>
      </c>
      <c r="C8338" t="s">
        <v>9</v>
      </c>
      <c r="D8338">
        <v>3</v>
      </c>
      <c r="E8338" s="2">
        <v>2.5347222222222221E-3</v>
      </c>
      <c r="F8338">
        <v>3.65</v>
      </c>
    </row>
    <row r="8339" spans="1:6" x14ac:dyDescent="0.25">
      <c r="A8339" s="1">
        <v>41365</v>
      </c>
      <c r="B8339" t="s">
        <v>14</v>
      </c>
      <c r="C8339" t="s">
        <v>10</v>
      </c>
      <c r="D8339">
        <v>0</v>
      </c>
      <c r="E8339" s="2">
        <v>0</v>
      </c>
      <c r="F8339">
        <v>0</v>
      </c>
    </row>
    <row r="8340" spans="1:6" x14ac:dyDescent="0.25">
      <c r="A8340" s="1">
        <v>41365</v>
      </c>
      <c r="B8340" t="s">
        <v>14</v>
      </c>
      <c r="C8340" t="s">
        <v>11</v>
      </c>
      <c r="D8340">
        <v>8</v>
      </c>
      <c r="E8340" s="2">
        <v>9.1782407407407403E-3</v>
      </c>
      <c r="F8340">
        <v>13.216666666666667</v>
      </c>
    </row>
    <row r="8341" spans="1:6" x14ac:dyDescent="0.25">
      <c r="A8341" s="1">
        <v>41365</v>
      </c>
      <c r="B8341" t="s">
        <v>15</v>
      </c>
      <c r="C8341" t="s">
        <v>6</v>
      </c>
      <c r="D8341">
        <v>37</v>
      </c>
      <c r="E8341" s="2">
        <v>3.5995370370370372E-2</v>
      </c>
      <c r="F8341">
        <v>51.833333333333336</v>
      </c>
    </row>
    <row r="8342" spans="1:6" x14ac:dyDescent="0.25">
      <c r="A8342" s="1">
        <v>41365</v>
      </c>
      <c r="B8342" t="s">
        <v>15</v>
      </c>
      <c r="C8342" t="s">
        <v>7</v>
      </c>
      <c r="D8342">
        <v>38</v>
      </c>
      <c r="E8342" s="2">
        <v>3.7222222222222219E-2</v>
      </c>
      <c r="F8342">
        <v>53.6</v>
      </c>
    </row>
    <row r="8343" spans="1:6" x14ac:dyDescent="0.25">
      <c r="A8343" s="1">
        <v>41365</v>
      </c>
      <c r="B8343" t="s">
        <v>15</v>
      </c>
      <c r="C8343" t="s">
        <v>8</v>
      </c>
      <c r="D8343">
        <v>22</v>
      </c>
      <c r="E8343" s="2">
        <v>2.2476851851851852E-2</v>
      </c>
      <c r="F8343">
        <v>32.366666666666667</v>
      </c>
    </row>
    <row r="8344" spans="1:6" x14ac:dyDescent="0.25">
      <c r="A8344" s="1">
        <v>41365</v>
      </c>
      <c r="B8344" t="s">
        <v>15</v>
      </c>
      <c r="C8344" t="s">
        <v>9</v>
      </c>
      <c r="D8344">
        <v>10</v>
      </c>
      <c r="E8344" s="2">
        <v>4.5949074074074078E-3</v>
      </c>
      <c r="F8344">
        <v>6.6166666666666671</v>
      </c>
    </row>
    <row r="8345" spans="1:6" x14ac:dyDescent="0.25">
      <c r="A8345" s="1">
        <v>41365</v>
      </c>
      <c r="B8345" t="s">
        <v>15</v>
      </c>
      <c r="C8345" t="s">
        <v>10</v>
      </c>
      <c r="D8345">
        <v>6</v>
      </c>
      <c r="E8345" s="2">
        <v>7.3495370370370372E-3</v>
      </c>
      <c r="F8345">
        <v>10.583333333333334</v>
      </c>
    </row>
    <row r="8346" spans="1:6" x14ac:dyDescent="0.25">
      <c r="A8346" s="1">
        <v>41365</v>
      </c>
      <c r="B8346" t="s">
        <v>15</v>
      </c>
      <c r="C8346" t="s">
        <v>11</v>
      </c>
      <c r="D8346">
        <v>11</v>
      </c>
      <c r="E8346" s="2">
        <v>9.1782407407407403E-3</v>
      </c>
      <c r="F8346">
        <v>13.216666666666667</v>
      </c>
    </row>
    <row r="8347" spans="1:6" x14ac:dyDescent="0.25">
      <c r="A8347" s="1">
        <v>41365</v>
      </c>
      <c r="B8347" t="s">
        <v>16</v>
      </c>
      <c r="C8347" t="s">
        <v>6</v>
      </c>
      <c r="D8347">
        <v>46</v>
      </c>
      <c r="E8347" s="2">
        <v>4.9027777777777781E-2</v>
      </c>
      <c r="F8347">
        <v>70.599999999999994</v>
      </c>
    </row>
    <row r="8348" spans="1:6" x14ac:dyDescent="0.25">
      <c r="A8348" s="1">
        <v>41365</v>
      </c>
      <c r="B8348" t="s">
        <v>16</v>
      </c>
      <c r="C8348" t="s">
        <v>7</v>
      </c>
      <c r="D8348">
        <v>52</v>
      </c>
      <c r="E8348" s="2">
        <v>5.0231481481481481E-2</v>
      </c>
      <c r="F8348">
        <v>72.333333333333329</v>
      </c>
    </row>
    <row r="8349" spans="1:6" x14ac:dyDescent="0.25">
      <c r="A8349" s="1">
        <v>41365</v>
      </c>
      <c r="B8349" t="s">
        <v>16</v>
      </c>
      <c r="C8349" t="s">
        <v>8</v>
      </c>
      <c r="D8349">
        <v>46</v>
      </c>
      <c r="E8349" s="2">
        <v>4.9560185185185186E-2</v>
      </c>
      <c r="F8349">
        <v>71.36666666666666</v>
      </c>
    </row>
    <row r="8350" spans="1:6" x14ac:dyDescent="0.25">
      <c r="A8350" s="1">
        <v>41365</v>
      </c>
      <c r="B8350" t="s">
        <v>16</v>
      </c>
      <c r="C8350" t="s">
        <v>9</v>
      </c>
      <c r="D8350">
        <v>32</v>
      </c>
      <c r="E8350" s="2">
        <v>1.6319444444444445E-2</v>
      </c>
      <c r="F8350">
        <v>23.5</v>
      </c>
    </row>
    <row r="8351" spans="1:6" x14ac:dyDescent="0.25">
      <c r="A8351" s="1">
        <v>41365</v>
      </c>
      <c r="B8351" t="s">
        <v>16</v>
      </c>
      <c r="C8351" t="s">
        <v>10</v>
      </c>
      <c r="D8351">
        <v>3</v>
      </c>
      <c r="E8351" s="2">
        <v>5.1504629629629626E-3</v>
      </c>
      <c r="F8351">
        <v>7.416666666666667</v>
      </c>
    </row>
    <row r="8352" spans="1:6" x14ac:dyDescent="0.25">
      <c r="A8352" s="1">
        <v>41365</v>
      </c>
      <c r="B8352" t="s">
        <v>16</v>
      </c>
      <c r="C8352" t="s">
        <v>11</v>
      </c>
      <c r="D8352">
        <v>56</v>
      </c>
      <c r="E8352" s="2">
        <v>5.1956018518518519E-2</v>
      </c>
      <c r="F8352">
        <v>74.816666666666663</v>
      </c>
    </row>
    <row r="8353" spans="1:6" x14ac:dyDescent="0.25">
      <c r="A8353" s="1">
        <v>41365</v>
      </c>
      <c r="B8353" t="s">
        <v>17</v>
      </c>
      <c r="C8353" t="s">
        <v>6</v>
      </c>
      <c r="D8353">
        <v>13</v>
      </c>
      <c r="E8353" s="2">
        <v>1.1087962962962963E-2</v>
      </c>
      <c r="F8353">
        <v>15.966666666666667</v>
      </c>
    </row>
    <row r="8354" spans="1:6" x14ac:dyDescent="0.25">
      <c r="A8354" s="1">
        <v>41365</v>
      </c>
      <c r="B8354" t="s">
        <v>17</v>
      </c>
      <c r="C8354" t="s">
        <v>7</v>
      </c>
      <c r="D8354">
        <v>11</v>
      </c>
      <c r="E8354" s="2">
        <v>9.1435185185185178E-3</v>
      </c>
      <c r="F8354">
        <v>13.166666666666666</v>
      </c>
    </row>
    <row r="8355" spans="1:6" x14ac:dyDescent="0.25">
      <c r="A8355" s="1">
        <v>41365</v>
      </c>
      <c r="B8355" t="s">
        <v>17</v>
      </c>
      <c r="C8355" t="s">
        <v>8</v>
      </c>
      <c r="D8355">
        <v>9</v>
      </c>
      <c r="E8355" s="2">
        <v>9.4444444444444445E-3</v>
      </c>
      <c r="F8355">
        <v>13.6</v>
      </c>
    </row>
    <row r="8356" spans="1:6" x14ac:dyDescent="0.25">
      <c r="A8356" s="1">
        <v>41365</v>
      </c>
      <c r="B8356" t="s">
        <v>17</v>
      </c>
      <c r="C8356" t="s">
        <v>9</v>
      </c>
      <c r="D8356">
        <v>10</v>
      </c>
      <c r="E8356" s="2">
        <v>6.7361111111111111E-3</v>
      </c>
      <c r="F8356">
        <v>9.6999999999999993</v>
      </c>
    </row>
    <row r="8357" spans="1:6" x14ac:dyDescent="0.25">
      <c r="A8357" s="1">
        <v>41365</v>
      </c>
      <c r="B8357" t="s">
        <v>17</v>
      </c>
      <c r="C8357" t="s">
        <v>10</v>
      </c>
      <c r="D8357">
        <v>7</v>
      </c>
      <c r="E8357" s="2">
        <v>7.083333333333333E-3</v>
      </c>
      <c r="F8357">
        <v>10.199999999999999</v>
      </c>
    </row>
    <row r="8358" spans="1:6" x14ac:dyDescent="0.25">
      <c r="A8358" s="1">
        <v>41365</v>
      </c>
      <c r="B8358" t="s">
        <v>17</v>
      </c>
      <c r="C8358" t="s">
        <v>11</v>
      </c>
      <c r="D8358">
        <v>6</v>
      </c>
      <c r="E8358" s="2">
        <v>6.1689814814814819E-3</v>
      </c>
      <c r="F8358">
        <v>8.8833333333333329</v>
      </c>
    </row>
    <row r="8359" spans="1:6" x14ac:dyDescent="0.25">
      <c r="A8359" s="1">
        <v>41365</v>
      </c>
      <c r="B8359" t="s">
        <v>18</v>
      </c>
      <c r="C8359" t="s">
        <v>6</v>
      </c>
      <c r="D8359">
        <v>88</v>
      </c>
      <c r="E8359" s="2">
        <v>9.3935185185185191E-2</v>
      </c>
      <c r="F8359">
        <v>135.26666666666668</v>
      </c>
    </row>
    <row r="8360" spans="1:6" x14ac:dyDescent="0.25">
      <c r="A8360" s="1">
        <v>41365</v>
      </c>
      <c r="B8360" t="s">
        <v>18</v>
      </c>
      <c r="C8360" t="s">
        <v>7</v>
      </c>
      <c r="D8360">
        <v>128</v>
      </c>
      <c r="E8360" s="2">
        <v>0.10796296296296297</v>
      </c>
      <c r="F8360">
        <v>155.46666666666667</v>
      </c>
    </row>
    <row r="8361" spans="1:6" x14ac:dyDescent="0.25">
      <c r="A8361" s="1">
        <v>41365</v>
      </c>
      <c r="B8361" t="s">
        <v>18</v>
      </c>
      <c r="C8361" t="s">
        <v>8</v>
      </c>
      <c r="D8361">
        <v>59</v>
      </c>
      <c r="E8361" s="2">
        <v>5.9027777777777776E-2</v>
      </c>
      <c r="F8361">
        <v>85</v>
      </c>
    </row>
    <row r="8362" spans="1:6" x14ac:dyDescent="0.25">
      <c r="A8362" s="1">
        <v>41365</v>
      </c>
      <c r="B8362" t="s">
        <v>18</v>
      </c>
      <c r="C8362" t="s">
        <v>9</v>
      </c>
      <c r="D8362">
        <v>95</v>
      </c>
      <c r="E8362" s="2">
        <v>5.8912037037037034E-2</v>
      </c>
      <c r="F8362">
        <v>84.833333333333329</v>
      </c>
    </row>
    <row r="8363" spans="1:6" x14ac:dyDescent="0.25">
      <c r="A8363" s="1">
        <v>41365</v>
      </c>
      <c r="B8363" t="s">
        <v>18</v>
      </c>
      <c r="C8363" t="s">
        <v>10</v>
      </c>
      <c r="D8363">
        <v>134</v>
      </c>
      <c r="E8363" s="2">
        <v>0.15436342592592592</v>
      </c>
      <c r="F8363">
        <v>222.28333333333333</v>
      </c>
    </row>
    <row r="8364" spans="1:6" x14ac:dyDescent="0.25">
      <c r="A8364" s="1">
        <v>41365</v>
      </c>
      <c r="B8364" t="s">
        <v>18</v>
      </c>
      <c r="C8364" t="s">
        <v>11</v>
      </c>
      <c r="D8364">
        <v>75</v>
      </c>
      <c r="E8364" s="2">
        <v>7.0983796296296295E-2</v>
      </c>
      <c r="F8364">
        <v>102.21666666666667</v>
      </c>
    </row>
    <row r="8365" spans="1:6" x14ac:dyDescent="0.25">
      <c r="A8365" s="1">
        <v>41365</v>
      </c>
      <c r="B8365" t="s">
        <v>19</v>
      </c>
      <c r="C8365" t="s">
        <v>6</v>
      </c>
      <c r="D8365">
        <v>29</v>
      </c>
      <c r="E8365" s="2">
        <v>3.125E-2</v>
      </c>
      <c r="F8365">
        <v>45</v>
      </c>
    </row>
    <row r="8366" spans="1:6" x14ac:dyDescent="0.25">
      <c r="A8366" s="1">
        <v>41365</v>
      </c>
      <c r="B8366" t="s">
        <v>19</v>
      </c>
      <c r="C8366" t="s">
        <v>7</v>
      </c>
      <c r="D8366">
        <v>34</v>
      </c>
      <c r="E8366" s="2">
        <v>4.2731481481481481E-2</v>
      </c>
      <c r="F8366">
        <v>61.533333333333331</v>
      </c>
    </row>
    <row r="8367" spans="1:6" x14ac:dyDescent="0.25">
      <c r="A8367" s="1">
        <v>41365</v>
      </c>
      <c r="B8367" t="s">
        <v>19</v>
      </c>
      <c r="C8367" t="s">
        <v>8</v>
      </c>
      <c r="D8367">
        <v>37</v>
      </c>
      <c r="E8367" s="2">
        <v>3.8449074074074073E-2</v>
      </c>
      <c r="F8367">
        <v>55.366666666666667</v>
      </c>
    </row>
    <row r="8368" spans="1:6" x14ac:dyDescent="0.25">
      <c r="A8368" s="1">
        <v>41365</v>
      </c>
      <c r="B8368" t="s">
        <v>19</v>
      </c>
      <c r="C8368" t="s">
        <v>9</v>
      </c>
      <c r="D8368">
        <v>32</v>
      </c>
      <c r="E8368" s="2">
        <v>2.0312500000000001E-2</v>
      </c>
      <c r="F8368">
        <v>29.25</v>
      </c>
    </row>
    <row r="8369" spans="1:6" x14ac:dyDescent="0.25">
      <c r="A8369" s="1">
        <v>41365</v>
      </c>
      <c r="B8369" t="s">
        <v>19</v>
      </c>
      <c r="C8369" t="s">
        <v>10</v>
      </c>
      <c r="D8369">
        <v>20</v>
      </c>
      <c r="E8369" s="2">
        <v>2.476851851851852E-2</v>
      </c>
      <c r="F8369">
        <v>35.666666666666664</v>
      </c>
    </row>
    <row r="8370" spans="1:6" x14ac:dyDescent="0.25">
      <c r="A8370" s="1">
        <v>41365</v>
      </c>
      <c r="B8370" t="s">
        <v>19</v>
      </c>
      <c r="C8370" t="s">
        <v>11</v>
      </c>
      <c r="D8370">
        <v>36</v>
      </c>
      <c r="E8370" s="2">
        <v>3.5520833333333335E-2</v>
      </c>
      <c r="F8370">
        <v>51.15</v>
      </c>
    </row>
    <row r="8371" spans="1:6" x14ac:dyDescent="0.25">
      <c r="A8371" s="1">
        <v>41365</v>
      </c>
      <c r="B8371" t="s">
        <v>20</v>
      </c>
      <c r="C8371" t="s">
        <v>6</v>
      </c>
      <c r="D8371">
        <v>96</v>
      </c>
      <c r="E8371" s="2">
        <v>0.10710648148148148</v>
      </c>
      <c r="F8371">
        <v>154.23333333333332</v>
      </c>
    </row>
    <row r="8372" spans="1:6" x14ac:dyDescent="0.25">
      <c r="A8372" s="1">
        <v>41365</v>
      </c>
      <c r="B8372" t="s">
        <v>20</v>
      </c>
      <c r="C8372" t="s">
        <v>7</v>
      </c>
      <c r="D8372">
        <v>127</v>
      </c>
      <c r="E8372" s="2">
        <v>0.16141203703703705</v>
      </c>
      <c r="F8372">
        <v>232.43333333333334</v>
      </c>
    </row>
    <row r="8373" spans="1:6" x14ac:dyDescent="0.25">
      <c r="A8373" s="1">
        <v>41365</v>
      </c>
      <c r="B8373" t="s">
        <v>20</v>
      </c>
      <c r="C8373" t="s">
        <v>8</v>
      </c>
      <c r="D8373">
        <v>77</v>
      </c>
      <c r="E8373" s="2">
        <v>8.1655092592592599E-2</v>
      </c>
      <c r="F8373">
        <v>117.58333333333333</v>
      </c>
    </row>
    <row r="8374" spans="1:6" x14ac:dyDescent="0.25">
      <c r="A8374" s="1">
        <v>41365</v>
      </c>
      <c r="B8374" t="s">
        <v>20</v>
      </c>
      <c r="C8374" t="s">
        <v>9</v>
      </c>
      <c r="D8374">
        <v>42</v>
      </c>
      <c r="E8374" s="2">
        <v>3.2685185185185185E-2</v>
      </c>
      <c r="F8374">
        <v>47.06666666666667</v>
      </c>
    </row>
    <row r="8375" spans="1:6" x14ac:dyDescent="0.25">
      <c r="A8375" s="1">
        <v>41365</v>
      </c>
      <c r="B8375" t="s">
        <v>20</v>
      </c>
      <c r="C8375" t="s">
        <v>10</v>
      </c>
      <c r="D8375">
        <v>18</v>
      </c>
      <c r="E8375" s="2">
        <v>2.5925925925925925E-2</v>
      </c>
      <c r="F8375">
        <v>37.333333333333336</v>
      </c>
    </row>
    <row r="8376" spans="1:6" x14ac:dyDescent="0.25">
      <c r="A8376" s="1">
        <v>41365</v>
      </c>
      <c r="B8376" t="s">
        <v>20</v>
      </c>
      <c r="C8376" t="s">
        <v>11</v>
      </c>
      <c r="D8376">
        <v>66</v>
      </c>
      <c r="E8376" s="2">
        <v>5.8738425925925923E-2</v>
      </c>
      <c r="F8376">
        <v>84.583333333333329</v>
      </c>
    </row>
    <row r="8377" spans="1:6" x14ac:dyDescent="0.25">
      <c r="A8377" s="1">
        <v>41365</v>
      </c>
      <c r="B8377" t="s">
        <v>21</v>
      </c>
      <c r="C8377" t="s">
        <v>6</v>
      </c>
      <c r="D8377">
        <v>29</v>
      </c>
      <c r="E8377" s="2">
        <v>3.5509259259259261E-2</v>
      </c>
      <c r="F8377">
        <v>51.133333333333333</v>
      </c>
    </row>
    <row r="8378" spans="1:6" x14ac:dyDescent="0.25">
      <c r="A8378" s="1">
        <v>41365</v>
      </c>
      <c r="B8378" t="s">
        <v>21</v>
      </c>
      <c r="C8378" t="s">
        <v>7</v>
      </c>
      <c r="D8378">
        <v>25</v>
      </c>
      <c r="E8378" s="2">
        <v>3.8877314814814816E-2</v>
      </c>
      <c r="F8378">
        <v>55.983333333333334</v>
      </c>
    </row>
    <row r="8379" spans="1:6" x14ac:dyDescent="0.25">
      <c r="A8379" s="1">
        <v>41365</v>
      </c>
      <c r="B8379" t="s">
        <v>21</v>
      </c>
      <c r="C8379" t="s">
        <v>8</v>
      </c>
      <c r="D8379">
        <v>24</v>
      </c>
      <c r="E8379" s="2">
        <v>3.2268518518518516E-2</v>
      </c>
      <c r="F8379">
        <v>46.466666666666669</v>
      </c>
    </row>
    <row r="8380" spans="1:6" x14ac:dyDescent="0.25">
      <c r="A8380" s="1">
        <v>41365</v>
      </c>
      <c r="B8380" t="s">
        <v>21</v>
      </c>
      <c r="C8380" t="s">
        <v>9</v>
      </c>
      <c r="D8380">
        <v>15</v>
      </c>
      <c r="E8380" s="2">
        <v>8.0439814814814818E-3</v>
      </c>
      <c r="F8380">
        <v>11.583333333333334</v>
      </c>
    </row>
    <row r="8381" spans="1:6" x14ac:dyDescent="0.25">
      <c r="A8381" s="1">
        <v>41365</v>
      </c>
      <c r="B8381" t="s">
        <v>21</v>
      </c>
      <c r="C8381" t="s">
        <v>10</v>
      </c>
      <c r="D8381">
        <v>8</v>
      </c>
      <c r="E8381" s="2">
        <v>8.5416666666666662E-3</v>
      </c>
      <c r="F8381">
        <v>12.3</v>
      </c>
    </row>
    <row r="8382" spans="1:6" x14ac:dyDescent="0.25">
      <c r="A8382" s="1">
        <v>41365</v>
      </c>
      <c r="B8382" t="s">
        <v>21</v>
      </c>
      <c r="C8382" t="s">
        <v>11</v>
      </c>
      <c r="D8382">
        <v>18</v>
      </c>
      <c r="E8382" s="2">
        <v>1.7083333333333332E-2</v>
      </c>
      <c r="F8382">
        <v>24.6</v>
      </c>
    </row>
    <row r="8383" spans="1:6" x14ac:dyDescent="0.25">
      <c r="A8383" s="1">
        <v>41365</v>
      </c>
      <c r="B8383" t="s">
        <v>22</v>
      </c>
      <c r="C8383" t="s">
        <v>6</v>
      </c>
      <c r="D8383">
        <v>10</v>
      </c>
      <c r="E8383" s="2">
        <v>1.4212962962962964E-2</v>
      </c>
      <c r="F8383">
        <v>20.466666666666665</v>
      </c>
    </row>
    <row r="8384" spans="1:6" x14ac:dyDescent="0.25">
      <c r="A8384" s="1">
        <v>41365</v>
      </c>
      <c r="B8384" t="s">
        <v>22</v>
      </c>
      <c r="C8384" t="s">
        <v>7</v>
      </c>
      <c r="D8384">
        <v>13</v>
      </c>
      <c r="E8384" s="2">
        <v>1.8749999999999999E-2</v>
      </c>
      <c r="F8384">
        <v>27</v>
      </c>
    </row>
    <row r="8385" spans="1:6" x14ac:dyDescent="0.25">
      <c r="A8385" s="1">
        <v>41365</v>
      </c>
      <c r="B8385" t="s">
        <v>22</v>
      </c>
      <c r="C8385" t="s">
        <v>8</v>
      </c>
      <c r="D8385">
        <v>9</v>
      </c>
      <c r="E8385" s="2">
        <v>1.0381944444444444E-2</v>
      </c>
      <c r="F8385">
        <v>14.95</v>
      </c>
    </row>
    <row r="8386" spans="1:6" x14ac:dyDescent="0.25">
      <c r="A8386" s="1">
        <v>41365</v>
      </c>
      <c r="B8386" t="s">
        <v>22</v>
      </c>
      <c r="C8386" t="s">
        <v>9</v>
      </c>
      <c r="D8386">
        <v>6</v>
      </c>
      <c r="E8386" s="2">
        <v>1.8171296296296297E-3</v>
      </c>
      <c r="F8386">
        <v>2.6166666666666667</v>
      </c>
    </row>
    <row r="8387" spans="1:6" x14ac:dyDescent="0.25">
      <c r="A8387" s="1">
        <v>41365</v>
      </c>
      <c r="B8387" t="s">
        <v>22</v>
      </c>
      <c r="C8387" t="s">
        <v>10</v>
      </c>
      <c r="D8387">
        <v>3</v>
      </c>
      <c r="E8387" s="2">
        <v>4.3750000000000004E-3</v>
      </c>
      <c r="F8387">
        <v>6.3</v>
      </c>
    </row>
    <row r="8388" spans="1:6" x14ac:dyDescent="0.25">
      <c r="A8388" s="1">
        <v>41365</v>
      </c>
      <c r="B8388" t="s">
        <v>22</v>
      </c>
      <c r="C8388" t="s">
        <v>11</v>
      </c>
      <c r="D8388">
        <v>8</v>
      </c>
      <c r="E8388" s="2">
        <v>8.067129629629629E-3</v>
      </c>
      <c r="F8388">
        <v>11.616666666666667</v>
      </c>
    </row>
    <row r="8389" spans="1:6" x14ac:dyDescent="0.25">
      <c r="A8389" s="1">
        <v>41365</v>
      </c>
      <c r="B8389" t="s">
        <v>23</v>
      </c>
      <c r="C8389" t="s">
        <v>6</v>
      </c>
      <c r="D8389">
        <v>118</v>
      </c>
      <c r="E8389" s="2">
        <v>0.14300925925925925</v>
      </c>
      <c r="F8389">
        <v>205.93333333333334</v>
      </c>
    </row>
    <row r="8390" spans="1:6" x14ac:dyDescent="0.25">
      <c r="A8390" s="1">
        <v>41365</v>
      </c>
      <c r="B8390" t="s">
        <v>23</v>
      </c>
      <c r="C8390" t="s">
        <v>7</v>
      </c>
      <c r="D8390">
        <v>140</v>
      </c>
      <c r="E8390" s="2">
        <v>0.1865162037037037</v>
      </c>
      <c r="F8390">
        <v>268.58333333333331</v>
      </c>
    </row>
    <row r="8391" spans="1:6" x14ac:dyDescent="0.25">
      <c r="A8391" s="1">
        <v>41365</v>
      </c>
      <c r="B8391" t="s">
        <v>23</v>
      </c>
      <c r="C8391" t="s">
        <v>8</v>
      </c>
      <c r="D8391">
        <v>69</v>
      </c>
      <c r="E8391" s="2">
        <v>7.9953703703703707E-2</v>
      </c>
      <c r="F8391">
        <v>115.13333333333334</v>
      </c>
    </row>
    <row r="8392" spans="1:6" x14ac:dyDescent="0.25">
      <c r="A8392" s="1">
        <v>41365</v>
      </c>
      <c r="B8392" t="s">
        <v>23</v>
      </c>
      <c r="C8392" t="s">
        <v>9</v>
      </c>
      <c r="D8392">
        <v>59</v>
      </c>
      <c r="E8392" s="2">
        <v>3.4363425925925929E-2</v>
      </c>
      <c r="F8392">
        <v>49.483333333333334</v>
      </c>
    </row>
    <row r="8393" spans="1:6" x14ac:dyDescent="0.25">
      <c r="A8393" s="1">
        <v>41365</v>
      </c>
      <c r="B8393" t="s">
        <v>23</v>
      </c>
      <c r="C8393" t="s">
        <v>10</v>
      </c>
      <c r="D8393">
        <v>35</v>
      </c>
      <c r="E8393" s="2">
        <v>4.9826388888888892E-2</v>
      </c>
      <c r="F8393">
        <v>71.75</v>
      </c>
    </row>
    <row r="8394" spans="1:6" x14ac:dyDescent="0.25">
      <c r="A8394" s="1">
        <v>41365</v>
      </c>
      <c r="B8394" t="s">
        <v>23</v>
      </c>
      <c r="C8394" t="s">
        <v>11</v>
      </c>
      <c r="D8394">
        <v>86</v>
      </c>
      <c r="E8394" s="2">
        <v>9.0393518518518512E-2</v>
      </c>
      <c r="F8394">
        <v>130.16666666666666</v>
      </c>
    </row>
    <row r="8395" spans="1:6" x14ac:dyDescent="0.25">
      <c r="A8395" s="1">
        <v>41365</v>
      </c>
      <c r="B8395" t="s">
        <v>24</v>
      </c>
      <c r="C8395" t="s">
        <v>6</v>
      </c>
      <c r="D8395">
        <v>38</v>
      </c>
      <c r="E8395" s="2">
        <v>4.4895833333333336E-2</v>
      </c>
      <c r="F8395">
        <v>64.650000000000006</v>
      </c>
    </row>
    <row r="8396" spans="1:6" x14ac:dyDescent="0.25">
      <c r="A8396" s="1">
        <v>41365</v>
      </c>
      <c r="B8396" t="s">
        <v>24</v>
      </c>
      <c r="C8396" t="s">
        <v>7</v>
      </c>
      <c r="D8396">
        <v>33</v>
      </c>
      <c r="E8396" s="2">
        <v>2.1388888888888888E-2</v>
      </c>
      <c r="F8396">
        <v>30.8</v>
      </c>
    </row>
    <row r="8397" spans="1:6" x14ac:dyDescent="0.25">
      <c r="A8397" s="1">
        <v>41365</v>
      </c>
      <c r="B8397" t="s">
        <v>24</v>
      </c>
      <c r="C8397" t="s">
        <v>8</v>
      </c>
      <c r="D8397">
        <v>30</v>
      </c>
      <c r="E8397" s="2">
        <v>2.6539351851851852E-2</v>
      </c>
      <c r="F8397">
        <v>38.216666666666669</v>
      </c>
    </row>
    <row r="8398" spans="1:6" x14ac:dyDescent="0.25">
      <c r="A8398" s="1">
        <v>41365</v>
      </c>
      <c r="B8398" t="s">
        <v>24</v>
      </c>
      <c r="C8398" t="s">
        <v>9</v>
      </c>
      <c r="D8398">
        <v>21</v>
      </c>
      <c r="E8398" s="2">
        <v>1.269675925925926E-2</v>
      </c>
      <c r="F8398">
        <v>18.283333333333335</v>
      </c>
    </row>
    <row r="8399" spans="1:6" x14ac:dyDescent="0.25">
      <c r="A8399" s="1">
        <v>41365</v>
      </c>
      <c r="B8399" t="s">
        <v>24</v>
      </c>
      <c r="C8399" t="s">
        <v>10</v>
      </c>
      <c r="D8399">
        <v>0</v>
      </c>
      <c r="E8399" s="2">
        <v>0</v>
      </c>
      <c r="F8399">
        <v>0</v>
      </c>
    </row>
    <row r="8400" spans="1:6" x14ac:dyDescent="0.25">
      <c r="A8400" s="1">
        <v>41365</v>
      </c>
      <c r="B8400" t="s">
        <v>24</v>
      </c>
      <c r="C8400" t="s">
        <v>11</v>
      </c>
      <c r="D8400">
        <v>18</v>
      </c>
      <c r="E8400" s="2">
        <v>1.5011574074074075E-2</v>
      </c>
      <c r="F8400">
        <v>21.616666666666667</v>
      </c>
    </row>
    <row r="8401" spans="1:6" x14ac:dyDescent="0.25">
      <c r="A8401" s="1">
        <v>41395</v>
      </c>
      <c r="B8401" t="s">
        <v>5</v>
      </c>
      <c r="C8401" t="s">
        <v>6</v>
      </c>
      <c r="D8401">
        <v>54</v>
      </c>
      <c r="E8401" s="2">
        <v>5.7997685185185187E-2</v>
      </c>
      <c r="F8401">
        <v>83.516666666666666</v>
      </c>
    </row>
    <row r="8402" spans="1:6" x14ac:dyDescent="0.25">
      <c r="A8402" s="1">
        <v>41395</v>
      </c>
      <c r="B8402" t="s">
        <v>5</v>
      </c>
      <c r="C8402" t="s">
        <v>7</v>
      </c>
      <c r="D8402">
        <v>62</v>
      </c>
      <c r="E8402" s="2">
        <v>5.6921296296296296E-2</v>
      </c>
      <c r="F8402">
        <v>81.966666666666669</v>
      </c>
    </row>
    <row r="8403" spans="1:6" x14ac:dyDescent="0.25">
      <c r="A8403" s="1">
        <v>41395</v>
      </c>
      <c r="B8403" t="s">
        <v>5</v>
      </c>
      <c r="C8403" t="s">
        <v>8</v>
      </c>
      <c r="D8403">
        <v>40</v>
      </c>
      <c r="E8403" s="2">
        <v>3.6296296296296299E-2</v>
      </c>
      <c r="F8403">
        <v>52.266666666666666</v>
      </c>
    </row>
    <row r="8404" spans="1:6" x14ac:dyDescent="0.25">
      <c r="A8404" s="1">
        <v>41395</v>
      </c>
      <c r="B8404" t="s">
        <v>5</v>
      </c>
      <c r="C8404" t="s">
        <v>9</v>
      </c>
      <c r="D8404">
        <v>16</v>
      </c>
      <c r="E8404" s="2">
        <v>1.1631944444444445E-2</v>
      </c>
      <c r="F8404">
        <v>16.75</v>
      </c>
    </row>
    <row r="8405" spans="1:6" x14ac:dyDescent="0.25">
      <c r="A8405" s="1">
        <v>41395</v>
      </c>
      <c r="B8405" t="s">
        <v>5</v>
      </c>
      <c r="C8405" t="s">
        <v>10</v>
      </c>
      <c r="D8405">
        <v>2</v>
      </c>
      <c r="E8405" s="2">
        <v>2.2569444444444442E-3</v>
      </c>
      <c r="F8405">
        <v>3.25</v>
      </c>
    </row>
    <row r="8406" spans="1:6" x14ac:dyDescent="0.25">
      <c r="A8406" s="1">
        <v>41395</v>
      </c>
      <c r="B8406" t="s">
        <v>5</v>
      </c>
      <c r="C8406" t="s">
        <v>11</v>
      </c>
      <c r="D8406">
        <v>36</v>
      </c>
      <c r="E8406" s="2">
        <v>2.8206018518518519E-2</v>
      </c>
      <c r="F8406">
        <v>40.616666666666667</v>
      </c>
    </row>
    <row r="8407" spans="1:6" x14ac:dyDescent="0.25">
      <c r="A8407" s="1">
        <v>41395</v>
      </c>
      <c r="B8407" t="s">
        <v>12</v>
      </c>
      <c r="C8407" t="s">
        <v>6</v>
      </c>
      <c r="D8407">
        <v>56</v>
      </c>
      <c r="E8407" s="2">
        <v>7.4456018518518519E-2</v>
      </c>
      <c r="F8407">
        <v>107.21666666666667</v>
      </c>
    </row>
    <row r="8408" spans="1:6" x14ac:dyDescent="0.25">
      <c r="A8408" s="1">
        <v>41395</v>
      </c>
      <c r="B8408" t="s">
        <v>12</v>
      </c>
      <c r="C8408" t="s">
        <v>7</v>
      </c>
      <c r="D8408">
        <v>34</v>
      </c>
      <c r="E8408" s="2">
        <v>4.659722222222222E-2</v>
      </c>
      <c r="F8408">
        <v>67.099999999999994</v>
      </c>
    </row>
    <row r="8409" spans="1:6" x14ac:dyDescent="0.25">
      <c r="A8409" s="1">
        <v>41395</v>
      </c>
      <c r="B8409" t="s">
        <v>12</v>
      </c>
      <c r="C8409" t="s">
        <v>8</v>
      </c>
      <c r="D8409">
        <v>39</v>
      </c>
      <c r="E8409" s="2">
        <v>4.8726851851851855E-2</v>
      </c>
      <c r="F8409">
        <v>70.166666666666671</v>
      </c>
    </row>
    <row r="8410" spans="1:6" x14ac:dyDescent="0.25">
      <c r="A8410" s="1">
        <v>41395</v>
      </c>
      <c r="B8410" t="s">
        <v>12</v>
      </c>
      <c r="C8410" t="s">
        <v>9</v>
      </c>
      <c r="D8410">
        <v>13</v>
      </c>
      <c r="E8410" s="2">
        <v>8.6342592592592599E-3</v>
      </c>
      <c r="F8410">
        <v>12.433333333333334</v>
      </c>
    </row>
    <row r="8411" spans="1:6" x14ac:dyDescent="0.25">
      <c r="A8411" s="1">
        <v>41395</v>
      </c>
      <c r="B8411" t="s">
        <v>12</v>
      </c>
      <c r="C8411" t="s">
        <v>10</v>
      </c>
      <c r="D8411">
        <v>29</v>
      </c>
      <c r="E8411" s="2">
        <v>5.4502314814814816E-2</v>
      </c>
      <c r="F8411">
        <v>78.483333333333334</v>
      </c>
    </row>
    <row r="8412" spans="1:6" x14ac:dyDescent="0.25">
      <c r="A8412" s="1">
        <v>41395</v>
      </c>
      <c r="B8412" t="s">
        <v>12</v>
      </c>
      <c r="C8412" t="s">
        <v>11</v>
      </c>
      <c r="D8412">
        <v>53</v>
      </c>
      <c r="E8412" s="2">
        <v>5.5787037037037038E-2</v>
      </c>
      <c r="F8412">
        <v>80.333333333333329</v>
      </c>
    </row>
    <row r="8413" spans="1:6" x14ac:dyDescent="0.25">
      <c r="A8413" s="1">
        <v>41395</v>
      </c>
      <c r="B8413" t="s">
        <v>13</v>
      </c>
      <c r="C8413" t="s">
        <v>6</v>
      </c>
      <c r="D8413">
        <v>49</v>
      </c>
      <c r="E8413" s="2">
        <v>5.665509259259259E-2</v>
      </c>
      <c r="F8413">
        <v>81.583333333333329</v>
      </c>
    </row>
    <row r="8414" spans="1:6" x14ac:dyDescent="0.25">
      <c r="A8414" s="1">
        <v>41395</v>
      </c>
      <c r="B8414" t="s">
        <v>13</v>
      </c>
      <c r="C8414" t="s">
        <v>7</v>
      </c>
      <c r="D8414">
        <v>71</v>
      </c>
      <c r="E8414" s="2">
        <v>0.1053587962962963</v>
      </c>
      <c r="F8414">
        <v>151.71666666666667</v>
      </c>
    </row>
    <row r="8415" spans="1:6" x14ac:dyDescent="0.25">
      <c r="A8415" s="1">
        <v>41395</v>
      </c>
      <c r="B8415" t="s">
        <v>13</v>
      </c>
      <c r="C8415" t="s">
        <v>8</v>
      </c>
      <c r="D8415">
        <v>38</v>
      </c>
      <c r="E8415" s="2">
        <v>4.0428240740740744E-2</v>
      </c>
      <c r="F8415">
        <v>58.216666666666669</v>
      </c>
    </row>
    <row r="8416" spans="1:6" x14ac:dyDescent="0.25">
      <c r="A8416" s="1">
        <v>41395</v>
      </c>
      <c r="B8416" t="s">
        <v>13</v>
      </c>
      <c r="C8416" t="s">
        <v>9</v>
      </c>
      <c r="D8416">
        <v>37</v>
      </c>
      <c r="E8416" s="2">
        <v>2.0659722222222222E-2</v>
      </c>
      <c r="F8416">
        <v>29.75</v>
      </c>
    </row>
    <row r="8417" spans="1:6" x14ac:dyDescent="0.25">
      <c r="A8417" s="1">
        <v>41395</v>
      </c>
      <c r="B8417" t="s">
        <v>13</v>
      </c>
      <c r="C8417" t="s">
        <v>10</v>
      </c>
      <c r="D8417">
        <v>13</v>
      </c>
      <c r="E8417" s="2">
        <v>1.7152777777777777E-2</v>
      </c>
      <c r="F8417">
        <v>24.7</v>
      </c>
    </row>
    <row r="8418" spans="1:6" x14ac:dyDescent="0.25">
      <c r="A8418" s="1">
        <v>41395</v>
      </c>
      <c r="B8418" t="s">
        <v>13</v>
      </c>
      <c r="C8418" t="s">
        <v>11</v>
      </c>
      <c r="D8418">
        <v>25</v>
      </c>
      <c r="E8418" s="2">
        <v>2.4143518518518519E-2</v>
      </c>
      <c r="F8418">
        <v>34.766666666666666</v>
      </c>
    </row>
    <row r="8419" spans="1:6" x14ac:dyDescent="0.25">
      <c r="A8419" s="1">
        <v>41395</v>
      </c>
      <c r="B8419" t="s">
        <v>14</v>
      </c>
      <c r="C8419" t="s">
        <v>6</v>
      </c>
      <c r="D8419">
        <v>16</v>
      </c>
      <c r="E8419" s="2">
        <v>2.4039351851851853E-2</v>
      </c>
      <c r="F8419">
        <v>34.616666666666667</v>
      </c>
    </row>
    <row r="8420" spans="1:6" x14ac:dyDescent="0.25">
      <c r="A8420" s="1">
        <v>41395</v>
      </c>
      <c r="B8420" t="s">
        <v>14</v>
      </c>
      <c r="C8420" t="s">
        <v>7</v>
      </c>
      <c r="D8420">
        <v>23</v>
      </c>
      <c r="E8420" s="2">
        <v>3.861111111111111E-2</v>
      </c>
      <c r="F8420">
        <v>55.6</v>
      </c>
    </row>
    <row r="8421" spans="1:6" x14ac:dyDescent="0.25">
      <c r="A8421" s="1">
        <v>41395</v>
      </c>
      <c r="B8421" t="s">
        <v>14</v>
      </c>
      <c r="C8421" t="s">
        <v>8</v>
      </c>
      <c r="D8421">
        <v>8</v>
      </c>
      <c r="E8421" s="2">
        <v>1.3680555555555555E-2</v>
      </c>
      <c r="F8421">
        <v>19.7</v>
      </c>
    </row>
    <row r="8422" spans="1:6" x14ac:dyDescent="0.25">
      <c r="A8422" s="1">
        <v>41395</v>
      </c>
      <c r="B8422" t="s">
        <v>14</v>
      </c>
      <c r="C8422" t="s">
        <v>9</v>
      </c>
      <c r="D8422">
        <v>3</v>
      </c>
      <c r="E8422" s="2">
        <v>2.7199074074074074E-3</v>
      </c>
      <c r="F8422">
        <v>3.9166666666666665</v>
      </c>
    </row>
    <row r="8423" spans="1:6" x14ac:dyDescent="0.25">
      <c r="A8423" s="1">
        <v>41395</v>
      </c>
      <c r="B8423" t="s">
        <v>14</v>
      </c>
      <c r="C8423" t="s">
        <v>10</v>
      </c>
      <c r="D8423">
        <v>3</v>
      </c>
      <c r="E8423" s="2">
        <v>6.076388888888889E-3</v>
      </c>
      <c r="F8423">
        <v>8.75</v>
      </c>
    </row>
    <row r="8424" spans="1:6" x14ac:dyDescent="0.25">
      <c r="A8424" s="1">
        <v>41395</v>
      </c>
      <c r="B8424" t="s">
        <v>14</v>
      </c>
      <c r="C8424" t="s">
        <v>11</v>
      </c>
      <c r="D8424">
        <v>10</v>
      </c>
      <c r="E8424" s="2">
        <v>1.1261574074074075E-2</v>
      </c>
      <c r="F8424">
        <v>16.216666666666665</v>
      </c>
    </row>
    <row r="8425" spans="1:6" x14ac:dyDescent="0.25">
      <c r="A8425" s="1">
        <v>41395</v>
      </c>
      <c r="B8425" t="s">
        <v>15</v>
      </c>
      <c r="C8425" t="s">
        <v>6</v>
      </c>
      <c r="D8425">
        <v>24</v>
      </c>
      <c r="E8425" s="2">
        <v>2.5023148148148149E-2</v>
      </c>
      <c r="F8425">
        <v>36.033333333333331</v>
      </c>
    </row>
    <row r="8426" spans="1:6" x14ac:dyDescent="0.25">
      <c r="A8426" s="1">
        <v>41395</v>
      </c>
      <c r="B8426" t="s">
        <v>15</v>
      </c>
      <c r="C8426" t="s">
        <v>7</v>
      </c>
      <c r="D8426">
        <v>34</v>
      </c>
      <c r="E8426" s="2">
        <v>2.9259259259259259E-2</v>
      </c>
      <c r="F8426">
        <v>42.133333333333333</v>
      </c>
    </row>
    <row r="8427" spans="1:6" x14ac:dyDescent="0.25">
      <c r="A8427" s="1">
        <v>41395</v>
      </c>
      <c r="B8427" t="s">
        <v>15</v>
      </c>
      <c r="C8427" t="s">
        <v>8</v>
      </c>
      <c r="D8427">
        <v>27</v>
      </c>
      <c r="E8427" s="2">
        <v>2.7835648148148148E-2</v>
      </c>
      <c r="F8427">
        <v>40.083333333333336</v>
      </c>
    </row>
    <row r="8428" spans="1:6" x14ac:dyDescent="0.25">
      <c r="A8428" s="1">
        <v>41395</v>
      </c>
      <c r="B8428" t="s">
        <v>15</v>
      </c>
      <c r="C8428" t="s">
        <v>9</v>
      </c>
      <c r="D8428">
        <v>8</v>
      </c>
      <c r="E8428" s="2">
        <v>4.2129629629629626E-3</v>
      </c>
      <c r="F8428">
        <v>6.0666666666666664</v>
      </c>
    </row>
    <row r="8429" spans="1:6" x14ac:dyDescent="0.25">
      <c r="A8429" s="1">
        <v>41395</v>
      </c>
      <c r="B8429" t="s">
        <v>15</v>
      </c>
      <c r="C8429" t="s">
        <v>10</v>
      </c>
      <c r="D8429">
        <v>9</v>
      </c>
      <c r="E8429" s="2">
        <v>1.5358796296296296E-2</v>
      </c>
      <c r="F8429">
        <v>22.116666666666667</v>
      </c>
    </row>
    <row r="8430" spans="1:6" x14ac:dyDescent="0.25">
      <c r="A8430" s="1">
        <v>41395</v>
      </c>
      <c r="B8430" t="s">
        <v>15</v>
      </c>
      <c r="C8430" t="s">
        <v>11</v>
      </c>
      <c r="D8430">
        <v>13</v>
      </c>
      <c r="E8430" s="2">
        <v>1.0868055555555556E-2</v>
      </c>
      <c r="F8430">
        <v>15.65</v>
      </c>
    </row>
    <row r="8431" spans="1:6" x14ac:dyDescent="0.25">
      <c r="A8431" s="1">
        <v>41395</v>
      </c>
      <c r="B8431" t="s">
        <v>16</v>
      </c>
      <c r="C8431" t="s">
        <v>6</v>
      </c>
      <c r="D8431">
        <v>34</v>
      </c>
      <c r="E8431" s="2">
        <v>3.3379629629629627E-2</v>
      </c>
      <c r="F8431">
        <v>48.06666666666667</v>
      </c>
    </row>
    <row r="8432" spans="1:6" x14ac:dyDescent="0.25">
      <c r="A8432" s="1">
        <v>41395</v>
      </c>
      <c r="B8432" t="s">
        <v>16</v>
      </c>
      <c r="C8432" t="s">
        <v>7</v>
      </c>
      <c r="D8432">
        <v>63</v>
      </c>
      <c r="E8432" s="2">
        <v>5.6111111111111112E-2</v>
      </c>
      <c r="F8432">
        <v>80.8</v>
      </c>
    </row>
    <row r="8433" spans="1:6" x14ac:dyDescent="0.25">
      <c r="A8433" s="1">
        <v>41395</v>
      </c>
      <c r="B8433" t="s">
        <v>16</v>
      </c>
      <c r="C8433" t="s">
        <v>8</v>
      </c>
      <c r="D8433">
        <v>31</v>
      </c>
      <c r="E8433" s="2">
        <v>2.7314814814814816E-2</v>
      </c>
      <c r="F8433">
        <v>39.333333333333336</v>
      </c>
    </row>
    <row r="8434" spans="1:6" x14ac:dyDescent="0.25">
      <c r="A8434" s="1">
        <v>41395</v>
      </c>
      <c r="B8434" t="s">
        <v>16</v>
      </c>
      <c r="C8434" t="s">
        <v>9</v>
      </c>
      <c r="D8434">
        <v>30</v>
      </c>
      <c r="E8434" s="2">
        <v>2.1226851851851851E-2</v>
      </c>
      <c r="F8434">
        <v>30.566666666666666</v>
      </c>
    </row>
    <row r="8435" spans="1:6" x14ac:dyDescent="0.25">
      <c r="A8435" s="1">
        <v>41395</v>
      </c>
      <c r="B8435" t="s">
        <v>16</v>
      </c>
      <c r="C8435" t="s">
        <v>10</v>
      </c>
      <c r="D8435">
        <v>2</v>
      </c>
      <c r="E8435" s="2">
        <v>2.1296296296296298E-3</v>
      </c>
      <c r="F8435">
        <v>3.0666666666666669</v>
      </c>
    </row>
    <row r="8436" spans="1:6" x14ac:dyDescent="0.25">
      <c r="A8436" s="1">
        <v>41395</v>
      </c>
      <c r="B8436" t="s">
        <v>16</v>
      </c>
      <c r="C8436" t="s">
        <v>11</v>
      </c>
      <c r="D8436">
        <v>52</v>
      </c>
      <c r="E8436" s="2">
        <v>4.4791666666666667E-2</v>
      </c>
      <c r="F8436">
        <v>64.5</v>
      </c>
    </row>
    <row r="8437" spans="1:6" x14ac:dyDescent="0.25">
      <c r="A8437" s="1">
        <v>41395</v>
      </c>
      <c r="B8437" t="s">
        <v>17</v>
      </c>
      <c r="C8437" t="s">
        <v>6</v>
      </c>
      <c r="D8437">
        <v>13</v>
      </c>
      <c r="E8437" s="2">
        <v>1.1886574074074074E-2</v>
      </c>
      <c r="F8437">
        <v>17.116666666666667</v>
      </c>
    </row>
    <row r="8438" spans="1:6" x14ac:dyDescent="0.25">
      <c r="A8438" s="1">
        <v>41395</v>
      </c>
      <c r="B8438" t="s">
        <v>17</v>
      </c>
      <c r="C8438" t="s">
        <v>7</v>
      </c>
      <c r="D8438">
        <v>15</v>
      </c>
      <c r="E8438" s="2">
        <v>1.7418981481481483E-2</v>
      </c>
      <c r="F8438">
        <v>25.083333333333332</v>
      </c>
    </row>
    <row r="8439" spans="1:6" x14ac:dyDescent="0.25">
      <c r="A8439" s="1">
        <v>41395</v>
      </c>
      <c r="B8439" t="s">
        <v>17</v>
      </c>
      <c r="C8439" t="s">
        <v>8</v>
      </c>
      <c r="D8439">
        <v>8</v>
      </c>
      <c r="E8439" s="2">
        <v>9.8148148148148144E-3</v>
      </c>
      <c r="F8439">
        <v>14.133333333333333</v>
      </c>
    </row>
    <row r="8440" spans="1:6" x14ac:dyDescent="0.25">
      <c r="A8440" s="1">
        <v>41395</v>
      </c>
      <c r="B8440" t="s">
        <v>17</v>
      </c>
      <c r="C8440" t="s">
        <v>9</v>
      </c>
      <c r="D8440">
        <v>4</v>
      </c>
      <c r="E8440" s="2">
        <v>3.0902777777777777E-3</v>
      </c>
      <c r="F8440">
        <v>4.45</v>
      </c>
    </row>
    <row r="8441" spans="1:6" x14ac:dyDescent="0.25">
      <c r="A8441" s="1">
        <v>41395</v>
      </c>
      <c r="B8441" t="s">
        <v>17</v>
      </c>
      <c r="C8441" t="s">
        <v>10</v>
      </c>
      <c r="D8441">
        <v>10</v>
      </c>
      <c r="E8441" s="2">
        <v>7.8009259259259256E-3</v>
      </c>
      <c r="F8441">
        <v>11.233333333333333</v>
      </c>
    </row>
    <row r="8442" spans="1:6" x14ac:dyDescent="0.25">
      <c r="A8442" s="1">
        <v>41395</v>
      </c>
      <c r="B8442" t="s">
        <v>17</v>
      </c>
      <c r="C8442" t="s">
        <v>11</v>
      </c>
      <c r="D8442">
        <v>8</v>
      </c>
      <c r="E8442" s="2">
        <v>5.6944444444444447E-3</v>
      </c>
      <c r="F8442">
        <v>8.1999999999999993</v>
      </c>
    </row>
    <row r="8443" spans="1:6" x14ac:dyDescent="0.25">
      <c r="A8443" s="1">
        <v>41395</v>
      </c>
      <c r="B8443" t="s">
        <v>18</v>
      </c>
      <c r="C8443" t="s">
        <v>6</v>
      </c>
      <c r="D8443">
        <v>26</v>
      </c>
      <c r="E8443" s="2">
        <v>2.6678240740740742E-2</v>
      </c>
      <c r="F8443">
        <v>38.416666666666664</v>
      </c>
    </row>
    <row r="8444" spans="1:6" x14ac:dyDescent="0.25">
      <c r="A8444" s="1">
        <v>41395</v>
      </c>
      <c r="B8444" t="s">
        <v>18</v>
      </c>
      <c r="C8444" t="s">
        <v>7</v>
      </c>
      <c r="D8444">
        <v>60</v>
      </c>
      <c r="E8444" s="2">
        <v>5.0659722222222224E-2</v>
      </c>
      <c r="F8444">
        <v>72.95</v>
      </c>
    </row>
    <row r="8445" spans="1:6" x14ac:dyDescent="0.25">
      <c r="A8445" s="1">
        <v>41395</v>
      </c>
      <c r="B8445" t="s">
        <v>18</v>
      </c>
      <c r="C8445" t="s">
        <v>8</v>
      </c>
      <c r="D8445">
        <v>22</v>
      </c>
      <c r="E8445" s="2">
        <v>1.5486111111111112E-2</v>
      </c>
      <c r="F8445">
        <v>22.3</v>
      </c>
    </row>
    <row r="8446" spans="1:6" x14ac:dyDescent="0.25">
      <c r="A8446" s="1">
        <v>41395</v>
      </c>
      <c r="B8446" t="s">
        <v>18</v>
      </c>
      <c r="C8446" t="s">
        <v>9</v>
      </c>
      <c r="D8446">
        <v>36</v>
      </c>
      <c r="E8446" s="2">
        <v>2.1851851851851851E-2</v>
      </c>
      <c r="F8446">
        <v>31.466666666666665</v>
      </c>
    </row>
    <row r="8447" spans="1:6" x14ac:dyDescent="0.25">
      <c r="A8447" s="1">
        <v>41395</v>
      </c>
      <c r="B8447" t="s">
        <v>18</v>
      </c>
      <c r="C8447" t="s">
        <v>10</v>
      </c>
      <c r="D8447">
        <v>103</v>
      </c>
      <c r="E8447" s="2">
        <v>0.12523148148148147</v>
      </c>
      <c r="F8447">
        <v>180.33333333333334</v>
      </c>
    </row>
    <row r="8448" spans="1:6" x14ac:dyDescent="0.25">
      <c r="A8448" s="1">
        <v>41395</v>
      </c>
      <c r="B8448" t="s">
        <v>18</v>
      </c>
      <c r="C8448" t="s">
        <v>11</v>
      </c>
      <c r="D8448">
        <v>33</v>
      </c>
      <c r="E8448" s="2">
        <v>2.207175925925926E-2</v>
      </c>
      <c r="F8448">
        <v>31.783333333333335</v>
      </c>
    </row>
    <row r="8449" spans="1:6" x14ac:dyDescent="0.25">
      <c r="A8449" s="1">
        <v>41395</v>
      </c>
      <c r="B8449" t="s">
        <v>19</v>
      </c>
      <c r="C8449" t="s">
        <v>6</v>
      </c>
      <c r="D8449">
        <v>32</v>
      </c>
      <c r="E8449" s="2">
        <v>3.1759259259259258E-2</v>
      </c>
      <c r="F8449">
        <v>45.733333333333334</v>
      </c>
    </row>
    <row r="8450" spans="1:6" x14ac:dyDescent="0.25">
      <c r="A8450" s="1">
        <v>41395</v>
      </c>
      <c r="B8450" t="s">
        <v>19</v>
      </c>
      <c r="C8450" t="s">
        <v>7</v>
      </c>
      <c r="D8450">
        <v>42</v>
      </c>
      <c r="E8450" s="2">
        <v>4.2395833333333334E-2</v>
      </c>
      <c r="F8450">
        <v>61.05</v>
      </c>
    </row>
    <row r="8451" spans="1:6" x14ac:dyDescent="0.25">
      <c r="A8451" s="1">
        <v>41395</v>
      </c>
      <c r="B8451" t="s">
        <v>19</v>
      </c>
      <c r="C8451" t="s">
        <v>8</v>
      </c>
      <c r="D8451">
        <v>31</v>
      </c>
      <c r="E8451" s="2">
        <v>3.0115740740740742E-2</v>
      </c>
      <c r="F8451">
        <v>43.366666666666667</v>
      </c>
    </row>
    <row r="8452" spans="1:6" x14ac:dyDescent="0.25">
      <c r="A8452" s="1">
        <v>41395</v>
      </c>
      <c r="B8452" t="s">
        <v>19</v>
      </c>
      <c r="C8452" t="s">
        <v>9</v>
      </c>
      <c r="D8452">
        <v>37</v>
      </c>
      <c r="E8452" s="2">
        <v>2.4236111111111111E-2</v>
      </c>
      <c r="F8452">
        <v>34.9</v>
      </c>
    </row>
    <row r="8453" spans="1:6" x14ac:dyDescent="0.25">
      <c r="A8453" s="1">
        <v>41395</v>
      </c>
      <c r="B8453" t="s">
        <v>19</v>
      </c>
      <c r="C8453" t="s">
        <v>10</v>
      </c>
      <c r="D8453">
        <v>16</v>
      </c>
      <c r="E8453" s="2">
        <v>1.7604166666666667E-2</v>
      </c>
      <c r="F8453">
        <v>25.35</v>
      </c>
    </row>
    <row r="8454" spans="1:6" x14ac:dyDescent="0.25">
      <c r="A8454" s="1">
        <v>41395</v>
      </c>
      <c r="B8454" t="s">
        <v>19</v>
      </c>
      <c r="C8454" t="s">
        <v>11</v>
      </c>
      <c r="D8454">
        <v>29</v>
      </c>
      <c r="E8454" s="2">
        <v>2.3206018518518518E-2</v>
      </c>
      <c r="F8454">
        <v>33.416666666666664</v>
      </c>
    </row>
    <row r="8455" spans="1:6" x14ac:dyDescent="0.25">
      <c r="A8455" s="1">
        <v>41395</v>
      </c>
      <c r="B8455" t="s">
        <v>20</v>
      </c>
      <c r="C8455" t="s">
        <v>6</v>
      </c>
      <c r="D8455">
        <v>55</v>
      </c>
      <c r="E8455" s="2">
        <v>7.7187500000000006E-2</v>
      </c>
      <c r="F8455">
        <v>111.15</v>
      </c>
    </row>
    <row r="8456" spans="1:6" x14ac:dyDescent="0.25">
      <c r="A8456" s="1">
        <v>41395</v>
      </c>
      <c r="B8456" t="s">
        <v>20</v>
      </c>
      <c r="C8456" t="s">
        <v>7</v>
      </c>
      <c r="D8456">
        <v>75</v>
      </c>
      <c r="E8456" s="2">
        <v>7.0601851851851846E-2</v>
      </c>
      <c r="F8456">
        <v>101.66666666666667</v>
      </c>
    </row>
    <row r="8457" spans="1:6" x14ac:dyDescent="0.25">
      <c r="A8457" s="1">
        <v>41395</v>
      </c>
      <c r="B8457" t="s">
        <v>20</v>
      </c>
      <c r="C8457" t="s">
        <v>8</v>
      </c>
      <c r="D8457">
        <v>36</v>
      </c>
      <c r="E8457" s="2">
        <v>4.3460648148148151E-2</v>
      </c>
      <c r="F8457">
        <v>62.583333333333336</v>
      </c>
    </row>
    <row r="8458" spans="1:6" x14ac:dyDescent="0.25">
      <c r="A8458" s="1">
        <v>41395</v>
      </c>
      <c r="B8458" t="s">
        <v>20</v>
      </c>
      <c r="C8458" t="s">
        <v>9</v>
      </c>
      <c r="D8458">
        <v>29</v>
      </c>
      <c r="E8458" s="2">
        <v>1.8379629629629631E-2</v>
      </c>
      <c r="F8458">
        <v>26.466666666666665</v>
      </c>
    </row>
    <row r="8459" spans="1:6" x14ac:dyDescent="0.25">
      <c r="A8459" s="1">
        <v>41395</v>
      </c>
      <c r="B8459" t="s">
        <v>20</v>
      </c>
      <c r="C8459" t="s">
        <v>10</v>
      </c>
      <c r="D8459">
        <v>16</v>
      </c>
      <c r="E8459" s="2">
        <v>1.7245370370370369E-2</v>
      </c>
      <c r="F8459">
        <v>24.833333333333332</v>
      </c>
    </row>
    <row r="8460" spans="1:6" x14ac:dyDescent="0.25">
      <c r="A8460" s="1">
        <v>41395</v>
      </c>
      <c r="B8460" t="s">
        <v>20</v>
      </c>
      <c r="C8460" t="s">
        <v>11</v>
      </c>
      <c r="D8460">
        <v>39</v>
      </c>
      <c r="E8460" s="2">
        <v>2.9201388888888888E-2</v>
      </c>
      <c r="F8460">
        <v>42.05</v>
      </c>
    </row>
    <row r="8461" spans="1:6" x14ac:dyDescent="0.25">
      <c r="A8461" s="1">
        <v>41395</v>
      </c>
      <c r="B8461" t="s">
        <v>21</v>
      </c>
      <c r="C8461" t="s">
        <v>6</v>
      </c>
      <c r="D8461">
        <v>28</v>
      </c>
      <c r="E8461" s="2">
        <v>3.4803240740740739E-2</v>
      </c>
      <c r="F8461">
        <v>50.116666666666667</v>
      </c>
    </row>
    <row r="8462" spans="1:6" x14ac:dyDescent="0.25">
      <c r="A8462" s="1">
        <v>41395</v>
      </c>
      <c r="B8462" t="s">
        <v>21</v>
      </c>
      <c r="C8462" t="s">
        <v>7</v>
      </c>
      <c r="D8462">
        <v>33</v>
      </c>
      <c r="E8462" s="2">
        <v>4.0821759259259259E-2</v>
      </c>
      <c r="F8462">
        <v>58.783333333333331</v>
      </c>
    </row>
    <row r="8463" spans="1:6" x14ac:dyDescent="0.25">
      <c r="A8463" s="1">
        <v>41395</v>
      </c>
      <c r="B8463" t="s">
        <v>21</v>
      </c>
      <c r="C8463" t="s">
        <v>8</v>
      </c>
      <c r="D8463">
        <v>26</v>
      </c>
      <c r="E8463" s="2">
        <v>3.0763888888888889E-2</v>
      </c>
      <c r="F8463">
        <v>44.3</v>
      </c>
    </row>
    <row r="8464" spans="1:6" x14ac:dyDescent="0.25">
      <c r="A8464" s="1">
        <v>41395</v>
      </c>
      <c r="B8464" t="s">
        <v>21</v>
      </c>
      <c r="C8464" t="s">
        <v>9</v>
      </c>
      <c r="D8464">
        <v>17</v>
      </c>
      <c r="E8464" s="2">
        <v>1.1921296296296296E-2</v>
      </c>
      <c r="F8464">
        <v>17.166666666666668</v>
      </c>
    </row>
    <row r="8465" spans="1:6" x14ac:dyDescent="0.25">
      <c r="A8465" s="1">
        <v>41395</v>
      </c>
      <c r="B8465" t="s">
        <v>21</v>
      </c>
      <c r="C8465" t="s">
        <v>10</v>
      </c>
      <c r="D8465">
        <v>3</v>
      </c>
      <c r="E8465" s="2">
        <v>4.2708333333333331E-3</v>
      </c>
      <c r="F8465">
        <v>6.15</v>
      </c>
    </row>
    <row r="8466" spans="1:6" x14ac:dyDescent="0.25">
      <c r="A8466" s="1">
        <v>41395</v>
      </c>
      <c r="B8466" t="s">
        <v>21</v>
      </c>
      <c r="C8466" t="s">
        <v>11</v>
      </c>
      <c r="D8466">
        <v>24</v>
      </c>
      <c r="E8466" s="2">
        <v>2.5219907407407406E-2</v>
      </c>
      <c r="F8466">
        <v>36.31666666666667</v>
      </c>
    </row>
    <row r="8467" spans="1:6" x14ac:dyDescent="0.25">
      <c r="A8467" s="1">
        <v>41395</v>
      </c>
      <c r="B8467" t="s">
        <v>22</v>
      </c>
      <c r="C8467" t="s">
        <v>6</v>
      </c>
      <c r="D8467">
        <v>12</v>
      </c>
      <c r="E8467" s="2">
        <v>1.8217592592592594E-2</v>
      </c>
      <c r="F8467">
        <v>26.233333333333334</v>
      </c>
    </row>
    <row r="8468" spans="1:6" x14ac:dyDescent="0.25">
      <c r="A8468" s="1">
        <v>41395</v>
      </c>
      <c r="B8468" t="s">
        <v>22</v>
      </c>
      <c r="C8468" t="s">
        <v>7</v>
      </c>
      <c r="D8468">
        <v>16</v>
      </c>
      <c r="E8468" s="2">
        <v>1.9050925925925926E-2</v>
      </c>
      <c r="F8468">
        <v>27.433333333333334</v>
      </c>
    </row>
    <row r="8469" spans="1:6" x14ac:dyDescent="0.25">
      <c r="A8469" s="1">
        <v>41395</v>
      </c>
      <c r="B8469" t="s">
        <v>22</v>
      </c>
      <c r="C8469" t="s">
        <v>8</v>
      </c>
      <c r="D8469">
        <v>7</v>
      </c>
      <c r="E8469" s="2">
        <v>8.1365740740740738E-3</v>
      </c>
      <c r="F8469">
        <v>11.716666666666667</v>
      </c>
    </row>
    <row r="8470" spans="1:6" x14ac:dyDescent="0.25">
      <c r="A8470" s="1">
        <v>41395</v>
      </c>
      <c r="B8470" t="s">
        <v>22</v>
      </c>
      <c r="C8470" t="s">
        <v>9</v>
      </c>
      <c r="D8470">
        <v>6</v>
      </c>
      <c r="E8470" s="2">
        <v>2.5231481481481481E-3</v>
      </c>
      <c r="F8470">
        <v>3.6333333333333333</v>
      </c>
    </row>
    <row r="8471" spans="1:6" x14ac:dyDescent="0.25">
      <c r="A8471" s="1">
        <v>41395</v>
      </c>
      <c r="B8471" t="s">
        <v>22</v>
      </c>
      <c r="C8471" t="s">
        <v>10</v>
      </c>
      <c r="D8471">
        <v>2</v>
      </c>
      <c r="E8471" s="2">
        <v>2.4537037037037036E-3</v>
      </c>
      <c r="F8471">
        <v>3.5333333333333332</v>
      </c>
    </row>
    <row r="8472" spans="1:6" x14ac:dyDescent="0.25">
      <c r="A8472" s="1">
        <v>41395</v>
      </c>
      <c r="B8472" t="s">
        <v>22</v>
      </c>
      <c r="C8472" t="s">
        <v>11</v>
      </c>
      <c r="D8472">
        <v>4</v>
      </c>
      <c r="E8472" s="2">
        <v>4.9189814814814816E-3</v>
      </c>
      <c r="F8472">
        <v>7.083333333333333</v>
      </c>
    </row>
    <row r="8473" spans="1:6" x14ac:dyDescent="0.25">
      <c r="A8473" s="1">
        <v>41395</v>
      </c>
      <c r="B8473" t="s">
        <v>23</v>
      </c>
      <c r="C8473" t="s">
        <v>6</v>
      </c>
      <c r="D8473">
        <v>75</v>
      </c>
      <c r="E8473" s="2">
        <v>8.711805555555556E-2</v>
      </c>
      <c r="F8473">
        <v>125.45</v>
      </c>
    </row>
    <row r="8474" spans="1:6" x14ac:dyDescent="0.25">
      <c r="A8474" s="1">
        <v>41395</v>
      </c>
      <c r="B8474" t="s">
        <v>23</v>
      </c>
      <c r="C8474" t="s">
        <v>7</v>
      </c>
      <c r="D8474">
        <v>90</v>
      </c>
      <c r="E8474" s="2">
        <v>0.12377314814814815</v>
      </c>
      <c r="F8474">
        <v>178.23333333333332</v>
      </c>
    </row>
    <row r="8475" spans="1:6" x14ac:dyDescent="0.25">
      <c r="A8475" s="1">
        <v>41395</v>
      </c>
      <c r="B8475" t="s">
        <v>23</v>
      </c>
      <c r="C8475" t="s">
        <v>8</v>
      </c>
      <c r="D8475">
        <v>69</v>
      </c>
      <c r="E8475" s="2">
        <v>7.4953703703703703E-2</v>
      </c>
      <c r="F8475">
        <v>107.93333333333334</v>
      </c>
    </row>
    <row r="8476" spans="1:6" x14ac:dyDescent="0.25">
      <c r="A8476" s="1">
        <v>41395</v>
      </c>
      <c r="B8476" t="s">
        <v>23</v>
      </c>
      <c r="C8476" t="s">
        <v>9</v>
      </c>
      <c r="D8476">
        <v>41</v>
      </c>
      <c r="E8476" s="2">
        <v>2.3969907407407409E-2</v>
      </c>
      <c r="F8476">
        <v>34.516666666666666</v>
      </c>
    </row>
    <row r="8477" spans="1:6" x14ac:dyDescent="0.25">
      <c r="A8477" s="1">
        <v>41395</v>
      </c>
      <c r="B8477" t="s">
        <v>23</v>
      </c>
      <c r="C8477" t="s">
        <v>10</v>
      </c>
      <c r="D8477">
        <v>43</v>
      </c>
      <c r="E8477" s="2">
        <v>5.378472222222222E-2</v>
      </c>
      <c r="F8477">
        <v>77.45</v>
      </c>
    </row>
    <row r="8478" spans="1:6" x14ac:dyDescent="0.25">
      <c r="A8478" s="1">
        <v>41395</v>
      </c>
      <c r="B8478" t="s">
        <v>23</v>
      </c>
      <c r="C8478" t="s">
        <v>11</v>
      </c>
      <c r="D8478">
        <v>74</v>
      </c>
      <c r="E8478" s="2">
        <v>6.822916666666666E-2</v>
      </c>
      <c r="F8478">
        <v>98.25</v>
      </c>
    </row>
    <row r="8479" spans="1:6" x14ac:dyDescent="0.25">
      <c r="A8479" s="1">
        <v>41395</v>
      </c>
      <c r="B8479" t="s">
        <v>24</v>
      </c>
      <c r="C8479" t="s">
        <v>6</v>
      </c>
      <c r="D8479">
        <v>63</v>
      </c>
      <c r="E8479" s="2">
        <v>7.2615740740740745E-2</v>
      </c>
      <c r="F8479">
        <v>104.56666666666666</v>
      </c>
    </row>
    <row r="8480" spans="1:6" x14ac:dyDescent="0.25">
      <c r="A8480" s="1">
        <v>41395</v>
      </c>
      <c r="B8480" t="s">
        <v>24</v>
      </c>
      <c r="C8480" t="s">
        <v>7</v>
      </c>
      <c r="D8480">
        <v>48</v>
      </c>
      <c r="E8480" s="2">
        <v>3.2835648148148149E-2</v>
      </c>
      <c r="F8480">
        <v>47.283333333333331</v>
      </c>
    </row>
    <row r="8481" spans="1:6" x14ac:dyDescent="0.25">
      <c r="A8481" s="1">
        <v>41395</v>
      </c>
      <c r="B8481" t="s">
        <v>24</v>
      </c>
      <c r="C8481" t="s">
        <v>8</v>
      </c>
      <c r="D8481">
        <v>34</v>
      </c>
      <c r="E8481" s="2">
        <v>2.6261574074074073E-2</v>
      </c>
      <c r="F8481">
        <v>37.81666666666667</v>
      </c>
    </row>
    <row r="8482" spans="1:6" x14ac:dyDescent="0.25">
      <c r="A8482" s="1">
        <v>41395</v>
      </c>
      <c r="B8482" t="s">
        <v>24</v>
      </c>
      <c r="C8482" t="s">
        <v>9</v>
      </c>
      <c r="D8482">
        <v>26</v>
      </c>
      <c r="E8482" s="2">
        <v>1.6296296296296295E-2</v>
      </c>
      <c r="F8482">
        <v>23.466666666666665</v>
      </c>
    </row>
    <row r="8483" spans="1:6" x14ac:dyDescent="0.25">
      <c r="A8483" s="1">
        <v>41395</v>
      </c>
      <c r="B8483" t="s">
        <v>24</v>
      </c>
      <c r="C8483" t="s">
        <v>10</v>
      </c>
      <c r="D8483">
        <v>0</v>
      </c>
      <c r="E8483" s="2">
        <v>0</v>
      </c>
      <c r="F8483">
        <v>0</v>
      </c>
    </row>
    <row r="8484" spans="1:6" x14ac:dyDescent="0.25">
      <c r="A8484" s="1">
        <v>41395</v>
      </c>
      <c r="B8484" t="s">
        <v>24</v>
      </c>
      <c r="C8484" t="s">
        <v>11</v>
      </c>
      <c r="D8484">
        <v>23</v>
      </c>
      <c r="E8484" s="2">
        <v>1.9594907407407408E-2</v>
      </c>
      <c r="F8484">
        <v>28.216666666666665</v>
      </c>
    </row>
    <row r="8485" spans="1:6" x14ac:dyDescent="0.25">
      <c r="A8485" s="1">
        <v>41426</v>
      </c>
      <c r="B8485" t="s">
        <v>5</v>
      </c>
      <c r="C8485" t="s">
        <v>6</v>
      </c>
      <c r="D8485">
        <v>60</v>
      </c>
      <c r="E8485" s="2">
        <v>6.0520833333333336E-2</v>
      </c>
      <c r="F8485">
        <v>87.15</v>
      </c>
    </row>
    <row r="8486" spans="1:6" x14ac:dyDescent="0.25">
      <c r="A8486" s="1">
        <v>41426</v>
      </c>
      <c r="B8486" t="s">
        <v>5</v>
      </c>
      <c r="C8486" t="s">
        <v>7</v>
      </c>
      <c r="D8486">
        <v>62</v>
      </c>
      <c r="E8486" s="2">
        <v>4.9583333333333333E-2</v>
      </c>
      <c r="F8486">
        <v>71.400000000000006</v>
      </c>
    </row>
    <row r="8487" spans="1:6" x14ac:dyDescent="0.25">
      <c r="A8487" s="1">
        <v>41426</v>
      </c>
      <c r="B8487" t="s">
        <v>5</v>
      </c>
      <c r="C8487" t="s">
        <v>8</v>
      </c>
      <c r="D8487">
        <v>39</v>
      </c>
      <c r="E8487" s="2">
        <v>3.5787037037037034E-2</v>
      </c>
      <c r="F8487">
        <v>51.533333333333331</v>
      </c>
    </row>
    <row r="8488" spans="1:6" x14ac:dyDescent="0.25">
      <c r="A8488" s="1">
        <v>41426</v>
      </c>
      <c r="B8488" t="s">
        <v>5</v>
      </c>
      <c r="C8488" t="s">
        <v>9</v>
      </c>
      <c r="D8488">
        <v>21</v>
      </c>
      <c r="E8488" s="2">
        <v>1.1238425925925926E-2</v>
      </c>
      <c r="F8488">
        <v>16.183333333333334</v>
      </c>
    </row>
    <row r="8489" spans="1:6" x14ac:dyDescent="0.25">
      <c r="A8489" s="1">
        <v>41426</v>
      </c>
      <c r="B8489" t="s">
        <v>5</v>
      </c>
      <c r="C8489" t="s">
        <v>10</v>
      </c>
      <c r="D8489">
        <v>5</v>
      </c>
      <c r="E8489" s="2">
        <v>2.4652777777777776E-3</v>
      </c>
      <c r="F8489">
        <v>3.55</v>
      </c>
    </row>
    <row r="8490" spans="1:6" x14ac:dyDescent="0.25">
      <c r="A8490" s="1">
        <v>41426</v>
      </c>
      <c r="B8490" t="s">
        <v>5</v>
      </c>
      <c r="C8490" t="s">
        <v>11</v>
      </c>
      <c r="D8490">
        <v>42</v>
      </c>
      <c r="E8490" s="2">
        <v>2.6400462962962962E-2</v>
      </c>
      <c r="F8490">
        <v>38.016666666666666</v>
      </c>
    </row>
    <row r="8491" spans="1:6" x14ac:dyDescent="0.25">
      <c r="A8491" s="1">
        <v>41426</v>
      </c>
      <c r="B8491" t="s">
        <v>12</v>
      </c>
      <c r="C8491" t="s">
        <v>6</v>
      </c>
      <c r="D8491">
        <v>65</v>
      </c>
      <c r="E8491" s="2">
        <v>9.3981481481481485E-2</v>
      </c>
      <c r="F8491">
        <v>135.33333333333334</v>
      </c>
    </row>
    <row r="8492" spans="1:6" x14ac:dyDescent="0.25">
      <c r="A8492" s="1">
        <v>41426</v>
      </c>
      <c r="B8492" t="s">
        <v>12</v>
      </c>
      <c r="C8492" t="s">
        <v>7</v>
      </c>
      <c r="D8492">
        <v>32</v>
      </c>
      <c r="E8492" s="2">
        <v>4.3888888888888887E-2</v>
      </c>
      <c r="F8492">
        <v>63.2</v>
      </c>
    </row>
    <row r="8493" spans="1:6" x14ac:dyDescent="0.25">
      <c r="A8493" s="1">
        <v>41426</v>
      </c>
      <c r="B8493" t="s">
        <v>12</v>
      </c>
      <c r="C8493" t="s">
        <v>8</v>
      </c>
      <c r="D8493">
        <v>22</v>
      </c>
      <c r="E8493" s="2">
        <v>2.8194444444444446E-2</v>
      </c>
      <c r="F8493">
        <v>40.6</v>
      </c>
    </row>
    <row r="8494" spans="1:6" x14ac:dyDescent="0.25">
      <c r="A8494" s="1">
        <v>41426</v>
      </c>
      <c r="B8494" t="s">
        <v>12</v>
      </c>
      <c r="C8494" t="s">
        <v>9</v>
      </c>
      <c r="D8494">
        <v>14</v>
      </c>
      <c r="E8494" s="2">
        <v>1.0763888888888889E-2</v>
      </c>
      <c r="F8494">
        <v>15.5</v>
      </c>
    </row>
    <row r="8495" spans="1:6" x14ac:dyDescent="0.25">
      <c r="A8495" s="1">
        <v>41426</v>
      </c>
      <c r="B8495" t="s">
        <v>12</v>
      </c>
      <c r="C8495" t="s">
        <v>10</v>
      </c>
      <c r="D8495">
        <v>30</v>
      </c>
      <c r="E8495" s="2">
        <v>4.9201388888888892E-2</v>
      </c>
      <c r="F8495">
        <v>70.849999999999994</v>
      </c>
    </row>
    <row r="8496" spans="1:6" x14ac:dyDescent="0.25">
      <c r="A8496" s="1">
        <v>41426</v>
      </c>
      <c r="B8496" t="s">
        <v>12</v>
      </c>
      <c r="C8496" t="s">
        <v>11</v>
      </c>
      <c r="D8496">
        <v>52</v>
      </c>
      <c r="E8496" s="2">
        <v>5.710648148148148E-2</v>
      </c>
      <c r="F8496">
        <v>82.233333333333334</v>
      </c>
    </row>
    <row r="8497" spans="1:6" x14ac:dyDescent="0.25">
      <c r="A8497" s="1">
        <v>41426</v>
      </c>
      <c r="B8497" t="s">
        <v>13</v>
      </c>
      <c r="C8497" t="s">
        <v>6</v>
      </c>
      <c r="D8497">
        <v>41</v>
      </c>
      <c r="E8497" s="2">
        <v>5.4976851851851853E-2</v>
      </c>
      <c r="F8497">
        <v>79.166666666666671</v>
      </c>
    </row>
    <row r="8498" spans="1:6" x14ac:dyDescent="0.25">
      <c r="A8498" s="1">
        <v>41426</v>
      </c>
      <c r="B8498" t="s">
        <v>13</v>
      </c>
      <c r="C8498" t="s">
        <v>7</v>
      </c>
      <c r="D8498">
        <v>84</v>
      </c>
      <c r="E8498" s="2">
        <v>0.11498842592592592</v>
      </c>
      <c r="F8498">
        <v>165.58333333333334</v>
      </c>
    </row>
    <row r="8499" spans="1:6" x14ac:dyDescent="0.25">
      <c r="A8499" s="1">
        <v>41426</v>
      </c>
      <c r="B8499" t="s">
        <v>13</v>
      </c>
      <c r="C8499" t="s">
        <v>8</v>
      </c>
      <c r="D8499">
        <v>35</v>
      </c>
      <c r="E8499" s="2">
        <v>4.6192129629629632E-2</v>
      </c>
      <c r="F8499">
        <v>66.516666666666666</v>
      </c>
    </row>
    <row r="8500" spans="1:6" x14ac:dyDescent="0.25">
      <c r="A8500" s="1">
        <v>41426</v>
      </c>
      <c r="B8500" t="s">
        <v>13</v>
      </c>
      <c r="C8500" t="s">
        <v>9</v>
      </c>
      <c r="D8500">
        <v>26</v>
      </c>
      <c r="E8500" s="2">
        <v>1.7800925925925925E-2</v>
      </c>
      <c r="F8500">
        <v>25.633333333333333</v>
      </c>
    </row>
    <row r="8501" spans="1:6" x14ac:dyDescent="0.25">
      <c r="A8501" s="1">
        <v>41426</v>
      </c>
      <c r="B8501" t="s">
        <v>13</v>
      </c>
      <c r="C8501" t="s">
        <v>10</v>
      </c>
      <c r="D8501">
        <v>17</v>
      </c>
      <c r="E8501" s="2">
        <v>2.8750000000000001E-2</v>
      </c>
      <c r="F8501">
        <v>41.4</v>
      </c>
    </row>
    <row r="8502" spans="1:6" x14ac:dyDescent="0.25">
      <c r="A8502" s="1">
        <v>41426</v>
      </c>
      <c r="B8502" t="s">
        <v>13</v>
      </c>
      <c r="C8502" t="s">
        <v>11</v>
      </c>
      <c r="D8502">
        <v>36</v>
      </c>
      <c r="E8502" s="2">
        <v>3.3587962962962965E-2</v>
      </c>
      <c r="F8502">
        <v>48.366666666666667</v>
      </c>
    </row>
    <row r="8503" spans="1:6" x14ac:dyDescent="0.25">
      <c r="A8503" s="1">
        <v>41426</v>
      </c>
      <c r="B8503" t="s">
        <v>14</v>
      </c>
      <c r="C8503" t="s">
        <v>6</v>
      </c>
      <c r="D8503">
        <v>26</v>
      </c>
      <c r="E8503" s="2">
        <v>3.7638888888888888E-2</v>
      </c>
      <c r="F8503">
        <v>54.2</v>
      </c>
    </row>
    <row r="8504" spans="1:6" x14ac:dyDescent="0.25">
      <c r="A8504" s="1">
        <v>41426</v>
      </c>
      <c r="B8504" t="s">
        <v>14</v>
      </c>
      <c r="C8504" t="s">
        <v>7</v>
      </c>
      <c r="D8504">
        <v>22</v>
      </c>
      <c r="E8504" s="2">
        <v>3.4270833333333334E-2</v>
      </c>
      <c r="F8504">
        <v>49.35</v>
      </c>
    </row>
    <row r="8505" spans="1:6" x14ac:dyDescent="0.25">
      <c r="A8505" s="1">
        <v>41426</v>
      </c>
      <c r="B8505" t="s">
        <v>14</v>
      </c>
      <c r="C8505" t="s">
        <v>8</v>
      </c>
      <c r="D8505">
        <v>18</v>
      </c>
      <c r="E8505" s="2">
        <v>2.8599537037037038E-2</v>
      </c>
      <c r="F8505">
        <v>41.18333333333333</v>
      </c>
    </row>
    <row r="8506" spans="1:6" x14ac:dyDescent="0.25">
      <c r="A8506" s="1">
        <v>41426</v>
      </c>
      <c r="B8506" t="s">
        <v>14</v>
      </c>
      <c r="C8506" t="s">
        <v>9</v>
      </c>
      <c r="D8506">
        <v>6</v>
      </c>
      <c r="E8506" s="2">
        <v>5.0694444444444441E-3</v>
      </c>
      <c r="F8506">
        <v>7.3</v>
      </c>
    </row>
    <row r="8507" spans="1:6" x14ac:dyDescent="0.25">
      <c r="A8507" s="1">
        <v>41426</v>
      </c>
      <c r="B8507" t="s">
        <v>14</v>
      </c>
      <c r="C8507" t="s">
        <v>10</v>
      </c>
      <c r="D8507">
        <v>0</v>
      </c>
      <c r="E8507" s="2">
        <v>0</v>
      </c>
      <c r="F8507">
        <v>0</v>
      </c>
    </row>
    <row r="8508" spans="1:6" x14ac:dyDescent="0.25">
      <c r="A8508" s="1">
        <v>41426</v>
      </c>
      <c r="B8508" t="s">
        <v>14</v>
      </c>
      <c r="C8508" t="s">
        <v>11</v>
      </c>
      <c r="D8508">
        <v>15</v>
      </c>
      <c r="E8508" s="2">
        <v>1.3541666666666667E-2</v>
      </c>
      <c r="F8508">
        <v>19.5</v>
      </c>
    </row>
    <row r="8509" spans="1:6" x14ac:dyDescent="0.25">
      <c r="A8509" s="1">
        <v>41426</v>
      </c>
      <c r="B8509" t="s">
        <v>15</v>
      </c>
      <c r="C8509" t="s">
        <v>6</v>
      </c>
      <c r="D8509">
        <v>20</v>
      </c>
      <c r="E8509" s="2">
        <v>2.0844907407407406E-2</v>
      </c>
      <c r="F8509">
        <v>30.016666666666666</v>
      </c>
    </row>
    <row r="8510" spans="1:6" x14ac:dyDescent="0.25">
      <c r="A8510" s="1">
        <v>41426</v>
      </c>
      <c r="B8510" t="s">
        <v>15</v>
      </c>
      <c r="C8510" t="s">
        <v>7</v>
      </c>
      <c r="D8510">
        <v>39</v>
      </c>
      <c r="E8510" s="2">
        <v>5.0543981481481481E-2</v>
      </c>
      <c r="F8510">
        <v>72.783333333333331</v>
      </c>
    </row>
    <row r="8511" spans="1:6" x14ac:dyDescent="0.25">
      <c r="A8511" s="1">
        <v>41426</v>
      </c>
      <c r="B8511" t="s">
        <v>15</v>
      </c>
      <c r="C8511" t="s">
        <v>8</v>
      </c>
      <c r="D8511">
        <v>12</v>
      </c>
      <c r="E8511" s="2">
        <v>9.2245370370370363E-3</v>
      </c>
      <c r="F8511">
        <v>13.283333333333333</v>
      </c>
    </row>
    <row r="8512" spans="1:6" x14ac:dyDescent="0.25">
      <c r="A8512" s="1">
        <v>41426</v>
      </c>
      <c r="B8512" t="s">
        <v>15</v>
      </c>
      <c r="C8512" t="s">
        <v>9</v>
      </c>
      <c r="D8512">
        <v>8</v>
      </c>
      <c r="E8512" s="2">
        <v>4.9768518518518521E-3</v>
      </c>
      <c r="F8512">
        <v>7.166666666666667</v>
      </c>
    </row>
    <row r="8513" spans="1:6" x14ac:dyDescent="0.25">
      <c r="A8513" s="1">
        <v>41426</v>
      </c>
      <c r="B8513" t="s">
        <v>15</v>
      </c>
      <c r="C8513" t="s">
        <v>10</v>
      </c>
      <c r="D8513">
        <v>3</v>
      </c>
      <c r="E8513" s="2">
        <v>3.0902777777777777E-3</v>
      </c>
      <c r="F8513">
        <v>4.45</v>
      </c>
    </row>
    <row r="8514" spans="1:6" x14ac:dyDescent="0.25">
      <c r="A8514" s="1">
        <v>41426</v>
      </c>
      <c r="B8514" t="s">
        <v>15</v>
      </c>
      <c r="C8514" t="s">
        <v>11</v>
      </c>
      <c r="D8514">
        <v>19</v>
      </c>
      <c r="E8514" s="2">
        <v>1.7094907407407406E-2</v>
      </c>
      <c r="F8514">
        <v>24.616666666666667</v>
      </c>
    </row>
    <row r="8515" spans="1:6" x14ac:dyDescent="0.25">
      <c r="A8515" s="1">
        <v>41426</v>
      </c>
      <c r="B8515" t="s">
        <v>16</v>
      </c>
      <c r="C8515" t="s">
        <v>6</v>
      </c>
      <c r="D8515">
        <v>16</v>
      </c>
      <c r="E8515" s="2">
        <v>1.5081018518518518E-2</v>
      </c>
      <c r="F8515">
        <v>21.716666666666665</v>
      </c>
    </row>
    <row r="8516" spans="1:6" x14ac:dyDescent="0.25">
      <c r="A8516" s="1">
        <v>41426</v>
      </c>
      <c r="B8516" t="s">
        <v>16</v>
      </c>
      <c r="C8516" t="s">
        <v>7</v>
      </c>
      <c r="D8516">
        <v>17</v>
      </c>
      <c r="E8516" s="2">
        <v>1.3310185185185185E-2</v>
      </c>
      <c r="F8516">
        <v>19.166666666666668</v>
      </c>
    </row>
    <row r="8517" spans="1:6" x14ac:dyDescent="0.25">
      <c r="A8517" s="1">
        <v>41426</v>
      </c>
      <c r="B8517" t="s">
        <v>16</v>
      </c>
      <c r="C8517" t="s">
        <v>8</v>
      </c>
      <c r="D8517">
        <v>22</v>
      </c>
      <c r="E8517" s="2">
        <v>1.4999999999999999E-2</v>
      </c>
      <c r="F8517">
        <v>21.6</v>
      </c>
    </row>
    <row r="8518" spans="1:6" x14ac:dyDescent="0.25">
      <c r="A8518" s="1">
        <v>41426</v>
      </c>
      <c r="B8518" t="s">
        <v>16</v>
      </c>
      <c r="C8518" t="s">
        <v>9</v>
      </c>
      <c r="D8518">
        <v>9</v>
      </c>
      <c r="E8518" s="2">
        <v>5.5787037037037038E-3</v>
      </c>
      <c r="F8518">
        <v>8.0333333333333332</v>
      </c>
    </row>
    <row r="8519" spans="1:6" x14ac:dyDescent="0.25">
      <c r="A8519" s="1">
        <v>41426</v>
      </c>
      <c r="B8519" t="s">
        <v>16</v>
      </c>
      <c r="C8519" t="s">
        <v>10</v>
      </c>
      <c r="D8519">
        <v>1</v>
      </c>
      <c r="E8519" s="2">
        <v>2.3148148148148149E-4</v>
      </c>
      <c r="F8519">
        <v>0.33333333333333331</v>
      </c>
    </row>
    <row r="8520" spans="1:6" x14ac:dyDescent="0.25">
      <c r="A8520" s="1">
        <v>41426</v>
      </c>
      <c r="B8520" t="s">
        <v>16</v>
      </c>
      <c r="C8520" t="s">
        <v>11</v>
      </c>
      <c r="D8520">
        <v>28</v>
      </c>
      <c r="E8520" s="2">
        <v>2.6192129629629631E-2</v>
      </c>
      <c r="F8520">
        <v>37.716666666666669</v>
      </c>
    </row>
    <row r="8521" spans="1:6" x14ac:dyDescent="0.25">
      <c r="A8521" s="1">
        <v>41426</v>
      </c>
      <c r="B8521" t="s">
        <v>17</v>
      </c>
      <c r="C8521" t="s">
        <v>6</v>
      </c>
      <c r="D8521">
        <v>13</v>
      </c>
      <c r="E8521" s="2">
        <v>1.4270833333333333E-2</v>
      </c>
      <c r="F8521">
        <v>20.55</v>
      </c>
    </row>
    <row r="8522" spans="1:6" x14ac:dyDescent="0.25">
      <c r="A8522" s="1">
        <v>41426</v>
      </c>
      <c r="B8522" t="s">
        <v>17</v>
      </c>
      <c r="C8522" t="s">
        <v>7</v>
      </c>
      <c r="D8522">
        <v>21</v>
      </c>
      <c r="E8522" s="2">
        <v>2.6724537037037036E-2</v>
      </c>
      <c r="F8522">
        <v>38.483333333333334</v>
      </c>
    </row>
    <row r="8523" spans="1:6" x14ac:dyDescent="0.25">
      <c r="A8523" s="1">
        <v>41426</v>
      </c>
      <c r="B8523" t="s">
        <v>17</v>
      </c>
      <c r="C8523" t="s">
        <v>8</v>
      </c>
      <c r="D8523">
        <v>12</v>
      </c>
      <c r="E8523" s="2">
        <v>1.3229166666666667E-2</v>
      </c>
      <c r="F8523">
        <v>19.05</v>
      </c>
    </row>
    <row r="8524" spans="1:6" x14ac:dyDescent="0.25">
      <c r="A8524" s="1">
        <v>41426</v>
      </c>
      <c r="B8524" t="s">
        <v>17</v>
      </c>
      <c r="C8524" t="s">
        <v>9</v>
      </c>
      <c r="D8524">
        <v>9</v>
      </c>
      <c r="E8524" s="2">
        <v>6.4583333333333333E-3</v>
      </c>
      <c r="F8524">
        <v>9.3000000000000007</v>
      </c>
    </row>
    <row r="8525" spans="1:6" x14ac:dyDescent="0.25">
      <c r="A8525" s="1">
        <v>41426</v>
      </c>
      <c r="B8525" t="s">
        <v>17</v>
      </c>
      <c r="C8525" t="s">
        <v>10</v>
      </c>
      <c r="D8525">
        <v>5</v>
      </c>
      <c r="E8525" s="2">
        <v>5.5439814814814813E-3</v>
      </c>
      <c r="F8525">
        <v>7.9833333333333334</v>
      </c>
    </row>
    <row r="8526" spans="1:6" x14ac:dyDescent="0.25">
      <c r="A8526" s="1">
        <v>41426</v>
      </c>
      <c r="B8526" t="s">
        <v>17</v>
      </c>
      <c r="C8526" t="s">
        <v>11</v>
      </c>
      <c r="D8526">
        <v>8</v>
      </c>
      <c r="E8526" s="2">
        <v>8.2754629629629636E-3</v>
      </c>
      <c r="F8526">
        <v>11.916666666666666</v>
      </c>
    </row>
    <row r="8527" spans="1:6" x14ac:dyDescent="0.25">
      <c r="A8527" s="1">
        <v>41426</v>
      </c>
      <c r="B8527" t="s">
        <v>18</v>
      </c>
      <c r="C8527" t="s">
        <v>6</v>
      </c>
      <c r="D8527">
        <v>55</v>
      </c>
      <c r="E8527" s="2">
        <v>5.4722222222222221E-2</v>
      </c>
      <c r="F8527">
        <v>78.8</v>
      </c>
    </row>
    <row r="8528" spans="1:6" x14ac:dyDescent="0.25">
      <c r="A8528" s="1">
        <v>41426</v>
      </c>
      <c r="B8528" t="s">
        <v>18</v>
      </c>
      <c r="C8528" t="s">
        <v>7</v>
      </c>
      <c r="D8528">
        <v>67</v>
      </c>
      <c r="E8528" s="2">
        <v>5.7951388888888886E-2</v>
      </c>
      <c r="F8528">
        <v>83.45</v>
      </c>
    </row>
    <row r="8529" spans="1:6" x14ac:dyDescent="0.25">
      <c r="A8529" s="1">
        <v>41426</v>
      </c>
      <c r="B8529" t="s">
        <v>18</v>
      </c>
      <c r="C8529" t="s">
        <v>8</v>
      </c>
      <c r="D8529">
        <v>44</v>
      </c>
      <c r="E8529" s="2">
        <v>2.8587962962962964E-2</v>
      </c>
      <c r="F8529">
        <v>41.166666666666664</v>
      </c>
    </row>
    <row r="8530" spans="1:6" x14ac:dyDescent="0.25">
      <c r="A8530" s="1">
        <v>41426</v>
      </c>
      <c r="B8530" t="s">
        <v>18</v>
      </c>
      <c r="C8530" t="s">
        <v>9</v>
      </c>
      <c r="D8530">
        <v>63</v>
      </c>
      <c r="E8530" s="2">
        <v>3.3750000000000002E-2</v>
      </c>
      <c r="F8530">
        <v>48.6</v>
      </c>
    </row>
    <row r="8531" spans="1:6" x14ac:dyDescent="0.25">
      <c r="A8531" s="1">
        <v>41426</v>
      </c>
      <c r="B8531" t="s">
        <v>18</v>
      </c>
      <c r="C8531" t="s">
        <v>10</v>
      </c>
      <c r="D8531">
        <v>115</v>
      </c>
      <c r="E8531" s="2">
        <v>0.13245370370370371</v>
      </c>
      <c r="F8531">
        <v>190.73333333333332</v>
      </c>
    </row>
    <row r="8532" spans="1:6" x14ac:dyDescent="0.25">
      <c r="A8532" s="1">
        <v>41426</v>
      </c>
      <c r="B8532" t="s">
        <v>18</v>
      </c>
      <c r="C8532" t="s">
        <v>11</v>
      </c>
      <c r="D8532">
        <v>43</v>
      </c>
      <c r="E8532" s="2">
        <v>2.8182870370370372E-2</v>
      </c>
      <c r="F8532">
        <v>40.583333333333336</v>
      </c>
    </row>
    <row r="8533" spans="1:6" x14ac:dyDescent="0.25">
      <c r="A8533" s="1">
        <v>41426</v>
      </c>
      <c r="B8533" t="s">
        <v>19</v>
      </c>
      <c r="C8533" t="s">
        <v>6</v>
      </c>
      <c r="D8533">
        <v>27</v>
      </c>
      <c r="E8533" s="2">
        <v>3.0694444444444444E-2</v>
      </c>
      <c r="F8533">
        <v>44.2</v>
      </c>
    </row>
    <row r="8534" spans="1:6" x14ac:dyDescent="0.25">
      <c r="A8534" s="1">
        <v>41426</v>
      </c>
      <c r="B8534" t="s">
        <v>19</v>
      </c>
      <c r="C8534" t="s">
        <v>7</v>
      </c>
      <c r="D8534">
        <v>47</v>
      </c>
      <c r="E8534" s="2">
        <v>4.3923611111111108E-2</v>
      </c>
      <c r="F8534">
        <v>63.25</v>
      </c>
    </row>
    <row r="8535" spans="1:6" x14ac:dyDescent="0.25">
      <c r="A8535" s="1">
        <v>41426</v>
      </c>
      <c r="B8535" t="s">
        <v>19</v>
      </c>
      <c r="C8535" t="s">
        <v>8</v>
      </c>
      <c r="D8535">
        <v>35</v>
      </c>
      <c r="E8535" s="2">
        <v>3.605324074074074E-2</v>
      </c>
      <c r="F8535">
        <v>51.916666666666664</v>
      </c>
    </row>
    <row r="8536" spans="1:6" x14ac:dyDescent="0.25">
      <c r="A8536" s="1">
        <v>41426</v>
      </c>
      <c r="B8536" t="s">
        <v>19</v>
      </c>
      <c r="C8536" t="s">
        <v>9</v>
      </c>
      <c r="D8536">
        <v>48</v>
      </c>
      <c r="E8536" s="2">
        <v>2.8148148148148148E-2</v>
      </c>
      <c r="F8536">
        <v>40.533333333333331</v>
      </c>
    </row>
    <row r="8537" spans="1:6" x14ac:dyDescent="0.25">
      <c r="A8537" s="1">
        <v>41426</v>
      </c>
      <c r="B8537" t="s">
        <v>19</v>
      </c>
      <c r="C8537" t="s">
        <v>10</v>
      </c>
      <c r="D8537">
        <v>25</v>
      </c>
      <c r="E8537" s="2">
        <v>3.1643518518518515E-2</v>
      </c>
      <c r="F8537">
        <v>45.56666666666667</v>
      </c>
    </row>
    <row r="8538" spans="1:6" x14ac:dyDescent="0.25">
      <c r="A8538" s="1">
        <v>41426</v>
      </c>
      <c r="B8538" t="s">
        <v>19</v>
      </c>
      <c r="C8538" t="s">
        <v>11</v>
      </c>
      <c r="D8538">
        <v>32</v>
      </c>
      <c r="E8538" s="2">
        <v>2.8807870370370369E-2</v>
      </c>
      <c r="F8538">
        <v>41.483333333333334</v>
      </c>
    </row>
    <row r="8539" spans="1:6" x14ac:dyDescent="0.25">
      <c r="A8539" s="1">
        <v>41426</v>
      </c>
      <c r="B8539" t="s">
        <v>20</v>
      </c>
      <c r="C8539" t="s">
        <v>6</v>
      </c>
      <c r="D8539">
        <v>52</v>
      </c>
      <c r="E8539" s="2">
        <v>6.0150462962962961E-2</v>
      </c>
      <c r="F8539">
        <v>86.61666666666666</v>
      </c>
    </row>
    <row r="8540" spans="1:6" x14ac:dyDescent="0.25">
      <c r="A8540" s="1">
        <v>41426</v>
      </c>
      <c r="B8540" t="s">
        <v>20</v>
      </c>
      <c r="C8540" t="s">
        <v>7</v>
      </c>
      <c r="D8540">
        <v>55</v>
      </c>
      <c r="E8540" s="2">
        <v>6.0497685185185182E-2</v>
      </c>
      <c r="F8540">
        <v>87.11666666666666</v>
      </c>
    </row>
    <row r="8541" spans="1:6" x14ac:dyDescent="0.25">
      <c r="A8541" s="1">
        <v>41426</v>
      </c>
      <c r="B8541" t="s">
        <v>20</v>
      </c>
      <c r="C8541" t="s">
        <v>8</v>
      </c>
      <c r="D8541">
        <v>44</v>
      </c>
      <c r="E8541" s="2">
        <v>4.3124999999999997E-2</v>
      </c>
      <c r="F8541">
        <v>62.1</v>
      </c>
    </row>
    <row r="8542" spans="1:6" x14ac:dyDescent="0.25">
      <c r="A8542" s="1">
        <v>41426</v>
      </c>
      <c r="B8542" t="s">
        <v>20</v>
      </c>
      <c r="C8542" t="s">
        <v>9</v>
      </c>
      <c r="D8542">
        <v>33</v>
      </c>
      <c r="E8542" s="2">
        <v>2.2002314814814815E-2</v>
      </c>
      <c r="F8542">
        <v>31.683333333333334</v>
      </c>
    </row>
    <row r="8543" spans="1:6" x14ac:dyDescent="0.25">
      <c r="A8543" s="1">
        <v>41426</v>
      </c>
      <c r="B8543" t="s">
        <v>20</v>
      </c>
      <c r="C8543" t="s">
        <v>10</v>
      </c>
      <c r="D8543">
        <v>12</v>
      </c>
      <c r="E8543" s="2">
        <v>1.7997685185185186E-2</v>
      </c>
      <c r="F8543">
        <v>25.916666666666668</v>
      </c>
    </row>
    <row r="8544" spans="1:6" x14ac:dyDescent="0.25">
      <c r="A8544" s="1">
        <v>41426</v>
      </c>
      <c r="B8544" t="s">
        <v>20</v>
      </c>
      <c r="C8544" t="s">
        <v>11</v>
      </c>
      <c r="D8544">
        <v>44</v>
      </c>
      <c r="E8544" s="2">
        <v>3.4166666666666665E-2</v>
      </c>
      <c r="F8544">
        <v>49.2</v>
      </c>
    </row>
    <row r="8545" spans="1:6" x14ac:dyDescent="0.25">
      <c r="A8545" s="1">
        <v>41426</v>
      </c>
      <c r="B8545" t="s">
        <v>21</v>
      </c>
      <c r="C8545" t="s">
        <v>6</v>
      </c>
      <c r="D8545">
        <v>18</v>
      </c>
      <c r="E8545" s="2">
        <v>2.2083333333333333E-2</v>
      </c>
      <c r="F8545">
        <v>31.8</v>
      </c>
    </row>
    <row r="8546" spans="1:6" x14ac:dyDescent="0.25">
      <c r="A8546" s="1">
        <v>41426</v>
      </c>
      <c r="B8546" t="s">
        <v>21</v>
      </c>
      <c r="C8546" t="s">
        <v>7</v>
      </c>
      <c r="D8546">
        <v>34</v>
      </c>
      <c r="E8546" s="2">
        <v>3.6828703703703704E-2</v>
      </c>
      <c r="F8546">
        <v>53.033333333333331</v>
      </c>
    </row>
    <row r="8547" spans="1:6" x14ac:dyDescent="0.25">
      <c r="A8547" s="1">
        <v>41426</v>
      </c>
      <c r="B8547" t="s">
        <v>21</v>
      </c>
      <c r="C8547" t="s">
        <v>8</v>
      </c>
      <c r="D8547">
        <v>18</v>
      </c>
      <c r="E8547" s="2">
        <v>2.1805555555555557E-2</v>
      </c>
      <c r="F8547">
        <v>31.4</v>
      </c>
    </row>
    <row r="8548" spans="1:6" x14ac:dyDescent="0.25">
      <c r="A8548" s="1">
        <v>41426</v>
      </c>
      <c r="B8548" t="s">
        <v>21</v>
      </c>
      <c r="C8548" t="s">
        <v>9</v>
      </c>
      <c r="D8548">
        <v>14</v>
      </c>
      <c r="E8548" s="2">
        <v>8.1481481481481474E-3</v>
      </c>
      <c r="F8548">
        <v>11.733333333333333</v>
      </c>
    </row>
    <row r="8549" spans="1:6" x14ac:dyDescent="0.25">
      <c r="A8549" s="1">
        <v>41426</v>
      </c>
      <c r="B8549" t="s">
        <v>21</v>
      </c>
      <c r="C8549" t="s">
        <v>10</v>
      </c>
      <c r="D8549">
        <v>2</v>
      </c>
      <c r="E8549" s="2">
        <v>2.4652777777777776E-3</v>
      </c>
      <c r="F8549">
        <v>3.55</v>
      </c>
    </row>
    <row r="8550" spans="1:6" x14ac:dyDescent="0.25">
      <c r="A8550" s="1">
        <v>41426</v>
      </c>
      <c r="B8550" t="s">
        <v>21</v>
      </c>
      <c r="C8550" t="s">
        <v>11</v>
      </c>
      <c r="D8550">
        <v>24</v>
      </c>
      <c r="E8550" s="2">
        <v>2.2002314814814815E-2</v>
      </c>
      <c r="F8550">
        <v>31.683333333333334</v>
      </c>
    </row>
    <row r="8551" spans="1:6" x14ac:dyDescent="0.25">
      <c r="A8551" s="1">
        <v>41426</v>
      </c>
      <c r="B8551" t="s">
        <v>22</v>
      </c>
      <c r="C8551" t="s">
        <v>6</v>
      </c>
      <c r="D8551">
        <v>8</v>
      </c>
      <c r="E8551" s="2">
        <v>1.1516203703703704E-2</v>
      </c>
      <c r="F8551">
        <v>16.583333333333332</v>
      </c>
    </row>
    <row r="8552" spans="1:6" x14ac:dyDescent="0.25">
      <c r="A8552" s="1">
        <v>41426</v>
      </c>
      <c r="B8552" t="s">
        <v>22</v>
      </c>
      <c r="C8552" t="s">
        <v>7</v>
      </c>
      <c r="D8552">
        <v>7</v>
      </c>
      <c r="E8552" s="2">
        <v>8.6921296296296295E-3</v>
      </c>
      <c r="F8552">
        <v>12.516666666666667</v>
      </c>
    </row>
    <row r="8553" spans="1:6" x14ac:dyDescent="0.25">
      <c r="A8553" s="1">
        <v>41426</v>
      </c>
      <c r="B8553" t="s">
        <v>22</v>
      </c>
      <c r="C8553" t="s">
        <v>8</v>
      </c>
      <c r="D8553">
        <v>2</v>
      </c>
      <c r="E8553" s="2">
        <v>4.0740740740740737E-3</v>
      </c>
      <c r="F8553">
        <v>5.8666666666666671</v>
      </c>
    </row>
    <row r="8554" spans="1:6" x14ac:dyDescent="0.25">
      <c r="A8554" s="1">
        <v>41426</v>
      </c>
      <c r="B8554" t="s">
        <v>22</v>
      </c>
      <c r="C8554" t="s">
        <v>9</v>
      </c>
      <c r="D8554">
        <v>8</v>
      </c>
      <c r="E8554" s="2">
        <v>3.8541666666666668E-3</v>
      </c>
      <c r="F8554">
        <v>5.55</v>
      </c>
    </row>
    <row r="8555" spans="1:6" x14ac:dyDescent="0.25">
      <c r="A8555" s="1">
        <v>41426</v>
      </c>
      <c r="B8555" t="s">
        <v>22</v>
      </c>
      <c r="C8555" t="s">
        <v>10</v>
      </c>
      <c r="D8555">
        <v>1</v>
      </c>
      <c r="E8555" s="2">
        <v>9.6064814814814819E-4</v>
      </c>
      <c r="F8555">
        <v>1.3833333333333333</v>
      </c>
    </row>
    <row r="8556" spans="1:6" x14ac:dyDescent="0.25">
      <c r="A8556" s="1">
        <v>41426</v>
      </c>
      <c r="B8556" t="s">
        <v>22</v>
      </c>
      <c r="C8556" t="s">
        <v>11</v>
      </c>
      <c r="D8556">
        <v>7</v>
      </c>
      <c r="E8556" s="2">
        <v>7.6273148148148151E-3</v>
      </c>
      <c r="F8556">
        <v>10.983333333333333</v>
      </c>
    </row>
    <row r="8557" spans="1:6" x14ac:dyDescent="0.25">
      <c r="A8557" s="1">
        <v>41426</v>
      </c>
      <c r="B8557" t="s">
        <v>23</v>
      </c>
      <c r="C8557" t="s">
        <v>6</v>
      </c>
      <c r="D8557">
        <v>79</v>
      </c>
      <c r="E8557" s="2">
        <v>0.10471064814814815</v>
      </c>
      <c r="F8557">
        <v>150.78333333333333</v>
      </c>
    </row>
    <row r="8558" spans="1:6" x14ac:dyDescent="0.25">
      <c r="A8558" s="1">
        <v>41426</v>
      </c>
      <c r="B8558" t="s">
        <v>23</v>
      </c>
      <c r="C8558" t="s">
        <v>7</v>
      </c>
      <c r="D8558">
        <v>119</v>
      </c>
      <c r="E8558" s="2">
        <v>0.17390046296296297</v>
      </c>
      <c r="F8558">
        <v>250.41666666666666</v>
      </c>
    </row>
    <row r="8559" spans="1:6" x14ac:dyDescent="0.25">
      <c r="A8559" s="1">
        <v>41426</v>
      </c>
      <c r="B8559" t="s">
        <v>23</v>
      </c>
      <c r="C8559" t="s">
        <v>8</v>
      </c>
      <c r="D8559">
        <v>79</v>
      </c>
      <c r="E8559" s="2">
        <v>9.0416666666666673E-2</v>
      </c>
      <c r="F8559">
        <v>130.19999999999999</v>
      </c>
    </row>
    <row r="8560" spans="1:6" x14ac:dyDescent="0.25">
      <c r="A8560" s="1">
        <v>41426</v>
      </c>
      <c r="B8560" t="s">
        <v>23</v>
      </c>
      <c r="C8560" t="s">
        <v>9</v>
      </c>
      <c r="D8560">
        <v>56</v>
      </c>
      <c r="E8560" s="2">
        <v>3.681712962962963E-2</v>
      </c>
      <c r="F8560">
        <v>53.016666666666666</v>
      </c>
    </row>
    <row r="8561" spans="1:6" x14ac:dyDescent="0.25">
      <c r="A8561" s="1">
        <v>41426</v>
      </c>
      <c r="B8561" t="s">
        <v>23</v>
      </c>
      <c r="C8561" t="s">
        <v>10</v>
      </c>
      <c r="D8561">
        <v>26</v>
      </c>
      <c r="E8561" s="2">
        <v>4.4641203703703704E-2</v>
      </c>
      <c r="F8561">
        <v>64.283333333333331</v>
      </c>
    </row>
    <row r="8562" spans="1:6" x14ac:dyDescent="0.25">
      <c r="A8562" s="1">
        <v>41426</v>
      </c>
      <c r="B8562" t="s">
        <v>23</v>
      </c>
      <c r="C8562" t="s">
        <v>11</v>
      </c>
      <c r="D8562">
        <v>73</v>
      </c>
      <c r="E8562" s="2">
        <v>6.2650462962962963E-2</v>
      </c>
      <c r="F8562">
        <v>90.216666666666669</v>
      </c>
    </row>
    <row r="8563" spans="1:6" x14ac:dyDescent="0.25">
      <c r="A8563" s="1">
        <v>41426</v>
      </c>
      <c r="B8563" t="s">
        <v>24</v>
      </c>
      <c r="C8563" t="s">
        <v>6</v>
      </c>
      <c r="D8563">
        <v>46</v>
      </c>
      <c r="E8563" s="2">
        <v>4.8159722222222222E-2</v>
      </c>
      <c r="F8563">
        <v>69.349999999999994</v>
      </c>
    </row>
    <row r="8564" spans="1:6" x14ac:dyDescent="0.25">
      <c r="A8564" s="1">
        <v>41426</v>
      </c>
      <c r="B8564" t="s">
        <v>24</v>
      </c>
      <c r="C8564" t="s">
        <v>7</v>
      </c>
      <c r="D8564">
        <v>47</v>
      </c>
      <c r="E8564" s="2">
        <v>4.1226851851851855E-2</v>
      </c>
      <c r="F8564">
        <v>59.366666666666667</v>
      </c>
    </row>
    <row r="8565" spans="1:6" x14ac:dyDescent="0.25">
      <c r="A8565" s="1">
        <v>41426</v>
      </c>
      <c r="B8565" t="s">
        <v>24</v>
      </c>
      <c r="C8565" t="s">
        <v>8</v>
      </c>
      <c r="D8565">
        <v>31</v>
      </c>
      <c r="E8565" s="2">
        <v>3.0891203703703702E-2</v>
      </c>
      <c r="F8565">
        <v>44.483333333333334</v>
      </c>
    </row>
    <row r="8566" spans="1:6" x14ac:dyDescent="0.25">
      <c r="A8566" s="1">
        <v>41426</v>
      </c>
      <c r="B8566" t="s">
        <v>24</v>
      </c>
      <c r="C8566" t="s">
        <v>9</v>
      </c>
      <c r="D8566">
        <v>24</v>
      </c>
      <c r="E8566" s="2">
        <v>1.2986111111111111E-2</v>
      </c>
      <c r="F8566">
        <v>18.7</v>
      </c>
    </row>
    <row r="8567" spans="1:6" x14ac:dyDescent="0.25">
      <c r="A8567" s="1">
        <v>41426</v>
      </c>
      <c r="B8567" t="s">
        <v>24</v>
      </c>
      <c r="C8567" t="s">
        <v>10</v>
      </c>
      <c r="D8567">
        <v>0</v>
      </c>
      <c r="E8567" s="2">
        <v>0</v>
      </c>
      <c r="F8567">
        <v>0</v>
      </c>
    </row>
    <row r="8568" spans="1:6" x14ac:dyDescent="0.25">
      <c r="A8568" s="1">
        <v>41426</v>
      </c>
      <c r="B8568" t="s">
        <v>24</v>
      </c>
      <c r="C8568" t="s">
        <v>11</v>
      </c>
      <c r="D8568">
        <v>36</v>
      </c>
      <c r="E8568" s="2">
        <v>2.3368055555555555E-2</v>
      </c>
      <c r="F8568">
        <v>33.65</v>
      </c>
    </row>
    <row r="8569" spans="1:6" x14ac:dyDescent="0.25">
      <c r="A8569" s="1">
        <v>41456</v>
      </c>
      <c r="B8569" t="s">
        <v>5</v>
      </c>
      <c r="C8569" t="s">
        <v>6</v>
      </c>
      <c r="D8569">
        <v>96</v>
      </c>
      <c r="E8569" s="2">
        <v>0.10934027777777777</v>
      </c>
      <c r="F8569">
        <v>157.44999999999999</v>
      </c>
    </row>
    <row r="8570" spans="1:6" x14ac:dyDescent="0.25">
      <c r="A8570" s="1">
        <v>41456</v>
      </c>
      <c r="B8570" t="s">
        <v>5</v>
      </c>
      <c r="C8570" t="s">
        <v>7</v>
      </c>
      <c r="D8570">
        <v>141</v>
      </c>
      <c r="E8570" s="2">
        <v>0.11982638888888889</v>
      </c>
      <c r="F8570">
        <v>172.55</v>
      </c>
    </row>
    <row r="8571" spans="1:6" x14ac:dyDescent="0.25">
      <c r="A8571" s="1">
        <v>41456</v>
      </c>
      <c r="B8571" t="s">
        <v>5</v>
      </c>
      <c r="C8571" t="s">
        <v>8</v>
      </c>
      <c r="D8571">
        <v>74</v>
      </c>
      <c r="E8571" s="2">
        <v>6.7997685185185189E-2</v>
      </c>
      <c r="F8571">
        <v>97.916666666666671</v>
      </c>
    </row>
    <row r="8572" spans="1:6" x14ac:dyDescent="0.25">
      <c r="A8572" s="1">
        <v>41456</v>
      </c>
      <c r="B8572" t="s">
        <v>5</v>
      </c>
      <c r="C8572" t="s">
        <v>9</v>
      </c>
      <c r="D8572">
        <v>50</v>
      </c>
      <c r="E8572" s="2">
        <v>3.5613425925925923E-2</v>
      </c>
      <c r="F8572">
        <v>51.283333333333331</v>
      </c>
    </row>
    <row r="8573" spans="1:6" x14ac:dyDescent="0.25">
      <c r="A8573" s="1">
        <v>41456</v>
      </c>
      <c r="B8573" t="s">
        <v>5</v>
      </c>
      <c r="C8573" t="s">
        <v>10</v>
      </c>
      <c r="D8573">
        <v>10</v>
      </c>
      <c r="E8573" s="2">
        <v>6.3773148148148148E-3</v>
      </c>
      <c r="F8573">
        <v>9.1833333333333336</v>
      </c>
    </row>
    <row r="8574" spans="1:6" x14ac:dyDescent="0.25">
      <c r="A8574" s="1">
        <v>41456</v>
      </c>
      <c r="B8574" t="s">
        <v>5</v>
      </c>
      <c r="C8574" t="s">
        <v>11</v>
      </c>
      <c r="D8574">
        <v>83</v>
      </c>
      <c r="E8574" s="2">
        <v>6.2465277777777779E-2</v>
      </c>
      <c r="F8574">
        <v>89.95</v>
      </c>
    </row>
    <row r="8575" spans="1:6" x14ac:dyDescent="0.25">
      <c r="A8575" s="1">
        <v>41456</v>
      </c>
      <c r="B8575" t="s">
        <v>12</v>
      </c>
      <c r="C8575" t="s">
        <v>6</v>
      </c>
      <c r="D8575">
        <v>74</v>
      </c>
      <c r="E8575" s="2">
        <v>9.5428240740740744E-2</v>
      </c>
      <c r="F8575">
        <v>137.41666666666666</v>
      </c>
    </row>
    <row r="8576" spans="1:6" x14ac:dyDescent="0.25">
      <c r="A8576" s="1">
        <v>41456</v>
      </c>
      <c r="B8576" t="s">
        <v>12</v>
      </c>
      <c r="C8576" t="s">
        <v>7</v>
      </c>
      <c r="D8576">
        <v>53</v>
      </c>
      <c r="E8576" s="2">
        <v>8.7546296296296303E-2</v>
      </c>
      <c r="F8576">
        <v>126.06666666666666</v>
      </c>
    </row>
    <row r="8577" spans="1:6" x14ac:dyDescent="0.25">
      <c r="A8577" s="1">
        <v>41456</v>
      </c>
      <c r="B8577" t="s">
        <v>12</v>
      </c>
      <c r="C8577" t="s">
        <v>8</v>
      </c>
      <c r="D8577">
        <v>23</v>
      </c>
      <c r="E8577" s="2">
        <v>3.3020833333333333E-2</v>
      </c>
      <c r="F8577">
        <v>47.55</v>
      </c>
    </row>
    <row r="8578" spans="1:6" x14ac:dyDescent="0.25">
      <c r="A8578" s="1">
        <v>41456</v>
      </c>
      <c r="B8578" t="s">
        <v>12</v>
      </c>
      <c r="C8578" t="s">
        <v>9</v>
      </c>
      <c r="D8578">
        <v>7</v>
      </c>
      <c r="E8578" s="2">
        <v>4.4444444444444444E-3</v>
      </c>
      <c r="F8578">
        <v>6.4</v>
      </c>
    </row>
    <row r="8579" spans="1:6" x14ac:dyDescent="0.25">
      <c r="A8579" s="1">
        <v>41456</v>
      </c>
      <c r="B8579" t="s">
        <v>12</v>
      </c>
      <c r="C8579" t="s">
        <v>10</v>
      </c>
      <c r="D8579">
        <v>33</v>
      </c>
      <c r="E8579" s="2">
        <v>6.8356481481481476E-2</v>
      </c>
      <c r="F8579">
        <v>98.433333333333337</v>
      </c>
    </row>
    <row r="8580" spans="1:6" x14ac:dyDescent="0.25">
      <c r="A8580" s="1">
        <v>41456</v>
      </c>
      <c r="B8580" t="s">
        <v>12</v>
      </c>
      <c r="C8580" t="s">
        <v>11</v>
      </c>
      <c r="D8580">
        <v>53</v>
      </c>
      <c r="E8580" s="2">
        <v>5.4895833333333331E-2</v>
      </c>
      <c r="F8580">
        <v>79.05</v>
      </c>
    </row>
    <row r="8581" spans="1:6" x14ac:dyDescent="0.25">
      <c r="A8581" s="1">
        <v>41456</v>
      </c>
      <c r="B8581" t="s">
        <v>13</v>
      </c>
      <c r="C8581" t="s">
        <v>6</v>
      </c>
      <c r="D8581">
        <v>63</v>
      </c>
      <c r="E8581" s="2">
        <v>8.3865740740740741E-2</v>
      </c>
      <c r="F8581">
        <v>120.76666666666667</v>
      </c>
    </row>
    <row r="8582" spans="1:6" x14ac:dyDescent="0.25">
      <c r="A8582" s="1">
        <v>41456</v>
      </c>
      <c r="B8582" t="s">
        <v>13</v>
      </c>
      <c r="C8582" t="s">
        <v>7</v>
      </c>
      <c r="D8582">
        <v>67</v>
      </c>
      <c r="E8582" s="2">
        <v>8.9895833333333328E-2</v>
      </c>
      <c r="F8582">
        <v>129.44999999999999</v>
      </c>
    </row>
    <row r="8583" spans="1:6" x14ac:dyDescent="0.25">
      <c r="A8583" s="1">
        <v>41456</v>
      </c>
      <c r="B8583" t="s">
        <v>13</v>
      </c>
      <c r="C8583" t="s">
        <v>8</v>
      </c>
      <c r="D8583">
        <v>43</v>
      </c>
      <c r="E8583" s="2">
        <v>5.7905092592592591E-2</v>
      </c>
      <c r="F8583">
        <v>83.38333333333334</v>
      </c>
    </row>
    <row r="8584" spans="1:6" x14ac:dyDescent="0.25">
      <c r="A8584" s="1">
        <v>41456</v>
      </c>
      <c r="B8584" t="s">
        <v>13</v>
      </c>
      <c r="C8584" t="s">
        <v>9</v>
      </c>
      <c r="D8584">
        <v>25</v>
      </c>
      <c r="E8584" s="2">
        <v>1.7523148148148149E-2</v>
      </c>
      <c r="F8584">
        <v>25.233333333333334</v>
      </c>
    </row>
    <row r="8585" spans="1:6" x14ac:dyDescent="0.25">
      <c r="A8585" s="1">
        <v>41456</v>
      </c>
      <c r="B8585" t="s">
        <v>13</v>
      </c>
      <c r="C8585" t="s">
        <v>10</v>
      </c>
      <c r="D8585">
        <v>16</v>
      </c>
      <c r="E8585" s="2">
        <v>2.1307870370370369E-2</v>
      </c>
      <c r="F8585">
        <v>30.683333333333334</v>
      </c>
    </row>
    <row r="8586" spans="1:6" x14ac:dyDescent="0.25">
      <c r="A8586" s="1">
        <v>41456</v>
      </c>
      <c r="B8586" t="s">
        <v>13</v>
      </c>
      <c r="C8586" t="s">
        <v>11</v>
      </c>
      <c r="D8586">
        <v>38</v>
      </c>
      <c r="E8586" s="2">
        <v>3.8101851851851852E-2</v>
      </c>
      <c r="F8586">
        <v>54.866666666666667</v>
      </c>
    </row>
    <row r="8587" spans="1:6" x14ac:dyDescent="0.25">
      <c r="A8587" s="1">
        <v>41456</v>
      </c>
      <c r="B8587" t="s">
        <v>14</v>
      </c>
      <c r="C8587" t="s">
        <v>6</v>
      </c>
      <c r="D8587">
        <v>10</v>
      </c>
      <c r="E8587" s="2">
        <v>1.2407407407407407E-2</v>
      </c>
      <c r="F8587">
        <v>17.866666666666667</v>
      </c>
    </row>
    <row r="8588" spans="1:6" x14ac:dyDescent="0.25">
      <c r="A8588" s="1">
        <v>41456</v>
      </c>
      <c r="B8588" t="s">
        <v>14</v>
      </c>
      <c r="C8588" t="s">
        <v>7</v>
      </c>
      <c r="D8588">
        <v>12</v>
      </c>
      <c r="E8588" s="2">
        <v>1.3182870370370371E-2</v>
      </c>
      <c r="F8588">
        <v>18.983333333333334</v>
      </c>
    </row>
    <row r="8589" spans="1:6" x14ac:dyDescent="0.25">
      <c r="A8589" s="1">
        <v>41456</v>
      </c>
      <c r="B8589" t="s">
        <v>14</v>
      </c>
      <c r="C8589" t="s">
        <v>8</v>
      </c>
      <c r="D8589">
        <v>7</v>
      </c>
      <c r="E8589" s="2">
        <v>7.8472222222222224E-3</v>
      </c>
      <c r="F8589">
        <v>11.3</v>
      </c>
    </row>
    <row r="8590" spans="1:6" x14ac:dyDescent="0.25">
      <c r="A8590" s="1">
        <v>41456</v>
      </c>
      <c r="B8590" t="s">
        <v>14</v>
      </c>
      <c r="C8590" t="s">
        <v>9</v>
      </c>
      <c r="D8590">
        <v>2</v>
      </c>
      <c r="E8590" s="2">
        <v>6.3657407407407413E-4</v>
      </c>
      <c r="F8590">
        <v>0.91666666666666663</v>
      </c>
    </row>
    <row r="8591" spans="1:6" x14ac:dyDescent="0.25">
      <c r="A8591" s="1">
        <v>41456</v>
      </c>
      <c r="B8591" t="s">
        <v>14</v>
      </c>
      <c r="C8591" t="s">
        <v>10</v>
      </c>
      <c r="D8591">
        <v>0</v>
      </c>
      <c r="E8591" s="2">
        <v>0</v>
      </c>
      <c r="F8591">
        <v>0</v>
      </c>
    </row>
    <row r="8592" spans="1:6" x14ac:dyDescent="0.25">
      <c r="A8592" s="1">
        <v>41456</v>
      </c>
      <c r="B8592" t="s">
        <v>14</v>
      </c>
      <c r="C8592" t="s">
        <v>11</v>
      </c>
      <c r="D8592">
        <v>6</v>
      </c>
      <c r="E8592" s="2">
        <v>6.5856481481481478E-3</v>
      </c>
      <c r="F8592">
        <v>9.4833333333333325</v>
      </c>
    </row>
    <row r="8593" spans="1:6" x14ac:dyDescent="0.25">
      <c r="A8593" s="1">
        <v>41456</v>
      </c>
      <c r="B8593" t="s">
        <v>15</v>
      </c>
      <c r="C8593" t="s">
        <v>6</v>
      </c>
      <c r="D8593">
        <v>49</v>
      </c>
      <c r="E8593" s="2">
        <v>5.4583333333333331E-2</v>
      </c>
      <c r="F8593">
        <v>78.599999999999994</v>
      </c>
    </row>
    <row r="8594" spans="1:6" x14ac:dyDescent="0.25">
      <c r="A8594" s="1">
        <v>41456</v>
      </c>
      <c r="B8594" t="s">
        <v>15</v>
      </c>
      <c r="C8594" t="s">
        <v>7</v>
      </c>
      <c r="D8594">
        <v>59</v>
      </c>
      <c r="E8594" s="2">
        <v>6.0405092592592594E-2</v>
      </c>
      <c r="F8594">
        <v>86.983333333333334</v>
      </c>
    </row>
    <row r="8595" spans="1:6" x14ac:dyDescent="0.25">
      <c r="A8595" s="1">
        <v>41456</v>
      </c>
      <c r="B8595" t="s">
        <v>15</v>
      </c>
      <c r="C8595" t="s">
        <v>8</v>
      </c>
      <c r="D8595">
        <v>27</v>
      </c>
      <c r="E8595" s="2">
        <v>2.7430555555555555E-2</v>
      </c>
      <c r="F8595">
        <v>39.5</v>
      </c>
    </row>
    <row r="8596" spans="1:6" x14ac:dyDescent="0.25">
      <c r="A8596" s="1">
        <v>41456</v>
      </c>
      <c r="B8596" t="s">
        <v>15</v>
      </c>
      <c r="C8596" t="s">
        <v>9</v>
      </c>
      <c r="D8596">
        <v>13</v>
      </c>
      <c r="E8596" s="2">
        <v>7.6388888888888886E-3</v>
      </c>
      <c r="F8596">
        <v>11</v>
      </c>
    </row>
    <row r="8597" spans="1:6" x14ac:dyDescent="0.25">
      <c r="A8597" s="1">
        <v>41456</v>
      </c>
      <c r="B8597" t="s">
        <v>15</v>
      </c>
      <c r="C8597" t="s">
        <v>10</v>
      </c>
      <c r="D8597">
        <v>3</v>
      </c>
      <c r="E8597" s="2">
        <v>4.6412037037037038E-3</v>
      </c>
      <c r="F8597">
        <v>6.6833333333333336</v>
      </c>
    </row>
    <row r="8598" spans="1:6" x14ac:dyDescent="0.25">
      <c r="A8598" s="1">
        <v>41456</v>
      </c>
      <c r="B8598" t="s">
        <v>15</v>
      </c>
      <c r="C8598" t="s">
        <v>11</v>
      </c>
      <c r="D8598">
        <v>22</v>
      </c>
      <c r="E8598" s="2">
        <v>1.818287037037037E-2</v>
      </c>
      <c r="F8598">
        <v>26.183333333333334</v>
      </c>
    </row>
    <row r="8599" spans="1:6" x14ac:dyDescent="0.25">
      <c r="A8599" s="1">
        <v>41456</v>
      </c>
      <c r="B8599" t="s">
        <v>16</v>
      </c>
      <c r="C8599" t="s">
        <v>6</v>
      </c>
      <c r="D8599">
        <v>28</v>
      </c>
      <c r="E8599" s="2">
        <v>2.7777777777777776E-2</v>
      </c>
      <c r="F8599">
        <v>40</v>
      </c>
    </row>
    <row r="8600" spans="1:6" x14ac:dyDescent="0.25">
      <c r="A8600" s="1">
        <v>41456</v>
      </c>
      <c r="B8600" t="s">
        <v>16</v>
      </c>
      <c r="C8600" t="s">
        <v>7</v>
      </c>
      <c r="D8600">
        <v>35</v>
      </c>
      <c r="E8600" s="2">
        <v>3.4675925925925923E-2</v>
      </c>
      <c r="F8600">
        <v>49.93333333333333</v>
      </c>
    </row>
    <row r="8601" spans="1:6" x14ac:dyDescent="0.25">
      <c r="A8601" s="1">
        <v>41456</v>
      </c>
      <c r="B8601" t="s">
        <v>16</v>
      </c>
      <c r="C8601" t="s">
        <v>8</v>
      </c>
      <c r="D8601">
        <v>24</v>
      </c>
      <c r="E8601" s="2">
        <v>2.0868055555555556E-2</v>
      </c>
      <c r="F8601">
        <v>30.05</v>
      </c>
    </row>
    <row r="8602" spans="1:6" x14ac:dyDescent="0.25">
      <c r="A8602" s="1">
        <v>41456</v>
      </c>
      <c r="B8602" t="s">
        <v>16</v>
      </c>
      <c r="C8602" t="s">
        <v>9</v>
      </c>
      <c r="D8602">
        <v>25</v>
      </c>
      <c r="E8602" s="2">
        <v>1.5983796296296298E-2</v>
      </c>
      <c r="F8602">
        <v>23.016666666666666</v>
      </c>
    </row>
    <row r="8603" spans="1:6" x14ac:dyDescent="0.25">
      <c r="A8603" s="1">
        <v>41456</v>
      </c>
      <c r="B8603" t="s">
        <v>16</v>
      </c>
      <c r="C8603" t="s">
        <v>10</v>
      </c>
      <c r="D8603">
        <v>2</v>
      </c>
      <c r="E8603" s="2">
        <v>1.3310185185185185E-3</v>
      </c>
      <c r="F8603">
        <v>1.9166666666666665</v>
      </c>
    </row>
    <row r="8604" spans="1:6" x14ac:dyDescent="0.25">
      <c r="A8604" s="1">
        <v>41456</v>
      </c>
      <c r="B8604" t="s">
        <v>16</v>
      </c>
      <c r="C8604" t="s">
        <v>11</v>
      </c>
      <c r="D8604">
        <v>38</v>
      </c>
      <c r="E8604" s="2">
        <v>2.9953703703703705E-2</v>
      </c>
      <c r="F8604">
        <v>43.133333333333333</v>
      </c>
    </row>
    <row r="8605" spans="1:6" x14ac:dyDescent="0.25">
      <c r="A8605" s="1">
        <v>41456</v>
      </c>
      <c r="B8605" t="s">
        <v>17</v>
      </c>
      <c r="C8605" t="s">
        <v>6</v>
      </c>
      <c r="D8605">
        <v>9</v>
      </c>
      <c r="E8605" s="2">
        <v>7.4305555555555557E-3</v>
      </c>
      <c r="F8605">
        <v>10.7</v>
      </c>
    </row>
    <row r="8606" spans="1:6" x14ac:dyDescent="0.25">
      <c r="A8606" s="1">
        <v>41456</v>
      </c>
      <c r="B8606" t="s">
        <v>17</v>
      </c>
      <c r="C8606" t="s">
        <v>7</v>
      </c>
      <c r="D8606">
        <v>8</v>
      </c>
      <c r="E8606" s="2">
        <v>7.951388888888888E-3</v>
      </c>
      <c r="F8606">
        <v>11.45</v>
      </c>
    </row>
    <row r="8607" spans="1:6" x14ac:dyDescent="0.25">
      <c r="A8607" s="1">
        <v>41456</v>
      </c>
      <c r="B8607" t="s">
        <v>17</v>
      </c>
      <c r="C8607" t="s">
        <v>8</v>
      </c>
      <c r="D8607">
        <v>8</v>
      </c>
      <c r="E8607" s="2">
        <v>1.0555555555555556E-2</v>
      </c>
      <c r="F8607">
        <v>15.2</v>
      </c>
    </row>
    <row r="8608" spans="1:6" x14ac:dyDescent="0.25">
      <c r="A8608" s="1">
        <v>41456</v>
      </c>
      <c r="B8608" t="s">
        <v>17</v>
      </c>
      <c r="C8608" t="s">
        <v>9</v>
      </c>
      <c r="D8608">
        <v>1</v>
      </c>
      <c r="E8608" s="2">
        <v>1.0069444444444444E-3</v>
      </c>
      <c r="F8608">
        <v>1.45</v>
      </c>
    </row>
    <row r="8609" spans="1:6" x14ac:dyDescent="0.25">
      <c r="A8609" s="1">
        <v>41456</v>
      </c>
      <c r="B8609" t="s">
        <v>17</v>
      </c>
      <c r="C8609" t="s">
        <v>10</v>
      </c>
      <c r="D8609">
        <v>1</v>
      </c>
      <c r="E8609" s="2">
        <v>2.1527777777777778E-3</v>
      </c>
      <c r="F8609">
        <v>3.1</v>
      </c>
    </row>
    <row r="8610" spans="1:6" x14ac:dyDescent="0.25">
      <c r="A8610" s="1">
        <v>41456</v>
      </c>
      <c r="B8610" t="s">
        <v>17</v>
      </c>
      <c r="C8610" t="s">
        <v>11</v>
      </c>
      <c r="D8610">
        <v>5</v>
      </c>
      <c r="E8610" s="2">
        <v>3.5069444444444445E-3</v>
      </c>
      <c r="F8610">
        <v>5.05</v>
      </c>
    </row>
    <row r="8611" spans="1:6" x14ac:dyDescent="0.25">
      <c r="A8611" s="1">
        <v>41456</v>
      </c>
      <c r="B8611" t="s">
        <v>18</v>
      </c>
      <c r="C8611" t="s">
        <v>6</v>
      </c>
      <c r="D8611">
        <v>54</v>
      </c>
      <c r="E8611" s="2">
        <v>5.4166666666666669E-2</v>
      </c>
      <c r="F8611">
        <v>78</v>
      </c>
    </row>
    <row r="8612" spans="1:6" x14ac:dyDescent="0.25">
      <c r="A8612" s="1">
        <v>41456</v>
      </c>
      <c r="B8612" t="s">
        <v>18</v>
      </c>
      <c r="C8612" t="s">
        <v>7</v>
      </c>
      <c r="D8612">
        <v>75</v>
      </c>
      <c r="E8612" s="2">
        <v>5.5266203703703706E-2</v>
      </c>
      <c r="F8612">
        <v>79.583333333333329</v>
      </c>
    </row>
    <row r="8613" spans="1:6" x14ac:dyDescent="0.25">
      <c r="A8613" s="1">
        <v>41456</v>
      </c>
      <c r="B8613" t="s">
        <v>18</v>
      </c>
      <c r="C8613" t="s">
        <v>8</v>
      </c>
      <c r="D8613">
        <v>50</v>
      </c>
      <c r="E8613" s="2">
        <v>3.6400462962962961E-2</v>
      </c>
      <c r="F8613">
        <v>52.416666666666664</v>
      </c>
    </row>
    <row r="8614" spans="1:6" x14ac:dyDescent="0.25">
      <c r="A8614" s="1">
        <v>41456</v>
      </c>
      <c r="B8614" t="s">
        <v>18</v>
      </c>
      <c r="C8614" t="s">
        <v>9</v>
      </c>
      <c r="D8614">
        <v>62</v>
      </c>
      <c r="E8614" s="2">
        <v>3.6921296296296299E-2</v>
      </c>
      <c r="F8614">
        <v>53.166666666666664</v>
      </c>
    </row>
    <row r="8615" spans="1:6" x14ac:dyDescent="0.25">
      <c r="A8615" s="1">
        <v>41456</v>
      </c>
      <c r="B8615" t="s">
        <v>18</v>
      </c>
      <c r="C8615" t="s">
        <v>10</v>
      </c>
      <c r="D8615">
        <v>160</v>
      </c>
      <c r="E8615" s="2">
        <v>0.1862037037037037</v>
      </c>
      <c r="F8615">
        <v>268.13333333333333</v>
      </c>
    </row>
    <row r="8616" spans="1:6" x14ac:dyDescent="0.25">
      <c r="A8616" s="1">
        <v>41456</v>
      </c>
      <c r="B8616" t="s">
        <v>18</v>
      </c>
      <c r="C8616" t="s">
        <v>11</v>
      </c>
      <c r="D8616">
        <v>47</v>
      </c>
      <c r="E8616" s="2">
        <v>2.9756944444444444E-2</v>
      </c>
      <c r="F8616">
        <v>42.85</v>
      </c>
    </row>
    <row r="8617" spans="1:6" x14ac:dyDescent="0.25">
      <c r="A8617" s="1">
        <v>41456</v>
      </c>
      <c r="B8617" t="s">
        <v>19</v>
      </c>
      <c r="C8617" t="s">
        <v>6</v>
      </c>
      <c r="D8617">
        <v>27</v>
      </c>
      <c r="E8617" s="2">
        <v>3.2835648148148149E-2</v>
      </c>
      <c r="F8617">
        <v>47.283333333333331</v>
      </c>
    </row>
    <row r="8618" spans="1:6" x14ac:dyDescent="0.25">
      <c r="A8618" s="1">
        <v>41456</v>
      </c>
      <c r="B8618" t="s">
        <v>19</v>
      </c>
      <c r="C8618" t="s">
        <v>7</v>
      </c>
      <c r="D8618">
        <v>44</v>
      </c>
      <c r="E8618" s="2">
        <v>5.6111111111111112E-2</v>
      </c>
      <c r="F8618">
        <v>80.8</v>
      </c>
    </row>
    <row r="8619" spans="1:6" x14ac:dyDescent="0.25">
      <c r="A8619" s="1">
        <v>41456</v>
      </c>
      <c r="B8619" t="s">
        <v>19</v>
      </c>
      <c r="C8619" t="s">
        <v>8</v>
      </c>
      <c r="D8619">
        <v>25</v>
      </c>
      <c r="E8619" s="2">
        <v>2.5162037037037038E-2</v>
      </c>
      <c r="F8619">
        <v>36.233333333333334</v>
      </c>
    </row>
    <row r="8620" spans="1:6" x14ac:dyDescent="0.25">
      <c r="A8620" s="1">
        <v>41456</v>
      </c>
      <c r="B8620" t="s">
        <v>19</v>
      </c>
      <c r="C8620" t="s">
        <v>9</v>
      </c>
      <c r="D8620">
        <v>41</v>
      </c>
      <c r="E8620" s="2">
        <v>2.4502314814814814E-2</v>
      </c>
      <c r="F8620">
        <v>35.283333333333331</v>
      </c>
    </row>
    <row r="8621" spans="1:6" x14ac:dyDescent="0.25">
      <c r="A8621" s="1">
        <v>41456</v>
      </c>
      <c r="B8621" t="s">
        <v>19</v>
      </c>
      <c r="C8621" t="s">
        <v>10</v>
      </c>
      <c r="D8621">
        <v>44</v>
      </c>
      <c r="E8621" s="2">
        <v>5.3900462962962963E-2</v>
      </c>
      <c r="F8621">
        <v>77.61666666666666</v>
      </c>
    </row>
    <row r="8622" spans="1:6" x14ac:dyDescent="0.25">
      <c r="A8622" s="1">
        <v>41456</v>
      </c>
      <c r="B8622" t="s">
        <v>19</v>
      </c>
      <c r="C8622" t="s">
        <v>11</v>
      </c>
      <c r="D8622">
        <v>23</v>
      </c>
      <c r="E8622" s="2">
        <v>1.8101851851851852E-2</v>
      </c>
      <c r="F8622">
        <v>26.066666666666666</v>
      </c>
    </row>
    <row r="8623" spans="1:6" x14ac:dyDescent="0.25">
      <c r="A8623" s="1">
        <v>41456</v>
      </c>
      <c r="B8623" t="s">
        <v>20</v>
      </c>
      <c r="C8623" t="s">
        <v>6</v>
      </c>
      <c r="D8623">
        <v>51</v>
      </c>
      <c r="E8623" s="2">
        <v>6.3449074074074074E-2</v>
      </c>
      <c r="F8623">
        <v>91.36666666666666</v>
      </c>
    </row>
    <row r="8624" spans="1:6" x14ac:dyDescent="0.25">
      <c r="A8624" s="1">
        <v>41456</v>
      </c>
      <c r="B8624" t="s">
        <v>20</v>
      </c>
      <c r="C8624" t="s">
        <v>7</v>
      </c>
      <c r="D8624">
        <v>81</v>
      </c>
      <c r="E8624" s="2">
        <v>7.5243055555555549E-2</v>
      </c>
      <c r="F8624">
        <v>108.35</v>
      </c>
    </row>
    <row r="8625" spans="1:6" x14ac:dyDescent="0.25">
      <c r="A8625" s="1">
        <v>41456</v>
      </c>
      <c r="B8625" t="s">
        <v>20</v>
      </c>
      <c r="C8625" t="s">
        <v>8</v>
      </c>
      <c r="D8625">
        <v>48</v>
      </c>
      <c r="E8625" s="2">
        <v>4.4675925925925924E-2</v>
      </c>
      <c r="F8625">
        <v>64.333333333333329</v>
      </c>
    </row>
    <row r="8626" spans="1:6" x14ac:dyDescent="0.25">
      <c r="A8626" s="1">
        <v>41456</v>
      </c>
      <c r="B8626" t="s">
        <v>20</v>
      </c>
      <c r="C8626" t="s">
        <v>9</v>
      </c>
      <c r="D8626">
        <v>32</v>
      </c>
      <c r="E8626" s="2">
        <v>2.2476851851851852E-2</v>
      </c>
      <c r="F8626">
        <v>32.366666666666667</v>
      </c>
    </row>
    <row r="8627" spans="1:6" x14ac:dyDescent="0.25">
      <c r="A8627" s="1">
        <v>41456</v>
      </c>
      <c r="B8627" t="s">
        <v>20</v>
      </c>
      <c r="C8627" t="s">
        <v>10</v>
      </c>
      <c r="D8627">
        <v>7</v>
      </c>
      <c r="E8627" s="2">
        <v>9.0509259259259258E-3</v>
      </c>
      <c r="F8627">
        <v>13.033333333333333</v>
      </c>
    </row>
    <row r="8628" spans="1:6" x14ac:dyDescent="0.25">
      <c r="A8628" s="1">
        <v>41456</v>
      </c>
      <c r="B8628" t="s">
        <v>20</v>
      </c>
      <c r="C8628" t="s">
        <v>11</v>
      </c>
      <c r="D8628">
        <v>41</v>
      </c>
      <c r="E8628" s="2">
        <v>3.2025462962962964E-2</v>
      </c>
      <c r="F8628">
        <v>46.116666666666667</v>
      </c>
    </row>
    <row r="8629" spans="1:6" x14ac:dyDescent="0.25">
      <c r="A8629" s="1">
        <v>41456</v>
      </c>
      <c r="B8629" t="s">
        <v>21</v>
      </c>
      <c r="C8629" t="s">
        <v>6</v>
      </c>
      <c r="D8629">
        <v>19</v>
      </c>
      <c r="E8629" s="2">
        <v>2.3703703703703703E-2</v>
      </c>
      <c r="F8629">
        <v>34.133333333333333</v>
      </c>
    </row>
    <row r="8630" spans="1:6" x14ac:dyDescent="0.25">
      <c r="A8630" s="1">
        <v>41456</v>
      </c>
      <c r="B8630" t="s">
        <v>21</v>
      </c>
      <c r="C8630" t="s">
        <v>7</v>
      </c>
      <c r="D8630">
        <v>27</v>
      </c>
      <c r="E8630" s="2">
        <v>3.4317129629629628E-2</v>
      </c>
      <c r="F8630">
        <v>49.416666666666664</v>
      </c>
    </row>
    <row r="8631" spans="1:6" x14ac:dyDescent="0.25">
      <c r="A8631" s="1">
        <v>41456</v>
      </c>
      <c r="B8631" t="s">
        <v>21</v>
      </c>
      <c r="C8631" t="s">
        <v>8</v>
      </c>
      <c r="D8631">
        <v>21</v>
      </c>
      <c r="E8631" s="2">
        <v>2.568287037037037E-2</v>
      </c>
      <c r="F8631">
        <v>36.983333333333334</v>
      </c>
    </row>
    <row r="8632" spans="1:6" x14ac:dyDescent="0.25">
      <c r="A8632" s="1">
        <v>41456</v>
      </c>
      <c r="B8632" t="s">
        <v>21</v>
      </c>
      <c r="C8632" t="s">
        <v>9</v>
      </c>
      <c r="D8632">
        <v>7</v>
      </c>
      <c r="E8632" s="2">
        <v>5.0810185185185186E-3</v>
      </c>
      <c r="F8632">
        <v>7.3166666666666664</v>
      </c>
    </row>
    <row r="8633" spans="1:6" x14ac:dyDescent="0.25">
      <c r="A8633" s="1">
        <v>41456</v>
      </c>
      <c r="B8633" t="s">
        <v>21</v>
      </c>
      <c r="C8633" t="s">
        <v>10</v>
      </c>
      <c r="D8633">
        <v>1</v>
      </c>
      <c r="E8633" s="2">
        <v>7.5231481481481482E-4</v>
      </c>
      <c r="F8633">
        <v>1.0833333333333333</v>
      </c>
    </row>
    <row r="8634" spans="1:6" x14ac:dyDescent="0.25">
      <c r="A8634" s="1">
        <v>41456</v>
      </c>
      <c r="B8634" t="s">
        <v>21</v>
      </c>
      <c r="C8634" t="s">
        <v>11</v>
      </c>
      <c r="D8634">
        <v>14</v>
      </c>
      <c r="E8634" s="2">
        <v>1.0497685185185185E-2</v>
      </c>
      <c r="F8634">
        <v>15.116666666666667</v>
      </c>
    </row>
    <row r="8635" spans="1:6" x14ac:dyDescent="0.25">
      <c r="A8635" s="1">
        <v>41456</v>
      </c>
      <c r="B8635" t="s">
        <v>22</v>
      </c>
      <c r="C8635" t="s">
        <v>6</v>
      </c>
      <c r="D8635">
        <v>11</v>
      </c>
      <c r="E8635" s="2">
        <v>1.1979166666666667E-2</v>
      </c>
      <c r="F8635">
        <v>17.25</v>
      </c>
    </row>
    <row r="8636" spans="1:6" x14ac:dyDescent="0.25">
      <c r="A8636" s="1">
        <v>41456</v>
      </c>
      <c r="B8636" t="s">
        <v>22</v>
      </c>
      <c r="C8636" t="s">
        <v>7</v>
      </c>
      <c r="D8636">
        <v>17</v>
      </c>
      <c r="E8636" s="2">
        <v>2.8090277777777777E-2</v>
      </c>
      <c r="F8636">
        <v>40.450000000000003</v>
      </c>
    </row>
    <row r="8637" spans="1:6" x14ac:dyDescent="0.25">
      <c r="A8637" s="1">
        <v>41456</v>
      </c>
      <c r="B8637" t="s">
        <v>22</v>
      </c>
      <c r="C8637" t="s">
        <v>8</v>
      </c>
      <c r="D8637">
        <v>8</v>
      </c>
      <c r="E8637" s="2">
        <v>8.1365740740740738E-3</v>
      </c>
      <c r="F8637">
        <v>11.716666666666667</v>
      </c>
    </row>
    <row r="8638" spans="1:6" x14ac:dyDescent="0.25">
      <c r="A8638" s="1">
        <v>41456</v>
      </c>
      <c r="B8638" t="s">
        <v>22</v>
      </c>
      <c r="C8638" t="s">
        <v>9</v>
      </c>
      <c r="D8638">
        <v>4</v>
      </c>
      <c r="E8638" s="2">
        <v>3.5532407407407409E-3</v>
      </c>
      <c r="F8638">
        <v>5.1166666666666663</v>
      </c>
    </row>
    <row r="8639" spans="1:6" x14ac:dyDescent="0.25">
      <c r="A8639" s="1">
        <v>41456</v>
      </c>
      <c r="B8639" t="s">
        <v>22</v>
      </c>
      <c r="C8639" t="s">
        <v>10</v>
      </c>
      <c r="D8639">
        <v>1</v>
      </c>
      <c r="E8639" s="2">
        <v>1.0648148148148149E-3</v>
      </c>
      <c r="F8639">
        <v>1.5333333333333332</v>
      </c>
    </row>
    <row r="8640" spans="1:6" x14ac:dyDescent="0.25">
      <c r="A8640" s="1">
        <v>41456</v>
      </c>
      <c r="B8640" t="s">
        <v>22</v>
      </c>
      <c r="C8640" t="s">
        <v>11</v>
      </c>
      <c r="D8640">
        <v>11</v>
      </c>
      <c r="E8640" s="2">
        <v>1.0277777777777778E-2</v>
      </c>
      <c r="F8640">
        <v>14.8</v>
      </c>
    </row>
    <row r="8641" spans="1:6" x14ac:dyDescent="0.25">
      <c r="A8641" s="1">
        <v>41456</v>
      </c>
      <c r="B8641" t="s">
        <v>23</v>
      </c>
      <c r="C8641" t="s">
        <v>6</v>
      </c>
      <c r="D8641">
        <v>148</v>
      </c>
      <c r="E8641" s="2">
        <v>0.18172453703703703</v>
      </c>
      <c r="F8641">
        <v>261.68333333333334</v>
      </c>
    </row>
    <row r="8642" spans="1:6" x14ac:dyDescent="0.25">
      <c r="A8642" s="1">
        <v>41456</v>
      </c>
      <c r="B8642" t="s">
        <v>23</v>
      </c>
      <c r="C8642" t="s">
        <v>7</v>
      </c>
      <c r="D8642">
        <v>192</v>
      </c>
      <c r="E8642" s="2">
        <v>0.20043981481481482</v>
      </c>
      <c r="F8642">
        <v>288.63333333333333</v>
      </c>
    </row>
    <row r="8643" spans="1:6" x14ac:dyDescent="0.25">
      <c r="A8643" s="1">
        <v>41456</v>
      </c>
      <c r="B8643" t="s">
        <v>23</v>
      </c>
      <c r="C8643" t="s">
        <v>8</v>
      </c>
      <c r="D8643">
        <v>101</v>
      </c>
      <c r="E8643" s="2">
        <v>0.10828703703703704</v>
      </c>
      <c r="F8643">
        <v>155.93333333333334</v>
      </c>
    </row>
    <row r="8644" spans="1:6" x14ac:dyDescent="0.25">
      <c r="A8644" s="1">
        <v>41456</v>
      </c>
      <c r="B8644" t="s">
        <v>23</v>
      </c>
      <c r="C8644" t="s">
        <v>9</v>
      </c>
      <c r="D8644">
        <v>90</v>
      </c>
      <c r="E8644" s="2">
        <v>6.1006944444444447E-2</v>
      </c>
      <c r="F8644">
        <v>87.85</v>
      </c>
    </row>
    <row r="8645" spans="1:6" x14ac:dyDescent="0.25">
      <c r="A8645" s="1">
        <v>41456</v>
      </c>
      <c r="B8645" t="s">
        <v>23</v>
      </c>
      <c r="C8645" t="s">
        <v>10</v>
      </c>
      <c r="D8645">
        <v>32</v>
      </c>
      <c r="E8645" s="2">
        <v>4.0393518518518516E-2</v>
      </c>
      <c r="F8645">
        <v>58.166666666666664</v>
      </c>
    </row>
    <row r="8646" spans="1:6" x14ac:dyDescent="0.25">
      <c r="A8646" s="1">
        <v>41456</v>
      </c>
      <c r="B8646" t="s">
        <v>23</v>
      </c>
      <c r="C8646" t="s">
        <v>11</v>
      </c>
      <c r="D8646">
        <v>132</v>
      </c>
      <c r="E8646" s="2">
        <v>0.11679398148148148</v>
      </c>
      <c r="F8646">
        <v>168.18333333333334</v>
      </c>
    </row>
    <row r="8647" spans="1:6" x14ac:dyDescent="0.25">
      <c r="A8647" s="1">
        <v>41456</v>
      </c>
      <c r="B8647" t="s">
        <v>24</v>
      </c>
      <c r="C8647" t="s">
        <v>6</v>
      </c>
      <c r="D8647">
        <v>57</v>
      </c>
      <c r="E8647" s="2">
        <v>5.693287037037037E-2</v>
      </c>
      <c r="F8647">
        <v>81.983333333333334</v>
      </c>
    </row>
    <row r="8648" spans="1:6" x14ac:dyDescent="0.25">
      <c r="A8648" s="1">
        <v>41456</v>
      </c>
      <c r="B8648" t="s">
        <v>24</v>
      </c>
      <c r="C8648" t="s">
        <v>7</v>
      </c>
      <c r="D8648">
        <v>66</v>
      </c>
      <c r="E8648" s="2">
        <v>5.1307870370370372E-2</v>
      </c>
      <c r="F8648">
        <v>73.88333333333334</v>
      </c>
    </row>
    <row r="8649" spans="1:6" x14ac:dyDescent="0.25">
      <c r="A8649" s="1">
        <v>41456</v>
      </c>
      <c r="B8649" t="s">
        <v>24</v>
      </c>
      <c r="C8649" t="s">
        <v>8</v>
      </c>
      <c r="D8649">
        <v>53</v>
      </c>
      <c r="E8649" s="2">
        <v>4.777777777777778E-2</v>
      </c>
      <c r="F8649">
        <v>68.8</v>
      </c>
    </row>
    <row r="8650" spans="1:6" x14ac:dyDescent="0.25">
      <c r="A8650" s="1">
        <v>41456</v>
      </c>
      <c r="B8650" t="s">
        <v>24</v>
      </c>
      <c r="C8650" t="s">
        <v>9</v>
      </c>
      <c r="D8650">
        <v>50</v>
      </c>
      <c r="E8650" s="2">
        <v>4.0185185185185185E-2</v>
      </c>
      <c r="F8650">
        <v>57.866666666666667</v>
      </c>
    </row>
    <row r="8651" spans="1:6" x14ac:dyDescent="0.25">
      <c r="A8651" s="1">
        <v>41456</v>
      </c>
      <c r="B8651" t="s">
        <v>24</v>
      </c>
      <c r="C8651" t="s">
        <v>10</v>
      </c>
      <c r="D8651">
        <v>0</v>
      </c>
      <c r="E8651" s="2">
        <v>0</v>
      </c>
      <c r="F8651">
        <v>0</v>
      </c>
    </row>
    <row r="8652" spans="1:6" x14ac:dyDescent="0.25">
      <c r="A8652" s="1">
        <v>41456</v>
      </c>
      <c r="B8652" t="s">
        <v>24</v>
      </c>
      <c r="C8652" t="s">
        <v>11</v>
      </c>
      <c r="D8652">
        <v>40</v>
      </c>
      <c r="E8652" s="2">
        <v>2.9409722222222223E-2</v>
      </c>
      <c r="F8652">
        <v>42.35</v>
      </c>
    </row>
    <row r="8653" spans="1:6" x14ac:dyDescent="0.25">
      <c r="A8653" s="1">
        <v>41487</v>
      </c>
      <c r="B8653" t="s">
        <v>5</v>
      </c>
      <c r="C8653" t="s">
        <v>6</v>
      </c>
      <c r="D8653">
        <v>34</v>
      </c>
      <c r="E8653" s="2">
        <v>2.5787037037037035E-2</v>
      </c>
      <c r="F8653">
        <v>37.133333333333333</v>
      </c>
    </row>
    <row r="8654" spans="1:6" x14ac:dyDescent="0.25">
      <c r="A8654" s="1">
        <v>41487</v>
      </c>
      <c r="B8654" t="s">
        <v>5</v>
      </c>
      <c r="C8654" t="s">
        <v>7</v>
      </c>
      <c r="D8654">
        <v>56</v>
      </c>
      <c r="E8654" s="2">
        <v>4.3564814814814813E-2</v>
      </c>
      <c r="F8654">
        <v>62.733333333333334</v>
      </c>
    </row>
    <row r="8655" spans="1:6" x14ac:dyDescent="0.25">
      <c r="A8655" s="1">
        <v>41487</v>
      </c>
      <c r="B8655" t="s">
        <v>5</v>
      </c>
      <c r="C8655" t="s">
        <v>8</v>
      </c>
      <c r="D8655">
        <v>38</v>
      </c>
      <c r="E8655" s="2">
        <v>3.4606481481481481E-2</v>
      </c>
      <c r="F8655">
        <v>49.833333333333336</v>
      </c>
    </row>
    <row r="8656" spans="1:6" x14ac:dyDescent="0.25">
      <c r="A8656" s="1">
        <v>41487</v>
      </c>
      <c r="B8656" t="s">
        <v>5</v>
      </c>
      <c r="C8656" t="s">
        <v>9</v>
      </c>
      <c r="D8656">
        <v>18</v>
      </c>
      <c r="E8656" s="2">
        <v>8.4143518518518517E-3</v>
      </c>
      <c r="F8656">
        <v>12.116666666666667</v>
      </c>
    </row>
    <row r="8657" spans="1:6" x14ac:dyDescent="0.25">
      <c r="A8657" s="1">
        <v>41487</v>
      </c>
      <c r="B8657" t="s">
        <v>5</v>
      </c>
      <c r="C8657" t="s">
        <v>10</v>
      </c>
      <c r="D8657">
        <v>3</v>
      </c>
      <c r="E8657" s="2">
        <v>1.3310185185185185E-3</v>
      </c>
      <c r="F8657">
        <v>1.9166666666666665</v>
      </c>
    </row>
    <row r="8658" spans="1:6" x14ac:dyDescent="0.25">
      <c r="A8658" s="1">
        <v>41487</v>
      </c>
      <c r="B8658" t="s">
        <v>5</v>
      </c>
      <c r="C8658" t="s">
        <v>11</v>
      </c>
      <c r="D8658">
        <v>24</v>
      </c>
      <c r="E8658" s="2">
        <v>1.5752314814814816E-2</v>
      </c>
      <c r="F8658">
        <v>22.683333333333334</v>
      </c>
    </row>
    <row r="8659" spans="1:6" x14ac:dyDescent="0.25">
      <c r="A8659" s="1">
        <v>41487</v>
      </c>
      <c r="B8659" t="s">
        <v>12</v>
      </c>
      <c r="C8659" t="s">
        <v>6</v>
      </c>
      <c r="D8659">
        <v>70</v>
      </c>
      <c r="E8659" s="2">
        <v>0.10193287037037037</v>
      </c>
      <c r="F8659">
        <v>146.78333333333333</v>
      </c>
    </row>
    <row r="8660" spans="1:6" x14ac:dyDescent="0.25">
      <c r="A8660" s="1">
        <v>41487</v>
      </c>
      <c r="B8660" t="s">
        <v>12</v>
      </c>
      <c r="C8660" t="s">
        <v>7</v>
      </c>
      <c r="D8660">
        <v>50</v>
      </c>
      <c r="E8660" s="2">
        <v>8.0902777777777782E-2</v>
      </c>
      <c r="F8660">
        <v>116.5</v>
      </c>
    </row>
    <row r="8661" spans="1:6" x14ac:dyDescent="0.25">
      <c r="A8661" s="1">
        <v>41487</v>
      </c>
      <c r="B8661" t="s">
        <v>12</v>
      </c>
      <c r="C8661" t="s">
        <v>8</v>
      </c>
      <c r="D8661">
        <v>25</v>
      </c>
      <c r="E8661" s="2">
        <v>3.6724537037037035E-2</v>
      </c>
      <c r="F8661">
        <v>52.883333333333333</v>
      </c>
    </row>
    <row r="8662" spans="1:6" x14ac:dyDescent="0.25">
      <c r="A8662" s="1">
        <v>41487</v>
      </c>
      <c r="B8662" t="s">
        <v>12</v>
      </c>
      <c r="C8662" t="s">
        <v>9</v>
      </c>
      <c r="D8662">
        <v>12</v>
      </c>
      <c r="E8662" s="2">
        <v>8.6689814814814806E-3</v>
      </c>
      <c r="F8662">
        <v>12.483333333333333</v>
      </c>
    </row>
    <row r="8663" spans="1:6" x14ac:dyDescent="0.25">
      <c r="A8663" s="1">
        <v>41487</v>
      </c>
      <c r="B8663" t="s">
        <v>12</v>
      </c>
      <c r="C8663" t="s">
        <v>10</v>
      </c>
      <c r="D8663">
        <v>26</v>
      </c>
      <c r="E8663" s="2">
        <v>5.7164351851851855E-2</v>
      </c>
      <c r="F8663">
        <v>82.316666666666663</v>
      </c>
    </row>
    <row r="8664" spans="1:6" x14ac:dyDescent="0.25">
      <c r="A8664" s="1">
        <v>41487</v>
      </c>
      <c r="B8664" t="s">
        <v>12</v>
      </c>
      <c r="C8664" t="s">
        <v>11</v>
      </c>
      <c r="D8664">
        <v>39</v>
      </c>
      <c r="E8664" s="2">
        <v>4.4409722222222225E-2</v>
      </c>
      <c r="F8664">
        <v>63.95</v>
      </c>
    </row>
    <row r="8665" spans="1:6" x14ac:dyDescent="0.25">
      <c r="A8665" s="1">
        <v>41487</v>
      </c>
      <c r="B8665" t="s">
        <v>13</v>
      </c>
      <c r="C8665" t="s">
        <v>6</v>
      </c>
      <c r="D8665">
        <v>62</v>
      </c>
      <c r="E8665" s="2">
        <v>8.6458333333333331E-2</v>
      </c>
      <c r="F8665">
        <v>124.5</v>
      </c>
    </row>
    <row r="8666" spans="1:6" x14ac:dyDescent="0.25">
      <c r="A8666" s="1">
        <v>41487</v>
      </c>
      <c r="B8666" t="s">
        <v>13</v>
      </c>
      <c r="C8666" t="s">
        <v>7</v>
      </c>
      <c r="D8666">
        <v>91</v>
      </c>
      <c r="E8666" s="2">
        <v>0.11952546296296296</v>
      </c>
      <c r="F8666">
        <v>172.11666666666667</v>
      </c>
    </row>
    <row r="8667" spans="1:6" x14ac:dyDescent="0.25">
      <c r="A8667" s="1">
        <v>41487</v>
      </c>
      <c r="B8667" t="s">
        <v>13</v>
      </c>
      <c r="C8667" t="s">
        <v>8</v>
      </c>
      <c r="D8667">
        <v>52</v>
      </c>
      <c r="E8667" s="2">
        <v>7.0370370370370375E-2</v>
      </c>
      <c r="F8667">
        <v>101.33333333333333</v>
      </c>
    </row>
    <row r="8668" spans="1:6" x14ac:dyDescent="0.25">
      <c r="A8668" s="1">
        <v>41487</v>
      </c>
      <c r="B8668" t="s">
        <v>13</v>
      </c>
      <c r="C8668" t="s">
        <v>9</v>
      </c>
      <c r="D8668">
        <v>19</v>
      </c>
      <c r="E8668" s="2">
        <v>1.7476851851851851E-2</v>
      </c>
      <c r="F8668">
        <v>25.166666666666668</v>
      </c>
    </row>
    <row r="8669" spans="1:6" x14ac:dyDescent="0.25">
      <c r="A8669" s="1">
        <v>41487</v>
      </c>
      <c r="B8669" t="s">
        <v>13</v>
      </c>
      <c r="C8669" t="s">
        <v>10</v>
      </c>
      <c r="D8669">
        <v>15</v>
      </c>
      <c r="E8669" s="2">
        <v>2.5486111111111112E-2</v>
      </c>
      <c r="F8669">
        <v>36.700000000000003</v>
      </c>
    </row>
    <row r="8670" spans="1:6" x14ac:dyDescent="0.25">
      <c r="A8670" s="1">
        <v>41487</v>
      </c>
      <c r="B8670" t="s">
        <v>13</v>
      </c>
      <c r="C8670" t="s">
        <v>11</v>
      </c>
      <c r="D8670">
        <v>31</v>
      </c>
      <c r="E8670" s="2">
        <v>3.2129629629629633E-2</v>
      </c>
      <c r="F8670">
        <v>46.266666666666666</v>
      </c>
    </row>
    <row r="8671" spans="1:6" x14ac:dyDescent="0.25">
      <c r="A8671" s="1">
        <v>41487</v>
      </c>
      <c r="B8671" t="s">
        <v>14</v>
      </c>
      <c r="C8671" t="s">
        <v>6</v>
      </c>
      <c r="D8671">
        <v>19</v>
      </c>
      <c r="E8671" s="2">
        <v>2.4513888888888891E-2</v>
      </c>
      <c r="F8671">
        <v>35.299999999999997</v>
      </c>
    </row>
    <row r="8672" spans="1:6" x14ac:dyDescent="0.25">
      <c r="A8672" s="1">
        <v>41487</v>
      </c>
      <c r="B8672" t="s">
        <v>14</v>
      </c>
      <c r="C8672" t="s">
        <v>7</v>
      </c>
      <c r="D8672">
        <v>8</v>
      </c>
      <c r="E8672" s="2">
        <v>9.8611111111111104E-3</v>
      </c>
      <c r="F8672">
        <v>14.2</v>
      </c>
    </row>
    <row r="8673" spans="1:6" x14ac:dyDescent="0.25">
      <c r="A8673" s="1">
        <v>41487</v>
      </c>
      <c r="B8673" t="s">
        <v>14</v>
      </c>
      <c r="C8673" t="s">
        <v>8</v>
      </c>
      <c r="D8673">
        <v>11</v>
      </c>
      <c r="E8673" s="2">
        <v>1.6354166666666666E-2</v>
      </c>
      <c r="F8673">
        <v>23.55</v>
      </c>
    </row>
    <row r="8674" spans="1:6" x14ac:dyDescent="0.25">
      <c r="A8674" s="1">
        <v>41487</v>
      </c>
      <c r="B8674" t="s">
        <v>14</v>
      </c>
      <c r="C8674" t="s">
        <v>9</v>
      </c>
      <c r="D8674">
        <v>5</v>
      </c>
      <c r="E8674" s="2">
        <v>4.1898148148148146E-3</v>
      </c>
      <c r="F8674">
        <v>6.0333333333333332</v>
      </c>
    </row>
    <row r="8675" spans="1:6" x14ac:dyDescent="0.25">
      <c r="A8675" s="1">
        <v>41487</v>
      </c>
      <c r="B8675" t="s">
        <v>14</v>
      </c>
      <c r="C8675" t="s">
        <v>10</v>
      </c>
      <c r="D8675">
        <v>0</v>
      </c>
      <c r="E8675" s="2">
        <v>0</v>
      </c>
      <c r="F8675">
        <v>0</v>
      </c>
    </row>
    <row r="8676" spans="1:6" x14ac:dyDescent="0.25">
      <c r="A8676" s="1">
        <v>41487</v>
      </c>
      <c r="B8676" t="s">
        <v>14</v>
      </c>
      <c r="C8676" t="s">
        <v>11</v>
      </c>
      <c r="D8676">
        <v>12</v>
      </c>
      <c r="E8676" s="2">
        <v>1.375E-2</v>
      </c>
      <c r="F8676">
        <v>19.8</v>
      </c>
    </row>
    <row r="8677" spans="1:6" x14ac:dyDescent="0.25">
      <c r="A8677" s="1">
        <v>41487</v>
      </c>
      <c r="B8677" t="s">
        <v>15</v>
      </c>
      <c r="C8677" t="s">
        <v>6</v>
      </c>
      <c r="D8677">
        <v>26</v>
      </c>
      <c r="E8677" s="2">
        <v>3.2708333333333332E-2</v>
      </c>
      <c r="F8677">
        <v>47.1</v>
      </c>
    </row>
    <row r="8678" spans="1:6" x14ac:dyDescent="0.25">
      <c r="A8678" s="1">
        <v>41487</v>
      </c>
      <c r="B8678" t="s">
        <v>15</v>
      </c>
      <c r="C8678" t="s">
        <v>7</v>
      </c>
      <c r="D8678">
        <v>31</v>
      </c>
      <c r="E8678" s="2">
        <v>3.349537037037037E-2</v>
      </c>
      <c r="F8678">
        <v>48.233333333333334</v>
      </c>
    </row>
    <row r="8679" spans="1:6" x14ac:dyDescent="0.25">
      <c r="A8679" s="1">
        <v>41487</v>
      </c>
      <c r="B8679" t="s">
        <v>15</v>
      </c>
      <c r="C8679" t="s">
        <v>8</v>
      </c>
      <c r="D8679">
        <v>19</v>
      </c>
      <c r="E8679" s="2">
        <v>2.0972222222222222E-2</v>
      </c>
      <c r="F8679">
        <v>30.2</v>
      </c>
    </row>
    <row r="8680" spans="1:6" x14ac:dyDescent="0.25">
      <c r="A8680" s="1">
        <v>41487</v>
      </c>
      <c r="B8680" t="s">
        <v>15</v>
      </c>
      <c r="C8680" t="s">
        <v>9</v>
      </c>
      <c r="D8680">
        <v>11</v>
      </c>
      <c r="E8680" s="2">
        <v>7.1412037037037034E-3</v>
      </c>
      <c r="F8680">
        <v>10.283333333333333</v>
      </c>
    </row>
    <row r="8681" spans="1:6" x14ac:dyDescent="0.25">
      <c r="A8681" s="1">
        <v>41487</v>
      </c>
      <c r="B8681" t="s">
        <v>15</v>
      </c>
      <c r="C8681" t="s">
        <v>10</v>
      </c>
      <c r="D8681">
        <v>11</v>
      </c>
      <c r="E8681" s="2">
        <v>1.4687499999999999E-2</v>
      </c>
      <c r="F8681">
        <v>21.15</v>
      </c>
    </row>
    <row r="8682" spans="1:6" x14ac:dyDescent="0.25">
      <c r="A8682" s="1">
        <v>41487</v>
      </c>
      <c r="B8682" t="s">
        <v>15</v>
      </c>
      <c r="C8682" t="s">
        <v>11</v>
      </c>
      <c r="D8682">
        <v>7</v>
      </c>
      <c r="E8682" s="2">
        <v>6.5162037037037037E-3</v>
      </c>
      <c r="F8682">
        <v>9.3833333333333329</v>
      </c>
    </row>
    <row r="8683" spans="1:6" x14ac:dyDescent="0.25">
      <c r="A8683" s="1">
        <v>41487</v>
      </c>
      <c r="B8683" t="s">
        <v>16</v>
      </c>
      <c r="C8683" t="s">
        <v>6</v>
      </c>
      <c r="D8683">
        <v>57</v>
      </c>
      <c r="E8683" s="2">
        <v>6.7384259259259255E-2</v>
      </c>
      <c r="F8683">
        <v>97.033333333333331</v>
      </c>
    </row>
    <row r="8684" spans="1:6" x14ac:dyDescent="0.25">
      <c r="A8684" s="1">
        <v>41487</v>
      </c>
      <c r="B8684" t="s">
        <v>16</v>
      </c>
      <c r="C8684" t="s">
        <v>7</v>
      </c>
      <c r="D8684">
        <v>63</v>
      </c>
      <c r="E8684" s="2">
        <v>5.8819444444444445E-2</v>
      </c>
      <c r="F8684">
        <v>84.7</v>
      </c>
    </row>
    <row r="8685" spans="1:6" x14ac:dyDescent="0.25">
      <c r="A8685" s="1">
        <v>41487</v>
      </c>
      <c r="B8685" t="s">
        <v>16</v>
      </c>
      <c r="C8685" t="s">
        <v>8</v>
      </c>
      <c r="D8685">
        <v>49</v>
      </c>
      <c r="E8685" s="2">
        <v>4.3773148148148151E-2</v>
      </c>
      <c r="F8685">
        <v>63.033333333333331</v>
      </c>
    </row>
    <row r="8686" spans="1:6" x14ac:dyDescent="0.25">
      <c r="A8686" s="1">
        <v>41487</v>
      </c>
      <c r="B8686" t="s">
        <v>16</v>
      </c>
      <c r="C8686" t="s">
        <v>9</v>
      </c>
      <c r="D8686">
        <v>42</v>
      </c>
      <c r="E8686" s="2">
        <v>2.6157407407407407E-2</v>
      </c>
      <c r="F8686">
        <v>37.666666666666664</v>
      </c>
    </row>
    <row r="8687" spans="1:6" x14ac:dyDescent="0.25">
      <c r="A8687" s="1">
        <v>41487</v>
      </c>
      <c r="B8687" t="s">
        <v>16</v>
      </c>
      <c r="C8687" t="s">
        <v>10</v>
      </c>
      <c r="D8687">
        <v>5</v>
      </c>
      <c r="E8687" s="2">
        <v>6.053240740740741E-3</v>
      </c>
      <c r="F8687">
        <v>8.7166666666666668</v>
      </c>
    </row>
    <row r="8688" spans="1:6" x14ac:dyDescent="0.25">
      <c r="A8688" s="1">
        <v>41487</v>
      </c>
      <c r="B8688" t="s">
        <v>16</v>
      </c>
      <c r="C8688" t="s">
        <v>11</v>
      </c>
      <c r="D8688">
        <v>53</v>
      </c>
      <c r="E8688" s="2">
        <v>4.400462962962963E-2</v>
      </c>
      <c r="F8688">
        <v>63.366666666666667</v>
      </c>
    </row>
    <row r="8689" spans="1:6" x14ac:dyDescent="0.25">
      <c r="A8689" s="1">
        <v>41487</v>
      </c>
      <c r="B8689" t="s">
        <v>17</v>
      </c>
      <c r="C8689" t="s">
        <v>6</v>
      </c>
      <c r="D8689">
        <v>8</v>
      </c>
      <c r="E8689" s="2">
        <v>5.8564814814814816E-3</v>
      </c>
      <c r="F8689">
        <v>8.4333333333333336</v>
      </c>
    </row>
    <row r="8690" spans="1:6" x14ac:dyDescent="0.25">
      <c r="A8690" s="1">
        <v>41487</v>
      </c>
      <c r="B8690" t="s">
        <v>17</v>
      </c>
      <c r="C8690" t="s">
        <v>7</v>
      </c>
      <c r="D8690">
        <v>4</v>
      </c>
      <c r="E8690" s="2">
        <v>2.7083333333333334E-3</v>
      </c>
      <c r="F8690">
        <v>3.9</v>
      </c>
    </row>
    <row r="8691" spans="1:6" x14ac:dyDescent="0.25">
      <c r="A8691" s="1">
        <v>41487</v>
      </c>
      <c r="B8691" t="s">
        <v>17</v>
      </c>
      <c r="C8691" t="s">
        <v>8</v>
      </c>
      <c r="D8691">
        <v>5</v>
      </c>
      <c r="E8691" s="2">
        <v>5.4050925925925924E-3</v>
      </c>
      <c r="F8691">
        <v>7.7833333333333332</v>
      </c>
    </row>
    <row r="8692" spans="1:6" x14ac:dyDescent="0.25">
      <c r="A8692" s="1">
        <v>41487</v>
      </c>
      <c r="B8692" t="s">
        <v>17</v>
      </c>
      <c r="C8692" t="s">
        <v>9</v>
      </c>
      <c r="D8692">
        <v>5</v>
      </c>
      <c r="E8692" s="2">
        <v>3.6921296296296298E-3</v>
      </c>
      <c r="F8692">
        <v>5.3166666666666664</v>
      </c>
    </row>
    <row r="8693" spans="1:6" x14ac:dyDescent="0.25">
      <c r="A8693" s="1">
        <v>41487</v>
      </c>
      <c r="B8693" t="s">
        <v>17</v>
      </c>
      <c r="C8693" t="s">
        <v>10</v>
      </c>
      <c r="D8693">
        <v>6</v>
      </c>
      <c r="E8693" s="2">
        <v>7.037037037037037E-3</v>
      </c>
      <c r="F8693">
        <v>10.133333333333333</v>
      </c>
    </row>
    <row r="8694" spans="1:6" x14ac:dyDescent="0.25">
      <c r="A8694" s="1">
        <v>41487</v>
      </c>
      <c r="B8694" t="s">
        <v>17</v>
      </c>
      <c r="C8694" t="s">
        <v>11</v>
      </c>
      <c r="D8694">
        <v>2</v>
      </c>
      <c r="E8694" s="2">
        <v>1.5277777777777779E-3</v>
      </c>
      <c r="F8694">
        <v>2.2000000000000002</v>
      </c>
    </row>
    <row r="8695" spans="1:6" x14ac:dyDescent="0.25">
      <c r="A8695" s="1">
        <v>41487</v>
      </c>
      <c r="B8695" t="s">
        <v>18</v>
      </c>
      <c r="C8695" t="s">
        <v>6</v>
      </c>
      <c r="D8695">
        <v>59</v>
      </c>
      <c r="E8695" s="2">
        <v>6.1342592592592594E-2</v>
      </c>
      <c r="F8695">
        <v>88.333333333333329</v>
      </c>
    </row>
    <row r="8696" spans="1:6" x14ac:dyDescent="0.25">
      <c r="A8696" s="1">
        <v>41487</v>
      </c>
      <c r="B8696" t="s">
        <v>18</v>
      </c>
      <c r="C8696" t="s">
        <v>7</v>
      </c>
      <c r="D8696">
        <v>102</v>
      </c>
      <c r="E8696" s="2">
        <v>8.7071759259259265E-2</v>
      </c>
      <c r="F8696">
        <v>125.38333333333334</v>
      </c>
    </row>
    <row r="8697" spans="1:6" x14ac:dyDescent="0.25">
      <c r="A8697" s="1">
        <v>41487</v>
      </c>
      <c r="B8697" t="s">
        <v>18</v>
      </c>
      <c r="C8697" t="s">
        <v>8</v>
      </c>
      <c r="D8697">
        <v>47</v>
      </c>
      <c r="E8697" s="2">
        <v>4.0254629629629626E-2</v>
      </c>
      <c r="F8697">
        <v>57.966666666666669</v>
      </c>
    </row>
    <row r="8698" spans="1:6" x14ac:dyDescent="0.25">
      <c r="A8698" s="1">
        <v>41487</v>
      </c>
      <c r="B8698" t="s">
        <v>18</v>
      </c>
      <c r="C8698" t="s">
        <v>9</v>
      </c>
      <c r="D8698">
        <v>63</v>
      </c>
      <c r="E8698" s="2">
        <v>4.7256944444444442E-2</v>
      </c>
      <c r="F8698">
        <v>68.05</v>
      </c>
    </row>
    <row r="8699" spans="1:6" x14ac:dyDescent="0.25">
      <c r="A8699" s="1">
        <v>41487</v>
      </c>
      <c r="B8699" t="s">
        <v>18</v>
      </c>
      <c r="C8699" t="s">
        <v>10</v>
      </c>
      <c r="D8699">
        <v>110</v>
      </c>
      <c r="E8699" s="2">
        <v>0.13400462962962964</v>
      </c>
      <c r="F8699">
        <v>192.96666666666667</v>
      </c>
    </row>
    <row r="8700" spans="1:6" x14ac:dyDescent="0.25">
      <c r="A8700" s="1">
        <v>41487</v>
      </c>
      <c r="B8700" t="s">
        <v>18</v>
      </c>
      <c r="C8700" t="s">
        <v>11</v>
      </c>
      <c r="D8700">
        <v>53</v>
      </c>
      <c r="E8700" s="2">
        <v>4.6435185185185184E-2</v>
      </c>
      <c r="F8700">
        <v>66.86666666666666</v>
      </c>
    </row>
    <row r="8701" spans="1:6" x14ac:dyDescent="0.25">
      <c r="A8701" s="1">
        <v>41487</v>
      </c>
      <c r="B8701" t="s">
        <v>19</v>
      </c>
      <c r="C8701" t="s">
        <v>6</v>
      </c>
      <c r="D8701">
        <v>17</v>
      </c>
      <c r="E8701" s="2">
        <v>1.607638888888889E-2</v>
      </c>
      <c r="F8701">
        <v>23.15</v>
      </c>
    </row>
    <row r="8702" spans="1:6" x14ac:dyDescent="0.25">
      <c r="A8702" s="1">
        <v>41487</v>
      </c>
      <c r="B8702" t="s">
        <v>19</v>
      </c>
      <c r="C8702" t="s">
        <v>7</v>
      </c>
      <c r="D8702">
        <v>27</v>
      </c>
      <c r="E8702" s="2">
        <v>2.9641203703703704E-2</v>
      </c>
      <c r="F8702">
        <v>42.68333333333333</v>
      </c>
    </row>
    <row r="8703" spans="1:6" x14ac:dyDescent="0.25">
      <c r="A8703" s="1">
        <v>41487</v>
      </c>
      <c r="B8703" t="s">
        <v>19</v>
      </c>
      <c r="C8703" t="s">
        <v>8</v>
      </c>
      <c r="D8703">
        <v>20</v>
      </c>
      <c r="E8703" s="2">
        <v>2.2314814814814815E-2</v>
      </c>
      <c r="F8703">
        <v>32.133333333333333</v>
      </c>
    </row>
    <row r="8704" spans="1:6" x14ac:dyDescent="0.25">
      <c r="A8704" s="1">
        <v>41487</v>
      </c>
      <c r="B8704" t="s">
        <v>19</v>
      </c>
      <c r="C8704" t="s">
        <v>9</v>
      </c>
      <c r="D8704">
        <v>21</v>
      </c>
      <c r="E8704" s="2">
        <v>1.3645833333333333E-2</v>
      </c>
      <c r="F8704">
        <v>19.649999999999999</v>
      </c>
    </row>
    <row r="8705" spans="1:6" x14ac:dyDescent="0.25">
      <c r="A8705" s="1">
        <v>41487</v>
      </c>
      <c r="B8705" t="s">
        <v>19</v>
      </c>
      <c r="C8705" t="s">
        <v>10</v>
      </c>
      <c r="D8705">
        <v>19</v>
      </c>
      <c r="E8705" s="2">
        <v>2.1851851851851851E-2</v>
      </c>
      <c r="F8705">
        <v>31.466666666666665</v>
      </c>
    </row>
    <row r="8706" spans="1:6" x14ac:dyDescent="0.25">
      <c r="A8706" s="1">
        <v>41487</v>
      </c>
      <c r="B8706" t="s">
        <v>19</v>
      </c>
      <c r="C8706" t="s">
        <v>11</v>
      </c>
      <c r="D8706">
        <v>23</v>
      </c>
      <c r="E8706" s="2">
        <v>1.9432870370370371E-2</v>
      </c>
      <c r="F8706">
        <v>27.983333333333334</v>
      </c>
    </row>
    <row r="8707" spans="1:6" x14ac:dyDescent="0.25">
      <c r="A8707" s="1">
        <v>41487</v>
      </c>
      <c r="B8707" t="s">
        <v>20</v>
      </c>
      <c r="C8707" t="s">
        <v>6</v>
      </c>
      <c r="D8707">
        <v>23</v>
      </c>
      <c r="E8707" s="2">
        <v>2.5347222222222222E-2</v>
      </c>
      <c r="F8707">
        <v>36.5</v>
      </c>
    </row>
    <row r="8708" spans="1:6" x14ac:dyDescent="0.25">
      <c r="A8708" s="1">
        <v>41487</v>
      </c>
      <c r="B8708" t="s">
        <v>20</v>
      </c>
      <c r="C8708" t="s">
        <v>7</v>
      </c>
      <c r="D8708">
        <v>29</v>
      </c>
      <c r="E8708" s="2">
        <v>2.5844907407407407E-2</v>
      </c>
      <c r="F8708">
        <v>37.216666666666669</v>
      </c>
    </row>
    <row r="8709" spans="1:6" x14ac:dyDescent="0.25">
      <c r="A8709" s="1">
        <v>41487</v>
      </c>
      <c r="B8709" t="s">
        <v>20</v>
      </c>
      <c r="C8709" t="s">
        <v>8</v>
      </c>
      <c r="D8709">
        <v>23</v>
      </c>
      <c r="E8709" s="2">
        <v>2.4155092592592593E-2</v>
      </c>
      <c r="F8709">
        <v>34.783333333333331</v>
      </c>
    </row>
    <row r="8710" spans="1:6" x14ac:dyDescent="0.25">
      <c r="A8710" s="1">
        <v>41487</v>
      </c>
      <c r="B8710" t="s">
        <v>20</v>
      </c>
      <c r="C8710" t="s">
        <v>9</v>
      </c>
      <c r="D8710">
        <v>12</v>
      </c>
      <c r="E8710" s="2">
        <v>9.0162037037037034E-3</v>
      </c>
      <c r="F8710">
        <v>12.983333333333333</v>
      </c>
    </row>
    <row r="8711" spans="1:6" x14ac:dyDescent="0.25">
      <c r="A8711" s="1">
        <v>41487</v>
      </c>
      <c r="B8711" t="s">
        <v>20</v>
      </c>
      <c r="C8711" t="s">
        <v>10</v>
      </c>
      <c r="D8711">
        <v>3</v>
      </c>
      <c r="E8711" s="2">
        <v>3.7268518518518519E-3</v>
      </c>
      <c r="F8711">
        <v>5.3666666666666663</v>
      </c>
    </row>
    <row r="8712" spans="1:6" x14ac:dyDescent="0.25">
      <c r="A8712" s="1">
        <v>41487</v>
      </c>
      <c r="B8712" t="s">
        <v>20</v>
      </c>
      <c r="C8712" t="s">
        <v>11</v>
      </c>
      <c r="D8712">
        <v>25</v>
      </c>
      <c r="E8712" s="2">
        <v>1.7453703703703704E-2</v>
      </c>
      <c r="F8712">
        <v>25.133333333333333</v>
      </c>
    </row>
    <row r="8713" spans="1:6" x14ac:dyDescent="0.25">
      <c r="A8713" s="1">
        <v>41487</v>
      </c>
      <c r="B8713" t="s">
        <v>21</v>
      </c>
      <c r="C8713" t="s">
        <v>6</v>
      </c>
      <c r="D8713">
        <v>13</v>
      </c>
      <c r="E8713" s="2">
        <v>1.818287037037037E-2</v>
      </c>
      <c r="F8713">
        <v>26.183333333333334</v>
      </c>
    </row>
    <row r="8714" spans="1:6" x14ac:dyDescent="0.25">
      <c r="A8714" s="1">
        <v>41487</v>
      </c>
      <c r="B8714" t="s">
        <v>21</v>
      </c>
      <c r="C8714" t="s">
        <v>7</v>
      </c>
      <c r="D8714">
        <v>6</v>
      </c>
      <c r="E8714" s="2">
        <v>8.7384259259259255E-3</v>
      </c>
      <c r="F8714">
        <v>12.583333333333334</v>
      </c>
    </row>
    <row r="8715" spans="1:6" x14ac:dyDescent="0.25">
      <c r="A8715" s="1">
        <v>41487</v>
      </c>
      <c r="B8715" t="s">
        <v>21</v>
      </c>
      <c r="C8715" t="s">
        <v>8</v>
      </c>
      <c r="D8715">
        <v>17</v>
      </c>
      <c r="E8715" s="2">
        <v>2.2569444444444444E-2</v>
      </c>
      <c r="F8715">
        <v>32.5</v>
      </c>
    </row>
    <row r="8716" spans="1:6" x14ac:dyDescent="0.25">
      <c r="A8716" s="1">
        <v>41487</v>
      </c>
      <c r="B8716" t="s">
        <v>21</v>
      </c>
      <c r="C8716" t="s">
        <v>9</v>
      </c>
      <c r="D8716">
        <v>5</v>
      </c>
      <c r="E8716" s="2">
        <v>3.5532407407407409E-3</v>
      </c>
      <c r="F8716">
        <v>5.1166666666666663</v>
      </c>
    </row>
    <row r="8717" spans="1:6" x14ac:dyDescent="0.25">
      <c r="A8717" s="1">
        <v>41487</v>
      </c>
      <c r="B8717" t="s">
        <v>21</v>
      </c>
      <c r="C8717" t="s">
        <v>10</v>
      </c>
      <c r="D8717">
        <v>7</v>
      </c>
      <c r="E8717" s="2">
        <v>1.0127314814814815E-2</v>
      </c>
      <c r="F8717">
        <v>14.583333333333334</v>
      </c>
    </row>
    <row r="8718" spans="1:6" x14ac:dyDescent="0.25">
      <c r="A8718" s="1">
        <v>41487</v>
      </c>
      <c r="B8718" t="s">
        <v>21</v>
      </c>
      <c r="C8718" t="s">
        <v>11</v>
      </c>
      <c r="D8718">
        <v>10</v>
      </c>
      <c r="E8718" s="2">
        <v>1.1006944444444444E-2</v>
      </c>
      <c r="F8718">
        <v>15.85</v>
      </c>
    </row>
    <row r="8719" spans="1:6" x14ac:dyDescent="0.25">
      <c r="A8719" s="1">
        <v>41487</v>
      </c>
      <c r="B8719" t="s">
        <v>22</v>
      </c>
      <c r="C8719" t="s">
        <v>6</v>
      </c>
      <c r="D8719">
        <v>17</v>
      </c>
      <c r="E8719" s="2">
        <v>2.1307870370370369E-2</v>
      </c>
      <c r="F8719">
        <v>30.683333333333334</v>
      </c>
    </row>
    <row r="8720" spans="1:6" x14ac:dyDescent="0.25">
      <c r="A8720" s="1">
        <v>41487</v>
      </c>
      <c r="B8720" t="s">
        <v>22</v>
      </c>
      <c r="C8720" t="s">
        <v>7</v>
      </c>
      <c r="D8720">
        <v>19</v>
      </c>
      <c r="E8720" s="2">
        <v>2.5115740740740741E-2</v>
      </c>
      <c r="F8720">
        <v>36.166666666666664</v>
      </c>
    </row>
    <row r="8721" spans="1:6" x14ac:dyDescent="0.25">
      <c r="A8721" s="1">
        <v>41487</v>
      </c>
      <c r="B8721" t="s">
        <v>22</v>
      </c>
      <c r="C8721" t="s">
        <v>8</v>
      </c>
      <c r="D8721">
        <v>10</v>
      </c>
      <c r="E8721" s="2">
        <v>1.4363425925925925E-2</v>
      </c>
      <c r="F8721">
        <v>20.683333333333334</v>
      </c>
    </row>
    <row r="8722" spans="1:6" x14ac:dyDescent="0.25">
      <c r="A8722" s="1">
        <v>41487</v>
      </c>
      <c r="B8722" t="s">
        <v>22</v>
      </c>
      <c r="C8722" t="s">
        <v>9</v>
      </c>
      <c r="D8722">
        <v>4</v>
      </c>
      <c r="E8722" s="2">
        <v>2.7777777777777779E-3</v>
      </c>
      <c r="F8722">
        <v>4</v>
      </c>
    </row>
    <row r="8723" spans="1:6" x14ac:dyDescent="0.25">
      <c r="A8723" s="1">
        <v>41487</v>
      </c>
      <c r="B8723" t="s">
        <v>22</v>
      </c>
      <c r="C8723" t="s">
        <v>10</v>
      </c>
      <c r="D8723">
        <v>1</v>
      </c>
      <c r="E8723" s="2">
        <v>1.261574074074074E-3</v>
      </c>
      <c r="F8723">
        <v>1.8166666666666667</v>
      </c>
    </row>
    <row r="8724" spans="1:6" x14ac:dyDescent="0.25">
      <c r="A8724" s="1">
        <v>41487</v>
      </c>
      <c r="B8724" t="s">
        <v>22</v>
      </c>
      <c r="C8724" t="s">
        <v>11</v>
      </c>
      <c r="D8724">
        <v>10</v>
      </c>
      <c r="E8724" s="2">
        <v>9.3055555555555548E-3</v>
      </c>
      <c r="F8724">
        <v>13.4</v>
      </c>
    </row>
    <row r="8725" spans="1:6" x14ac:dyDescent="0.25">
      <c r="A8725" s="1">
        <v>41487</v>
      </c>
      <c r="B8725" t="s">
        <v>23</v>
      </c>
      <c r="C8725" t="s">
        <v>6</v>
      </c>
      <c r="D8725">
        <v>96</v>
      </c>
      <c r="E8725" s="2">
        <v>0.11950231481481481</v>
      </c>
      <c r="F8725">
        <v>172.08333333333334</v>
      </c>
    </row>
    <row r="8726" spans="1:6" x14ac:dyDescent="0.25">
      <c r="A8726" s="1">
        <v>41487</v>
      </c>
      <c r="B8726" t="s">
        <v>23</v>
      </c>
      <c r="C8726" t="s">
        <v>7</v>
      </c>
      <c r="D8726">
        <v>142</v>
      </c>
      <c r="E8726" s="2">
        <v>0.17871527777777776</v>
      </c>
      <c r="F8726">
        <v>257.35000000000002</v>
      </c>
    </row>
    <row r="8727" spans="1:6" x14ac:dyDescent="0.25">
      <c r="A8727" s="1">
        <v>41487</v>
      </c>
      <c r="B8727" t="s">
        <v>23</v>
      </c>
      <c r="C8727" t="s">
        <v>8</v>
      </c>
      <c r="D8727">
        <v>58</v>
      </c>
      <c r="E8727" s="2">
        <v>6.564814814814815E-2</v>
      </c>
      <c r="F8727">
        <v>94.533333333333331</v>
      </c>
    </row>
    <row r="8728" spans="1:6" x14ac:dyDescent="0.25">
      <c r="A8728" s="1">
        <v>41487</v>
      </c>
      <c r="B8728" t="s">
        <v>23</v>
      </c>
      <c r="C8728" t="s">
        <v>9</v>
      </c>
      <c r="D8728">
        <v>63</v>
      </c>
      <c r="E8728" s="2">
        <v>4.7500000000000001E-2</v>
      </c>
      <c r="F8728">
        <v>68.400000000000006</v>
      </c>
    </row>
    <row r="8729" spans="1:6" x14ac:dyDescent="0.25">
      <c r="A8729" s="1">
        <v>41487</v>
      </c>
      <c r="B8729" t="s">
        <v>23</v>
      </c>
      <c r="C8729" t="s">
        <v>10</v>
      </c>
      <c r="D8729">
        <v>19</v>
      </c>
      <c r="E8729" s="2">
        <v>3.138888888888889E-2</v>
      </c>
      <c r="F8729">
        <v>45.2</v>
      </c>
    </row>
    <row r="8730" spans="1:6" x14ac:dyDescent="0.25">
      <c r="A8730" s="1">
        <v>41487</v>
      </c>
      <c r="B8730" t="s">
        <v>23</v>
      </c>
      <c r="C8730" t="s">
        <v>11</v>
      </c>
      <c r="D8730">
        <v>88</v>
      </c>
      <c r="E8730" s="2">
        <v>8.0891203703703701E-2</v>
      </c>
      <c r="F8730">
        <v>116.48333333333333</v>
      </c>
    </row>
    <row r="8731" spans="1:6" x14ac:dyDescent="0.25">
      <c r="A8731" s="1">
        <v>41487</v>
      </c>
      <c r="B8731" t="s">
        <v>24</v>
      </c>
      <c r="C8731" t="s">
        <v>6</v>
      </c>
      <c r="D8731">
        <v>44</v>
      </c>
      <c r="E8731" s="2">
        <v>4.4386574074074071E-2</v>
      </c>
      <c r="F8731">
        <v>63.916666666666664</v>
      </c>
    </row>
    <row r="8732" spans="1:6" x14ac:dyDescent="0.25">
      <c r="A8732" s="1">
        <v>41487</v>
      </c>
      <c r="B8732" t="s">
        <v>24</v>
      </c>
      <c r="C8732" t="s">
        <v>7</v>
      </c>
      <c r="D8732">
        <v>52</v>
      </c>
      <c r="E8732" s="2">
        <v>3.8819444444444441E-2</v>
      </c>
      <c r="F8732">
        <v>55.9</v>
      </c>
    </row>
    <row r="8733" spans="1:6" x14ac:dyDescent="0.25">
      <c r="A8733" s="1">
        <v>41487</v>
      </c>
      <c r="B8733" t="s">
        <v>24</v>
      </c>
      <c r="C8733" t="s">
        <v>8</v>
      </c>
      <c r="D8733">
        <v>24</v>
      </c>
      <c r="E8733" s="2">
        <v>2.150462962962963E-2</v>
      </c>
      <c r="F8733">
        <v>30.966666666666665</v>
      </c>
    </row>
    <row r="8734" spans="1:6" x14ac:dyDescent="0.25">
      <c r="A8734" s="1">
        <v>41487</v>
      </c>
      <c r="B8734" t="s">
        <v>24</v>
      </c>
      <c r="C8734" t="s">
        <v>9</v>
      </c>
      <c r="D8734">
        <v>21</v>
      </c>
      <c r="E8734" s="2">
        <v>1.4722222222222222E-2</v>
      </c>
      <c r="F8734">
        <v>21.2</v>
      </c>
    </row>
    <row r="8735" spans="1:6" x14ac:dyDescent="0.25">
      <c r="A8735" s="1">
        <v>41487</v>
      </c>
      <c r="B8735" t="s">
        <v>24</v>
      </c>
      <c r="C8735" t="s">
        <v>10</v>
      </c>
      <c r="D8735">
        <v>1</v>
      </c>
      <c r="E8735" s="2">
        <v>1.5393518518518519E-3</v>
      </c>
      <c r="F8735">
        <v>2.2166666666666668</v>
      </c>
    </row>
    <row r="8736" spans="1:6" x14ac:dyDescent="0.25">
      <c r="A8736" s="1">
        <v>41487</v>
      </c>
      <c r="B8736" t="s">
        <v>24</v>
      </c>
      <c r="C8736" t="s">
        <v>11</v>
      </c>
      <c r="D8736">
        <v>21</v>
      </c>
      <c r="E8736" s="2">
        <v>1.5069444444444444E-2</v>
      </c>
      <c r="F8736">
        <v>21.7</v>
      </c>
    </row>
    <row r="8737" spans="1:6" x14ac:dyDescent="0.25">
      <c r="A8737" s="1">
        <v>41518</v>
      </c>
      <c r="B8737" t="s">
        <v>5</v>
      </c>
      <c r="C8737" t="s">
        <v>6</v>
      </c>
      <c r="D8737">
        <v>16</v>
      </c>
      <c r="E8737" s="2">
        <v>1.5833333333333335E-2</v>
      </c>
      <c r="F8737">
        <v>22.8</v>
      </c>
    </row>
    <row r="8738" spans="1:6" x14ac:dyDescent="0.25">
      <c r="A8738" s="1">
        <v>41518</v>
      </c>
      <c r="B8738" t="s">
        <v>5</v>
      </c>
      <c r="C8738" t="s">
        <v>7</v>
      </c>
      <c r="D8738">
        <v>30</v>
      </c>
      <c r="E8738" s="2">
        <v>2.1817129629629631E-2</v>
      </c>
      <c r="F8738">
        <v>31.416666666666668</v>
      </c>
    </row>
    <row r="8739" spans="1:6" x14ac:dyDescent="0.25">
      <c r="A8739" s="1">
        <v>41518</v>
      </c>
      <c r="B8739" t="s">
        <v>5</v>
      </c>
      <c r="C8739" t="s">
        <v>8</v>
      </c>
      <c r="D8739">
        <v>17</v>
      </c>
      <c r="E8739" s="2">
        <v>1.4548611111111111E-2</v>
      </c>
      <c r="F8739">
        <v>20.95</v>
      </c>
    </row>
    <row r="8740" spans="1:6" x14ac:dyDescent="0.25">
      <c r="A8740" s="1">
        <v>41518</v>
      </c>
      <c r="B8740" t="s">
        <v>5</v>
      </c>
      <c r="C8740" t="s">
        <v>9</v>
      </c>
      <c r="D8740">
        <v>12</v>
      </c>
      <c r="E8740" s="2">
        <v>7.743055555555556E-3</v>
      </c>
      <c r="F8740">
        <v>11.15</v>
      </c>
    </row>
    <row r="8741" spans="1:6" x14ac:dyDescent="0.25">
      <c r="A8741" s="1">
        <v>41518</v>
      </c>
      <c r="B8741" t="s">
        <v>5</v>
      </c>
      <c r="C8741" t="s">
        <v>10</v>
      </c>
      <c r="D8741">
        <v>3</v>
      </c>
      <c r="E8741" s="2">
        <v>3.5763888888888889E-3</v>
      </c>
      <c r="F8741">
        <v>5.15</v>
      </c>
    </row>
    <row r="8742" spans="1:6" x14ac:dyDescent="0.25">
      <c r="A8742" s="1">
        <v>41518</v>
      </c>
      <c r="B8742" t="s">
        <v>5</v>
      </c>
      <c r="C8742" t="s">
        <v>11</v>
      </c>
      <c r="D8742">
        <v>19</v>
      </c>
      <c r="E8742" s="2">
        <v>1.6840277777777777E-2</v>
      </c>
      <c r="F8742">
        <v>24.25</v>
      </c>
    </row>
    <row r="8743" spans="1:6" x14ac:dyDescent="0.25">
      <c r="A8743" s="1">
        <v>41518</v>
      </c>
      <c r="B8743" t="s">
        <v>12</v>
      </c>
      <c r="C8743" t="s">
        <v>6</v>
      </c>
      <c r="D8743">
        <v>56</v>
      </c>
      <c r="E8743" s="2">
        <v>7.2766203703703708E-2</v>
      </c>
      <c r="F8743">
        <v>104.78333333333333</v>
      </c>
    </row>
    <row r="8744" spans="1:6" x14ac:dyDescent="0.25">
      <c r="A8744" s="1">
        <v>41518</v>
      </c>
      <c r="B8744" t="s">
        <v>12</v>
      </c>
      <c r="C8744" t="s">
        <v>7</v>
      </c>
      <c r="D8744">
        <v>35</v>
      </c>
      <c r="E8744" s="2">
        <v>8.1111111111111106E-2</v>
      </c>
      <c r="F8744">
        <v>116.8</v>
      </c>
    </row>
    <row r="8745" spans="1:6" x14ac:dyDescent="0.25">
      <c r="A8745" s="1">
        <v>41518</v>
      </c>
      <c r="B8745" t="s">
        <v>12</v>
      </c>
      <c r="C8745" t="s">
        <v>8</v>
      </c>
      <c r="D8745">
        <v>32</v>
      </c>
      <c r="E8745" s="2">
        <v>4.3888888888888887E-2</v>
      </c>
      <c r="F8745">
        <v>63.2</v>
      </c>
    </row>
    <row r="8746" spans="1:6" x14ac:dyDescent="0.25">
      <c r="A8746" s="1">
        <v>41518</v>
      </c>
      <c r="B8746" t="s">
        <v>12</v>
      </c>
      <c r="C8746" t="s">
        <v>9</v>
      </c>
      <c r="D8746">
        <v>7</v>
      </c>
      <c r="E8746" s="2">
        <v>7.060185185185185E-3</v>
      </c>
      <c r="F8746">
        <v>10.166666666666666</v>
      </c>
    </row>
    <row r="8747" spans="1:6" x14ac:dyDescent="0.25">
      <c r="A8747" s="1">
        <v>41518</v>
      </c>
      <c r="B8747" t="s">
        <v>12</v>
      </c>
      <c r="C8747" t="s">
        <v>10</v>
      </c>
      <c r="D8747">
        <v>27</v>
      </c>
      <c r="E8747" s="2">
        <v>5.2939814814814815E-2</v>
      </c>
      <c r="F8747">
        <v>76.233333333333334</v>
      </c>
    </row>
    <row r="8748" spans="1:6" x14ac:dyDescent="0.25">
      <c r="A8748" s="1">
        <v>41518</v>
      </c>
      <c r="B8748" t="s">
        <v>12</v>
      </c>
      <c r="C8748" t="s">
        <v>11</v>
      </c>
      <c r="D8748">
        <v>43</v>
      </c>
      <c r="E8748" s="2">
        <v>4.9201388888888892E-2</v>
      </c>
      <c r="F8748">
        <v>70.849999999999994</v>
      </c>
    </row>
    <row r="8749" spans="1:6" x14ac:dyDescent="0.25">
      <c r="A8749" s="1">
        <v>41518</v>
      </c>
      <c r="B8749" t="s">
        <v>13</v>
      </c>
      <c r="C8749" t="s">
        <v>6</v>
      </c>
      <c r="D8749">
        <v>53</v>
      </c>
      <c r="E8749" s="2">
        <v>7.1643518518518523E-2</v>
      </c>
      <c r="F8749">
        <v>103.16666666666667</v>
      </c>
    </row>
    <row r="8750" spans="1:6" x14ac:dyDescent="0.25">
      <c r="A8750" s="1">
        <v>41518</v>
      </c>
      <c r="B8750" t="s">
        <v>13</v>
      </c>
      <c r="C8750" t="s">
        <v>7</v>
      </c>
      <c r="D8750">
        <v>74</v>
      </c>
      <c r="E8750" s="2">
        <v>0.11329861111111111</v>
      </c>
      <c r="F8750">
        <v>163.15</v>
      </c>
    </row>
    <row r="8751" spans="1:6" x14ac:dyDescent="0.25">
      <c r="A8751" s="1">
        <v>41518</v>
      </c>
      <c r="B8751" t="s">
        <v>13</v>
      </c>
      <c r="C8751" t="s">
        <v>8</v>
      </c>
      <c r="D8751">
        <v>42</v>
      </c>
      <c r="E8751" s="2">
        <v>5.167824074074074E-2</v>
      </c>
      <c r="F8751">
        <v>74.416666666666671</v>
      </c>
    </row>
    <row r="8752" spans="1:6" x14ac:dyDescent="0.25">
      <c r="A8752" s="1">
        <v>41518</v>
      </c>
      <c r="B8752" t="s">
        <v>13</v>
      </c>
      <c r="C8752" t="s">
        <v>9</v>
      </c>
      <c r="D8752">
        <v>34</v>
      </c>
      <c r="E8752" s="2">
        <v>2.6215277777777778E-2</v>
      </c>
      <c r="F8752">
        <v>37.75</v>
      </c>
    </row>
    <row r="8753" spans="1:6" x14ac:dyDescent="0.25">
      <c r="A8753" s="1">
        <v>41518</v>
      </c>
      <c r="B8753" t="s">
        <v>13</v>
      </c>
      <c r="C8753" t="s">
        <v>10</v>
      </c>
      <c r="D8753">
        <v>16</v>
      </c>
      <c r="E8753" s="2">
        <v>2.6817129629629628E-2</v>
      </c>
      <c r="F8753">
        <v>38.616666666666667</v>
      </c>
    </row>
    <row r="8754" spans="1:6" x14ac:dyDescent="0.25">
      <c r="A8754" s="1">
        <v>41518</v>
      </c>
      <c r="B8754" t="s">
        <v>13</v>
      </c>
      <c r="C8754" t="s">
        <v>11</v>
      </c>
      <c r="D8754">
        <v>27</v>
      </c>
      <c r="E8754" s="2">
        <v>3.1458333333333331E-2</v>
      </c>
      <c r="F8754">
        <v>45.3</v>
      </c>
    </row>
    <row r="8755" spans="1:6" x14ac:dyDescent="0.25">
      <c r="A8755" s="1">
        <v>41518</v>
      </c>
      <c r="B8755" t="s">
        <v>14</v>
      </c>
      <c r="C8755" t="s">
        <v>6</v>
      </c>
      <c r="D8755">
        <v>21</v>
      </c>
      <c r="E8755" s="2">
        <v>2.9351851851851851E-2</v>
      </c>
      <c r="F8755">
        <v>42.266666666666666</v>
      </c>
    </row>
    <row r="8756" spans="1:6" x14ac:dyDescent="0.25">
      <c r="A8756" s="1">
        <v>41518</v>
      </c>
      <c r="B8756" t="s">
        <v>14</v>
      </c>
      <c r="C8756" t="s">
        <v>7</v>
      </c>
      <c r="D8756">
        <v>30</v>
      </c>
      <c r="E8756" s="2">
        <v>5.185185185185185E-2</v>
      </c>
      <c r="F8756">
        <v>74.666666666666671</v>
      </c>
    </row>
    <row r="8757" spans="1:6" x14ac:dyDescent="0.25">
      <c r="A8757" s="1">
        <v>41518</v>
      </c>
      <c r="B8757" t="s">
        <v>14</v>
      </c>
      <c r="C8757" t="s">
        <v>8</v>
      </c>
      <c r="D8757">
        <v>10</v>
      </c>
      <c r="E8757" s="2">
        <v>1.5104166666666667E-2</v>
      </c>
      <c r="F8757">
        <v>21.75</v>
      </c>
    </row>
    <row r="8758" spans="1:6" x14ac:dyDescent="0.25">
      <c r="A8758" s="1">
        <v>41518</v>
      </c>
      <c r="B8758" t="s">
        <v>14</v>
      </c>
      <c r="C8758" t="s">
        <v>9</v>
      </c>
      <c r="D8758">
        <v>8</v>
      </c>
      <c r="E8758" s="2">
        <v>5.9953703703703705E-3</v>
      </c>
      <c r="F8758">
        <v>8.6333333333333329</v>
      </c>
    </row>
    <row r="8759" spans="1:6" x14ac:dyDescent="0.25">
      <c r="A8759" s="1">
        <v>41518</v>
      </c>
      <c r="B8759" t="s">
        <v>14</v>
      </c>
      <c r="C8759" t="s">
        <v>10</v>
      </c>
      <c r="D8759">
        <v>2</v>
      </c>
      <c r="E8759" s="2">
        <v>2.4421296296296296E-3</v>
      </c>
      <c r="F8759">
        <v>3.5166666666666666</v>
      </c>
    </row>
    <row r="8760" spans="1:6" x14ac:dyDescent="0.25">
      <c r="A8760" s="1">
        <v>41518</v>
      </c>
      <c r="B8760" t="s">
        <v>14</v>
      </c>
      <c r="C8760" t="s">
        <v>11</v>
      </c>
      <c r="D8760">
        <v>19</v>
      </c>
      <c r="E8760" s="2">
        <v>2.0335648148148148E-2</v>
      </c>
      <c r="F8760">
        <v>29.283333333333335</v>
      </c>
    </row>
    <row r="8761" spans="1:6" x14ac:dyDescent="0.25">
      <c r="A8761" s="1">
        <v>41518</v>
      </c>
      <c r="B8761" t="s">
        <v>15</v>
      </c>
      <c r="C8761" t="s">
        <v>6</v>
      </c>
      <c r="D8761">
        <v>23</v>
      </c>
      <c r="E8761" s="2">
        <v>2.8101851851851854E-2</v>
      </c>
      <c r="F8761">
        <v>40.466666666666669</v>
      </c>
    </row>
    <row r="8762" spans="1:6" x14ac:dyDescent="0.25">
      <c r="A8762" s="1">
        <v>41518</v>
      </c>
      <c r="B8762" t="s">
        <v>15</v>
      </c>
      <c r="C8762" t="s">
        <v>7</v>
      </c>
      <c r="D8762">
        <v>39</v>
      </c>
      <c r="E8762" s="2">
        <v>3.6886574074074072E-2</v>
      </c>
      <c r="F8762">
        <v>53.116666666666667</v>
      </c>
    </row>
    <row r="8763" spans="1:6" x14ac:dyDescent="0.25">
      <c r="A8763" s="1">
        <v>41518</v>
      </c>
      <c r="B8763" t="s">
        <v>15</v>
      </c>
      <c r="C8763" t="s">
        <v>8</v>
      </c>
      <c r="D8763">
        <v>22</v>
      </c>
      <c r="E8763" s="2">
        <v>2.7106481481481481E-2</v>
      </c>
      <c r="F8763">
        <v>39.033333333333331</v>
      </c>
    </row>
    <row r="8764" spans="1:6" x14ac:dyDescent="0.25">
      <c r="A8764" s="1">
        <v>41518</v>
      </c>
      <c r="B8764" t="s">
        <v>15</v>
      </c>
      <c r="C8764" t="s">
        <v>9</v>
      </c>
      <c r="D8764">
        <v>15</v>
      </c>
      <c r="E8764" s="2">
        <v>6.6782407407407407E-3</v>
      </c>
      <c r="F8764">
        <v>9.6166666666666671</v>
      </c>
    </row>
    <row r="8765" spans="1:6" x14ac:dyDescent="0.25">
      <c r="A8765" s="1">
        <v>41518</v>
      </c>
      <c r="B8765" t="s">
        <v>15</v>
      </c>
      <c r="C8765" t="s">
        <v>10</v>
      </c>
      <c r="D8765">
        <v>13</v>
      </c>
      <c r="E8765" s="2">
        <v>1.818287037037037E-2</v>
      </c>
      <c r="F8765">
        <v>26.183333333333334</v>
      </c>
    </row>
    <row r="8766" spans="1:6" x14ac:dyDescent="0.25">
      <c r="A8766" s="1">
        <v>41518</v>
      </c>
      <c r="B8766" t="s">
        <v>15</v>
      </c>
      <c r="C8766" t="s">
        <v>11</v>
      </c>
      <c r="D8766">
        <v>15</v>
      </c>
      <c r="E8766" s="2">
        <v>1.1631944444444445E-2</v>
      </c>
      <c r="F8766">
        <v>16.75</v>
      </c>
    </row>
    <row r="8767" spans="1:6" x14ac:dyDescent="0.25">
      <c r="A8767" s="1">
        <v>41518</v>
      </c>
      <c r="B8767" t="s">
        <v>16</v>
      </c>
      <c r="C8767" t="s">
        <v>6</v>
      </c>
      <c r="D8767">
        <v>47</v>
      </c>
      <c r="E8767" s="2">
        <v>5.4930555555555559E-2</v>
      </c>
      <c r="F8767">
        <v>79.099999999999994</v>
      </c>
    </row>
    <row r="8768" spans="1:6" x14ac:dyDescent="0.25">
      <c r="A8768" s="1">
        <v>41518</v>
      </c>
      <c r="B8768" t="s">
        <v>16</v>
      </c>
      <c r="C8768" t="s">
        <v>7</v>
      </c>
      <c r="D8768">
        <v>61</v>
      </c>
      <c r="E8768" s="2">
        <v>5.4490740740740742E-2</v>
      </c>
      <c r="F8768">
        <v>78.466666666666669</v>
      </c>
    </row>
    <row r="8769" spans="1:6" x14ac:dyDescent="0.25">
      <c r="A8769" s="1">
        <v>41518</v>
      </c>
      <c r="B8769" t="s">
        <v>16</v>
      </c>
      <c r="C8769" t="s">
        <v>8</v>
      </c>
      <c r="D8769">
        <v>41</v>
      </c>
      <c r="E8769" s="2">
        <v>4.1157407407407406E-2</v>
      </c>
      <c r="F8769">
        <v>59.266666666666666</v>
      </c>
    </row>
    <row r="8770" spans="1:6" x14ac:dyDescent="0.25">
      <c r="A8770" s="1">
        <v>41518</v>
      </c>
      <c r="B8770" t="s">
        <v>16</v>
      </c>
      <c r="C8770" t="s">
        <v>9</v>
      </c>
      <c r="D8770">
        <v>17</v>
      </c>
      <c r="E8770" s="2">
        <v>1.2523148148148148E-2</v>
      </c>
      <c r="F8770">
        <v>18.033333333333335</v>
      </c>
    </row>
    <row r="8771" spans="1:6" x14ac:dyDescent="0.25">
      <c r="A8771" s="1">
        <v>41518</v>
      </c>
      <c r="B8771" t="s">
        <v>16</v>
      </c>
      <c r="C8771" t="s">
        <v>10</v>
      </c>
      <c r="D8771">
        <v>1</v>
      </c>
      <c r="E8771" s="2">
        <v>1.5509259259259259E-3</v>
      </c>
      <c r="F8771">
        <v>2.2333333333333334</v>
      </c>
    </row>
    <row r="8772" spans="1:6" x14ac:dyDescent="0.25">
      <c r="A8772" s="1">
        <v>41518</v>
      </c>
      <c r="B8772" t="s">
        <v>16</v>
      </c>
      <c r="C8772" t="s">
        <v>11</v>
      </c>
      <c r="D8772">
        <v>56</v>
      </c>
      <c r="E8772" s="2">
        <v>0.11429398148148148</v>
      </c>
      <c r="F8772">
        <v>164.58333333333334</v>
      </c>
    </row>
    <row r="8773" spans="1:6" x14ac:dyDescent="0.25">
      <c r="A8773" s="1">
        <v>41518</v>
      </c>
      <c r="B8773" t="s">
        <v>17</v>
      </c>
      <c r="C8773" t="s">
        <v>6</v>
      </c>
      <c r="D8773">
        <v>5</v>
      </c>
      <c r="E8773" s="2">
        <v>5.208333333333333E-3</v>
      </c>
      <c r="F8773">
        <v>7.5</v>
      </c>
    </row>
    <row r="8774" spans="1:6" x14ac:dyDescent="0.25">
      <c r="A8774" s="1">
        <v>41518</v>
      </c>
      <c r="B8774" t="s">
        <v>17</v>
      </c>
      <c r="C8774" t="s">
        <v>7</v>
      </c>
      <c r="D8774">
        <v>13</v>
      </c>
      <c r="E8774" s="2">
        <v>1.9768518518518519E-2</v>
      </c>
      <c r="F8774">
        <v>28.466666666666665</v>
      </c>
    </row>
    <row r="8775" spans="1:6" x14ac:dyDescent="0.25">
      <c r="A8775" s="1">
        <v>41518</v>
      </c>
      <c r="B8775" t="s">
        <v>17</v>
      </c>
      <c r="C8775" t="s">
        <v>8</v>
      </c>
      <c r="D8775">
        <v>6</v>
      </c>
      <c r="E8775" s="2">
        <v>8.3912037037037045E-3</v>
      </c>
      <c r="F8775">
        <v>12.083333333333334</v>
      </c>
    </row>
    <row r="8776" spans="1:6" x14ac:dyDescent="0.25">
      <c r="A8776" s="1">
        <v>41518</v>
      </c>
      <c r="B8776" t="s">
        <v>17</v>
      </c>
      <c r="C8776" t="s">
        <v>9</v>
      </c>
      <c r="D8776">
        <v>5</v>
      </c>
      <c r="E8776" s="2">
        <v>5.3935185185185188E-3</v>
      </c>
      <c r="F8776">
        <v>7.7666666666666666</v>
      </c>
    </row>
    <row r="8777" spans="1:6" x14ac:dyDescent="0.25">
      <c r="A8777" s="1">
        <v>41518</v>
      </c>
      <c r="B8777" t="s">
        <v>17</v>
      </c>
      <c r="C8777" t="s">
        <v>10</v>
      </c>
      <c r="D8777">
        <v>4</v>
      </c>
      <c r="E8777" s="2">
        <v>7.4652777777777781E-3</v>
      </c>
      <c r="F8777">
        <v>10.75</v>
      </c>
    </row>
    <row r="8778" spans="1:6" x14ac:dyDescent="0.25">
      <c r="A8778" s="1">
        <v>41518</v>
      </c>
      <c r="B8778" t="s">
        <v>17</v>
      </c>
      <c r="C8778" t="s">
        <v>11</v>
      </c>
      <c r="D8778">
        <v>4</v>
      </c>
      <c r="E8778" s="2">
        <v>2.7546296296296294E-3</v>
      </c>
      <c r="F8778">
        <v>3.9666666666666668</v>
      </c>
    </row>
    <row r="8779" spans="1:6" x14ac:dyDescent="0.25">
      <c r="A8779" s="1">
        <v>41518</v>
      </c>
      <c r="B8779" t="s">
        <v>18</v>
      </c>
      <c r="C8779" t="s">
        <v>6</v>
      </c>
      <c r="D8779">
        <v>95</v>
      </c>
      <c r="E8779" s="2">
        <v>0.1121875</v>
      </c>
      <c r="F8779">
        <v>161.55000000000001</v>
      </c>
    </row>
    <row r="8780" spans="1:6" x14ac:dyDescent="0.25">
      <c r="A8780" s="1">
        <v>41518</v>
      </c>
      <c r="B8780" t="s">
        <v>18</v>
      </c>
      <c r="C8780" t="s">
        <v>7</v>
      </c>
      <c r="D8780">
        <v>120</v>
      </c>
      <c r="E8780" s="2">
        <v>0.10638888888888889</v>
      </c>
      <c r="F8780">
        <v>153.19999999999999</v>
      </c>
    </row>
    <row r="8781" spans="1:6" x14ac:dyDescent="0.25">
      <c r="A8781" s="1">
        <v>41518</v>
      </c>
      <c r="B8781" t="s">
        <v>18</v>
      </c>
      <c r="C8781" t="s">
        <v>8</v>
      </c>
      <c r="D8781">
        <v>76</v>
      </c>
      <c r="E8781" s="2">
        <v>7.6030092592592594E-2</v>
      </c>
      <c r="F8781">
        <v>109.48333333333333</v>
      </c>
    </row>
    <row r="8782" spans="1:6" x14ac:dyDescent="0.25">
      <c r="A8782" s="1">
        <v>41518</v>
      </c>
      <c r="B8782" t="s">
        <v>18</v>
      </c>
      <c r="C8782" t="s">
        <v>9</v>
      </c>
      <c r="D8782">
        <v>53</v>
      </c>
      <c r="E8782" s="2">
        <v>3.3958333333333333E-2</v>
      </c>
      <c r="F8782">
        <v>48.9</v>
      </c>
    </row>
    <row r="8783" spans="1:6" x14ac:dyDescent="0.25">
      <c r="A8783" s="1">
        <v>41518</v>
      </c>
      <c r="B8783" t="s">
        <v>18</v>
      </c>
      <c r="C8783" t="s">
        <v>10</v>
      </c>
      <c r="D8783">
        <v>120</v>
      </c>
      <c r="E8783" s="2">
        <v>0.14612268518518517</v>
      </c>
      <c r="F8783">
        <v>210.41666666666666</v>
      </c>
    </row>
    <row r="8784" spans="1:6" x14ac:dyDescent="0.25">
      <c r="A8784" s="1">
        <v>41518</v>
      </c>
      <c r="B8784" t="s">
        <v>18</v>
      </c>
      <c r="C8784" t="s">
        <v>11</v>
      </c>
      <c r="D8784">
        <v>65</v>
      </c>
      <c r="E8784" s="2">
        <v>6.115740740740741E-2</v>
      </c>
      <c r="F8784">
        <v>88.066666666666663</v>
      </c>
    </row>
    <row r="8785" spans="1:6" x14ac:dyDescent="0.25">
      <c r="A8785" s="1">
        <v>41518</v>
      </c>
      <c r="B8785" t="s">
        <v>19</v>
      </c>
      <c r="C8785" t="s">
        <v>6</v>
      </c>
      <c r="D8785">
        <v>14</v>
      </c>
      <c r="E8785" s="2">
        <v>1.4768518518518519E-2</v>
      </c>
      <c r="F8785">
        <v>21.266666666666666</v>
      </c>
    </row>
    <row r="8786" spans="1:6" x14ac:dyDescent="0.25">
      <c r="A8786" s="1">
        <v>41518</v>
      </c>
      <c r="B8786" t="s">
        <v>19</v>
      </c>
      <c r="C8786" t="s">
        <v>7</v>
      </c>
      <c r="D8786">
        <v>17</v>
      </c>
      <c r="E8786" s="2">
        <v>1.7858796296296296E-2</v>
      </c>
      <c r="F8786">
        <v>25.716666666666665</v>
      </c>
    </row>
    <row r="8787" spans="1:6" x14ac:dyDescent="0.25">
      <c r="A8787" s="1">
        <v>41518</v>
      </c>
      <c r="B8787" t="s">
        <v>19</v>
      </c>
      <c r="C8787" t="s">
        <v>8</v>
      </c>
      <c r="D8787">
        <v>19</v>
      </c>
      <c r="E8787" s="2">
        <v>1.9270833333333334E-2</v>
      </c>
      <c r="F8787">
        <v>27.75</v>
      </c>
    </row>
    <row r="8788" spans="1:6" x14ac:dyDescent="0.25">
      <c r="A8788" s="1">
        <v>41518</v>
      </c>
      <c r="B8788" t="s">
        <v>19</v>
      </c>
      <c r="C8788" t="s">
        <v>9</v>
      </c>
      <c r="D8788">
        <v>15</v>
      </c>
      <c r="E8788" s="2">
        <v>1.255787037037037E-2</v>
      </c>
      <c r="F8788">
        <v>18.083333333333332</v>
      </c>
    </row>
    <row r="8789" spans="1:6" x14ac:dyDescent="0.25">
      <c r="A8789" s="1">
        <v>41518</v>
      </c>
      <c r="B8789" t="s">
        <v>19</v>
      </c>
      <c r="C8789" t="s">
        <v>10</v>
      </c>
      <c r="D8789">
        <v>13</v>
      </c>
      <c r="E8789" s="2">
        <v>1.3020833333333334E-2</v>
      </c>
      <c r="F8789">
        <v>18.75</v>
      </c>
    </row>
    <row r="8790" spans="1:6" x14ac:dyDescent="0.25">
      <c r="A8790" s="1">
        <v>41518</v>
      </c>
      <c r="B8790" t="s">
        <v>19</v>
      </c>
      <c r="C8790" t="s">
        <v>11</v>
      </c>
      <c r="D8790">
        <v>18</v>
      </c>
      <c r="E8790" s="2">
        <v>1.90625E-2</v>
      </c>
      <c r="F8790">
        <v>27.45</v>
      </c>
    </row>
    <row r="8791" spans="1:6" x14ac:dyDescent="0.25">
      <c r="A8791" s="1">
        <v>41518</v>
      </c>
      <c r="B8791" t="s">
        <v>20</v>
      </c>
      <c r="C8791" t="s">
        <v>6</v>
      </c>
      <c r="D8791">
        <v>30</v>
      </c>
      <c r="E8791" s="2">
        <v>3.5798611111111114E-2</v>
      </c>
      <c r="F8791">
        <v>51.55</v>
      </c>
    </row>
    <row r="8792" spans="1:6" x14ac:dyDescent="0.25">
      <c r="A8792" s="1">
        <v>41518</v>
      </c>
      <c r="B8792" t="s">
        <v>20</v>
      </c>
      <c r="C8792" t="s">
        <v>7</v>
      </c>
      <c r="D8792">
        <v>45</v>
      </c>
      <c r="E8792" s="2">
        <v>3.8518518518518521E-2</v>
      </c>
      <c r="F8792">
        <v>55.466666666666669</v>
      </c>
    </row>
    <row r="8793" spans="1:6" x14ac:dyDescent="0.25">
      <c r="A8793" s="1">
        <v>41518</v>
      </c>
      <c r="B8793" t="s">
        <v>20</v>
      </c>
      <c r="C8793" t="s">
        <v>8</v>
      </c>
      <c r="D8793">
        <v>32</v>
      </c>
      <c r="E8793" s="2">
        <v>3.0578703703703705E-2</v>
      </c>
      <c r="F8793">
        <v>44.033333333333331</v>
      </c>
    </row>
    <row r="8794" spans="1:6" x14ac:dyDescent="0.25">
      <c r="A8794" s="1">
        <v>41518</v>
      </c>
      <c r="B8794" t="s">
        <v>20</v>
      </c>
      <c r="C8794" t="s">
        <v>9</v>
      </c>
      <c r="D8794">
        <v>15</v>
      </c>
      <c r="E8794" s="2">
        <v>1.0289351851851852E-2</v>
      </c>
      <c r="F8794">
        <v>14.816666666666666</v>
      </c>
    </row>
    <row r="8795" spans="1:6" x14ac:dyDescent="0.25">
      <c r="A8795" s="1">
        <v>41518</v>
      </c>
      <c r="B8795" t="s">
        <v>20</v>
      </c>
      <c r="C8795" t="s">
        <v>10</v>
      </c>
      <c r="D8795">
        <v>6</v>
      </c>
      <c r="E8795" s="2">
        <v>7.6157407407407406E-3</v>
      </c>
      <c r="F8795">
        <v>10.966666666666667</v>
      </c>
    </row>
    <row r="8796" spans="1:6" x14ac:dyDescent="0.25">
      <c r="A8796" s="1">
        <v>41518</v>
      </c>
      <c r="B8796" t="s">
        <v>20</v>
      </c>
      <c r="C8796" t="s">
        <v>11</v>
      </c>
      <c r="D8796">
        <v>27</v>
      </c>
      <c r="E8796" s="2">
        <v>1.894675925925926E-2</v>
      </c>
      <c r="F8796">
        <v>27.283333333333335</v>
      </c>
    </row>
    <row r="8797" spans="1:6" x14ac:dyDescent="0.25">
      <c r="A8797" s="1">
        <v>41518</v>
      </c>
      <c r="B8797" t="s">
        <v>21</v>
      </c>
      <c r="C8797" t="s">
        <v>6</v>
      </c>
      <c r="D8797">
        <v>18</v>
      </c>
      <c r="E8797" s="2">
        <v>2.568287037037037E-2</v>
      </c>
      <c r="F8797">
        <v>36.983333333333334</v>
      </c>
    </row>
    <row r="8798" spans="1:6" x14ac:dyDescent="0.25">
      <c r="A8798" s="1">
        <v>41518</v>
      </c>
      <c r="B8798" t="s">
        <v>21</v>
      </c>
      <c r="C8798" t="s">
        <v>7</v>
      </c>
      <c r="D8798">
        <v>17</v>
      </c>
      <c r="E8798" s="2">
        <v>3.1747685185185184E-2</v>
      </c>
      <c r="F8798">
        <v>45.716666666666669</v>
      </c>
    </row>
    <row r="8799" spans="1:6" x14ac:dyDescent="0.25">
      <c r="A8799" s="1">
        <v>41518</v>
      </c>
      <c r="B8799" t="s">
        <v>21</v>
      </c>
      <c r="C8799" t="s">
        <v>8</v>
      </c>
      <c r="D8799">
        <v>16</v>
      </c>
      <c r="E8799" s="2">
        <v>2.0289351851851854E-2</v>
      </c>
      <c r="F8799">
        <v>29.216666666666665</v>
      </c>
    </row>
    <row r="8800" spans="1:6" x14ac:dyDescent="0.25">
      <c r="A8800" s="1">
        <v>41518</v>
      </c>
      <c r="B8800" t="s">
        <v>21</v>
      </c>
      <c r="C8800" t="s">
        <v>9</v>
      </c>
      <c r="D8800">
        <v>9</v>
      </c>
      <c r="E8800" s="2">
        <v>7.3842592592592597E-3</v>
      </c>
      <c r="F8800">
        <v>10.633333333333333</v>
      </c>
    </row>
    <row r="8801" spans="1:6" x14ac:dyDescent="0.25">
      <c r="A8801" s="1">
        <v>41518</v>
      </c>
      <c r="B8801" t="s">
        <v>21</v>
      </c>
      <c r="C8801" t="s">
        <v>10</v>
      </c>
      <c r="D8801">
        <v>3</v>
      </c>
      <c r="E8801" s="2">
        <v>7.1412037037037034E-3</v>
      </c>
      <c r="F8801">
        <v>10.283333333333333</v>
      </c>
    </row>
    <row r="8802" spans="1:6" x14ac:dyDescent="0.25">
      <c r="A8802" s="1">
        <v>41518</v>
      </c>
      <c r="B8802" t="s">
        <v>21</v>
      </c>
      <c r="C8802" t="s">
        <v>11</v>
      </c>
      <c r="D8802">
        <v>9</v>
      </c>
      <c r="E8802" s="2">
        <v>1.0613425925925925E-2</v>
      </c>
      <c r="F8802">
        <v>15.283333333333333</v>
      </c>
    </row>
    <row r="8803" spans="1:6" x14ac:dyDescent="0.25">
      <c r="A8803" s="1">
        <v>41518</v>
      </c>
      <c r="B8803" t="s">
        <v>22</v>
      </c>
      <c r="C8803" t="s">
        <v>6</v>
      </c>
      <c r="D8803">
        <v>15</v>
      </c>
      <c r="E8803" s="2">
        <v>1.8715277777777779E-2</v>
      </c>
      <c r="F8803">
        <v>26.95</v>
      </c>
    </row>
    <row r="8804" spans="1:6" x14ac:dyDescent="0.25">
      <c r="A8804" s="1">
        <v>41518</v>
      </c>
      <c r="B8804" t="s">
        <v>22</v>
      </c>
      <c r="C8804" t="s">
        <v>7</v>
      </c>
      <c r="D8804">
        <v>7</v>
      </c>
      <c r="E8804" s="2">
        <v>8.773148148148148E-3</v>
      </c>
      <c r="F8804">
        <v>12.633333333333333</v>
      </c>
    </row>
    <row r="8805" spans="1:6" x14ac:dyDescent="0.25">
      <c r="A8805" s="1">
        <v>41518</v>
      </c>
      <c r="B8805" t="s">
        <v>22</v>
      </c>
      <c r="C8805" t="s">
        <v>8</v>
      </c>
      <c r="D8805">
        <v>4</v>
      </c>
      <c r="E8805" s="2">
        <v>5.7060185185185183E-3</v>
      </c>
      <c r="F8805">
        <v>8.2166666666666668</v>
      </c>
    </row>
    <row r="8806" spans="1:6" x14ac:dyDescent="0.25">
      <c r="A8806" s="1">
        <v>41518</v>
      </c>
      <c r="B8806" t="s">
        <v>22</v>
      </c>
      <c r="C8806" t="s">
        <v>9</v>
      </c>
      <c r="D8806">
        <v>6</v>
      </c>
      <c r="E8806" s="2">
        <v>3.7152777777777778E-3</v>
      </c>
      <c r="F8806">
        <v>5.35</v>
      </c>
    </row>
    <row r="8807" spans="1:6" x14ac:dyDescent="0.25">
      <c r="A8807" s="1">
        <v>41518</v>
      </c>
      <c r="B8807" t="s">
        <v>22</v>
      </c>
      <c r="C8807" t="s">
        <v>10</v>
      </c>
      <c r="D8807">
        <v>1</v>
      </c>
      <c r="E8807" s="2">
        <v>6.4814814814814813E-4</v>
      </c>
      <c r="F8807">
        <v>0.93333333333333335</v>
      </c>
    </row>
    <row r="8808" spans="1:6" x14ac:dyDescent="0.25">
      <c r="A8808" s="1">
        <v>41518</v>
      </c>
      <c r="B8808" t="s">
        <v>22</v>
      </c>
      <c r="C8808" t="s">
        <v>11</v>
      </c>
      <c r="D8808">
        <v>5</v>
      </c>
      <c r="E8808" s="2">
        <v>7.0949074074074074E-3</v>
      </c>
      <c r="F8808">
        <v>10.216666666666667</v>
      </c>
    </row>
    <row r="8809" spans="1:6" x14ac:dyDescent="0.25">
      <c r="A8809" s="1">
        <v>41518</v>
      </c>
      <c r="B8809" t="s">
        <v>23</v>
      </c>
      <c r="C8809" t="s">
        <v>6</v>
      </c>
      <c r="D8809">
        <v>75</v>
      </c>
      <c r="E8809" s="2">
        <v>9.4710648148148155E-2</v>
      </c>
      <c r="F8809">
        <v>136.38333333333333</v>
      </c>
    </row>
    <row r="8810" spans="1:6" x14ac:dyDescent="0.25">
      <c r="A8810" s="1">
        <v>41518</v>
      </c>
      <c r="B8810" t="s">
        <v>23</v>
      </c>
      <c r="C8810" t="s">
        <v>7</v>
      </c>
      <c r="D8810">
        <v>92</v>
      </c>
      <c r="E8810" s="2">
        <v>0.14087962962962963</v>
      </c>
      <c r="F8810">
        <v>202.86666666666667</v>
      </c>
    </row>
    <row r="8811" spans="1:6" x14ac:dyDescent="0.25">
      <c r="A8811" s="1">
        <v>41518</v>
      </c>
      <c r="B8811" t="s">
        <v>23</v>
      </c>
      <c r="C8811" t="s">
        <v>8</v>
      </c>
      <c r="D8811">
        <v>64</v>
      </c>
      <c r="E8811" s="2">
        <v>6.850694444444444E-2</v>
      </c>
      <c r="F8811">
        <v>98.65</v>
      </c>
    </row>
    <row r="8812" spans="1:6" x14ac:dyDescent="0.25">
      <c r="A8812" s="1">
        <v>41518</v>
      </c>
      <c r="B8812" t="s">
        <v>23</v>
      </c>
      <c r="C8812" t="s">
        <v>9</v>
      </c>
      <c r="D8812">
        <v>41</v>
      </c>
      <c r="E8812" s="2">
        <v>3.3414351851851855E-2</v>
      </c>
      <c r="F8812">
        <v>48.116666666666667</v>
      </c>
    </row>
    <row r="8813" spans="1:6" x14ac:dyDescent="0.25">
      <c r="A8813" s="1">
        <v>41518</v>
      </c>
      <c r="B8813" t="s">
        <v>23</v>
      </c>
      <c r="C8813" t="s">
        <v>10</v>
      </c>
      <c r="D8813">
        <v>22</v>
      </c>
      <c r="E8813" s="2">
        <v>3.1238425925925926E-2</v>
      </c>
      <c r="F8813">
        <v>44.983333333333334</v>
      </c>
    </row>
    <row r="8814" spans="1:6" x14ac:dyDescent="0.25">
      <c r="A8814" s="1">
        <v>41518</v>
      </c>
      <c r="B8814" t="s">
        <v>23</v>
      </c>
      <c r="C8814" t="s">
        <v>11</v>
      </c>
      <c r="D8814">
        <v>77</v>
      </c>
      <c r="E8814" s="2">
        <v>7.6585648148148153E-2</v>
      </c>
      <c r="F8814">
        <v>110.28333333333333</v>
      </c>
    </row>
    <row r="8815" spans="1:6" x14ac:dyDescent="0.25">
      <c r="A8815" s="1">
        <v>41518</v>
      </c>
      <c r="B8815" t="s">
        <v>24</v>
      </c>
      <c r="C8815" t="s">
        <v>6</v>
      </c>
      <c r="D8815">
        <v>44</v>
      </c>
      <c r="E8815" s="2">
        <v>4.9988425925925929E-2</v>
      </c>
      <c r="F8815">
        <v>71.983333333333334</v>
      </c>
    </row>
    <row r="8816" spans="1:6" x14ac:dyDescent="0.25">
      <c r="A8816" s="1">
        <v>41518</v>
      </c>
      <c r="B8816" t="s">
        <v>24</v>
      </c>
      <c r="C8816" t="s">
        <v>7</v>
      </c>
      <c r="D8816">
        <v>39</v>
      </c>
      <c r="E8816" s="2">
        <v>3.8101851851851852E-2</v>
      </c>
      <c r="F8816">
        <v>54.866666666666667</v>
      </c>
    </row>
    <row r="8817" spans="1:6" x14ac:dyDescent="0.25">
      <c r="A8817" s="1">
        <v>41518</v>
      </c>
      <c r="B8817" t="s">
        <v>24</v>
      </c>
      <c r="C8817" t="s">
        <v>8</v>
      </c>
      <c r="D8817">
        <v>14</v>
      </c>
      <c r="E8817" s="2">
        <v>1.2916666666666667E-2</v>
      </c>
      <c r="F8817">
        <v>18.600000000000001</v>
      </c>
    </row>
    <row r="8818" spans="1:6" x14ac:dyDescent="0.25">
      <c r="A8818" s="1">
        <v>41518</v>
      </c>
      <c r="B8818" t="s">
        <v>24</v>
      </c>
      <c r="C8818" t="s">
        <v>9</v>
      </c>
      <c r="D8818">
        <v>15</v>
      </c>
      <c r="E8818" s="2">
        <v>7.858796296296296E-3</v>
      </c>
      <c r="F8818">
        <v>11.316666666666666</v>
      </c>
    </row>
    <row r="8819" spans="1:6" x14ac:dyDescent="0.25">
      <c r="A8819" s="1">
        <v>41518</v>
      </c>
      <c r="B8819" t="s">
        <v>24</v>
      </c>
      <c r="C8819" t="s">
        <v>10</v>
      </c>
      <c r="D8819">
        <v>1</v>
      </c>
      <c r="E8819" s="2">
        <v>2.3148148148148149E-4</v>
      </c>
      <c r="F8819">
        <v>0.33333333333333331</v>
      </c>
    </row>
    <row r="8820" spans="1:6" x14ac:dyDescent="0.25">
      <c r="A8820" s="1">
        <v>41518</v>
      </c>
      <c r="B8820" t="s">
        <v>24</v>
      </c>
      <c r="C8820" t="s">
        <v>11</v>
      </c>
      <c r="D8820">
        <v>27</v>
      </c>
      <c r="E8820" s="2">
        <v>2.2615740740740742E-2</v>
      </c>
      <c r="F8820">
        <v>32.56666666666667</v>
      </c>
    </row>
    <row r="8821" spans="1:6" x14ac:dyDescent="0.25">
      <c r="A8821" s="1">
        <v>41548</v>
      </c>
      <c r="B8821" t="s">
        <v>5</v>
      </c>
      <c r="C8821" t="s">
        <v>6</v>
      </c>
      <c r="D8821">
        <v>40</v>
      </c>
      <c r="E8821" s="2">
        <v>3.9131944444444441E-2</v>
      </c>
      <c r="F8821">
        <v>56.35</v>
      </c>
    </row>
    <row r="8822" spans="1:6" x14ac:dyDescent="0.25">
      <c r="A8822" s="1">
        <v>41548</v>
      </c>
      <c r="B8822" t="s">
        <v>5</v>
      </c>
      <c r="C8822" t="s">
        <v>7</v>
      </c>
      <c r="D8822">
        <v>63</v>
      </c>
      <c r="E8822" s="2">
        <v>4.6886574074074074E-2</v>
      </c>
      <c r="F8822">
        <v>67.516666666666666</v>
      </c>
    </row>
    <row r="8823" spans="1:6" x14ac:dyDescent="0.25">
      <c r="A8823" s="1">
        <v>41548</v>
      </c>
      <c r="B8823" t="s">
        <v>5</v>
      </c>
      <c r="C8823" t="s">
        <v>8</v>
      </c>
      <c r="D8823">
        <v>42</v>
      </c>
      <c r="E8823" s="2">
        <v>3.5000000000000003E-2</v>
      </c>
      <c r="F8823">
        <v>50.4</v>
      </c>
    </row>
    <row r="8824" spans="1:6" x14ac:dyDescent="0.25">
      <c r="A8824" s="1">
        <v>41548</v>
      </c>
      <c r="B8824" t="s">
        <v>5</v>
      </c>
      <c r="C8824" t="s">
        <v>9</v>
      </c>
      <c r="D8824">
        <v>15</v>
      </c>
      <c r="E8824" s="2">
        <v>1.03125E-2</v>
      </c>
      <c r="F8824">
        <v>14.85</v>
      </c>
    </row>
    <row r="8825" spans="1:6" x14ac:dyDescent="0.25">
      <c r="A8825" s="1">
        <v>41548</v>
      </c>
      <c r="B8825" t="s">
        <v>5</v>
      </c>
      <c r="C8825" t="s">
        <v>10</v>
      </c>
      <c r="D8825">
        <v>18</v>
      </c>
      <c r="E8825" s="2">
        <v>1.8831018518518518E-2</v>
      </c>
      <c r="F8825">
        <v>27.116666666666667</v>
      </c>
    </row>
    <row r="8826" spans="1:6" x14ac:dyDescent="0.25">
      <c r="A8826" s="1">
        <v>41548</v>
      </c>
      <c r="B8826" t="s">
        <v>5</v>
      </c>
      <c r="C8826" t="s">
        <v>11</v>
      </c>
      <c r="D8826">
        <v>33</v>
      </c>
      <c r="E8826" s="2">
        <v>2.4918981481481483E-2</v>
      </c>
      <c r="F8826">
        <v>35.883333333333333</v>
      </c>
    </row>
    <row r="8827" spans="1:6" x14ac:dyDescent="0.25">
      <c r="A8827" s="1">
        <v>41548</v>
      </c>
      <c r="B8827" t="s">
        <v>12</v>
      </c>
      <c r="C8827" t="s">
        <v>6</v>
      </c>
      <c r="D8827">
        <v>71</v>
      </c>
      <c r="E8827" s="2">
        <v>0.1078587962962963</v>
      </c>
      <c r="F8827">
        <v>155.31666666666666</v>
      </c>
    </row>
    <row r="8828" spans="1:6" x14ac:dyDescent="0.25">
      <c r="A8828" s="1">
        <v>41548</v>
      </c>
      <c r="B8828" t="s">
        <v>12</v>
      </c>
      <c r="C8828" t="s">
        <v>7</v>
      </c>
      <c r="D8828">
        <v>49</v>
      </c>
      <c r="E8828" s="2">
        <v>8.172453703703704E-2</v>
      </c>
      <c r="F8828">
        <v>117.68333333333334</v>
      </c>
    </row>
    <row r="8829" spans="1:6" x14ac:dyDescent="0.25">
      <c r="A8829" s="1">
        <v>41548</v>
      </c>
      <c r="B8829" t="s">
        <v>12</v>
      </c>
      <c r="C8829" t="s">
        <v>8</v>
      </c>
      <c r="D8829">
        <v>26</v>
      </c>
      <c r="E8829" s="2">
        <v>3.9305555555555559E-2</v>
      </c>
      <c r="F8829">
        <v>56.6</v>
      </c>
    </row>
    <row r="8830" spans="1:6" x14ac:dyDescent="0.25">
      <c r="A8830" s="1">
        <v>41548</v>
      </c>
      <c r="B8830" t="s">
        <v>12</v>
      </c>
      <c r="C8830" t="s">
        <v>9</v>
      </c>
      <c r="D8830">
        <v>14</v>
      </c>
      <c r="E8830" s="2">
        <v>9.3171296296296301E-3</v>
      </c>
      <c r="F8830">
        <v>13.416666666666666</v>
      </c>
    </row>
    <row r="8831" spans="1:6" x14ac:dyDescent="0.25">
      <c r="A8831" s="1">
        <v>41548</v>
      </c>
      <c r="B8831" t="s">
        <v>12</v>
      </c>
      <c r="C8831" t="s">
        <v>10</v>
      </c>
      <c r="D8831">
        <v>34</v>
      </c>
      <c r="E8831" s="2">
        <v>5.7303240740740738E-2</v>
      </c>
      <c r="F8831">
        <v>82.516666666666666</v>
      </c>
    </row>
    <row r="8832" spans="1:6" x14ac:dyDescent="0.25">
      <c r="A8832" s="1">
        <v>41548</v>
      </c>
      <c r="B8832" t="s">
        <v>12</v>
      </c>
      <c r="C8832" t="s">
        <v>11</v>
      </c>
      <c r="D8832">
        <v>65</v>
      </c>
      <c r="E8832" s="2">
        <v>7.6249999999999998E-2</v>
      </c>
      <c r="F8832">
        <v>109.8</v>
      </c>
    </row>
    <row r="8833" spans="1:6" x14ac:dyDescent="0.25">
      <c r="A8833" s="1">
        <v>41548</v>
      </c>
      <c r="B8833" t="s">
        <v>13</v>
      </c>
      <c r="C8833" t="s">
        <v>6</v>
      </c>
      <c r="D8833">
        <v>88</v>
      </c>
      <c r="E8833" s="2">
        <v>0.11149305555555555</v>
      </c>
      <c r="F8833">
        <v>160.55000000000001</v>
      </c>
    </row>
    <row r="8834" spans="1:6" x14ac:dyDescent="0.25">
      <c r="A8834" s="1">
        <v>41548</v>
      </c>
      <c r="B8834" t="s">
        <v>13</v>
      </c>
      <c r="C8834" t="s">
        <v>7</v>
      </c>
      <c r="D8834">
        <v>117</v>
      </c>
      <c r="E8834" s="2">
        <v>0.13755787037037037</v>
      </c>
      <c r="F8834">
        <v>198.08333333333334</v>
      </c>
    </row>
    <row r="8835" spans="1:6" x14ac:dyDescent="0.25">
      <c r="A8835" s="1">
        <v>41548</v>
      </c>
      <c r="B8835" t="s">
        <v>13</v>
      </c>
      <c r="C8835" t="s">
        <v>8</v>
      </c>
      <c r="D8835">
        <v>87</v>
      </c>
      <c r="E8835" s="2">
        <v>0.11388888888888889</v>
      </c>
      <c r="F8835">
        <v>164</v>
      </c>
    </row>
    <row r="8836" spans="1:6" x14ac:dyDescent="0.25">
      <c r="A8836" s="1">
        <v>41548</v>
      </c>
      <c r="B8836" t="s">
        <v>13</v>
      </c>
      <c r="C8836" t="s">
        <v>9</v>
      </c>
      <c r="D8836">
        <v>46</v>
      </c>
      <c r="E8836" s="2">
        <v>3.619212962962963E-2</v>
      </c>
      <c r="F8836">
        <v>52.116666666666667</v>
      </c>
    </row>
    <row r="8837" spans="1:6" x14ac:dyDescent="0.25">
      <c r="A8837" s="1">
        <v>41548</v>
      </c>
      <c r="B8837" t="s">
        <v>13</v>
      </c>
      <c r="C8837" t="s">
        <v>10</v>
      </c>
      <c r="D8837">
        <v>23</v>
      </c>
      <c r="E8837" s="2">
        <v>3.7453703703703704E-2</v>
      </c>
      <c r="F8837">
        <v>53.93333333333333</v>
      </c>
    </row>
    <row r="8838" spans="1:6" x14ac:dyDescent="0.25">
      <c r="A8838" s="1">
        <v>41548</v>
      </c>
      <c r="B8838" t="s">
        <v>13</v>
      </c>
      <c r="C8838" t="s">
        <v>11</v>
      </c>
      <c r="D8838">
        <v>57</v>
      </c>
      <c r="E8838" s="2">
        <v>6.1898148148148147E-2</v>
      </c>
      <c r="F8838">
        <v>89.13333333333334</v>
      </c>
    </row>
    <row r="8839" spans="1:6" x14ac:dyDescent="0.25">
      <c r="A8839" s="1">
        <v>41548</v>
      </c>
      <c r="B8839" t="s">
        <v>14</v>
      </c>
      <c r="C8839" t="s">
        <v>6</v>
      </c>
      <c r="D8839">
        <v>19</v>
      </c>
      <c r="E8839" s="2">
        <v>3.0243055555555554E-2</v>
      </c>
      <c r="F8839">
        <v>43.55</v>
      </c>
    </row>
    <row r="8840" spans="1:6" x14ac:dyDescent="0.25">
      <c r="A8840" s="1">
        <v>41548</v>
      </c>
      <c r="B8840" t="s">
        <v>14</v>
      </c>
      <c r="C8840" t="s">
        <v>7</v>
      </c>
      <c r="D8840">
        <v>17</v>
      </c>
      <c r="E8840" s="2">
        <v>3.6180555555555556E-2</v>
      </c>
      <c r="F8840">
        <v>52.1</v>
      </c>
    </row>
    <row r="8841" spans="1:6" x14ac:dyDescent="0.25">
      <c r="A8841" s="1">
        <v>41548</v>
      </c>
      <c r="B8841" t="s">
        <v>14</v>
      </c>
      <c r="C8841" t="s">
        <v>8</v>
      </c>
      <c r="D8841">
        <v>10</v>
      </c>
      <c r="E8841" s="2">
        <v>1.5659722222222221E-2</v>
      </c>
      <c r="F8841">
        <v>22.55</v>
      </c>
    </row>
    <row r="8842" spans="1:6" x14ac:dyDescent="0.25">
      <c r="A8842" s="1">
        <v>41548</v>
      </c>
      <c r="B8842" t="s">
        <v>14</v>
      </c>
      <c r="C8842" t="s">
        <v>9</v>
      </c>
      <c r="D8842">
        <v>1</v>
      </c>
      <c r="E8842" s="2">
        <v>7.0601851851851847E-4</v>
      </c>
      <c r="F8842">
        <v>1.0166666666666666</v>
      </c>
    </row>
    <row r="8843" spans="1:6" x14ac:dyDescent="0.25">
      <c r="A8843" s="1">
        <v>41548</v>
      </c>
      <c r="B8843" t="s">
        <v>14</v>
      </c>
      <c r="C8843" t="s">
        <v>10</v>
      </c>
      <c r="D8843">
        <v>1</v>
      </c>
      <c r="E8843" s="2">
        <v>2.1180555555555558E-3</v>
      </c>
      <c r="F8843">
        <v>3.05</v>
      </c>
    </row>
    <row r="8844" spans="1:6" x14ac:dyDescent="0.25">
      <c r="A8844" s="1">
        <v>41548</v>
      </c>
      <c r="B8844" t="s">
        <v>14</v>
      </c>
      <c r="C8844" t="s">
        <v>11</v>
      </c>
      <c r="D8844">
        <v>4</v>
      </c>
      <c r="E8844" s="2">
        <v>4.6527777777777774E-3</v>
      </c>
      <c r="F8844">
        <v>6.7</v>
      </c>
    </row>
    <row r="8845" spans="1:6" x14ac:dyDescent="0.25">
      <c r="A8845" s="1">
        <v>41548</v>
      </c>
      <c r="B8845" t="s">
        <v>15</v>
      </c>
      <c r="C8845" t="s">
        <v>6</v>
      </c>
      <c r="D8845">
        <v>20</v>
      </c>
      <c r="E8845" s="2">
        <v>2.1805555555555557E-2</v>
      </c>
      <c r="F8845">
        <v>31.4</v>
      </c>
    </row>
    <row r="8846" spans="1:6" x14ac:dyDescent="0.25">
      <c r="A8846" s="1">
        <v>41548</v>
      </c>
      <c r="B8846" t="s">
        <v>15</v>
      </c>
      <c r="C8846" t="s">
        <v>7</v>
      </c>
      <c r="D8846">
        <v>36</v>
      </c>
      <c r="E8846" s="2">
        <v>4.3969907407407409E-2</v>
      </c>
      <c r="F8846">
        <v>63.31666666666667</v>
      </c>
    </row>
    <row r="8847" spans="1:6" x14ac:dyDescent="0.25">
      <c r="A8847" s="1">
        <v>41548</v>
      </c>
      <c r="B8847" t="s">
        <v>15</v>
      </c>
      <c r="C8847" t="s">
        <v>8</v>
      </c>
      <c r="D8847">
        <v>15</v>
      </c>
      <c r="E8847" s="2">
        <v>1.0115740740740741E-2</v>
      </c>
      <c r="F8847">
        <v>14.566666666666666</v>
      </c>
    </row>
    <row r="8848" spans="1:6" x14ac:dyDescent="0.25">
      <c r="A8848" s="1">
        <v>41548</v>
      </c>
      <c r="B8848" t="s">
        <v>15</v>
      </c>
      <c r="C8848" t="s">
        <v>9</v>
      </c>
      <c r="D8848">
        <v>15</v>
      </c>
      <c r="E8848" s="2">
        <v>1.0787037037037038E-2</v>
      </c>
      <c r="F8848">
        <v>15.533333333333333</v>
      </c>
    </row>
    <row r="8849" spans="1:6" x14ac:dyDescent="0.25">
      <c r="A8849" s="1">
        <v>41548</v>
      </c>
      <c r="B8849" t="s">
        <v>15</v>
      </c>
      <c r="C8849" t="s">
        <v>10</v>
      </c>
      <c r="D8849">
        <v>7</v>
      </c>
      <c r="E8849" s="2">
        <v>9.0856481481481483E-3</v>
      </c>
      <c r="F8849">
        <v>13.083333333333334</v>
      </c>
    </row>
    <row r="8850" spans="1:6" x14ac:dyDescent="0.25">
      <c r="A8850" s="1">
        <v>41548</v>
      </c>
      <c r="B8850" t="s">
        <v>15</v>
      </c>
      <c r="C8850" t="s">
        <v>11</v>
      </c>
      <c r="D8850">
        <v>14</v>
      </c>
      <c r="E8850" s="2">
        <v>9.5486111111111119E-3</v>
      </c>
      <c r="F8850">
        <v>13.75</v>
      </c>
    </row>
    <row r="8851" spans="1:6" x14ac:dyDescent="0.25">
      <c r="A8851" s="1">
        <v>41548</v>
      </c>
      <c r="B8851" t="s">
        <v>16</v>
      </c>
      <c r="C8851" t="s">
        <v>6</v>
      </c>
      <c r="D8851">
        <v>31</v>
      </c>
      <c r="E8851" s="2">
        <v>2.8981481481481483E-2</v>
      </c>
      <c r="F8851">
        <v>41.733333333333334</v>
      </c>
    </row>
    <row r="8852" spans="1:6" x14ac:dyDescent="0.25">
      <c r="A8852" s="1">
        <v>41548</v>
      </c>
      <c r="B8852" t="s">
        <v>16</v>
      </c>
      <c r="C8852" t="s">
        <v>7</v>
      </c>
      <c r="D8852">
        <v>37</v>
      </c>
      <c r="E8852" s="2">
        <v>3.3912037037037039E-2</v>
      </c>
      <c r="F8852">
        <v>48.833333333333336</v>
      </c>
    </row>
    <row r="8853" spans="1:6" x14ac:dyDescent="0.25">
      <c r="A8853" s="1">
        <v>41548</v>
      </c>
      <c r="B8853" t="s">
        <v>16</v>
      </c>
      <c r="C8853" t="s">
        <v>8</v>
      </c>
      <c r="D8853">
        <v>34</v>
      </c>
      <c r="E8853" s="2">
        <v>3.4004629629629628E-2</v>
      </c>
      <c r="F8853">
        <v>48.966666666666669</v>
      </c>
    </row>
    <row r="8854" spans="1:6" x14ac:dyDescent="0.25">
      <c r="A8854" s="1">
        <v>41548</v>
      </c>
      <c r="B8854" t="s">
        <v>16</v>
      </c>
      <c r="C8854" t="s">
        <v>9</v>
      </c>
      <c r="D8854">
        <v>13</v>
      </c>
      <c r="E8854" s="2">
        <v>1.1805555555555555E-2</v>
      </c>
      <c r="F8854">
        <v>17</v>
      </c>
    </row>
    <row r="8855" spans="1:6" x14ac:dyDescent="0.25">
      <c r="A8855" s="1">
        <v>41548</v>
      </c>
      <c r="B8855" t="s">
        <v>16</v>
      </c>
      <c r="C8855" t="s">
        <v>10</v>
      </c>
      <c r="D8855">
        <v>1</v>
      </c>
      <c r="E8855" s="2">
        <v>2.4305555555555555E-4</v>
      </c>
      <c r="F8855">
        <v>0.35</v>
      </c>
    </row>
    <row r="8856" spans="1:6" x14ac:dyDescent="0.25">
      <c r="A8856" s="1">
        <v>41548</v>
      </c>
      <c r="B8856" t="s">
        <v>16</v>
      </c>
      <c r="C8856" t="s">
        <v>11</v>
      </c>
      <c r="D8856">
        <v>44</v>
      </c>
      <c r="E8856" s="2">
        <v>3.7488425925925925E-2</v>
      </c>
      <c r="F8856">
        <v>53.983333333333334</v>
      </c>
    </row>
    <row r="8857" spans="1:6" x14ac:dyDescent="0.25">
      <c r="A8857" s="1">
        <v>41548</v>
      </c>
      <c r="B8857" t="s">
        <v>17</v>
      </c>
      <c r="C8857" t="s">
        <v>6</v>
      </c>
      <c r="D8857">
        <v>11</v>
      </c>
      <c r="E8857" s="2">
        <v>1.2997685185185185E-2</v>
      </c>
      <c r="F8857">
        <v>18.716666666666665</v>
      </c>
    </row>
    <row r="8858" spans="1:6" x14ac:dyDescent="0.25">
      <c r="A8858" s="1">
        <v>41548</v>
      </c>
      <c r="B8858" t="s">
        <v>17</v>
      </c>
      <c r="C8858" t="s">
        <v>7</v>
      </c>
      <c r="D8858">
        <v>15</v>
      </c>
      <c r="E8858" s="2">
        <v>1.7812499999999998E-2</v>
      </c>
      <c r="F8858">
        <v>25.65</v>
      </c>
    </row>
    <row r="8859" spans="1:6" x14ac:dyDescent="0.25">
      <c r="A8859" s="1">
        <v>41548</v>
      </c>
      <c r="B8859" t="s">
        <v>17</v>
      </c>
      <c r="C8859" t="s">
        <v>8</v>
      </c>
      <c r="D8859">
        <v>14</v>
      </c>
      <c r="E8859" s="2">
        <v>1.5138888888888889E-2</v>
      </c>
      <c r="F8859">
        <v>21.8</v>
      </c>
    </row>
    <row r="8860" spans="1:6" x14ac:dyDescent="0.25">
      <c r="A8860" s="1">
        <v>41548</v>
      </c>
      <c r="B8860" t="s">
        <v>17</v>
      </c>
      <c r="C8860" t="s">
        <v>9</v>
      </c>
      <c r="D8860">
        <v>4</v>
      </c>
      <c r="E8860" s="2">
        <v>1.8287037037037037E-3</v>
      </c>
      <c r="F8860">
        <v>2.6333333333333333</v>
      </c>
    </row>
    <row r="8861" spans="1:6" x14ac:dyDescent="0.25">
      <c r="A8861" s="1">
        <v>41548</v>
      </c>
      <c r="B8861" t="s">
        <v>17</v>
      </c>
      <c r="C8861" t="s">
        <v>10</v>
      </c>
      <c r="D8861">
        <v>13</v>
      </c>
      <c r="E8861" s="2">
        <v>1.7048611111111112E-2</v>
      </c>
      <c r="F8861">
        <v>24.55</v>
      </c>
    </row>
    <row r="8862" spans="1:6" x14ac:dyDescent="0.25">
      <c r="A8862" s="1">
        <v>41548</v>
      </c>
      <c r="B8862" t="s">
        <v>17</v>
      </c>
      <c r="C8862" t="s">
        <v>11</v>
      </c>
      <c r="D8862">
        <v>10</v>
      </c>
      <c r="E8862" s="2">
        <v>4.7337962962962967E-3</v>
      </c>
      <c r="F8862">
        <v>6.8166666666666664</v>
      </c>
    </row>
    <row r="8863" spans="1:6" x14ac:dyDescent="0.25">
      <c r="A8863" s="1">
        <v>41548</v>
      </c>
      <c r="B8863" t="s">
        <v>18</v>
      </c>
      <c r="C8863" t="s">
        <v>6</v>
      </c>
      <c r="D8863">
        <v>71</v>
      </c>
      <c r="E8863" s="2">
        <v>7.8090277777777772E-2</v>
      </c>
      <c r="F8863">
        <v>112.45</v>
      </c>
    </row>
    <row r="8864" spans="1:6" x14ac:dyDescent="0.25">
      <c r="A8864" s="1">
        <v>41548</v>
      </c>
      <c r="B8864" t="s">
        <v>18</v>
      </c>
      <c r="C8864" t="s">
        <v>7</v>
      </c>
      <c r="D8864">
        <v>97</v>
      </c>
      <c r="E8864" s="2">
        <v>9.0972222222222218E-2</v>
      </c>
      <c r="F8864">
        <v>131</v>
      </c>
    </row>
    <row r="8865" spans="1:6" x14ac:dyDescent="0.25">
      <c r="A8865" s="1">
        <v>41548</v>
      </c>
      <c r="B8865" t="s">
        <v>18</v>
      </c>
      <c r="C8865" t="s">
        <v>8</v>
      </c>
      <c r="D8865">
        <v>38</v>
      </c>
      <c r="E8865" s="2">
        <v>3.3692129629629627E-2</v>
      </c>
      <c r="F8865">
        <v>48.516666666666666</v>
      </c>
    </row>
    <row r="8866" spans="1:6" x14ac:dyDescent="0.25">
      <c r="A8866" s="1">
        <v>41548</v>
      </c>
      <c r="B8866" t="s">
        <v>18</v>
      </c>
      <c r="C8866" t="s">
        <v>9</v>
      </c>
      <c r="D8866">
        <v>63</v>
      </c>
      <c r="E8866" s="2">
        <v>4.8680555555555553E-2</v>
      </c>
      <c r="F8866">
        <v>70.099999999999994</v>
      </c>
    </row>
    <row r="8867" spans="1:6" x14ac:dyDescent="0.25">
      <c r="A8867" s="1">
        <v>41548</v>
      </c>
      <c r="B8867" t="s">
        <v>18</v>
      </c>
      <c r="C8867" t="s">
        <v>10</v>
      </c>
      <c r="D8867">
        <v>125</v>
      </c>
      <c r="E8867" s="2">
        <v>0.14814814814814814</v>
      </c>
      <c r="F8867">
        <v>213.33333333333334</v>
      </c>
    </row>
    <row r="8868" spans="1:6" x14ac:dyDescent="0.25">
      <c r="A8868" s="1">
        <v>41548</v>
      </c>
      <c r="B8868" t="s">
        <v>18</v>
      </c>
      <c r="C8868" t="s">
        <v>11</v>
      </c>
      <c r="D8868">
        <v>43</v>
      </c>
      <c r="E8868" s="2">
        <v>3.3113425925925928E-2</v>
      </c>
      <c r="F8868">
        <v>47.68333333333333</v>
      </c>
    </row>
    <row r="8869" spans="1:6" x14ac:dyDescent="0.25">
      <c r="A8869" s="1">
        <v>41548</v>
      </c>
      <c r="B8869" t="s">
        <v>19</v>
      </c>
      <c r="C8869" t="s">
        <v>6</v>
      </c>
      <c r="D8869">
        <v>30</v>
      </c>
      <c r="E8869" s="2">
        <v>3.9189814814814816E-2</v>
      </c>
      <c r="F8869">
        <v>56.43333333333333</v>
      </c>
    </row>
    <row r="8870" spans="1:6" x14ac:dyDescent="0.25">
      <c r="A8870" s="1">
        <v>41548</v>
      </c>
      <c r="B8870" t="s">
        <v>19</v>
      </c>
      <c r="C8870" t="s">
        <v>7</v>
      </c>
      <c r="D8870">
        <v>31</v>
      </c>
      <c r="E8870" s="2">
        <v>3.5532407407407408E-2</v>
      </c>
      <c r="F8870">
        <v>51.166666666666664</v>
      </c>
    </row>
    <row r="8871" spans="1:6" x14ac:dyDescent="0.25">
      <c r="A8871" s="1">
        <v>41548</v>
      </c>
      <c r="B8871" t="s">
        <v>19</v>
      </c>
      <c r="C8871" t="s">
        <v>8</v>
      </c>
      <c r="D8871">
        <v>34</v>
      </c>
      <c r="E8871" s="2">
        <v>2.9710648148148149E-2</v>
      </c>
      <c r="F8871">
        <v>42.783333333333331</v>
      </c>
    </row>
    <row r="8872" spans="1:6" x14ac:dyDescent="0.25">
      <c r="A8872" s="1">
        <v>41548</v>
      </c>
      <c r="B8872" t="s">
        <v>19</v>
      </c>
      <c r="C8872" t="s">
        <v>9</v>
      </c>
      <c r="D8872">
        <v>18</v>
      </c>
      <c r="E8872" s="2">
        <v>1.087962962962963E-2</v>
      </c>
      <c r="F8872">
        <v>15.666666666666666</v>
      </c>
    </row>
    <row r="8873" spans="1:6" x14ac:dyDescent="0.25">
      <c r="A8873" s="1">
        <v>41548</v>
      </c>
      <c r="B8873" t="s">
        <v>19</v>
      </c>
      <c r="C8873" t="s">
        <v>10</v>
      </c>
      <c r="D8873">
        <v>14</v>
      </c>
      <c r="E8873" s="2">
        <v>1.462962962962963E-2</v>
      </c>
      <c r="F8873">
        <v>21.066666666666666</v>
      </c>
    </row>
    <row r="8874" spans="1:6" x14ac:dyDescent="0.25">
      <c r="A8874" s="1">
        <v>41548</v>
      </c>
      <c r="B8874" t="s">
        <v>19</v>
      </c>
      <c r="C8874" t="s">
        <v>11</v>
      </c>
      <c r="D8874">
        <v>28</v>
      </c>
      <c r="E8874" s="2">
        <v>2.5358796296296296E-2</v>
      </c>
      <c r="F8874">
        <v>36.516666666666666</v>
      </c>
    </row>
    <row r="8875" spans="1:6" x14ac:dyDescent="0.25">
      <c r="A8875" s="1">
        <v>41548</v>
      </c>
      <c r="B8875" t="s">
        <v>20</v>
      </c>
      <c r="C8875" t="s">
        <v>6</v>
      </c>
      <c r="D8875">
        <v>63</v>
      </c>
      <c r="E8875" s="2">
        <v>7.346064814814815E-2</v>
      </c>
      <c r="F8875">
        <v>105.78333333333333</v>
      </c>
    </row>
    <row r="8876" spans="1:6" x14ac:dyDescent="0.25">
      <c r="A8876" s="1">
        <v>41548</v>
      </c>
      <c r="B8876" t="s">
        <v>20</v>
      </c>
      <c r="C8876" t="s">
        <v>7</v>
      </c>
      <c r="D8876">
        <v>89</v>
      </c>
      <c r="E8876" s="2">
        <v>9.3182870370370374E-2</v>
      </c>
      <c r="F8876">
        <v>134.18333333333334</v>
      </c>
    </row>
    <row r="8877" spans="1:6" x14ac:dyDescent="0.25">
      <c r="A8877" s="1">
        <v>41548</v>
      </c>
      <c r="B8877" t="s">
        <v>20</v>
      </c>
      <c r="C8877" t="s">
        <v>8</v>
      </c>
      <c r="D8877">
        <v>50</v>
      </c>
      <c r="E8877" s="2">
        <v>5.5092592592592596E-2</v>
      </c>
      <c r="F8877">
        <v>79.333333333333329</v>
      </c>
    </row>
    <row r="8878" spans="1:6" x14ac:dyDescent="0.25">
      <c r="A8878" s="1">
        <v>41548</v>
      </c>
      <c r="B8878" t="s">
        <v>20</v>
      </c>
      <c r="C8878" t="s">
        <v>9</v>
      </c>
      <c r="D8878">
        <v>34</v>
      </c>
      <c r="E8878" s="2">
        <v>2.9664351851851851E-2</v>
      </c>
      <c r="F8878">
        <v>42.716666666666669</v>
      </c>
    </row>
    <row r="8879" spans="1:6" x14ac:dyDescent="0.25">
      <c r="A8879" s="1">
        <v>41548</v>
      </c>
      <c r="B8879" t="s">
        <v>20</v>
      </c>
      <c r="C8879" t="s">
        <v>10</v>
      </c>
      <c r="D8879">
        <v>15</v>
      </c>
      <c r="E8879" s="2">
        <v>1.9849537037037037E-2</v>
      </c>
      <c r="F8879">
        <v>28.583333333333332</v>
      </c>
    </row>
    <row r="8880" spans="1:6" x14ac:dyDescent="0.25">
      <c r="A8880" s="1">
        <v>41548</v>
      </c>
      <c r="B8880" t="s">
        <v>20</v>
      </c>
      <c r="C8880" t="s">
        <v>11</v>
      </c>
      <c r="D8880">
        <v>55</v>
      </c>
      <c r="E8880" s="2">
        <v>4.4525462962962961E-2</v>
      </c>
      <c r="F8880">
        <v>64.11666666666666</v>
      </c>
    </row>
    <row r="8881" spans="1:6" x14ac:dyDescent="0.25">
      <c r="A8881" s="1">
        <v>41548</v>
      </c>
      <c r="B8881" t="s">
        <v>21</v>
      </c>
      <c r="C8881" t="s">
        <v>6</v>
      </c>
      <c r="D8881">
        <v>32</v>
      </c>
      <c r="E8881" s="2">
        <v>4.1134259259259259E-2</v>
      </c>
      <c r="F8881">
        <v>59.233333333333334</v>
      </c>
    </row>
    <row r="8882" spans="1:6" x14ac:dyDescent="0.25">
      <c r="A8882" s="1">
        <v>41548</v>
      </c>
      <c r="B8882" t="s">
        <v>21</v>
      </c>
      <c r="C8882" t="s">
        <v>7</v>
      </c>
      <c r="D8882">
        <v>24</v>
      </c>
      <c r="E8882" s="2">
        <v>3.1238425925925926E-2</v>
      </c>
      <c r="F8882">
        <v>44.983333333333334</v>
      </c>
    </row>
    <row r="8883" spans="1:6" x14ac:dyDescent="0.25">
      <c r="A8883" s="1">
        <v>41548</v>
      </c>
      <c r="B8883" t="s">
        <v>21</v>
      </c>
      <c r="C8883" t="s">
        <v>8</v>
      </c>
      <c r="D8883">
        <v>25</v>
      </c>
      <c r="E8883" s="2">
        <v>3.1724537037037037E-2</v>
      </c>
      <c r="F8883">
        <v>45.68333333333333</v>
      </c>
    </row>
    <row r="8884" spans="1:6" x14ac:dyDescent="0.25">
      <c r="A8884" s="1">
        <v>41548</v>
      </c>
      <c r="B8884" t="s">
        <v>21</v>
      </c>
      <c r="C8884" t="s">
        <v>9</v>
      </c>
      <c r="D8884">
        <v>12</v>
      </c>
      <c r="E8884" s="2">
        <v>1.1898148148148149E-2</v>
      </c>
      <c r="F8884">
        <v>17.133333333333333</v>
      </c>
    </row>
    <row r="8885" spans="1:6" x14ac:dyDescent="0.25">
      <c r="A8885" s="1">
        <v>41548</v>
      </c>
      <c r="B8885" t="s">
        <v>21</v>
      </c>
      <c r="C8885" t="s">
        <v>10</v>
      </c>
      <c r="D8885">
        <v>5</v>
      </c>
      <c r="E8885" s="2">
        <v>9.1550925925925931E-3</v>
      </c>
      <c r="F8885">
        <v>13.183333333333334</v>
      </c>
    </row>
    <row r="8886" spans="1:6" x14ac:dyDescent="0.25">
      <c r="A8886" s="1">
        <v>41548</v>
      </c>
      <c r="B8886" t="s">
        <v>21</v>
      </c>
      <c r="C8886" t="s">
        <v>11</v>
      </c>
      <c r="D8886">
        <v>27</v>
      </c>
      <c r="E8886" s="2">
        <v>2.8645833333333332E-2</v>
      </c>
      <c r="F8886">
        <v>41.25</v>
      </c>
    </row>
    <row r="8887" spans="1:6" x14ac:dyDescent="0.25">
      <c r="A8887" s="1">
        <v>41548</v>
      </c>
      <c r="B8887" t="s">
        <v>22</v>
      </c>
      <c r="C8887" t="s">
        <v>6</v>
      </c>
      <c r="D8887">
        <v>11</v>
      </c>
      <c r="E8887" s="2">
        <v>1.9293981481481481E-2</v>
      </c>
      <c r="F8887">
        <v>27.783333333333335</v>
      </c>
    </row>
    <row r="8888" spans="1:6" x14ac:dyDescent="0.25">
      <c r="A8888" s="1">
        <v>41548</v>
      </c>
      <c r="B8888" t="s">
        <v>22</v>
      </c>
      <c r="C8888" t="s">
        <v>7</v>
      </c>
      <c r="D8888">
        <v>21</v>
      </c>
      <c r="E8888" s="2">
        <v>2.6863425925925926E-2</v>
      </c>
      <c r="F8888">
        <v>38.68333333333333</v>
      </c>
    </row>
    <row r="8889" spans="1:6" x14ac:dyDescent="0.25">
      <c r="A8889" s="1">
        <v>41548</v>
      </c>
      <c r="B8889" t="s">
        <v>22</v>
      </c>
      <c r="C8889" t="s">
        <v>8</v>
      </c>
      <c r="D8889">
        <v>7</v>
      </c>
      <c r="E8889" s="2">
        <v>8.472222222222223E-3</v>
      </c>
      <c r="F8889">
        <v>12.2</v>
      </c>
    </row>
    <row r="8890" spans="1:6" x14ac:dyDescent="0.25">
      <c r="A8890" s="1">
        <v>41548</v>
      </c>
      <c r="B8890" t="s">
        <v>22</v>
      </c>
      <c r="C8890" t="s">
        <v>9</v>
      </c>
      <c r="D8890">
        <v>11</v>
      </c>
      <c r="E8890" s="2">
        <v>6.1921296296296299E-3</v>
      </c>
      <c r="F8890">
        <v>8.9166666666666661</v>
      </c>
    </row>
    <row r="8891" spans="1:6" x14ac:dyDescent="0.25">
      <c r="A8891" s="1">
        <v>41548</v>
      </c>
      <c r="B8891" t="s">
        <v>22</v>
      </c>
      <c r="C8891" t="s">
        <v>10</v>
      </c>
      <c r="D8891">
        <v>5</v>
      </c>
      <c r="E8891" s="2">
        <v>7.858796296296296E-3</v>
      </c>
      <c r="F8891">
        <v>11.316666666666666</v>
      </c>
    </row>
    <row r="8892" spans="1:6" x14ac:dyDescent="0.25">
      <c r="A8892" s="1">
        <v>41548</v>
      </c>
      <c r="B8892" t="s">
        <v>22</v>
      </c>
      <c r="C8892" t="s">
        <v>11</v>
      </c>
      <c r="D8892">
        <v>11</v>
      </c>
      <c r="E8892" s="2">
        <v>7.9976851851851858E-3</v>
      </c>
      <c r="F8892">
        <v>11.516666666666667</v>
      </c>
    </row>
    <row r="8893" spans="1:6" x14ac:dyDescent="0.25">
      <c r="A8893" s="1">
        <v>41548</v>
      </c>
      <c r="B8893" t="s">
        <v>23</v>
      </c>
      <c r="C8893" t="s">
        <v>6</v>
      </c>
      <c r="D8893">
        <v>101</v>
      </c>
      <c r="E8893" s="2">
        <v>0.12045138888888889</v>
      </c>
      <c r="F8893">
        <v>173.45</v>
      </c>
    </row>
    <row r="8894" spans="1:6" x14ac:dyDescent="0.25">
      <c r="A8894" s="1">
        <v>41548</v>
      </c>
      <c r="B8894" t="s">
        <v>23</v>
      </c>
      <c r="C8894" t="s">
        <v>7</v>
      </c>
      <c r="D8894">
        <v>157</v>
      </c>
      <c r="E8894" s="2">
        <v>0.24331018518518518</v>
      </c>
      <c r="F8894">
        <v>350.36666666666667</v>
      </c>
    </row>
    <row r="8895" spans="1:6" x14ac:dyDescent="0.25">
      <c r="A8895" s="1">
        <v>41548</v>
      </c>
      <c r="B8895" t="s">
        <v>23</v>
      </c>
      <c r="C8895" t="s">
        <v>8</v>
      </c>
      <c r="D8895">
        <v>84</v>
      </c>
      <c r="E8895" s="2">
        <v>9.914351851851852E-2</v>
      </c>
      <c r="F8895">
        <v>142.76666666666668</v>
      </c>
    </row>
    <row r="8896" spans="1:6" x14ac:dyDescent="0.25">
      <c r="A8896" s="1">
        <v>41548</v>
      </c>
      <c r="B8896" t="s">
        <v>23</v>
      </c>
      <c r="C8896" t="s">
        <v>9</v>
      </c>
      <c r="D8896">
        <v>70</v>
      </c>
      <c r="E8896" s="2">
        <v>5.0324074074074077E-2</v>
      </c>
      <c r="F8896">
        <v>72.466666666666669</v>
      </c>
    </row>
    <row r="8897" spans="1:6" x14ac:dyDescent="0.25">
      <c r="A8897" s="1">
        <v>41548</v>
      </c>
      <c r="B8897" t="s">
        <v>23</v>
      </c>
      <c r="C8897" t="s">
        <v>10</v>
      </c>
      <c r="D8897">
        <v>39</v>
      </c>
      <c r="E8897" s="2">
        <v>5.4178240740740742E-2</v>
      </c>
      <c r="F8897">
        <v>78.016666666666666</v>
      </c>
    </row>
    <row r="8898" spans="1:6" x14ac:dyDescent="0.25">
      <c r="A8898" s="1">
        <v>41548</v>
      </c>
      <c r="B8898" t="s">
        <v>23</v>
      </c>
      <c r="C8898" t="s">
        <v>11</v>
      </c>
      <c r="D8898">
        <v>128</v>
      </c>
      <c r="E8898" s="2">
        <v>0.12543981481481481</v>
      </c>
      <c r="F8898">
        <v>180.63333333333333</v>
      </c>
    </row>
    <row r="8899" spans="1:6" x14ac:dyDescent="0.25">
      <c r="A8899" s="1">
        <v>41548</v>
      </c>
      <c r="B8899" t="s">
        <v>24</v>
      </c>
      <c r="C8899" t="s">
        <v>6</v>
      </c>
      <c r="D8899">
        <v>52</v>
      </c>
      <c r="E8899" s="2">
        <v>5.9571759259259262E-2</v>
      </c>
      <c r="F8899">
        <v>85.783333333333331</v>
      </c>
    </row>
    <row r="8900" spans="1:6" x14ac:dyDescent="0.25">
      <c r="A8900" s="1">
        <v>41548</v>
      </c>
      <c r="B8900" t="s">
        <v>24</v>
      </c>
      <c r="C8900" t="s">
        <v>7</v>
      </c>
      <c r="D8900">
        <v>40</v>
      </c>
      <c r="E8900" s="2">
        <v>3.1168981481481482E-2</v>
      </c>
      <c r="F8900">
        <v>44.883333333333333</v>
      </c>
    </row>
    <row r="8901" spans="1:6" x14ac:dyDescent="0.25">
      <c r="A8901" s="1">
        <v>41548</v>
      </c>
      <c r="B8901" t="s">
        <v>24</v>
      </c>
      <c r="C8901" t="s">
        <v>8</v>
      </c>
      <c r="D8901">
        <v>31</v>
      </c>
      <c r="E8901" s="2">
        <v>1.773148148148148E-2</v>
      </c>
      <c r="F8901">
        <v>25.533333333333335</v>
      </c>
    </row>
    <row r="8902" spans="1:6" x14ac:dyDescent="0.25">
      <c r="A8902" s="1">
        <v>41548</v>
      </c>
      <c r="B8902" t="s">
        <v>24</v>
      </c>
      <c r="C8902" t="s">
        <v>9</v>
      </c>
      <c r="D8902">
        <v>15</v>
      </c>
      <c r="E8902" s="2">
        <v>1.0729166666666666E-2</v>
      </c>
      <c r="F8902">
        <v>15.45</v>
      </c>
    </row>
    <row r="8903" spans="1:6" x14ac:dyDescent="0.25">
      <c r="A8903" s="1">
        <v>41548</v>
      </c>
      <c r="B8903" t="s">
        <v>24</v>
      </c>
      <c r="C8903" t="s">
        <v>10</v>
      </c>
      <c r="D8903">
        <v>1</v>
      </c>
      <c r="E8903" s="2">
        <v>2.1643518518518518E-3</v>
      </c>
      <c r="F8903">
        <v>3.1166666666666667</v>
      </c>
    </row>
    <row r="8904" spans="1:6" x14ac:dyDescent="0.25">
      <c r="A8904" s="1">
        <v>41548</v>
      </c>
      <c r="B8904" t="s">
        <v>24</v>
      </c>
      <c r="C8904" t="s">
        <v>11</v>
      </c>
      <c r="D8904">
        <v>22</v>
      </c>
      <c r="E8904" s="2">
        <v>1.4155092592592592E-2</v>
      </c>
      <c r="F8904">
        <v>20.383333333333333</v>
      </c>
    </row>
    <row r="8905" spans="1:6" x14ac:dyDescent="0.25">
      <c r="A8905" s="1">
        <v>41579</v>
      </c>
      <c r="B8905" t="s">
        <v>5</v>
      </c>
      <c r="C8905" t="s">
        <v>6</v>
      </c>
      <c r="D8905">
        <v>48</v>
      </c>
      <c r="E8905" s="2">
        <v>5.7638888888888892E-2</v>
      </c>
      <c r="F8905">
        <v>83</v>
      </c>
    </row>
    <row r="8906" spans="1:6" x14ac:dyDescent="0.25">
      <c r="A8906" s="1">
        <v>41579</v>
      </c>
      <c r="B8906" t="s">
        <v>5</v>
      </c>
      <c r="C8906" t="s">
        <v>7</v>
      </c>
      <c r="D8906">
        <v>57</v>
      </c>
      <c r="E8906" s="2">
        <v>5.5682870370370369E-2</v>
      </c>
      <c r="F8906">
        <v>80.183333333333337</v>
      </c>
    </row>
    <row r="8907" spans="1:6" x14ac:dyDescent="0.25">
      <c r="A8907" s="1">
        <v>41579</v>
      </c>
      <c r="B8907" t="s">
        <v>5</v>
      </c>
      <c r="C8907" t="s">
        <v>8</v>
      </c>
      <c r="D8907">
        <v>34</v>
      </c>
      <c r="E8907" s="2">
        <v>3.2500000000000001E-2</v>
      </c>
      <c r="F8907">
        <v>46.8</v>
      </c>
    </row>
    <row r="8908" spans="1:6" x14ac:dyDescent="0.25">
      <c r="A8908" s="1">
        <v>41579</v>
      </c>
      <c r="B8908" t="s">
        <v>5</v>
      </c>
      <c r="C8908" t="s">
        <v>9</v>
      </c>
      <c r="D8908">
        <v>17</v>
      </c>
      <c r="E8908" s="2">
        <v>1.1863425925925927E-2</v>
      </c>
      <c r="F8908">
        <v>17.083333333333332</v>
      </c>
    </row>
    <row r="8909" spans="1:6" x14ac:dyDescent="0.25">
      <c r="A8909" s="1">
        <v>41579</v>
      </c>
      <c r="B8909" t="s">
        <v>5</v>
      </c>
      <c r="C8909" t="s">
        <v>10</v>
      </c>
      <c r="D8909">
        <v>11</v>
      </c>
      <c r="E8909" s="2">
        <v>1.224537037037037E-2</v>
      </c>
      <c r="F8909">
        <v>17.633333333333333</v>
      </c>
    </row>
    <row r="8910" spans="1:6" x14ac:dyDescent="0.25">
      <c r="A8910" s="1">
        <v>41579</v>
      </c>
      <c r="B8910" t="s">
        <v>5</v>
      </c>
      <c r="C8910" t="s">
        <v>11</v>
      </c>
      <c r="D8910">
        <v>22</v>
      </c>
      <c r="E8910" s="2">
        <v>1.8333333333333333E-2</v>
      </c>
      <c r="F8910">
        <v>26.4</v>
      </c>
    </row>
    <row r="8911" spans="1:6" x14ac:dyDescent="0.25">
      <c r="A8911" s="1">
        <v>41579</v>
      </c>
      <c r="B8911" t="s">
        <v>12</v>
      </c>
      <c r="C8911" t="s">
        <v>6</v>
      </c>
      <c r="D8911">
        <v>47</v>
      </c>
      <c r="E8911" s="2">
        <v>7.3206018518518517E-2</v>
      </c>
      <c r="F8911">
        <v>105.41666666666667</v>
      </c>
    </row>
    <row r="8912" spans="1:6" x14ac:dyDescent="0.25">
      <c r="A8912" s="1">
        <v>41579</v>
      </c>
      <c r="B8912" t="s">
        <v>12</v>
      </c>
      <c r="C8912" t="s">
        <v>7</v>
      </c>
      <c r="D8912">
        <v>41</v>
      </c>
      <c r="E8912" s="2">
        <v>5.8425925925925923E-2</v>
      </c>
      <c r="F8912">
        <v>84.13333333333334</v>
      </c>
    </row>
    <row r="8913" spans="1:6" x14ac:dyDescent="0.25">
      <c r="A8913" s="1">
        <v>41579</v>
      </c>
      <c r="B8913" t="s">
        <v>12</v>
      </c>
      <c r="C8913" t="s">
        <v>8</v>
      </c>
      <c r="D8913">
        <v>13</v>
      </c>
      <c r="E8913" s="2">
        <v>1.8472222222222223E-2</v>
      </c>
      <c r="F8913">
        <v>26.6</v>
      </c>
    </row>
    <row r="8914" spans="1:6" x14ac:dyDescent="0.25">
      <c r="A8914" s="1">
        <v>41579</v>
      </c>
      <c r="B8914" t="s">
        <v>12</v>
      </c>
      <c r="C8914" t="s">
        <v>9</v>
      </c>
      <c r="D8914">
        <v>16</v>
      </c>
      <c r="E8914" s="2">
        <v>9.4907407407407406E-3</v>
      </c>
      <c r="F8914">
        <v>13.666666666666666</v>
      </c>
    </row>
    <row r="8915" spans="1:6" x14ac:dyDescent="0.25">
      <c r="A8915" s="1">
        <v>41579</v>
      </c>
      <c r="B8915" t="s">
        <v>12</v>
      </c>
      <c r="C8915" t="s">
        <v>10</v>
      </c>
      <c r="D8915">
        <v>25</v>
      </c>
      <c r="E8915" s="2">
        <v>4.8020833333333332E-2</v>
      </c>
      <c r="F8915">
        <v>69.150000000000006</v>
      </c>
    </row>
    <row r="8916" spans="1:6" x14ac:dyDescent="0.25">
      <c r="A8916" s="1">
        <v>41579</v>
      </c>
      <c r="B8916" t="s">
        <v>12</v>
      </c>
      <c r="C8916" t="s">
        <v>11</v>
      </c>
      <c r="D8916">
        <v>45</v>
      </c>
      <c r="E8916" s="2">
        <v>5.6967592592592591E-2</v>
      </c>
      <c r="F8916">
        <v>82.033333333333331</v>
      </c>
    </row>
    <row r="8917" spans="1:6" x14ac:dyDescent="0.25">
      <c r="A8917" s="1">
        <v>41579</v>
      </c>
      <c r="B8917" t="s">
        <v>13</v>
      </c>
      <c r="C8917" t="s">
        <v>6</v>
      </c>
      <c r="D8917">
        <v>92</v>
      </c>
      <c r="E8917" s="2">
        <v>0.10697916666666667</v>
      </c>
      <c r="F8917">
        <v>154.05000000000001</v>
      </c>
    </row>
    <row r="8918" spans="1:6" x14ac:dyDescent="0.25">
      <c r="A8918" s="1">
        <v>41579</v>
      </c>
      <c r="B8918" t="s">
        <v>13</v>
      </c>
      <c r="C8918" t="s">
        <v>7</v>
      </c>
      <c r="D8918">
        <v>109</v>
      </c>
      <c r="E8918" s="2">
        <v>0.13677083333333334</v>
      </c>
      <c r="F8918">
        <v>196.95</v>
      </c>
    </row>
    <row r="8919" spans="1:6" x14ac:dyDescent="0.25">
      <c r="A8919" s="1">
        <v>41579</v>
      </c>
      <c r="B8919" t="s">
        <v>13</v>
      </c>
      <c r="C8919" t="s">
        <v>8</v>
      </c>
      <c r="D8919">
        <v>71</v>
      </c>
      <c r="E8919" s="2">
        <v>8.2071759259259261E-2</v>
      </c>
      <c r="F8919">
        <v>118.18333333333334</v>
      </c>
    </row>
    <row r="8920" spans="1:6" x14ac:dyDescent="0.25">
      <c r="A8920" s="1">
        <v>41579</v>
      </c>
      <c r="B8920" t="s">
        <v>13</v>
      </c>
      <c r="C8920" t="s">
        <v>9</v>
      </c>
      <c r="D8920">
        <v>41</v>
      </c>
      <c r="E8920" s="2">
        <v>3.1261574074074074E-2</v>
      </c>
      <c r="F8920">
        <v>45.016666666666666</v>
      </c>
    </row>
    <row r="8921" spans="1:6" x14ac:dyDescent="0.25">
      <c r="A8921" s="1">
        <v>41579</v>
      </c>
      <c r="B8921" t="s">
        <v>13</v>
      </c>
      <c r="C8921" t="s">
        <v>10</v>
      </c>
      <c r="D8921">
        <v>20</v>
      </c>
      <c r="E8921" s="2">
        <v>2.9502314814814815E-2</v>
      </c>
      <c r="F8921">
        <v>42.483333333333334</v>
      </c>
    </row>
    <row r="8922" spans="1:6" x14ac:dyDescent="0.25">
      <c r="A8922" s="1">
        <v>41579</v>
      </c>
      <c r="B8922" t="s">
        <v>13</v>
      </c>
      <c r="C8922" t="s">
        <v>11</v>
      </c>
      <c r="D8922">
        <v>66</v>
      </c>
      <c r="E8922" s="2">
        <v>6.25E-2</v>
      </c>
      <c r="F8922">
        <v>90</v>
      </c>
    </row>
    <row r="8923" spans="1:6" x14ac:dyDescent="0.25">
      <c r="A8923" s="1">
        <v>41579</v>
      </c>
      <c r="B8923" t="s">
        <v>14</v>
      </c>
      <c r="C8923" t="s">
        <v>6</v>
      </c>
      <c r="D8923">
        <v>7</v>
      </c>
      <c r="E8923" s="2">
        <v>8.472222222222223E-3</v>
      </c>
      <c r="F8923">
        <v>12.2</v>
      </c>
    </row>
    <row r="8924" spans="1:6" x14ac:dyDescent="0.25">
      <c r="A8924" s="1">
        <v>41579</v>
      </c>
      <c r="B8924" t="s">
        <v>14</v>
      </c>
      <c r="C8924" t="s">
        <v>7</v>
      </c>
      <c r="D8924">
        <v>6</v>
      </c>
      <c r="E8924" s="2">
        <v>1.6215277777777776E-2</v>
      </c>
      <c r="F8924">
        <v>23.35</v>
      </c>
    </row>
    <row r="8925" spans="1:6" x14ac:dyDescent="0.25">
      <c r="A8925" s="1">
        <v>41579</v>
      </c>
      <c r="B8925" t="s">
        <v>14</v>
      </c>
      <c r="C8925" t="s">
        <v>8</v>
      </c>
      <c r="D8925">
        <v>8</v>
      </c>
      <c r="E8925" s="2">
        <v>7.4999999999999997E-3</v>
      </c>
      <c r="F8925">
        <v>10.8</v>
      </c>
    </row>
    <row r="8926" spans="1:6" x14ac:dyDescent="0.25">
      <c r="A8926" s="1">
        <v>41579</v>
      </c>
      <c r="B8926" t="s">
        <v>14</v>
      </c>
      <c r="C8926" t="s">
        <v>9</v>
      </c>
      <c r="D8926">
        <v>5</v>
      </c>
      <c r="E8926" s="2">
        <v>2.3379629629629631E-3</v>
      </c>
      <c r="F8926">
        <v>3.3666666666666667</v>
      </c>
    </row>
    <row r="8927" spans="1:6" x14ac:dyDescent="0.25">
      <c r="A8927" s="1">
        <v>41579</v>
      </c>
      <c r="B8927" t="s">
        <v>14</v>
      </c>
      <c r="C8927" t="s">
        <v>10</v>
      </c>
      <c r="D8927">
        <v>3</v>
      </c>
      <c r="E8927" s="2">
        <v>4.363425925925926E-3</v>
      </c>
      <c r="F8927">
        <v>6.2833333333333332</v>
      </c>
    </row>
    <row r="8928" spans="1:6" x14ac:dyDescent="0.25">
      <c r="A8928" s="1">
        <v>41579</v>
      </c>
      <c r="B8928" t="s">
        <v>14</v>
      </c>
      <c r="C8928" t="s">
        <v>11</v>
      </c>
      <c r="D8928">
        <v>7</v>
      </c>
      <c r="E8928" s="2">
        <v>6.030092592592593E-3</v>
      </c>
      <c r="F8928">
        <v>8.6833333333333336</v>
      </c>
    </row>
    <row r="8929" spans="1:6" x14ac:dyDescent="0.25">
      <c r="A8929" s="1">
        <v>41579</v>
      </c>
      <c r="B8929" t="s">
        <v>15</v>
      </c>
      <c r="C8929" t="s">
        <v>6</v>
      </c>
      <c r="D8929">
        <v>10</v>
      </c>
      <c r="E8929" s="2">
        <v>1.3506944444444445E-2</v>
      </c>
      <c r="F8929">
        <v>19.45</v>
      </c>
    </row>
    <row r="8930" spans="1:6" x14ac:dyDescent="0.25">
      <c r="A8930" s="1">
        <v>41579</v>
      </c>
      <c r="B8930" t="s">
        <v>15</v>
      </c>
      <c r="C8930" t="s">
        <v>7</v>
      </c>
      <c r="D8930">
        <v>26</v>
      </c>
      <c r="E8930" s="2">
        <v>2.3136574074074073E-2</v>
      </c>
      <c r="F8930">
        <v>33.31666666666667</v>
      </c>
    </row>
    <row r="8931" spans="1:6" x14ac:dyDescent="0.25">
      <c r="A8931" s="1">
        <v>41579</v>
      </c>
      <c r="B8931" t="s">
        <v>15</v>
      </c>
      <c r="C8931" t="s">
        <v>8</v>
      </c>
      <c r="D8931">
        <v>21</v>
      </c>
      <c r="E8931" s="2">
        <v>1.7326388888888888E-2</v>
      </c>
      <c r="F8931">
        <v>24.95</v>
      </c>
    </row>
    <row r="8932" spans="1:6" x14ac:dyDescent="0.25">
      <c r="A8932" s="1">
        <v>41579</v>
      </c>
      <c r="B8932" t="s">
        <v>15</v>
      </c>
      <c r="C8932" t="s">
        <v>9</v>
      </c>
      <c r="D8932">
        <v>6</v>
      </c>
      <c r="E8932" s="2">
        <v>3.8888888888888888E-3</v>
      </c>
      <c r="F8932">
        <v>5.6</v>
      </c>
    </row>
    <row r="8933" spans="1:6" x14ac:dyDescent="0.25">
      <c r="A8933" s="1">
        <v>41579</v>
      </c>
      <c r="B8933" t="s">
        <v>15</v>
      </c>
      <c r="C8933" t="s">
        <v>10</v>
      </c>
      <c r="D8933">
        <v>13</v>
      </c>
      <c r="E8933" s="2">
        <v>1.4675925925925926E-2</v>
      </c>
      <c r="F8933">
        <v>21.133333333333333</v>
      </c>
    </row>
    <row r="8934" spans="1:6" x14ac:dyDescent="0.25">
      <c r="A8934" s="1">
        <v>41579</v>
      </c>
      <c r="B8934" t="s">
        <v>15</v>
      </c>
      <c r="C8934" t="s">
        <v>11</v>
      </c>
      <c r="D8934">
        <v>14</v>
      </c>
      <c r="E8934" s="2">
        <v>9.6759259259259264E-3</v>
      </c>
      <c r="F8934">
        <v>13.933333333333334</v>
      </c>
    </row>
    <row r="8935" spans="1:6" x14ac:dyDescent="0.25">
      <c r="A8935" s="1">
        <v>41579</v>
      </c>
      <c r="B8935" t="s">
        <v>16</v>
      </c>
      <c r="C8935" t="s">
        <v>6</v>
      </c>
      <c r="D8935">
        <v>33</v>
      </c>
      <c r="E8935" s="2">
        <v>3.6273148148148152E-2</v>
      </c>
      <c r="F8935">
        <v>52.233333333333334</v>
      </c>
    </row>
    <row r="8936" spans="1:6" x14ac:dyDescent="0.25">
      <c r="A8936" s="1">
        <v>41579</v>
      </c>
      <c r="B8936" t="s">
        <v>16</v>
      </c>
      <c r="C8936" t="s">
        <v>7</v>
      </c>
      <c r="D8936">
        <v>37</v>
      </c>
      <c r="E8936" s="2">
        <v>3.2118055555555552E-2</v>
      </c>
      <c r="F8936">
        <v>46.25</v>
      </c>
    </row>
    <row r="8937" spans="1:6" x14ac:dyDescent="0.25">
      <c r="A8937" s="1">
        <v>41579</v>
      </c>
      <c r="B8937" t="s">
        <v>16</v>
      </c>
      <c r="C8937" t="s">
        <v>8</v>
      </c>
      <c r="D8937">
        <v>41</v>
      </c>
      <c r="E8937" s="2">
        <v>3.4201388888888892E-2</v>
      </c>
      <c r="F8937">
        <v>49.25</v>
      </c>
    </row>
    <row r="8938" spans="1:6" x14ac:dyDescent="0.25">
      <c r="A8938" s="1">
        <v>41579</v>
      </c>
      <c r="B8938" t="s">
        <v>16</v>
      </c>
      <c r="C8938" t="s">
        <v>9</v>
      </c>
      <c r="D8938">
        <v>15</v>
      </c>
      <c r="E8938" s="2">
        <v>1.2268518518518519E-2</v>
      </c>
      <c r="F8938">
        <v>17.666666666666668</v>
      </c>
    </row>
    <row r="8939" spans="1:6" x14ac:dyDescent="0.25">
      <c r="A8939" s="1">
        <v>41579</v>
      </c>
      <c r="B8939" t="s">
        <v>16</v>
      </c>
      <c r="C8939" t="s">
        <v>10</v>
      </c>
      <c r="D8939">
        <v>1</v>
      </c>
      <c r="E8939" s="2">
        <v>5.7870370370370367E-4</v>
      </c>
      <c r="F8939">
        <v>0.83333333333333337</v>
      </c>
    </row>
    <row r="8940" spans="1:6" x14ac:dyDescent="0.25">
      <c r="A8940" s="1">
        <v>41579</v>
      </c>
      <c r="B8940" t="s">
        <v>16</v>
      </c>
      <c r="C8940" t="s">
        <v>11</v>
      </c>
      <c r="D8940">
        <v>46</v>
      </c>
      <c r="E8940" s="2">
        <v>3.9282407407407405E-2</v>
      </c>
      <c r="F8940">
        <v>56.56666666666667</v>
      </c>
    </row>
    <row r="8941" spans="1:6" x14ac:dyDescent="0.25">
      <c r="A8941" s="1">
        <v>41579</v>
      </c>
      <c r="B8941" t="s">
        <v>17</v>
      </c>
      <c r="C8941" t="s">
        <v>6</v>
      </c>
      <c r="D8941">
        <v>27</v>
      </c>
      <c r="E8941" s="2">
        <v>3.3506944444444443E-2</v>
      </c>
      <c r="F8941">
        <v>48.25</v>
      </c>
    </row>
    <row r="8942" spans="1:6" x14ac:dyDescent="0.25">
      <c r="A8942" s="1">
        <v>41579</v>
      </c>
      <c r="B8942" t="s">
        <v>17</v>
      </c>
      <c r="C8942" t="s">
        <v>7</v>
      </c>
      <c r="D8942">
        <v>31</v>
      </c>
      <c r="E8942" s="2">
        <v>4.1099537037037039E-2</v>
      </c>
      <c r="F8942">
        <v>59.18333333333333</v>
      </c>
    </row>
    <row r="8943" spans="1:6" x14ac:dyDescent="0.25">
      <c r="A8943" s="1">
        <v>41579</v>
      </c>
      <c r="B8943" t="s">
        <v>17</v>
      </c>
      <c r="C8943" t="s">
        <v>8</v>
      </c>
      <c r="D8943">
        <v>23</v>
      </c>
      <c r="E8943" s="2">
        <v>2.826388888888889E-2</v>
      </c>
      <c r="F8943">
        <v>40.700000000000003</v>
      </c>
    </row>
    <row r="8944" spans="1:6" x14ac:dyDescent="0.25">
      <c r="A8944" s="1">
        <v>41579</v>
      </c>
      <c r="B8944" t="s">
        <v>17</v>
      </c>
      <c r="C8944" t="s">
        <v>9</v>
      </c>
      <c r="D8944">
        <v>10</v>
      </c>
      <c r="E8944" s="2">
        <v>5.9837962962962961E-3</v>
      </c>
      <c r="F8944">
        <v>8.6166666666666671</v>
      </c>
    </row>
    <row r="8945" spans="1:6" x14ac:dyDescent="0.25">
      <c r="A8945" s="1">
        <v>41579</v>
      </c>
      <c r="B8945" t="s">
        <v>17</v>
      </c>
      <c r="C8945" t="s">
        <v>10</v>
      </c>
      <c r="D8945">
        <v>16</v>
      </c>
      <c r="E8945" s="2">
        <v>2.0474537037037038E-2</v>
      </c>
      <c r="F8945">
        <v>29.483333333333334</v>
      </c>
    </row>
    <row r="8946" spans="1:6" x14ac:dyDescent="0.25">
      <c r="A8946" s="1">
        <v>41579</v>
      </c>
      <c r="B8946" t="s">
        <v>17</v>
      </c>
      <c r="C8946" t="s">
        <v>11</v>
      </c>
      <c r="D8946">
        <v>17</v>
      </c>
      <c r="E8946" s="2">
        <v>1.6655092592592593E-2</v>
      </c>
      <c r="F8946">
        <v>23.983333333333334</v>
      </c>
    </row>
    <row r="8947" spans="1:6" x14ac:dyDescent="0.25">
      <c r="A8947" s="1">
        <v>41579</v>
      </c>
      <c r="B8947" t="s">
        <v>18</v>
      </c>
      <c r="C8947" t="s">
        <v>6</v>
      </c>
      <c r="D8947">
        <v>52</v>
      </c>
      <c r="E8947" s="2">
        <v>6.4143518518518516E-2</v>
      </c>
      <c r="F8947">
        <v>92.36666666666666</v>
      </c>
    </row>
    <row r="8948" spans="1:6" x14ac:dyDescent="0.25">
      <c r="A8948" s="1">
        <v>41579</v>
      </c>
      <c r="B8948" t="s">
        <v>18</v>
      </c>
      <c r="C8948" t="s">
        <v>7</v>
      </c>
      <c r="D8948">
        <v>78</v>
      </c>
      <c r="E8948" s="2">
        <v>8.9733796296296298E-2</v>
      </c>
      <c r="F8948">
        <v>129.21666666666667</v>
      </c>
    </row>
    <row r="8949" spans="1:6" x14ac:dyDescent="0.25">
      <c r="A8949" s="1">
        <v>41579</v>
      </c>
      <c r="B8949" t="s">
        <v>18</v>
      </c>
      <c r="C8949" t="s">
        <v>8</v>
      </c>
      <c r="D8949">
        <v>40</v>
      </c>
      <c r="E8949" s="2">
        <v>3.9108796296296294E-2</v>
      </c>
      <c r="F8949">
        <v>56.31666666666667</v>
      </c>
    </row>
    <row r="8950" spans="1:6" x14ac:dyDescent="0.25">
      <c r="A8950" s="1">
        <v>41579</v>
      </c>
      <c r="B8950" t="s">
        <v>18</v>
      </c>
      <c r="C8950" t="s">
        <v>9</v>
      </c>
      <c r="D8950">
        <v>61</v>
      </c>
      <c r="E8950" s="2">
        <v>4.4050925925925924E-2</v>
      </c>
      <c r="F8950">
        <v>63.43333333333333</v>
      </c>
    </row>
    <row r="8951" spans="1:6" x14ac:dyDescent="0.25">
      <c r="A8951" s="1">
        <v>41579</v>
      </c>
      <c r="B8951" t="s">
        <v>18</v>
      </c>
      <c r="C8951" t="s">
        <v>10</v>
      </c>
      <c r="D8951">
        <v>102</v>
      </c>
      <c r="E8951" s="2">
        <v>0.11482638888888889</v>
      </c>
      <c r="F8951">
        <v>165.35</v>
      </c>
    </row>
    <row r="8952" spans="1:6" x14ac:dyDescent="0.25">
      <c r="A8952" s="1">
        <v>41579</v>
      </c>
      <c r="B8952" t="s">
        <v>18</v>
      </c>
      <c r="C8952" t="s">
        <v>11</v>
      </c>
      <c r="D8952">
        <v>46</v>
      </c>
      <c r="E8952" s="2">
        <v>4.4374999999999998E-2</v>
      </c>
      <c r="F8952">
        <v>63.9</v>
      </c>
    </row>
    <row r="8953" spans="1:6" x14ac:dyDescent="0.25">
      <c r="A8953" s="1">
        <v>41579</v>
      </c>
      <c r="B8953" t="s">
        <v>19</v>
      </c>
      <c r="C8953" t="s">
        <v>6</v>
      </c>
      <c r="D8953">
        <v>12</v>
      </c>
      <c r="E8953" s="2">
        <v>1.8217592592592594E-2</v>
      </c>
      <c r="F8953">
        <v>26.233333333333334</v>
      </c>
    </row>
    <row r="8954" spans="1:6" x14ac:dyDescent="0.25">
      <c r="A8954" s="1">
        <v>41579</v>
      </c>
      <c r="B8954" t="s">
        <v>19</v>
      </c>
      <c r="C8954" t="s">
        <v>7</v>
      </c>
      <c r="D8954">
        <v>15</v>
      </c>
      <c r="E8954" s="2">
        <v>1.7210648148148149E-2</v>
      </c>
      <c r="F8954">
        <v>24.783333333333335</v>
      </c>
    </row>
    <row r="8955" spans="1:6" x14ac:dyDescent="0.25">
      <c r="A8955" s="1">
        <v>41579</v>
      </c>
      <c r="B8955" t="s">
        <v>19</v>
      </c>
      <c r="C8955" t="s">
        <v>8</v>
      </c>
      <c r="D8955">
        <v>25</v>
      </c>
      <c r="E8955" s="2">
        <v>3.0543981481481481E-2</v>
      </c>
      <c r="F8955">
        <v>43.983333333333334</v>
      </c>
    </row>
    <row r="8956" spans="1:6" x14ac:dyDescent="0.25">
      <c r="A8956" s="1">
        <v>41579</v>
      </c>
      <c r="B8956" t="s">
        <v>19</v>
      </c>
      <c r="C8956" t="s">
        <v>9</v>
      </c>
      <c r="D8956">
        <v>19</v>
      </c>
      <c r="E8956" s="2">
        <v>1.2777777777777779E-2</v>
      </c>
      <c r="F8956">
        <v>18.399999999999999</v>
      </c>
    </row>
    <row r="8957" spans="1:6" x14ac:dyDescent="0.25">
      <c r="A8957" s="1">
        <v>41579</v>
      </c>
      <c r="B8957" t="s">
        <v>19</v>
      </c>
      <c r="C8957" t="s">
        <v>10</v>
      </c>
      <c r="D8957">
        <v>7</v>
      </c>
      <c r="E8957" s="2">
        <v>1.0625000000000001E-2</v>
      </c>
      <c r="F8957">
        <v>15.3</v>
      </c>
    </row>
    <row r="8958" spans="1:6" x14ac:dyDescent="0.25">
      <c r="A8958" s="1">
        <v>41579</v>
      </c>
      <c r="B8958" t="s">
        <v>19</v>
      </c>
      <c r="C8958" t="s">
        <v>11</v>
      </c>
      <c r="D8958">
        <v>32</v>
      </c>
      <c r="E8958" s="2">
        <v>3.1203703703703702E-2</v>
      </c>
      <c r="F8958">
        <v>44.93333333333333</v>
      </c>
    </row>
    <row r="8959" spans="1:6" x14ac:dyDescent="0.25">
      <c r="A8959" s="1">
        <v>41579</v>
      </c>
      <c r="B8959" t="s">
        <v>20</v>
      </c>
      <c r="C8959" t="s">
        <v>6</v>
      </c>
      <c r="D8959">
        <v>28</v>
      </c>
      <c r="E8959" s="2">
        <v>3.5277777777777776E-2</v>
      </c>
      <c r="F8959">
        <v>50.8</v>
      </c>
    </row>
    <row r="8960" spans="1:6" x14ac:dyDescent="0.25">
      <c r="A8960" s="1">
        <v>41579</v>
      </c>
      <c r="B8960" t="s">
        <v>20</v>
      </c>
      <c r="C8960" t="s">
        <v>7</v>
      </c>
      <c r="D8960">
        <v>28</v>
      </c>
      <c r="E8960" s="2">
        <v>2.8483796296296295E-2</v>
      </c>
      <c r="F8960">
        <v>41.016666666666666</v>
      </c>
    </row>
    <row r="8961" spans="1:6" x14ac:dyDescent="0.25">
      <c r="A8961" s="1">
        <v>41579</v>
      </c>
      <c r="B8961" t="s">
        <v>20</v>
      </c>
      <c r="C8961" t="s">
        <v>8</v>
      </c>
      <c r="D8961">
        <v>29</v>
      </c>
      <c r="E8961" s="2">
        <v>3.0520833333333334E-2</v>
      </c>
      <c r="F8961">
        <v>43.95</v>
      </c>
    </row>
    <row r="8962" spans="1:6" x14ac:dyDescent="0.25">
      <c r="A8962" s="1">
        <v>41579</v>
      </c>
      <c r="B8962" t="s">
        <v>20</v>
      </c>
      <c r="C8962" t="s">
        <v>9</v>
      </c>
      <c r="D8962">
        <v>26</v>
      </c>
      <c r="E8962" s="2">
        <v>1.712962962962963E-2</v>
      </c>
      <c r="F8962">
        <v>24.666666666666668</v>
      </c>
    </row>
    <row r="8963" spans="1:6" x14ac:dyDescent="0.25">
      <c r="A8963" s="1">
        <v>41579</v>
      </c>
      <c r="B8963" t="s">
        <v>20</v>
      </c>
      <c r="C8963" t="s">
        <v>10</v>
      </c>
      <c r="D8963">
        <v>5</v>
      </c>
      <c r="E8963" s="2">
        <v>5.4629629629629629E-3</v>
      </c>
      <c r="F8963">
        <v>7.8666666666666671</v>
      </c>
    </row>
    <row r="8964" spans="1:6" x14ac:dyDescent="0.25">
      <c r="A8964" s="1">
        <v>41579</v>
      </c>
      <c r="B8964" t="s">
        <v>20</v>
      </c>
      <c r="C8964" t="s">
        <v>11</v>
      </c>
      <c r="D8964">
        <v>20</v>
      </c>
      <c r="E8964" s="2">
        <v>1.5995370370370372E-2</v>
      </c>
      <c r="F8964">
        <v>23.033333333333335</v>
      </c>
    </row>
    <row r="8965" spans="1:6" x14ac:dyDescent="0.25">
      <c r="A8965" s="1">
        <v>41579</v>
      </c>
      <c r="B8965" t="s">
        <v>21</v>
      </c>
      <c r="C8965" t="s">
        <v>6</v>
      </c>
      <c r="D8965">
        <v>11</v>
      </c>
      <c r="E8965" s="2">
        <v>1.369212962962963E-2</v>
      </c>
      <c r="F8965">
        <v>19.716666666666665</v>
      </c>
    </row>
    <row r="8966" spans="1:6" x14ac:dyDescent="0.25">
      <c r="A8966" s="1">
        <v>41579</v>
      </c>
      <c r="B8966" t="s">
        <v>21</v>
      </c>
      <c r="C8966" t="s">
        <v>7</v>
      </c>
      <c r="D8966">
        <v>18</v>
      </c>
      <c r="E8966" s="2">
        <v>3.8425925925925926E-2</v>
      </c>
      <c r="F8966">
        <v>55.333333333333336</v>
      </c>
    </row>
    <row r="8967" spans="1:6" x14ac:dyDescent="0.25">
      <c r="A8967" s="1">
        <v>41579</v>
      </c>
      <c r="B8967" t="s">
        <v>21</v>
      </c>
      <c r="C8967" t="s">
        <v>8</v>
      </c>
      <c r="D8967">
        <v>16</v>
      </c>
      <c r="E8967" s="2">
        <v>1.7222222222222222E-2</v>
      </c>
      <c r="F8967">
        <v>24.8</v>
      </c>
    </row>
    <row r="8968" spans="1:6" x14ac:dyDescent="0.25">
      <c r="A8968" s="1">
        <v>41579</v>
      </c>
      <c r="B8968" t="s">
        <v>21</v>
      </c>
      <c r="C8968" t="s">
        <v>9</v>
      </c>
      <c r="D8968">
        <v>3</v>
      </c>
      <c r="E8968" s="2">
        <v>1.724537037037037E-3</v>
      </c>
      <c r="F8968">
        <v>2.4833333333333334</v>
      </c>
    </row>
    <row r="8969" spans="1:6" x14ac:dyDescent="0.25">
      <c r="A8969" s="1">
        <v>41579</v>
      </c>
      <c r="B8969" t="s">
        <v>21</v>
      </c>
      <c r="C8969" t="s">
        <v>10</v>
      </c>
      <c r="D8969">
        <v>0</v>
      </c>
      <c r="E8969" s="2">
        <v>0</v>
      </c>
      <c r="F8969">
        <v>0</v>
      </c>
    </row>
    <row r="8970" spans="1:6" x14ac:dyDescent="0.25">
      <c r="A8970" s="1">
        <v>41579</v>
      </c>
      <c r="B8970" t="s">
        <v>21</v>
      </c>
      <c r="C8970" t="s">
        <v>11</v>
      </c>
      <c r="D8970">
        <v>11</v>
      </c>
      <c r="E8970" s="2">
        <v>1.4282407407407407E-2</v>
      </c>
      <c r="F8970">
        <v>20.566666666666666</v>
      </c>
    </row>
    <row r="8971" spans="1:6" x14ac:dyDescent="0.25">
      <c r="A8971" s="1">
        <v>41579</v>
      </c>
      <c r="B8971" t="s">
        <v>22</v>
      </c>
      <c r="C8971" t="s">
        <v>6</v>
      </c>
      <c r="D8971">
        <v>6</v>
      </c>
      <c r="E8971" s="2">
        <v>7.9282407407407409E-3</v>
      </c>
      <c r="F8971">
        <v>11.416666666666666</v>
      </c>
    </row>
    <row r="8972" spans="1:6" x14ac:dyDescent="0.25">
      <c r="A8972" s="1">
        <v>41579</v>
      </c>
      <c r="B8972" t="s">
        <v>22</v>
      </c>
      <c r="C8972" t="s">
        <v>7</v>
      </c>
      <c r="D8972">
        <v>15</v>
      </c>
      <c r="E8972" s="2">
        <v>1.5729166666666666E-2</v>
      </c>
      <c r="F8972">
        <v>22.65</v>
      </c>
    </row>
    <row r="8973" spans="1:6" x14ac:dyDescent="0.25">
      <c r="A8973" s="1">
        <v>41579</v>
      </c>
      <c r="B8973" t="s">
        <v>22</v>
      </c>
      <c r="C8973" t="s">
        <v>8</v>
      </c>
      <c r="D8973">
        <v>8</v>
      </c>
      <c r="E8973" s="2">
        <v>7.8009259259259256E-3</v>
      </c>
      <c r="F8973">
        <v>11.233333333333333</v>
      </c>
    </row>
    <row r="8974" spans="1:6" x14ac:dyDescent="0.25">
      <c r="A8974" s="1">
        <v>41579</v>
      </c>
      <c r="B8974" t="s">
        <v>22</v>
      </c>
      <c r="C8974" t="s">
        <v>9</v>
      </c>
      <c r="D8974">
        <v>5</v>
      </c>
      <c r="E8974" s="2">
        <v>3.8657407407407408E-3</v>
      </c>
      <c r="F8974">
        <v>5.5666666666666664</v>
      </c>
    </row>
    <row r="8975" spans="1:6" x14ac:dyDescent="0.25">
      <c r="A8975" s="1">
        <v>41579</v>
      </c>
      <c r="B8975" t="s">
        <v>22</v>
      </c>
      <c r="C8975" t="s">
        <v>10</v>
      </c>
      <c r="D8975">
        <v>4</v>
      </c>
      <c r="E8975" s="2">
        <v>2.5810185185185185E-3</v>
      </c>
      <c r="F8975">
        <v>3.7166666666666668</v>
      </c>
    </row>
    <row r="8976" spans="1:6" x14ac:dyDescent="0.25">
      <c r="A8976" s="1">
        <v>41579</v>
      </c>
      <c r="B8976" t="s">
        <v>22</v>
      </c>
      <c r="C8976" t="s">
        <v>11</v>
      </c>
      <c r="D8976">
        <v>8</v>
      </c>
      <c r="E8976" s="2">
        <v>9.4212962962962957E-3</v>
      </c>
      <c r="F8976">
        <v>13.566666666666666</v>
      </c>
    </row>
    <row r="8977" spans="1:6" x14ac:dyDescent="0.25">
      <c r="A8977" s="1">
        <v>41579</v>
      </c>
      <c r="B8977" t="s">
        <v>23</v>
      </c>
      <c r="C8977" t="s">
        <v>6</v>
      </c>
      <c r="D8977">
        <v>74</v>
      </c>
      <c r="E8977" s="2">
        <v>9.7754629629629636E-2</v>
      </c>
      <c r="F8977">
        <v>140.76666666666668</v>
      </c>
    </row>
    <row r="8978" spans="1:6" x14ac:dyDescent="0.25">
      <c r="A8978" s="1">
        <v>41579</v>
      </c>
      <c r="B8978" t="s">
        <v>23</v>
      </c>
      <c r="C8978" t="s">
        <v>7</v>
      </c>
      <c r="D8978">
        <v>93</v>
      </c>
      <c r="E8978" s="2">
        <v>0.15614583333333334</v>
      </c>
      <c r="F8978">
        <v>224.85</v>
      </c>
    </row>
    <row r="8979" spans="1:6" x14ac:dyDescent="0.25">
      <c r="A8979" s="1">
        <v>41579</v>
      </c>
      <c r="B8979" t="s">
        <v>23</v>
      </c>
      <c r="C8979" t="s">
        <v>8</v>
      </c>
      <c r="D8979">
        <v>66</v>
      </c>
      <c r="E8979" s="2">
        <v>6.9594907407407411E-2</v>
      </c>
      <c r="F8979">
        <v>100.21666666666667</v>
      </c>
    </row>
    <row r="8980" spans="1:6" x14ac:dyDescent="0.25">
      <c r="A8980" s="1">
        <v>41579</v>
      </c>
      <c r="B8980" t="s">
        <v>23</v>
      </c>
      <c r="C8980" t="s">
        <v>9</v>
      </c>
      <c r="D8980">
        <v>54</v>
      </c>
      <c r="E8980" s="2">
        <v>3.7615740740740741E-2</v>
      </c>
      <c r="F8980">
        <v>54.166666666666664</v>
      </c>
    </row>
    <row r="8981" spans="1:6" x14ac:dyDescent="0.25">
      <c r="A8981" s="1">
        <v>41579</v>
      </c>
      <c r="B8981" t="s">
        <v>23</v>
      </c>
      <c r="C8981" t="s">
        <v>10</v>
      </c>
      <c r="D8981">
        <v>32</v>
      </c>
      <c r="E8981" s="2">
        <v>5.1284722222222225E-2</v>
      </c>
      <c r="F8981">
        <v>73.849999999999994</v>
      </c>
    </row>
    <row r="8982" spans="1:6" x14ac:dyDescent="0.25">
      <c r="A8982" s="1">
        <v>41579</v>
      </c>
      <c r="B8982" t="s">
        <v>23</v>
      </c>
      <c r="C8982" t="s">
        <v>11</v>
      </c>
      <c r="D8982">
        <v>60</v>
      </c>
      <c r="E8982" s="2">
        <v>6.8159722222222219E-2</v>
      </c>
      <c r="F8982">
        <v>98.15</v>
      </c>
    </row>
    <row r="8983" spans="1:6" x14ac:dyDescent="0.25">
      <c r="A8983" s="1">
        <v>41579</v>
      </c>
      <c r="B8983" t="s">
        <v>24</v>
      </c>
      <c r="C8983" t="s">
        <v>6</v>
      </c>
      <c r="D8983">
        <v>52</v>
      </c>
      <c r="E8983" s="2">
        <v>6.0243055555555557E-2</v>
      </c>
      <c r="F8983">
        <v>86.75</v>
      </c>
    </row>
    <row r="8984" spans="1:6" x14ac:dyDescent="0.25">
      <c r="A8984" s="1">
        <v>41579</v>
      </c>
      <c r="B8984" t="s">
        <v>24</v>
      </c>
      <c r="C8984" t="s">
        <v>7</v>
      </c>
      <c r="D8984">
        <v>32</v>
      </c>
      <c r="E8984" s="2">
        <v>2.5023148148148149E-2</v>
      </c>
      <c r="F8984">
        <v>36.033333333333331</v>
      </c>
    </row>
    <row r="8985" spans="1:6" x14ac:dyDescent="0.25">
      <c r="A8985" s="1">
        <v>41579</v>
      </c>
      <c r="B8985" t="s">
        <v>24</v>
      </c>
      <c r="C8985" t="s">
        <v>8</v>
      </c>
      <c r="D8985">
        <v>27</v>
      </c>
      <c r="E8985" s="2">
        <v>2.2222222222222223E-2</v>
      </c>
      <c r="F8985">
        <v>32</v>
      </c>
    </row>
    <row r="8986" spans="1:6" x14ac:dyDescent="0.25">
      <c r="A8986" s="1">
        <v>41579</v>
      </c>
      <c r="B8986" t="s">
        <v>24</v>
      </c>
      <c r="C8986" t="s">
        <v>9</v>
      </c>
      <c r="D8986">
        <v>24</v>
      </c>
      <c r="E8986" s="2">
        <v>1.9780092592592592E-2</v>
      </c>
      <c r="F8986">
        <v>28.483333333333334</v>
      </c>
    </row>
    <row r="8987" spans="1:6" x14ac:dyDescent="0.25">
      <c r="A8987" s="1">
        <v>41579</v>
      </c>
      <c r="B8987" t="s">
        <v>24</v>
      </c>
      <c r="C8987" t="s">
        <v>10</v>
      </c>
      <c r="D8987">
        <v>2</v>
      </c>
      <c r="E8987" s="2">
        <v>3.3796296296296296E-3</v>
      </c>
      <c r="F8987">
        <v>4.8666666666666671</v>
      </c>
    </row>
    <row r="8988" spans="1:6" x14ac:dyDescent="0.25">
      <c r="A8988" s="1">
        <v>41579</v>
      </c>
      <c r="B8988" t="s">
        <v>24</v>
      </c>
      <c r="C8988" t="s">
        <v>11</v>
      </c>
      <c r="D8988">
        <v>26</v>
      </c>
      <c r="E8988" s="2">
        <v>1.7280092592592593E-2</v>
      </c>
      <c r="F8988">
        <v>24.883333333333333</v>
      </c>
    </row>
    <row r="8989" spans="1:6" x14ac:dyDescent="0.25">
      <c r="A8989" s="1">
        <v>41609</v>
      </c>
      <c r="B8989" t="s">
        <v>5</v>
      </c>
      <c r="C8989" t="s">
        <v>6</v>
      </c>
      <c r="D8989">
        <v>58</v>
      </c>
      <c r="E8989" s="2">
        <v>5.7500000000000002E-2</v>
      </c>
      <c r="F8989">
        <v>82.8</v>
      </c>
    </row>
    <row r="8990" spans="1:6" x14ac:dyDescent="0.25">
      <c r="A8990" s="1">
        <v>41609</v>
      </c>
      <c r="B8990" t="s">
        <v>5</v>
      </c>
      <c r="C8990" t="s">
        <v>7</v>
      </c>
      <c r="D8990">
        <v>60</v>
      </c>
      <c r="E8990" s="2">
        <v>5.2152777777777777E-2</v>
      </c>
      <c r="F8990">
        <v>75.099999999999994</v>
      </c>
    </row>
    <row r="8991" spans="1:6" x14ac:dyDescent="0.25">
      <c r="A8991" s="1">
        <v>41609</v>
      </c>
      <c r="B8991" t="s">
        <v>5</v>
      </c>
      <c r="C8991" t="s">
        <v>8</v>
      </c>
      <c r="D8991">
        <v>51</v>
      </c>
      <c r="E8991" s="2">
        <v>4.5208333333333336E-2</v>
      </c>
      <c r="F8991">
        <v>65.099999999999994</v>
      </c>
    </row>
    <row r="8992" spans="1:6" x14ac:dyDescent="0.25">
      <c r="A8992" s="1">
        <v>41609</v>
      </c>
      <c r="B8992" t="s">
        <v>5</v>
      </c>
      <c r="C8992" t="s">
        <v>9</v>
      </c>
      <c r="D8992">
        <v>33</v>
      </c>
      <c r="E8992" s="2">
        <v>2.056712962962963E-2</v>
      </c>
      <c r="F8992">
        <v>29.616666666666667</v>
      </c>
    </row>
    <row r="8993" spans="1:6" x14ac:dyDescent="0.25">
      <c r="A8993" s="1">
        <v>41609</v>
      </c>
      <c r="B8993" t="s">
        <v>5</v>
      </c>
      <c r="C8993" t="s">
        <v>10</v>
      </c>
      <c r="D8993">
        <v>0</v>
      </c>
      <c r="E8993" s="2">
        <v>0</v>
      </c>
      <c r="F8993">
        <v>0</v>
      </c>
    </row>
    <row r="8994" spans="1:6" x14ac:dyDescent="0.25">
      <c r="A8994" s="1">
        <v>41609</v>
      </c>
      <c r="B8994" t="s">
        <v>5</v>
      </c>
      <c r="C8994" t="s">
        <v>11</v>
      </c>
      <c r="D8994">
        <v>40</v>
      </c>
      <c r="E8994" s="2">
        <v>2.9374999999999998E-2</v>
      </c>
      <c r="F8994">
        <v>42.3</v>
      </c>
    </row>
    <row r="8995" spans="1:6" x14ac:dyDescent="0.25">
      <c r="A8995" s="1">
        <v>41609</v>
      </c>
      <c r="B8995" t="s">
        <v>12</v>
      </c>
      <c r="C8995" t="s">
        <v>6</v>
      </c>
      <c r="D8995">
        <v>71</v>
      </c>
      <c r="E8995" s="2">
        <v>9.4664351851851847E-2</v>
      </c>
      <c r="F8995">
        <v>136.31666666666666</v>
      </c>
    </row>
    <row r="8996" spans="1:6" x14ac:dyDescent="0.25">
      <c r="A8996" s="1">
        <v>41609</v>
      </c>
      <c r="B8996" t="s">
        <v>12</v>
      </c>
      <c r="C8996" t="s">
        <v>7</v>
      </c>
      <c r="D8996">
        <v>69</v>
      </c>
      <c r="E8996" s="2">
        <v>0.12799768518518517</v>
      </c>
      <c r="F8996">
        <v>184.31666666666666</v>
      </c>
    </row>
    <row r="8997" spans="1:6" x14ac:dyDescent="0.25">
      <c r="A8997" s="1">
        <v>41609</v>
      </c>
      <c r="B8997" t="s">
        <v>12</v>
      </c>
      <c r="C8997" t="s">
        <v>8</v>
      </c>
      <c r="D8997">
        <v>26</v>
      </c>
      <c r="E8997" s="2">
        <v>3.3692129629629627E-2</v>
      </c>
      <c r="F8997">
        <v>48.516666666666666</v>
      </c>
    </row>
    <row r="8998" spans="1:6" x14ac:dyDescent="0.25">
      <c r="A8998" s="1">
        <v>41609</v>
      </c>
      <c r="B8998" t="s">
        <v>12</v>
      </c>
      <c r="C8998" t="s">
        <v>9</v>
      </c>
      <c r="D8998">
        <v>12</v>
      </c>
      <c r="E8998" s="2">
        <v>9.4444444444444445E-3</v>
      </c>
      <c r="F8998">
        <v>13.6</v>
      </c>
    </row>
    <row r="8999" spans="1:6" x14ac:dyDescent="0.25">
      <c r="A8999" s="1">
        <v>41609</v>
      </c>
      <c r="B8999" t="s">
        <v>12</v>
      </c>
      <c r="C8999" t="s">
        <v>10</v>
      </c>
      <c r="D8999">
        <v>33</v>
      </c>
      <c r="E8999" s="2">
        <v>5.9872685185185189E-2</v>
      </c>
      <c r="F8999">
        <v>86.216666666666669</v>
      </c>
    </row>
    <row r="9000" spans="1:6" x14ac:dyDescent="0.25">
      <c r="A9000" s="1">
        <v>41609</v>
      </c>
      <c r="B9000" t="s">
        <v>12</v>
      </c>
      <c r="C9000" t="s">
        <v>11</v>
      </c>
      <c r="D9000">
        <v>59</v>
      </c>
      <c r="E9000" s="2">
        <v>6.8888888888888888E-2</v>
      </c>
      <c r="F9000">
        <v>99.2</v>
      </c>
    </row>
    <row r="9001" spans="1:6" x14ac:dyDescent="0.25">
      <c r="A9001" s="1">
        <v>41609</v>
      </c>
      <c r="B9001" t="s">
        <v>13</v>
      </c>
      <c r="C9001" t="s">
        <v>6</v>
      </c>
      <c r="D9001">
        <v>86</v>
      </c>
      <c r="E9001" s="2">
        <v>0.12268518518518519</v>
      </c>
      <c r="F9001">
        <v>176.66666666666666</v>
      </c>
    </row>
    <row r="9002" spans="1:6" x14ac:dyDescent="0.25">
      <c r="A9002" s="1">
        <v>41609</v>
      </c>
      <c r="B9002" t="s">
        <v>13</v>
      </c>
      <c r="C9002" t="s">
        <v>7</v>
      </c>
      <c r="D9002">
        <v>113</v>
      </c>
      <c r="E9002" s="2">
        <v>0.17807870370370371</v>
      </c>
      <c r="F9002">
        <v>256.43333333333334</v>
      </c>
    </row>
    <row r="9003" spans="1:6" x14ac:dyDescent="0.25">
      <c r="A9003" s="1">
        <v>41609</v>
      </c>
      <c r="B9003" t="s">
        <v>13</v>
      </c>
      <c r="C9003" t="s">
        <v>8</v>
      </c>
      <c r="D9003">
        <v>66</v>
      </c>
      <c r="E9003" s="2">
        <v>7.8368055555555552E-2</v>
      </c>
      <c r="F9003">
        <v>112.85</v>
      </c>
    </row>
    <row r="9004" spans="1:6" x14ac:dyDescent="0.25">
      <c r="A9004" s="1">
        <v>41609</v>
      </c>
      <c r="B9004" t="s">
        <v>13</v>
      </c>
      <c r="C9004" t="s">
        <v>9</v>
      </c>
      <c r="D9004">
        <v>31</v>
      </c>
      <c r="E9004" s="2">
        <v>2.0046296296296295E-2</v>
      </c>
      <c r="F9004">
        <v>28.866666666666667</v>
      </c>
    </row>
    <row r="9005" spans="1:6" x14ac:dyDescent="0.25">
      <c r="A9005" s="1">
        <v>41609</v>
      </c>
      <c r="B9005" t="s">
        <v>13</v>
      </c>
      <c r="C9005" t="s">
        <v>10</v>
      </c>
      <c r="D9005">
        <v>16</v>
      </c>
      <c r="E9005" s="2">
        <v>3.1053240740740742E-2</v>
      </c>
      <c r="F9005">
        <v>44.716666666666669</v>
      </c>
    </row>
    <row r="9006" spans="1:6" x14ac:dyDescent="0.25">
      <c r="A9006" s="1">
        <v>41609</v>
      </c>
      <c r="B9006" t="s">
        <v>13</v>
      </c>
      <c r="C9006" t="s">
        <v>11</v>
      </c>
      <c r="D9006">
        <v>41</v>
      </c>
      <c r="E9006" s="2">
        <v>4.5289351851851851E-2</v>
      </c>
      <c r="F9006">
        <v>65.216666666666669</v>
      </c>
    </row>
    <row r="9007" spans="1:6" x14ac:dyDescent="0.25">
      <c r="A9007" s="1">
        <v>41609</v>
      </c>
      <c r="B9007" t="s">
        <v>14</v>
      </c>
      <c r="C9007" t="s">
        <v>6</v>
      </c>
      <c r="D9007">
        <v>10</v>
      </c>
      <c r="E9007" s="2">
        <v>1.726851851851852E-2</v>
      </c>
      <c r="F9007">
        <v>24.866666666666667</v>
      </c>
    </row>
    <row r="9008" spans="1:6" x14ac:dyDescent="0.25">
      <c r="A9008" s="1">
        <v>41609</v>
      </c>
      <c r="B9008" t="s">
        <v>14</v>
      </c>
      <c r="C9008" t="s">
        <v>7</v>
      </c>
      <c r="D9008">
        <v>12</v>
      </c>
      <c r="E9008" s="2">
        <v>2.087962962962963E-2</v>
      </c>
      <c r="F9008">
        <v>30.066666666666666</v>
      </c>
    </row>
    <row r="9009" spans="1:6" x14ac:dyDescent="0.25">
      <c r="A9009" s="1">
        <v>41609</v>
      </c>
      <c r="B9009" t="s">
        <v>14</v>
      </c>
      <c r="C9009" t="s">
        <v>8</v>
      </c>
      <c r="D9009">
        <v>7</v>
      </c>
      <c r="E9009" s="2">
        <v>1.2361111111111111E-2</v>
      </c>
      <c r="F9009">
        <v>17.8</v>
      </c>
    </row>
    <row r="9010" spans="1:6" x14ac:dyDescent="0.25">
      <c r="A9010" s="1">
        <v>41609</v>
      </c>
      <c r="B9010" t="s">
        <v>14</v>
      </c>
      <c r="C9010" t="s">
        <v>9</v>
      </c>
      <c r="D9010">
        <v>4</v>
      </c>
      <c r="E9010" s="2">
        <v>3.3217592592592591E-3</v>
      </c>
      <c r="F9010">
        <v>4.7833333333333332</v>
      </c>
    </row>
    <row r="9011" spans="1:6" x14ac:dyDescent="0.25">
      <c r="A9011" s="1">
        <v>41609</v>
      </c>
      <c r="B9011" t="s">
        <v>14</v>
      </c>
      <c r="C9011" t="s">
        <v>10</v>
      </c>
      <c r="D9011">
        <v>2</v>
      </c>
      <c r="E9011" s="2">
        <v>3.9004629629629628E-3</v>
      </c>
      <c r="F9011">
        <v>5.6166666666666671</v>
      </c>
    </row>
    <row r="9012" spans="1:6" x14ac:dyDescent="0.25">
      <c r="A9012" s="1">
        <v>41609</v>
      </c>
      <c r="B9012" t="s">
        <v>14</v>
      </c>
      <c r="C9012" t="s">
        <v>11</v>
      </c>
      <c r="D9012">
        <v>8</v>
      </c>
      <c r="E9012" s="2">
        <v>7.1180555555555554E-3</v>
      </c>
      <c r="F9012">
        <v>10.25</v>
      </c>
    </row>
    <row r="9013" spans="1:6" x14ac:dyDescent="0.25">
      <c r="A9013" s="1">
        <v>41609</v>
      </c>
      <c r="B9013" t="s">
        <v>15</v>
      </c>
      <c r="C9013" t="s">
        <v>6</v>
      </c>
      <c r="D9013">
        <v>23</v>
      </c>
      <c r="E9013" s="2">
        <v>2.7256944444444445E-2</v>
      </c>
      <c r="F9013">
        <v>39.25</v>
      </c>
    </row>
    <row r="9014" spans="1:6" x14ac:dyDescent="0.25">
      <c r="A9014" s="1">
        <v>41609</v>
      </c>
      <c r="B9014" t="s">
        <v>15</v>
      </c>
      <c r="C9014" t="s">
        <v>7</v>
      </c>
      <c r="D9014">
        <v>31</v>
      </c>
      <c r="E9014" s="2">
        <v>3.577546296296296E-2</v>
      </c>
      <c r="F9014">
        <v>51.516666666666666</v>
      </c>
    </row>
    <row r="9015" spans="1:6" x14ac:dyDescent="0.25">
      <c r="A9015" s="1">
        <v>41609</v>
      </c>
      <c r="B9015" t="s">
        <v>15</v>
      </c>
      <c r="C9015" t="s">
        <v>8</v>
      </c>
      <c r="D9015">
        <v>23</v>
      </c>
      <c r="E9015" s="2">
        <v>2.2476851851851852E-2</v>
      </c>
      <c r="F9015">
        <v>32.366666666666667</v>
      </c>
    </row>
    <row r="9016" spans="1:6" x14ac:dyDescent="0.25">
      <c r="A9016" s="1">
        <v>41609</v>
      </c>
      <c r="B9016" t="s">
        <v>15</v>
      </c>
      <c r="C9016" t="s">
        <v>9</v>
      </c>
      <c r="D9016">
        <v>14</v>
      </c>
      <c r="E9016" s="2">
        <v>8.3912037037037045E-3</v>
      </c>
      <c r="F9016">
        <v>12.083333333333334</v>
      </c>
    </row>
    <row r="9017" spans="1:6" x14ac:dyDescent="0.25">
      <c r="A9017" s="1">
        <v>41609</v>
      </c>
      <c r="B9017" t="s">
        <v>15</v>
      </c>
      <c r="C9017" t="s">
        <v>10</v>
      </c>
      <c r="D9017">
        <v>3</v>
      </c>
      <c r="E9017" s="2">
        <v>5.4861111111111109E-3</v>
      </c>
      <c r="F9017">
        <v>7.9</v>
      </c>
    </row>
    <row r="9018" spans="1:6" x14ac:dyDescent="0.25">
      <c r="A9018" s="1">
        <v>41609</v>
      </c>
      <c r="B9018" t="s">
        <v>15</v>
      </c>
      <c r="C9018" t="s">
        <v>11</v>
      </c>
      <c r="D9018">
        <v>15</v>
      </c>
      <c r="E9018" s="2">
        <v>1.1689814814814814E-2</v>
      </c>
      <c r="F9018">
        <v>16.833333333333332</v>
      </c>
    </row>
    <row r="9019" spans="1:6" x14ac:dyDescent="0.25">
      <c r="A9019" s="1">
        <v>41609</v>
      </c>
      <c r="B9019" t="s">
        <v>16</v>
      </c>
      <c r="C9019" t="s">
        <v>6</v>
      </c>
      <c r="D9019">
        <v>43</v>
      </c>
      <c r="E9019" s="2">
        <v>3.5798611111111114E-2</v>
      </c>
      <c r="F9019">
        <v>51.55</v>
      </c>
    </row>
    <row r="9020" spans="1:6" x14ac:dyDescent="0.25">
      <c r="A9020" s="1">
        <v>41609</v>
      </c>
      <c r="B9020" t="s">
        <v>16</v>
      </c>
      <c r="C9020" t="s">
        <v>7</v>
      </c>
      <c r="D9020">
        <v>40</v>
      </c>
      <c r="E9020" s="2">
        <v>3.8043981481481484E-2</v>
      </c>
      <c r="F9020">
        <v>54.783333333333331</v>
      </c>
    </row>
    <row r="9021" spans="1:6" x14ac:dyDescent="0.25">
      <c r="A9021" s="1">
        <v>41609</v>
      </c>
      <c r="B9021" t="s">
        <v>16</v>
      </c>
      <c r="C9021" t="s">
        <v>8</v>
      </c>
      <c r="D9021">
        <v>38</v>
      </c>
      <c r="E9021" s="2">
        <v>3.111111111111111E-2</v>
      </c>
      <c r="F9021">
        <v>44.8</v>
      </c>
    </row>
    <row r="9022" spans="1:6" x14ac:dyDescent="0.25">
      <c r="A9022" s="1">
        <v>41609</v>
      </c>
      <c r="B9022" t="s">
        <v>16</v>
      </c>
      <c r="C9022" t="s">
        <v>9</v>
      </c>
      <c r="D9022">
        <v>19</v>
      </c>
      <c r="E9022" s="2">
        <v>1.1168981481481481E-2</v>
      </c>
      <c r="F9022">
        <v>16.083333333333332</v>
      </c>
    </row>
    <row r="9023" spans="1:6" x14ac:dyDescent="0.25">
      <c r="A9023" s="1">
        <v>41609</v>
      </c>
      <c r="B9023" t="s">
        <v>16</v>
      </c>
      <c r="C9023" t="s">
        <v>10</v>
      </c>
      <c r="D9023">
        <v>3</v>
      </c>
      <c r="E9023" s="2">
        <v>2.9513888888888888E-3</v>
      </c>
      <c r="F9023">
        <v>4.25</v>
      </c>
    </row>
    <row r="9024" spans="1:6" x14ac:dyDescent="0.25">
      <c r="A9024" s="1">
        <v>41609</v>
      </c>
      <c r="B9024" t="s">
        <v>16</v>
      </c>
      <c r="C9024" t="s">
        <v>11</v>
      </c>
      <c r="D9024">
        <v>48</v>
      </c>
      <c r="E9024" s="2">
        <v>4.5300925925925925E-2</v>
      </c>
      <c r="F9024">
        <v>65.233333333333334</v>
      </c>
    </row>
    <row r="9025" spans="1:6" x14ac:dyDescent="0.25">
      <c r="A9025" s="1">
        <v>41609</v>
      </c>
      <c r="B9025" t="s">
        <v>17</v>
      </c>
      <c r="C9025" t="s">
        <v>6</v>
      </c>
      <c r="D9025">
        <v>46</v>
      </c>
      <c r="E9025" s="2">
        <v>6.1053240740740741E-2</v>
      </c>
      <c r="F9025">
        <v>87.916666666666671</v>
      </c>
    </row>
    <row r="9026" spans="1:6" x14ac:dyDescent="0.25">
      <c r="A9026" s="1">
        <v>41609</v>
      </c>
      <c r="B9026" t="s">
        <v>17</v>
      </c>
      <c r="C9026" t="s">
        <v>7</v>
      </c>
      <c r="D9026">
        <v>54</v>
      </c>
      <c r="E9026" s="2">
        <v>5.8923611111111114E-2</v>
      </c>
      <c r="F9026">
        <v>84.85</v>
      </c>
    </row>
    <row r="9027" spans="1:6" x14ac:dyDescent="0.25">
      <c r="A9027" s="1">
        <v>41609</v>
      </c>
      <c r="B9027" t="s">
        <v>17</v>
      </c>
      <c r="C9027" t="s">
        <v>8</v>
      </c>
      <c r="D9027">
        <v>37</v>
      </c>
      <c r="E9027" s="2">
        <v>3.3067129629629627E-2</v>
      </c>
      <c r="F9027">
        <v>47.616666666666667</v>
      </c>
    </row>
    <row r="9028" spans="1:6" x14ac:dyDescent="0.25">
      <c r="A9028" s="1">
        <v>41609</v>
      </c>
      <c r="B9028" t="s">
        <v>17</v>
      </c>
      <c r="C9028" t="s">
        <v>9</v>
      </c>
      <c r="D9028">
        <v>26</v>
      </c>
      <c r="E9028" s="2">
        <v>1.7951388888888888E-2</v>
      </c>
      <c r="F9028">
        <v>25.85</v>
      </c>
    </row>
    <row r="9029" spans="1:6" x14ac:dyDescent="0.25">
      <c r="A9029" s="1">
        <v>41609</v>
      </c>
      <c r="B9029" t="s">
        <v>17</v>
      </c>
      <c r="C9029" t="s">
        <v>10</v>
      </c>
      <c r="D9029">
        <v>15</v>
      </c>
      <c r="E9029" s="2">
        <v>2.0810185185185185E-2</v>
      </c>
      <c r="F9029">
        <v>29.966666666666665</v>
      </c>
    </row>
    <row r="9030" spans="1:6" x14ac:dyDescent="0.25">
      <c r="A9030" s="1">
        <v>41609</v>
      </c>
      <c r="B9030" t="s">
        <v>17</v>
      </c>
      <c r="C9030" t="s">
        <v>11</v>
      </c>
      <c r="D9030">
        <v>33</v>
      </c>
      <c r="E9030" s="2">
        <v>3.184027777777778E-2</v>
      </c>
      <c r="F9030">
        <v>45.85</v>
      </c>
    </row>
    <row r="9031" spans="1:6" x14ac:dyDescent="0.25">
      <c r="A9031" s="1">
        <v>41609</v>
      </c>
      <c r="B9031" t="s">
        <v>18</v>
      </c>
      <c r="C9031" t="s">
        <v>6</v>
      </c>
      <c r="D9031">
        <v>79</v>
      </c>
      <c r="E9031" s="2">
        <v>7.9108796296296302E-2</v>
      </c>
      <c r="F9031">
        <v>113.91666666666667</v>
      </c>
    </row>
    <row r="9032" spans="1:6" x14ac:dyDescent="0.25">
      <c r="A9032" s="1">
        <v>41609</v>
      </c>
      <c r="B9032" t="s">
        <v>18</v>
      </c>
      <c r="C9032" t="s">
        <v>7</v>
      </c>
      <c r="D9032">
        <v>101</v>
      </c>
      <c r="E9032" s="2">
        <v>8.7268518518518523E-2</v>
      </c>
      <c r="F9032">
        <v>125.66666666666667</v>
      </c>
    </row>
    <row r="9033" spans="1:6" x14ac:dyDescent="0.25">
      <c r="A9033" s="1">
        <v>41609</v>
      </c>
      <c r="B9033" t="s">
        <v>18</v>
      </c>
      <c r="C9033" t="s">
        <v>8</v>
      </c>
      <c r="D9033">
        <v>57</v>
      </c>
      <c r="E9033" s="2">
        <v>4.3483796296296298E-2</v>
      </c>
      <c r="F9033">
        <v>62.616666666666667</v>
      </c>
    </row>
    <row r="9034" spans="1:6" x14ac:dyDescent="0.25">
      <c r="A9034" s="1">
        <v>41609</v>
      </c>
      <c r="B9034" t="s">
        <v>18</v>
      </c>
      <c r="C9034" t="s">
        <v>9</v>
      </c>
      <c r="D9034">
        <v>87</v>
      </c>
      <c r="E9034" s="2">
        <v>5.724537037037037E-2</v>
      </c>
      <c r="F9034">
        <v>82.433333333333337</v>
      </c>
    </row>
    <row r="9035" spans="1:6" x14ac:dyDescent="0.25">
      <c r="A9035" s="1">
        <v>41609</v>
      </c>
      <c r="B9035" t="s">
        <v>18</v>
      </c>
      <c r="C9035" t="s">
        <v>10</v>
      </c>
      <c r="D9035">
        <v>141</v>
      </c>
      <c r="E9035" s="2">
        <v>0.17226851851851852</v>
      </c>
      <c r="F9035">
        <v>248.06666666666666</v>
      </c>
    </row>
    <row r="9036" spans="1:6" x14ac:dyDescent="0.25">
      <c r="A9036" s="1">
        <v>41609</v>
      </c>
      <c r="B9036" t="s">
        <v>18</v>
      </c>
      <c r="C9036" t="s">
        <v>11</v>
      </c>
      <c r="D9036">
        <v>53</v>
      </c>
      <c r="E9036" s="2">
        <v>4.0023148148148148E-2</v>
      </c>
      <c r="F9036">
        <v>57.633333333333333</v>
      </c>
    </row>
    <row r="9037" spans="1:6" x14ac:dyDescent="0.25">
      <c r="A9037" s="1">
        <v>41609</v>
      </c>
      <c r="B9037" t="s">
        <v>19</v>
      </c>
      <c r="C9037" t="s">
        <v>6</v>
      </c>
      <c r="D9037">
        <v>18</v>
      </c>
      <c r="E9037" s="2">
        <v>1.7673611111111112E-2</v>
      </c>
      <c r="F9037">
        <v>25.45</v>
      </c>
    </row>
    <row r="9038" spans="1:6" x14ac:dyDescent="0.25">
      <c r="A9038" s="1">
        <v>41609</v>
      </c>
      <c r="B9038" t="s">
        <v>19</v>
      </c>
      <c r="C9038" t="s">
        <v>7</v>
      </c>
      <c r="D9038">
        <v>16</v>
      </c>
      <c r="E9038" s="2">
        <v>1.7071759259259259E-2</v>
      </c>
      <c r="F9038">
        <v>24.583333333333332</v>
      </c>
    </row>
    <row r="9039" spans="1:6" x14ac:dyDescent="0.25">
      <c r="A9039" s="1">
        <v>41609</v>
      </c>
      <c r="B9039" t="s">
        <v>19</v>
      </c>
      <c r="C9039" t="s">
        <v>8</v>
      </c>
      <c r="D9039">
        <v>24</v>
      </c>
      <c r="E9039" s="2">
        <v>2.1203703703703704E-2</v>
      </c>
      <c r="F9039">
        <v>30.533333333333335</v>
      </c>
    </row>
    <row r="9040" spans="1:6" x14ac:dyDescent="0.25">
      <c r="A9040" s="1">
        <v>41609</v>
      </c>
      <c r="B9040" t="s">
        <v>19</v>
      </c>
      <c r="C9040" t="s">
        <v>9</v>
      </c>
      <c r="D9040">
        <v>14</v>
      </c>
      <c r="E9040" s="2">
        <v>9.2708333333333341E-3</v>
      </c>
      <c r="F9040">
        <v>13.35</v>
      </c>
    </row>
    <row r="9041" spans="1:6" x14ac:dyDescent="0.25">
      <c r="A9041" s="1">
        <v>41609</v>
      </c>
      <c r="B9041" t="s">
        <v>19</v>
      </c>
      <c r="C9041" t="s">
        <v>10</v>
      </c>
      <c r="D9041">
        <v>16</v>
      </c>
      <c r="E9041" s="2">
        <v>1.9050925925925926E-2</v>
      </c>
      <c r="F9041">
        <v>27.433333333333334</v>
      </c>
    </row>
    <row r="9042" spans="1:6" x14ac:dyDescent="0.25">
      <c r="A9042" s="1">
        <v>41609</v>
      </c>
      <c r="B9042" t="s">
        <v>19</v>
      </c>
      <c r="C9042" t="s">
        <v>11</v>
      </c>
      <c r="D9042">
        <v>26</v>
      </c>
      <c r="E9042" s="2">
        <v>2.2569444444444444E-2</v>
      </c>
      <c r="F9042">
        <v>32.5</v>
      </c>
    </row>
    <row r="9043" spans="1:6" x14ac:dyDescent="0.25">
      <c r="A9043" s="1">
        <v>41609</v>
      </c>
      <c r="B9043" t="s">
        <v>20</v>
      </c>
      <c r="C9043" t="s">
        <v>6</v>
      </c>
      <c r="D9043">
        <v>28</v>
      </c>
      <c r="E9043" s="2">
        <v>4.0474537037037038E-2</v>
      </c>
      <c r="F9043">
        <v>58.283333333333331</v>
      </c>
    </row>
    <row r="9044" spans="1:6" x14ac:dyDescent="0.25">
      <c r="A9044" s="1">
        <v>41609</v>
      </c>
      <c r="B9044" t="s">
        <v>20</v>
      </c>
      <c r="C9044" t="s">
        <v>7</v>
      </c>
      <c r="D9044">
        <v>36</v>
      </c>
      <c r="E9044" s="2">
        <v>5.033564814814815E-2</v>
      </c>
      <c r="F9044">
        <v>72.483333333333334</v>
      </c>
    </row>
    <row r="9045" spans="1:6" x14ac:dyDescent="0.25">
      <c r="A9045" s="1">
        <v>41609</v>
      </c>
      <c r="B9045" t="s">
        <v>20</v>
      </c>
      <c r="C9045" t="s">
        <v>8</v>
      </c>
      <c r="D9045">
        <v>31</v>
      </c>
      <c r="E9045" s="2">
        <v>3.1828703703703706E-2</v>
      </c>
      <c r="F9045">
        <v>45.833333333333336</v>
      </c>
    </row>
    <row r="9046" spans="1:6" x14ac:dyDescent="0.25">
      <c r="A9046" s="1">
        <v>41609</v>
      </c>
      <c r="B9046" t="s">
        <v>20</v>
      </c>
      <c r="C9046" t="s">
        <v>9</v>
      </c>
      <c r="D9046">
        <v>29</v>
      </c>
      <c r="E9046" s="2">
        <v>1.954861111111111E-2</v>
      </c>
      <c r="F9046">
        <v>28.15</v>
      </c>
    </row>
    <row r="9047" spans="1:6" x14ac:dyDescent="0.25">
      <c r="A9047" s="1">
        <v>41609</v>
      </c>
      <c r="B9047" t="s">
        <v>20</v>
      </c>
      <c r="C9047" t="s">
        <v>10</v>
      </c>
      <c r="D9047">
        <v>5</v>
      </c>
      <c r="E9047" s="2">
        <v>5.9027777777777776E-3</v>
      </c>
      <c r="F9047">
        <v>8.5</v>
      </c>
    </row>
    <row r="9048" spans="1:6" x14ac:dyDescent="0.25">
      <c r="A9048" s="1">
        <v>41609</v>
      </c>
      <c r="B9048" t="s">
        <v>20</v>
      </c>
      <c r="C9048" t="s">
        <v>11</v>
      </c>
      <c r="D9048">
        <v>21</v>
      </c>
      <c r="E9048" s="2">
        <v>2.7268518518518518E-2</v>
      </c>
      <c r="F9048">
        <v>39.266666666666666</v>
      </c>
    </row>
    <row r="9049" spans="1:6" x14ac:dyDescent="0.25">
      <c r="A9049" s="1">
        <v>41609</v>
      </c>
      <c r="B9049" t="s">
        <v>21</v>
      </c>
      <c r="C9049" t="s">
        <v>6</v>
      </c>
      <c r="D9049">
        <v>17</v>
      </c>
      <c r="E9049" s="2">
        <v>2.1828703703703704E-2</v>
      </c>
      <c r="F9049">
        <v>31.433333333333334</v>
      </c>
    </row>
    <row r="9050" spans="1:6" x14ac:dyDescent="0.25">
      <c r="A9050" s="1">
        <v>41609</v>
      </c>
      <c r="B9050" t="s">
        <v>21</v>
      </c>
      <c r="C9050" t="s">
        <v>7</v>
      </c>
      <c r="D9050">
        <v>20</v>
      </c>
      <c r="E9050" s="2">
        <v>2.5567129629629631E-2</v>
      </c>
      <c r="F9050">
        <v>36.81666666666667</v>
      </c>
    </row>
    <row r="9051" spans="1:6" x14ac:dyDescent="0.25">
      <c r="A9051" s="1">
        <v>41609</v>
      </c>
      <c r="B9051" t="s">
        <v>21</v>
      </c>
      <c r="C9051" t="s">
        <v>8</v>
      </c>
      <c r="D9051">
        <v>19</v>
      </c>
      <c r="E9051" s="2">
        <v>2.3148148148148147E-2</v>
      </c>
      <c r="F9051">
        <v>33.333333333333336</v>
      </c>
    </row>
    <row r="9052" spans="1:6" x14ac:dyDescent="0.25">
      <c r="A9052" s="1">
        <v>41609</v>
      </c>
      <c r="B9052" t="s">
        <v>21</v>
      </c>
      <c r="C9052" t="s">
        <v>9</v>
      </c>
      <c r="D9052">
        <v>7</v>
      </c>
      <c r="E9052" s="2">
        <v>5.208333333333333E-3</v>
      </c>
      <c r="F9052">
        <v>7.5</v>
      </c>
    </row>
    <row r="9053" spans="1:6" x14ac:dyDescent="0.25">
      <c r="A9053" s="1">
        <v>41609</v>
      </c>
      <c r="B9053" t="s">
        <v>21</v>
      </c>
      <c r="C9053" t="s">
        <v>10</v>
      </c>
      <c r="D9053">
        <v>3</v>
      </c>
      <c r="E9053" s="2">
        <v>2.650462962962963E-3</v>
      </c>
      <c r="F9053">
        <v>3.8166666666666664</v>
      </c>
    </row>
    <row r="9054" spans="1:6" x14ac:dyDescent="0.25">
      <c r="A9054" s="1">
        <v>41609</v>
      </c>
      <c r="B9054" t="s">
        <v>21</v>
      </c>
      <c r="C9054" t="s">
        <v>11</v>
      </c>
      <c r="D9054">
        <v>22</v>
      </c>
      <c r="E9054" s="2">
        <v>2.238425925925926E-2</v>
      </c>
      <c r="F9054">
        <v>32.233333333333334</v>
      </c>
    </row>
    <row r="9055" spans="1:6" x14ac:dyDescent="0.25">
      <c r="A9055" s="1">
        <v>41609</v>
      </c>
      <c r="B9055" t="s">
        <v>22</v>
      </c>
      <c r="C9055" t="s">
        <v>6</v>
      </c>
      <c r="D9055">
        <v>9</v>
      </c>
      <c r="E9055" s="2">
        <v>1.2418981481481482E-2</v>
      </c>
      <c r="F9055">
        <v>17.883333333333333</v>
      </c>
    </row>
    <row r="9056" spans="1:6" x14ac:dyDescent="0.25">
      <c r="A9056" s="1">
        <v>41609</v>
      </c>
      <c r="B9056" t="s">
        <v>22</v>
      </c>
      <c r="C9056" t="s">
        <v>7</v>
      </c>
      <c r="D9056">
        <v>14</v>
      </c>
      <c r="E9056" s="2">
        <v>1.3275462962962963E-2</v>
      </c>
      <c r="F9056">
        <v>19.116666666666667</v>
      </c>
    </row>
    <row r="9057" spans="1:6" x14ac:dyDescent="0.25">
      <c r="A9057" s="1">
        <v>41609</v>
      </c>
      <c r="B9057" t="s">
        <v>22</v>
      </c>
      <c r="C9057" t="s">
        <v>8</v>
      </c>
      <c r="D9057">
        <v>13</v>
      </c>
      <c r="E9057" s="2">
        <v>1.0289351851851852E-2</v>
      </c>
      <c r="F9057">
        <v>14.816666666666666</v>
      </c>
    </row>
    <row r="9058" spans="1:6" x14ac:dyDescent="0.25">
      <c r="A9058" s="1">
        <v>41609</v>
      </c>
      <c r="B9058" t="s">
        <v>22</v>
      </c>
      <c r="C9058" t="s">
        <v>9</v>
      </c>
      <c r="D9058">
        <v>7</v>
      </c>
      <c r="E9058" s="2">
        <v>4.2476851851851851E-3</v>
      </c>
      <c r="F9058">
        <v>6.1166666666666663</v>
      </c>
    </row>
    <row r="9059" spans="1:6" x14ac:dyDescent="0.25">
      <c r="A9059" s="1">
        <v>41609</v>
      </c>
      <c r="B9059" t="s">
        <v>22</v>
      </c>
      <c r="C9059" t="s">
        <v>10</v>
      </c>
      <c r="D9059">
        <v>6</v>
      </c>
      <c r="E9059" s="2">
        <v>5.9259259259259256E-3</v>
      </c>
      <c r="F9059">
        <v>8.5333333333333332</v>
      </c>
    </row>
    <row r="9060" spans="1:6" x14ac:dyDescent="0.25">
      <c r="A9060" s="1">
        <v>41609</v>
      </c>
      <c r="B9060" t="s">
        <v>22</v>
      </c>
      <c r="C9060" t="s">
        <v>11</v>
      </c>
      <c r="D9060">
        <v>11</v>
      </c>
      <c r="E9060" s="2">
        <v>1.4166666666666666E-2</v>
      </c>
      <c r="F9060">
        <v>20.399999999999999</v>
      </c>
    </row>
    <row r="9061" spans="1:6" x14ac:dyDescent="0.25">
      <c r="A9061" s="1">
        <v>41609</v>
      </c>
      <c r="B9061" t="s">
        <v>23</v>
      </c>
      <c r="C9061" t="s">
        <v>6</v>
      </c>
      <c r="D9061">
        <v>117</v>
      </c>
      <c r="E9061" s="2">
        <v>0.13679398148148147</v>
      </c>
      <c r="F9061">
        <v>196.98333333333332</v>
      </c>
    </row>
    <row r="9062" spans="1:6" x14ac:dyDescent="0.25">
      <c r="A9062" s="1">
        <v>41609</v>
      </c>
      <c r="B9062" t="s">
        <v>23</v>
      </c>
      <c r="C9062" t="s">
        <v>7</v>
      </c>
      <c r="D9062">
        <v>158</v>
      </c>
      <c r="E9062" s="2">
        <v>0.21915509259259258</v>
      </c>
      <c r="F9062">
        <v>315.58333333333331</v>
      </c>
    </row>
    <row r="9063" spans="1:6" x14ac:dyDescent="0.25">
      <c r="A9063" s="1">
        <v>41609</v>
      </c>
      <c r="B9063" t="s">
        <v>23</v>
      </c>
      <c r="C9063" t="s">
        <v>8</v>
      </c>
      <c r="D9063">
        <v>114</v>
      </c>
      <c r="E9063" s="2">
        <v>0.13895833333333332</v>
      </c>
      <c r="F9063">
        <v>200.1</v>
      </c>
    </row>
    <row r="9064" spans="1:6" x14ac:dyDescent="0.25">
      <c r="A9064" s="1">
        <v>41609</v>
      </c>
      <c r="B9064" t="s">
        <v>23</v>
      </c>
      <c r="C9064" t="s">
        <v>9</v>
      </c>
      <c r="D9064">
        <v>71</v>
      </c>
      <c r="E9064" s="2">
        <v>5.1377314814814813E-2</v>
      </c>
      <c r="F9064">
        <v>73.983333333333334</v>
      </c>
    </row>
    <row r="9065" spans="1:6" x14ac:dyDescent="0.25">
      <c r="A9065" s="1">
        <v>41609</v>
      </c>
      <c r="B9065" t="s">
        <v>23</v>
      </c>
      <c r="C9065" t="s">
        <v>10</v>
      </c>
      <c r="D9065">
        <v>44</v>
      </c>
      <c r="E9065" s="2">
        <v>7.1967592592592597E-2</v>
      </c>
      <c r="F9065">
        <v>103.63333333333334</v>
      </c>
    </row>
    <row r="9066" spans="1:6" x14ac:dyDescent="0.25">
      <c r="A9066" s="1">
        <v>41609</v>
      </c>
      <c r="B9066" t="s">
        <v>23</v>
      </c>
      <c r="C9066" t="s">
        <v>11</v>
      </c>
      <c r="D9066">
        <v>113</v>
      </c>
      <c r="E9066" s="2">
        <v>0.11694444444444445</v>
      </c>
      <c r="F9066">
        <v>168.4</v>
      </c>
    </row>
    <row r="9067" spans="1:6" x14ac:dyDescent="0.25">
      <c r="A9067" s="1">
        <v>41609</v>
      </c>
      <c r="B9067" t="s">
        <v>24</v>
      </c>
      <c r="C9067" t="s">
        <v>6</v>
      </c>
      <c r="D9067">
        <v>33</v>
      </c>
      <c r="E9067" s="2">
        <v>3.9166666666666669E-2</v>
      </c>
      <c r="F9067">
        <v>56.4</v>
      </c>
    </row>
    <row r="9068" spans="1:6" x14ac:dyDescent="0.25">
      <c r="A9068" s="1">
        <v>41609</v>
      </c>
      <c r="B9068" t="s">
        <v>24</v>
      </c>
      <c r="C9068" t="s">
        <v>7</v>
      </c>
      <c r="D9068">
        <v>27</v>
      </c>
      <c r="E9068" s="2">
        <v>2.4155092592592593E-2</v>
      </c>
      <c r="F9068">
        <v>34.783333333333331</v>
      </c>
    </row>
    <row r="9069" spans="1:6" x14ac:dyDescent="0.25">
      <c r="A9069" s="1">
        <v>41609</v>
      </c>
      <c r="B9069" t="s">
        <v>24</v>
      </c>
      <c r="C9069" t="s">
        <v>8</v>
      </c>
      <c r="D9069">
        <v>22</v>
      </c>
      <c r="E9069" s="2">
        <v>1.8159722222222223E-2</v>
      </c>
      <c r="F9069">
        <v>26.15</v>
      </c>
    </row>
    <row r="9070" spans="1:6" x14ac:dyDescent="0.25">
      <c r="A9070" s="1">
        <v>41609</v>
      </c>
      <c r="B9070" t="s">
        <v>24</v>
      </c>
      <c r="C9070" t="s">
        <v>9</v>
      </c>
      <c r="D9070">
        <v>11</v>
      </c>
      <c r="E9070" s="2">
        <v>6.8865740740740745E-3</v>
      </c>
      <c r="F9070">
        <v>9.9166666666666661</v>
      </c>
    </row>
    <row r="9071" spans="1:6" x14ac:dyDescent="0.25">
      <c r="A9071" s="1">
        <v>41609</v>
      </c>
      <c r="B9071" t="s">
        <v>24</v>
      </c>
      <c r="C9071" t="s">
        <v>10</v>
      </c>
      <c r="D9071">
        <v>0</v>
      </c>
      <c r="E9071" s="2">
        <v>0</v>
      </c>
      <c r="F9071">
        <v>0</v>
      </c>
    </row>
    <row r="9072" spans="1:6" x14ac:dyDescent="0.25">
      <c r="A9072" s="1">
        <v>41609</v>
      </c>
      <c r="B9072" t="s">
        <v>24</v>
      </c>
      <c r="C9072" t="s">
        <v>11</v>
      </c>
      <c r="D9072">
        <v>20</v>
      </c>
      <c r="E9072" s="2">
        <v>1.9259259259259261E-2</v>
      </c>
      <c r="F9072">
        <v>27.733333333333334</v>
      </c>
    </row>
    <row r="9073" spans="1:6" x14ac:dyDescent="0.25">
      <c r="A9073" s="1">
        <v>41640</v>
      </c>
      <c r="B9073" t="s">
        <v>5</v>
      </c>
      <c r="C9073" t="s">
        <v>6</v>
      </c>
      <c r="D9073">
        <v>61</v>
      </c>
      <c r="E9073" s="2">
        <v>5.9259259259259262E-2</v>
      </c>
      <c r="F9073">
        <v>85.333333333333329</v>
      </c>
    </row>
    <row r="9074" spans="1:6" x14ac:dyDescent="0.25">
      <c r="A9074" s="1">
        <v>41640</v>
      </c>
      <c r="B9074" t="s">
        <v>5</v>
      </c>
      <c r="C9074" t="s">
        <v>7</v>
      </c>
      <c r="D9074">
        <v>71</v>
      </c>
      <c r="E9074" s="2">
        <v>6.1932870370370367E-2</v>
      </c>
      <c r="F9074">
        <v>89.183333333333337</v>
      </c>
    </row>
    <row r="9075" spans="1:6" x14ac:dyDescent="0.25">
      <c r="A9075" s="1">
        <v>41640</v>
      </c>
      <c r="B9075" t="s">
        <v>5</v>
      </c>
      <c r="C9075" t="s">
        <v>8</v>
      </c>
      <c r="D9075">
        <v>47</v>
      </c>
      <c r="E9075" s="2">
        <v>4.3888888888888887E-2</v>
      </c>
      <c r="F9075">
        <v>63.2</v>
      </c>
    </row>
    <row r="9076" spans="1:6" x14ac:dyDescent="0.25">
      <c r="A9076" s="1">
        <v>41640</v>
      </c>
      <c r="B9076" t="s">
        <v>5</v>
      </c>
      <c r="C9076" t="s">
        <v>9</v>
      </c>
      <c r="D9076">
        <v>13</v>
      </c>
      <c r="E9076" s="2">
        <v>7.3148148148148148E-3</v>
      </c>
      <c r="F9076">
        <v>10.533333333333333</v>
      </c>
    </row>
    <row r="9077" spans="1:6" x14ac:dyDescent="0.25">
      <c r="A9077" s="1">
        <v>41640</v>
      </c>
      <c r="B9077" t="s">
        <v>5</v>
      </c>
      <c r="C9077" t="s">
        <v>10</v>
      </c>
      <c r="D9077">
        <v>2</v>
      </c>
      <c r="E9077" s="2">
        <v>4.7453703703703704E-4</v>
      </c>
      <c r="F9077">
        <v>0.68333333333333335</v>
      </c>
    </row>
    <row r="9078" spans="1:6" x14ac:dyDescent="0.25">
      <c r="A9078" s="1">
        <v>41640</v>
      </c>
      <c r="B9078" t="s">
        <v>5</v>
      </c>
      <c r="C9078" t="s">
        <v>11</v>
      </c>
      <c r="D9078">
        <v>49</v>
      </c>
      <c r="E9078" s="2">
        <v>3.650462962962963E-2</v>
      </c>
      <c r="F9078">
        <v>52.56666666666667</v>
      </c>
    </row>
    <row r="9079" spans="1:6" x14ac:dyDescent="0.25">
      <c r="A9079" s="1">
        <v>41640</v>
      </c>
      <c r="B9079" t="s">
        <v>12</v>
      </c>
      <c r="C9079" t="s">
        <v>6</v>
      </c>
      <c r="D9079">
        <v>50</v>
      </c>
      <c r="E9079" s="2">
        <v>7.6828703703703705E-2</v>
      </c>
      <c r="F9079">
        <v>110.63333333333334</v>
      </c>
    </row>
    <row r="9080" spans="1:6" x14ac:dyDescent="0.25">
      <c r="A9080" s="1">
        <v>41640</v>
      </c>
      <c r="B9080" t="s">
        <v>12</v>
      </c>
      <c r="C9080" t="s">
        <v>7</v>
      </c>
      <c r="D9080">
        <v>40</v>
      </c>
      <c r="E9080" s="2">
        <v>5.9872685185185189E-2</v>
      </c>
      <c r="F9080">
        <v>86.216666666666669</v>
      </c>
    </row>
    <row r="9081" spans="1:6" x14ac:dyDescent="0.25">
      <c r="A9081" s="1">
        <v>41640</v>
      </c>
      <c r="B9081" t="s">
        <v>12</v>
      </c>
      <c r="C9081" t="s">
        <v>8</v>
      </c>
      <c r="D9081">
        <v>16</v>
      </c>
      <c r="E9081" s="2">
        <v>1.8402777777777778E-2</v>
      </c>
      <c r="F9081">
        <v>26.5</v>
      </c>
    </row>
    <row r="9082" spans="1:6" x14ac:dyDescent="0.25">
      <c r="A9082" s="1">
        <v>41640</v>
      </c>
      <c r="B9082" t="s">
        <v>12</v>
      </c>
      <c r="C9082" t="s">
        <v>9</v>
      </c>
      <c r="D9082">
        <v>13</v>
      </c>
      <c r="E9082" s="2">
        <v>1.0439814814814815E-2</v>
      </c>
      <c r="F9082">
        <v>15.033333333333333</v>
      </c>
    </row>
    <row r="9083" spans="1:6" x14ac:dyDescent="0.25">
      <c r="A9083" s="1">
        <v>41640</v>
      </c>
      <c r="B9083" t="s">
        <v>12</v>
      </c>
      <c r="C9083" t="s">
        <v>10</v>
      </c>
      <c r="D9083">
        <v>22</v>
      </c>
      <c r="E9083" s="2">
        <v>4.3321759259259261E-2</v>
      </c>
      <c r="F9083">
        <v>62.383333333333333</v>
      </c>
    </row>
    <row r="9084" spans="1:6" x14ac:dyDescent="0.25">
      <c r="A9084" s="1">
        <v>41640</v>
      </c>
      <c r="B9084" t="s">
        <v>12</v>
      </c>
      <c r="C9084" t="s">
        <v>11</v>
      </c>
      <c r="D9084">
        <v>40</v>
      </c>
      <c r="E9084" s="2">
        <v>5.1516203703703703E-2</v>
      </c>
      <c r="F9084">
        <v>74.183333333333337</v>
      </c>
    </row>
    <row r="9085" spans="1:6" x14ac:dyDescent="0.25">
      <c r="A9085" s="1">
        <v>41640</v>
      </c>
      <c r="B9085" t="s">
        <v>13</v>
      </c>
      <c r="C9085" t="s">
        <v>6</v>
      </c>
      <c r="D9085">
        <v>46</v>
      </c>
      <c r="E9085" s="2">
        <v>5.7627314814814812E-2</v>
      </c>
      <c r="F9085">
        <v>82.983333333333334</v>
      </c>
    </row>
    <row r="9086" spans="1:6" x14ac:dyDescent="0.25">
      <c r="A9086" s="1">
        <v>41640</v>
      </c>
      <c r="B9086" t="s">
        <v>13</v>
      </c>
      <c r="C9086" t="s">
        <v>7</v>
      </c>
      <c r="D9086">
        <v>61</v>
      </c>
      <c r="E9086" s="2">
        <v>9.6030092592592597E-2</v>
      </c>
      <c r="F9086">
        <v>138.28333333333333</v>
      </c>
    </row>
    <row r="9087" spans="1:6" x14ac:dyDescent="0.25">
      <c r="A9087" s="1">
        <v>41640</v>
      </c>
      <c r="B9087" t="s">
        <v>13</v>
      </c>
      <c r="C9087" t="s">
        <v>8</v>
      </c>
      <c r="D9087">
        <v>34</v>
      </c>
      <c r="E9087" s="2">
        <v>4.6388888888888889E-2</v>
      </c>
      <c r="F9087">
        <v>66.8</v>
      </c>
    </row>
    <row r="9088" spans="1:6" x14ac:dyDescent="0.25">
      <c r="A9088" s="1">
        <v>41640</v>
      </c>
      <c r="B9088" t="s">
        <v>13</v>
      </c>
      <c r="C9088" t="s">
        <v>9</v>
      </c>
      <c r="D9088">
        <v>26</v>
      </c>
      <c r="E9088" s="2">
        <v>1.8842592592592591E-2</v>
      </c>
      <c r="F9088">
        <v>27.133333333333333</v>
      </c>
    </row>
    <row r="9089" spans="1:6" x14ac:dyDescent="0.25">
      <c r="A9089" s="1">
        <v>41640</v>
      </c>
      <c r="B9089" t="s">
        <v>13</v>
      </c>
      <c r="C9089" t="s">
        <v>10</v>
      </c>
      <c r="D9089">
        <v>14</v>
      </c>
      <c r="E9089" s="2">
        <v>2.3321759259259261E-2</v>
      </c>
      <c r="F9089">
        <v>33.583333333333336</v>
      </c>
    </row>
    <row r="9090" spans="1:6" x14ac:dyDescent="0.25">
      <c r="A9090" s="1">
        <v>41640</v>
      </c>
      <c r="B9090" t="s">
        <v>13</v>
      </c>
      <c r="C9090" t="s">
        <v>11</v>
      </c>
      <c r="D9090">
        <v>29</v>
      </c>
      <c r="E9090" s="2">
        <v>2.6365740740740742E-2</v>
      </c>
      <c r="F9090">
        <v>37.966666666666669</v>
      </c>
    </row>
    <row r="9091" spans="1:6" x14ac:dyDescent="0.25">
      <c r="A9091" s="1">
        <v>41640</v>
      </c>
      <c r="B9091" t="s">
        <v>14</v>
      </c>
      <c r="C9091" t="s">
        <v>6</v>
      </c>
      <c r="D9091">
        <v>18</v>
      </c>
      <c r="E9091" s="2">
        <v>2.6608796296296297E-2</v>
      </c>
      <c r="F9091">
        <v>38.31666666666667</v>
      </c>
    </row>
    <row r="9092" spans="1:6" x14ac:dyDescent="0.25">
      <c r="A9092" s="1">
        <v>41640</v>
      </c>
      <c r="B9092" t="s">
        <v>14</v>
      </c>
      <c r="C9092" t="s">
        <v>7</v>
      </c>
      <c r="D9092">
        <v>13</v>
      </c>
      <c r="E9092" s="2">
        <v>2.375E-2</v>
      </c>
      <c r="F9092">
        <v>34.200000000000003</v>
      </c>
    </row>
    <row r="9093" spans="1:6" x14ac:dyDescent="0.25">
      <c r="A9093" s="1">
        <v>41640</v>
      </c>
      <c r="B9093" t="s">
        <v>14</v>
      </c>
      <c r="C9093" t="s">
        <v>8</v>
      </c>
      <c r="D9093">
        <v>12</v>
      </c>
      <c r="E9093" s="2">
        <v>2.2233796296296297E-2</v>
      </c>
      <c r="F9093">
        <v>32.016666666666666</v>
      </c>
    </row>
    <row r="9094" spans="1:6" x14ac:dyDescent="0.25">
      <c r="A9094" s="1">
        <v>41640</v>
      </c>
      <c r="B9094" t="s">
        <v>14</v>
      </c>
      <c r="C9094" t="s">
        <v>9</v>
      </c>
      <c r="D9094">
        <v>3</v>
      </c>
      <c r="E9094" s="2">
        <v>2.2916666666666667E-3</v>
      </c>
      <c r="F9094">
        <v>3.3</v>
      </c>
    </row>
    <row r="9095" spans="1:6" x14ac:dyDescent="0.25">
      <c r="A9095" s="1">
        <v>41640</v>
      </c>
      <c r="B9095" t="s">
        <v>14</v>
      </c>
      <c r="C9095" t="s">
        <v>10</v>
      </c>
      <c r="D9095">
        <v>3</v>
      </c>
      <c r="E9095" s="2">
        <v>6.851851851851852E-3</v>
      </c>
      <c r="F9095">
        <v>9.8666666666666671</v>
      </c>
    </row>
    <row r="9096" spans="1:6" x14ac:dyDescent="0.25">
      <c r="A9096" s="1">
        <v>41640</v>
      </c>
      <c r="B9096" t="s">
        <v>14</v>
      </c>
      <c r="C9096" t="s">
        <v>11</v>
      </c>
      <c r="D9096">
        <v>10</v>
      </c>
      <c r="E9096" s="2">
        <v>1.0729166666666666E-2</v>
      </c>
      <c r="F9096">
        <v>15.45</v>
      </c>
    </row>
    <row r="9097" spans="1:6" x14ac:dyDescent="0.25">
      <c r="A9097" s="1">
        <v>41640</v>
      </c>
      <c r="B9097" t="s">
        <v>15</v>
      </c>
      <c r="C9097" t="s">
        <v>6</v>
      </c>
      <c r="D9097">
        <v>29</v>
      </c>
      <c r="E9097" s="2">
        <v>3.1655092592592596E-2</v>
      </c>
      <c r="F9097">
        <v>45.583333333333336</v>
      </c>
    </row>
    <row r="9098" spans="1:6" x14ac:dyDescent="0.25">
      <c r="A9098" s="1">
        <v>41640</v>
      </c>
      <c r="B9098" t="s">
        <v>15</v>
      </c>
      <c r="C9098" t="s">
        <v>7</v>
      </c>
      <c r="D9098">
        <v>29</v>
      </c>
      <c r="E9098" s="2">
        <v>3.1273148148148147E-2</v>
      </c>
      <c r="F9098">
        <v>45.033333333333331</v>
      </c>
    </row>
    <row r="9099" spans="1:6" x14ac:dyDescent="0.25">
      <c r="A9099" s="1">
        <v>41640</v>
      </c>
      <c r="B9099" t="s">
        <v>15</v>
      </c>
      <c r="C9099" t="s">
        <v>8</v>
      </c>
      <c r="D9099">
        <v>35</v>
      </c>
      <c r="E9099" s="2">
        <v>3.6203703703703703E-2</v>
      </c>
      <c r="F9099">
        <v>52.133333333333333</v>
      </c>
    </row>
    <row r="9100" spans="1:6" x14ac:dyDescent="0.25">
      <c r="A9100" s="1">
        <v>41640</v>
      </c>
      <c r="B9100" t="s">
        <v>15</v>
      </c>
      <c r="C9100" t="s">
        <v>9</v>
      </c>
      <c r="D9100">
        <v>14</v>
      </c>
      <c r="E9100" s="2">
        <v>7.4652777777777781E-3</v>
      </c>
      <c r="F9100">
        <v>10.75</v>
      </c>
    </row>
    <row r="9101" spans="1:6" x14ac:dyDescent="0.25">
      <c r="A9101" s="1">
        <v>41640</v>
      </c>
      <c r="B9101" t="s">
        <v>15</v>
      </c>
      <c r="C9101" t="s">
        <v>10</v>
      </c>
      <c r="D9101">
        <v>10</v>
      </c>
      <c r="E9101" s="2">
        <v>8.8888888888888889E-3</v>
      </c>
      <c r="F9101">
        <v>12.8</v>
      </c>
    </row>
    <row r="9102" spans="1:6" x14ac:dyDescent="0.25">
      <c r="A9102" s="1">
        <v>41640</v>
      </c>
      <c r="B9102" t="s">
        <v>15</v>
      </c>
      <c r="C9102" t="s">
        <v>11</v>
      </c>
      <c r="D9102">
        <v>12</v>
      </c>
      <c r="E9102" s="2">
        <v>1.3634259259259259E-2</v>
      </c>
      <c r="F9102">
        <v>19.633333333333333</v>
      </c>
    </row>
    <row r="9103" spans="1:6" x14ac:dyDescent="0.25">
      <c r="A9103" s="1">
        <v>41640</v>
      </c>
      <c r="B9103" t="s">
        <v>16</v>
      </c>
      <c r="C9103" t="s">
        <v>6</v>
      </c>
      <c r="D9103">
        <v>20</v>
      </c>
      <c r="E9103" s="2">
        <v>1.9259259259259261E-2</v>
      </c>
      <c r="F9103">
        <v>27.733333333333334</v>
      </c>
    </row>
    <row r="9104" spans="1:6" x14ac:dyDescent="0.25">
      <c r="A9104" s="1">
        <v>41640</v>
      </c>
      <c r="B9104" t="s">
        <v>16</v>
      </c>
      <c r="C9104" t="s">
        <v>7</v>
      </c>
      <c r="D9104">
        <v>20</v>
      </c>
      <c r="E9104" s="2">
        <v>1.773148148148148E-2</v>
      </c>
      <c r="F9104">
        <v>25.533333333333335</v>
      </c>
    </row>
    <row r="9105" spans="1:6" x14ac:dyDescent="0.25">
      <c r="A9105" s="1">
        <v>41640</v>
      </c>
      <c r="B9105" t="s">
        <v>16</v>
      </c>
      <c r="C9105" t="s">
        <v>8</v>
      </c>
      <c r="D9105">
        <v>21</v>
      </c>
      <c r="E9105" s="2">
        <v>1.5081018518518518E-2</v>
      </c>
      <c r="F9105">
        <v>21.716666666666665</v>
      </c>
    </row>
    <row r="9106" spans="1:6" x14ac:dyDescent="0.25">
      <c r="A9106" s="1">
        <v>41640</v>
      </c>
      <c r="B9106" t="s">
        <v>16</v>
      </c>
      <c r="C9106" t="s">
        <v>9</v>
      </c>
      <c r="D9106">
        <v>13</v>
      </c>
      <c r="E9106" s="2">
        <v>8.067129629629629E-3</v>
      </c>
      <c r="F9106">
        <v>11.616666666666667</v>
      </c>
    </row>
    <row r="9107" spans="1:6" x14ac:dyDescent="0.25">
      <c r="A9107" s="1">
        <v>41640</v>
      </c>
      <c r="B9107" t="s">
        <v>16</v>
      </c>
      <c r="C9107" t="s">
        <v>10</v>
      </c>
      <c r="D9107">
        <v>1</v>
      </c>
      <c r="E9107" s="2">
        <v>6.9444444444444447E-4</v>
      </c>
      <c r="F9107">
        <v>1</v>
      </c>
    </row>
    <row r="9108" spans="1:6" x14ac:dyDescent="0.25">
      <c r="A9108" s="1">
        <v>41640</v>
      </c>
      <c r="B9108" t="s">
        <v>16</v>
      </c>
      <c r="C9108" t="s">
        <v>11</v>
      </c>
      <c r="D9108">
        <v>34</v>
      </c>
      <c r="E9108" s="2">
        <v>3.0254629629629631E-2</v>
      </c>
      <c r="F9108">
        <v>43.56666666666667</v>
      </c>
    </row>
    <row r="9109" spans="1:6" x14ac:dyDescent="0.25">
      <c r="A9109" s="1">
        <v>41640</v>
      </c>
      <c r="B9109" t="s">
        <v>17</v>
      </c>
      <c r="C9109" t="s">
        <v>6</v>
      </c>
      <c r="D9109">
        <v>9</v>
      </c>
      <c r="E9109" s="2">
        <v>8.9120370370370378E-3</v>
      </c>
      <c r="F9109">
        <v>12.833333333333334</v>
      </c>
    </row>
    <row r="9110" spans="1:6" x14ac:dyDescent="0.25">
      <c r="A9110" s="1">
        <v>41640</v>
      </c>
      <c r="B9110" t="s">
        <v>17</v>
      </c>
      <c r="C9110" t="s">
        <v>7</v>
      </c>
      <c r="D9110">
        <v>13</v>
      </c>
      <c r="E9110" s="2">
        <v>1.494212962962963E-2</v>
      </c>
      <c r="F9110">
        <v>21.516666666666666</v>
      </c>
    </row>
    <row r="9111" spans="1:6" x14ac:dyDescent="0.25">
      <c r="A9111" s="1">
        <v>41640</v>
      </c>
      <c r="B9111" t="s">
        <v>17</v>
      </c>
      <c r="C9111" t="s">
        <v>8</v>
      </c>
      <c r="D9111">
        <v>13</v>
      </c>
      <c r="E9111" s="2">
        <v>0.01</v>
      </c>
      <c r="F9111">
        <v>14.4</v>
      </c>
    </row>
    <row r="9112" spans="1:6" x14ac:dyDescent="0.25">
      <c r="A9112" s="1">
        <v>41640</v>
      </c>
      <c r="B9112" t="s">
        <v>17</v>
      </c>
      <c r="C9112" t="s">
        <v>9</v>
      </c>
      <c r="D9112">
        <v>5</v>
      </c>
      <c r="E9112" s="2">
        <v>2.2222222222222222E-3</v>
      </c>
      <c r="F9112">
        <v>3.2</v>
      </c>
    </row>
    <row r="9113" spans="1:6" x14ac:dyDescent="0.25">
      <c r="A9113" s="1">
        <v>41640</v>
      </c>
      <c r="B9113" t="s">
        <v>17</v>
      </c>
      <c r="C9113" t="s">
        <v>10</v>
      </c>
      <c r="D9113">
        <v>12</v>
      </c>
      <c r="E9113" s="2">
        <v>1.7303240740740741E-2</v>
      </c>
      <c r="F9113">
        <v>24.916666666666668</v>
      </c>
    </row>
    <row r="9114" spans="1:6" x14ac:dyDescent="0.25">
      <c r="A9114" s="1">
        <v>41640</v>
      </c>
      <c r="B9114" t="s">
        <v>17</v>
      </c>
      <c r="C9114" t="s">
        <v>11</v>
      </c>
      <c r="D9114">
        <v>9</v>
      </c>
      <c r="E9114" s="2">
        <v>5.6365740740740742E-3</v>
      </c>
      <c r="F9114">
        <v>8.1166666666666671</v>
      </c>
    </row>
    <row r="9115" spans="1:6" x14ac:dyDescent="0.25">
      <c r="A9115" s="1">
        <v>41640</v>
      </c>
      <c r="B9115" t="s">
        <v>18</v>
      </c>
      <c r="C9115" t="s">
        <v>6</v>
      </c>
      <c r="D9115">
        <v>46</v>
      </c>
      <c r="E9115" s="2">
        <v>5.0497685185185187E-2</v>
      </c>
      <c r="F9115">
        <v>72.716666666666669</v>
      </c>
    </row>
    <row r="9116" spans="1:6" x14ac:dyDescent="0.25">
      <c r="A9116" s="1">
        <v>41640</v>
      </c>
      <c r="B9116" t="s">
        <v>18</v>
      </c>
      <c r="C9116" t="s">
        <v>7</v>
      </c>
      <c r="D9116">
        <v>72</v>
      </c>
      <c r="E9116" s="2">
        <v>6.0127314814814814E-2</v>
      </c>
      <c r="F9116">
        <v>86.583333333333329</v>
      </c>
    </row>
    <row r="9117" spans="1:6" x14ac:dyDescent="0.25">
      <c r="A9117" s="1">
        <v>41640</v>
      </c>
      <c r="B9117" t="s">
        <v>18</v>
      </c>
      <c r="C9117" t="s">
        <v>8</v>
      </c>
      <c r="D9117">
        <v>35</v>
      </c>
      <c r="E9117" s="2">
        <v>3.3935185185185186E-2</v>
      </c>
      <c r="F9117">
        <v>48.866666666666667</v>
      </c>
    </row>
    <row r="9118" spans="1:6" x14ac:dyDescent="0.25">
      <c r="A9118" s="1">
        <v>41640</v>
      </c>
      <c r="B9118" t="s">
        <v>18</v>
      </c>
      <c r="C9118" t="s">
        <v>9</v>
      </c>
      <c r="D9118">
        <v>55</v>
      </c>
      <c r="E9118" s="2">
        <v>3.5891203703703703E-2</v>
      </c>
      <c r="F9118">
        <v>51.68333333333333</v>
      </c>
    </row>
    <row r="9119" spans="1:6" x14ac:dyDescent="0.25">
      <c r="A9119" s="1">
        <v>41640</v>
      </c>
      <c r="B9119" t="s">
        <v>18</v>
      </c>
      <c r="C9119" t="s">
        <v>10</v>
      </c>
      <c r="D9119">
        <v>124</v>
      </c>
      <c r="E9119" s="2">
        <v>0.15175925925925926</v>
      </c>
      <c r="F9119">
        <v>218.53333333333333</v>
      </c>
    </row>
    <row r="9120" spans="1:6" x14ac:dyDescent="0.25">
      <c r="A9120" s="1">
        <v>41640</v>
      </c>
      <c r="B9120" t="s">
        <v>18</v>
      </c>
      <c r="C9120" t="s">
        <v>11</v>
      </c>
      <c r="D9120">
        <v>36</v>
      </c>
      <c r="E9120" s="2">
        <v>2.8472222222222222E-2</v>
      </c>
      <c r="F9120">
        <v>41</v>
      </c>
    </row>
    <row r="9121" spans="1:6" x14ac:dyDescent="0.25">
      <c r="A9121" s="1">
        <v>41640</v>
      </c>
      <c r="B9121" t="s">
        <v>19</v>
      </c>
      <c r="C9121" t="s">
        <v>6</v>
      </c>
      <c r="D9121">
        <v>32</v>
      </c>
      <c r="E9121" s="2">
        <v>3.5277777777777776E-2</v>
      </c>
      <c r="F9121">
        <v>50.8</v>
      </c>
    </row>
    <row r="9122" spans="1:6" x14ac:dyDescent="0.25">
      <c r="A9122" s="1">
        <v>41640</v>
      </c>
      <c r="B9122" t="s">
        <v>19</v>
      </c>
      <c r="C9122" t="s">
        <v>7</v>
      </c>
      <c r="D9122">
        <v>34</v>
      </c>
      <c r="E9122" s="2">
        <v>3.667824074074074E-2</v>
      </c>
      <c r="F9122">
        <v>52.81666666666667</v>
      </c>
    </row>
    <row r="9123" spans="1:6" x14ac:dyDescent="0.25">
      <c r="A9123" s="1">
        <v>41640</v>
      </c>
      <c r="B9123" t="s">
        <v>19</v>
      </c>
      <c r="C9123" t="s">
        <v>8</v>
      </c>
      <c r="D9123">
        <v>33</v>
      </c>
      <c r="E9123" s="2">
        <v>4.7800925925925927E-2</v>
      </c>
      <c r="F9123">
        <v>68.833333333333329</v>
      </c>
    </row>
    <row r="9124" spans="1:6" x14ac:dyDescent="0.25">
      <c r="A9124" s="1">
        <v>41640</v>
      </c>
      <c r="B9124" t="s">
        <v>19</v>
      </c>
      <c r="C9124" t="s">
        <v>9</v>
      </c>
      <c r="D9124">
        <v>21</v>
      </c>
      <c r="E9124" s="2">
        <v>1.6944444444444446E-2</v>
      </c>
      <c r="F9124">
        <v>24.4</v>
      </c>
    </row>
    <row r="9125" spans="1:6" x14ac:dyDescent="0.25">
      <c r="A9125" s="1">
        <v>41640</v>
      </c>
      <c r="B9125" t="s">
        <v>19</v>
      </c>
      <c r="C9125" t="s">
        <v>10</v>
      </c>
      <c r="D9125">
        <v>12</v>
      </c>
      <c r="E9125" s="2">
        <v>1.3923611111111111E-2</v>
      </c>
      <c r="F9125">
        <v>20.05</v>
      </c>
    </row>
    <row r="9126" spans="1:6" x14ac:dyDescent="0.25">
      <c r="A9126" s="1">
        <v>41640</v>
      </c>
      <c r="B9126" t="s">
        <v>19</v>
      </c>
      <c r="C9126" t="s">
        <v>11</v>
      </c>
      <c r="D9126">
        <v>41</v>
      </c>
      <c r="E9126" s="2">
        <v>3.7083333333333336E-2</v>
      </c>
      <c r="F9126">
        <v>53.4</v>
      </c>
    </row>
    <row r="9127" spans="1:6" x14ac:dyDescent="0.25">
      <c r="A9127" s="1">
        <v>41640</v>
      </c>
      <c r="B9127" t="s">
        <v>20</v>
      </c>
      <c r="C9127" t="s">
        <v>6</v>
      </c>
      <c r="D9127">
        <v>31</v>
      </c>
      <c r="E9127" s="2">
        <v>4.3692129629629629E-2</v>
      </c>
      <c r="F9127">
        <v>62.916666666666664</v>
      </c>
    </row>
    <row r="9128" spans="1:6" x14ac:dyDescent="0.25">
      <c r="A9128" s="1">
        <v>41640</v>
      </c>
      <c r="B9128" t="s">
        <v>20</v>
      </c>
      <c r="C9128" t="s">
        <v>7</v>
      </c>
      <c r="D9128">
        <v>35</v>
      </c>
      <c r="E9128" s="2">
        <v>4.0601851851851854E-2</v>
      </c>
      <c r="F9128">
        <v>58.466666666666669</v>
      </c>
    </row>
    <row r="9129" spans="1:6" x14ac:dyDescent="0.25">
      <c r="A9129" s="1">
        <v>41640</v>
      </c>
      <c r="B9129" t="s">
        <v>20</v>
      </c>
      <c r="C9129" t="s">
        <v>8</v>
      </c>
      <c r="D9129">
        <v>31</v>
      </c>
      <c r="E9129" s="2">
        <v>3.0405092592592591E-2</v>
      </c>
      <c r="F9129">
        <v>43.783333333333331</v>
      </c>
    </row>
    <row r="9130" spans="1:6" x14ac:dyDescent="0.25">
      <c r="A9130" s="1">
        <v>41640</v>
      </c>
      <c r="B9130" t="s">
        <v>20</v>
      </c>
      <c r="C9130" t="s">
        <v>9</v>
      </c>
      <c r="D9130">
        <v>14</v>
      </c>
      <c r="E9130" s="2">
        <v>1.1388888888888889E-2</v>
      </c>
      <c r="F9130">
        <v>16.399999999999999</v>
      </c>
    </row>
    <row r="9131" spans="1:6" x14ac:dyDescent="0.25">
      <c r="A9131" s="1">
        <v>41640</v>
      </c>
      <c r="B9131" t="s">
        <v>20</v>
      </c>
      <c r="C9131" t="s">
        <v>10</v>
      </c>
      <c r="D9131">
        <v>5</v>
      </c>
      <c r="E9131" s="2">
        <v>7.5810185185185182E-3</v>
      </c>
      <c r="F9131">
        <v>10.916666666666666</v>
      </c>
    </row>
    <row r="9132" spans="1:6" x14ac:dyDescent="0.25">
      <c r="A9132" s="1">
        <v>41640</v>
      </c>
      <c r="B9132" t="s">
        <v>20</v>
      </c>
      <c r="C9132" t="s">
        <v>11</v>
      </c>
      <c r="D9132">
        <v>24</v>
      </c>
      <c r="E9132" s="2">
        <v>2.119212962962963E-2</v>
      </c>
      <c r="F9132">
        <v>30.516666666666666</v>
      </c>
    </row>
    <row r="9133" spans="1:6" x14ac:dyDescent="0.25">
      <c r="A9133" s="1">
        <v>41640</v>
      </c>
      <c r="B9133" t="s">
        <v>21</v>
      </c>
      <c r="C9133" t="s">
        <v>6</v>
      </c>
      <c r="D9133">
        <v>28</v>
      </c>
      <c r="E9133" s="2">
        <v>3.5636574074074077E-2</v>
      </c>
      <c r="F9133">
        <v>51.31666666666667</v>
      </c>
    </row>
    <row r="9134" spans="1:6" x14ac:dyDescent="0.25">
      <c r="A9134" s="1">
        <v>41640</v>
      </c>
      <c r="B9134" t="s">
        <v>21</v>
      </c>
      <c r="C9134" t="s">
        <v>7</v>
      </c>
      <c r="D9134">
        <v>25</v>
      </c>
      <c r="E9134" s="2">
        <v>3.6608796296296299E-2</v>
      </c>
      <c r="F9134">
        <v>52.716666666666669</v>
      </c>
    </row>
    <row r="9135" spans="1:6" x14ac:dyDescent="0.25">
      <c r="A9135" s="1">
        <v>41640</v>
      </c>
      <c r="B9135" t="s">
        <v>21</v>
      </c>
      <c r="C9135" t="s">
        <v>8</v>
      </c>
      <c r="D9135">
        <v>25</v>
      </c>
      <c r="E9135" s="2">
        <v>3.4826388888888886E-2</v>
      </c>
      <c r="F9135">
        <v>50.15</v>
      </c>
    </row>
    <row r="9136" spans="1:6" x14ac:dyDescent="0.25">
      <c r="A9136" s="1">
        <v>41640</v>
      </c>
      <c r="B9136" t="s">
        <v>21</v>
      </c>
      <c r="C9136" t="s">
        <v>9</v>
      </c>
      <c r="D9136">
        <v>10</v>
      </c>
      <c r="E9136" s="2">
        <v>5.5787037037037038E-3</v>
      </c>
      <c r="F9136">
        <v>8.0333333333333332</v>
      </c>
    </row>
    <row r="9137" spans="1:6" x14ac:dyDescent="0.25">
      <c r="A9137" s="1">
        <v>41640</v>
      </c>
      <c r="B9137" t="s">
        <v>21</v>
      </c>
      <c r="C9137" t="s">
        <v>10</v>
      </c>
      <c r="D9137">
        <v>1</v>
      </c>
      <c r="E9137" s="2">
        <v>1.6666666666666668E-3</v>
      </c>
      <c r="F9137">
        <v>2.4</v>
      </c>
    </row>
    <row r="9138" spans="1:6" x14ac:dyDescent="0.25">
      <c r="A9138" s="1">
        <v>41640</v>
      </c>
      <c r="B9138" t="s">
        <v>21</v>
      </c>
      <c r="C9138" t="s">
        <v>11</v>
      </c>
      <c r="D9138">
        <v>22</v>
      </c>
      <c r="E9138" s="2">
        <v>2.476851851851852E-2</v>
      </c>
      <c r="F9138">
        <v>35.666666666666664</v>
      </c>
    </row>
    <row r="9139" spans="1:6" x14ac:dyDescent="0.25">
      <c r="A9139" s="1">
        <v>41640</v>
      </c>
      <c r="B9139" t="s">
        <v>22</v>
      </c>
      <c r="C9139" t="s">
        <v>6</v>
      </c>
      <c r="D9139">
        <v>13</v>
      </c>
      <c r="E9139" s="2">
        <v>1.846064814814815E-2</v>
      </c>
      <c r="F9139">
        <v>26.583333333333332</v>
      </c>
    </row>
    <row r="9140" spans="1:6" x14ac:dyDescent="0.25">
      <c r="A9140" s="1">
        <v>41640</v>
      </c>
      <c r="B9140" t="s">
        <v>22</v>
      </c>
      <c r="C9140" t="s">
        <v>7</v>
      </c>
      <c r="D9140">
        <v>7</v>
      </c>
      <c r="E9140" s="2">
        <v>9.3402777777777772E-3</v>
      </c>
      <c r="F9140">
        <v>13.45</v>
      </c>
    </row>
    <row r="9141" spans="1:6" x14ac:dyDescent="0.25">
      <c r="A9141" s="1">
        <v>41640</v>
      </c>
      <c r="B9141" t="s">
        <v>22</v>
      </c>
      <c r="C9141" t="s">
        <v>8</v>
      </c>
      <c r="D9141">
        <v>12</v>
      </c>
      <c r="E9141" s="2">
        <v>1.5682870370370371E-2</v>
      </c>
      <c r="F9141">
        <v>22.583333333333332</v>
      </c>
    </row>
    <row r="9142" spans="1:6" x14ac:dyDescent="0.25">
      <c r="A9142" s="1">
        <v>41640</v>
      </c>
      <c r="B9142" t="s">
        <v>22</v>
      </c>
      <c r="C9142" t="s">
        <v>9</v>
      </c>
      <c r="D9142">
        <v>12</v>
      </c>
      <c r="E9142" s="2">
        <v>5.0694444444444441E-3</v>
      </c>
      <c r="F9142">
        <v>7.3</v>
      </c>
    </row>
    <row r="9143" spans="1:6" x14ac:dyDescent="0.25">
      <c r="A9143" s="1">
        <v>41640</v>
      </c>
      <c r="B9143" t="s">
        <v>22</v>
      </c>
      <c r="C9143" t="s">
        <v>10</v>
      </c>
      <c r="D9143">
        <v>2</v>
      </c>
      <c r="E9143" s="2">
        <v>4.5949074074074078E-3</v>
      </c>
      <c r="F9143">
        <v>6.6166666666666671</v>
      </c>
    </row>
    <row r="9144" spans="1:6" x14ac:dyDescent="0.25">
      <c r="A9144" s="1">
        <v>41640</v>
      </c>
      <c r="B9144" t="s">
        <v>22</v>
      </c>
      <c r="C9144" t="s">
        <v>11</v>
      </c>
      <c r="D9144">
        <v>6</v>
      </c>
      <c r="E9144" s="2">
        <v>7.4884259259259262E-3</v>
      </c>
      <c r="F9144">
        <v>10.783333333333333</v>
      </c>
    </row>
    <row r="9145" spans="1:6" x14ac:dyDescent="0.25">
      <c r="A9145" s="1">
        <v>41640</v>
      </c>
      <c r="B9145" t="s">
        <v>23</v>
      </c>
      <c r="C9145" t="s">
        <v>6</v>
      </c>
      <c r="D9145">
        <v>114</v>
      </c>
      <c r="E9145" s="2">
        <v>0.13899305555555555</v>
      </c>
      <c r="F9145">
        <v>200.15</v>
      </c>
    </row>
    <row r="9146" spans="1:6" x14ac:dyDescent="0.25">
      <c r="A9146" s="1">
        <v>41640</v>
      </c>
      <c r="B9146" t="s">
        <v>23</v>
      </c>
      <c r="C9146" t="s">
        <v>7</v>
      </c>
      <c r="D9146">
        <v>146</v>
      </c>
      <c r="E9146" s="2">
        <v>0.21241898148148147</v>
      </c>
      <c r="F9146">
        <v>305.88333333333333</v>
      </c>
    </row>
    <row r="9147" spans="1:6" x14ac:dyDescent="0.25">
      <c r="A9147" s="1">
        <v>41640</v>
      </c>
      <c r="B9147" t="s">
        <v>23</v>
      </c>
      <c r="C9147" t="s">
        <v>8</v>
      </c>
      <c r="D9147">
        <v>78</v>
      </c>
      <c r="E9147" s="2">
        <v>7.6840277777777771E-2</v>
      </c>
      <c r="F9147">
        <v>110.65</v>
      </c>
    </row>
    <row r="9148" spans="1:6" x14ac:dyDescent="0.25">
      <c r="A9148" s="1">
        <v>41640</v>
      </c>
      <c r="B9148" t="s">
        <v>23</v>
      </c>
      <c r="C9148" t="s">
        <v>9</v>
      </c>
      <c r="D9148">
        <v>63</v>
      </c>
      <c r="E9148" s="2">
        <v>4.400462962962963E-2</v>
      </c>
      <c r="F9148">
        <v>63.366666666666667</v>
      </c>
    </row>
    <row r="9149" spans="1:6" x14ac:dyDescent="0.25">
      <c r="A9149" s="1">
        <v>41640</v>
      </c>
      <c r="B9149" t="s">
        <v>23</v>
      </c>
      <c r="C9149" t="s">
        <v>10</v>
      </c>
      <c r="D9149">
        <v>22</v>
      </c>
      <c r="E9149" s="2">
        <v>3.2349537037037038E-2</v>
      </c>
      <c r="F9149">
        <v>46.583333333333336</v>
      </c>
    </row>
    <row r="9150" spans="1:6" x14ac:dyDescent="0.25">
      <c r="A9150" s="1">
        <v>41640</v>
      </c>
      <c r="B9150" t="s">
        <v>23</v>
      </c>
      <c r="C9150" t="s">
        <v>11</v>
      </c>
      <c r="D9150">
        <v>110</v>
      </c>
      <c r="E9150" s="2">
        <v>0.11081018518518519</v>
      </c>
      <c r="F9150">
        <v>159.56666666666666</v>
      </c>
    </row>
    <row r="9151" spans="1:6" x14ac:dyDescent="0.25">
      <c r="A9151" s="1">
        <v>41640</v>
      </c>
      <c r="B9151" t="s">
        <v>24</v>
      </c>
      <c r="C9151" t="s">
        <v>6</v>
      </c>
      <c r="D9151">
        <v>44</v>
      </c>
      <c r="E9151" s="2">
        <v>4.8865740740740737E-2</v>
      </c>
      <c r="F9151">
        <v>70.36666666666666</v>
      </c>
    </row>
    <row r="9152" spans="1:6" x14ac:dyDescent="0.25">
      <c r="A9152" s="1">
        <v>41640</v>
      </c>
      <c r="B9152" t="s">
        <v>24</v>
      </c>
      <c r="C9152" t="s">
        <v>7</v>
      </c>
      <c r="D9152">
        <v>32</v>
      </c>
      <c r="E9152" s="2">
        <v>2.4641203703703703E-2</v>
      </c>
      <c r="F9152">
        <v>35.483333333333334</v>
      </c>
    </row>
    <row r="9153" spans="1:6" x14ac:dyDescent="0.25">
      <c r="A9153" s="1">
        <v>41640</v>
      </c>
      <c r="B9153" t="s">
        <v>24</v>
      </c>
      <c r="C9153" t="s">
        <v>8</v>
      </c>
      <c r="D9153">
        <v>24</v>
      </c>
      <c r="E9153" s="2">
        <v>1.6226851851851853E-2</v>
      </c>
      <c r="F9153">
        <v>23.366666666666667</v>
      </c>
    </row>
    <row r="9154" spans="1:6" x14ac:dyDescent="0.25">
      <c r="A9154" s="1">
        <v>41640</v>
      </c>
      <c r="B9154" t="s">
        <v>24</v>
      </c>
      <c r="C9154" t="s">
        <v>9</v>
      </c>
      <c r="D9154">
        <v>18</v>
      </c>
      <c r="E9154" s="2">
        <v>8.9004629629629625E-3</v>
      </c>
      <c r="F9154">
        <v>12.816666666666666</v>
      </c>
    </row>
    <row r="9155" spans="1:6" x14ac:dyDescent="0.25">
      <c r="A9155" s="1">
        <v>41640</v>
      </c>
      <c r="B9155" t="s">
        <v>24</v>
      </c>
      <c r="C9155" t="s">
        <v>10</v>
      </c>
      <c r="D9155">
        <v>2</v>
      </c>
      <c r="E9155" s="2">
        <v>3.9814814814814817E-3</v>
      </c>
      <c r="F9155">
        <v>5.7333333333333334</v>
      </c>
    </row>
    <row r="9156" spans="1:6" x14ac:dyDescent="0.25">
      <c r="A9156" s="1">
        <v>41640</v>
      </c>
      <c r="B9156" t="s">
        <v>24</v>
      </c>
      <c r="C9156" t="s">
        <v>11</v>
      </c>
      <c r="D9156">
        <v>23</v>
      </c>
      <c r="E9156" s="2">
        <v>1.4189814814814815E-2</v>
      </c>
      <c r="F9156">
        <v>20.433333333333334</v>
      </c>
    </row>
    <row r="9157" spans="1:6" x14ac:dyDescent="0.25">
      <c r="A9157" s="1">
        <v>41671</v>
      </c>
      <c r="B9157" t="s">
        <v>5</v>
      </c>
      <c r="C9157" t="s">
        <v>6</v>
      </c>
      <c r="D9157">
        <v>58</v>
      </c>
      <c r="E9157" s="2">
        <v>5.3738425925925926E-2</v>
      </c>
      <c r="F9157">
        <v>77.38333333333334</v>
      </c>
    </row>
    <row r="9158" spans="1:6" x14ac:dyDescent="0.25">
      <c r="A9158" s="1">
        <v>41671</v>
      </c>
      <c r="B9158" t="s">
        <v>5</v>
      </c>
      <c r="C9158" t="s">
        <v>7</v>
      </c>
      <c r="D9158">
        <v>54</v>
      </c>
      <c r="E9158" s="2">
        <v>4.4467592592592593E-2</v>
      </c>
      <c r="F9158">
        <v>64.033333333333331</v>
      </c>
    </row>
    <row r="9159" spans="1:6" x14ac:dyDescent="0.25">
      <c r="A9159" s="1">
        <v>41671</v>
      </c>
      <c r="B9159" t="s">
        <v>5</v>
      </c>
      <c r="C9159" t="s">
        <v>8</v>
      </c>
      <c r="D9159">
        <v>50</v>
      </c>
      <c r="E9159" s="2">
        <v>4.221064814814815E-2</v>
      </c>
      <c r="F9159">
        <v>60.783333333333331</v>
      </c>
    </row>
    <row r="9160" spans="1:6" x14ac:dyDescent="0.25">
      <c r="A9160" s="1">
        <v>41671</v>
      </c>
      <c r="B9160" t="s">
        <v>5</v>
      </c>
      <c r="C9160" t="s">
        <v>9</v>
      </c>
      <c r="D9160">
        <v>15</v>
      </c>
      <c r="E9160" s="2">
        <v>7.2800925925925923E-3</v>
      </c>
      <c r="F9160">
        <v>10.483333333333333</v>
      </c>
    </row>
    <row r="9161" spans="1:6" x14ac:dyDescent="0.25">
      <c r="A9161" s="1">
        <v>41671</v>
      </c>
      <c r="B9161" t="s">
        <v>5</v>
      </c>
      <c r="C9161" t="s">
        <v>10</v>
      </c>
      <c r="D9161">
        <v>2</v>
      </c>
      <c r="E9161" s="2">
        <v>4.6296296296296298E-4</v>
      </c>
      <c r="F9161">
        <v>0.66666666666666663</v>
      </c>
    </row>
    <row r="9162" spans="1:6" x14ac:dyDescent="0.25">
      <c r="A9162" s="1">
        <v>41671</v>
      </c>
      <c r="B9162" t="s">
        <v>5</v>
      </c>
      <c r="C9162" t="s">
        <v>11</v>
      </c>
      <c r="D9162">
        <v>57</v>
      </c>
      <c r="E9162" s="2">
        <v>3.8310185185185183E-2</v>
      </c>
      <c r="F9162">
        <v>55.166666666666664</v>
      </c>
    </row>
    <row r="9163" spans="1:6" x14ac:dyDescent="0.25">
      <c r="A9163" s="1">
        <v>41671</v>
      </c>
      <c r="B9163" t="s">
        <v>12</v>
      </c>
      <c r="C9163" t="s">
        <v>6</v>
      </c>
      <c r="D9163">
        <v>45</v>
      </c>
      <c r="E9163" s="2">
        <v>6.0358796296296299E-2</v>
      </c>
      <c r="F9163">
        <v>86.916666666666671</v>
      </c>
    </row>
    <row r="9164" spans="1:6" x14ac:dyDescent="0.25">
      <c r="A9164" s="1">
        <v>41671</v>
      </c>
      <c r="B9164" t="s">
        <v>12</v>
      </c>
      <c r="C9164" t="s">
        <v>7</v>
      </c>
      <c r="D9164">
        <v>41</v>
      </c>
      <c r="E9164" s="2">
        <v>7.0844907407407412E-2</v>
      </c>
      <c r="F9164">
        <v>102.01666666666667</v>
      </c>
    </row>
    <row r="9165" spans="1:6" x14ac:dyDescent="0.25">
      <c r="A9165" s="1">
        <v>41671</v>
      </c>
      <c r="B9165" t="s">
        <v>12</v>
      </c>
      <c r="C9165" t="s">
        <v>8</v>
      </c>
      <c r="D9165">
        <v>16</v>
      </c>
      <c r="E9165" s="2">
        <v>2.298611111111111E-2</v>
      </c>
      <c r="F9165">
        <v>33.1</v>
      </c>
    </row>
    <row r="9166" spans="1:6" x14ac:dyDescent="0.25">
      <c r="A9166" s="1">
        <v>41671</v>
      </c>
      <c r="B9166" t="s">
        <v>12</v>
      </c>
      <c r="C9166" t="s">
        <v>9</v>
      </c>
      <c r="D9166">
        <v>14</v>
      </c>
      <c r="E9166" s="2">
        <v>1.15625E-2</v>
      </c>
      <c r="F9166">
        <v>16.649999999999999</v>
      </c>
    </row>
    <row r="9167" spans="1:6" x14ac:dyDescent="0.25">
      <c r="A9167" s="1">
        <v>41671</v>
      </c>
      <c r="B9167" t="s">
        <v>12</v>
      </c>
      <c r="C9167" t="s">
        <v>10</v>
      </c>
      <c r="D9167">
        <v>28</v>
      </c>
      <c r="E9167" s="2">
        <v>5.4224537037037036E-2</v>
      </c>
      <c r="F9167">
        <v>78.083333333333329</v>
      </c>
    </row>
    <row r="9168" spans="1:6" x14ac:dyDescent="0.25">
      <c r="A9168" s="1">
        <v>41671</v>
      </c>
      <c r="B9168" t="s">
        <v>12</v>
      </c>
      <c r="C9168" t="s">
        <v>11</v>
      </c>
      <c r="D9168">
        <v>41</v>
      </c>
      <c r="E9168" s="2">
        <v>5.5185185185185184E-2</v>
      </c>
      <c r="F9168">
        <v>79.466666666666669</v>
      </c>
    </row>
    <row r="9169" spans="1:6" x14ac:dyDescent="0.25">
      <c r="A9169" s="1">
        <v>41671</v>
      </c>
      <c r="B9169" t="s">
        <v>13</v>
      </c>
      <c r="C9169" t="s">
        <v>6</v>
      </c>
      <c r="D9169">
        <v>70</v>
      </c>
      <c r="E9169" s="2">
        <v>8.8946759259259253E-2</v>
      </c>
      <c r="F9169">
        <v>128.08333333333334</v>
      </c>
    </row>
    <row r="9170" spans="1:6" x14ac:dyDescent="0.25">
      <c r="A9170" s="1">
        <v>41671</v>
      </c>
      <c r="B9170" t="s">
        <v>13</v>
      </c>
      <c r="C9170" t="s">
        <v>7</v>
      </c>
      <c r="D9170">
        <v>76</v>
      </c>
      <c r="E9170" s="2">
        <v>0.12569444444444444</v>
      </c>
      <c r="F9170">
        <v>181</v>
      </c>
    </row>
    <row r="9171" spans="1:6" x14ac:dyDescent="0.25">
      <c r="A9171" s="1">
        <v>41671</v>
      </c>
      <c r="B9171" t="s">
        <v>13</v>
      </c>
      <c r="C9171" t="s">
        <v>8</v>
      </c>
      <c r="D9171">
        <v>46</v>
      </c>
      <c r="E9171" s="2">
        <v>6.1898148148148147E-2</v>
      </c>
      <c r="F9171">
        <v>89.13333333333334</v>
      </c>
    </row>
    <row r="9172" spans="1:6" x14ac:dyDescent="0.25">
      <c r="A9172" s="1">
        <v>41671</v>
      </c>
      <c r="B9172" t="s">
        <v>13</v>
      </c>
      <c r="C9172" t="s">
        <v>9</v>
      </c>
      <c r="D9172">
        <v>24</v>
      </c>
      <c r="E9172" s="2">
        <v>1.8553240740740742E-2</v>
      </c>
      <c r="F9172">
        <v>26.716666666666665</v>
      </c>
    </row>
    <row r="9173" spans="1:6" x14ac:dyDescent="0.25">
      <c r="A9173" s="1">
        <v>41671</v>
      </c>
      <c r="B9173" t="s">
        <v>13</v>
      </c>
      <c r="C9173" t="s">
        <v>10</v>
      </c>
      <c r="D9173">
        <v>14</v>
      </c>
      <c r="E9173" s="2">
        <v>1.9178240740740742E-2</v>
      </c>
      <c r="F9173">
        <v>27.616666666666667</v>
      </c>
    </row>
    <row r="9174" spans="1:6" x14ac:dyDescent="0.25">
      <c r="A9174" s="1">
        <v>41671</v>
      </c>
      <c r="B9174" t="s">
        <v>13</v>
      </c>
      <c r="C9174" t="s">
        <v>11</v>
      </c>
      <c r="D9174">
        <v>38</v>
      </c>
      <c r="E9174" s="2">
        <v>4.9513888888888892E-2</v>
      </c>
      <c r="F9174">
        <v>71.3</v>
      </c>
    </row>
    <row r="9175" spans="1:6" x14ac:dyDescent="0.25">
      <c r="A9175" s="1">
        <v>41671</v>
      </c>
      <c r="B9175" t="s">
        <v>14</v>
      </c>
      <c r="C9175" t="s">
        <v>6</v>
      </c>
      <c r="D9175">
        <v>13</v>
      </c>
      <c r="E9175" s="2">
        <v>1.9490740740740739E-2</v>
      </c>
      <c r="F9175">
        <v>28.066666666666666</v>
      </c>
    </row>
    <row r="9176" spans="1:6" x14ac:dyDescent="0.25">
      <c r="A9176" s="1">
        <v>41671</v>
      </c>
      <c r="B9176" t="s">
        <v>14</v>
      </c>
      <c r="C9176" t="s">
        <v>7</v>
      </c>
      <c r="D9176">
        <v>7</v>
      </c>
      <c r="E9176" s="2">
        <v>1.0219907407407407E-2</v>
      </c>
      <c r="F9176">
        <v>14.716666666666667</v>
      </c>
    </row>
    <row r="9177" spans="1:6" x14ac:dyDescent="0.25">
      <c r="A9177" s="1">
        <v>41671</v>
      </c>
      <c r="B9177" t="s">
        <v>14</v>
      </c>
      <c r="C9177" t="s">
        <v>8</v>
      </c>
      <c r="D9177">
        <v>1</v>
      </c>
      <c r="E9177" s="2">
        <v>1.0648148148148149E-3</v>
      </c>
      <c r="F9177">
        <v>1.5333333333333332</v>
      </c>
    </row>
    <row r="9178" spans="1:6" x14ac:dyDescent="0.25">
      <c r="A9178" s="1">
        <v>41671</v>
      </c>
      <c r="B9178" t="s">
        <v>14</v>
      </c>
      <c r="C9178" t="s">
        <v>9</v>
      </c>
      <c r="D9178">
        <v>0</v>
      </c>
      <c r="E9178" s="2">
        <v>0</v>
      </c>
      <c r="F9178">
        <v>0</v>
      </c>
    </row>
    <row r="9179" spans="1:6" x14ac:dyDescent="0.25">
      <c r="A9179" s="1">
        <v>41671</v>
      </c>
      <c r="B9179" t="s">
        <v>14</v>
      </c>
      <c r="C9179" t="s">
        <v>10</v>
      </c>
      <c r="D9179">
        <v>2</v>
      </c>
      <c r="E9179" s="2">
        <v>3.414351851851852E-3</v>
      </c>
      <c r="F9179">
        <v>4.916666666666667</v>
      </c>
    </row>
    <row r="9180" spans="1:6" x14ac:dyDescent="0.25">
      <c r="A9180" s="1">
        <v>41671</v>
      </c>
      <c r="B9180" t="s">
        <v>14</v>
      </c>
      <c r="C9180" t="s">
        <v>11</v>
      </c>
      <c r="D9180">
        <v>5</v>
      </c>
      <c r="E9180" s="2">
        <v>6.6319444444444446E-3</v>
      </c>
      <c r="F9180">
        <v>9.5500000000000007</v>
      </c>
    </row>
    <row r="9181" spans="1:6" x14ac:dyDescent="0.25">
      <c r="A9181" s="1">
        <v>41671</v>
      </c>
      <c r="B9181" t="s">
        <v>15</v>
      </c>
      <c r="C9181" t="s">
        <v>6</v>
      </c>
      <c r="D9181">
        <v>47</v>
      </c>
      <c r="E9181" s="2">
        <v>4.9074074074074076E-2</v>
      </c>
      <c r="F9181">
        <v>70.666666666666671</v>
      </c>
    </row>
    <row r="9182" spans="1:6" x14ac:dyDescent="0.25">
      <c r="A9182" s="1">
        <v>41671</v>
      </c>
      <c r="B9182" t="s">
        <v>15</v>
      </c>
      <c r="C9182" t="s">
        <v>7</v>
      </c>
      <c r="D9182">
        <v>64</v>
      </c>
      <c r="E9182" s="2">
        <v>5.7893518518518518E-2</v>
      </c>
      <c r="F9182">
        <v>83.36666666666666</v>
      </c>
    </row>
    <row r="9183" spans="1:6" x14ac:dyDescent="0.25">
      <c r="A9183" s="1">
        <v>41671</v>
      </c>
      <c r="B9183" t="s">
        <v>15</v>
      </c>
      <c r="C9183" t="s">
        <v>8</v>
      </c>
      <c r="D9183">
        <v>28</v>
      </c>
      <c r="E9183" s="2">
        <v>2.8877314814814814E-2</v>
      </c>
      <c r="F9183">
        <v>41.583333333333336</v>
      </c>
    </row>
    <row r="9184" spans="1:6" x14ac:dyDescent="0.25">
      <c r="A9184" s="1">
        <v>41671</v>
      </c>
      <c r="B9184" t="s">
        <v>15</v>
      </c>
      <c r="C9184" t="s">
        <v>9</v>
      </c>
      <c r="D9184">
        <v>9</v>
      </c>
      <c r="E9184" s="2">
        <v>6.2384259259259259E-3</v>
      </c>
      <c r="F9184">
        <v>8.9833333333333325</v>
      </c>
    </row>
    <row r="9185" spans="1:6" x14ac:dyDescent="0.25">
      <c r="A9185" s="1">
        <v>41671</v>
      </c>
      <c r="B9185" t="s">
        <v>15</v>
      </c>
      <c r="C9185" t="s">
        <v>10</v>
      </c>
      <c r="D9185">
        <v>5</v>
      </c>
      <c r="E9185" s="2">
        <v>7.905092592592592E-3</v>
      </c>
      <c r="F9185">
        <v>11.383333333333333</v>
      </c>
    </row>
    <row r="9186" spans="1:6" x14ac:dyDescent="0.25">
      <c r="A9186" s="1">
        <v>41671</v>
      </c>
      <c r="B9186" t="s">
        <v>15</v>
      </c>
      <c r="C9186" t="s">
        <v>11</v>
      </c>
      <c r="D9186">
        <v>24</v>
      </c>
      <c r="E9186" s="2">
        <v>2.0821759259259259E-2</v>
      </c>
      <c r="F9186">
        <v>29.983333333333334</v>
      </c>
    </row>
    <row r="9187" spans="1:6" x14ac:dyDescent="0.25">
      <c r="A9187" s="1">
        <v>41671</v>
      </c>
      <c r="B9187" t="s">
        <v>16</v>
      </c>
      <c r="C9187" t="s">
        <v>6</v>
      </c>
      <c r="D9187">
        <v>17</v>
      </c>
      <c r="E9187" s="2">
        <v>1.5289351851851853E-2</v>
      </c>
      <c r="F9187">
        <v>22.016666666666666</v>
      </c>
    </row>
    <row r="9188" spans="1:6" x14ac:dyDescent="0.25">
      <c r="A9188" s="1">
        <v>41671</v>
      </c>
      <c r="B9188" t="s">
        <v>16</v>
      </c>
      <c r="C9188" t="s">
        <v>7</v>
      </c>
      <c r="D9188">
        <v>28</v>
      </c>
      <c r="E9188" s="2">
        <v>3.0983796296296297E-2</v>
      </c>
      <c r="F9188">
        <v>44.616666666666667</v>
      </c>
    </row>
    <row r="9189" spans="1:6" x14ac:dyDescent="0.25">
      <c r="A9189" s="1">
        <v>41671</v>
      </c>
      <c r="B9189" t="s">
        <v>16</v>
      </c>
      <c r="C9189" t="s">
        <v>8</v>
      </c>
      <c r="D9189">
        <v>18</v>
      </c>
      <c r="E9189" s="2">
        <v>1.818287037037037E-2</v>
      </c>
      <c r="F9189">
        <v>26.183333333333334</v>
      </c>
    </row>
    <row r="9190" spans="1:6" x14ac:dyDescent="0.25">
      <c r="A9190" s="1">
        <v>41671</v>
      </c>
      <c r="B9190" t="s">
        <v>16</v>
      </c>
      <c r="C9190" t="s">
        <v>9</v>
      </c>
      <c r="D9190">
        <v>14</v>
      </c>
      <c r="E9190" s="2">
        <v>9.8032407407407408E-3</v>
      </c>
      <c r="F9190">
        <v>14.116666666666667</v>
      </c>
    </row>
    <row r="9191" spans="1:6" x14ac:dyDescent="0.25">
      <c r="A9191" s="1">
        <v>41671</v>
      </c>
      <c r="B9191" t="s">
        <v>16</v>
      </c>
      <c r="C9191" t="s">
        <v>10</v>
      </c>
      <c r="D9191">
        <v>3</v>
      </c>
      <c r="E9191" s="2">
        <v>2.3611111111111111E-3</v>
      </c>
      <c r="F9191">
        <v>3.4</v>
      </c>
    </row>
    <row r="9192" spans="1:6" x14ac:dyDescent="0.25">
      <c r="A9192" s="1">
        <v>41671</v>
      </c>
      <c r="B9192" t="s">
        <v>16</v>
      </c>
      <c r="C9192" t="s">
        <v>11</v>
      </c>
      <c r="D9192">
        <v>44</v>
      </c>
      <c r="E9192" s="2">
        <v>3.5208333333333335E-2</v>
      </c>
      <c r="F9192">
        <v>50.7</v>
      </c>
    </row>
    <row r="9193" spans="1:6" x14ac:dyDescent="0.25">
      <c r="A9193" s="1">
        <v>41671</v>
      </c>
      <c r="B9193" t="s">
        <v>17</v>
      </c>
      <c r="C9193" t="s">
        <v>6</v>
      </c>
      <c r="D9193">
        <v>6</v>
      </c>
      <c r="E9193" s="2">
        <v>3.7152777777777778E-3</v>
      </c>
      <c r="F9193">
        <v>5.35</v>
      </c>
    </row>
    <row r="9194" spans="1:6" x14ac:dyDescent="0.25">
      <c r="A9194" s="1">
        <v>41671</v>
      </c>
      <c r="B9194" t="s">
        <v>17</v>
      </c>
      <c r="C9194" t="s">
        <v>7</v>
      </c>
      <c r="D9194">
        <v>10</v>
      </c>
      <c r="E9194" s="2">
        <v>1.4085648148148147E-2</v>
      </c>
      <c r="F9194">
        <v>20.283333333333335</v>
      </c>
    </row>
    <row r="9195" spans="1:6" x14ac:dyDescent="0.25">
      <c r="A9195" s="1">
        <v>41671</v>
      </c>
      <c r="B9195" t="s">
        <v>17</v>
      </c>
      <c r="C9195" t="s">
        <v>8</v>
      </c>
      <c r="D9195">
        <v>4</v>
      </c>
      <c r="E9195" s="2">
        <v>3.2523148148148147E-3</v>
      </c>
      <c r="F9195">
        <v>4.6833333333333336</v>
      </c>
    </row>
    <row r="9196" spans="1:6" x14ac:dyDescent="0.25">
      <c r="A9196" s="1">
        <v>41671</v>
      </c>
      <c r="B9196" t="s">
        <v>17</v>
      </c>
      <c r="C9196" t="s">
        <v>9</v>
      </c>
      <c r="D9196">
        <v>5</v>
      </c>
      <c r="E9196" s="2">
        <v>4.4560185185185189E-3</v>
      </c>
      <c r="F9196">
        <v>6.416666666666667</v>
      </c>
    </row>
    <row r="9197" spans="1:6" x14ac:dyDescent="0.25">
      <c r="A9197" s="1">
        <v>41671</v>
      </c>
      <c r="B9197" t="s">
        <v>17</v>
      </c>
      <c r="C9197" t="s">
        <v>10</v>
      </c>
      <c r="D9197">
        <v>9</v>
      </c>
      <c r="E9197" s="2">
        <v>1.0555555555555556E-2</v>
      </c>
      <c r="F9197">
        <v>15.2</v>
      </c>
    </row>
    <row r="9198" spans="1:6" x14ac:dyDescent="0.25">
      <c r="A9198" s="1">
        <v>41671</v>
      </c>
      <c r="B9198" t="s">
        <v>17</v>
      </c>
      <c r="C9198" t="s">
        <v>11</v>
      </c>
      <c r="D9198">
        <v>3</v>
      </c>
      <c r="E9198" s="2">
        <v>4.2361111111111115E-3</v>
      </c>
      <c r="F9198">
        <v>6.1</v>
      </c>
    </row>
    <row r="9199" spans="1:6" x14ac:dyDescent="0.25">
      <c r="A9199" s="1">
        <v>41671</v>
      </c>
      <c r="B9199" t="s">
        <v>18</v>
      </c>
      <c r="C9199" t="s">
        <v>6</v>
      </c>
      <c r="D9199">
        <v>64</v>
      </c>
      <c r="E9199" s="2">
        <v>7.2465277777777781E-2</v>
      </c>
      <c r="F9199">
        <v>104.35</v>
      </c>
    </row>
    <row r="9200" spans="1:6" x14ac:dyDescent="0.25">
      <c r="A9200" s="1">
        <v>41671</v>
      </c>
      <c r="B9200" t="s">
        <v>18</v>
      </c>
      <c r="C9200" t="s">
        <v>7</v>
      </c>
      <c r="D9200">
        <v>99</v>
      </c>
      <c r="E9200" s="2">
        <v>9.4270833333333331E-2</v>
      </c>
      <c r="F9200">
        <v>135.75</v>
      </c>
    </row>
    <row r="9201" spans="1:6" x14ac:dyDescent="0.25">
      <c r="A9201" s="1">
        <v>41671</v>
      </c>
      <c r="B9201" t="s">
        <v>18</v>
      </c>
      <c r="C9201" t="s">
        <v>8</v>
      </c>
      <c r="D9201">
        <v>47</v>
      </c>
      <c r="E9201" s="2">
        <v>4.0775462962962965E-2</v>
      </c>
      <c r="F9201">
        <v>58.716666666666669</v>
      </c>
    </row>
    <row r="9202" spans="1:6" x14ac:dyDescent="0.25">
      <c r="A9202" s="1">
        <v>41671</v>
      </c>
      <c r="B9202" t="s">
        <v>18</v>
      </c>
      <c r="C9202" t="s">
        <v>9</v>
      </c>
      <c r="D9202">
        <v>64</v>
      </c>
      <c r="E9202" s="2">
        <v>4.6446759259259257E-2</v>
      </c>
      <c r="F9202">
        <v>66.88333333333334</v>
      </c>
    </row>
    <row r="9203" spans="1:6" x14ac:dyDescent="0.25">
      <c r="A9203" s="1">
        <v>41671</v>
      </c>
      <c r="B9203" t="s">
        <v>18</v>
      </c>
      <c r="C9203" t="s">
        <v>10</v>
      </c>
      <c r="D9203">
        <v>115</v>
      </c>
      <c r="E9203" s="2">
        <v>0.14131944444444444</v>
      </c>
      <c r="F9203">
        <v>203.5</v>
      </c>
    </row>
    <row r="9204" spans="1:6" x14ac:dyDescent="0.25">
      <c r="A9204" s="1">
        <v>41671</v>
      </c>
      <c r="B9204" t="s">
        <v>18</v>
      </c>
      <c r="C9204" t="s">
        <v>11</v>
      </c>
      <c r="D9204">
        <v>60</v>
      </c>
      <c r="E9204" s="2">
        <v>4.9004629629629627E-2</v>
      </c>
      <c r="F9204">
        <v>70.566666666666663</v>
      </c>
    </row>
    <row r="9205" spans="1:6" x14ac:dyDescent="0.25">
      <c r="A9205" s="1">
        <v>41671</v>
      </c>
      <c r="B9205" t="s">
        <v>19</v>
      </c>
      <c r="C9205" t="s">
        <v>6</v>
      </c>
      <c r="D9205">
        <v>20</v>
      </c>
      <c r="E9205" s="2">
        <v>2.3599537037037037E-2</v>
      </c>
      <c r="F9205">
        <v>33.983333333333334</v>
      </c>
    </row>
    <row r="9206" spans="1:6" x14ac:dyDescent="0.25">
      <c r="A9206" s="1">
        <v>41671</v>
      </c>
      <c r="B9206" t="s">
        <v>19</v>
      </c>
      <c r="C9206" t="s">
        <v>7</v>
      </c>
      <c r="D9206">
        <v>19</v>
      </c>
      <c r="E9206" s="2">
        <v>2.2847222222222224E-2</v>
      </c>
      <c r="F9206">
        <v>32.9</v>
      </c>
    </row>
    <row r="9207" spans="1:6" x14ac:dyDescent="0.25">
      <c r="A9207" s="1">
        <v>41671</v>
      </c>
      <c r="B9207" t="s">
        <v>19</v>
      </c>
      <c r="C9207" t="s">
        <v>8</v>
      </c>
      <c r="D9207">
        <v>22</v>
      </c>
      <c r="E9207" s="2">
        <v>2.8460648148148148E-2</v>
      </c>
      <c r="F9207">
        <v>40.983333333333334</v>
      </c>
    </row>
    <row r="9208" spans="1:6" x14ac:dyDescent="0.25">
      <c r="A9208" s="1">
        <v>41671</v>
      </c>
      <c r="B9208" t="s">
        <v>19</v>
      </c>
      <c r="C9208" t="s">
        <v>9</v>
      </c>
      <c r="D9208">
        <v>23</v>
      </c>
      <c r="E9208" s="2">
        <v>1.5381944444444445E-2</v>
      </c>
      <c r="F9208">
        <v>22.15</v>
      </c>
    </row>
    <row r="9209" spans="1:6" x14ac:dyDescent="0.25">
      <c r="A9209" s="1">
        <v>41671</v>
      </c>
      <c r="B9209" t="s">
        <v>19</v>
      </c>
      <c r="C9209" t="s">
        <v>10</v>
      </c>
      <c r="D9209">
        <v>15</v>
      </c>
      <c r="E9209" s="2">
        <v>1.5300925925925926E-2</v>
      </c>
      <c r="F9209">
        <v>22.033333333333335</v>
      </c>
    </row>
    <row r="9210" spans="1:6" x14ac:dyDescent="0.25">
      <c r="A9210" s="1">
        <v>41671</v>
      </c>
      <c r="B9210" t="s">
        <v>19</v>
      </c>
      <c r="C9210" t="s">
        <v>11</v>
      </c>
      <c r="D9210">
        <v>29</v>
      </c>
      <c r="E9210" s="2">
        <v>2.5694444444444443E-2</v>
      </c>
      <c r="F9210">
        <v>37</v>
      </c>
    </row>
    <row r="9211" spans="1:6" x14ac:dyDescent="0.25">
      <c r="A9211" s="1">
        <v>41671</v>
      </c>
      <c r="B9211" t="s">
        <v>20</v>
      </c>
      <c r="C9211" t="s">
        <v>6</v>
      </c>
      <c r="D9211">
        <v>22</v>
      </c>
      <c r="E9211" s="2">
        <v>2.0277777777777777E-2</v>
      </c>
      <c r="F9211">
        <v>29.2</v>
      </c>
    </row>
    <row r="9212" spans="1:6" x14ac:dyDescent="0.25">
      <c r="A9212" s="1">
        <v>41671</v>
      </c>
      <c r="B9212" t="s">
        <v>20</v>
      </c>
      <c r="C9212" t="s">
        <v>7</v>
      </c>
      <c r="D9212">
        <v>20</v>
      </c>
      <c r="E9212" s="2">
        <v>2.3067129629629628E-2</v>
      </c>
      <c r="F9212">
        <v>33.216666666666669</v>
      </c>
    </row>
    <row r="9213" spans="1:6" x14ac:dyDescent="0.25">
      <c r="A9213" s="1">
        <v>41671</v>
      </c>
      <c r="B9213" t="s">
        <v>20</v>
      </c>
      <c r="C9213" t="s">
        <v>8</v>
      </c>
      <c r="D9213">
        <v>15</v>
      </c>
      <c r="E9213" s="2">
        <v>2.5914351851851852E-2</v>
      </c>
      <c r="F9213">
        <v>37.31666666666667</v>
      </c>
    </row>
    <row r="9214" spans="1:6" x14ac:dyDescent="0.25">
      <c r="A9214" s="1">
        <v>41671</v>
      </c>
      <c r="B9214" t="s">
        <v>20</v>
      </c>
      <c r="C9214" t="s">
        <v>9</v>
      </c>
      <c r="D9214">
        <v>13</v>
      </c>
      <c r="E9214" s="2">
        <v>1.1273148148148148E-2</v>
      </c>
      <c r="F9214">
        <v>16.233333333333334</v>
      </c>
    </row>
    <row r="9215" spans="1:6" x14ac:dyDescent="0.25">
      <c r="A9215" s="1">
        <v>41671</v>
      </c>
      <c r="B9215" t="s">
        <v>20</v>
      </c>
      <c r="C9215" t="s">
        <v>10</v>
      </c>
      <c r="D9215">
        <v>9</v>
      </c>
      <c r="E9215" s="2">
        <v>1.357638888888889E-2</v>
      </c>
      <c r="F9215">
        <v>19.55</v>
      </c>
    </row>
    <row r="9216" spans="1:6" x14ac:dyDescent="0.25">
      <c r="A9216" s="1">
        <v>41671</v>
      </c>
      <c r="B9216" t="s">
        <v>20</v>
      </c>
      <c r="C9216" t="s">
        <v>11</v>
      </c>
      <c r="D9216">
        <v>11</v>
      </c>
      <c r="E9216" s="2">
        <v>1.0497685185185185E-2</v>
      </c>
      <c r="F9216">
        <v>15.116666666666667</v>
      </c>
    </row>
    <row r="9217" spans="1:6" x14ac:dyDescent="0.25">
      <c r="A9217" s="1">
        <v>41671</v>
      </c>
      <c r="B9217" t="s">
        <v>21</v>
      </c>
      <c r="C9217" t="s">
        <v>6</v>
      </c>
      <c r="D9217">
        <v>15</v>
      </c>
      <c r="E9217" s="2">
        <v>1.9456018518518518E-2</v>
      </c>
      <c r="F9217">
        <v>28.016666666666666</v>
      </c>
    </row>
    <row r="9218" spans="1:6" x14ac:dyDescent="0.25">
      <c r="A9218" s="1">
        <v>41671</v>
      </c>
      <c r="B9218" t="s">
        <v>21</v>
      </c>
      <c r="C9218" t="s">
        <v>7</v>
      </c>
      <c r="D9218">
        <v>16</v>
      </c>
      <c r="E9218" s="2">
        <v>1.9849537037037037E-2</v>
      </c>
      <c r="F9218">
        <v>28.583333333333332</v>
      </c>
    </row>
    <row r="9219" spans="1:6" x14ac:dyDescent="0.25">
      <c r="A9219" s="1">
        <v>41671</v>
      </c>
      <c r="B9219" t="s">
        <v>21</v>
      </c>
      <c r="C9219" t="s">
        <v>8</v>
      </c>
      <c r="D9219">
        <v>17</v>
      </c>
      <c r="E9219" s="2">
        <v>2.0497685185185185E-2</v>
      </c>
      <c r="F9219">
        <v>29.516666666666666</v>
      </c>
    </row>
    <row r="9220" spans="1:6" x14ac:dyDescent="0.25">
      <c r="A9220" s="1">
        <v>41671</v>
      </c>
      <c r="B9220" t="s">
        <v>21</v>
      </c>
      <c r="C9220" t="s">
        <v>9</v>
      </c>
      <c r="D9220">
        <v>7</v>
      </c>
      <c r="E9220" s="2">
        <v>6.7592592592592591E-3</v>
      </c>
      <c r="F9220">
        <v>9.7333333333333325</v>
      </c>
    </row>
    <row r="9221" spans="1:6" x14ac:dyDescent="0.25">
      <c r="A9221" s="1">
        <v>41671</v>
      </c>
      <c r="B9221" t="s">
        <v>21</v>
      </c>
      <c r="C9221" t="s">
        <v>10</v>
      </c>
      <c r="D9221">
        <v>2</v>
      </c>
      <c r="E9221" s="2">
        <v>4.7453703703703703E-3</v>
      </c>
      <c r="F9221">
        <v>6.833333333333333</v>
      </c>
    </row>
    <row r="9222" spans="1:6" x14ac:dyDescent="0.25">
      <c r="A9222" s="1">
        <v>41671</v>
      </c>
      <c r="B9222" t="s">
        <v>21</v>
      </c>
      <c r="C9222" t="s">
        <v>11</v>
      </c>
      <c r="D9222">
        <v>10</v>
      </c>
      <c r="E9222" s="2">
        <v>7.6620370370370366E-3</v>
      </c>
      <c r="F9222">
        <v>11.033333333333333</v>
      </c>
    </row>
    <row r="9223" spans="1:6" x14ac:dyDescent="0.25">
      <c r="A9223" s="1">
        <v>41671</v>
      </c>
      <c r="B9223" t="s">
        <v>22</v>
      </c>
      <c r="C9223" t="s">
        <v>6</v>
      </c>
      <c r="D9223">
        <v>12</v>
      </c>
      <c r="E9223" s="2">
        <v>1.7777777777777778E-2</v>
      </c>
      <c r="F9223">
        <v>25.6</v>
      </c>
    </row>
    <row r="9224" spans="1:6" x14ac:dyDescent="0.25">
      <c r="A9224" s="1">
        <v>41671</v>
      </c>
      <c r="B9224" t="s">
        <v>22</v>
      </c>
      <c r="C9224" t="s">
        <v>7</v>
      </c>
      <c r="D9224">
        <v>11</v>
      </c>
      <c r="E9224" s="2">
        <v>1.7604166666666667E-2</v>
      </c>
      <c r="F9224">
        <v>25.35</v>
      </c>
    </row>
    <row r="9225" spans="1:6" x14ac:dyDescent="0.25">
      <c r="A9225" s="1">
        <v>41671</v>
      </c>
      <c r="B9225" t="s">
        <v>22</v>
      </c>
      <c r="C9225" t="s">
        <v>8</v>
      </c>
      <c r="D9225">
        <v>2</v>
      </c>
      <c r="E9225" s="2">
        <v>3.0208333333333333E-3</v>
      </c>
      <c r="F9225">
        <v>4.3499999999999996</v>
      </c>
    </row>
    <row r="9226" spans="1:6" x14ac:dyDescent="0.25">
      <c r="A9226" s="1">
        <v>41671</v>
      </c>
      <c r="B9226" t="s">
        <v>22</v>
      </c>
      <c r="C9226" t="s">
        <v>9</v>
      </c>
      <c r="D9226">
        <v>5</v>
      </c>
      <c r="E9226" s="2">
        <v>2.3263888888888887E-3</v>
      </c>
      <c r="F9226">
        <v>3.35</v>
      </c>
    </row>
    <row r="9227" spans="1:6" x14ac:dyDescent="0.25">
      <c r="A9227" s="1">
        <v>41671</v>
      </c>
      <c r="B9227" t="s">
        <v>22</v>
      </c>
      <c r="C9227" t="s">
        <v>10</v>
      </c>
      <c r="D9227">
        <v>1</v>
      </c>
      <c r="E9227" s="2">
        <v>2.3148148148148147E-3</v>
      </c>
      <c r="F9227">
        <v>3.3333333333333335</v>
      </c>
    </row>
    <row r="9228" spans="1:6" x14ac:dyDescent="0.25">
      <c r="A9228" s="1">
        <v>41671</v>
      </c>
      <c r="B9228" t="s">
        <v>22</v>
      </c>
      <c r="C9228" t="s">
        <v>11</v>
      </c>
      <c r="D9228">
        <v>7</v>
      </c>
      <c r="E9228" s="2">
        <v>9.3634259259259261E-3</v>
      </c>
      <c r="F9228">
        <v>13.483333333333333</v>
      </c>
    </row>
    <row r="9229" spans="1:6" x14ac:dyDescent="0.25">
      <c r="A9229" s="1">
        <v>41671</v>
      </c>
      <c r="B9229" t="s">
        <v>23</v>
      </c>
      <c r="C9229" t="s">
        <v>6</v>
      </c>
      <c r="D9229">
        <v>91</v>
      </c>
      <c r="E9229" s="2">
        <v>0.10664351851851851</v>
      </c>
      <c r="F9229">
        <v>153.56666666666666</v>
      </c>
    </row>
    <row r="9230" spans="1:6" x14ac:dyDescent="0.25">
      <c r="A9230" s="1">
        <v>41671</v>
      </c>
      <c r="B9230" t="s">
        <v>23</v>
      </c>
      <c r="C9230" t="s">
        <v>7</v>
      </c>
      <c r="D9230">
        <v>90</v>
      </c>
      <c r="E9230" s="2">
        <v>0.12005787037037037</v>
      </c>
      <c r="F9230">
        <v>172.88333333333333</v>
      </c>
    </row>
    <row r="9231" spans="1:6" x14ac:dyDescent="0.25">
      <c r="A9231" s="1">
        <v>41671</v>
      </c>
      <c r="B9231" t="s">
        <v>23</v>
      </c>
      <c r="C9231" t="s">
        <v>8</v>
      </c>
      <c r="D9231">
        <v>56</v>
      </c>
      <c r="E9231" s="2">
        <v>6.5243055555555554E-2</v>
      </c>
      <c r="F9231">
        <v>93.95</v>
      </c>
    </row>
    <row r="9232" spans="1:6" x14ac:dyDescent="0.25">
      <c r="A9232" s="1">
        <v>41671</v>
      </c>
      <c r="B9232" t="s">
        <v>23</v>
      </c>
      <c r="C9232" t="s">
        <v>9</v>
      </c>
      <c r="D9232">
        <v>49</v>
      </c>
      <c r="E9232" s="2">
        <v>3.5277777777777776E-2</v>
      </c>
      <c r="F9232">
        <v>50.8</v>
      </c>
    </row>
    <row r="9233" spans="1:6" x14ac:dyDescent="0.25">
      <c r="A9233" s="1">
        <v>41671</v>
      </c>
      <c r="B9233" t="s">
        <v>23</v>
      </c>
      <c r="C9233" t="s">
        <v>10</v>
      </c>
      <c r="D9233">
        <v>26</v>
      </c>
      <c r="E9233" s="2">
        <v>3.2523148148148148E-2</v>
      </c>
      <c r="F9233">
        <v>46.833333333333336</v>
      </c>
    </row>
    <row r="9234" spans="1:6" x14ac:dyDescent="0.25">
      <c r="A9234" s="1">
        <v>41671</v>
      </c>
      <c r="B9234" t="s">
        <v>23</v>
      </c>
      <c r="C9234" t="s">
        <v>11</v>
      </c>
      <c r="D9234">
        <v>103</v>
      </c>
      <c r="E9234" s="2">
        <v>9.9340277777777777E-2</v>
      </c>
      <c r="F9234">
        <v>143.05000000000001</v>
      </c>
    </row>
    <row r="9235" spans="1:6" x14ac:dyDescent="0.25">
      <c r="A9235" s="1">
        <v>41671</v>
      </c>
      <c r="B9235" t="s">
        <v>24</v>
      </c>
      <c r="C9235" t="s">
        <v>6</v>
      </c>
      <c r="D9235">
        <v>73</v>
      </c>
      <c r="E9235" s="2">
        <v>8.5370370370370374E-2</v>
      </c>
      <c r="F9235">
        <v>122.93333333333334</v>
      </c>
    </row>
    <row r="9236" spans="1:6" x14ac:dyDescent="0.25">
      <c r="A9236" s="1">
        <v>41671</v>
      </c>
      <c r="B9236" t="s">
        <v>24</v>
      </c>
      <c r="C9236" t="s">
        <v>7</v>
      </c>
      <c r="D9236">
        <v>117</v>
      </c>
      <c r="E9236" s="2">
        <v>9.7280092592592599E-2</v>
      </c>
      <c r="F9236">
        <v>140.08333333333334</v>
      </c>
    </row>
    <row r="9237" spans="1:6" x14ac:dyDescent="0.25">
      <c r="A9237" s="1">
        <v>41671</v>
      </c>
      <c r="B9237" t="s">
        <v>24</v>
      </c>
      <c r="C9237" t="s">
        <v>8</v>
      </c>
      <c r="D9237">
        <v>33</v>
      </c>
      <c r="E9237" s="2">
        <v>3.2928240740740744E-2</v>
      </c>
      <c r="F9237">
        <v>47.416666666666664</v>
      </c>
    </row>
    <row r="9238" spans="1:6" x14ac:dyDescent="0.25">
      <c r="A9238" s="1">
        <v>41671</v>
      </c>
      <c r="B9238" t="s">
        <v>24</v>
      </c>
      <c r="C9238" t="s">
        <v>9</v>
      </c>
      <c r="D9238">
        <v>18</v>
      </c>
      <c r="E9238" s="2">
        <v>1.3715277777777778E-2</v>
      </c>
      <c r="F9238">
        <v>19.75</v>
      </c>
    </row>
    <row r="9239" spans="1:6" x14ac:dyDescent="0.25">
      <c r="A9239" s="1">
        <v>41671</v>
      </c>
      <c r="B9239" t="s">
        <v>24</v>
      </c>
      <c r="C9239" t="s">
        <v>10</v>
      </c>
      <c r="D9239">
        <v>5</v>
      </c>
      <c r="E9239" s="2">
        <v>4.6759259259259263E-3</v>
      </c>
      <c r="F9239">
        <v>6.7333333333333334</v>
      </c>
    </row>
    <row r="9240" spans="1:6" x14ac:dyDescent="0.25">
      <c r="A9240" s="1">
        <v>41671</v>
      </c>
      <c r="B9240" t="s">
        <v>24</v>
      </c>
      <c r="C9240" t="s">
        <v>11</v>
      </c>
      <c r="D9240">
        <v>39</v>
      </c>
      <c r="E9240" s="2">
        <v>2.7650462962962963E-2</v>
      </c>
      <c r="F9240">
        <v>39.81666666666667</v>
      </c>
    </row>
    <row r="9241" spans="1:6" x14ac:dyDescent="0.25">
      <c r="A9241" s="1">
        <v>41699</v>
      </c>
      <c r="B9241" t="s">
        <v>5</v>
      </c>
      <c r="C9241" t="s">
        <v>6</v>
      </c>
      <c r="D9241">
        <v>51</v>
      </c>
      <c r="E9241" s="2">
        <v>5.6226851851851854E-2</v>
      </c>
      <c r="F9241">
        <v>80.966666666666669</v>
      </c>
    </row>
    <row r="9242" spans="1:6" x14ac:dyDescent="0.25">
      <c r="A9242" s="1">
        <v>41699</v>
      </c>
      <c r="B9242" t="s">
        <v>5</v>
      </c>
      <c r="C9242" t="s">
        <v>7</v>
      </c>
      <c r="D9242">
        <v>53</v>
      </c>
      <c r="E9242" s="2">
        <v>5.7361111111111113E-2</v>
      </c>
      <c r="F9242">
        <v>82.6</v>
      </c>
    </row>
    <row r="9243" spans="1:6" x14ac:dyDescent="0.25">
      <c r="A9243" s="1">
        <v>41699</v>
      </c>
      <c r="B9243" t="s">
        <v>5</v>
      </c>
      <c r="C9243" t="s">
        <v>8</v>
      </c>
      <c r="D9243">
        <v>29</v>
      </c>
      <c r="E9243" s="2">
        <v>2.991898148148148E-2</v>
      </c>
      <c r="F9243">
        <v>43.083333333333336</v>
      </c>
    </row>
    <row r="9244" spans="1:6" x14ac:dyDescent="0.25">
      <c r="A9244" s="1">
        <v>41699</v>
      </c>
      <c r="B9244" t="s">
        <v>5</v>
      </c>
      <c r="C9244" t="s">
        <v>9</v>
      </c>
      <c r="D9244">
        <v>16</v>
      </c>
      <c r="E9244" s="2">
        <v>1.0138888888888888E-2</v>
      </c>
      <c r="F9244">
        <v>14.6</v>
      </c>
    </row>
    <row r="9245" spans="1:6" x14ac:dyDescent="0.25">
      <c r="A9245" s="1">
        <v>41699</v>
      </c>
      <c r="B9245" t="s">
        <v>5</v>
      </c>
      <c r="C9245" t="s">
        <v>10</v>
      </c>
      <c r="D9245">
        <v>10</v>
      </c>
      <c r="E9245" s="2">
        <v>1.0717592592592593E-2</v>
      </c>
      <c r="F9245">
        <v>15.433333333333334</v>
      </c>
    </row>
    <row r="9246" spans="1:6" x14ac:dyDescent="0.25">
      <c r="A9246" s="1">
        <v>41699</v>
      </c>
      <c r="B9246" t="s">
        <v>5</v>
      </c>
      <c r="C9246" t="s">
        <v>11</v>
      </c>
      <c r="D9246">
        <v>34</v>
      </c>
      <c r="E9246" s="2">
        <v>3.4201388888888892E-2</v>
      </c>
      <c r="F9246">
        <v>49.25</v>
      </c>
    </row>
    <row r="9247" spans="1:6" x14ac:dyDescent="0.25">
      <c r="A9247" s="1">
        <v>41699</v>
      </c>
      <c r="B9247" t="s">
        <v>12</v>
      </c>
      <c r="C9247" t="s">
        <v>6</v>
      </c>
      <c r="D9247">
        <v>37</v>
      </c>
      <c r="E9247" s="2">
        <v>5.2152777777777777E-2</v>
      </c>
      <c r="F9247">
        <v>75.099999999999994</v>
      </c>
    </row>
    <row r="9248" spans="1:6" x14ac:dyDescent="0.25">
      <c r="A9248" s="1">
        <v>41699</v>
      </c>
      <c r="B9248" t="s">
        <v>12</v>
      </c>
      <c r="C9248" t="s">
        <v>7</v>
      </c>
      <c r="D9248">
        <v>32</v>
      </c>
      <c r="E9248" s="2">
        <v>5.4050925925925926E-2</v>
      </c>
      <c r="F9248">
        <v>77.833333333333329</v>
      </c>
    </row>
    <row r="9249" spans="1:6" x14ac:dyDescent="0.25">
      <c r="A9249" s="1">
        <v>41699</v>
      </c>
      <c r="B9249" t="s">
        <v>12</v>
      </c>
      <c r="C9249" t="s">
        <v>8</v>
      </c>
      <c r="D9249">
        <v>23</v>
      </c>
      <c r="E9249" s="2">
        <v>3.1018518518518518E-2</v>
      </c>
      <c r="F9249">
        <v>44.666666666666664</v>
      </c>
    </row>
    <row r="9250" spans="1:6" x14ac:dyDescent="0.25">
      <c r="A9250" s="1">
        <v>41699</v>
      </c>
      <c r="B9250" t="s">
        <v>12</v>
      </c>
      <c r="C9250" t="s">
        <v>9</v>
      </c>
      <c r="D9250">
        <v>17</v>
      </c>
      <c r="E9250" s="2">
        <v>1.4976851851851852E-2</v>
      </c>
      <c r="F9250">
        <v>21.566666666666666</v>
      </c>
    </row>
    <row r="9251" spans="1:6" x14ac:dyDescent="0.25">
      <c r="A9251" s="1">
        <v>41699</v>
      </c>
      <c r="B9251" t="s">
        <v>12</v>
      </c>
      <c r="C9251" t="s">
        <v>10</v>
      </c>
      <c r="D9251">
        <v>28</v>
      </c>
      <c r="E9251" s="2">
        <v>4.1238425925925928E-2</v>
      </c>
      <c r="F9251">
        <v>59.383333333333333</v>
      </c>
    </row>
    <row r="9252" spans="1:6" x14ac:dyDescent="0.25">
      <c r="A9252" s="1">
        <v>41699</v>
      </c>
      <c r="B9252" t="s">
        <v>12</v>
      </c>
      <c r="C9252" t="s">
        <v>11</v>
      </c>
      <c r="D9252">
        <v>44</v>
      </c>
      <c r="E9252" s="2">
        <v>5.9502314814814813E-2</v>
      </c>
      <c r="F9252">
        <v>85.683333333333337</v>
      </c>
    </row>
    <row r="9253" spans="1:6" x14ac:dyDescent="0.25">
      <c r="A9253" s="1">
        <v>41699</v>
      </c>
      <c r="B9253" t="s">
        <v>13</v>
      </c>
      <c r="C9253" t="s">
        <v>6</v>
      </c>
      <c r="D9253">
        <v>39</v>
      </c>
      <c r="E9253" s="2">
        <v>5.1493055555555556E-2</v>
      </c>
      <c r="F9253">
        <v>74.150000000000006</v>
      </c>
    </row>
    <row r="9254" spans="1:6" x14ac:dyDescent="0.25">
      <c r="A9254" s="1">
        <v>41699</v>
      </c>
      <c r="B9254" t="s">
        <v>13</v>
      </c>
      <c r="C9254" t="s">
        <v>7</v>
      </c>
      <c r="D9254">
        <v>60</v>
      </c>
      <c r="E9254" s="2">
        <v>8.9212962962962966E-2</v>
      </c>
      <c r="F9254">
        <v>128.46666666666667</v>
      </c>
    </row>
    <row r="9255" spans="1:6" x14ac:dyDescent="0.25">
      <c r="A9255" s="1">
        <v>41699</v>
      </c>
      <c r="B9255" t="s">
        <v>13</v>
      </c>
      <c r="C9255" t="s">
        <v>8</v>
      </c>
      <c r="D9255">
        <v>34</v>
      </c>
      <c r="E9255" s="2">
        <v>3.72337962962963E-2</v>
      </c>
      <c r="F9255">
        <v>53.616666666666667</v>
      </c>
    </row>
    <row r="9256" spans="1:6" x14ac:dyDescent="0.25">
      <c r="A9256" s="1">
        <v>41699</v>
      </c>
      <c r="B9256" t="s">
        <v>13</v>
      </c>
      <c r="C9256" t="s">
        <v>9</v>
      </c>
      <c r="D9256">
        <v>17</v>
      </c>
      <c r="E9256" s="2">
        <v>1.1145833333333334E-2</v>
      </c>
      <c r="F9256">
        <v>16.05</v>
      </c>
    </row>
    <row r="9257" spans="1:6" x14ac:dyDescent="0.25">
      <c r="A9257" s="1">
        <v>41699</v>
      </c>
      <c r="B9257" t="s">
        <v>13</v>
      </c>
      <c r="C9257" t="s">
        <v>10</v>
      </c>
      <c r="D9257">
        <v>10</v>
      </c>
      <c r="E9257" s="2">
        <v>1.4317129629629629E-2</v>
      </c>
      <c r="F9257">
        <v>20.616666666666667</v>
      </c>
    </row>
    <row r="9258" spans="1:6" x14ac:dyDescent="0.25">
      <c r="A9258" s="1">
        <v>41699</v>
      </c>
      <c r="B9258" t="s">
        <v>13</v>
      </c>
      <c r="C9258" t="s">
        <v>11</v>
      </c>
      <c r="D9258">
        <v>24</v>
      </c>
      <c r="E9258" s="2">
        <v>2.9548611111111112E-2</v>
      </c>
      <c r="F9258">
        <v>42.55</v>
      </c>
    </row>
    <row r="9259" spans="1:6" x14ac:dyDescent="0.25">
      <c r="A9259" s="1">
        <v>41699</v>
      </c>
      <c r="B9259" t="s">
        <v>14</v>
      </c>
      <c r="C9259" t="s">
        <v>6</v>
      </c>
      <c r="D9259">
        <v>7</v>
      </c>
      <c r="E9259" s="2">
        <v>1.1828703703703704E-2</v>
      </c>
      <c r="F9259">
        <v>17.033333333333335</v>
      </c>
    </row>
    <row r="9260" spans="1:6" x14ac:dyDescent="0.25">
      <c r="A9260" s="1">
        <v>41699</v>
      </c>
      <c r="B9260" t="s">
        <v>14</v>
      </c>
      <c r="C9260" t="s">
        <v>7</v>
      </c>
      <c r="D9260">
        <v>9</v>
      </c>
      <c r="E9260" s="2">
        <v>1.9259259259259261E-2</v>
      </c>
      <c r="F9260">
        <v>27.733333333333334</v>
      </c>
    </row>
    <row r="9261" spans="1:6" x14ac:dyDescent="0.25">
      <c r="A9261" s="1">
        <v>41699</v>
      </c>
      <c r="B9261" t="s">
        <v>14</v>
      </c>
      <c r="C9261" t="s">
        <v>8</v>
      </c>
      <c r="D9261">
        <v>4</v>
      </c>
      <c r="E9261" s="2">
        <v>7.5115740740740742E-3</v>
      </c>
      <c r="F9261">
        <v>10.816666666666666</v>
      </c>
    </row>
    <row r="9262" spans="1:6" x14ac:dyDescent="0.25">
      <c r="A9262" s="1">
        <v>41699</v>
      </c>
      <c r="B9262" t="s">
        <v>14</v>
      </c>
      <c r="C9262" t="s">
        <v>9</v>
      </c>
      <c r="D9262">
        <v>1</v>
      </c>
      <c r="E9262" s="2">
        <v>2.7777777777777778E-4</v>
      </c>
      <c r="F9262">
        <v>0.4</v>
      </c>
    </row>
    <row r="9263" spans="1:6" x14ac:dyDescent="0.25">
      <c r="A9263" s="1">
        <v>41699</v>
      </c>
      <c r="B9263" t="s">
        <v>14</v>
      </c>
      <c r="C9263" t="s">
        <v>10</v>
      </c>
      <c r="D9263">
        <v>5</v>
      </c>
      <c r="E9263" s="2">
        <v>1.2048611111111111E-2</v>
      </c>
      <c r="F9263">
        <v>17.350000000000001</v>
      </c>
    </row>
    <row r="9264" spans="1:6" x14ac:dyDescent="0.25">
      <c r="A9264" s="1">
        <v>41699</v>
      </c>
      <c r="B9264" t="s">
        <v>14</v>
      </c>
      <c r="C9264" t="s">
        <v>11</v>
      </c>
      <c r="D9264">
        <v>7</v>
      </c>
      <c r="E9264" s="2">
        <v>9.3402777777777772E-3</v>
      </c>
      <c r="F9264">
        <v>13.45</v>
      </c>
    </row>
    <row r="9265" spans="1:6" x14ac:dyDescent="0.25">
      <c r="A9265" s="1">
        <v>41699</v>
      </c>
      <c r="B9265" t="s">
        <v>15</v>
      </c>
      <c r="C9265" t="s">
        <v>6</v>
      </c>
      <c r="D9265">
        <v>47</v>
      </c>
      <c r="E9265" s="2">
        <v>5.2071759259259262E-2</v>
      </c>
      <c r="F9265">
        <v>74.983333333333334</v>
      </c>
    </row>
    <row r="9266" spans="1:6" x14ac:dyDescent="0.25">
      <c r="A9266" s="1">
        <v>41699</v>
      </c>
      <c r="B9266" t="s">
        <v>15</v>
      </c>
      <c r="C9266" t="s">
        <v>7</v>
      </c>
      <c r="D9266">
        <v>55</v>
      </c>
      <c r="E9266" s="2">
        <v>5.3043981481481484E-2</v>
      </c>
      <c r="F9266">
        <v>76.38333333333334</v>
      </c>
    </row>
    <row r="9267" spans="1:6" x14ac:dyDescent="0.25">
      <c r="A9267" s="1">
        <v>41699</v>
      </c>
      <c r="B9267" t="s">
        <v>15</v>
      </c>
      <c r="C9267" t="s">
        <v>8</v>
      </c>
      <c r="D9267">
        <v>37</v>
      </c>
      <c r="E9267" s="2">
        <v>3.7372685185185182E-2</v>
      </c>
      <c r="F9267">
        <v>53.81666666666667</v>
      </c>
    </row>
    <row r="9268" spans="1:6" x14ac:dyDescent="0.25">
      <c r="A9268" s="1">
        <v>41699</v>
      </c>
      <c r="B9268" t="s">
        <v>15</v>
      </c>
      <c r="C9268" t="s">
        <v>9</v>
      </c>
      <c r="D9268">
        <v>16</v>
      </c>
      <c r="E9268" s="2">
        <v>1.050925925925926E-2</v>
      </c>
      <c r="F9268">
        <v>15.133333333333333</v>
      </c>
    </row>
    <row r="9269" spans="1:6" x14ac:dyDescent="0.25">
      <c r="A9269" s="1">
        <v>41699</v>
      </c>
      <c r="B9269" t="s">
        <v>15</v>
      </c>
      <c r="C9269" t="s">
        <v>10</v>
      </c>
      <c r="D9269">
        <v>6</v>
      </c>
      <c r="E9269" s="2">
        <v>7.9976851851851858E-3</v>
      </c>
      <c r="F9269">
        <v>11.516666666666667</v>
      </c>
    </row>
    <row r="9270" spans="1:6" x14ac:dyDescent="0.25">
      <c r="A9270" s="1">
        <v>41699</v>
      </c>
      <c r="B9270" t="s">
        <v>15</v>
      </c>
      <c r="C9270" t="s">
        <v>11</v>
      </c>
      <c r="D9270">
        <v>27</v>
      </c>
      <c r="E9270" s="2">
        <v>2.6550925925925926E-2</v>
      </c>
      <c r="F9270">
        <v>38.233333333333334</v>
      </c>
    </row>
    <row r="9271" spans="1:6" x14ac:dyDescent="0.25">
      <c r="A9271" s="1">
        <v>41699</v>
      </c>
      <c r="B9271" t="s">
        <v>16</v>
      </c>
      <c r="C9271" t="s">
        <v>6</v>
      </c>
      <c r="D9271">
        <v>11</v>
      </c>
      <c r="E9271" s="2">
        <v>1.3020833333333334E-2</v>
      </c>
      <c r="F9271">
        <v>18.75</v>
      </c>
    </row>
    <row r="9272" spans="1:6" x14ac:dyDescent="0.25">
      <c r="A9272" s="1">
        <v>41699</v>
      </c>
      <c r="B9272" t="s">
        <v>16</v>
      </c>
      <c r="C9272" t="s">
        <v>7</v>
      </c>
      <c r="D9272">
        <v>11</v>
      </c>
      <c r="E9272" s="2">
        <v>1.0543981481481482E-2</v>
      </c>
      <c r="F9272">
        <v>15.183333333333334</v>
      </c>
    </row>
    <row r="9273" spans="1:6" x14ac:dyDescent="0.25">
      <c r="A9273" s="1">
        <v>41699</v>
      </c>
      <c r="B9273" t="s">
        <v>16</v>
      </c>
      <c r="C9273" t="s">
        <v>8</v>
      </c>
      <c r="D9273">
        <v>10</v>
      </c>
      <c r="E9273" s="2">
        <v>7.905092592592592E-3</v>
      </c>
      <c r="F9273">
        <v>11.383333333333333</v>
      </c>
    </row>
    <row r="9274" spans="1:6" x14ac:dyDescent="0.25">
      <c r="A9274" s="1">
        <v>41699</v>
      </c>
      <c r="B9274" t="s">
        <v>16</v>
      </c>
      <c r="C9274" t="s">
        <v>9</v>
      </c>
      <c r="D9274">
        <v>12</v>
      </c>
      <c r="E9274" s="2">
        <v>6.4236111111111108E-3</v>
      </c>
      <c r="F9274">
        <v>9.25</v>
      </c>
    </row>
    <row r="9275" spans="1:6" x14ac:dyDescent="0.25">
      <c r="A9275" s="1">
        <v>41699</v>
      </c>
      <c r="B9275" t="s">
        <v>16</v>
      </c>
      <c r="C9275" t="s">
        <v>10</v>
      </c>
      <c r="D9275">
        <v>0</v>
      </c>
      <c r="E9275" s="2">
        <v>0</v>
      </c>
      <c r="F9275">
        <v>0</v>
      </c>
    </row>
    <row r="9276" spans="1:6" x14ac:dyDescent="0.25">
      <c r="A9276" s="1">
        <v>41699</v>
      </c>
      <c r="B9276" t="s">
        <v>16</v>
      </c>
      <c r="C9276" t="s">
        <v>11</v>
      </c>
      <c r="D9276">
        <v>28</v>
      </c>
      <c r="E9276" s="2">
        <v>2.3090277777777779E-2</v>
      </c>
      <c r="F9276">
        <v>33.25</v>
      </c>
    </row>
    <row r="9277" spans="1:6" x14ac:dyDescent="0.25">
      <c r="A9277" s="1">
        <v>41699</v>
      </c>
      <c r="B9277" t="s">
        <v>17</v>
      </c>
      <c r="C9277" t="s">
        <v>6</v>
      </c>
      <c r="D9277">
        <v>11</v>
      </c>
      <c r="E9277" s="2">
        <v>1.1041666666666667E-2</v>
      </c>
      <c r="F9277">
        <v>15.9</v>
      </c>
    </row>
    <row r="9278" spans="1:6" x14ac:dyDescent="0.25">
      <c r="A9278" s="1">
        <v>41699</v>
      </c>
      <c r="B9278" t="s">
        <v>17</v>
      </c>
      <c r="C9278" t="s">
        <v>7</v>
      </c>
      <c r="D9278">
        <v>12</v>
      </c>
      <c r="E9278" s="2">
        <v>1.4675925925925926E-2</v>
      </c>
      <c r="F9278">
        <v>21.133333333333333</v>
      </c>
    </row>
    <row r="9279" spans="1:6" x14ac:dyDescent="0.25">
      <c r="A9279" s="1">
        <v>41699</v>
      </c>
      <c r="B9279" t="s">
        <v>17</v>
      </c>
      <c r="C9279" t="s">
        <v>8</v>
      </c>
      <c r="D9279">
        <v>12</v>
      </c>
      <c r="E9279" s="2">
        <v>1.4814814814814815E-2</v>
      </c>
      <c r="F9279">
        <v>21.333333333333332</v>
      </c>
    </row>
    <row r="9280" spans="1:6" x14ac:dyDescent="0.25">
      <c r="A9280" s="1">
        <v>41699</v>
      </c>
      <c r="B9280" t="s">
        <v>17</v>
      </c>
      <c r="C9280" t="s">
        <v>9</v>
      </c>
      <c r="D9280">
        <v>5</v>
      </c>
      <c r="E9280" s="2">
        <v>2.8356481481481483E-3</v>
      </c>
      <c r="F9280">
        <v>4.083333333333333</v>
      </c>
    </row>
    <row r="9281" spans="1:6" x14ac:dyDescent="0.25">
      <c r="A9281" s="1">
        <v>41699</v>
      </c>
      <c r="B9281" t="s">
        <v>17</v>
      </c>
      <c r="C9281" t="s">
        <v>10</v>
      </c>
      <c r="D9281">
        <v>10</v>
      </c>
      <c r="E9281" s="2">
        <v>1.3113425925925926E-2</v>
      </c>
      <c r="F9281">
        <v>18.883333333333333</v>
      </c>
    </row>
    <row r="9282" spans="1:6" x14ac:dyDescent="0.25">
      <c r="A9282" s="1">
        <v>41699</v>
      </c>
      <c r="B9282" t="s">
        <v>17</v>
      </c>
      <c r="C9282" t="s">
        <v>11</v>
      </c>
      <c r="D9282">
        <v>7</v>
      </c>
      <c r="E9282" s="2">
        <v>5.4513888888888893E-3</v>
      </c>
      <c r="F9282">
        <v>7.85</v>
      </c>
    </row>
    <row r="9283" spans="1:6" x14ac:dyDescent="0.25">
      <c r="A9283" s="1">
        <v>41699</v>
      </c>
      <c r="B9283" t="s">
        <v>18</v>
      </c>
      <c r="C9283" t="s">
        <v>6</v>
      </c>
      <c r="D9283">
        <v>87</v>
      </c>
      <c r="E9283" s="2">
        <v>8.8935185185185187E-2</v>
      </c>
      <c r="F9283">
        <v>128.06666666666666</v>
      </c>
    </row>
    <row r="9284" spans="1:6" x14ac:dyDescent="0.25">
      <c r="A9284" s="1">
        <v>41699</v>
      </c>
      <c r="B9284" t="s">
        <v>18</v>
      </c>
      <c r="C9284" t="s">
        <v>7</v>
      </c>
      <c r="D9284">
        <v>111</v>
      </c>
      <c r="E9284" s="2">
        <v>9.4525462962962964E-2</v>
      </c>
      <c r="F9284">
        <v>136.11666666666667</v>
      </c>
    </row>
    <row r="9285" spans="1:6" x14ac:dyDescent="0.25">
      <c r="A9285" s="1">
        <v>41699</v>
      </c>
      <c r="B9285" t="s">
        <v>18</v>
      </c>
      <c r="C9285" t="s">
        <v>8</v>
      </c>
      <c r="D9285">
        <v>46</v>
      </c>
      <c r="E9285" s="2">
        <v>4.1666666666666664E-2</v>
      </c>
      <c r="F9285">
        <v>60</v>
      </c>
    </row>
    <row r="9286" spans="1:6" x14ac:dyDescent="0.25">
      <c r="A9286" s="1">
        <v>41699</v>
      </c>
      <c r="B9286" t="s">
        <v>18</v>
      </c>
      <c r="C9286" t="s">
        <v>9</v>
      </c>
      <c r="D9286">
        <v>60</v>
      </c>
      <c r="E9286" s="2">
        <v>3.6493055555555556E-2</v>
      </c>
      <c r="F9286">
        <v>52.55</v>
      </c>
    </row>
    <row r="9287" spans="1:6" x14ac:dyDescent="0.25">
      <c r="A9287" s="1">
        <v>41699</v>
      </c>
      <c r="B9287" t="s">
        <v>18</v>
      </c>
      <c r="C9287" t="s">
        <v>10</v>
      </c>
      <c r="D9287">
        <v>113</v>
      </c>
      <c r="E9287" s="2">
        <v>0.14021990740740742</v>
      </c>
      <c r="F9287">
        <v>201.91666666666666</v>
      </c>
    </row>
    <row r="9288" spans="1:6" x14ac:dyDescent="0.25">
      <c r="A9288" s="1">
        <v>41699</v>
      </c>
      <c r="B9288" t="s">
        <v>18</v>
      </c>
      <c r="C9288" t="s">
        <v>11</v>
      </c>
      <c r="D9288">
        <v>41</v>
      </c>
      <c r="E9288" s="2">
        <v>3.3877314814814811E-2</v>
      </c>
      <c r="F9288">
        <v>48.783333333333331</v>
      </c>
    </row>
    <row r="9289" spans="1:6" x14ac:dyDescent="0.25">
      <c r="A9289" s="1">
        <v>41699</v>
      </c>
      <c r="B9289" t="s">
        <v>19</v>
      </c>
      <c r="C9289" t="s">
        <v>6</v>
      </c>
      <c r="D9289">
        <v>45</v>
      </c>
      <c r="E9289" s="2">
        <v>5.8356481481481481E-2</v>
      </c>
      <c r="F9289">
        <v>84.033333333333331</v>
      </c>
    </row>
    <row r="9290" spans="1:6" x14ac:dyDescent="0.25">
      <c r="A9290" s="1">
        <v>41699</v>
      </c>
      <c r="B9290" t="s">
        <v>19</v>
      </c>
      <c r="C9290" t="s">
        <v>7</v>
      </c>
      <c r="D9290">
        <v>50</v>
      </c>
      <c r="E9290" s="2">
        <v>5.8819444444444445E-2</v>
      </c>
      <c r="F9290">
        <v>84.7</v>
      </c>
    </row>
    <row r="9291" spans="1:6" x14ac:dyDescent="0.25">
      <c r="A9291" s="1">
        <v>41699</v>
      </c>
      <c r="B9291" t="s">
        <v>19</v>
      </c>
      <c r="C9291" t="s">
        <v>8</v>
      </c>
      <c r="D9291">
        <v>39</v>
      </c>
      <c r="E9291" s="2">
        <v>4.3692129629629629E-2</v>
      </c>
      <c r="F9291">
        <v>62.916666666666664</v>
      </c>
    </row>
    <row r="9292" spans="1:6" x14ac:dyDescent="0.25">
      <c r="A9292" s="1">
        <v>41699</v>
      </c>
      <c r="B9292" t="s">
        <v>19</v>
      </c>
      <c r="C9292" t="s">
        <v>9</v>
      </c>
      <c r="D9292">
        <v>45</v>
      </c>
      <c r="E9292" s="2">
        <v>3.3321759259259259E-2</v>
      </c>
      <c r="F9292">
        <v>47.983333333333334</v>
      </c>
    </row>
    <row r="9293" spans="1:6" x14ac:dyDescent="0.25">
      <c r="A9293" s="1">
        <v>41699</v>
      </c>
      <c r="B9293" t="s">
        <v>19</v>
      </c>
      <c r="C9293" t="s">
        <v>10</v>
      </c>
      <c r="D9293">
        <v>20</v>
      </c>
      <c r="E9293" s="2">
        <v>2.6018518518518517E-2</v>
      </c>
      <c r="F9293">
        <v>37.466666666666669</v>
      </c>
    </row>
    <row r="9294" spans="1:6" x14ac:dyDescent="0.25">
      <c r="A9294" s="1">
        <v>41699</v>
      </c>
      <c r="B9294" t="s">
        <v>19</v>
      </c>
      <c r="C9294" t="s">
        <v>11</v>
      </c>
      <c r="D9294">
        <v>49</v>
      </c>
      <c r="E9294" s="2">
        <v>4.5590277777777778E-2</v>
      </c>
      <c r="F9294">
        <v>65.650000000000006</v>
      </c>
    </row>
    <row r="9295" spans="1:6" x14ac:dyDescent="0.25">
      <c r="A9295" s="1">
        <v>41699</v>
      </c>
      <c r="B9295" t="s">
        <v>20</v>
      </c>
      <c r="C9295" t="s">
        <v>6</v>
      </c>
      <c r="D9295">
        <v>55</v>
      </c>
      <c r="E9295" s="2">
        <v>6.3379629629629633E-2</v>
      </c>
      <c r="F9295">
        <v>91.266666666666666</v>
      </c>
    </row>
    <row r="9296" spans="1:6" x14ac:dyDescent="0.25">
      <c r="A9296" s="1">
        <v>41699</v>
      </c>
      <c r="B9296" t="s">
        <v>20</v>
      </c>
      <c r="C9296" t="s">
        <v>7</v>
      </c>
      <c r="D9296">
        <v>77</v>
      </c>
      <c r="E9296" s="2">
        <v>9.2604166666666668E-2</v>
      </c>
      <c r="F9296">
        <v>133.35</v>
      </c>
    </row>
    <row r="9297" spans="1:6" x14ac:dyDescent="0.25">
      <c r="A9297" s="1">
        <v>41699</v>
      </c>
      <c r="B9297" t="s">
        <v>20</v>
      </c>
      <c r="C9297" t="s">
        <v>8</v>
      </c>
      <c r="D9297">
        <v>62</v>
      </c>
      <c r="E9297" s="2">
        <v>7.5798611111111108E-2</v>
      </c>
      <c r="F9297">
        <v>109.15</v>
      </c>
    </row>
    <row r="9298" spans="1:6" x14ac:dyDescent="0.25">
      <c r="A9298" s="1">
        <v>41699</v>
      </c>
      <c r="B9298" t="s">
        <v>20</v>
      </c>
      <c r="C9298" t="s">
        <v>9</v>
      </c>
      <c r="D9298">
        <v>26</v>
      </c>
      <c r="E9298" s="2">
        <v>1.494212962962963E-2</v>
      </c>
      <c r="F9298">
        <v>21.516666666666666</v>
      </c>
    </row>
    <row r="9299" spans="1:6" x14ac:dyDescent="0.25">
      <c r="A9299" s="1">
        <v>41699</v>
      </c>
      <c r="B9299" t="s">
        <v>20</v>
      </c>
      <c r="C9299" t="s">
        <v>10</v>
      </c>
      <c r="D9299">
        <v>15</v>
      </c>
      <c r="E9299" s="2">
        <v>2.8321759259259258E-2</v>
      </c>
      <c r="F9299">
        <v>40.783333333333331</v>
      </c>
    </row>
    <row r="9300" spans="1:6" x14ac:dyDescent="0.25">
      <c r="A9300" s="1">
        <v>41699</v>
      </c>
      <c r="B9300" t="s">
        <v>20</v>
      </c>
      <c r="C9300" t="s">
        <v>11</v>
      </c>
      <c r="D9300">
        <v>60</v>
      </c>
      <c r="E9300" s="2">
        <v>5.7476851851851848E-2</v>
      </c>
      <c r="F9300">
        <v>82.766666666666666</v>
      </c>
    </row>
    <row r="9301" spans="1:6" x14ac:dyDescent="0.25">
      <c r="A9301" s="1">
        <v>41699</v>
      </c>
      <c r="B9301" t="s">
        <v>21</v>
      </c>
      <c r="C9301" t="s">
        <v>6</v>
      </c>
      <c r="D9301">
        <v>14</v>
      </c>
      <c r="E9301" s="2">
        <v>1.9629629629629629E-2</v>
      </c>
      <c r="F9301">
        <v>28.266666666666666</v>
      </c>
    </row>
    <row r="9302" spans="1:6" x14ac:dyDescent="0.25">
      <c r="A9302" s="1">
        <v>41699</v>
      </c>
      <c r="B9302" t="s">
        <v>21</v>
      </c>
      <c r="C9302" t="s">
        <v>7</v>
      </c>
      <c r="D9302">
        <v>21</v>
      </c>
      <c r="E9302" s="2">
        <v>2.8946759259259259E-2</v>
      </c>
      <c r="F9302">
        <v>41.68333333333333</v>
      </c>
    </row>
    <row r="9303" spans="1:6" x14ac:dyDescent="0.25">
      <c r="A9303" s="1">
        <v>41699</v>
      </c>
      <c r="B9303" t="s">
        <v>21</v>
      </c>
      <c r="C9303" t="s">
        <v>8</v>
      </c>
      <c r="D9303">
        <v>16</v>
      </c>
      <c r="E9303" s="2">
        <v>2.4270833333333332E-2</v>
      </c>
      <c r="F9303">
        <v>34.950000000000003</v>
      </c>
    </row>
    <row r="9304" spans="1:6" x14ac:dyDescent="0.25">
      <c r="A9304" s="1">
        <v>41699</v>
      </c>
      <c r="B9304" t="s">
        <v>21</v>
      </c>
      <c r="C9304" t="s">
        <v>9</v>
      </c>
      <c r="D9304">
        <v>9</v>
      </c>
      <c r="E9304" s="2">
        <v>4.5717592592592589E-3</v>
      </c>
      <c r="F9304">
        <v>6.583333333333333</v>
      </c>
    </row>
    <row r="9305" spans="1:6" x14ac:dyDescent="0.25">
      <c r="A9305" s="1">
        <v>41699</v>
      </c>
      <c r="B9305" t="s">
        <v>21</v>
      </c>
      <c r="C9305" t="s">
        <v>10</v>
      </c>
      <c r="D9305">
        <v>3</v>
      </c>
      <c r="E9305" s="2">
        <v>3.6921296296296298E-3</v>
      </c>
      <c r="F9305">
        <v>5.3166666666666664</v>
      </c>
    </row>
    <row r="9306" spans="1:6" x14ac:dyDescent="0.25">
      <c r="A9306" s="1">
        <v>41699</v>
      </c>
      <c r="B9306" t="s">
        <v>21</v>
      </c>
      <c r="C9306" t="s">
        <v>11</v>
      </c>
      <c r="D9306">
        <v>14</v>
      </c>
      <c r="E9306" s="2">
        <v>1.3773148148148149E-2</v>
      </c>
      <c r="F9306">
        <v>19.833333333333332</v>
      </c>
    </row>
    <row r="9307" spans="1:6" x14ac:dyDescent="0.25">
      <c r="A9307" s="1">
        <v>41699</v>
      </c>
      <c r="B9307" t="s">
        <v>22</v>
      </c>
      <c r="C9307" t="s">
        <v>6</v>
      </c>
      <c r="D9307">
        <v>11</v>
      </c>
      <c r="E9307" s="2">
        <v>1.6805555555555556E-2</v>
      </c>
      <c r="F9307">
        <v>24.2</v>
      </c>
    </row>
    <row r="9308" spans="1:6" x14ac:dyDescent="0.25">
      <c r="A9308" s="1">
        <v>41699</v>
      </c>
      <c r="B9308" t="s">
        <v>22</v>
      </c>
      <c r="C9308" t="s">
        <v>7</v>
      </c>
      <c r="D9308">
        <v>12</v>
      </c>
      <c r="E9308" s="2">
        <v>1.8136574074074076E-2</v>
      </c>
      <c r="F9308">
        <v>26.116666666666667</v>
      </c>
    </row>
    <row r="9309" spans="1:6" x14ac:dyDescent="0.25">
      <c r="A9309" s="1">
        <v>41699</v>
      </c>
      <c r="B9309" t="s">
        <v>22</v>
      </c>
      <c r="C9309" t="s">
        <v>8</v>
      </c>
      <c r="D9309">
        <v>5</v>
      </c>
      <c r="E9309" s="2">
        <v>7.6851851851851855E-3</v>
      </c>
      <c r="F9309">
        <v>11.066666666666666</v>
      </c>
    </row>
    <row r="9310" spans="1:6" x14ac:dyDescent="0.25">
      <c r="A9310" s="1">
        <v>41699</v>
      </c>
      <c r="B9310" t="s">
        <v>22</v>
      </c>
      <c r="C9310" t="s">
        <v>9</v>
      </c>
      <c r="D9310">
        <v>6</v>
      </c>
      <c r="E9310" s="2">
        <v>2.9050925925925928E-3</v>
      </c>
      <c r="F9310">
        <v>4.1833333333333336</v>
      </c>
    </row>
    <row r="9311" spans="1:6" x14ac:dyDescent="0.25">
      <c r="A9311" s="1">
        <v>41699</v>
      </c>
      <c r="B9311" t="s">
        <v>22</v>
      </c>
      <c r="C9311" t="s">
        <v>10</v>
      </c>
      <c r="D9311">
        <v>3</v>
      </c>
      <c r="E9311" s="2">
        <v>3.6111111111111109E-3</v>
      </c>
      <c r="F9311">
        <v>5.2</v>
      </c>
    </row>
    <row r="9312" spans="1:6" x14ac:dyDescent="0.25">
      <c r="A9312" s="1">
        <v>41699</v>
      </c>
      <c r="B9312" t="s">
        <v>22</v>
      </c>
      <c r="C9312" t="s">
        <v>11</v>
      </c>
      <c r="D9312">
        <v>6</v>
      </c>
      <c r="E9312" s="2">
        <v>6.8171296296296296E-3</v>
      </c>
      <c r="F9312">
        <v>9.8166666666666664</v>
      </c>
    </row>
    <row r="9313" spans="1:6" x14ac:dyDescent="0.25">
      <c r="A9313" s="1">
        <v>41699</v>
      </c>
      <c r="B9313" t="s">
        <v>23</v>
      </c>
      <c r="C9313" t="s">
        <v>6</v>
      </c>
      <c r="D9313">
        <v>64</v>
      </c>
      <c r="E9313" s="2">
        <v>8.3298611111111115E-2</v>
      </c>
      <c r="F9313">
        <v>119.95</v>
      </c>
    </row>
    <row r="9314" spans="1:6" x14ac:dyDescent="0.25">
      <c r="A9314" s="1">
        <v>41699</v>
      </c>
      <c r="B9314" t="s">
        <v>23</v>
      </c>
      <c r="C9314" t="s">
        <v>7</v>
      </c>
      <c r="D9314">
        <v>69</v>
      </c>
      <c r="E9314" s="2">
        <v>0.10456018518518519</v>
      </c>
      <c r="F9314">
        <v>150.56666666666666</v>
      </c>
    </row>
    <row r="9315" spans="1:6" x14ac:dyDescent="0.25">
      <c r="A9315" s="1">
        <v>41699</v>
      </c>
      <c r="B9315" t="s">
        <v>23</v>
      </c>
      <c r="C9315" t="s">
        <v>8</v>
      </c>
      <c r="D9315">
        <v>43</v>
      </c>
      <c r="E9315" s="2">
        <v>4.9583333333333333E-2</v>
      </c>
      <c r="F9315">
        <v>71.400000000000006</v>
      </c>
    </row>
    <row r="9316" spans="1:6" x14ac:dyDescent="0.25">
      <c r="A9316" s="1">
        <v>41699</v>
      </c>
      <c r="B9316" t="s">
        <v>23</v>
      </c>
      <c r="C9316" t="s">
        <v>9</v>
      </c>
      <c r="D9316">
        <v>40</v>
      </c>
      <c r="E9316" s="2">
        <v>2.4606481481481483E-2</v>
      </c>
      <c r="F9316">
        <v>35.43333333333333</v>
      </c>
    </row>
    <row r="9317" spans="1:6" x14ac:dyDescent="0.25">
      <c r="A9317" s="1">
        <v>41699</v>
      </c>
      <c r="B9317" t="s">
        <v>23</v>
      </c>
      <c r="C9317" t="s">
        <v>10</v>
      </c>
      <c r="D9317">
        <v>18</v>
      </c>
      <c r="E9317" s="2">
        <v>2.3680555555555555E-2</v>
      </c>
      <c r="F9317">
        <v>34.1</v>
      </c>
    </row>
    <row r="9318" spans="1:6" x14ac:dyDescent="0.25">
      <c r="A9318" s="1">
        <v>41699</v>
      </c>
      <c r="B9318" t="s">
        <v>23</v>
      </c>
      <c r="C9318" t="s">
        <v>11</v>
      </c>
      <c r="D9318">
        <v>66</v>
      </c>
      <c r="E9318" s="2">
        <v>6.5717592592592591E-2</v>
      </c>
      <c r="F9318">
        <v>94.63333333333334</v>
      </c>
    </row>
    <row r="9319" spans="1:6" x14ac:dyDescent="0.25">
      <c r="A9319" s="1">
        <v>41699</v>
      </c>
      <c r="B9319" t="s">
        <v>24</v>
      </c>
      <c r="C9319" t="s">
        <v>6</v>
      </c>
      <c r="D9319">
        <v>32</v>
      </c>
      <c r="E9319" s="2">
        <v>3.4618055555555555E-2</v>
      </c>
      <c r="F9319">
        <v>49.85</v>
      </c>
    </row>
    <row r="9320" spans="1:6" x14ac:dyDescent="0.25">
      <c r="A9320" s="1">
        <v>41699</v>
      </c>
      <c r="B9320" t="s">
        <v>24</v>
      </c>
      <c r="C9320" t="s">
        <v>7</v>
      </c>
      <c r="D9320">
        <v>35</v>
      </c>
      <c r="E9320" s="2">
        <v>2.8310185185185185E-2</v>
      </c>
      <c r="F9320">
        <v>40.766666666666666</v>
      </c>
    </row>
    <row r="9321" spans="1:6" x14ac:dyDescent="0.25">
      <c r="A9321" s="1">
        <v>41699</v>
      </c>
      <c r="B9321" t="s">
        <v>24</v>
      </c>
      <c r="C9321" t="s">
        <v>8</v>
      </c>
      <c r="D9321">
        <v>20</v>
      </c>
      <c r="E9321" s="2">
        <v>1.6087962962962964E-2</v>
      </c>
      <c r="F9321">
        <v>23.166666666666668</v>
      </c>
    </row>
    <row r="9322" spans="1:6" x14ac:dyDescent="0.25">
      <c r="A9322" s="1">
        <v>41699</v>
      </c>
      <c r="B9322" t="s">
        <v>24</v>
      </c>
      <c r="C9322" t="s">
        <v>9</v>
      </c>
      <c r="D9322">
        <v>18</v>
      </c>
      <c r="E9322" s="2">
        <v>1.074074074074074E-2</v>
      </c>
      <c r="F9322">
        <v>15.466666666666667</v>
      </c>
    </row>
    <row r="9323" spans="1:6" x14ac:dyDescent="0.25">
      <c r="A9323" s="1">
        <v>41699</v>
      </c>
      <c r="B9323" t="s">
        <v>24</v>
      </c>
      <c r="C9323" t="s">
        <v>10</v>
      </c>
      <c r="D9323">
        <v>0</v>
      </c>
      <c r="E9323" s="2">
        <v>0</v>
      </c>
      <c r="F9323">
        <v>0</v>
      </c>
    </row>
    <row r="9324" spans="1:6" x14ac:dyDescent="0.25">
      <c r="A9324" s="1">
        <v>41699</v>
      </c>
      <c r="B9324" t="s">
        <v>24</v>
      </c>
      <c r="C9324" t="s">
        <v>11</v>
      </c>
      <c r="D9324">
        <v>17</v>
      </c>
      <c r="E9324" s="2">
        <v>1.2685185185185185E-2</v>
      </c>
      <c r="F9324">
        <v>18.266666666666666</v>
      </c>
    </row>
    <row r="9325" spans="1:6" x14ac:dyDescent="0.25">
      <c r="A9325" s="1">
        <v>41730</v>
      </c>
      <c r="B9325" t="s">
        <v>5</v>
      </c>
      <c r="C9325" t="s">
        <v>6</v>
      </c>
      <c r="D9325">
        <v>18</v>
      </c>
      <c r="E9325" s="2">
        <v>1.8402777777777778E-2</v>
      </c>
      <c r="F9325">
        <v>26.5</v>
      </c>
    </row>
    <row r="9326" spans="1:6" x14ac:dyDescent="0.25">
      <c r="A9326" s="1">
        <v>41730</v>
      </c>
      <c r="B9326" t="s">
        <v>5</v>
      </c>
      <c r="C9326" t="s">
        <v>7</v>
      </c>
      <c r="D9326">
        <v>36</v>
      </c>
      <c r="E9326" s="2">
        <v>3.1689814814814816E-2</v>
      </c>
      <c r="F9326">
        <v>45.633333333333333</v>
      </c>
    </row>
    <row r="9327" spans="1:6" x14ac:dyDescent="0.25">
      <c r="A9327" s="1">
        <v>41730</v>
      </c>
      <c r="B9327" t="s">
        <v>5</v>
      </c>
      <c r="C9327" t="s">
        <v>8</v>
      </c>
      <c r="D9327">
        <v>16</v>
      </c>
      <c r="E9327" s="2">
        <v>1.2083333333333333E-2</v>
      </c>
      <c r="F9327">
        <v>17.399999999999999</v>
      </c>
    </row>
    <row r="9328" spans="1:6" x14ac:dyDescent="0.25">
      <c r="A9328" s="1">
        <v>41730</v>
      </c>
      <c r="B9328" t="s">
        <v>5</v>
      </c>
      <c r="C9328" t="s">
        <v>9</v>
      </c>
      <c r="D9328">
        <v>20</v>
      </c>
      <c r="E9328" s="2">
        <v>9.9884259259259266E-3</v>
      </c>
      <c r="F9328">
        <v>14.383333333333333</v>
      </c>
    </row>
    <row r="9329" spans="1:6" x14ac:dyDescent="0.25">
      <c r="A9329" s="1">
        <v>41730</v>
      </c>
      <c r="B9329" t="s">
        <v>5</v>
      </c>
      <c r="C9329" t="s">
        <v>10</v>
      </c>
      <c r="D9329">
        <v>9</v>
      </c>
      <c r="E9329" s="2">
        <v>4.7337962962962967E-3</v>
      </c>
      <c r="F9329">
        <v>6.8166666666666664</v>
      </c>
    </row>
    <row r="9330" spans="1:6" x14ac:dyDescent="0.25">
      <c r="A9330" s="1">
        <v>41730</v>
      </c>
      <c r="B9330" t="s">
        <v>5</v>
      </c>
      <c r="C9330" t="s">
        <v>11</v>
      </c>
      <c r="D9330">
        <v>21</v>
      </c>
      <c r="E9330" s="2">
        <v>1.5729166666666666E-2</v>
      </c>
      <c r="F9330">
        <v>22.65</v>
      </c>
    </row>
    <row r="9331" spans="1:6" x14ac:dyDescent="0.25">
      <c r="A9331" s="1">
        <v>41730</v>
      </c>
      <c r="B9331" t="s">
        <v>12</v>
      </c>
      <c r="C9331" t="s">
        <v>6</v>
      </c>
      <c r="D9331">
        <v>53</v>
      </c>
      <c r="E9331" s="2">
        <v>8.7881944444444443E-2</v>
      </c>
      <c r="F9331">
        <v>126.55</v>
      </c>
    </row>
    <row r="9332" spans="1:6" x14ac:dyDescent="0.25">
      <c r="A9332" s="1">
        <v>41730</v>
      </c>
      <c r="B9332" t="s">
        <v>12</v>
      </c>
      <c r="C9332" t="s">
        <v>7</v>
      </c>
      <c r="D9332">
        <v>50</v>
      </c>
      <c r="E9332" s="2">
        <v>7.9247685185185185E-2</v>
      </c>
      <c r="F9332">
        <v>114.11666666666666</v>
      </c>
    </row>
    <row r="9333" spans="1:6" x14ac:dyDescent="0.25">
      <c r="A9333" s="1">
        <v>41730</v>
      </c>
      <c r="B9333" t="s">
        <v>12</v>
      </c>
      <c r="C9333" t="s">
        <v>8</v>
      </c>
      <c r="D9333">
        <v>20</v>
      </c>
      <c r="E9333" s="2">
        <v>2.9687499999999999E-2</v>
      </c>
      <c r="F9333">
        <v>42.75</v>
      </c>
    </row>
    <row r="9334" spans="1:6" x14ac:dyDescent="0.25">
      <c r="A9334" s="1">
        <v>41730</v>
      </c>
      <c r="B9334" t="s">
        <v>12</v>
      </c>
      <c r="C9334" t="s">
        <v>9</v>
      </c>
      <c r="D9334">
        <v>21</v>
      </c>
      <c r="E9334" s="2">
        <v>1.7256944444444443E-2</v>
      </c>
      <c r="F9334">
        <v>24.85</v>
      </c>
    </row>
    <row r="9335" spans="1:6" x14ac:dyDescent="0.25">
      <c r="A9335" s="1">
        <v>41730</v>
      </c>
      <c r="B9335" t="s">
        <v>12</v>
      </c>
      <c r="C9335" t="s">
        <v>10</v>
      </c>
      <c r="D9335">
        <v>35</v>
      </c>
      <c r="E9335" s="2">
        <v>6.1574074074074073E-2</v>
      </c>
      <c r="F9335">
        <v>88.666666666666671</v>
      </c>
    </row>
    <row r="9336" spans="1:6" x14ac:dyDescent="0.25">
      <c r="A9336" s="1">
        <v>41730</v>
      </c>
      <c r="B9336" t="s">
        <v>12</v>
      </c>
      <c r="C9336" t="s">
        <v>11</v>
      </c>
      <c r="D9336">
        <v>42</v>
      </c>
      <c r="E9336" s="2">
        <v>4.9050925925925928E-2</v>
      </c>
      <c r="F9336">
        <v>70.63333333333334</v>
      </c>
    </row>
    <row r="9337" spans="1:6" x14ac:dyDescent="0.25">
      <c r="A9337" s="1">
        <v>41730</v>
      </c>
      <c r="B9337" t="s">
        <v>13</v>
      </c>
      <c r="C9337" t="s">
        <v>6</v>
      </c>
      <c r="D9337">
        <v>67</v>
      </c>
      <c r="E9337" s="2">
        <v>9.1099537037037034E-2</v>
      </c>
      <c r="F9337">
        <v>131.18333333333334</v>
      </c>
    </row>
    <row r="9338" spans="1:6" x14ac:dyDescent="0.25">
      <c r="A9338" s="1">
        <v>41730</v>
      </c>
      <c r="B9338" t="s">
        <v>13</v>
      </c>
      <c r="C9338" t="s">
        <v>7</v>
      </c>
      <c r="D9338">
        <v>79</v>
      </c>
      <c r="E9338" s="2">
        <v>0.1182986111111111</v>
      </c>
      <c r="F9338">
        <v>170.35</v>
      </c>
    </row>
    <row r="9339" spans="1:6" x14ac:dyDescent="0.25">
      <c r="A9339" s="1">
        <v>41730</v>
      </c>
      <c r="B9339" t="s">
        <v>13</v>
      </c>
      <c r="C9339" t="s">
        <v>8</v>
      </c>
      <c r="D9339">
        <v>58</v>
      </c>
      <c r="E9339" s="2">
        <v>7.076388888888889E-2</v>
      </c>
      <c r="F9339">
        <v>101.9</v>
      </c>
    </row>
    <row r="9340" spans="1:6" x14ac:dyDescent="0.25">
      <c r="A9340" s="1">
        <v>41730</v>
      </c>
      <c r="B9340" t="s">
        <v>13</v>
      </c>
      <c r="C9340" t="s">
        <v>9</v>
      </c>
      <c r="D9340">
        <v>26</v>
      </c>
      <c r="E9340" s="2">
        <v>1.9259259259259261E-2</v>
      </c>
      <c r="F9340">
        <v>27.733333333333334</v>
      </c>
    </row>
    <row r="9341" spans="1:6" x14ac:dyDescent="0.25">
      <c r="A9341" s="1">
        <v>41730</v>
      </c>
      <c r="B9341" t="s">
        <v>13</v>
      </c>
      <c r="C9341" t="s">
        <v>10</v>
      </c>
      <c r="D9341">
        <v>19</v>
      </c>
      <c r="E9341" s="2">
        <v>2.5983796296296297E-2</v>
      </c>
      <c r="F9341">
        <v>37.416666666666664</v>
      </c>
    </row>
    <row r="9342" spans="1:6" x14ac:dyDescent="0.25">
      <c r="A9342" s="1">
        <v>41730</v>
      </c>
      <c r="B9342" t="s">
        <v>13</v>
      </c>
      <c r="C9342" t="s">
        <v>11</v>
      </c>
      <c r="D9342">
        <v>42</v>
      </c>
      <c r="E9342" s="2">
        <v>4.6678240740740742E-2</v>
      </c>
      <c r="F9342">
        <v>67.216666666666669</v>
      </c>
    </row>
    <row r="9343" spans="1:6" x14ac:dyDescent="0.25">
      <c r="A9343" s="1">
        <v>41730</v>
      </c>
      <c r="B9343" t="s">
        <v>14</v>
      </c>
      <c r="C9343" t="s">
        <v>6</v>
      </c>
      <c r="D9343">
        <v>11</v>
      </c>
      <c r="E9343" s="2">
        <v>1.457175925925926E-2</v>
      </c>
      <c r="F9343">
        <v>20.983333333333334</v>
      </c>
    </row>
    <row r="9344" spans="1:6" x14ac:dyDescent="0.25">
      <c r="A9344" s="1">
        <v>41730</v>
      </c>
      <c r="B9344" t="s">
        <v>14</v>
      </c>
      <c r="C9344" t="s">
        <v>7</v>
      </c>
      <c r="D9344">
        <v>8</v>
      </c>
      <c r="E9344" s="2">
        <v>1.5555555555555555E-2</v>
      </c>
      <c r="F9344">
        <v>22.4</v>
      </c>
    </row>
    <row r="9345" spans="1:6" x14ac:dyDescent="0.25">
      <c r="A9345" s="1">
        <v>41730</v>
      </c>
      <c r="B9345" t="s">
        <v>14</v>
      </c>
      <c r="C9345" t="s">
        <v>8</v>
      </c>
      <c r="D9345">
        <v>8</v>
      </c>
      <c r="E9345" s="2">
        <v>1.2835648148148148E-2</v>
      </c>
      <c r="F9345">
        <v>18.483333333333334</v>
      </c>
    </row>
    <row r="9346" spans="1:6" x14ac:dyDescent="0.25">
      <c r="A9346" s="1">
        <v>41730</v>
      </c>
      <c r="B9346" t="s">
        <v>14</v>
      </c>
      <c r="C9346" t="s">
        <v>9</v>
      </c>
      <c r="D9346">
        <v>0</v>
      </c>
      <c r="E9346" s="2">
        <v>0</v>
      </c>
      <c r="F9346">
        <v>0</v>
      </c>
    </row>
    <row r="9347" spans="1:6" x14ac:dyDescent="0.25">
      <c r="A9347" s="1">
        <v>41730</v>
      </c>
      <c r="B9347" t="s">
        <v>14</v>
      </c>
      <c r="C9347" t="s">
        <v>10</v>
      </c>
      <c r="D9347">
        <v>2</v>
      </c>
      <c r="E9347" s="2">
        <v>3.1828703703703702E-3</v>
      </c>
      <c r="F9347">
        <v>4.583333333333333</v>
      </c>
    </row>
    <row r="9348" spans="1:6" x14ac:dyDescent="0.25">
      <c r="A9348" s="1">
        <v>41730</v>
      </c>
      <c r="B9348" t="s">
        <v>14</v>
      </c>
      <c r="C9348" t="s">
        <v>11</v>
      </c>
      <c r="D9348">
        <v>9</v>
      </c>
      <c r="E9348" s="2">
        <v>1.3425925925925926E-2</v>
      </c>
      <c r="F9348">
        <v>19.333333333333332</v>
      </c>
    </row>
    <row r="9349" spans="1:6" x14ac:dyDescent="0.25">
      <c r="A9349" s="1">
        <v>41730</v>
      </c>
      <c r="B9349" t="s">
        <v>15</v>
      </c>
      <c r="C9349" t="s">
        <v>6</v>
      </c>
      <c r="D9349">
        <v>23</v>
      </c>
      <c r="E9349" s="2">
        <v>3.4768518518518518E-2</v>
      </c>
      <c r="F9349">
        <v>50.06666666666667</v>
      </c>
    </row>
    <row r="9350" spans="1:6" x14ac:dyDescent="0.25">
      <c r="A9350" s="1">
        <v>41730</v>
      </c>
      <c r="B9350" t="s">
        <v>15</v>
      </c>
      <c r="C9350" t="s">
        <v>7</v>
      </c>
      <c r="D9350">
        <v>27</v>
      </c>
      <c r="E9350" s="2">
        <v>3.6388888888888887E-2</v>
      </c>
      <c r="F9350">
        <v>52.4</v>
      </c>
    </row>
    <row r="9351" spans="1:6" x14ac:dyDescent="0.25">
      <c r="A9351" s="1">
        <v>41730</v>
      </c>
      <c r="B9351" t="s">
        <v>15</v>
      </c>
      <c r="C9351" t="s">
        <v>8</v>
      </c>
      <c r="D9351">
        <v>17</v>
      </c>
      <c r="E9351" s="2">
        <v>1.6840277777777777E-2</v>
      </c>
      <c r="F9351">
        <v>24.25</v>
      </c>
    </row>
    <row r="9352" spans="1:6" x14ac:dyDescent="0.25">
      <c r="A9352" s="1">
        <v>41730</v>
      </c>
      <c r="B9352" t="s">
        <v>15</v>
      </c>
      <c r="C9352" t="s">
        <v>9</v>
      </c>
      <c r="D9352">
        <v>4</v>
      </c>
      <c r="E9352" s="2">
        <v>2.5462962962962965E-3</v>
      </c>
      <c r="F9352">
        <v>3.6666666666666665</v>
      </c>
    </row>
    <row r="9353" spans="1:6" x14ac:dyDescent="0.25">
      <c r="A9353" s="1">
        <v>41730</v>
      </c>
      <c r="B9353" t="s">
        <v>15</v>
      </c>
      <c r="C9353" t="s">
        <v>10</v>
      </c>
      <c r="D9353">
        <v>4</v>
      </c>
      <c r="E9353" s="2">
        <v>6.1342592592592594E-3</v>
      </c>
      <c r="F9353">
        <v>8.8333333333333339</v>
      </c>
    </row>
    <row r="9354" spans="1:6" x14ac:dyDescent="0.25">
      <c r="A9354" s="1">
        <v>41730</v>
      </c>
      <c r="B9354" t="s">
        <v>15</v>
      </c>
      <c r="C9354" t="s">
        <v>11</v>
      </c>
      <c r="D9354">
        <v>4</v>
      </c>
      <c r="E9354" s="2">
        <v>4.31712962962963E-3</v>
      </c>
      <c r="F9354">
        <v>6.2166666666666668</v>
      </c>
    </row>
    <row r="9355" spans="1:6" x14ac:dyDescent="0.25">
      <c r="A9355" s="1">
        <v>41730</v>
      </c>
      <c r="B9355" t="s">
        <v>16</v>
      </c>
      <c r="C9355" t="s">
        <v>6</v>
      </c>
      <c r="D9355">
        <v>24</v>
      </c>
      <c r="E9355" s="2">
        <v>2.1631944444444443E-2</v>
      </c>
      <c r="F9355">
        <v>31.15</v>
      </c>
    </row>
    <row r="9356" spans="1:6" x14ac:dyDescent="0.25">
      <c r="A9356" s="1">
        <v>41730</v>
      </c>
      <c r="B9356" t="s">
        <v>16</v>
      </c>
      <c r="C9356" t="s">
        <v>7</v>
      </c>
      <c r="D9356">
        <v>33</v>
      </c>
      <c r="E9356" s="2">
        <v>3.484953703703704E-2</v>
      </c>
      <c r="F9356">
        <v>50.18333333333333</v>
      </c>
    </row>
    <row r="9357" spans="1:6" x14ac:dyDescent="0.25">
      <c r="A9357" s="1">
        <v>41730</v>
      </c>
      <c r="B9357" t="s">
        <v>16</v>
      </c>
      <c r="C9357" t="s">
        <v>8</v>
      </c>
      <c r="D9357">
        <v>34</v>
      </c>
      <c r="E9357" s="2">
        <v>2.943287037037037E-2</v>
      </c>
      <c r="F9357">
        <v>42.383333333333333</v>
      </c>
    </row>
    <row r="9358" spans="1:6" x14ac:dyDescent="0.25">
      <c r="A9358" s="1">
        <v>41730</v>
      </c>
      <c r="B9358" t="s">
        <v>16</v>
      </c>
      <c r="C9358" t="s">
        <v>9</v>
      </c>
      <c r="D9358">
        <v>14</v>
      </c>
      <c r="E9358" s="2">
        <v>8.4606481481481477E-3</v>
      </c>
      <c r="F9358">
        <v>12.183333333333334</v>
      </c>
    </row>
    <row r="9359" spans="1:6" x14ac:dyDescent="0.25">
      <c r="A9359" s="1">
        <v>41730</v>
      </c>
      <c r="B9359" t="s">
        <v>16</v>
      </c>
      <c r="C9359" t="s">
        <v>10</v>
      </c>
      <c r="D9359">
        <v>1</v>
      </c>
      <c r="E9359" s="2">
        <v>2.1296296296296298E-3</v>
      </c>
      <c r="F9359">
        <v>3.0666666666666669</v>
      </c>
    </row>
    <row r="9360" spans="1:6" x14ac:dyDescent="0.25">
      <c r="A9360" s="1">
        <v>41730</v>
      </c>
      <c r="B9360" t="s">
        <v>16</v>
      </c>
      <c r="C9360" t="s">
        <v>11</v>
      </c>
      <c r="D9360">
        <v>54</v>
      </c>
      <c r="E9360" s="2">
        <v>4.4780092592592594E-2</v>
      </c>
      <c r="F9360">
        <v>64.483333333333334</v>
      </c>
    </row>
    <row r="9361" spans="1:6" x14ac:dyDescent="0.25">
      <c r="A9361" s="1">
        <v>41730</v>
      </c>
      <c r="B9361" t="s">
        <v>17</v>
      </c>
      <c r="C9361" t="s">
        <v>6</v>
      </c>
      <c r="D9361">
        <v>21</v>
      </c>
      <c r="E9361" s="2">
        <v>2.1539351851851851E-2</v>
      </c>
      <c r="F9361">
        <v>31.016666666666666</v>
      </c>
    </row>
    <row r="9362" spans="1:6" x14ac:dyDescent="0.25">
      <c r="A9362" s="1">
        <v>41730</v>
      </c>
      <c r="B9362" t="s">
        <v>17</v>
      </c>
      <c r="C9362" t="s">
        <v>7</v>
      </c>
      <c r="D9362">
        <v>22</v>
      </c>
      <c r="E9362" s="2">
        <v>2.2476851851851852E-2</v>
      </c>
      <c r="F9362">
        <v>32.366666666666667</v>
      </c>
    </row>
    <row r="9363" spans="1:6" x14ac:dyDescent="0.25">
      <c r="A9363" s="1">
        <v>41730</v>
      </c>
      <c r="B9363" t="s">
        <v>17</v>
      </c>
      <c r="C9363" t="s">
        <v>8</v>
      </c>
      <c r="D9363">
        <v>17</v>
      </c>
      <c r="E9363" s="2">
        <v>1.8564814814814815E-2</v>
      </c>
      <c r="F9363">
        <v>26.733333333333334</v>
      </c>
    </row>
    <row r="9364" spans="1:6" x14ac:dyDescent="0.25">
      <c r="A9364" s="1">
        <v>41730</v>
      </c>
      <c r="B9364" t="s">
        <v>17</v>
      </c>
      <c r="C9364" t="s">
        <v>9</v>
      </c>
      <c r="D9364">
        <v>8</v>
      </c>
      <c r="E9364" s="2">
        <v>4.2476851851851851E-3</v>
      </c>
      <c r="F9364">
        <v>6.1166666666666663</v>
      </c>
    </row>
    <row r="9365" spans="1:6" x14ac:dyDescent="0.25">
      <c r="A9365" s="1">
        <v>41730</v>
      </c>
      <c r="B9365" t="s">
        <v>17</v>
      </c>
      <c r="C9365" t="s">
        <v>10</v>
      </c>
      <c r="D9365">
        <v>11</v>
      </c>
      <c r="E9365" s="2">
        <v>1.1400462962962963E-2</v>
      </c>
      <c r="F9365">
        <v>16.416666666666668</v>
      </c>
    </row>
    <row r="9366" spans="1:6" x14ac:dyDescent="0.25">
      <c r="A9366" s="1">
        <v>41730</v>
      </c>
      <c r="B9366" t="s">
        <v>17</v>
      </c>
      <c r="C9366" t="s">
        <v>11</v>
      </c>
      <c r="D9366">
        <v>10</v>
      </c>
      <c r="E9366" s="2">
        <v>8.4490740740740741E-3</v>
      </c>
      <c r="F9366">
        <v>12.166666666666666</v>
      </c>
    </row>
    <row r="9367" spans="1:6" x14ac:dyDescent="0.25">
      <c r="A9367" s="1">
        <v>41730</v>
      </c>
      <c r="B9367" t="s">
        <v>18</v>
      </c>
      <c r="C9367" t="s">
        <v>6</v>
      </c>
      <c r="D9367">
        <v>74</v>
      </c>
      <c r="E9367" s="2">
        <v>8.5960648148148147E-2</v>
      </c>
      <c r="F9367">
        <v>123.78333333333333</v>
      </c>
    </row>
    <row r="9368" spans="1:6" x14ac:dyDescent="0.25">
      <c r="A9368" s="1">
        <v>41730</v>
      </c>
      <c r="B9368" t="s">
        <v>18</v>
      </c>
      <c r="C9368" t="s">
        <v>7</v>
      </c>
      <c r="D9368">
        <v>114</v>
      </c>
      <c r="E9368" s="2">
        <v>0.10634259259259259</v>
      </c>
      <c r="F9368">
        <v>153.13333333333333</v>
      </c>
    </row>
    <row r="9369" spans="1:6" x14ac:dyDescent="0.25">
      <c r="A9369" s="1">
        <v>41730</v>
      </c>
      <c r="B9369" t="s">
        <v>18</v>
      </c>
      <c r="C9369" t="s">
        <v>8</v>
      </c>
      <c r="D9369">
        <v>63</v>
      </c>
      <c r="E9369" s="2">
        <v>5.7141203703703701E-2</v>
      </c>
      <c r="F9369">
        <v>82.283333333333331</v>
      </c>
    </row>
    <row r="9370" spans="1:6" x14ac:dyDescent="0.25">
      <c r="A9370" s="1">
        <v>41730</v>
      </c>
      <c r="B9370" t="s">
        <v>18</v>
      </c>
      <c r="C9370" t="s">
        <v>9</v>
      </c>
      <c r="D9370">
        <v>78</v>
      </c>
      <c r="E9370" s="2">
        <v>5.0601851851851849E-2</v>
      </c>
      <c r="F9370">
        <v>72.86666666666666</v>
      </c>
    </row>
    <row r="9371" spans="1:6" x14ac:dyDescent="0.25">
      <c r="A9371" s="1">
        <v>41730</v>
      </c>
      <c r="B9371" t="s">
        <v>18</v>
      </c>
      <c r="C9371" t="s">
        <v>10</v>
      </c>
      <c r="D9371">
        <v>144</v>
      </c>
      <c r="E9371" s="2">
        <v>0.1783912037037037</v>
      </c>
      <c r="F9371">
        <v>256.88333333333333</v>
      </c>
    </row>
    <row r="9372" spans="1:6" x14ac:dyDescent="0.25">
      <c r="A9372" s="1">
        <v>41730</v>
      </c>
      <c r="B9372" t="s">
        <v>18</v>
      </c>
      <c r="C9372" t="s">
        <v>11</v>
      </c>
      <c r="D9372">
        <v>77</v>
      </c>
      <c r="E9372" s="2">
        <v>6.5405092592592598E-2</v>
      </c>
      <c r="F9372">
        <v>94.183333333333337</v>
      </c>
    </row>
    <row r="9373" spans="1:6" x14ac:dyDescent="0.25">
      <c r="A9373" s="1">
        <v>41730</v>
      </c>
      <c r="B9373" t="s">
        <v>19</v>
      </c>
      <c r="C9373" t="s">
        <v>6</v>
      </c>
      <c r="D9373">
        <v>24</v>
      </c>
      <c r="E9373" s="2">
        <v>3.152777777777778E-2</v>
      </c>
      <c r="F9373">
        <v>45.4</v>
      </c>
    </row>
    <row r="9374" spans="1:6" x14ac:dyDescent="0.25">
      <c r="A9374" s="1">
        <v>41730</v>
      </c>
      <c r="B9374" t="s">
        <v>19</v>
      </c>
      <c r="C9374" t="s">
        <v>7</v>
      </c>
      <c r="D9374">
        <v>30</v>
      </c>
      <c r="E9374" s="2">
        <v>3.380787037037037E-2</v>
      </c>
      <c r="F9374">
        <v>48.68333333333333</v>
      </c>
    </row>
    <row r="9375" spans="1:6" x14ac:dyDescent="0.25">
      <c r="A9375" s="1">
        <v>41730</v>
      </c>
      <c r="B9375" t="s">
        <v>19</v>
      </c>
      <c r="C9375" t="s">
        <v>8</v>
      </c>
      <c r="D9375">
        <v>35</v>
      </c>
      <c r="E9375" s="2">
        <v>3.7361111111111109E-2</v>
      </c>
      <c r="F9375">
        <v>53.8</v>
      </c>
    </row>
    <row r="9376" spans="1:6" x14ac:dyDescent="0.25">
      <c r="A9376" s="1">
        <v>41730</v>
      </c>
      <c r="B9376" t="s">
        <v>19</v>
      </c>
      <c r="C9376" t="s">
        <v>9</v>
      </c>
      <c r="D9376">
        <v>22</v>
      </c>
      <c r="E9376" s="2">
        <v>1.5752314814814816E-2</v>
      </c>
      <c r="F9376">
        <v>22.683333333333334</v>
      </c>
    </row>
    <row r="9377" spans="1:6" x14ac:dyDescent="0.25">
      <c r="A9377" s="1">
        <v>41730</v>
      </c>
      <c r="B9377" t="s">
        <v>19</v>
      </c>
      <c r="C9377" t="s">
        <v>10</v>
      </c>
      <c r="D9377">
        <v>10</v>
      </c>
      <c r="E9377" s="2">
        <v>9.4560185185185181E-3</v>
      </c>
      <c r="F9377">
        <v>13.616666666666667</v>
      </c>
    </row>
    <row r="9378" spans="1:6" x14ac:dyDescent="0.25">
      <c r="A9378" s="1">
        <v>41730</v>
      </c>
      <c r="B9378" t="s">
        <v>19</v>
      </c>
      <c r="C9378" t="s">
        <v>11</v>
      </c>
      <c r="D9378">
        <v>43</v>
      </c>
      <c r="E9378" s="2">
        <v>3.6863425925925924E-2</v>
      </c>
      <c r="F9378">
        <v>53.083333333333336</v>
      </c>
    </row>
    <row r="9379" spans="1:6" x14ac:dyDescent="0.25">
      <c r="A9379" s="1">
        <v>41730</v>
      </c>
      <c r="B9379" t="s">
        <v>20</v>
      </c>
      <c r="C9379" t="s">
        <v>6</v>
      </c>
      <c r="D9379">
        <v>112</v>
      </c>
      <c r="E9379" s="2">
        <v>0.14105324074074074</v>
      </c>
      <c r="F9379">
        <v>203.11666666666667</v>
      </c>
    </row>
    <row r="9380" spans="1:6" x14ac:dyDescent="0.25">
      <c r="A9380" s="1">
        <v>41730</v>
      </c>
      <c r="B9380" t="s">
        <v>20</v>
      </c>
      <c r="C9380" t="s">
        <v>7</v>
      </c>
      <c r="D9380">
        <v>146</v>
      </c>
      <c r="E9380" s="2">
        <v>0.15469907407407407</v>
      </c>
      <c r="F9380">
        <v>222.76666666666668</v>
      </c>
    </row>
    <row r="9381" spans="1:6" x14ac:dyDescent="0.25">
      <c r="A9381" s="1">
        <v>41730</v>
      </c>
      <c r="B9381" t="s">
        <v>20</v>
      </c>
      <c r="C9381" t="s">
        <v>8</v>
      </c>
      <c r="D9381">
        <v>94</v>
      </c>
      <c r="E9381" s="2">
        <v>9.4236111111111118E-2</v>
      </c>
      <c r="F9381">
        <v>135.69999999999999</v>
      </c>
    </row>
    <row r="9382" spans="1:6" x14ac:dyDescent="0.25">
      <c r="A9382" s="1">
        <v>41730</v>
      </c>
      <c r="B9382" t="s">
        <v>20</v>
      </c>
      <c r="C9382" t="s">
        <v>9</v>
      </c>
      <c r="D9382">
        <v>54</v>
      </c>
      <c r="E9382" s="2">
        <v>3.9861111111111111E-2</v>
      </c>
      <c r="F9382">
        <v>57.4</v>
      </c>
    </row>
    <row r="9383" spans="1:6" x14ac:dyDescent="0.25">
      <c r="A9383" s="1">
        <v>41730</v>
      </c>
      <c r="B9383" t="s">
        <v>20</v>
      </c>
      <c r="C9383" t="s">
        <v>10</v>
      </c>
      <c r="D9383">
        <v>24</v>
      </c>
      <c r="E9383" s="2">
        <v>3.2268518518518516E-2</v>
      </c>
      <c r="F9383">
        <v>46.466666666666669</v>
      </c>
    </row>
    <row r="9384" spans="1:6" x14ac:dyDescent="0.25">
      <c r="A9384" s="1">
        <v>41730</v>
      </c>
      <c r="B9384" t="s">
        <v>20</v>
      </c>
      <c r="C9384" t="s">
        <v>11</v>
      </c>
      <c r="D9384">
        <v>73</v>
      </c>
      <c r="E9384" s="2">
        <v>7.4016203703703709E-2</v>
      </c>
      <c r="F9384">
        <v>106.58333333333333</v>
      </c>
    </row>
    <row r="9385" spans="1:6" x14ac:dyDescent="0.25">
      <c r="A9385" s="1">
        <v>41730</v>
      </c>
      <c r="B9385" t="s">
        <v>21</v>
      </c>
      <c r="C9385" t="s">
        <v>6</v>
      </c>
      <c r="D9385">
        <v>19</v>
      </c>
      <c r="E9385" s="2">
        <v>3.4131944444444444E-2</v>
      </c>
      <c r="F9385">
        <v>49.15</v>
      </c>
    </row>
    <row r="9386" spans="1:6" x14ac:dyDescent="0.25">
      <c r="A9386" s="1">
        <v>41730</v>
      </c>
      <c r="B9386" t="s">
        <v>21</v>
      </c>
      <c r="C9386" t="s">
        <v>7</v>
      </c>
      <c r="D9386">
        <v>22</v>
      </c>
      <c r="E9386" s="2">
        <v>3.3715277777777775E-2</v>
      </c>
      <c r="F9386">
        <v>48.55</v>
      </c>
    </row>
    <row r="9387" spans="1:6" x14ac:dyDescent="0.25">
      <c r="A9387" s="1">
        <v>41730</v>
      </c>
      <c r="B9387" t="s">
        <v>21</v>
      </c>
      <c r="C9387" t="s">
        <v>8</v>
      </c>
      <c r="D9387">
        <v>20</v>
      </c>
      <c r="E9387" s="2">
        <v>2.6701388888888889E-2</v>
      </c>
      <c r="F9387">
        <v>38.450000000000003</v>
      </c>
    </row>
    <row r="9388" spans="1:6" x14ac:dyDescent="0.25">
      <c r="A9388" s="1">
        <v>41730</v>
      </c>
      <c r="B9388" t="s">
        <v>21</v>
      </c>
      <c r="C9388" t="s">
        <v>9</v>
      </c>
      <c r="D9388">
        <v>1</v>
      </c>
      <c r="E9388" s="2">
        <v>4.7453703703703704E-4</v>
      </c>
      <c r="F9388">
        <v>0.68333333333333335</v>
      </c>
    </row>
    <row r="9389" spans="1:6" x14ac:dyDescent="0.25">
      <c r="A9389" s="1">
        <v>41730</v>
      </c>
      <c r="B9389" t="s">
        <v>21</v>
      </c>
      <c r="C9389" t="s">
        <v>10</v>
      </c>
      <c r="D9389">
        <v>6</v>
      </c>
      <c r="E9389" s="2">
        <v>1.2141203703703704E-2</v>
      </c>
      <c r="F9389">
        <v>17.483333333333334</v>
      </c>
    </row>
    <row r="9390" spans="1:6" x14ac:dyDescent="0.25">
      <c r="A9390" s="1">
        <v>41730</v>
      </c>
      <c r="B9390" t="s">
        <v>21</v>
      </c>
      <c r="C9390" t="s">
        <v>11</v>
      </c>
      <c r="D9390">
        <v>22</v>
      </c>
      <c r="E9390" s="2">
        <v>2.8703703703703703E-2</v>
      </c>
      <c r="F9390">
        <v>41.333333333333336</v>
      </c>
    </row>
    <row r="9391" spans="1:6" x14ac:dyDescent="0.25">
      <c r="A9391" s="1">
        <v>41730</v>
      </c>
      <c r="B9391" t="s">
        <v>22</v>
      </c>
      <c r="C9391" t="s">
        <v>6</v>
      </c>
      <c r="D9391">
        <v>15</v>
      </c>
      <c r="E9391" s="2">
        <v>2.2719907407407407E-2</v>
      </c>
      <c r="F9391">
        <v>32.716666666666669</v>
      </c>
    </row>
    <row r="9392" spans="1:6" x14ac:dyDescent="0.25">
      <c r="A9392" s="1">
        <v>41730</v>
      </c>
      <c r="B9392" t="s">
        <v>22</v>
      </c>
      <c r="C9392" t="s">
        <v>7</v>
      </c>
      <c r="D9392">
        <v>16</v>
      </c>
      <c r="E9392" s="2">
        <v>1.8541666666666668E-2</v>
      </c>
      <c r="F9392">
        <v>26.7</v>
      </c>
    </row>
    <row r="9393" spans="1:6" x14ac:dyDescent="0.25">
      <c r="A9393" s="1">
        <v>41730</v>
      </c>
      <c r="B9393" t="s">
        <v>22</v>
      </c>
      <c r="C9393" t="s">
        <v>8</v>
      </c>
      <c r="D9393">
        <v>12</v>
      </c>
      <c r="E9393" s="2">
        <v>1.2534722222222221E-2</v>
      </c>
      <c r="F9393">
        <v>18.05</v>
      </c>
    </row>
    <row r="9394" spans="1:6" x14ac:dyDescent="0.25">
      <c r="A9394" s="1">
        <v>41730</v>
      </c>
      <c r="B9394" t="s">
        <v>22</v>
      </c>
      <c r="C9394" t="s">
        <v>9</v>
      </c>
      <c r="D9394">
        <v>7</v>
      </c>
      <c r="E9394" s="2">
        <v>3.4953703703703705E-3</v>
      </c>
      <c r="F9394">
        <v>5.0333333333333332</v>
      </c>
    </row>
    <row r="9395" spans="1:6" x14ac:dyDescent="0.25">
      <c r="A9395" s="1">
        <v>41730</v>
      </c>
      <c r="B9395" t="s">
        <v>22</v>
      </c>
      <c r="C9395" t="s">
        <v>10</v>
      </c>
      <c r="D9395">
        <v>3</v>
      </c>
      <c r="E9395" s="2">
        <v>3.8194444444444443E-3</v>
      </c>
      <c r="F9395">
        <v>5.5</v>
      </c>
    </row>
    <row r="9396" spans="1:6" x14ac:dyDescent="0.25">
      <c r="A9396" s="1">
        <v>41730</v>
      </c>
      <c r="B9396" t="s">
        <v>22</v>
      </c>
      <c r="C9396" t="s">
        <v>11</v>
      </c>
      <c r="D9396">
        <v>13</v>
      </c>
      <c r="E9396" s="2">
        <v>1.5868055555555555E-2</v>
      </c>
      <c r="F9396">
        <v>22.85</v>
      </c>
    </row>
    <row r="9397" spans="1:6" x14ac:dyDescent="0.25">
      <c r="A9397" s="1">
        <v>41730</v>
      </c>
      <c r="B9397" t="s">
        <v>23</v>
      </c>
      <c r="C9397" t="s">
        <v>6</v>
      </c>
      <c r="D9397">
        <v>99</v>
      </c>
      <c r="E9397" s="2">
        <v>0.11885416666666666</v>
      </c>
      <c r="F9397">
        <v>171.15</v>
      </c>
    </row>
    <row r="9398" spans="1:6" x14ac:dyDescent="0.25">
      <c r="A9398" s="1">
        <v>41730</v>
      </c>
      <c r="B9398" t="s">
        <v>23</v>
      </c>
      <c r="C9398" t="s">
        <v>7</v>
      </c>
      <c r="D9398">
        <v>130</v>
      </c>
      <c r="E9398" s="2">
        <v>0.17144675925925926</v>
      </c>
      <c r="F9398">
        <v>246.88333333333333</v>
      </c>
    </row>
    <row r="9399" spans="1:6" x14ac:dyDescent="0.25">
      <c r="A9399" s="1">
        <v>41730</v>
      </c>
      <c r="B9399" t="s">
        <v>23</v>
      </c>
      <c r="C9399" t="s">
        <v>8</v>
      </c>
      <c r="D9399">
        <v>81</v>
      </c>
      <c r="E9399" s="2">
        <v>9.6539351851851848E-2</v>
      </c>
      <c r="F9399">
        <v>139.01666666666668</v>
      </c>
    </row>
    <row r="9400" spans="1:6" x14ac:dyDescent="0.25">
      <c r="A9400" s="1">
        <v>41730</v>
      </c>
      <c r="B9400" t="s">
        <v>23</v>
      </c>
      <c r="C9400" t="s">
        <v>9</v>
      </c>
      <c r="D9400">
        <v>47</v>
      </c>
      <c r="E9400" s="2">
        <v>3.0023148148148149E-2</v>
      </c>
      <c r="F9400">
        <v>43.233333333333334</v>
      </c>
    </row>
    <row r="9401" spans="1:6" x14ac:dyDescent="0.25">
      <c r="A9401" s="1">
        <v>41730</v>
      </c>
      <c r="B9401" t="s">
        <v>23</v>
      </c>
      <c r="C9401" t="s">
        <v>10</v>
      </c>
      <c r="D9401">
        <v>35</v>
      </c>
      <c r="E9401" s="2">
        <v>5.5613425925925927E-2</v>
      </c>
      <c r="F9401">
        <v>80.083333333333329</v>
      </c>
    </row>
    <row r="9402" spans="1:6" x14ac:dyDescent="0.25">
      <c r="A9402" s="1">
        <v>41730</v>
      </c>
      <c r="B9402" t="s">
        <v>23</v>
      </c>
      <c r="C9402" t="s">
        <v>11</v>
      </c>
      <c r="D9402">
        <v>104</v>
      </c>
      <c r="E9402" s="2">
        <v>0.1059375</v>
      </c>
      <c r="F9402">
        <v>152.55000000000001</v>
      </c>
    </row>
    <row r="9403" spans="1:6" x14ac:dyDescent="0.25">
      <c r="A9403" s="1">
        <v>41730</v>
      </c>
      <c r="B9403" t="s">
        <v>24</v>
      </c>
      <c r="C9403" t="s">
        <v>6</v>
      </c>
      <c r="D9403">
        <v>46</v>
      </c>
      <c r="E9403" s="2">
        <v>5.4571759259259257E-2</v>
      </c>
      <c r="F9403">
        <v>78.583333333333329</v>
      </c>
    </row>
    <row r="9404" spans="1:6" x14ac:dyDescent="0.25">
      <c r="A9404" s="1">
        <v>41730</v>
      </c>
      <c r="B9404" t="s">
        <v>24</v>
      </c>
      <c r="C9404" t="s">
        <v>7</v>
      </c>
      <c r="D9404">
        <v>40</v>
      </c>
      <c r="E9404" s="2">
        <v>3.0844907407407408E-2</v>
      </c>
      <c r="F9404">
        <v>44.416666666666664</v>
      </c>
    </row>
    <row r="9405" spans="1:6" x14ac:dyDescent="0.25">
      <c r="A9405" s="1">
        <v>41730</v>
      </c>
      <c r="B9405" t="s">
        <v>24</v>
      </c>
      <c r="C9405" t="s">
        <v>8</v>
      </c>
      <c r="D9405">
        <v>31</v>
      </c>
      <c r="E9405" s="2">
        <v>2.0370370370370372E-2</v>
      </c>
      <c r="F9405">
        <v>29.333333333333332</v>
      </c>
    </row>
    <row r="9406" spans="1:6" x14ac:dyDescent="0.25">
      <c r="A9406" s="1">
        <v>41730</v>
      </c>
      <c r="B9406" t="s">
        <v>24</v>
      </c>
      <c r="C9406" t="s">
        <v>9</v>
      </c>
      <c r="D9406">
        <v>39</v>
      </c>
      <c r="E9406" s="2">
        <v>2.2615740740740742E-2</v>
      </c>
      <c r="F9406">
        <v>32.56666666666667</v>
      </c>
    </row>
    <row r="9407" spans="1:6" x14ac:dyDescent="0.25">
      <c r="A9407" s="1">
        <v>41730</v>
      </c>
      <c r="B9407" t="s">
        <v>24</v>
      </c>
      <c r="C9407" t="s">
        <v>10</v>
      </c>
      <c r="D9407">
        <v>0</v>
      </c>
      <c r="E9407" s="2">
        <v>0</v>
      </c>
      <c r="F9407">
        <v>0</v>
      </c>
    </row>
    <row r="9408" spans="1:6" x14ac:dyDescent="0.25">
      <c r="A9408" s="1">
        <v>41730</v>
      </c>
      <c r="B9408" t="s">
        <v>24</v>
      </c>
      <c r="C9408" t="s">
        <v>11</v>
      </c>
      <c r="D9408">
        <v>24</v>
      </c>
      <c r="E9408" s="2">
        <v>1.337962962962963E-2</v>
      </c>
      <c r="F9408">
        <v>19.266666666666666</v>
      </c>
    </row>
    <row r="9409" spans="1:6" x14ac:dyDescent="0.25">
      <c r="A9409" s="1">
        <v>41760</v>
      </c>
      <c r="B9409" t="s">
        <v>5</v>
      </c>
      <c r="C9409" t="s">
        <v>6</v>
      </c>
      <c r="D9409">
        <v>25</v>
      </c>
      <c r="E9409" s="2">
        <v>2.3206018518518518E-2</v>
      </c>
      <c r="F9409">
        <v>33.416666666666664</v>
      </c>
    </row>
    <row r="9410" spans="1:6" x14ac:dyDescent="0.25">
      <c r="A9410" s="1">
        <v>41760</v>
      </c>
      <c r="B9410" t="s">
        <v>5</v>
      </c>
      <c r="C9410" t="s">
        <v>7</v>
      </c>
      <c r="D9410">
        <v>32</v>
      </c>
      <c r="E9410" s="2">
        <v>2.6111111111111113E-2</v>
      </c>
      <c r="F9410">
        <v>37.6</v>
      </c>
    </row>
    <row r="9411" spans="1:6" x14ac:dyDescent="0.25">
      <c r="A9411" s="1">
        <v>41760</v>
      </c>
      <c r="B9411" t="s">
        <v>5</v>
      </c>
      <c r="C9411" t="s">
        <v>8</v>
      </c>
      <c r="D9411">
        <v>22</v>
      </c>
      <c r="E9411" s="2">
        <v>1.8090277777777778E-2</v>
      </c>
      <c r="F9411">
        <v>26.05</v>
      </c>
    </row>
    <row r="9412" spans="1:6" x14ac:dyDescent="0.25">
      <c r="A9412" s="1">
        <v>41760</v>
      </c>
      <c r="B9412" t="s">
        <v>5</v>
      </c>
      <c r="C9412" t="s">
        <v>9</v>
      </c>
      <c r="D9412">
        <v>10</v>
      </c>
      <c r="E9412" s="2">
        <v>4.9884259259259257E-3</v>
      </c>
      <c r="F9412">
        <v>7.1833333333333336</v>
      </c>
    </row>
    <row r="9413" spans="1:6" x14ac:dyDescent="0.25">
      <c r="A9413" s="1">
        <v>41760</v>
      </c>
      <c r="B9413" t="s">
        <v>5</v>
      </c>
      <c r="C9413" t="s">
        <v>10</v>
      </c>
      <c r="D9413">
        <v>10</v>
      </c>
      <c r="E9413" s="2">
        <v>8.86574074074074E-3</v>
      </c>
      <c r="F9413">
        <v>12.766666666666667</v>
      </c>
    </row>
    <row r="9414" spans="1:6" x14ac:dyDescent="0.25">
      <c r="A9414" s="1">
        <v>41760</v>
      </c>
      <c r="B9414" t="s">
        <v>5</v>
      </c>
      <c r="C9414" t="s">
        <v>11</v>
      </c>
      <c r="D9414">
        <v>31</v>
      </c>
      <c r="E9414" s="2">
        <v>2.2604166666666668E-2</v>
      </c>
      <c r="F9414">
        <v>32.549999999999997</v>
      </c>
    </row>
    <row r="9415" spans="1:6" x14ac:dyDescent="0.25">
      <c r="A9415" s="1">
        <v>41760</v>
      </c>
      <c r="B9415" t="s">
        <v>12</v>
      </c>
      <c r="C9415" t="s">
        <v>6</v>
      </c>
      <c r="D9415">
        <v>60</v>
      </c>
      <c r="E9415" s="2">
        <v>8.3344907407407409E-2</v>
      </c>
      <c r="F9415">
        <v>120.01666666666667</v>
      </c>
    </row>
    <row r="9416" spans="1:6" x14ac:dyDescent="0.25">
      <c r="A9416" s="1">
        <v>41760</v>
      </c>
      <c r="B9416" t="s">
        <v>12</v>
      </c>
      <c r="C9416" t="s">
        <v>7</v>
      </c>
      <c r="D9416">
        <v>33</v>
      </c>
      <c r="E9416" s="2">
        <v>4.3124999999999997E-2</v>
      </c>
      <c r="F9416">
        <v>62.1</v>
      </c>
    </row>
    <row r="9417" spans="1:6" x14ac:dyDescent="0.25">
      <c r="A9417" s="1">
        <v>41760</v>
      </c>
      <c r="B9417" t="s">
        <v>12</v>
      </c>
      <c r="C9417" t="s">
        <v>8</v>
      </c>
      <c r="D9417">
        <v>29</v>
      </c>
      <c r="E9417" s="2">
        <v>3.6782407407407409E-2</v>
      </c>
      <c r="F9417">
        <v>52.966666666666669</v>
      </c>
    </row>
    <row r="9418" spans="1:6" x14ac:dyDescent="0.25">
      <c r="A9418" s="1">
        <v>41760</v>
      </c>
      <c r="B9418" t="s">
        <v>12</v>
      </c>
      <c r="C9418" t="s">
        <v>9</v>
      </c>
      <c r="D9418">
        <v>21</v>
      </c>
      <c r="E9418" s="2">
        <v>1.6944444444444446E-2</v>
      </c>
      <c r="F9418">
        <v>24.4</v>
      </c>
    </row>
    <row r="9419" spans="1:6" x14ac:dyDescent="0.25">
      <c r="A9419" s="1">
        <v>41760</v>
      </c>
      <c r="B9419" t="s">
        <v>12</v>
      </c>
      <c r="C9419" t="s">
        <v>10</v>
      </c>
      <c r="D9419">
        <v>23</v>
      </c>
      <c r="E9419" s="2">
        <v>4.2488425925925923E-2</v>
      </c>
      <c r="F9419">
        <v>61.18333333333333</v>
      </c>
    </row>
    <row r="9420" spans="1:6" x14ac:dyDescent="0.25">
      <c r="A9420" s="1">
        <v>41760</v>
      </c>
      <c r="B9420" t="s">
        <v>12</v>
      </c>
      <c r="C9420" t="s">
        <v>11</v>
      </c>
      <c r="D9420">
        <v>46</v>
      </c>
      <c r="E9420" s="2">
        <v>4.5706018518518521E-2</v>
      </c>
      <c r="F9420">
        <v>65.816666666666663</v>
      </c>
    </row>
    <row r="9421" spans="1:6" x14ac:dyDescent="0.25">
      <c r="A9421" s="1">
        <v>41760</v>
      </c>
      <c r="B9421" t="s">
        <v>13</v>
      </c>
      <c r="C9421" t="s">
        <v>6</v>
      </c>
      <c r="D9421">
        <v>42</v>
      </c>
      <c r="E9421" s="2">
        <v>5.6203703703703707E-2</v>
      </c>
      <c r="F9421">
        <v>80.933333333333337</v>
      </c>
    </row>
    <row r="9422" spans="1:6" x14ac:dyDescent="0.25">
      <c r="A9422" s="1">
        <v>41760</v>
      </c>
      <c r="B9422" t="s">
        <v>13</v>
      </c>
      <c r="C9422" t="s">
        <v>7</v>
      </c>
      <c r="D9422">
        <v>82</v>
      </c>
      <c r="E9422" s="2">
        <v>0.11974537037037038</v>
      </c>
      <c r="F9422">
        <v>172.43333333333334</v>
      </c>
    </row>
    <row r="9423" spans="1:6" x14ac:dyDescent="0.25">
      <c r="A9423" s="1">
        <v>41760</v>
      </c>
      <c r="B9423" t="s">
        <v>13</v>
      </c>
      <c r="C9423" t="s">
        <v>8</v>
      </c>
      <c r="D9423">
        <v>43</v>
      </c>
      <c r="E9423" s="2">
        <v>5.513888888888889E-2</v>
      </c>
      <c r="F9423">
        <v>79.400000000000006</v>
      </c>
    </row>
    <row r="9424" spans="1:6" x14ac:dyDescent="0.25">
      <c r="A9424" s="1">
        <v>41760</v>
      </c>
      <c r="B9424" t="s">
        <v>13</v>
      </c>
      <c r="C9424" t="s">
        <v>9</v>
      </c>
      <c r="D9424">
        <v>31</v>
      </c>
      <c r="E9424" s="2">
        <v>2.1724537037037039E-2</v>
      </c>
      <c r="F9424">
        <v>31.283333333333335</v>
      </c>
    </row>
    <row r="9425" spans="1:6" x14ac:dyDescent="0.25">
      <c r="A9425" s="1">
        <v>41760</v>
      </c>
      <c r="B9425" t="s">
        <v>13</v>
      </c>
      <c r="C9425" t="s">
        <v>10</v>
      </c>
      <c r="D9425">
        <v>7</v>
      </c>
      <c r="E9425" s="2">
        <v>1.1157407407407408E-2</v>
      </c>
      <c r="F9425">
        <v>16.066666666666666</v>
      </c>
    </row>
    <row r="9426" spans="1:6" x14ac:dyDescent="0.25">
      <c r="A9426" s="1">
        <v>41760</v>
      </c>
      <c r="B9426" t="s">
        <v>13</v>
      </c>
      <c r="C9426" t="s">
        <v>11</v>
      </c>
      <c r="D9426">
        <v>32</v>
      </c>
      <c r="E9426" s="2">
        <v>3.8831018518518522E-2</v>
      </c>
      <c r="F9426">
        <v>55.916666666666664</v>
      </c>
    </row>
    <row r="9427" spans="1:6" x14ac:dyDescent="0.25">
      <c r="A9427" s="1">
        <v>41760</v>
      </c>
      <c r="B9427" t="s">
        <v>14</v>
      </c>
      <c r="C9427" t="s">
        <v>6</v>
      </c>
      <c r="D9427">
        <v>16</v>
      </c>
      <c r="E9427" s="2">
        <v>2.3113425925925926E-2</v>
      </c>
      <c r="F9427">
        <v>33.283333333333331</v>
      </c>
    </row>
    <row r="9428" spans="1:6" x14ac:dyDescent="0.25">
      <c r="A9428" s="1">
        <v>41760</v>
      </c>
      <c r="B9428" t="s">
        <v>14</v>
      </c>
      <c r="C9428" t="s">
        <v>7</v>
      </c>
      <c r="D9428">
        <v>9</v>
      </c>
      <c r="E9428" s="2">
        <v>1.6967592592592593E-2</v>
      </c>
      <c r="F9428">
        <v>24.433333333333334</v>
      </c>
    </row>
    <row r="9429" spans="1:6" x14ac:dyDescent="0.25">
      <c r="A9429" s="1">
        <v>41760</v>
      </c>
      <c r="B9429" t="s">
        <v>14</v>
      </c>
      <c r="C9429" t="s">
        <v>8</v>
      </c>
      <c r="D9429">
        <v>6</v>
      </c>
      <c r="E9429" s="2">
        <v>7.3611111111111108E-3</v>
      </c>
      <c r="F9429">
        <v>10.6</v>
      </c>
    </row>
    <row r="9430" spans="1:6" x14ac:dyDescent="0.25">
      <c r="A9430" s="1">
        <v>41760</v>
      </c>
      <c r="B9430" t="s">
        <v>14</v>
      </c>
      <c r="C9430" t="s">
        <v>9</v>
      </c>
      <c r="D9430">
        <v>1</v>
      </c>
      <c r="E9430" s="2">
        <v>1.0416666666666667E-4</v>
      </c>
      <c r="F9430">
        <v>0.15</v>
      </c>
    </row>
    <row r="9431" spans="1:6" x14ac:dyDescent="0.25">
      <c r="A9431" s="1">
        <v>41760</v>
      </c>
      <c r="B9431" t="s">
        <v>14</v>
      </c>
      <c r="C9431" t="s">
        <v>10</v>
      </c>
      <c r="D9431">
        <v>0</v>
      </c>
      <c r="E9431" s="2">
        <v>0</v>
      </c>
      <c r="F9431">
        <v>0</v>
      </c>
    </row>
    <row r="9432" spans="1:6" x14ac:dyDescent="0.25">
      <c r="A9432" s="1">
        <v>41760</v>
      </c>
      <c r="B9432" t="s">
        <v>14</v>
      </c>
      <c r="C9432" t="s">
        <v>11</v>
      </c>
      <c r="D9432">
        <v>6</v>
      </c>
      <c r="E9432" s="2">
        <v>5.4629629629629629E-3</v>
      </c>
      <c r="F9432">
        <v>7.8666666666666671</v>
      </c>
    </row>
    <row r="9433" spans="1:6" x14ac:dyDescent="0.25">
      <c r="A9433" s="1">
        <v>41760</v>
      </c>
      <c r="B9433" t="s">
        <v>15</v>
      </c>
      <c r="C9433" t="s">
        <v>6</v>
      </c>
      <c r="D9433">
        <v>20</v>
      </c>
      <c r="E9433" s="2">
        <v>2.7708333333333335E-2</v>
      </c>
      <c r="F9433">
        <v>39.9</v>
      </c>
    </row>
    <row r="9434" spans="1:6" x14ac:dyDescent="0.25">
      <c r="A9434" s="1">
        <v>41760</v>
      </c>
      <c r="B9434" t="s">
        <v>15</v>
      </c>
      <c r="C9434" t="s">
        <v>7</v>
      </c>
      <c r="D9434">
        <v>23</v>
      </c>
      <c r="E9434" s="2">
        <v>3.005787037037037E-2</v>
      </c>
      <c r="F9434">
        <v>43.283333333333331</v>
      </c>
    </row>
    <row r="9435" spans="1:6" x14ac:dyDescent="0.25">
      <c r="A9435" s="1">
        <v>41760</v>
      </c>
      <c r="B9435" t="s">
        <v>15</v>
      </c>
      <c r="C9435" t="s">
        <v>8</v>
      </c>
      <c r="D9435">
        <v>9</v>
      </c>
      <c r="E9435" s="2">
        <v>1.0011574074074074E-2</v>
      </c>
      <c r="F9435">
        <v>14.416666666666666</v>
      </c>
    </row>
    <row r="9436" spans="1:6" x14ac:dyDescent="0.25">
      <c r="A9436" s="1">
        <v>41760</v>
      </c>
      <c r="B9436" t="s">
        <v>15</v>
      </c>
      <c r="C9436" t="s">
        <v>9</v>
      </c>
      <c r="D9436">
        <v>5</v>
      </c>
      <c r="E9436" s="2">
        <v>2.3611111111111111E-3</v>
      </c>
      <c r="F9436">
        <v>3.4</v>
      </c>
    </row>
    <row r="9437" spans="1:6" x14ac:dyDescent="0.25">
      <c r="A9437" s="1">
        <v>41760</v>
      </c>
      <c r="B9437" t="s">
        <v>15</v>
      </c>
      <c r="C9437" t="s">
        <v>10</v>
      </c>
      <c r="D9437">
        <v>2</v>
      </c>
      <c r="E9437" s="2">
        <v>3.1134259259259257E-3</v>
      </c>
      <c r="F9437">
        <v>4.4833333333333334</v>
      </c>
    </row>
    <row r="9438" spans="1:6" x14ac:dyDescent="0.25">
      <c r="A9438" s="1">
        <v>41760</v>
      </c>
      <c r="B9438" t="s">
        <v>15</v>
      </c>
      <c r="C9438" t="s">
        <v>11</v>
      </c>
      <c r="D9438">
        <v>5</v>
      </c>
      <c r="E9438" s="2">
        <v>3.449074074074074E-3</v>
      </c>
      <c r="F9438">
        <v>4.9666666666666668</v>
      </c>
    </row>
    <row r="9439" spans="1:6" x14ac:dyDescent="0.25">
      <c r="A9439" s="1">
        <v>41760</v>
      </c>
      <c r="B9439" t="s">
        <v>16</v>
      </c>
      <c r="C9439" t="s">
        <v>6</v>
      </c>
      <c r="D9439">
        <v>23</v>
      </c>
      <c r="E9439" s="2">
        <v>1.7106481481481483E-2</v>
      </c>
      <c r="F9439">
        <v>24.633333333333333</v>
      </c>
    </row>
    <row r="9440" spans="1:6" x14ac:dyDescent="0.25">
      <c r="A9440" s="1">
        <v>41760</v>
      </c>
      <c r="B9440" t="s">
        <v>16</v>
      </c>
      <c r="C9440" t="s">
        <v>7</v>
      </c>
      <c r="D9440">
        <v>29</v>
      </c>
      <c r="E9440" s="2">
        <v>2.5729166666666668E-2</v>
      </c>
      <c r="F9440">
        <v>37.049999999999997</v>
      </c>
    </row>
    <row r="9441" spans="1:6" x14ac:dyDescent="0.25">
      <c r="A9441" s="1">
        <v>41760</v>
      </c>
      <c r="B9441" t="s">
        <v>16</v>
      </c>
      <c r="C9441" t="s">
        <v>8</v>
      </c>
      <c r="D9441">
        <v>30</v>
      </c>
      <c r="E9441" s="2">
        <v>2.2731481481481481E-2</v>
      </c>
      <c r="F9441">
        <v>32.733333333333334</v>
      </c>
    </row>
    <row r="9442" spans="1:6" x14ac:dyDescent="0.25">
      <c r="A9442" s="1">
        <v>41760</v>
      </c>
      <c r="B9442" t="s">
        <v>16</v>
      </c>
      <c r="C9442" t="s">
        <v>9</v>
      </c>
      <c r="D9442">
        <v>7</v>
      </c>
      <c r="E9442" s="2">
        <v>5.8564814814814816E-3</v>
      </c>
      <c r="F9442">
        <v>8.4333333333333336</v>
      </c>
    </row>
    <row r="9443" spans="1:6" x14ac:dyDescent="0.25">
      <c r="A9443" s="1">
        <v>41760</v>
      </c>
      <c r="B9443" t="s">
        <v>16</v>
      </c>
      <c r="C9443" t="s">
        <v>10</v>
      </c>
      <c r="D9443">
        <v>0</v>
      </c>
      <c r="E9443" s="2">
        <v>0</v>
      </c>
      <c r="F9443">
        <v>0</v>
      </c>
    </row>
    <row r="9444" spans="1:6" x14ac:dyDescent="0.25">
      <c r="A9444" s="1">
        <v>41760</v>
      </c>
      <c r="B9444" t="s">
        <v>16</v>
      </c>
      <c r="C9444" t="s">
        <v>11</v>
      </c>
      <c r="D9444">
        <v>43</v>
      </c>
      <c r="E9444" s="2">
        <v>3.6898148148148145E-2</v>
      </c>
      <c r="F9444">
        <v>53.133333333333333</v>
      </c>
    </row>
    <row r="9445" spans="1:6" x14ac:dyDescent="0.25">
      <c r="A9445" s="1">
        <v>41760</v>
      </c>
      <c r="B9445" t="s">
        <v>17</v>
      </c>
      <c r="C9445" t="s">
        <v>6</v>
      </c>
      <c r="D9445">
        <v>18</v>
      </c>
      <c r="E9445" s="2">
        <v>1.9201388888888889E-2</v>
      </c>
      <c r="F9445">
        <v>27.65</v>
      </c>
    </row>
    <row r="9446" spans="1:6" x14ac:dyDescent="0.25">
      <c r="A9446" s="1">
        <v>41760</v>
      </c>
      <c r="B9446" t="s">
        <v>17</v>
      </c>
      <c r="C9446" t="s">
        <v>7</v>
      </c>
      <c r="D9446">
        <v>24</v>
      </c>
      <c r="E9446" s="2">
        <v>3.0405092592592591E-2</v>
      </c>
      <c r="F9446">
        <v>43.783333333333331</v>
      </c>
    </row>
    <row r="9447" spans="1:6" x14ac:dyDescent="0.25">
      <c r="A9447" s="1">
        <v>41760</v>
      </c>
      <c r="B9447" t="s">
        <v>17</v>
      </c>
      <c r="C9447" t="s">
        <v>8</v>
      </c>
      <c r="D9447">
        <v>19</v>
      </c>
      <c r="E9447" s="2">
        <v>2.0405092592592593E-2</v>
      </c>
      <c r="F9447">
        <v>29.383333333333333</v>
      </c>
    </row>
    <row r="9448" spans="1:6" x14ac:dyDescent="0.25">
      <c r="A9448" s="1">
        <v>41760</v>
      </c>
      <c r="B9448" t="s">
        <v>17</v>
      </c>
      <c r="C9448" t="s">
        <v>9</v>
      </c>
      <c r="D9448">
        <v>6</v>
      </c>
      <c r="E9448" s="2">
        <v>3.8310185185185183E-3</v>
      </c>
      <c r="F9448">
        <v>5.5166666666666666</v>
      </c>
    </row>
    <row r="9449" spans="1:6" x14ac:dyDescent="0.25">
      <c r="A9449" s="1">
        <v>41760</v>
      </c>
      <c r="B9449" t="s">
        <v>17</v>
      </c>
      <c r="C9449" t="s">
        <v>10</v>
      </c>
      <c r="D9449">
        <v>9</v>
      </c>
      <c r="E9449" s="2">
        <v>9.6412037037037039E-3</v>
      </c>
      <c r="F9449">
        <v>13.883333333333333</v>
      </c>
    </row>
    <row r="9450" spans="1:6" x14ac:dyDescent="0.25">
      <c r="A9450" s="1">
        <v>41760</v>
      </c>
      <c r="B9450" t="s">
        <v>17</v>
      </c>
      <c r="C9450" t="s">
        <v>11</v>
      </c>
      <c r="D9450">
        <v>6</v>
      </c>
      <c r="E9450" s="2">
        <v>5.7986111111111112E-3</v>
      </c>
      <c r="F9450">
        <v>8.35</v>
      </c>
    </row>
    <row r="9451" spans="1:6" x14ac:dyDescent="0.25">
      <c r="A9451" s="1">
        <v>41760</v>
      </c>
      <c r="B9451" t="s">
        <v>18</v>
      </c>
      <c r="C9451" t="s">
        <v>6</v>
      </c>
      <c r="D9451">
        <v>114</v>
      </c>
      <c r="E9451" s="2">
        <v>0.12238425925925926</v>
      </c>
      <c r="F9451">
        <v>176.23333333333332</v>
      </c>
    </row>
    <row r="9452" spans="1:6" x14ac:dyDescent="0.25">
      <c r="A9452" s="1">
        <v>41760</v>
      </c>
      <c r="B9452" t="s">
        <v>18</v>
      </c>
      <c r="C9452" t="s">
        <v>7</v>
      </c>
      <c r="D9452">
        <v>155</v>
      </c>
      <c r="E9452" s="2">
        <v>0.13556712962962963</v>
      </c>
      <c r="F9452">
        <v>195.21666666666667</v>
      </c>
    </row>
    <row r="9453" spans="1:6" x14ac:dyDescent="0.25">
      <c r="A9453" s="1">
        <v>41760</v>
      </c>
      <c r="B9453" t="s">
        <v>18</v>
      </c>
      <c r="C9453" t="s">
        <v>8</v>
      </c>
      <c r="D9453">
        <v>79</v>
      </c>
      <c r="E9453" s="2">
        <v>9.0833333333333335E-2</v>
      </c>
      <c r="F9453">
        <v>130.80000000000001</v>
      </c>
    </row>
    <row r="9454" spans="1:6" x14ac:dyDescent="0.25">
      <c r="A9454" s="1">
        <v>41760</v>
      </c>
      <c r="B9454" t="s">
        <v>18</v>
      </c>
      <c r="C9454" t="s">
        <v>9</v>
      </c>
      <c r="D9454">
        <v>77</v>
      </c>
      <c r="E9454" s="2">
        <v>5.1747685185185188E-2</v>
      </c>
      <c r="F9454">
        <v>74.516666666666666</v>
      </c>
    </row>
    <row r="9455" spans="1:6" x14ac:dyDescent="0.25">
      <c r="A9455" s="1">
        <v>41760</v>
      </c>
      <c r="B9455" t="s">
        <v>18</v>
      </c>
      <c r="C9455" t="s">
        <v>10</v>
      </c>
      <c r="D9455">
        <v>138</v>
      </c>
      <c r="E9455" s="2">
        <v>0.18869212962962964</v>
      </c>
      <c r="F9455">
        <v>271.71666666666664</v>
      </c>
    </row>
    <row r="9456" spans="1:6" x14ac:dyDescent="0.25">
      <c r="A9456" s="1">
        <v>41760</v>
      </c>
      <c r="B9456" t="s">
        <v>18</v>
      </c>
      <c r="C9456" t="s">
        <v>11</v>
      </c>
      <c r="D9456">
        <v>88</v>
      </c>
      <c r="E9456" s="2">
        <v>7.6863425925925932E-2</v>
      </c>
      <c r="F9456">
        <v>110.68333333333334</v>
      </c>
    </row>
    <row r="9457" spans="1:6" x14ac:dyDescent="0.25">
      <c r="A9457" s="1">
        <v>41760</v>
      </c>
      <c r="B9457" t="s">
        <v>19</v>
      </c>
      <c r="C9457" t="s">
        <v>6</v>
      </c>
      <c r="D9457">
        <v>28</v>
      </c>
      <c r="E9457" s="2">
        <v>3.2638888888888891E-2</v>
      </c>
      <c r="F9457">
        <v>47</v>
      </c>
    </row>
    <row r="9458" spans="1:6" x14ac:dyDescent="0.25">
      <c r="A9458" s="1">
        <v>41760</v>
      </c>
      <c r="B9458" t="s">
        <v>19</v>
      </c>
      <c r="C9458" t="s">
        <v>7</v>
      </c>
      <c r="D9458">
        <v>36</v>
      </c>
      <c r="E9458" s="2">
        <v>3.8043981481481484E-2</v>
      </c>
      <c r="F9458">
        <v>54.783333333333331</v>
      </c>
    </row>
    <row r="9459" spans="1:6" x14ac:dyDescent="0.25">
      <c r="A9459" s="1">
        <v>41760</v>
      </c>
      <c r="B9459" t="s">
        <v>19</v>
      </c>
      <c r="C9459" t="s">
        <v>8</v>
      </c>
      <c r="D9459">
        <v>36</v>
      </c>
      <c r="E9459" s="2">
        <v>3.4409722222222223E-2</v>
      </c>
      <c r="F9459">
        <v>49.55</v>
      </c>
    </row>
    <row r="9460" spans="1:6" x14ac:dyDescent="0.25">
      <c r="A9460" s="1">
        <v>41760</v>
      </c>
      <c r="B9460" t="s">
        <v>19</v>
      </c>
      <c r="C9460" t="s">
        <v>9</v>
      </c>
      <c r="D9460">
        <v>21</v>
      </c>
      <c r="E9460" s="2">
        <v>1.5231481481481481E-2</v>
      </c>
      <c r="F9460">
        <v>21.933333333333334</v>
      </c>
    </row>
    <row r="9461" spans="1:6" x14ac:dyDescent="0.25">
      <c r="A9461" s="1">
        <v>41760</v>
      </c>
      <c r="B9461" t="s">
        <v>19</v>
      </c>
      <c r="C9461" t="s">
        <v>10</v>
      </c>
      <c r="D9461">
        <v>7</v>
      </c>
      <c r="E9461" s="2">
        <v>9.0972222222222218E-3</v>
      </c>
      <c r="F9461">
        <v>13.1</v>
      </c>
    </row>
    <row r="9462" spans="1:6" x14ac:dyDescent="0.25">
      <c r="A9462" s="1">
        <v>41760</v>
      </c>
      <c r="B9462" t="s">
        <v>19</v>
      </c>
      <c r="C9462" t="s">
        <v>11</v>
      </c>
      <c r="D9462">
        <v>34</v>
      </c>
      <c r="E9462" s="2">
        <v>3.2361111111111111E-2</v>
      </c>
      <c r="F9462">
        <v>46.6</v>
      </c>
    </row>
    <row r="9463" spans="1:6" x14ac:dyDescent="0.25">
      <c r="A9463" s="1">
        <v>41760</v>
      </c>
      <c r="B9463" t="s">
        <v>20</v>
      </c>
      <c r="C9463" t="s">
        <v>6</v>
      </c>
      <c r="D9463">
        <v>23</v>
      </c>
      <c r="E9463" s="2">
        <v>2.3472222222222221E-2</v>
      </c>
      <c r="F9463">
        <v>33.799999999999997</v>
      </c>
    </row>
    <row r="9464" spans="1:6" x14ac:dyDescent="0.25">
      <c r="A9464" s="1">
        <v>41760</v>
      </c>
      <c r="B9464" t="s">
        <v>20</v>
      </c>
      <c r="C9464" t="s">
        <v>7</v>
      </c>
      <c r="D9464">
        <v>38</v>
      </c>
      <c r="E9464" s="2">
        <v>4.8784722222222222E-2</v>
      </c>
      <c r="F9464">
        <v>70.25</v>
      </c>
    </row>
    <row r="9465" spans="1:6" x14ac:dyDescent="0.25">
      <c r="A9465" s="1">
        <v>41760</v>
      </c>
      <c r="B9465" t="s">
        <v>20</v>
      </c>
      <c r="C9465" t="s">
        <v>8</v>
      </c>
      <c r="D9465">
        <v>34</v>
      </c>
      <c r="E9465" s="2">
        <v>3.0381944444444444E-2</v>
      </c>
      <c r="F9465">
        <v>43.75</v>
      </c>
    </row>
    <row r="9466" spans="1:6" x14ac:dyDescent="0.25">
      <c r="A9466" s="1">
        <v>41760</v>
      </c>
      <c r="B9466" t="s">
        <v>20</v>
      </c>
      <c r="C9466" t="s">
        <v>9</v>
      </c>
      <c r="D9466">
        <v>15</v>
      </c>
      <c r="E9466" s="2">
        <v>6.6550925925925927E-3</v>
      </c>
      <c r="F9466">
        <v>9.5833333333333339</v>
      </c>
    </row>
    <row r="9467" spans="1:6" x14ac:dyDescent="0.25">
      <c r="A9467" s="1">
        <v>41760</v>
      </c>
      <c r="B9467" t="s">
        <v>20</v>
      </c>
      <c r="C9467" t="s">
        <v>10</v>
      </c>
      <c r="D9467">
        <v>8</v>
      </c>
      <c r="E9467" s="2">
        <v>9.5601851851851855E-3</v>
      </c>
      <c r="F9467">
        <v>13.766666666666667</v>
      </c>
    </row>
    <row r="9468" spans="1:6" x14ac:dyDescent="0.25">
      <c r="A9468" s="1">
        <v>41760</v>
      </c>
      <c r="B9468" t="s">
        <v>20</v>
      </c>
      <c r="C9468" t="s">
        <v>11</v>
      </c>
      <c r="D9468">
        <v>22</v>
      </c>
      <c r="E9468" s="2">
        <v>2.013888888888889E-2</v>
      </c>
      <c r="F9468">
        <v>29</v>
      </c>
    </row>
    <row r="9469" spans="1:6" x14ac:dyDescent="0.25">
      <c r="A9469" s="1">
        <v>41760</v>
      </c>
      <c r="B9469" t="s">
        <v>21</v>
      </c>
      <c r="C9469" t="s">
        <v>6</v>
      </c>
      <c r="D9469">
        <v>15</v>
      </c>
      <c r="E9469" s="2">
        <v>1.9432870370370371E-2</v>
      </c>
      <c r="F9469">
        <v>27.983333333333334</v>
      </c>
    </row>
    <row r="9470" spans="1:6" x14ac:dyDescent="0.25">
      <c r="A9470" s="1">
        <v>41760</v>
      </c>
      <c r="B9470" t="s">
        <v>21</v>
      </c>
      <c r="C9470" t="s">
        <v>7</v>
      </c>
      <c r="D9470">
        <v>9</v>
      </c>
      <c r="E9470" s="2">
        <v>1.1435185185185185E-2</v>
      </c>
      <c r="F9470">
        <v>16.466666666666665</v>
      </c>
    </row>
    <row r="9471" spans="1:6" x14ac:dyDescent="0.25">
      <c r="A9471" s="1">
        <v>41760</v>
      </c>
      <c r="B9471" t="s">
        <v>21</v>
      </c>
      <c r="C9471" t="s">
        <v>8</v>
      </c>
      <c r="D9471">
        <v>16</v>
      </c>
      <c r="E9471" s="2">
        <v>2.2442129629629631E-2</v>
      </c>
      <c r="F9471">
        <v>32.31666666666667</v>
      </c>
    </row>
    <row r="9472" spans="1:6" x14ac:dyDescent="0.25">
      <c r="A9472" s="1">
        <v>41760</v>
      </c>
      <c r="B9472" t="s">
        <v>21</v>
      </c>
      <c r="C9472" t="s">
        <v>9</v>
      </c>
      <c r="D9472">
        <v>7</v>
      </c>
      <c r="E9472" s="2">
        <v>3.5995370370370369E-3</v>
      </c>
      <c r="F9472">
        <v>5.1833333333333336</v>
      </c>
    </row>
    <row r="9473" spans="1:6" x14ac:dyDescent="0.25">
      <c r="A9473" s="1">
        <v>41760</v>
      </c>
      <c r="B9473" t="s">
        <v>21</v>
      </c>
      <c r="C9473" t="s">
        <v>10</v>
      </c>
      <c r="D9473">
        <v>2</v>
      </c>
      <c r="E9473" s="2">
        <v>2.4189814814814816E-3</v>
      </c>
      <c r="F9473">
        <v>3.4833333333333334</v>
      </c>
    </row>
    <row r="9474" spans="1:6" x14ac:dyDescent="0.25">
      <c r="A9474" s="1">
        <v>41760</v>
      </c>
      <c r="B9474" t="s">
        <v>21</v>
      </c>
      <c r="C9474" t="s">
        <v>11</v>
      </c>
      <c r="D9474">
        <v>20</v>
      </c>
      <c r="E9474" s="2">
        <v>2.8923611111111112E-2</v>
      </c>
      <c r="F9474">
        <v>41.65</v>
      </c>
    </row>
    <row r="9475" spans="1:6" x14ac:dyDescent="0.25">
      <c r="A9475" s="1">
        <v>41760</v>
      </c>
      <c r="B9475" t="s">
        <v>22</v>
      </c>
      <c r="C9475" t="s">
        <v>6</v>
      </c>
      <c r="D9475">
        <v>8</v>
      </c>
      <c r="E9475" s="2">
        <v>1.0891203703703703E-2</v>
      </c>
      <c r="F9475">
        <v>15.683333333333334</v>
      </c>
    </row>
    <row r="9476" spans="1:6" x14ac:dyDescent="0.25">
      <c r="A9476" s="1">
        <v>41760</v>
      </c>
      <c r="B9476" t="s">
        <v>22</v>
      </c>
      <c r="C9476" t="s">
        <v>7</v>
      </c>
      <c r="D9476">
        <v>17</v>
      </c>
      <c r="E9476" s="2">
        <v>2.1701388888888888E-2</v>
      </c>
      <c r="F9476">
        <v>31.25</v>
      </c>
    </row>
    <row r="9477" spans="1:6" x14ac:dyDescent="0.25">
      <c r="A9477" s="1">
        <v>41760</v>
      </c>
      <c r="B9477" t="s">
        <v>22</v>
      </c>
      <c r="C9477" t="s">
        <v>8</v>
      </c>
      <c r="D9477">
        <v>2</v>
      </c>
      <c r="E9477" s="2">
        <v>2.5578703703703705E-3</v>
      </c>
      <c r="F9477">
        <v>3.6833333333333336</v>
      </c>
    </row>
    <row r="9478" spans="1:6" x14ac:dyDescent="0.25">
      <c r="A9478" s="1">
        <v>41760</v>
      </c>
      <c r="B9478" t="s">
        <v>22</v>
      </c>
      <c r="C9478" t="s">
        <v>9</v>
      </c>
      <c r="D9478">
        <v>4</v>
      </c>
      <c r="E9478" s="2">
        <v>2.8819444444444444E-3</v>
      </c>
      <c r="F9478">
        <v>4.1500000000000004</v>
      </c>
    </row>
    <row r="9479" spans="1:6" x14ac:dyDescent="0.25">
      <c r="A9479" s="1">
        <v>41760</v>
      </c>
      <c r="B9479" t="s">
        <v>22</v>
      </c>
      <c r="C9479" t="s">
        <v>10</v>
      </c>
      <c r="D9479">
        <v>1</v>
      </c>
      <c r="E9479" s="2">
        <v>6.7129629629629625E-4</v>
      </c>
      <c r="F9479">
        <v>0.96666666666666667</v>
      </c>
    </row>
    <row r="9480" spans="1:6" x14ac:dyDescent="0.25">
      <c r="A9480" s="1">
        <v>41760</v>
      </c>
      <c r="B9480" t="s">
        <v>22</v>
      </c>
      <c r="C9480" t="s">
        <v>11</v>
      </c>
      <c r="D9480">
        <v>11</v>
      </c>
      <c r="E9480" s="2">
        <v>1.3645833333333333E-2</v>
      </c>
      <c r="F9480">
        <v>19.649999999999999</v>
      </c>
    </row>
    <row r="9481" spans="1:6" x14ac:dyDescent="0.25">
      <c r="A9481" s="1">
        <v>41760</v>
      </c>
      <c r="B9481" t="s">
        <v>23</v>
      </c>
      <c r="C9481" t="s">
        <v>6</v>
      </c>
      <c r="D9481">
        <v>58</v>
      </c>
      <c r="E9481" s="2">
        <v>7.2905092592592591E-2</v>
      </c>
      <c r="F9481">
        <v>104.98333333333333</v>
      </c>
    </row>
    <row r="9482" spans="1:6" x14ac:dyDescent="0.25">
      <c r="A9482" s="1">
        <v>41760</v>
      </c>
      <c r="B9482" t="s">
        <v>23</v>
      </c>
      <c r="C9482" t="s">
        <v>7</v>
      </c>
      <c r="D9482">
        <v>87</v>
      </c>
      <c r="E9482" s="2">
        <v>0.13434027777777777</v>
      </c>
      <c r="F9482">
        <v>193.45</v>
      </c>
    </row>
    <row r="9483" spans="1:6" x14ac:dyDescent="0.25">
      <c r="A9483" s="1">
        <v>41760</v>
      </c>
      <c r="B9483" t="s">
        <v>23</v>
      </c>
      <c r="C9483" t="s">
        <v>8</v>
      </c>
      <c r="D9483">
        <v>64</v>
      </c>
      <c r="E9483" s="2">
        <v>7.300925925925926E-2</v>
      </c>
      <c r="F9483">
        <v>105.13333333333334</v>
      </c>
    </row>
    <row r="9484" spans="1:6" x14ac:dyDescent="0.25">
      <c r="A9484" s="1">
        <v>41760</v>
      </c>
      <c r="B9484" t="s">
        <v>23</v>
      </c>
      <c r="C9484" t="s">
        <v>9</v>
      </c>
      <c r="D9484">
        <v>30</v>
      </c>
      <c r="E9484" s="2">
        <v>1.7453703703703704E-2</v>
      </c>
      <c r="F9484">
        <v>25.133333333333333</v>
      </c>
    </row>
    <row r="9485" spans="1:6" x14ac:dyDescent="0.25">
      <c r="A9485" s="1">
        <v>41760</v>
      </c>
      <c r="B9485" t="s">
        <v>23</v>
      </c>
      <c r="C9485" t="s">
        <v>10</v>
      </c>
      <c r="D9485">
        <v>25</v>
      </c>
      <c r="E9485" s="2">
        <v>3.2546296296296295E-2</v>
      </c>
      <c r="F9485">
        <v>46.866666666666667</v>
      </c>
    </row>
    <row r="9486" spans="1:6" x14ac:dyDescent="0.25">
      <c r="A9486" s="1">
        <v>41760</v>
      </c>
      <c r="B9486" t="s">
        <v>23</v>
      </c>
      <c r="C9486" t="s">
        <v>11</v>
      </c>
      <c r="D9486">
        <v>75</v>
      </c>
      <c r="E9486" s="2">
        <v>7.4444444444444438E-2</v>
      </c>
      <c r="F9486">
        <v>107.2</v>
      </c>
    </row>
    <row r="9487" spans="1:6" x14ac:dyDescent="0.25">
      <c r="A9487" s="1">
        <v>41760</v>
      </c>
      <c r="B9487" t="s">
        <v>24</v>
      </c>
      <c r="C9487" t="s">
        <v>6</v>
      </c>
      <c r="D9487">
        <v>52</v>
      </c>
      <c r="E9487" s="2">
        <v>6.9050925925925932E-2</v>
      </c>
      <c r="F9487">
        <v>99.433333333333337</v>
      </c>
    </row>
    <row r="9488" spans="1:6" x14ac:dyDescent="0.25">
      <c r="A9488" s="1">
        <v>41760</v>
      </c>
      <c r="B9488" t="s">
        <v>24</v>
      </c>
      <c r="C9488" t="s">
        <v>7</v>
      </c>
      <c r="D9488">
        <v>47</v>
      </c>
      <c r="E9488" s="2">
        <v>4.144675925925926E-2</v>
      </c>
      <c r="F9488">
        <v>59.68333333333333</v>
      </c>
    </row>
    <row r="9489" spans="1:6" x14ac:dyDescent="0.25">
      <c r="A9489" s="1">
        <v>41760</v>
      </c>
      <c r="B9489" t="s">
        <v>24</v>
      </c>
      <c r="C9489" t="s">
        <v>8</v>
      </c>
      <c r="D9489">
        <v>27</v>
      </c>
      <c r="E9489" s="2">
        <v>1.5601851851851851E-2</v>
      </c>
      <c r="F9489">
        <v>22.466666666666665</v>
      </c>
    </row>
    <row r="9490" spans="1:6" x14ac:dyDescent="0.25">
      <c r="A9490" s="1">
        <v>41760</v>
      </c>
      <c r="B9490" t="s">
        <v>24</v>
      </c>
      <c r="C9490" t="s">
        <v>9</v>
      </c>
      <c r="D9490">
        <v>27</v>
      </c>
      <c r="E9490" s="2">
        <v>1.8055555555555554E-2</v>
      </c>
      <c r="F9490">
        <v>26</v>
      </c>
    </row>
    <row r="9491" spans="1:6" x14ac:dyDescent="0.25">
      <c r="A9491" s="1">
        <v>41760</v>
      </c>
      <c r="B9491" t="s">
        <v>24</v>
      </c>
      <c r="C9491" t="s">
        <v>10</v>
      </c>
      <c r="D9491">
        <v>0</v>
      </c>
      <c r="E9491" s="2">
        <v>0</v>
      </c>
      <c r="F9491">
        <v>0</v>
      </c>
    </row>
    <row r="9492" spans="1:6" x14ac:dyDescent="0.25">
      <c r="A9492" s="1">
        <v>41760</v>
      </c>
      <c r="B9492" t="s">
        <v>24</v>
      </c>
      <c r="C9492" t="s">
        <v>11</v>
      </c>
      <c r="D9492">
        <v>26</v>
      </c>
      <c r="E9492" s="2">
        <v>1.8113425925925925E-2</v>
      </c>
      <c r="F9492">
        <v>26.083333333333332</v>
      </c>
    </row>
    <row r="9493" spans="1:6" x14ac:dyDescent="0.25">
      <c r="A9493" s="1">
        <v>41791</v>
      </c>
      <c r="B9493" t="s">
        <v>5</v>
      </c>
      <c r="C9493" t="s">
        <v>6</v>
      </c>
      <c r="D9493">
        <v>10</v>
      </c>
      <c r="E9493" s="2">
        <v>8.3217592592592596E-3</v>
      </c>
      <c r="F9493">
        <v>11.983333333333333</v>
      </c>
    </row>
    <row r="9494" spans="1:6" x14ac:dyDescent="0.25">
      <c r="A9494" s="1">
        <v>41791</v>
      </c>
      <c r="B9494" t="s">
        <v>5</v>
      </c>
      <c r="C9494" t="s">
        <v>7</v>
      </c>
      <c r="D9494">
        <v>24</v>
      </c>
      <c r="E9494" s="2">
        <v>1.9050925925925926E-2</v>
      </c>
      <c r="F9494">
        <v>27.433333333333334</v>
      </c>
    </row>
    <row r="9495" spans="1:6" x14ac:dyDescent="0.25">
      <c r="A9495" s="1">
        <v>41791</v>
      </c>
      <c r="B9495" t="s">
        <v>5</v>
      </c>
      <c r="C9495" t="s">
        <v>8</v>
      </c>
      <c r="D9495">
        <v>10</v>
      </c>
      <c r="E9495" s="2">
        <v>8.5416666666666662E-3</v>
      </c>
      <c r="F9495">
        <v>12.3</v>
      </c>
    </row>
    <row r="9496" spans="1:6" x14ac:dyDescent="0.25">
      <c r="A9496" s="1">
        <v>41791</v>
      </c>
      <c r="B9496" t="s">
        <v>5</v>
      </c>
      <c r="C9496" t="s">
        <v>9</v>
      </c>
      <c r="D9496">
        <v>8</v>
      </c>
      <c r="E9496" s="2">
        <v>2.9629629629629628E-3</v>
      </c>
      <c r="F9496">
        <v>4.2666666666666666</v>
      </c>
    </row>
    <row r="9497" spans="1:6" x14ac:dyDescent="0.25">
      <c r="A9497" s="1">
        <v>41791</v>
      </c>
      <c r="B9497" t="s">
        <v>5</v>
      </c>
      <c r="C9497" t="s">
        <v>10</v>
      </c>
      <c r="D9497">
        <v>3</v>
      </c>
      <c r="E9497" s="2">
        <v>4.5717592592592589E-3</v>
      </c>
      <c r="F9497">
        <v>6.583333333333333</v>
      </c>
    </row>
    <row r="9498" spans="1:6" x14ac:dyDescent="0.25">
      <c r="A9498" s="1">
        <v>41791</v>
      </c>
      <c r="B9498" t="s">
        <v>5</v>
      </c>
      <c r="C9498" t="s">
        <v>11</v>
      </c>
      <c r="D9498">
        <v>24</v>
      </c>
      <c r="E9498" s="2">
        <v>1.7048611111111112E-2</v>
      </c>
      <c r="F9498">
        <v>24.55</v>
      </c>
    </row>
    <row r="9499" spans="1:6" x14ac:dyDescent="0.25">
      <c r="A9499" s="1">
        <v>41791</v>
      </c>
      <c r="B9499" t="s">
        <v>12</v>
      </c>
      <c r="C9499" t="s">
        <v>6</v>
      </c>
      <c r="D9499">
        <v>23</v>
      </c>
      <c r="E9499" s="2">
        <v>3.1620370370370368E-2</v>
      </c>
      <c r="F9499">
        <v>45.533333333333331</v>
      </c>
    </row>
    <row r="9500" spans="1:6" x14ac:dyDescent="0.25">
      <c r="A9500" s="1">
        <v>41791</v>
      </c>
      <c r="B9500" t="s">
        <v>12</v>
      </c>
      <c r="C9500" t="s">
        <v>7</v>
      </c>
      <c r="D9500">
        <v>40</v>
      </c>
      <c r="E9500" s="2">
        <v>6.1435185185185183E-2</v>
      </c>
      <c r="F9500">
        <v>88.466666666666669</v>
      </c>
    </row>
    <row r="9501" spans="1:6" x14ac:dyDescent="0.25">
      <c r="A9501" s="1">
        <v>41791</v>
      </c>
      <c r="B9501" t="s">
        <v>12</v>
      </c>
      <c r="C9501" t="s">
        <v>8</v>
      </c>
      <c r="D9501">
        <v>18</v>
      </c>
      <c r="E9501" s="2">
        <v>2.6435185185185187E-2</v>
      </c>
      <c r="F9501">
        <v>38.06666666666667</v>
      </c>
    </row>
    <row r="9502" spans="1:6" x14ac:dyDescent="0.25">
      <c r="A9502" s="1">
        <v>41791</v>
      </c>
      <c r="B9502" t="s">
        <v>12</v>
      </c>
      <c r="C9502" t="s">
        <v>9</v>
      </c>
      <c r="D9502">
        <v>18</v>
      </c>
      <c r="E9502" s="2">
        <v>1.2974537037037038E-2</v>
      </c>
      <c r="F9502">
        <v>18.683333333333334</v>
      </c>
    </row>
    <row r="9503" spans="1:6" x14ac:dyDescent="0.25">
      <c r="A9503" s="1">
        <v>41791</v>
      </c>
      <c r="B9503" t="s">
        <v>12</v>
      </c>
      <c r="C9503" t="s">
        <v>10</v>
      </c>
      <c r="D9503">
        <v>30</v>
      </c>
      <c r="E9503" s="2">
        <v>5.078703703703704E-2</v>
      </c>
      <c r="F9503">
        <v>73.13333333333334</v>
      </c>
    </row>
    <row r="9504" spans="1:6" x14ac:dyDescent="0.25">
      <c r="A9504" s="1">
        <v>41791</v>
      </c>
      <c r="B9504" t="s">
        <v>12</v>
      </c>
      <c r="C9504" t="s">
        <v>11</v>
      </c>
      <c r="D9504">
        <v>43</v>
      </c>
      <c r="E9504" s="2">
        <v>5.3437499999999999E-2</v>
      </c>
      <c r="F9504">
        <v>76.95</v>
      </c>
    </row>
    <row r="9505" spans="1:6" x14ac:dyDescent="0.25">
      <c r="A9505" s="1">
        <v>41791</v>
      </c>
      <c r="B9505" t="s">
        <v>13</v>
      </c>
      <c r="C9505" t="s">
        <v>6</v>
      </c>
      <c r="D9505">
        <v>30</v>
      </c>
      <c r="E9505" s="2">
        <v>3.2974537037037038E-2</v>
      </c>
      <c r="F9505">
        <v>47.483333333333334</v>
      </c>
    </row>
    <row r="9506" spans="1:6" x14ac:dyDescent="0.25">
      <c r="A9506" s="1">
        <v>41791</v>
      </c>
      <c r="B9506" t="s">
        <v>13</v>
      </c>
      <c r="C9506" t="s">
        <v>7</v>
      </c>
      <c r="D9506">
        <v>57</v>
      </c>
      <c r="E9506" s="2">
        <v>8.7326388888888884E-2</v>
      </c>
      <c r="F9506">
        <v>125.75</v>
      </c>
    </row>
    <row r="9507" spans="1:6" x14ac:dyDescent="0.25">
      <c r="A9507" s="1">
        <v>41791</v>
      </c>
      <c r="B9507" t="s">
        <v>13</v>
      </c>
      <c r="C9507" t="s">
        <v>8</v>
      </c>
      <c r="D9507">
        <v>27</v>
      </c>
      <c r="E9507" s="2">
        <v>3.125E-2</v>
      </c>
      <c r="F9507">
        <v>45</v>
      </c>
    </row>
    <row r="9508" spans="1:6" x14ac:dyDescent="0.25">
      <c r="A9508" s="1">
        <v>41791</v>
      </c>
      <c r="B9508" t="s">
        <v>13</v>
      </c>
      <c r="C9508" t="s">
        <v>9</v>
      </c>
      <c r="D9508">
        <v>14</v>
      </c>
      <c r="E9508" s="2">
        <v>9.6990740740740735E-3</v>
      </c>
      <c r="F9508">
        <v>13.966666666666667</v>
      </c>
    </row>
    <row r="9509" spans="1:6" x14ac:dyDescent="0.25">
      <c r="A9509" s="1">
        <v>41791</v>
      </c>
      <c r="B9509" t="s">
        <v>13</v>
      </c>
      <c r="C9509" t="s">
        <v>10</v>
      </c>
      <c r="D9509">
        <v>13</v>
      </c>
      <c r="E9509" s="2">
        <v>1.5636574074074074E-2</v>
      </c>
      <c r="F9509">
        <v>22.516666666666666</v>
      </c>
    </row>
    <row r="9510" spans="1:6" x14ac:dyDescent="0.25">
      <c r="A9510" s="1">
        <v>41791</v>
      </c>
      <c r="B9510" t="s">
        <v>13</v>
      </c>
      <c r="C9510" t="s">
        <v>11</v>
      </c>
      <c r="D9510">
        <v>24</v>
      </c>
      <c r="E9510" s="2">
        <v>2.7754629629629629E-2</v>
      </c>
      <c r="F9510">
        <v>39.966666666666669</v>
      </c>
    </row>
    <row r="9511" spans="1:6" x14ac:dyDescent="0.25">
      <c r="A9511" s="1">
        <v>41791</v>
      </c>
      <c r="B9511" t="s">
        <v>14</v>
      </c>
      <c r="C9511" t="s">
        <v>6</v>
      </c>
      <c r="D9511">
        <v>21</v>
      </c>
      <c r="E9511" s="2">
        <v>2.7523148148148147E-2</v>
      </c>
      <c r="F9511">
        <v>39.633333333333333</v>
      </c>
    </row>
    <row r="9512" spans="1:6" x14ac:dyDescent="0.25">
      <c r="A9512" s="1">
        <v>41791</v>
      </c>
      <c r="B9512" t="s">
        <v>14</v>
      </c>
      <c r="C9512" t="s">
        <v>7</v>
      </c>
      <c r="D9512">
        <v>13</v>
      </c>
      <c r="E9512" s="2">
        <v>2.6932870370370371E-2</v>
      </c>
      <c r="F9512">
        <v>38.783333333333331</v>
      </c>
    </row>
    <row r="9513" spans="1:6" x14ac:dyDescent="0.25">
      <c r="A9513" s="1">
        <v>41791</v>
      </c>
      <c r="B9513" t="s">
        <v>14</v>
      </c>
      <c r="C9513" t="s">
        <v>8</v>
      </c>
      <c r="D9513">
        <v>17</v>
      </c>
      <c r="E9513" s="2">
        <v>2.6354166666666668E-2</v>
      </c>
      <c r="F9513">
        <v>37.950000000000003</v>
      </c>
    </row>
    <row r="9514" spans="1:6" x14ac:dyDescent="0.25">
      <c r="A9514" s="1">
        <v>41791</v>
      </c>
      <c r="B9514" t="s">
        <v>14</v>
      </c>
      <c r="C9514" t="s">
        <v>9</v>
      </c>
      <c r="D9514">
        <v>6</v>
      </c>
      <c r="E9514" s="2">
        <v>4.7569444444444447E-3</v>
      </c>
      <c r="F9514">
        <v>6.85</v>
      </c>
    </row>
    <row r="9515" spans="1:6" x14ac:dyDescent="0.25">
      <c r="A9515" s="1">
        <v>41791</v>
      </c>
      <c r="B9515" t="s">
        <v>14</v>
      </c>
      <c r="C9515" t="s">
        <v>10</v>
      </c>
      <c r="D9515">
        <v>3</v>
      </c>
      <c r="E9515" s="2">
        <v>4.7106481481481478E-3</v>
      </c>
      <c r="F9515">
        <v>6.7833333333333332</v>
      </c>
    </row>
    <row r="9516" spans="1:6" x14ac:dyDescent="0.25">
      <c r="A9516" s="1">
        <v>41791</v>
      </c>
      <c r="B9516" t="s">
        <v>14</v>
      </c>
      <c r="C9516" t="s">
        <v>11</v>
      </c>
      <c r="D9516">
        <v>19</v>
      </c>
      <c r="E9516" s="2">
        <v>1.9074074074074073E-2</v>
      </c>
      <c r="F9516">
        <v>27.466666666666665</v>
      </c>
    </row>
    <row r="9517" spans="1:6" x14ac:dyDescent="0.25">
      <c r="A9517" s="1">
        <v>41791</v>
      </c>
      <c r="B9517" t="s">
        <v>15</v>
      </c>
      <c r="C9517" t="s">
        <v>6</v>
      </c>
      <c r="D9517">
        <v>12</v>
      </c>
      <c r="E9517" s="2">
        <v>1.1956018518518519E-2</v>
      </c>
      <c r="F9517">
        <v>17.216666666666665</v>
      </c>
    </row>
    <row r="9518" spans="1:6" x14ac:dyDescent="0.25">
      <c r="A9518" s="1">
        <v>41791</v>
      </c>
      <c r="B9518" t="s">
        <v>15</v>
      </c>
      <c r="C9518" t="s">
        <v>7</v>
      </c>
      <c r="D9518">
        <v>24</v>
      </c>
      <c r="E9518" s="2">
        <v>3.3819444444444444E-2</v>
      </c>
      <c r="F9518">
        <v>48.7</v>
      </c>
    </row>
    <row r="9519" spans="1:6" x14ac:dyDescent="0.25">
      <c r="A9519" s="1">
        <v>41791</v>
      </c>
      <c r="B9519" t="s">
        <v>15</v>
      </c>
      <c r="C9519" t="s">
        <v>8</v>
      </c>
      <c r="D9519">
        <v>15</v>
      </c>
      <c r="E9519" s="2">
        <v>1.6319444444444445E-2</v>
      </c>
      <c r="F9519">
        <v>23.5</v>
      </c>
    </row>
    <row r="9520" spans="1:6" x14ac:dyDescent="0.25">
      <c r="A9520" s="1">
        <v>41791</v>
      </c>
      <c r="B9520" t="s">
        <v>15</v>
      </c>
      <c r="C9520" t="s">
        <v>9</v>
      </c>
      <c r="D9520">
        <v>3</v>
      </c>
      <c r="E9520" s="2">
        <v>2.7893518518518519E-3</v>
      </c>
      <c r="F9520">
        <v>4.0166666666666666</v>
      </c>
    </row>
    <row r="9521" spans="1:6" x14ac:dyDescent="0.25">
      <c r="A9521" s="1">
        <v>41791</v>
      </c>
      <c r="B9521" t="s">
        <v>15</v>
      </c>
      <c r="C9521" t="s">
        <v>10</v>
      </c>
      <c r="D9521">
        <v>3</v>
      </c>
      <c r="E9521" s="2">
        <v>4.8263888888888887E-3</v>
      </c>
      <c r="F9521">
        <v>6.95</v>
      </c>
    </row>
    <row r="9522" spans="1:6" x14ac:dyDescent="0.25">
      <c r="A9522" s="1">
        <v>41791</v>
      </c>
      <c r="B9522" t="s">
        <v>15</v>
      </c>
      <c r="C9522" t="s">
        <v>11</v>
      </c>
      <c r="D9522">
        <v>9</v>
      </c>
      <c r="E9522" s="2">
        <v>8.2175925925925923E-3</v>
      </c>
      <c r="F9522">
        <v>11.833333333333334</v>
      </c>
    </row>
    <row r="9523" spans="1:6" x14ac:dyDescent="0.25">
      <c r="A9523" s="1">
        <v>41791</v>
      </c>
      <c r="B9523" t="s">
        <v>16</v>
      </c>
      <c r="C9523" t="s">
        <v>6</v>
      </c>
      <c r="D9523">
        <v>16</v>
      </c>
      <c r="E9523" s="2">
        <v>1.5555555555555555E-2</v>
      </c>
      <c r="F9523">
        <v>22.4</v>
      </c>
    </row>
    <row r="9524" spans="1:6" x14ac:dyDescent="0.25">
      <c r="A9524" s="1">
        <v>41791</v>
      </c>
      <c r="B9524" t="s">
        <v>16</v>
      </c>
      <c r="C9524" t="s">
        <v>7</v>
      </c>
      <c r="D9524">
        <v>19</v>
      </c>
      <c r="E9524" s="2">
        <v>1.7986111111111112E-2</v>
      </c>
      <c r="F9524">
        <v>25.9</v>
      </c>
    </row>
    <row r="9525" spans="1:6" x14ac:dyDescent="0.25">
      <c r="A9525" s="1">
        <v>41791</v>
      </c>
      <c r="B9525" t="s">
        <v>16</v>
      </c>
      <c r="C9525" t="s">
        <v>8</v>
      </c>
      <c r="D9525">
        <v>18</v>
      </c>
      <c r="E9525" s="2">
        <v>1.7222222222222222E-2</v>
      </c>
      <c r="F9525">
        <v>24.8</v>
      </c>
    </row>
    <row r="9526" spans="1:6" x14ac:dyDescent="0.25">
      <c r="A9526" s="1">
        <v>41791</v>
      </c>
      <c r="B9526" t="s">
        <v>16</v>
      </c>
      <c r="C9526" t="s">
        <v>9</v>
      </c>
      <c r="D9526">
        <v>14</v>
      </c>
      <c r="E9526" s="2">
        <v>9.7337962962962959E-3</v>
      </c>
      <c r="F9526">
        <v>14.016666666666667</v>
      </c>
    </row>
    <row r="9527" spans="1:6" x14ac:dyDescent="0.25">
      <c r="A9527" s="1">
        <v>41791</v>
      </c>
      <c r="B9527" t="s">
        <v>16</v>
      </c>
      <c r="C9527" t="s">
        <v>10</v>
      </c>
      <c r="D9527">
        <v>1</v>
      </c>
      <c r="E9527" s="2">
        <v>1.4583333333333334E-3</v>
      </c>
      <c r="F9527">
        <v>2.1</v>
      </c>
    </row>
    <row r="9528" spans="1:6" x14ac:dyDescent="0.25">
      <c r="A9528" s="1">
        <v>41791</v>
      </c>
      <c r="B9528" t="s">
        <v>16</v>
      </c>
      <c r="C9528" t="s">
        <v>11</v>
      </c>
      <c r="D9528">
        <v>37</v>
      </c>
      <c r="E9528" s="2">
        <v>3.0266203703703705E-2</v>
      </c>
      <c r="F9528">
        <v>43.583333333333336</v>
      </c>
    </row>
    <row r="9529" spans="1:6" x14ac:dyDescent="0.25">
      <c r="A9529" s="1">
        <v>41791</v>
      </c>
      <c r="B9529" t="s">
        <v>17</v>
      </c>
      <c r="C9529" t="s">
        <v>6</v>
      </c>
      <c r="D9529">
        <v>45</v>
      </c>
      <c r="E9529" s="2">
        <v>5.0057870370370371E-2</v>
      </c>
      <c r="F9529">
        <v>72.083333333333329</v>
      </c>
    </row>
    <row r="9530" spans="1:6" x14ac:dyDescent="0.25">
      <c r="A9530" s="1">
        <v>41791</v>
      </c>
      <c r="B9530" t="s">
        <v>17</v>
      </c>
      <c r="C9530" t="s">
        <v>7</v>
      </c>
      <c r="D9530">
        <v>57</v>
      </c>
      <c r="E9530" s="2">
        <v>6.7789351851851851E-2</v>
      </c>
      <c r="F9530">
        <v>97.61666666666666</v>
      </c>
    </row>
    <row r="9531" spans="1:6" x14ac:dyDescent="0.25">
      <c r="A9531" s="1">
        <v>41791</v>
      </c>
      <c r="B9531" t="s">
        <v>17</v>
      </c>
      <c r="C9531" t="s">
        <v>8</v>
      </c>
      <c r="D9531">
        <v>39</v>
      </c>
      <c r="E9531" s="2">
        <v>4.8449074074074075E-2</v>
      </c>
      <c r="F9531">
        <v>69.766666666666666</v>
      </c>
    </row>
    <row r="9532" spans="1:6" x14ac:dyDescent="0.25">
      <c r="A9532" s="1">
        <v>41791</v>
      </c>
      <c r="B9532" t="s">
        <v>17</v>
      </c>
      <c r="C9532" t="s">
        <v>9</v>
      </c>
      <c r="D9532">
        <v>13</v>
      </c>
      <c r="E9532" s="2">
        <v>1.224537037037037E-2</v>
      </c>
      <c r="F9532">
        <v>17.633333333333333</v>
      </c>
    </row>
    <row r="9533" spans="1:6" x14ac:dyDescent="0.25">
      <c r="A9533" s="1">
        <v>41791</v>
      </c>
      <c r="B9533" t="s">
        <v>17</v>
      </c>
      <c r="C9533" t="s">
        <v>10</v>
      </c>
      <c r="D9533">
        <v>6</v>
      </c>
      <c r="E9533" s="2">
        <v>7.8472222222222224E-3</v>
      </c>
      <c r="F9533">
        <v>11.3</v>
      </c>
    </row>
    <row r="9534" spans="1:6" x14ac:dyDescent="0.25">
      <c r="A9534" s="1">
        <v>41791</v>
      </c>
      <c r="B9534" t="s">
        <v>17</v>
      </c>
      <c r="C9534" t="s">
        <v>11</v>
      </c>
      <c r="D9534">
        <v>32</v>
      </c>
      <c r="E9534" s="2">
        <v>2.855324074074074E-2</v>
      </c>
      <c r="F9534">
        <v>41.116666666666667</v>
      </c>
    </row>
    <row r="9535" spans="1:6" x14ac:dyDescent="0.25">
      <c r="A9535" s="1">
        <v>41791</v>
      </c>
      <c r="B9535" t="s">
        <v>18</v>
      </c>
      <c r="C9535" t="s">
        <v>6</v>
      </c>
      <c r="D9535">
        <v>48</v>
      </c>
      <c r="E9535" s="2">
        <v>6.295138888888889E-2</v>
      </c>
      <c r="F9535">
        <v>90.65</v>
      </c>
    </row>
    <row r="9536" spans="1:6" x14ac:dyDescent="0.25">
      <c r="A9536" s="1">
        <v>41791</v>
      </c>
      <c r="B9536" t="s">
        <v>18</v>
      </c>
      <c r="C9536" t="s">
        <v>7</v>
      </c>
      <c r="D9536">
        <v>89</v>
      </c>
      <c r="E9536" s="2">
        <v>7.6597222222222219E-2</v>
      </c>
      <c r="F9536">
        <v>110.3</v>
      </c>
    </row>
    <row r="9537" spans="1:6" x14ac:dyDescent="0.25">
      <c r="A9537" s="1">
        <v>41791</v>
      </c>
      <c r="B9537" t="s">
        <v>18</v>
      </c>
      <c r="C9537" t="s">
        <v>8</v>
      </c>
      <c r="D9537">
        <v>35</v>
      </c>
      <c r="E9537" s="2">
        <v>2.7604166666666666E-2</v>
      </c>
      <c r="F9537">
        <v>39.75</v>
      </c>
    </row>
    <row r="9538" spans="1:6" x14ac:dyDescent="0.25">
      <c r="A9538" s="1">
        <v>41791</v>
      </c>
      <c r="B9538" t="s">
        <v>18</v>
      </c>
      <c r="C9538" t="s">
        <v>9</v>
      </c>
      <c r="D9538">
        <v>62</v>
      </c>
      <c r="E9538" s="2">
        <v>4.0879629629629627E-2</v>
      </c>
      <c r="F9538">
        <v>58.866666666666667</v>
      </c>
    </row>
    <row r="9539" spans="1:6" x14ac:dyDescent="0.25">
      <c r="A9539" s="1">
        <v>41791</v>
      </c>
      <c r="B9539" t="s">
        <v>18</v>
      </c>
      <c r="C9539" t="s">
        <v>10</v>
      </c>
      <c r="D9539">
        <v>124</v>
      </c>
      <c r="E9539" s="2">
        <v>0.15635416666666666</v>
      </c>
      <c r="F9539">
        <v>225.15</v>
      </c>
    </row>
    <row r="9540" spans="1:6" x14ac:dyDescent="0.25">
      <c r="A9540" s="1">
        <v>41791</v>
      </c>
      <c r="B9540" t="s">
        <v>18</v>
      </c>
      <c r="C9540" t="s">
        <v>11</v>
      </c>
      <c r="D9540">
        <v>47</v>
      </c>
      <c r="E9540" s="2">
        <v>2.7789351851851853E-2</v>
      </c>
      <c r="F9540">
        <v>40.016666666666666</v>
      </c>
    </row>
    <row r="9541" spans="1:6" x14ac:dyDescent="0.25">
      <c r="A9541" s="1">
        <v>41791</v>
      </c>
      <c r="B9541" t="s">
        <v>19</v>
      </c>
      <c r="C9541" t="s">
        <v>6</v>
      </c>
      <c r="D9541">
        <v>28</v>
      </c>
      <c r="E9541" s="2">
        <v>2.4236111111111111E-2</v>
      </c>
      <c r="F9541">
        <v>34.9</v>
      </c>
    </row>
    <row r="9542" spans="1:6" x14ac:dyDescent="0.25">
      <c r="A9542" s="1">
        <v>41791</v>
      </c>
      <c r="B9542" t="s">
        <v>19</v>
      </c>
      <c r="C9542" t="s">
        <v>7</v>
      </c>
      <c r="D9542">
        <v>41</v>
      </c>
      <c r="E9542" s="2">
        <v>4.957175925925926E-2</v>
      </c>
      <c r="F9542">
        <v>71.38333333333334</v>
      </c>
    </row>
    <row r="9543" spans="1:6" x14ac:dyDescent="0.25">
      <c r="A9543" s="1">
        <v>41791</v>
      </c>
      <c r="B9543" t="s">
        <v>19</v>
      </c>
      <c r="C9543" t="s">
        <v>8</v>
      </c>
      <c r="D9543">
        <v>33</v>
      </c>
      <c r="E9543" s="2">
        <v>4.1736111111111113E-2</v>
      </c>
      <c r="F9543">
        <v>60.1</v>
      </c>
    </row>
    <row r="9544" spans="1:6" x14ac:dyDescent="0.25">
      <c r="A9544" s="1">
        <v>41791</v>
      </c>
      <c r="B9544" t="s">
        <v>19</v>
      </c>
      <c r="C9544" t="s">
        <v>9</v>
      </c>
      <c r="D9544">
        <v>34</v>
      </c>
      <c r="E9544" s="2">
        <v>2.3981481481481482E-2</v>
      </c>
      <c r="F9544">
        <v>34.533333333333331</v>
      </c>
    </row>
    <row r="9545" spans="1:6" x14ac:dyDescent="0.25">
      <c r="A9545" s="1">
        <v>41791</v>
      </c>
      <c r="B9545" t="s">
        <v>19</v>
      </c>
      <c r="C9545" t="s">
        <v>10</v>
      </c>
      <c r="D9545">
        <v>17</v>
      </c>
      <c r="E9545" s="2">
        <v>2.3101851851851853E-2</v>
      </c>
      <c r="F9545">
        <v>33.266666666666666</v>
      </c>
    </row>
    <row r="9546" spans="1:6" x14ac:dyDescent="0.25">
      <c r="A9546" s="1">
        <v>41791</v>
      </c>
      <c r="B9546" t="s">
        <v>19</v>
      </c>
      <c r="C9546" t="s">
        <v>11</v>
      </c>
      <c r="D9546">
        <v>39</v>
      </c>
      <c r="E9546" s="2">
        <v>3.4409722222222223E-2</v>
      </c>
      <c r="F9546">
        <v>49.55</v>
      </c>
    </row>
    <row r="9547" spans="1:6" x14ac:dyDescent="0.25">
      <c r="A9547" s="1">
        <v>41791</v>
      </c>
      <c r="B9547" t="s">
        <v>20</v>
      </c>
      <c r="C9547" t="s">
        <v>6</v>
      </c>
      <c r="D9547">
        <v>32</v>
      </c>
      <c r="E9547" s="2">
        <v>3.7384259259259256E-2</v>
      </c>
      <c r="F9547">
        <v>53.833333333333336</v>
      </c>
    </row>
    <row r="9548" spans="1:6" x14ac:dyDescent="0.25">
      <c r="A9548" s="1">
        <v>41791</v>
      </c>
      <c r="B9548" t="s">
        <v>20</v>
      </c>
      <c r="C9548" t="s">
        <v>7</v>
      </c>
      <c r="D9548">
        <v>43</v>
      </c>
      <c r="E9548" s="2">
        <v>5.077546296296296E-2</v>
      </c>
      <c r="F9548">
        <v>73.11666666666666</v>
      </c>
    </row>
    <row r="9549" spans="1:6" x14ac:dyDescent="0.25">
      <c r="A9549" s="1">
        <v>41791</v>
      </c>
      <c r="B9549" t="s">
        <v>20</v>
      </c>
      <c r="C9549" t="s">
        <v>8</v>
      </c>
      <c r="D9549">
        <v>15</v>
      </c>
      <c r="E9549" s="2">
        <v>2.0335648148148148E-2</v>
      </c>
      <c r="F9549">
        <v>29.283333333333335</v>
      </c>
    </row>
    <row r="9550" spans="1:6" x14ac:dyDescent="0.25">
      <c r="A9550" s="1">
        <v>41791</v>
      </c>
      <c r="B9550" t="s">
        <v>20</v>
      </c>
      <c r="C9550" t="s">
        <v>9</v>
      </c>
      <c r="D9550">
        <v>12</v>
      </c>
      <c r="E9550" s="2">
        <v>7.7083333333333335E-3</v>
      </c>
      <c r="F9550">
        <v>11.1</v>
      </c>
    </row>
    <row r="9551" spans="1:6" x14ac:dyDescent="0.25">
      <c r="A9551" s="1">
        <v>41791</v>
      </c>
      <c r="B9551" t="s">
        <v>20</v>
      </c>
      <c r="C9551" t="s">
        <v>10</v>
      </c>
      <c r="D9551">
        <v>7</v>
      </c>
      <c r="E9551" s="2">
        <v>1.1284722222222222E-2</v>
      </c>
      <c r="F9551">
        <v>16.25</v>
      </c>
    </row>
    <row r="9552" spans="1:6" x14ac:dyDescent="0.25">
      <c r="A9552" s="1">
        <v>41791</v>
      </c>
      <c r="B9552" t="s">
        <v>20</v>
      </c>
      <c r="C9552" t="s">
        <v>11</v>
      </c>
      <c r="D9552">
        <v>18</v>
      </c>
      <c r="E9552" s="2">
        <v>1.4201388888888888E-2</v>
      </c>
      <c r="F9552">
        <v>20.45</v>
      </c>
    </row>
    <row r="9553" spans="1:6" x14ac:dyDescent="0.25">
      <c r="A9553" s="1">
        <v>41791</v>
      </c>
      <c r="B9553" t="s">
        <v>21</v>
      </c>
      <c r="C9553" t="s">
        <v>6</v>
      </c>
      <c r="D9553">
        <v>6</v>
      </c>
      <c r="E9553" s="2">
        <v>7.8356481481481489E-3</v>
      </c>
      <c r="F9553">
        <v>11.283333333333333</v>
      </c>
    </row>
    <row r="9554" spans="1:6" x14ac:dyDescent="0.25">
      <c r="A9554" s="1">
        <v>41791</v>
      </c>
      <c r="B9554" t="s">
        <v>21</v>
      </c>
      <c r="C9554" t="s">
        <v>7</v>
      </c>
      <c r="D9554">
        <v>5</v>
      </c>
      <c r="E9554" s="2">
        <v>1.005787037037037E-2</v>
      </c>
      <c r="F9554">
        <v>14.483333333333333</v>
      </c>
    </row>
    <row r="9555" spans="1:6" x14ac:dyDescent="0.25">
      <c r="A9555" s="1">
        <v>41791</v>
      </c>
      <c r="B9555" t="s">
        <v>21</v>
      </c>
      <c r="C9555" t="s">
        <v>8</v>
      </c>
      <c r="D9555">
        <v>8</v>
      </c>
      <c r="E9555" s="2">
        <v>1.4756944444444444E-2</v>
      </c>
      <c r="F9555">
        <v>21.25</v>
      </c>
    </row>
    <row r="9556" spans="1:6" x14ac:dyDescent="0.25">
      <c r="A9556" s="1">
        <v>41791</v>
      </c>
      <c r="B9556" t="s">
        <v>21</v>
      </c>
      <c r="C9556" t="s">
        <v>9</v>
      </c>
      <c r="D9556">
        <v>2</v>
      </c>
      <c r="E9556" s="2">
        <v>6.5972222222222224E-4</v>
      </c>
      <c r="F9556">
        <v>0.95</v>
      </c>
    </row>
    <row r="9557" spans="1:6" x14ac:dyDescent="0.25">
      <c r="A9557" s="1">
        <v>41791</v>
      </c>
      <c r="B9557" t="s">
        <v>21</v>
      </c>
      <c r="C9557" t="s">
        <v>10</v>
      </c>
      <c r="D9557">
        <v>2</v>
      </c>
      <c r="E9557" s="2">
        <v>3.8773148148148148E-3</v>
      </c>
      <c r="F9557">
        <v>5.583333333333333</v>
      </c>
    </row>
    <row r="9558" spans="1:6" x14ac:dyDescent="0.25">
      <c r="A9558" s="1">
        <v>41791</v>
      </c>
      <c r="B9558" t="s">
        <v>21</v>
      </c>
      <c r="C9558" t="s">
        <v>11</v>
      </c>
      <c r="D9558">
        <v>11</v>
      </c>
      <c r="E9558" s="2">
        <v>1.1388888888888889E-2</v>
      </c>
      <c r="F9558">
        <v>16.399999999999999</v>
      </c>
    </row>
    <row r="9559" spans="1:6" x14ac:dyDescent="0.25">
      <c r="A9559" s="1">
        <v>41791</v>
      </c>
      <c r="B9559" t="s">
        <v>22</v>
      </c>
      <c r="C9559" t="s">
        <v>6</v>
      </c>
      <c r="D9559">
        <v>3</v>
      </c>
      <c r="E9559" s="2">
        <v>3.5995370370370369E-3</v>
      </c>
      <c r="F9559">
        <v>5.1833333333333336</v>
      </c>
    </row>
    <row r="9560" spans="1:6" x14ac:dyDescent="0.25">
      <c r="A9560" s="1">
        <v>41791</v>
      </c>
      <c r="B9560" t="s">
        <v>22</v>
      </c>
      <c r="C9560" t="s">
        <v>7</v>
      </c>
      <c r="D9560">
        <v>8</v>
      </c>
      <c r="E9560" s="2">
        <v>1.1944444444444445E-2</v>
      </c>
      <c r="F9560">
        <v>17.2</v>
      </c>
    </row>
    <row r="9561" spans="1:6" x14ac:dyDescent="0.25">
      <c r="A9561" s="1">
        <v>41791</v>
      </c>
      <c r="B9561" t="s">
        <v>22</v>
      </c>
      <c r="C9561" t="s">
        <v>8</v>
      </c>
      <c r="D9561">
        <v>4</v>
      </c>
      <c r="E9561" s="2">
        <v>4.5138888888888885E-3</v>
      </c>
      <c r="F9561">
        <v>6.5</v>
      </c>
    </row>
    <row r="9562" spans="1:6" x14ac:dyDescent="0.25">
      <c r="A9562" s="1">
        <v>41791</v>
      </c>
      <c r="B9562" t="s">
        <v>22</v>
      </c>
      <c r="C9562" t="s">
        <v>9</v>
      </c>
      <c r="D9562">
        <v>5</v>
      </c>
      <c r="E9562" s="2">
        <v>3.414351851851852E-3</v>
      </c>
      <c r="F9562">
        <v>4.916666666666667</v>
      </c>
    </row>
    <row r="9563" spans="1:6" x14ac:dyDescent="0.25">
      <c r="A9563" s="1">
        <v>41791</v>
      </c>
      <c r="B9563" t="s">
        <v>22</v>
      </c>
      <c r="C9563" t="s">
        <v>10</v>
      </c>
      <c r="D9563">
        <v>0</v>
      </c>
      <c r="E9563" s="2">
        <v>0</v>
      </c>
      <c r="F9563">
        <v>0</v>
      </c>
    </row>
    <row r="9564" spans="1:6" x14ac:dyDescent="0.25">
      <c r="A9564" s="1">
        <v>41791</v>
      </c>
      <c r="B9564" t="s">
        <v>22</v>
      </c>
      <c r="C9564" t="s">
        <v>11</v>
      </c>
      <c r="D9564">
        <v>7</v>
      </c>
      <c r="E9564" s="2">
        <v>8.7962962962962968E-3</v>
      </c>
      <c r="F9564">
        <v>12.666666666666666</v>
      </c>
    </row>
    <row r="9565" spans="1:6" x14ac:dyDescent="0.25">
      <c r="A9565" s="1">
        <v>41791</v>
      </c>
      <c r="B9565" t="s">
        <v>23</v>
      </c>
      <c r="C9565" t="s">
        <v>6</v>
      </c>
      <c r="D9565">
        <v>98</v>
      </c>
      <c r="E9565" s="2">
        <v>0.11377314814814815</v>
      </c>
      <c r="F9565">
        <v>163.83333333333334</v>
      </c>
    </row>
    <row r="9566" spans="1:6" x14ac:dyDescent="0.25">
      <c r="A9566" s="1">
        <v>41791</v>
      </c>
      <c r="B9566" t="s">
        <v>23</v>
      </c>
      <c r="C9566" t="s">
        <v>7</v>
      </c>
      <c r="D9566">
        <v>126</v>
      </c>
      <c r="E9566" s="2">
        <v>0.14226851851851852</v>
      </c>
      <c r="F9566">
        <v>204.86666666666667</v>
      </c>
    </row>
    <row r="9567" spans="1:6" x14ac:dyDescent="0.25">
      <c r="A9567" s="1">
        <v>41791</v>
      </c>
      <c r="B9567" t="s">
        <v>23</v>
      </c>
      <c r="C9567" t="s">
        <v>8</v>
      </c>
      <c r="D9567">
        <v>83</v>
      </c>
      <c r="E9567" s="2">
        <v>9.1249999999999998E-2</v>
      </c>
      <c r="F9567">
        <v>131.4</v>
      </c>
    </row>
    <row r="9568" spans="1:6" x14ac:dyDescent="0.25">
      <c r="A9568" s="1">
        <v>41791</v>
      </c>
      <c r="B9568" t="s">
        <v>23</v>
      </c>
      <c r="C9568" t="s">
        <v>9</v>
      </c>
      <c r="D9568">
        <v>48</v>
      </c>
      <c r="E9568" s="2">
        <v>3.09375E-2</v>
      </c>
      <c r="F9568">
        <v>44.55</v>
      </c>
    </row>
    <row r="9569" spans="1:6" x14ac:dyDescent="0.25">
      <c r="A9569" s="1">
        <v>41791</v>
      </c>
      <c r="B9569" t="s">
        <v>23</v>
      </c>
      <c r="C9569" t="s">
        <v>10</v>
      </c>
      <c r="D9569">
        <v>21</v>
      </c>
      <c r="E9569" s="2">
        <v>3.1412037037037037E-2</v>
      </c>
      <c r="F9569">
        <v>45.233333333333334</v>
      </c>
    </row>
    <row r="9570" spans="1:6" x14ac:dyDescent="0.25">
      <c r="A9570" s="1">
        <v>41791</v>
      </c>
      <c r="B9570" t="s">
        <v>23</v>
      </c>
      <c r="C9570" t="s">
        <v>11</v>
      </c>
      <c r="D9570">
        <v>95</v>
      </c>
      <c r="E9570" s="2">
        <v>9.9780092592592587E-2</v>
      </c>
      <c r="F9570">
        <v>143.68333333333334</v>
      </c>
    </row>
    <row r="9571" spans="1:6" x14ac:dyDescent="0.25">
      <c r="A9571" s="1">
        <v>41791</v>
      </c>
      <c r="B9571" t="s">
        <v>24</v>
      </c>
      <c r="C9571" t="s">
        <v>6</v>
      </c>
      <c r="D9571">
        <v>150</v>
      </c>
      <c r="E9571" s="2">
        <v>0.16480324074074074</v>
      </c>
      <c r="F9571">
        <v>237.31666666666666</v>
      </c>
    </row>
    <row r="9572" spans="1:6" x14ac:dyDescent="0.25">
      <c r="A9572" s="1">
        <v>41791</v>
      </c>
      <c r="B9572" t="s">
        <v>24</v>
      </c>
      <c r="C9572" t="s">
        <v>7</v>
      </c>
      <c r="D9572">
        <v>93</v>
      </c>
      <c r="E9572" s="2">
        <v>8.414351851851852E-2</v>
      </c>
      <c r="F9572">
        <v>121.16666666666667</v>
      </c>
    </row>
    <row r="9573" spans="1:6" x14ac:dyDescent="0.25">
      <c r="A9573" s="1">
        <v>41791</v>
      </c>
      <c r="B9573" t="s">
        <v>24</v>
      </c>
      <c r="C9573" t="s">
        <v>8</v>
      </c>
      <c r="D9573">
        <v>57</v>
      </c>
      <c r="E9573" s="2">
        <v>4.3599537037037034E-2</v>
      </c>
      <c r="F9573">
        <v>62.783333333333331</v>
      </c>
    </row>
    <row r="9574" spans="1:6" x14ac:dyDescent="0.25">
      <c r="A9574" s="1">
        <v>41791</v>
      </c>
      <c r="B9574" t="s">
        <v>24</v>
      </c>
      <c r="C9574" t="s">
        <v>9</v>
      </c>
      <c r="D9574">
        <v>46</v>
      </c>
      <c r="E9574" s="2">
        <v>3.4027777777777775E-2</v>
      </c>
      <c r="F9574">
        <v>49</v>
      </c>
    </row>
    <row r="9575" spans="1:6" x14ac:dyDescent="0.25">
      <c r="A9575" s="1">
        <v>41791</v>
      </c>
      <c r="B9575" t="s">
        <v>24</v>
      </c>
      <c r="C9575" t="s">
        <v>10</v>
      </c>
      <c r="D9575">
        <v>2</v>
      </c>
      <c r="E9575" s="2">
        <v>4.2939814814814811E-3</v>
      </c>
      <c r="F9575">
        <v>6.1833333333333336</v>
      </c>
    </row>
    <row r="9576" spans="1:6" x14ac:dyDescent="0.25">
      <c r="A9576" s="1">
        <v>41791</v>
      </c>
      <c r="B9576" t="s">
        <v>24</v>
      </c>
      <c r="C9576" t="s">
        <v>11</v>
      </c>
      <c r="D9576">
        <v>77</v>
      </c>
      <c r="E9576" s="2">
        <v>5.9074074074074077E-2</v>
      </c>
      <c r="F9576">
        <v>85.066666666666663</v>
      </c>
    </row>
    <row r="9577" spans="1:6" x14ac:dyDescent="0.25">
      <c r="A9577" s="1">
        <v>41821</v>
      </c>
      <c r="B9577" t="s">
        <v>5</v>
      </c>
      <c r="C9577" t="s">
        <v>6</v>
      </c>
      <c r="D9577">
        <v>131</v>
      </c>
      <c r="E9577" s="2">
        <v>0.13467592592592592</v>
      </c>
      <c r="F9577">
        <v>193.93333333333334</v>
      </c>
    </row>
    <row r="9578" spans="1:6" x14ac:dyDescent="0.25">
      <c r="A9578" s="1">
        <v>41821</v>
      </c>
      <c r="B9578" t="s">
        <v>5</v>
      </c>
      <c r="C9578" t="s">
        <v>7</v>
      </c>
      <c r="D9578">
        <v>140</v>
      </c>
      <c r="E9578" s="2">
        <v>0.1278125</v>
      </c>
      <c r="F9578">
        <v>184.05</v>
      </c>
    </row>
    <row r="9579" spans="1:6" x14ac:dyDescent="0.25">
      <c r="A9579" s="1">
        <v>41821</v>
      </c>
      <c r="B9579" t="s">
        <v>5</v>
      </c>
      <c r="C9579" t="s">
        <v>8</v>
      </c>
      <c r="D9579">
        <v>87</v>
      </c>
      <c r="E9579" s="2">
        <v>8.4050925925925932E-2</v>
      </c>
      <c r="F9579">
        <v>121.03333333333333</v>
      </c>
    </row>
    <row r="9580" spans="1:6" x14ac:dyDescent="0.25">
      <c r="A9580" s="1">
        <v>41821</v>
      </c>
      <c r="B9580" t="s">
        <v>5</v>
      </c>
      <c r="C9580" t="s">
        <v>9</v>
      </c>
      <c r="D9580">
        <v>41</v>
      </c>
      <c r="E9580" s="2">
        <v>2.6932870370370371E-2</v>
      </c>
      <c r="F9580">
        <v>38.783333333333331</v>
      </c>
    </row>
    <row r="9581" spans="1:6" x14ac:dyDescent="0.25">
      <c r="A9581" s="1">
        <v>41821</v>
      </c>
      <c r="B9581" t="s">
        <v>5</v>
      </c>
      <c r="C9581" t="s">
        <v>10</v>
      </c>
      <c r="D9581">
        <v>26</v>
      </c>
      <c r="E9581" s="2">
        <v>2.2430555555555554E-2</v>
      </c>
      <c r="F9581">
        <v>32.299999999999997</v>
      </c>
    </row>
    <row r="9582" spans="1:6" x14ac:dyDescent="0.25">
      <c r="A9582" s="1">
        <v>41821</v>
      </c>
      <c r="B9582" t="s">
        <v>5</v>
      </c>
      <c r="C9582" t="s">
        <v>11</v>
      </c>
      <c r="D9582">
        <v>88</v>
      </c>
      <c r="E9582" s="2">
        <v>7.5543981481481476E-2</v>
      </c>
      <c r="F9582">
        <v>108.78333333333333</v>
      </c>
    </row>
    <row r="9583" spans="1:6" x14ac:dyDescent="0.25">
      <c r="A9583" s="1">
        <v>41821</v>
      </c>
      <c r="B9583" t="s">
        <v>12</v>
      </c>
      <c r="C9583" t="s">
        <v>6</v>
      </c>
      <c r="D9583">
        <v>49</v>
      </c>
      <c r="E9583" s="2">
        <v>7.18287037037037E-2</v>
      </c>
      <c r="F9583">
        <v>103.43333333333334</v>
      </c>
    </row>
    <row r="9584" spans="1:6" x14ac:dyDescent="0.25">
      <c r="A9584" s="1">
        <v>41821</v>
      </c>
      <c r="B9584" t="s">
        <v>12</v>
      </c>
      <c r="C9584" t="s">
        <v>7</v>
      </c>
      <c r="D9584">
        <v>40</v>
      </c>
      <c r="E9584" s="2">
        <v>6.9016203703703705E-2</v>
      </c>
      <c r="F9584">
        <v>99.38333333333334</v>
      </c>
    </row>
    <row r="9585" spans="1:6" x14ac:dyDescent="0.25">
      <c r="A9585" s="1">
        <v>41821</v>
      </c>
      <c r="B9585" t="s">
        <v>12</v>
      </c>
      <c r="C9585" t="s">
        <v>8</v>
      </c>
      <c r="D9585">
        <v>31</v>
      </c>
      <c r="E9585" s="2">
        <v>4.5567129629629631E-2</v>
      </c>
      <c r="F9585">
        <v>65.61666666666666</v>
      </c>
    </row>
    <row r="9586" spans="1:6" x14ac:dyDescent="0.25">
      <c r="A9586" s="1">
        <v>41821</v>
      </c>
      <c r="B9586" t="s">
        <v>12</v>
      </c>
      <c r="C9586" t="s">
        <v>9</v>
      </c>
      <c r="D9586">
        <v>27</v>
      </c>
      <c r="E9586" s="2">
        <v>2.4027777777777776E-2</v>
      </c>
      <c r="F9586">
        <v>34.6</v>
      </c>
    </row>
    <row r="9587" spans="1:6" x14ac:dyDescent="0.25">
      <c r="A9587" s="1">
        <v>41821</v>
      </c>
      <c r="B9587" t="s">
        <v>12</v>
      </c>
      <c r="C9587" t="s">
        <v>10</v>
      </c>
      <c r="D9587">
        <v>35</v>
      </c>
      <c r="E9587" s="2">
        <v>7.9363425925925921E-2</v>
      </c>
      <c r="F9587">
        <v>114.28333333333333</v>
      </c>
    </row>
    <row r="9588" spans="1:6" x14ac:dyDescent="0.25">
      <c r="A9588" s="1">
        <v>41821</v>
      </c>
      <c r="B9588" t="s">
        <v>12</v>
      </c>
      <c r="C9588" t="s">
        <v>11</v>
      </c>
      <c r="D9588">
        <v>43</v>
      </c>
      <c r="E9588" s="2">
        <v>4.7905092592592589E-2</v>
      </c>
      <c r="F9588">
        <v>68.983333333333334</v>
      </c>
    </row>
    <row r="9589" spans="1:6" x14ac:dyDescent="0.25">
      <c r="A9589" s="1">
        <v>41821</v>
      </c>
      <c r="B9589" t="s">
        <v>13</v>
      </c>
      <c r="C9589" t="s">
        <v>6</v>
      </c>
      <c r="D9589">
        <v>51</v>
      </c>
      <c r="E9589" s="2">
        <v>6.8379629629629624E-2</v>
      </c>
      <c r="F9589">
        <v>98.466666666666669</v>
      </c>
    </row>
    <row r="9590" spans="1:6" x14ac:dyDescent="0.25">
      <c r="A9590" s="1">
        <v>41821</v>
      </c>
      <c r="B9590" t="s">
        <v>13</v>
      </c>
      <c r="C9590" t="s">
        <v>7</v>
      </c>
      <c r="D9590">
        <v>65</v>
      </c>
      <c r="E9590" s="2">
        <v>0.11141203703703703</v>
      </c>
      <c r="F9590">
        <v>160.43333333333334</v>
      </c>
    </row>
    <row r="9591" spans="1:6" x14ac:dyDescent="0.25">
      <c r="A9591" s="1">
        <v>41821</v>
      </c>
      <c r="B9591" t="s">
        <v>13</v>
      </c>
      <c r="C9591" t="s">
        <v>8</v>
      </c>
      <c r="D9591">
        <v>43</v>
      </c>
      <c r="E9591" s="2">
        <v>5.7083333333333333E-2</v>
      </c>
      <c r="F9591">
        <v>82.2</v>
      </c>
    </row>
    <row r="9592" spans="1:6" x14ac:dyDescent="0.25">
      <c r="A9592" s="1">
        <v>41821</v>
      </c>
      <c r="B9592" t="s">
        <v>13</v>
      </c>
      <c r="C9592" t="s">
        <v>9</v>
      </c>
      <c r="D9592">
        <v>15</v>
      </c>
      <c r="E9592" s="2">
        <v>9.6412037037037039E-3</v>
      </c>
      <c r="F9592">
        <v>13.883333333333333</v>
      </c>
    </row>
    <row r="9593" spans="1:6" x14ac:dyDescent="0.25">
      <c r="A9593" s="1">
        <v>41821</v>
      </c>
      <c r="B9593" t="s">
        <v>13</v>
      </c>
      <c r="C9593" t="s">
        <v>10</v>
      </c>
      <c r="D9593">
        <v>12</v>
      </c>
      <c r="E9593" s="2">
        <v>1.6458333333333332E-2</v>
      </c>
      <c r="F9593">
        <v>23.7</v>
      </c>
    </row>
    <row r="9594" spans="1:6" x14ac:dyDescent="0.25">
      <c r="A9594" s="1">
        <v>41821</v>
      </c>
      <c r="B9594" t="s">
        <v>13</v>
      </c>
      <c r="C9594" t="s">
        <v>11</v>
      </c>
      <c r="D9594">
        <v>36</v>
      </c>
      <c r="E9594" s="2">
        <v>4.4062499999999998E-2</v>
      </c>
      <c r="F9594">
        <v>63.45</v>
      </c>
    </row>
    <row r="9595" spans="1:6" x14ac:dyDescent="0.25">
      <c r="A9595" s="1">
        <v>41821</v>
      </c>
      <c r="B9595" t="s">
        <v>14</v>
      </c>
      <c r="C9595" t="s">
        <v>6</v>
      </c>
      <c r="D9595">
        <v>9</v>
      </c>
      <c r="E9595" s="2">
        <v>1.0324074074074074E-2</v>
      </c>
      <c r="F9595">
        <v>14.866666666666667</v>
      </c>
    </row>
    <row r="9596" spans="1:6" x14ac:dyDescent="0.25">
      <c r="A9596" s="1">
        <v>41821</v>
      </c>
      <c r="B9596" t="s">
        <v>14</v>
      </c>
      <c r="C9596" t="s">
        <v>7</v>
      </c>
      <c r="D9596">
        <v>10</v>
      </c>
      <c r="E9596" s="2">
        <v>1.3287037037037036E-2</v>
      </c>
      <c r="F9596">
        <v>19.133333333333333</v>
      </c>
    </row>
    <row r="9597" spans="1:6" x14ac:dyDescent="0.25">
      <c r="A9597" s="1">
        <v>41821</v>
      </c>
      <c r="B9597" t="s">
        <v>14</v>
      </c>
      <c r="C9597" t="s">
        <v>8</v>
      </c>
      <c r="D9597">
        <v>10</v>
      </c>
      <c r="E9597" s="2">
        <v>1.0810185185185185E-2</v>
      </c>
      <c r="F9597">
        <v>15.566666666666666</v>
      </c>
    </row>
    <row r="9598" spans="1:6" x14ac:dyDescent="0.25">
      <c r="A9598" s="1">
        <v>41821</v>
      </c>
      <c r="B9598" t="s">
        <v>14</v>
      </c>
      <c r="C9598" t="s">
        <v>9</v>
      </c>
      <c r="D9598">
        <v>4</v>
      </c>
      <c r="E9598" s="2">
        <v>2.8819444444444444E-3</v>
      </c>
      <c r="F9598">
        <v>4.1500000000000004</v>
      </c>
    </row>
    <row r="9599" spans="1:6" x14ac:dyDescent="0.25">
      <c r="A9599" s="1">
        <v>41821</v>
      </c>
      <c r="B9599" t="s">
        <v>14</v>
      </c>
      <c r="C9599" t="s">
        <v>10</v>
      </c>
      <c r="D9599">
        <v>2</v>
      </c>
      <c r="E9599" s="2">
        <v>3.8310185185185183E-3</v>
      </c>
      <c r="F9599">
        <v>5.5166666666666666</v>
      </c>
    </row>
    <row r="9600" spans="1:6" x14ac:dyDescent="0.25">
      <c r="A9600" s="1">
        <v>41821</v>
      </c>
      <c r="B9600" t="s">
        <v>14</v>
      </c>
      <c r="C9600" t="s">
        <v>11</v>
      </c>
      <c r="D9600">
        <v>7</v>
      </c>
      <c r="E9600" s="2">
        <v>5.6249999999999998E-3</v>
      </c>
      <c r="F9600">
        <v>8.1</v>
      </c>
    </row>
    <row r="9601" spans="1:6" x14ac:dyDescent="0.25">
      <c r="A9601" s="1">
        <v>41821</v>
      </c>
      <c r="B9601" t="s">
        <v>15</v>
      </c>
      <c r="C9601" t="s">
        <v>6</v>
      </c>
      <c r="D9601">
        <v>19</v>
      </c>
      <c r="E9601" s="2">
        <v>2.9421296296296296E-2</v>
      </c>
      <c r="F9601">
        <v>42.366666666666667</v>
      </c>
    </row>
    <row r="9602" spans="1:6" x14ac:dyDescent="0.25">
      <c r="A9602" s="1">
        <v>41821</v>
      </c>
      <c r="B9602" t="s">
        <v>15</v>
      </c>
      <c r="C9602" t="s">
        <v>7</v>
      </c>
      <c r="D9602">
        <v>38</v>
      </c>
      <c r="E9602" s="2">
        <v>4.1238425925925928E-2</v>
      </c>
      <c r="F9602">
        <v>59.383333333333333</v>
      </c>
    </row>
    <row r="9603" spans="1:6" x14ac:dyDescent="0.25">
      <c r="A9603" s="1">
        <v>41821</v>
      </c>
      <c r="B9603" t="s">
        <v>15</v>
      </c>
      <c r="C9603" t="s">
        <v>8</v>
      </c>
      <c r="D9603">
        <v>20</v>
      </c>
      <c r="E9603" s="2">
        <v>1.7592592592592594E-2</v>
      </c>
      <c r="F9603">
        <v>25.333333333333332</v>
      </c>
    </row>
    <row r="9604" spans="1:6" x14ac:dyDescent="0.25">
      <c r="A9604" s="1">
        <v>41821</v>
      </c>
      <c r="B9604" t="s">
        <v>15</v>
      </c>
      <c r="C9604" t="s">
        <v>9</v>
      </c>
      <c r="D9604">
        <v>9</v>
      </c>
      <c r="E9604" s="2">
        <v>6.3078703703703708E-3</v>
      </c>
      <c r="F9604">
        <v>9.0833333333333339</v>
      </c>
    </row>
    <row r="9605" spans="1:6" x14ac:dyDescent="0.25">
      <c r="A9605" s="1">
        <v>41821</v>
      </c>
      <c r="B9605" t="s">
        <v>15</v>
      </c>
      <c r="C9605" t="s">
        <v>10</v>
      </c>
      <c r="D9605">
        <v>4</v>
      </c>
      <c r="E9605" s="2">
        <v>5.4745370370370373E-3</v>
      </c>
      <c r="F9605">
        <v>7.8833333333333329</v>
      </c>
    </row>
    <row r="9606" spans="1:6" x14ac:dyDescent="0.25">
      <c r="A9606" s="1">
        <v>41821</v>
      </c>
      <c r="B9606" t="s">
        <v>15</v>
      </c>
      <c r="C9606" t="s">
        <v>11</v>
      </c>
      <c r="D9606">
        <v>14</v>
      </c>
      <c r="E9606" s="2">
        <v>1.1967592592592592E-2</v>
      </c>
      <c r="F9606">
        <v>17.233333333333334</v>
      </c>
    </row>
    <row r="9607" spans="1:6" x14ac:dyDescent="0.25">
      <c r="A9607" s="1">
        <v>41821</v>
      </c>
      <c r="B9607" t="s">
        <v>16</v>
      </c>
      <c r="C9607" t="s">
        <v>6</v>
      </c>
      <c r="D9607">
        <v>20</v>
      </c>
      <c r="E9607" s="2">
        <v>1.9039351851851852E-2</v>
      </c>
      <c r="F9607">
        <v>27.416666666666668</v>
      </c>
    </row>
    <row r="9608" spans="1:6" x14ac:dyDescent="0.25">
      <c r="A9608" s="1">
        <v>41821</v>
      </c>
      <c r="B9608" t="s">
        <v>16</v>
      </c>
      <c r="C9608" t="s">
        <v>7</v>
      </c>
      <c r="D9608">
        <v>29</v>
      </c>
      <c r="E9608" s="2">
        <v>3.0567129629629628E-2</v>
      </c>
      <c r="F9608">
        <v>44.016666666666666</v>
      </c>
    </row>
    <row r="9609" spans="1:6" x14ac:dyDescent="0.25">
      <c r="A9609" s="1">
        <v>41821</v>
      </c>
      <c r="B9609" t="s">
        <v>16</v>
      </c>
      <c r="C9609" t="s">
        <v>8</v>
      </c>
      <c r="D9609">
        <v>24</v>
      </c>
      <c r="E9609" s="2">
        <v>2.4918981481481483E-2</v>
      </c>
      <c r="F9609">
        <v>35.883333333333333</v>
      </c>
    </row>
    <row r="9610" spans="1:6" x14ac:dyDescent="0.25">
      <c r="A9610" s="1">
        <v>41821</v>
      </c>
      <c r="B9610" t="s">
        <v>16</v>
      </c>
      <c r="C9610" t="s">
        <v>9</v>
      </c>
      <c r="D9610">
        <v>15</v>
      </c>
      <c r="E9610" s="2">
        <v>1.2708333333333334E-2</v>
      </c>
      <c r="F9610">
        <v>18.3</v>
      </c>
    </row>
    <row r="9611" spans="1:6" x14ac:dyDescent="0.25">
      <c r="A9611" s="1">
        <v>41821</v>
      </c>
      <c r="B9611" t="s">
        <v>16</v>
      </c>
      <c r="C9611" t="s">
        <v>10</v>
      </c>
      <c r="D9611">
        <v>1</v>
      </c>
      <c r="E9611" s="2">
        <v>1.7592592592592592E-3</v>
      </c>
      <c r="F9611">
        <v>2.5333333333333332</v>
      </c>
    </row>
    <row r="9612" spans="1:6" x14ac:dyDescent="0.25">
      <c r="A9612" s="1">
        <v>41821</v>
      </c>
      <c r="B9612" t="s">
        <v>16</v>
      </c>
      <c r="C9612" t="s">
        <v>11</v>
      </c>
      <c r="D9612">
        <v>28</v>
      </c>
      <c r="E9612" s="2">
        <v>3.050925925925926E-2</v>
      </c>
      <c r="F9612">
        <v>43.93333333333333</v>
      </c>
    </row>
    <row r="9613" spans="1:6" x14ac:dyDescent="0.25">
      <c r="A9613" s="1">
        <v>41821</v>
      </c>
      <c r="B9613" t="s">
        <v>17</v>
      </c>
      <c r="C9613" t="s">
        <v>6</v>
      </c>
      <c r="D9613">
        <v>17</v>
      </c>
      <c r="E9613" s="2">
        <v>1.4166666666666666E-2</v>
      </c>
      <c r="F9613">
        <v>20.399999999999999</v>
      </c>
    </row>
    <row r="9614" spans="1:6" x14ac:dyDescent="0.25">
      <c r="A9614" s="1">
        <v>41821</v>
      </c>
      <c r="B9614" t="s">
        <v>17</v>
      </c>
      <c r="C9614" t="s">
        <v>7</v>
      </c>
      <c r="D9614">
        <v>19</v>
      </c>
      <c r="E9614" s="2">
        <v>1.5324074074074073E-2</v>
      </c>
      <c r="F9614">
        <v>22.066666666666666</v>
      </c>
    </row>
    <row r="9615" spans="1:6" x14ac:dyDescent="0.25">
      <c r="A9615" s="1">
        <v>41821</v>
      </c>
      <c r="B9615" t="s">
        <v>17</v>
      </c>
      <c r="C9615" t="s">
        <v>8</v>
      </c>
      <c r="D9615">
        <v>12</v>
      </c>
      <c r="E9615" s="2">
        <v>1.3287037037037036E-2</v>
      </c>
      <c r="F9615">
        <v>19.133333333333333</v>
      </c>
    </row>
    <row r="9616" spans="1:6" x14ac:dyDescent="0.25">
      <c r="A9616" s="1">
        <v>41821</v>
      </c>
      <c r="B9616" t="s">
        <v>17</v>
      </c>
      <c r="C9616" t="s">
        <v>9</v>
      </c>
      <c r="D9616">
        <v>8</v>
      </c>
      <c r="E9616" s="2">
        <v>5.9837962962962961E-3</v>
      </c>
      <c r="F9616">
        <v>8.6166666666666671</v>
      </c>
    </row>
    <row r="9617" spans="1:6" x14ac:dyDescent="0.25">
      <c r="A9617" s="1">
        <v>41821</v>
      </c>
      <c r="B9617" t="s">
        <v>17</v>
      </c>
      <c r="C9617" t="s">
        <v>10</v>
      </c>
      <c r="D9617">
        <v>9</v>
      </c>
      <c r="E9617" s="2">
        <v>8.2523148148148148E-3</v>
      </c>
      <c r="F9617">
        <v>11.883333333333333</v>
      </c>
    </row>
    <row r="9618" spans="1:6" x14ac:dyDescent="0.25">
      <c r="A9618" s="1">
        <v>41821</v>
      </c>
      <c r="B9618" t="s">
        <v>17</v>
      </c>
      <c r="C9618" t="s">
        <v>11</v>
      </c>
      <c r="D9618">
        <v>4</v>
      </c>
      <c r="E9618" s="2">
        <v>3.1018518518518517E-3</v>
      </c>
      <c r="F9618">
        <v>4.4666666666666668</v>
      </c>
    </row>
    <row r="9619" spans="1:6" x14ac:dyDescent="0.25">
      <c r="A9619" s="1">
        <v>41821</v>
      </c>
      <c r="B9619" t="s">
        <v>18</v>
      </c>
      <c r="C9619" t="s">
        <v>6</v>
      </c>
      <c r="D9619">
        <v>68</v>
      </c>
      <c r="E9619" s="2">
        <v>5.9236111111111114E-2</v>
      </c>
      <c r="F9619">
        <v>85.3</v>
      </c>
    </row>
    <row r="9620" spans="1:6" x14ac:dyDescent="0.25">
      <c r="A9620" s="1">
        <v>41821</v>
      </c>
      <c r="B9620" t="s">
        <v>18</v>
      </c>
      <c r="C9620" t="s">
        <v>7</v>
      </c>
      <c r="D9620">
        <v>115</v>
      </c>
      <c r="E9620" s="2">
        <v>9.5254629629629634E-2</v>
      </c>
      <c r="F9620">
        <v>137.16666666666666</v>
      </c>
    </row>
    <row r="9621" spans="1:6" x14ac:dyDescent="0.25">
      <c r="A9621" s="1">
        <v>41821</v>
      </c>
      <c r="B9621" t="s">
        <v>18</v>
      </c>
      <c r="C9621" t="s">
        <v>8</v>
      </c>
      <c r="D9621">
        <v>43</v>
      </c>
      <c r="E9621" s="2">
        <v>3.5185185185185187E-2</v>
      </c>
      <c r="F9621">
        <v>50.666666666666664</v>
      </c>
    </row>
    <row r="9622" spans="1:6" x14ac:dyDescent="0.25">
      <c r="A9622" s="1">
        <v>41821</v>
      </c>
      <c r="B9622" t="s">
        <v>18</v>
      </c>
      <c r="C9622" t="s">
        <v>9</v>
      </c>
      <c r="D9622">
        <v>83</v>
      </c>
      <c r="E9622" s="2">
        <v>6.3090277777777773E-2</v>
      </c>
      <c r="F9622">
        <v>90.85</v>
      </c>
    </row>
    <row r="9623" spans="1:6" x14ac:dyDescent="0.25">
      <c r="A9623" s="1">
        <v>41821</v>
      </c>
      <c r="B9623" t="s">
        <v>18</v>
      </c>
      <c r="C9623" t="s">
        <v>10</v>
      </c>
      <c r="D9623">
        <v>143</v>
      </c>
      <c r="E9623" s="2">
        <v>0.16564814814814816</v>
      </c>
      <c r="F9623">
        <v>238.53333333333333</v>
      </c>
    </row>
    <row r="9624" spans="1:6" x14ac:dyDescent="0.25">
      <c r="A9624" s="1">
        <v>41821</v>
      </c>
      <c r="B9624" t="s">
        <v>18</v>
      </c>
      <c r="C9624" t="s">
        <v>11</v>
      </c>
      <c r="D9624">
        <v>60</v>
      </c>
      <c r="E9624" s="2">
        <v>4.4675925925925924E-2</v>
      </c>
      <c r="F9624">
        <v>64.333333333333329</v>
      </c>
    </row>
    <row r="9625" spans="1:6" x14ac:dyDescent="0.25">
      <c r="A9625" s="1">
        <v>41821</v>
      </c>
      <c r="B9625" t="s">
        <v>19</v>
      </c>
      <c r="C9625" t="s">
        <v>6</v>
      </c>
      <c r="D9625">
        <v>26</v>
      </c>
      <c r="E9625" s="2">
        <v>4.6458333333333331E-2</v>
      </c>
      <c r="F9625">
        <v>66.900000000000006</v>
      </c>
    </row>
    <row r="9626" spans="1:6" x14ac:dyDescent="0.25">
      <c r="A9626" s="1">
        <v>41821</v>
      </c>
      <c r="B9626" t="s">
        <v>19</v>
      </c>
      <c r="C9626" t="s">
        <v>7</v>
      </c>
      <c r="D9626">
        <v>45</v>
      </c>
      <c r="E9626" s="2">
        <v>5.8402777777777776E-2</v>
      </c>
      <c r="F9626">
        <v>84.1</v>
      </c>
    </row>
    <row r="9627" spans="1:6" x14ac:dyDescent="0.25">
      <c r="A9627" s="1">
        <v>41821</v>
      </c>
      <c r="B9627" t="s">
        <v>19</v>
      </c>
      <c r="C9627" t="s">
        <v>8</v>
      </c>
      <c r="D9627">
        <v>33</v>
      </c>
      <c r="E9627" s="2">
        <v>3.3310185185185186E-2</v>
      </c>
      <c r="F9627">
        <v>47.966666666666669</v>
      </c>
    </row>
    <row r="9628" spans="1:6" x14ac:dyDescent="0.25">
      <c r="A9628" s="1">
        <v>41821</v>
      </c>
      <c r="B9628" t="s">
        <v>19</v>
      </c>
      <c r="C9628" t="s">
        <v>9</v>
      </c>
      <c r="D9628">
        <v>25</v>
      </c>
      <c r="E9628" s="2">
        <v>1.7175925925925924E-2</v>
      </c>
      <c r="F9628">
        <v>24.733333333333334</v>
      </c>
    </row>
    <row r="9629" spans="1:6" x14ac:dyDescent="0.25">
      <c r="A9629" s="1">
        <v>41821</v>
      </c>
      <c r="B9629" t="s">
        <v>19</v>
      </c>
      <c r="C9629" t="s">
        <v>10</v>
      </c>
      <c r="D9629">
        <v>13</v>
      </c>
      <c r="E9629" s="2">
        <v>1.5868055555555555E-2</v>
      </c>
      <c r="F9629">
        <v>22.85</v>
      </c>
    </row>
    <row r="9630" spans="1:6" x14ac:dyDescent="0.25">
      <c r="A9630" s="1">
        <v>41821</v>
      </c>
      <c r="B9630" t="s">
        <v>19</v>
      </c>
      <c r="C9630" t="s">
        <v>11</v>
      </c>
      <c r="D9630">
        <v>39</v>
      </c>
      <c r="E9630" s="2">
        <v>3.4108796296296297E-2</v>
      </c>
      <c r="F9630">
        <v>49.116666666666667</v>
      </c>
    </row>
    <row r="9631" spans="1:6" x14ac:dyDescent="0.25">
      <c r="A9631" s="1">
        <v>41821</v>
      </c>
      <c r="B9631" t="s">
        <v>20</v>
      </c>
      <c r="C9631" t="s">
        <v>6</v>
      </c>
      <c r="D9631">
        <v>37</v>
      </c>
      <c r="E9631" s="2">
        <v>4.5439814814814815E-2</v>
      </c>
      <c r="F9631">
        <v>65.433333333333337</v>
      </c>
    </row>
    <row r="9632" spans="1:6" x14ac:dyDescent="0.25">
      <c r="A9632" s="1">
        <v>41821</v>
      </c>
      <c r="B9632" t="s">
        <v>20</v>
      </c>
      <c r="C9632" t="s">
        <v>7</v>
      </c>
      <c r="D9632">
        <v>47</v>
      </c>
      <c r="E9632" s="2">
        <v>5.2592592592592594E-2</v>
      </c>
      <c r="F9632">
        <v>75.733333333333334</v>
      </c>
    </row>
    <row r="9633" spans="1:6" x14ac:dyDescent="0.25">
      <c r="A9633" s="1">
        <v>41821</v>
      </c>
      <c r="B9633" t="s">
        <v>20</v>
      </c>
      <c r="C9633" t="s">
        <v>8</v>
      </c>
      <c r="D9633">
        <v>38</v>
      </c>
      <c r="E9633" s="2">
        <v>4.2488425925925923E-2</v>
      </c>
      <c r="F9633">
        <v>61.18333333333333</v>
      </c>
    </row>
    <row r="9634" spans="1:6" x14ac:dyDescent="0.25">
      <c r="A9634" s="1">
        <v>41821</v>
      </c>
      <c r="B9634" t="s">
        <v>20</v>
      </c>
      <c r="C9634" t="s">
        <v>9</v>
      </c>
      <c r="D9634">
        <v>23</v>
      </c>
      <c r="E9634" s="2">
        <v>1.667824074074074E-2</v>
      </c>
      <c r="F9634">
        <v>24.016666666666666</v>
      </c>
    </row>
    <row r="9635" spans="1:6" x14ac:dyDescent="0.25">
      <c r="A9635" s="1">
        <v>41821</v>
      </c>
      <c r="B9635" t="s">
        <v>20</v>
      </c>
      <c r="C9635" t="s">
        <v>10</v>
      </c>
      <c r="D9635">
        <v>10</v>
      </c>
      <c r="E9635" s="2">
        <v>8.8773148148148153E-3</v>
      </c>
      <c r="F9635">
        <v>12.783333333333333</v>
      </c>
    </row>
    <row r="9636" spans="1:6" x14ac:dyDescent="0.25">
      <c r="A9636" s="1">
        <v>41821</v>
      </c>
      <c r="B9636" t="s">
        <v>20</v>
      </c>
      <c r="C9636" t="s">
        <v>11</v>
      </c>
      <c r="D9636">
        <v>27</v>
      </c>
      <c r="E9636" s="2">
        <v>2.5069444444444443E-2</v>
      </c>
      <c r="F9636">
        <v>36.1</v>
      </c>
    </row>
    <row r="9637" spans="1:6" x14ac:dyDescent="0.25">
      <c r="A9637" s="1">
        <v>41821</v>
      </c>
      <c r="B9637" t="s">
        <v>21</v>
      </c>
      <c r="C9637" t="s">
        <v>6</v>
      </c>
      <c r="D9637">
        <v>9</v>
      </c>
      <c r="E9637" s="2">
        <v>1.1261574074074075E-2</v>
      </c>
      <c r="F9637">
        <v>16.216666666666665</v>
      </c>
    </row>
    <row r="9638" spans="1:6" x14ac:dyDescent="0.25">
      <c r="A9638" s="1">
        <v>41821</v>
      </c>
      <c r="B9638" t="s">
        <v>21</v>
      </c>
      <c r="C9638" t="s">
        <v>7</v>
      </c>
      <c r="D9638">
        <v>22</v>
      </c>
      <c r="E9638" s="2">
        <v>3.0671296296296297E-2</v>
      </c>
      <c r="F9638">
        <v>44.166666666666664</v>
      </c>
    </row>
    <row r="9639" spans="1:6" x14ac:dyDescent="0.25">
      <c r="A9639" s="1">
        <v>41821</v>
      </c>
      <c r="B9639" t="s">
        <v>21</v>
      </c>
      <c r="C9639" t="s">
        <v>8</v>
      </c>
      <c r="D9639">
        <v>13</v>
      </c>
      <c r="E9639" s="2">
        <v>1.7893518518518517E-2</v>
      </c>
      <c r="F9639">
        <v>25.766666666666666</v>
      </c>
    </row>
    <row r="9640" spans="1:6" x14ac:dyDescent="0.25">
      <c r="A9640" s="1">
        <v>41821</v>
      </c>
      <c r="B9640" t="s">
        <v>21</v>
      </c>
      <c r="C9640" t="s">
        <v>9</v>
      </c>
      <c r="D9640">
        <v>12</v>
      </c>
      <c r="E9640" s="2">
        <v>7.9976851851851858E-3</v>
      </c>
      <c r="F9640">
        <v>11.516666666666667</v>
      </c>
    </row>
    <row r="9641" spans="1:6" x14ac:dyDescent="0.25">
      <c r="A9641" s="1">
        <v>41821</v>
      </c>
      <c r="B9641" t="s">
        <v>21</v>
      </c>
      <c r="C9641" t="s">
        <v>10</v>
      </c>
      <c r="D9641">
        <v>6</v>
      </c>
      <c r="E9641" s="2">
        <v>7.4305555555555557E-3</v>
      </c>
      <c r="F9641">
        <v>10.7</v>
      </c>
    </row>
    <row r="9642" spans="1:6" x14ac:dyDescent="0.25">
      <c r="A9642" s="1">
        <v>41821</v>
      </c>
      <c r="B9642" t="s">
        <v>21</v>
      </c>
      <c r="C9642" t="s">
        <v>11</v>
      </c>
      <c r="D9642">
        <v>8</v>
      </c>
      <c r="E9642" s="2">
        <v>1.0636574074074074E-2</v>
      </c>
      <c r="F9642">
        <v>15.316666666666666</v>
      </c>
    </row>
    <row r="9643" spans="1:6" x14ac:dyDescent="0.25">
      <c r="A9643" s="1">
        <v>41821</v>
      </c>
      <c r="B9643" t="s">
        <v>22</v>
      </c>
      <c r="C9643" t="s">
        <v>6</v>
      </c>
      <c r="D9643">
        <v>5</v>
      </c>
      <c r="E9643" s="2">
        <v>8.7615740740740744E-3</v>
      </c>
      <c r="F9643">
        <v>12.616666666666667</v>
      </c>
    </row>
    <row r="9644" spans="1:6" x14ac:dyDescent="0.25">
      <c r="A9644" s="1">
        <v>41821</v>
      </c>
      <c r="B9644" t="s">
        <v>22</v>
      </c>
      <c r="C9644" t="s">
        <v>7</v>
      </c>
      <c r="D9644">
        <v>15</v>
      </c>
      <c r="E9644" s="2">
        <v>2.4386574074074074E-2</v>
      </c>
      <c r="F9644">
        <v>35.116666666666667</v>
      </c>
    </row>
    <row r="9645" spans="1:6" x14ac:dyDescent="0.25">
      <c r="A9645" s="1">
        <v>41821</v>
      </c>
      <c r="B9645" t="s">
        <v>22</v>
      </c>
      <c r="C9645" t="s">
        <v>8</v>
      </c>
      <c r="D9645">
        <v>7</v>
      </c>
      <c r="E9645" s="2">
        <v>1.0162037037037037E-2</v>
      </c>
      <c r="F9645">
        <v>14.633333333333333</v>
      </c>
    </row>
    <row r="9646" spans="1:6" x14ac:dyDescent="0.25">
      <c r="A9646" s="1">
        <v>41821</v>
      </c>
      <c r="B9646" t="s">
        <v>22</v>
      </c>
      <c r="C9646" t="s">
        <v>9</v>
      </c>
      <c r="D9646">
        <v>9</v>
      </c>
      <c r="E9646" s="2">
        <v>5.2430555555555555E-3</v>
      </c>
      <c r="F9646">
        <v>7.55</v>
      </c>
    </row>
    <row r="9647" spans="1:6" x14ac:dyDescent="0.25">
      <c r="A9647" s="1">
        <v>41821</v>
      </c>
      <c r="B9647" t="s">
        <v>22</v>
      </c>
      <c r="C9647" t="s">
        <v>10</v>
      </c>
      <c r="D9647">
        <v>0</v>
      </c>
      <c r="E9647" s="2">
        <v>0</v>
      </c>
      <c r="F9647">
        <v>0</v>
      </c>
    </row>
    <row r="9648" spans="1:6" x14ac:dyDescent="0.25">
      <c r="A9648" s="1">
        <v>41821</v>
      </c>
      <c r="B9648" t="s">
        <v>22</v>
      </c>
      <c r="C9648" t="s">
        <v>11</v>
      </c>
      <c r="D9648">
        <v>2</v>
      </c>
      <c r="E9648" s="2">
        <v>3.2060185185185186E-3</v>
      </c>
      <c r="F9648">
        <v>4.6166666666666671</v>
      </c>
    </row>
    <row r="9649" spans="1:6" x14ac:dyDescent="0.25">
      <c r="A9649" s="1">
        <v>41821</v>
      </c>
      <c r="B9649" t="s">
        <v>23</v>
      </c>
      <c r="C9649" t="s">
        <v>6</v>
      </c>
      <c r="D9649">
        <v>95</v>
      </c>
      <c r="E9649" s="2">
        <v>0.10928240740740741</v>
      </c>
      <c r="F9649">
        <v>157.36666666666667</v>
      </c>
    </row>
    <row r="9650" spans="1:6" x14ac:dyDescent="0.25">
      <c r="A9650" s="1">
        <v>41821</v>
      </c>
      <c r="B9650" t="s">
        <v>23</v>
      </c>
      <c r="C9650" t="s">
        <v>7</v>
      </c>
      <c r="D9650">
        <v>123</v>
      </c>
      <c r="E9650" s="2">
        <v>0.15090277777777777</v>
      </c>
      <c r="F9650">
        <v>217.3</v>
      </c>
    </row>
    <row r="9651" spans="1:6" x14ac:dyDescent="0.25">
      <c r="A9651" s="1">
        <v>41821</v>
      </c>
      <c r="B9651" t="s">
        <v>23</v>
      </c>
      <c r="C9651" t="s">
        <v>8</v>
      </c>
      <c r="D9651">
        <v>91</v>
      </c>
      <c r="E9651" s="2">
        <v>8.8657407407407407E-2</v>
      </c>
      <c r="F9651">
        <v>127.66666666666667</v>
      </c>
    </row>
    <row r="9652" spans="1:6" x14ac:dyDescent="0.25">
      <c r="A9652" s="1">
        <v>41821</v>
      </c>
      <c r="B9652" t="s">
        <v>23</v>
      </c>
      <c r="C9652" t="s">
        <v>9</v>
      </c>
      <c r="D9652">
        <v>47</v>
      </c>
      <c r="E9652" s="2">
        <v>2.8946759259259259E-2</v>
      </c>
      <c r="F9652">
        <v>41.68333333333333</v>
      </c>
    </row>
    <row r="9653" spans="1:6" x14ac:dyDescent="0.25">
      <c r="A9653" s="1">
        <v>41821</v>
      </c>
      <c r="B9653" t="s">
        <v>23</v>
      </c>
      <c r="C9653" t="s">
        <v>10</v>
      </c>
      <c r="D9653">
        <v>30</v>
      </c>
      <c r="E9653" s="2">
        <v>4.0474537037037038E-2</v>
      </c>
      <c r="F9653">
        <v>58.283333333333331</v>
      </c>
    </row>
    <row r="9654" spans="1:6" x14ac:dyDescent="0.25">
      <c r="A9654" s="1">
        <v>41821</v>
      </c>
      <c r="B9654" t="s">
        <v>23</v>
      </c>
      <c r="C9654" t="s">
        <v>11</v>
      </c>
      <c r="D9654">
        <v>97</v>
      </c>
      <c r="E9654" s="2">
        <v>8.576388888888889E-2</v>
      </c>
      <c r="F9654">
        <v>123.5</v>
      </c>
    </row>
    <row r="9655" spans="1:6" x14ac:dyDescent="0.25">
      <c r="A9655" s="1">
        <v>41821</v>
      </c>
      <c r="B9655" t="s">
        <v>24</v>
      </c>
      <c r="C9655" t="s">
        <v>6</v>
      </c>
      <c r="D9655">
        <v>152</v>
      </c>
      <c r="E9655" s="2">
        <v>0.15964120370370372</v>
      </c>
      <c r="F9655">
        <v>229.88333333333333</v>
      </c>
    </row>
    <row r="9656" spans="1:6" x14ac:dyDescent="0.25">
      <c r="A9656" s="1">
        <v>41821</v>
      </c>
      <c r="B9656" t="s">
        <v>24</v>
      </c>
      <c r="C9656" t="s">
        <v>7</v>
      </c>
      <c r="D9656">
        <v>112</v>
      </c>
      <c r="E9656" s="2">
        <v>0.10347222222222222</v>
      </c>
      <c r="F9656">
        <v>149</v>
      </c>
    </row>
    <row r="9657" spans="1:6" x14ac:dyDescent="0.25">
      <c r="A9657" s="1">
        <v>41821</v>
      </c>
      <c r="B9657" t="s">
        <v>24</v>
      </c>
      <c r="C9657" t="s">
        <v>8</v>
      </c>
      <c r="D9657">
        <v>69</v>
      </c>
      <c r="E9657" s="2">
        <v>5.9305555555555556E-2</v>
      </c>
      <c r="F9657">
        <v>85.4</v>
      </c>
    </row>
    <row r="9658" spans="1:6" x14ac:dyDescent="0.25">
      <c r="A9658" s="1">
        <v>41821</v>
      </c>
      <c r="B9658" t="s">
        <v>24</v>
      </c>
      <c r="C9658" t="s">
        <v>9</v>
      </c>
      <c r="D9658">
        <v>58</v>
      </c>
      <c r="E9658" s="2">
        <v>3.7916666666666668E-2</v>
      </c>
      <c r="F9658">
        <v>54.6</v>
      </c>
    </row>
    <row r="9659" spans="1:6" x14ac:dyDescent="0.25">
      <c r="A9659" s="1">
        <v>41821</v>
      </c>
      <c r="B9659" t="s">
        <v>24</v>
      </c>
      <c r="C9659" t="s">
        <v>10</v>
      </c>
      <c r="D9659">
        <v>9</v>
      </c>
      <c r="E9659" s="2">
        <v>1.2060185185185186E-2</v>
      </c>
      <c r="F9659">
        <v>17.366666666666667</v>
      </c>
    </row>
    <row r="9660" spans="1:6" x14ac:dyDescent="0.25">
      <c r="A9660" s="1">
        <v>41821</v>
      </c>
      <c r="B9660" t="s">
        <v>24</v>
      </c>
      <c r="C9660" t="s">
        <v>11</v>
      </c>
      <c r="D9660">
        <v>87</v>
      </c>
      <c r="E9660" s="2">
        <v>6.5972222222222224E-2</v>
      </c>
      <c r="F9660">
        <v>95</v>
      </c>
    </row>
    <row r="9661" spans="1:6" x14ac:dyDescent="0.25">
      <c r="A9661" s="1">
        <v>41852</v>
      </c>
      <c r="B9661" t="s">
        <v>5</v>
      </c>
      <c r="C9661" t="s">
        <v>6</v>
      </c>
      <c r="D9661">
        <v>32</v>
      </c>
      <c r="E9661" s="2">
        <v>3.1608796296296295E-2</v>
      </c>
      <c r="F9661">
        <v>45.516666666666666</v>
      </c>
    </row>
    <row r="9662" spans="1:6" x14ac:dyDescent="0.25">
      <c r="A9662" s="1">
        <v>41852</v>
      </c>
      <c r="B9662" t="s">
        <v>5</v>
      </c>
      <c r="C9662" t="s">
        <v>7</v>
      </c>
      <c r="D9662">
        <v>45</v>
      </c>
      <c r="E9662" s="2">
        <v>3.6851851851851851E-2</v>
      </c>
      <c r="F9662">
        <v>53.06666666666667</v>
      </c>
    </row>
    <row r="9663" spans="1:6" x14ac:dyDescent="0.25">
      <c r="A9663" s="1">
        <v>41852</v>
      </c>
      <c r="B9663" t="s">
        <v>5</v>
      </c>
      <c r="C9663" t="s">
        <v>8</v>
      </c>
      <c r="D9663">
        <v>35</v>
      </c>
      <c r="E9663" s="2">
        <v>2.9895833333333333E-2</v>
      </c>
      <c r="F9663">
        <v>43.05</v>
      </c>
    </row>
    <row r="9664" spans="1:6" x14ac:dyDescent="0.25">
      <c r="A9664" s="1">
        <v>41852</v>
      </c>
      <c r="B9664" t="s">
        <v>5</v>
      </c>
      <c r="C9664" t="s">
        <v>9</v>
      </c>
      <c r="D9664">
        <v>14</v>
      </c>
      <c r="E9664" s="2">
        <v>6.6666666666666671E-3</v>
      </c>
      <c r="F9664">
        <v>9.6</v>
      </c>
    </row>
    <row r="9665" spans="1:6" x14ac:dyDescent="0.25">
      <c r="A9665" s="1">
        <v>41852</v>
      </c>
      <c r="B9665" t="s">
        <v>5</v>
      </c>
      <c r="C9665" t="s">
        <v>10</v>
      </c>
      <c r="D9665">
        <v>5</v>
      </c>
      <c r="E9665" s="2">
        <v>9.7222222222222219E-4</v>
      </c>
      <c r="F9665">
        <v>1.4</v>
      </c>
    </row>
    <row r="9666" spans="1:6" x14ac:dyDescent="0.25">
      <c r="A9666" s="1">
        <v>41852</v>
      </c>
      <c r="B9666" t="s">
        <v>5</v>
      </c>
      <c r="C9666" t="s">
        <v>11</v>
      </c>
      <c r="D9666">
        <v>25</v>
      </c>
      <c r="E9666" s="2">
        <v>2.2569444444444444E-2</v>
      </c>
      <c r="F9666">
        <v>32.5</v>
      </c>
    </row>
    <row r="9667" spans="1:6" x14ac:dyDescent="0.25">
      <c r="A9667" s="1">
        <v>41852</v>
      </c>
      <c r="B9667" t="s">
        <v>12</v>
      </c>
      <c r="C9667" t="s">
        <v>6</v>
      </c>
      <c r="D9667">
        <v>62</v>
      </c>
      <c r="E9667" s="2">
        <v>9.0925925925925924E-2</v>
      </c>
      <c r="F9667">
        <v>130.93333333333334</v>
      </c>
    </row>
    <row r="9668" spans="1:6" x14ac:dyDescent="0.25">
      <c r="A9668" s="1">
        <v>41852</v>
      </c>
      <c r="B9668" t="s">
        <v>12</v>
      </c>
      <c r="C9668" t="s">
        <v>7</v>
      </c>
      <c r="D9668">
        <v>37</v>
      </c>
      <c r="E9668" s="2">
        <v>6.0011574074074071E-2</v>
      </c>
      <c r="F9668">
        <v>86.416666666666671</v>
      </c>
    </row>
    <row r="9669" spans="1:6" x14ac:dyDescent="0.25">
      <c r="A9669" s="1">
        <v>41852</v>
      </c>
      <c r="B9669" t="s">
        <v>12</v>
      </c>
      <c r="C9669" t="s">
        <v>8</v>
      </c>
      <c r="D9669">
        <v>12</v>
      </c>
      <c r="E9669" s="2">
        <v>1.8287037037037036E-2</v>
      </c>
      <c r="F9669">
        <v>26.333333333333332</v>
      </c>
    </row>
    <row r="9670" spans="1:6" x14ac:dyDescent="0.25">
      <c r="A9670" s="1">
        <v>41852</v>
      </c>
      <c r="B9670" t="s">
        <v>12</v>
      </c>
      <c r="C9670" t="s">
        <v>9</v>
      </c>
      <c r="D9670">
        <v>18</v>
      </c>
      <c r="E9670" s="2">
        <v>1.5057870370370371E-2</v>
      </c>
      <c r="F9670">
        <v>21.683333333333334</v>
      </c>
    </row>
    <row r="9671" spans="1:6" x14ac:dyDescent="0.25">
      <c r="A9671" s="1">
        <v>41852</v>
      </c>
      <c r="B9671" t="s">
        <v>12</v>
      </c>
      <c r="C9671" t="s">
        <v>10</v>
      </c>
      <c r="D9671">
        <v>26</v>
      </c>
      <c r="E9671" s="2">
        <v>5.3252314814814815E-2</v>
      </c>
      <c r="F9671">
        <v>76.683333333333337</v>
      </c>
    </row>
    <row r="9672" spans="1:6" x14ac:dyDescent="0.25">
      <c r="A9672" s="1">
        <v>41852</v>
      </c>
      <c r="B9672" t="s">
        <v>12</v>
      </c>
      <c r="C9672" t="s">
        <v>11</v>
      </c>
      <c r="D9672">
        <v>42</v>
      </c>
      <c r="E9672" s="2">
        <v>4.7546296296296295E-2</v>
      </c>
      <c r="F9672">
        <v>68.466666666666669</v>
      </c>
    </row>
    <row r="9673" spans="1:6" x14ac:dyDescent="0.25">
      <c r="A9673" s="1">
        <v>41852</v>
      </c>
      <c r="B9673" t="s">
        <v>13</v>
      </c>
      <c r="C9673" t="s">
        <v>6</v>
      </c>
      <c r="D9673">
        <v>66</v>
      </c>
      <c r="E9673" s="2">
        <v>9.0590277777777783E-2</v>
      </c>
      <c r="F9673">
        <v>130.44999999999999</v>
      </c>
    </row>
    <row r="9674" spans="1:6" x14ac:dyDescent="0.25">
      <c r="A9674" s="1">
        <v>41852</v>
      </c>
      <c r="B9674" t="s">
        <v>13</v>
      </c>
      <c r="C9674" t="s">
        <v>7</v>
      </c>
      <c r="D9674">
        <v>68</v>
      </c>
      <c r="E9674" s="2">
        <v>0.1071875</v>
      </c>
      <c r="F9674">
        <v>154.35</v>
      </c>
    </row>
    <row r="9675" spans="1:6" x14ac:dyDescent="0.25">
      <c r="A9675" s="1">
        <v>41852</v>
      </c>
      <c r="B9675" t="s">
        <v>13</v>
      </c>
      <c r="C9675" t="s">
        <v>8</v>
      </c>
      <c r="D9675">
        <v>43</v>
      </c>
      <c r="E9675" s="2">
        <v>5.7500000000000002E-2</v>
      </c>
      <c r="F9675">
        <v>82.8</v>
      </c>
    </row>
    <row r="9676" spans="1:6" x14ac:dyDescent="0.25">
      <c r="A9676" s="1">
        <v>41852</v>
      </c>
      <c r="B9676" t="s">
        <v>13</v>
      </c>
      <c r="C9676" t="s">
        <v>9</v>
      </c>
      <c r="D9676">
        <v>18</v>
      </c>
      <c r="E9676" s="2">
        <v>1.2812499999999999E-2</v>
      </c>
      <c r="F9676">
        <v>18.45</v>
      </c>
    </row>
    <row r="9677" spans="1:6" x14ac:dyDescent="0.25">
      <c r="A9677" s="1">
        <v>41852</v>
      </c>
      <c r="B9677" t="s">
        <v>13</v>
      </c>
      <c r="C9677" t="s">
        <v>10</v>
      </c>
      <c r="D9677">
        <v>12</v>
      </c>
      <c r="E9677" s="2">
        <v>2.1562499999999998E-2</v>
      </c>
      <c r="F9677">
        <v>31.05</v>
      </c>
    </row>
    <row r="9678" spans="1:6" x14ac:dyDescent="0.25">
      <c r="A9678" s="1">
        <v>41852</v>
      </c>
      <c r="B9678" t="s">
        <v>13</v>
      </c>
      <c r="C9678" t="s">
        <v>11</v>
      </c>
      <c r="D9678">
        <v>34</v>
      </c>
      <c r="E9678" s="2">
        <v>4.1608796296296297E-2</v>
      </c>
      <c r="F9678">
        <v>59.916666666666664</v>
      </c>
    </row>
    <row r="9679" spans="1:6" x14ac:dyDescent="0.25">
      <c r="A9679" s="1">
        <v>41852</v>
      </c>
      <c r="B9679" t="s">
        <v>14</v>
      </c>
      <c r="C9679" t="s">
        <v>6</v>
      </c>
      <c r="D9679">
        <v>17</v>
      </c>
      <c r="E9679" s="2">
        <v>2.1122685185185185E-2</v>
      </c>
      <c r="F9679">
        <v>30.416666666666668</v>
      </c>
    </row>
    <row r="9680" spans="1:6" x14ac:dyDescent="0.25">
      <c r="A9680" s="1">
        <v>41852</v>
      </c>
      <c r="B9680" t="s">
        <v>14</v>
      </c>
      <c r="C9680" t="s">
        <v>7</v>
      </c>
      <c r="D9680">
        <v>8</v>
      </c>
      <c r="E9680" s="2">
        <v>9.6643518518518511E-3</v>
      </c>
      <c r="F9680">
        <v>13.916666666666666</v>
      </c>
    </row>
    <row r="9681" spans="1:6" x14ac:dyDescent="0.25">
      <c r="A9681" s="1">
        <v>41852</v>
      </c>
      <c r="B9681" t="s">
        <v>14</v>
      </c>
      <c r="C9681" t="s">
        <v>8</v>
      </c>
      <c r="D9681">
        <v>4</v>
      </c>
      <c r="E9681" s="2">
        <v>5.5902777777777773E-3</v>
      </c>
      <c r="F9681">
        <v>8.0500000000000007</v>
      </c>
    </row>
    <row r="9682" spans="1:6" x14ac:dyDescent="0.25">
      <c r="A9682" s="1">
        <v>41852</v>
      </c>
      <c r="B9682" t="s">
        <v>14</v>
      </c>
      <c r="C9682" t="s">
        <v>9</v>
      </c>
      <c r="D9682">
        <v>2</v>
      </c>
      <c r="E9682" s="2">
        <v>1.5046296296296296E-3</v>
      </c>
      <c r="F9682">
        <v>2.1666666666666665</v>
      </c>
    </row>
    <row r="9683" spans="1:6" x14ac:dyDescent="0.25">
      <c r="A9683" s="1">
        <v>41852</v>
      </c>
      <c r="B9683" t="s">
        <v>14</v>
      </c>
      <c r="C9683" t="s">
        <v>10</v>
      </c>
      <c r="D9683">
        <v>0</v>
      </c>
      <c r="E9683" s="2">
        <v>0</v>
      </c>
      <c r="F9683">
        <v>0</v>
      </c>
    </row>
    <row r="9684" spans="1:6" x14ac:dyDescent="0.25">
      <c r="A9684" s="1">
        <v>41852</v>
      </c>
      <c r="B9684" t="s">
        <v>14</v>
      </c>
      <c r="C9684" t="s">
        <v>11</v>
      </c>
      <c r="D9684">
        <v>11</v>
      </c>
      <c r="E9684" s="2">
        <v>1.275462962962963E-2</v>
      </c>
      <c r="F9684">
        <v>18.366666666666667</v>
      </c>
    </row>
    <row r="9685" spans="1:6" x14ac:dyDescent="0.25">
      <c r="A9685" s="1">
        <v>41852</v>
      </c>
      <c r="B9685" t="s">
        <v>15</v>
      </c>
      <c r="C9685" t="s">
        <v>6</v>
      </c>
      <c r="D9685">
        <v>27</v>
      </c>
      <c r="E9685" s="2">
        <v>3.5196759259259261E-2</v>
      </c>
      <c r="F9685">
        <v>50.68333333333333</v>
      </c>
    </row>
    <row r="9686" spans="1:6" x14ac:dyDescent="0.25">
      <c r="A9686" s="1">
        <v>41852</v>
      </c>
      <c r="B9686" t="s">
        <v>15</v>
      </c>
      <c r="C9686" t="s">
        <v>7</v>
      </c>
      <c r="D9686">
        <v>23</v>
      </c>
      <c r="E9686" s="2">
        <v>3.1053240740740742E-2</v>
      </c>
      <c r="F9686">
        <v>44.716666666666669</v>
      </c>
    </row>
    <row r="9687" spans="1:6" x14ac:dyDescent="0.25">
      <c r="A9687" s="1">
        <v>41852</v>
      </c>
      <c r="B9687" t="s">
        <v>15</v>
      </c>
      <c r="C9687" t="s">
        <v>8</v>
      </c>
      <c r="D9687">
        <v>11</v>
      </c>
      <c r="E9687" s="2">
        <v>1.3888888888888888E-2</v>
      </c>
      <c r="F9687">
        <v>20</v>
      </c>
    </row>
    <row r="9688" spans="1:6" x14ac:dyDescent="0.25">
      <c r="A9688" s="1">
        <v>41852</v>
      </c>
      <c r="B9688" t="s">
        <v>15</v>
      </c>
      <c r="C9688" t="s">
        <v>9</v>
      </c>
      <c r="D9688">
        <v>5</v>
      </c>
      <c r="E9688" s="2">
        <v>4.2361111111111115E-3</v>
      </c>
      <c r="F9688">
        <v>6.1</v>
      </c>
    </row>
    <row r="9689" spans="1:6" x14ac:dyDescent="0.25">
      <c r="A9689" s="1">
        <v>41852</v>
      </c>
      <c r="B9689" t="s">
        <v>15</v>
      </c>
      <c r="C9689" t="s">
        <v>10</v>
      </c>
      <c r="D9689">
        <v>3</v>
      </c>
      <c r="E9689" s="2">
        <v>4.0856481481481481E-3</v>
      </c>
      <c r="F9689">
        <v>5.8833333333333329</v>
      </c>
    </row>
    <row r="9690" spans="1:6" x14ac:dyDescent="0.25">
      <c r="A9690" s="1">
        <v>41852</v>
      </c>
      <c r="B9690" t="s">
        <v>15</v>
      </c>
      <c r="C9690" t="s">
        <v>11</v>
      </c>
      <c r="D9690">
        <v>10</v>
      </c>
      <c r="E9690" s="2">
        <v>1.005787037037037E-2</v>
      </c>
      <c r="F9690">
        <v>14.483333333333333</v>
      </c>
    </row>
    <row r="9691" spans="1:6" x14ac:dyDescent="0.25">
      <c r="A9691" s="1">
        <v>41852</v>
      </c>
      <c r="B9691" t="s">
        <v>16</v>
      </c>
      <c r="C9691" t="s">
        <v>6</v>
      </c>
      <c r="D9691">
        <v>16</v>
      </c>
      <c r="E9691" s="2">
        <v>1.4861111111111111E-2</v>
      </c>
      <c r="F9691">
        <v>21.4</v>
      </c>
    </row>
    <row r="9692" spans="1:6" x14ac:dyDescent="0.25">
      <c r="A9692" s="1">
        <v>41852</v>
      </c>
      <c r="B9692" t="s">
        <v>16</v>
      </c>
      <c r="C9692" t="s">
        <v>7</v>
      </c>
      <c r="D9692">
        <v>31</v>
      </c>
      <c r="E9692" s="2">
        <v>3.005787037037037E-2</v>
      </c>
      <c r="F9692">
        <v>43.283333333333331</v>
      </c>
    </row>
    <row r="9693" spans="1:6" x14ac:dyDescent="0.25">
      <c r="A9693" s="1">
        <v>41852</v>
      </c>
      <c r="B9693" t="s">
        <v>16</v>
      </c>
      <c r="C9693" t="s">
        <v>8</v>
      </c>
      <c r="D9693">
        <v>29</v>
      </c>
      <c r="E9693" s="2">
        <v>2.042824074074074E-2</v>
      </c>
      <c r="F9693">
        <v>29.416666666666668</v>
      </c>
    </row>
    <row r="9694" spans="1:6" x14ac:dyDescent="0.25">
      <c r="A9694" s="1">
        <v>41852</v>
      </c>
      <c r="B9694" t="s">
        <v>16</v>
      </c>
      <c r="C9694" t="s">
        <v>9</v>
      </c>
      <c r="D9694">
        <v>8</v>
      </c>
      <c r="E9694" s="2">
        <v>5.5902777777777773E-3</v>
      </c>
      <c r="F9694">
        <v>8.0500000000000007</v>
      </c>
    </row>
    <row r="9695" spans="1:6" x14ac:dyDescent="0.25">
      <c r="A9695" s="1">
        <v>41852</v>
      </c>
      <c r="B9695" t="s">
        <v>16</v>
      </c>
      <c r="C9695" t="s">
        <v>10</v>
      </c>
      <c r="D9695">
        <v>2</v>
      </c>
      <c r="E9695" s="2">
        <v>2.0254629629629629E-3</v>
      </c>
      <c r="F9695">
        <v>2.9166666666666665</v>
      </c>
    </row>
    <row r="9696" spans="1:6" x14ac:dyDescent="0.25">
      <c r="A9696" s="1">
        <v>41852</v>
      </c>
      <c r="B9696" t="s">
        <v>16</v>
      </c>
      <c r="C9696" t="s">
        <v>11</v>
      </c>
      <c r="D9696">
        <v>30</v>
      </c>
      <c r="E9696" s="2">
        <v>2.7337962962962963E-2</v>
      </c>
      <c r="F9696">
        <v>39.366666666666667</v>
      </c>
    </row>
    <row r="9697" spans="1:6" x14ac:dyDescent="0.25">
      <c r="A9697" s="1">
        <v>41852</v>
      </c>
      <c r="B9697" t="s">
        <v>17</v>
      </c>
      <c r="C9697" t="s">
        <v>6</v>
      </c>
      <c r="D9697">
        <v>29</v>
      </c>
      <c r="E9697" s="2">
        <v>3.664351851851852E-2</v>
      </c>
      <c r="F9697">
        <v>52.766666666666666</v>
      </c>
    </row>
    <row r="9698" spans="1:6" x14ac:dyDescent="0.25">
      <c r="A9698" s="1">
        <v>41852</v>
      </c>
      <c r="B9698" t="s">
        <v>17</v>
      </c>
      <c r="C9698" t="s">
        <v>7</v>
      </c>
      <c r="D9698">
        <v>30</v>
      </c>
      <c r="E9698" s="2">
        <v>3.888888888888889E-2</v>
      </c>
      <c r="F9698">
        <v>56</v>
      </c>
    </row>
    <row r="9699" spans="1:6" x14ac:dyDescent="0.25">
      <c r="A9699" s="1">
        <v>41852</v>
      </c>
      <c r="B9699" t="s">
        <v>17</v>
      </c>
      <c r="C9699" t="s">
        <v>8</v>
      </c>
      <c r="D9699">
        <v>26</v>
      </c>
      <c r="E9699" s="2">
        <v>3.1597222222222221E-2</v>
      </c>
      <c r="F9699">
        <v>45.5</v>
      </c>
    </row>
    <row r="9700" spans="1:6" x14ac:dyDescent="0.25">
      <c r="A9700" s="1">
        <v>41852</v>
      </c>
      <c r="B9700" t="s">
        <v>17</v>
      </c>
      <c r="C9700" t="s">
        <v>9</v>
      </c>
      <c r="D9700">
        <v>14</v>
      </c>
      <c r="E9700" s="2">
        <v>1.0497685185185185E-2</v>
      </c>
      <c r="F9700">
        <v>15.116666666666667</v>
      </c>
    </row>
    <row r="9701" spans="1:6" x14ac:dyDescent="0.25">
      <c r="A9701" s="1">
        <v>41852</v>
      </c>
      <c r="B9701" t="s">
        <v>17</v>
      </c>
      <c r="C9701" t="s">
        <v>10</v>
      </c>
      <c r="D9701">
        <v>13</v>
      </c>
      <c r="E9701" s="2">
        <v>2.2615740740740742E-2</v>
      </c>
      <c r="F9701">
        <v>32.56666666666667</v>
      </c>
    </row>
    <row r="9702" spans="1:6" x14ac:dyDescent="0.25">
      <c r="A9702" s="1">
        <v>41852</v>
      </c>
      <c r="B9702" t="s">
        <v>17</v>
      </c>
      <c r="C9702" t="s">
        <v>11</v>
      </c>
      <c r="D9702">
        <v>20</v>
      </c>
      <c r="E9702" s="2">
        <v>1.8067129629629631E-2</v>
      </c>
      <c r="F9702">
        <v>26.016666666666666</v>
      </c>
    </row>
    <row r="9703" spans="1:6" x14ac:dyDescent="0.25">
      <c r="A9703" s="1">
        <v>41852</v>
      </c>
      <c r="B9703" t="s">
        <v>18</v>
      </c>
      <c r="C9703" t="s">
        <v>6</v>
      </c>
      <c r="D9703">
        <v>75</v>
      </c>
      <c r="E9703" s="2">
        <v>7.2627314814814811E-2</v>
      </c>
      <c r="F9703">
        <v>104.58333333333333</v>
      </c>
    </row>
    <row r="9704" spans="1:6" x14ac:dyDescent="0.25">
      <c r="A9704" s="1">
        <v>41852</v>
      </c>
      <c r="B9704" t="s">
        <v>18</v>
      </c>
      <c r="C9704" t="s">
        <v>7</v>
      </c>
      <c r="D9704">
        <v>113</v>
      </c>
      <c r="E9704" s="2">
        <v>0.10071759259259259</v>
      </c>
      <c r="F9704">
        <v>145.03333333333333</v>
      </c>
    </row>
    <row r="9705" spans="1:6" x14ac:dyDescent="0.25">
      <c r="A9705" s="1">
        <v>41852</v>
      </c>
      <c r="B9705" t="s">
        <v>18</v>
      </c>
      <c r="C9705" t="s">
        <v>8</v>
      </c>
      <c r="D9705">
        <v>54</v>
      </c>
      <c r="E9705" s="2">
        <v>4.6886574074074074E-2</v>
      </c>
      <c r="F9705">
        <v>67.516666666666666</v>
      </c>
    </row>
    <row r="9706" spans="1:6" x14ac:dyDescent="0.25">
      <c r="A9706" s="1">
        <v>41852</v>
      </c>
      <c r="B9706" t="s">
        <v>18</v>
      </c>
      <c r="C9706" t="s">
        <v>9</v>
      </c>
      <c r="D9706">
        <v>82</v>
      </c>
      <c r="E9706" s="2">
        <v>6.2291666666666669E-2</v>
      </c>
      <c r="F9706">
        <v>89.7</v>
      </c>
    </row>
    <row r="9707" spans="1:6" x14ac:dyDescent="0.25">
      <c r="A9707" s="1">
        <v>41852</v>
      </c>
      <c r="B9707" t="s">
        <v>18</v>
      </c>
      <c r="C9707" t="s">
        <v>10</v>
      </c>
      <c r="D9707">
        <v>120</v>
      </c>
      <c r="E9707" s="2">
        <v>0.13952546296296298</v>
      </c>
      <c r="F9707">
        <v>200.91666666666666</v>
      </c>
    </row>
    <row r="9708" spans="1:6" x14ac:dyDescent="0.25">
      <c r="A9708" s="1">
        <v>41852</v>
      </c>
      <c r="B9708" t="s">
        <v>18</v>
      </c>
      <c r="C9708" t="s">
        <v>11</v>
      </c>
      <c r="D9708">
        <v>62</v>
      </c>
      <c r="E9708" s="2">
        <v>3.9560185185185184E-2</v>
      </c>
      <c r="F9708">
        <v>56.966666666666669</v>
      </c>
    </row>
    <row r="9709" spans="1:6" x14ac:dyDescent="0.25">
      <c r="A9709" s="1">
        <v>41852</v>
      </c>
      <c r="B9709" t="s">
        <v>19</v>
      </c>
      <c r="C9709" t="s">
        <v>6</v>
      </c>
      <c r="D9709">
        <v>16</v>
      </c>
      <c r="E9709" s="2">
        <v>1.6030092592592592E-2</v>
      </c>
      <c r="F9709">
        <v>23.083333333333332</v>
      </c>
    </row>
    <row r="9710" spans="1:6" x14ac:dyDescent="0.25">
      <c r="A9710" s="1">
        <v>41852</v>
      </c>
      <c r="B9710" t="s">
        <v>19</v>
      </c>
      <c r="C9710" t="s">
        <v>7</v>
      </c>
      <c r="D9710">
        <v>26</v>
      </c>
      <c r="E9710" s="2">
        <v>2.9131944444444443E-2</v>
      </c>
      <c r="F9710">
        <v>41.95</v>
      </c>
    </row>
    <row r="9711" spans="1:6" x14ac:dyDescent="0.25">
      <c r="A9711" s="1">
        <v>41852</v>
      </c>
      <c r="B9711" t="s">
        <v>19</v>
      </c>
      <c r="C9711" t="s">
        <v>8</v>
      </c>
      <c r="D9711">
        <v>16</v>
      </c>
      <c r="E9711" s="2">
        <v>1.6192129629629629E-2</v>
      </c>
      <c r="F9711">
        <v>23.316666666666666</v>
      </c>
    </row>
    <row r="9712" spans="1:6" x14ac:dyDescent="0.25">
      <c r="A9712" s="1">
        <v>41852</v>
      </c>
      <c r="B9712" t="s">
        <v>19</v>
      </c>
      <c r="C9712" t="s">
        <v>9</v>
      </c>
      <c r="D9712">
        <v>13</v>
      </c>
      <c r="E9712" s="2">
        <v>1.0844907407407407E-2</v>
      </c>
      <c r="F9712">
        <v>15.616666666666667</v>
      </c>
    </row>
    <row r="9713" spans="1:6" x14ac:dyDescent="0.25">
      <c r="A9713" s="1">
        <v>41852</v>
      </c>
      <c r="B9713" t="s">
        <v>19</v>
      </c>
      <c r="C9713" t="s">
        <v>10</v>
      </c>
      <c r="D9713">
        <v>4</v>
      </c>
      <c r="E9713" s="2">
        <v>4.7916666666666663E-3</v>
      </c>
      <c r="F9713">
        <v>6.9</v>
      </c>
    </row>
    <row r="9714" spans="1:6" x14ac:dyDescent="0.25">
      <c r="A9714" s="1">
        <v>41852</v>
      </c>
      <c r="B9714" t="s">
        <v>19</v>
      </c>
      <c r="C9714" t="s">
        <v>11</v>
      </c>
      <c r="D9714">
        <v>15</v>
      </c>
      <c r="E9714" s="2">
        <v>1.2060185185185186E-2</v>
      </c>
      <c r="F9714">
        <v>17.366666666666667</v>
      </c>
    </row>
    <row r="9715" spans="1:6" x14ac:dyDescent="0.25">
      <c r="A9715" s="1">
        <v>41852</v>
      </c>
      <c r="B9715" t="s">
        <v>20</v>
      </c>
      <c r="C9715" t="s">
        <v>6</v>
      </c>
      <c r="D9715">
        <v>48</v>
      </c>
      <c r="E9715" s="2">
        <v>5.5787037037037038E-2</v>
      </c>
      <c r="F9715">
        <v>80.333333333333329</v>
      </c>
    </row>
    <row r="9716" spans="1:6" x14ac:dyDescent="0.25">
      <c r="A9716" s="1">
        <v>41852</v>
      </c>
      <c r="B9716" t="s">
        <v>20</v>
      </c>
      <c r="C9716" t="s">
        <v>7</v>
      </c>
      <c r="D9716">
        <v>55</v>
      </c>
      <c r="E9716" s="2">
        <v>6.7708333333333329E-2</v>
      </c>
      <c r="F9716">
        <v>97.5</v>
      </c>
    </row>
    <row r="9717" spans="1:6" x14ac:dyDescent="0.25">
      <c r="A9717" s="1">
        <v>41852</v>
      </c>
      <c r="B9717" t="s">
        <v>20</v>
      </c>
      <c r="C9717" t="s">
        <v>8</v>
      </c>
      <c r="D9717">
        <v>45</v>
      </c>
      <c r="E9717" s="2">
        <v>4.3078703703703702E-2</v>
      </c>
      <c r="F9717">
        <v>62.033333333333331</v>
      </c>
    </row>
    <row r="9718" spans="1:6" x14ac:dyDescent="0.25">
      <c r="A9718" s="1">
        <v>41852</v>
      </c>
      <c r="B9718" t="s">
        <v>20</v>
      </c>
      <c r="C9718" t="s">
        <v>9</v>
      </c>
      <c r="D9718">
        <v>24</v>
      </c>
      <c r="E9718" s="2">
        <v>1.8796296296296297E-2</v>
      </c>
      <c r="F9718">
        <v>27.066666666666666</v>
      </c>
    </row>
    <row r="9719" spans="1:6" x14ac:dyDescent="0.25">
      <c r="A9719" s="1">
        <v>41852</v>
      </c>
      <c r="B9719" t="s">
        <v>20</v>
      </c>
      <c r="C9719" t="s">
        <v>10</v>
      </c>
      <c r="D9719">
        <v>10</v>
      </c>
      <c r="E9719" s="2">
        <v>1.3854166666666667E-2</v>
      </c>
      <c r="F9719">
        <v>19.95</v>
      </c>
    </row>
    <row r="9720" spans="1:6" x14ac:dyDescent="0.25">
      <c r="A9720" s="1">
        <v>41852</v>
      </c>
      <c r="B9720" t="s">
        <v>20</v>
      </c>
      <c r="C9720" t="s">
        <v>11</v>
      </c>
      <c r="D9720">
        <v>30</v>
      </c>
      <c r="E9720" s="2">
        <v>3.1631944444444442E-2</v>
      </c>
      <c r="F9720">
        <v>45.55</v>
      </c>
    </row>
    <row r="9721" spans="1:6" x14ac:dyDescent="0.25">
      <c r="A9721" s="1">
        <v>41852</v>
      </c>
      <c r="B9721" t="s">
        <v>21</v>
      </c>
      <c r="C9721" t="s">
        <v>6</v>
      </c>
      <c r="D9721">
        <v>11</v>
      </c>
      <c r="E9721" s="2">
        <v>1.34375E-2</v>
      </c>
      <c r="F9721">
        <v>19.350000000000001</v>
      </c>
    </row>
    <row r="9722" spans="1:6" x14ac:dyDescent="0.25">
      <c r="A9722" s="1">
        <v>41852</v>
      </c>
      <c r="B9722" t="s">
        <v>21</v>
      </c>
      <c r="C9722" t="s">
        <v>7</v>
      </c>
      <c r="D9722">
        <v>27</v>
      </c>
      <c r="E9722" s="2">
        <v>2.8078703703703703E-2</v>
      </c>
      <c r="F9722">
        <v>40.43333333333333</v>
      </c>
    </row>
    <row r="9723" spans="1:6" x14ac:dyDescent="0.25">
      <c r="A9723" s="1">
        <v>41852</v>
      </c>
      <c r="B9723" t="s">
        <v>21</v>
      </c>
      <c r="C9723" t="s">
        <v>8</v>
      </c>
      <c r="D9723">
        <v>13</v>
      </c>
      <c r="E9723" s="2">
        <v>1.7349537037037038E-2</v>
      </c>
      <c r="F9723">
        <v>24.983333333333334</v>
      </c>
    </row>
    <row r="9724" spans="1:6" x14ac:dyDescent="0.25">
      <c r="A9724" s="1">
        <v>41852</v>
      </c>
      <c r="B9724" t="s">
        <v>21</v>
      </c>
      <c r="C9724" t="s">
        <v>9</v>
      </c>
      <c r="D9724">
        <v>18</v>
      </c>
      <c r="E9724" s="2">
        <v>1.4768518518518519E-2</v>
      </c>
      <c r="F9724">
        <v>21.266666666666666</v>
      </c>
    </row>
    <row r="9725" spans="1:6" x14ac:dyDescent="0.25">
      <c r="A9725" s="1">
        <v>41852</v>
      </c>
      <c r="B9725" t="s">
        <v>21</v>
      </c>
      <c r="C9725" t="s">
        <v>10</v>
      </c>
      <c r="D9725">
        <v>13</v>
      </c>
      <c r="E9725" s="2">
        <v>1.2337962962962964E-2</v>
      </c>
      <c r="F9725">
        <v>17.766666666666666</v>
      </c>
    </row>
    <row r="9726" spans="1:6" x14ac:dyDescent="0.25">
      <c r="A9726" s="1">
        <v>41852</v>
      </c>
      <c r="B9726" t="s">
        <v>21</v>
      </c>
      <c r="C9726" t="s">
        <v>11</v>
      </c>
      <c r="D9726">
        <v>7</v>
      </c>
      <c r="E9726" s="2">
        <v>4.1898148148148146E-3</v>
      </c>
      <c r="F9726">
        <v>6.0333333333333332</v>
      </c>
    </row>
    <row r="9727" spans="1:6" x14ac:dyDescent="0.25">
      <c r="A9727" s="1">
        <v>41852</v>
      </c>
      <c r="B9727" t="s">
        <v>22</v>
      </c>
      <c r="C9727" t="s">
        <v>6</v>
      </c>
      <c r="D9727">
        <v>12</v>
      </c>
      <c r="E9727" s="2">
        <v>1.462962962962963E-2</v>
      </c>
      <c r="F9727">
        <v>21.066666666666666</v>
      </c>
    </row>
    <row r="9728" spans="1:6" x14ac:dyDescent="0.25">
      <c r="A9728" s="1">
        <v>41852</v>
      </c>
      <c r="B9728" t="s">
        <v>22</v>
      </c>
      <c r="C9728" t="s">
        <v>7</v>
      </c>
      <c r="D9728">
        <v>11</v>
      </c>
      <c r="E9728" s="2">
        <v>1.9849537037037037E-2</v>
      </c>
      <c r="F9728">
        <v>28.583333333333332</v>
      </c>
    </row>
    <row r="9729" spans="1:6" x14ac:dyDescent="0.25">
      <c r="A9729" s="1">
        <v>41852</v>
      </c>
      <c r="B9729" t="s">
        <v>22</v>
      </c>
      <c r="C9729" t="s">
        <v>8</v>
      </c>
      <c r="D9729">
        <v>5</v>
      </c>
      <c r="E9729" s="2">
        <v>5.6134259259259262E-3</v>
      </c>
      <c r="F9729">
        <v>8.0833333333333339</v>
      </c>
    </row>
    <row r="9730" spans="1:6" x14ac:dyDescent="0.25">
      <c r="A9730" s="1">
        <v>41852</v>
      </c>
      <c r="B9730" t="s">
        <v>22</v>
      </c>
      <c r="C9730" t="s">
        <v>9</v>
      </c>
      <c r="D9730">
        <v>9</v>
      </c>
      <c r="E9730" s="2">
        <v>7.789351851851852E-3</v>
      </c>
      <c r="F9730">
        <v>11.216666666666667</v>
      </c>
    </row>
    <row r="9731" spans="1:6" x14ac:dyDescent="0.25">
      <c r="A9731" s="1">
        <v>41852</v>
      </c>
      <c r="B9731" t="s">
        <v>22</v>
      </c>
      <c r="C9731" t="s">
        <v>10</v>
      </c>
      <c r="D9731">
        <v>2</v>
      </c>
      <c r="E9731" s="2">
        <v>3.9930555555555552E-3</v>
      </c>
      <c r="F9731">
        <v>5.75</v>
      </c>
    </row>
    <row r="9732" spans="1:6" x14ac:dyDescent="0.25">
      <c r="A9732" s="1">
        <v>41852</v>
      </c>
      <c r="B9732" t="s">
        <v>22</v>
      </c>
      <c r="C9732" t="s">
        <v>11</v>
      </c>
      <c r="D9732">
        <v>10</v>
      </c>
      <c r="E9732" s="2">
        <v>1.1527777777777777E-2</v>
      </c>
      <c r="F9732">
        <v>16.600000000000001</v>
      </c>
    </row>
    <row r="9733" spans="1:6" x14ac:dyDescent="0.25">
      <c r="A9733" s="1">
        <v>41852</v>
      </c>
      <c r="B9733" t="s">
        <v>23</v>
      </c>
      <c r="C9733" t="s">
        <v>6</v>
      </c>
      <c r="D9733">
        <v>51</v>
      </c>
      <c r="E9733" s="2">
        <v>5.9363425925925924E-2</v>
      </c>
      <c r="F9733">
        <v>85.483333333333334</v>
      </c>
    </row>
    <row r="9734" spans="1:6" x14ac:dyDescent="0.25">
      <c r="A9734" s="1">
        <v>41852</v>
      </c>
      <c r="B9734" t="s">
        <v>23</v>
      </c>
      <c r="C9734" t="s">
        <v>7</v>
      </c>
      <c r="D9734">
        <v>99</v>
      </c>
      <c r="E9734" s="2">
        <v>0.1149074074074074</v>
      </c>
      <c r="F9734">
        <v>165.46666666666667</v>
      </c>
    </row>
    <row r="9735" spans="1:6" x14ac:dyDescent="0.25">
      <c r="A9735" s="1">
        <v>41852</v>
      </c>
      <c r="B9735" t="s">
        <v>23</v>
      </c>
      <c r="C9735" t="s">
        <v>8</v>
      </c>
      <c r="D9735">
        <v>76</v>
      </c>
      <c r="E9735" s="2">
        <v>8.5173611111111117E-2</v>
      </c>
      <c r="F9735">
        <v>122.65</v>
      </c>
    </row>
    <row r="9736" spans="1:6" x14ac:dyDescent="0.25">
      <c r="A9736" s="1">
        <v>41852</v>
      </c>
      <c r="B9736" t="s">
        <v>23</v>
      </c>
      <c r="C9736" t="s">
        <v>9</v>
      </c>
      <c r="D9736">
        <v>37</v>
      </c>
      <c r="E9736" s="2">
        <v>2.7939814814814813E-2</v>
      </c>
      <c r="F9736">
        <v>40.233333333333334</v>
      </c>
    </row>
    <row r="9737" spans="1:6" x14ac:dyDescent="0.25">
      <c r="A9737" s="1">
        <v>41852</v>
      </c>
      <c r="B9737" t="s">
        <v>23</v>
      </c>
      <c r="C9737" t="s">
        <v>10</v>
      </c>
      <c r="D9737">
        <v>29</v>
      </c>
      <c r="E9737" s="2">
        <v>3.1539351851851853E-2</v>
      </c>
      <c r="F9737">
        <v>45.416666666666664</v>
      </c>
    </row>
    <row r="9738" spans="1:6" x14ac:dyDescent="0.25">
      <c r="A9738" s="1">
        <v>41852</v>
      </c>
      <c r="B9738" t="s">
        <v>23</v>
      </c>
      <c r="C9738" t="s">
        <v>11</v>
      </c>
      <c r="D9738">
        <v>72</v>
      </c>
      <c r="E9738" s="2">
        <v>7.256944444444445E-2</v>
      </c>
      <c r="F9738">
        <v>104.5</v>
      </c>
    </row>
    <row r="9739" spans="1:6" x14ac:dyDescent="0.25">
      <c r="A9739" s="1">
        <v>41852</v>
      </c>
      <c r="B9739" t="s">
        <v>24</v>
      </c>
      <c r="C9739" t="s">
        <v>6</v>
      </c>
      <c r="D9739">
        <v>47</v>
      </c>
      <c r="E9739" s="2">
        <v>4.8402777777777781E-2</v>
      </c>
      <c r="F9739">
        <v>69.7</v>
      </c>
    </row>
    <row r="9740" spans="1:6" x14ac:dyDescent="0.25">
      <c r="A9740" s="1">
        <v>41852</v>
      </c>
      <c r="B9740" t="s">
        <v>24</v>
      </c>
      <c r="C9740" t="s">
        <v>7</v>
      </c>
      <c r="D9740">
        <v>74</v>
      </c>
      <c r="E9740" s="2">
        <v>6.2233796296296294E-2</v>
      </c>
      <c r="F9740">
        <v>89.61666666666666</v>
      </c>
    </row>
    <row r="9741" spans="1:6" x14ac:dyDescent="0.25">
      <c r="A9741" s="1">
        <v>41852</v>
      </c>
      <c r="B9741" t="s">
        <v>24</v>
      </c>
      <c r="C9741" t="s">
        <v>8</v>
      </c>
      <c r="D9741">
        <v>35</v>
      </c>
      <c r="E9741" s="2">
        <v>3.197916666666667E-2</v>
      </c>
      <c r="F9741">
        <v>46.05</v>
      </c>
    </row>
    <row r="9742" spans="1:6" x14ac:dyDescent="0.25">
      <c r="A9742" s="1">
        <v>41852</v>
      </c>
      <c r="B9742" t="s">
        <v>24</v>
      </c>
      <c r="C9742" t="s">
        <v>9</v>
      </c>
      <c r="D9742">
        <v>29</v>
      </c>
      <c r="E9742" s="2">
        <v>1.9375E-2</v>
      </c>
      <c r="F9742">
        <v>27.9</v>
      </c>
    </row>
    <row r="9743" spans="1:6" x14ac:dyDescent="0.25">
      <c r="A9743" s="1">
        <v>41852</v>
      </c>
      <c r="B9743" t="s">
        <v>24</v>
      </c>
      <c r="C9743" t="s">
        <v>10</v>
      </c>
      <c r="D9743">
        <v>0</v>
      </c>
      <c r="E9743" s="2">
        <v>0</v>
      </c>
      <c r="F9743">
        <v>0</v>
      </c>
    </row>
    <row r="9744" spans="1:6" x14ac:dyDescent="0.25">
      <c r="A9744" s="1">
        <v>41852</v>
      </c>
      <c r="B9744" t="s">
        <v>24</v>
      </c>
      <c r="C9744" t="s">
        <v>11</v>
      </c>
      <c r="D9744">
        <v>33</v>
      </c>
      <c r="E9744" s="2">
        <v>2.255787037037037E-2</v>
      </c>
      <c r="F9744">
        <v>32.483333333333334</v>
      </c>
    </row>
    <row r="9745" spans="1:6" x14ac:dyDescent="0.25">
      <c r="A9745" s="1">
        <v>41883</v>
      </c>
      <c r="B9745" t="s">
        <v>5</v>
      </c>
      <c r="C9745" t="s">
        <v>6</v>
      </c>
      <c r="D9745">
        <v>40</v>
      </c>
      <c r="E9745" s="2">
        <v>4.2314814814814812E-2</v>
      </c>
      <c r="F9745">
        <v>60.93333333333333</v>
      </c>
    </row>
    <row r="9746" spans="1:6" x14ac:dyDescent="0.25">
      <c r="A9746" s="1">
        <v>41883</v>
      </c>
      <c r="B9746" t="s">
        <v>5</v>
      </c>
      <c r="C9746" t="s">
        <v>7</v>
      </c>
      <c r="D9746">
        <v>54</v>
      </c>
      <c r="E9746" s="2">
        <v>5.0613425925925923E-2</v>
      </c>
      <c r="F9746">
        <v>72.88333333333334</v>
      </c>
    </row>
    <row r="9747" spans="1:6" x14ac:dyDescent="0.25">
      <c r="A9747" s="1">
        <v>41883</v>
      </c>
      <c r="B9747" t="s">
        <v>5</v>
      </c>
      <c r="C9747" t="s">
        <v>8</v>
      </c>
      <c r="D9747">
        <v>40</v>
      </c>
      <c r="E9747" s="2">
        <v>3.8483796296296294E-2</v>
      </c>
      <c r="F9747">
        <v>55.416666666666664</v>
      </c>
    </row>
    <row r="9748" spans="1:6" x14ac:dyDescent="0.25">
      <c r="A9748" s="1">
        <v>41883</v>
      </c>
      <c r="B9748" t="s">
        <v>5</v>
      </c>
      <c r="C9748" t="s">
        <v>9</v>
      </c>
      <c r="D9748">
        <v>7</v>
      </c>
      <c r="E9748" s="2">
        <v>4.7106481481481478E-3</v>
      </c>
      <c r="F9748">
        <v>6.7833333333333332</v>
      </c>
    </row>
    <row r="9749" spans="1:6" x14ac:dyDescent="0.25">
      <c r="A9749" s="1">
        <v>41883</v>
      </c>
      <c r="B9749" t="s">
        <v>5</v>
      </c>
      <c r="C9749" t="s">
        <v>10</v>
      </c>
      <c r="D9749">
        <v>6</v>
      </c>
      <c r="E9749" s="2">
        <v>5.3935185185185188E-3</v>
      </c>
      <c r="F9749">
        <v>7.7666666666666666</v>
      </c>
    </row>
    <row r="9750" spans="1:6" x14ac:dyDescent="0.25">
      <c r="A9750" s="1">
        <v>41883</v>
      </c>
      <c r="B9750" t="s">
        <v>5</v>
      </c>
      <c r="C9750" t="s">
        <v>11</v>
      </c>
      <c r="D9750">
        <v>47</v>
      </c>
      <c r="E9750" s="2">
        <v>3.7245370370370373E-2</v>
      </c>
      <c r="F9750">
        <v>53.633333333333333</v>
      </c>
    </row>
    <row r="9751" spans="1:6" x14ac:dyDescent="0.25">
      <c r="A9751" s="1">
        <v>41883</v>
      </c>
      <c r="B9751" t="s">
        <v>12</v>
      </c>
      <c r="C9751" t="s">
        <v>6</v>
      </c>
      <c r="D9751">
        <v>63</v>
      </c>
      <c r="E9751" s="2">
        <v>9.1203703703703703E-2</v>
      </c>
      <c r="F9751">
        <v>131.33333333333334</v>
      </c>
    </row>
    <row r="9752" spans="1:6" x14ac:dyDescent="0.25">
      <c r="A9752" s="1">
        <v>41883</v>
      </c>
      <c r="B9752" t="s">
        <v>12</v>
      </c>
      <c r="C9752" t="s">
        <v>7</v>
      </c>
      <c r="D9752">
        <v>43</v>
      </c>
      <c r="E9752" s="2">
        <v>8.6944444444444449E-2</v>
      </c>
      <c r="F9752">
        <v>125.2</v>
      </c>
    </row>
    <row r="9753" spans="1:6" x14ac:dyDescent="0.25">
      <c r="A9753" s="1">
        <v>41883</v>
      </c>
      <c r="B9753" t="s">
        <v>12</v>
      </c>
      <c r="C9753" t="s">
        <v>8</v>
      </c>
      <c r="D9753">
        <v>24</v>
      </c>
      <c r="E9753" s="2">
        <v>3.30787037037037E-2</v>
      </c>
      <c r="F9753">
        <v>47.633333333333333</v>
      </c>
    </row>
    <row r="9754" spans="1:6" x14ac:dyDescent="0.25">
      <c r="A9754" s="1">
        <v>41883</v>
      </c>
      <c r="B9754" t="s">
        <v>12</v>
      </c>
      <c r="C9754" t="s">
        <v>9</v>
      </c>
      <c r="D9754">
        <v>20</v>
      </c>
      <c r="E9754" s="2">
        <v>1.7951388888888888E-2</v>
      </c>
      <c r="F9754">
        <v>25.85</v>
      </c>
    </row>
    <row r="9755" spans="1:6" x14ac:dyDescent="0.25">
      <c r="A9755" s="1">
        <v>41883</v>
      </c>
      <c r="B9755" t="s">
        <v>12</v>
      </c>
      <c r="C9755" t="s">
        <v>10</v>
      </c>
      <c r="D9755">
        <v>30</v>
      </c>
      <c r="E9755" s="2">
        <v>6.2384259259259257E-2</v>
      </c>
      <c r="F9755">
        <v>89.833333333333329</v>
      </c>
    </row>
    <row r="9756" spans="1:6" x14ac:dyDescent="0.25">
      <c r="A9756" s="1">
        <v>41883</v>
      </c>
      <c r="B9756" t="s">
        <v>12</v>
      </c>
      <c r="C9756" t="s">
        <v>11</v>
      </c>
      <c r="D9756">
        <v>56</v>
      </c>
      <c r="E9756" s="2">
        <v>6.3530092592592596E-2</v>
      </c>
      <c r="F9756">
        <v>91.483333333333334</v>
      </c>
    </row>
    <row r="9757" spans="1:6" x14ac:dyDescent="0.25">
      <c r="A9757" s="1">
        <v>41883</v>
      </c>
      <c r="B9757" t="s">
        <v>13</v>
      </c>
      <c r="C9757" t="s">
        <v>6</v>
      </c>
      <c r="D9757">
        <v>66</v>
      </c>
      <c r="E9757" s="2">
        <v>8.245370370370371E-2</v>
      </c>
      <c r="F9757">
        <v>118.73333333333333</v>
      </c>
    </row>
    <row r="9758" spans="1:6" x14ac:dyDescent="0.25">
      <c r="A9758" s="1">
        <v>41883</v>
      </c>
      <c r="B9758" t="s">
        <v>13</v>
      </c>
      <c r="C9758" t="s">
        <v>7</v>
      </c>
      <c r="D9758">
        <v>85</v>
      </c>
      <c r="E9758" s="2">
        <v>0.10623842592592593</v>
      </c>
      <c r="F9758">
        <v>152.98333333333332</v>
      </c>
    </row>
    <row r="9759" spans="1:6" x14ac:dyDescent="0.25">
      <c r="A9759" s="1">
        <v>41883</v>
      </c>
      <c r="B9759" t="s">
        <v>13</v>
      </c>
      <c r="C9759" t="s">
        <v>8</v>
      </c>
      <c r="D9759">
        <v>60</v>
      </c>
      <c r="E9759" s="2">
        <v>7.2361111111111112E-2</v>
      </c>
      <c r="F9759">
        <v>104.2</v>
      </c>
    </row>
    <row r="9760" spans="1:6" x14ac:dyDescent="0.25">
      <c r="A9760" s="1">
        <v>41883</v>
      </c>
      <c r="B9760" t="s">
        <v>13</v>
      </c>
      <c r="C9760" t="s">
        <v>9</v>
      </c>
      <c r="D9760">
        <v>30</v>
      </c>
      <c r="E9760" s="2">
        <v>1.9930555555555556E-2</v>
      </c>
      <c r="F9760">
        <v>28.7</v>
      </c>
    </row>
    <row r="9761" spans="1:6" x14ac:dyDescent="0.25">
      <c r="A9761" s="1">
        <v>41883</v>
      </c>
      <c r="B9761" t="s">
        <v>13</v>
      </c>
      <c r="C9761" t="s">
        <v>10</v>
      </c>
      <c r="D9761">
        <v>6</v>
      </c>
      <c r="E9761" s="2">
        <v>3.7037037037037038E-3</v>
      </c>
      <c r="F9761">
        <v>5.333333333333333</v>
      </c>
    </row>
    <row r="9762" spans="1:6" x14ac:dyDescent="0.25">
      <c r="A9762" s="1">
        <v>41883</v>
      </c>
      <c r="B9762" t="s">
        <v>13</v>
      </c>
      <c r="C9762" t="s">
        <v>11</v>
      </c>
      <c r="D9762">
        <v>43</v>
      </c>
      <c r="E9762" s="2">
        <v>4.6273148148148147E-2</v>
      </c>
      <c r="F9762">
        <v>66.63333333333334</v>
      </c>
    </row>
    <row r="9763" spans="1:6" x14ac:dyDescent="0.25">
      <c r="A9763" s="1">
        <v>41883</v>
      </c>
      <c r="B9763" t="s">
        <v>14</v>
      </c>
      <c r="C9763" t="s">
        <v>6</v>
      </c>
      <c r="D9763">
        <v>23</v>
      </c>
      <c r="E9763" s="2">
        <v>2.9722222222222223E-2</v>
      </c>
      <c r="F9763">
        <v>42.8</v>
      </c>
    </row>
    <row r="9764" spans="1:6" x14ac:dyDescent="0.25">
      <c r="A9764" s="1">
        <v>41883</v>
      </c>
      <c r="B9764" t="s">
        <v>14</v>
      </c>
      <c r="C9764" t="s">
        <v>7</v>
      </c>
      <c r="D9764">
        <v>20</v>
      </c>
      <c r="E9764" s="2">
        <v>3.5520833333333335E-2</v>
      </c>
      <c r="F9764">
        <v>51.15</v>
      </c>
    </row>
    <row r="9765" spans="1:6" x14ac:dyDescent="0.25">
      <c r="A9765" s="1">
        <v>41883</v>
      </c>
      <c r="B9765" t="s">
        <v>14</v>
      </c>
      <c r="C9765" t="s">
        <v>8</v>
      </c>
      <c r="D9765">
        <v>20</v>
      </c>
      <c r="E9765" s="2">
        <v>2.6400462962962962E-2</v>
      </c>
      <c r="F9765">
        <v>38.016666666666666</v>
      </c>
    </row>
    <row r="9766" spans="1:6" x14ac:dyDescent="0.25">
      <c r="A9766" s="1">
        <v>41883</v>
      </c>
      <c r="B9766" t="s">
        <v>14</v>
      </c>
      <c r="C9766" t="s">
        <v>9</v>
      </c>
      <c r="D9766">
        <v>5</v>
      </c>
      <c r="E9766" s="2">
        <v>2.5462962962962965E-3</v>
      </c>
      <c r="F9766">
        <v>3.6666666666666665</v>
      </c>
    </row>
    <row r="9767" spans="1:6" x14ac:dyDescent="0.25">
      <c r="A9767" s="1">
        <v>41883</v>
      </c>
      <c r="B9767" t="s">
        <v>14</v>
      </c>
      <c r="C9767" t="s">
        <v>10</v>
      </c>
      <c r="D9767">
        <v>2</v>
      </c>
      <c r="E9767" s="2">
        <v>4.3055555555555555E-3</v>
      </c>
      <c r="F9767">
        <v>6.2</v>
      </c>
    </row>
    <row r="9768" spans="1:6" x14ac:dyDescent="0.25">
      <c r="A9768" s="1">
        <v>41883</v>
      </c>
      <c r="B9768" t="s">
        <v>14</v>
      </c>
      <c r="C9768" t="s">
        <v>11</v>
      </c>
      <c r="D9768">
        <v>32</v>
      </c>
      <c r="E9768" s="2">
        <v>3.6967592592592594E-2</v>
      </c>
      <c r="F9768">
        <v>53.233333333333334</v>
      </c>
    </row>
    <row r="9769" spans="1:6" x14ac:dyDescent="0.25">
      <c r="A9769" s="1">
        <v>41883</v>
      </c>
      <c r="B9769" t="s">
        <v>15</v>
      </c>
      <c r="C9769" t="s">
        <v>6</v>
      </c>
      <c r="D9769">
        <v>24</v>
      </c>
      <c r="E9769" s="2">
        <v>2.5983796296296297E-2</v>
      </c>
      <c r="F9769">
        <v>37.416666666666664</v>
      </c>
    </row>
    <row r="9770" spans="1:6" x14ac:dyDescent="0.25">
      <c r="A9770" s="1">
        <v>41883</v>
      </c>
      <c r="B9770" t="s">
        <v>15</v>
      </c>
      <c r="C9770" t="s">
        <v>7</v>
      </c>
      <c r="D9770">
        <v>32</v>
      </c>
      <c r="E9770" s="2">
        <v>4.6458333333333331E-2</v>
      </c>
      <c r="F9770">
        <v>66.900000000000006</v>
      </c>
    </row>
    <row r="9771" spans="1:6" x14ac:dyDescent="0.25">
      <c r="A9771" s="1">
        <v>41883</v>
      </c>
      <c r="B9771" t="s">
        <v>15</v>
      </c>
      <c r="C9771" t="s">
        <v>8</v>
      </c>
      <c r="D9771">
        <v>19</v>
      </c>
      <c r="E9771" s="2">
        <v>2.0625000000000001E-2</v>
      </c>
      <c r="F9771">
        <v>29.7</v>
      </c>
    </row>
    <row r="9772" spans="1:6" x14ac:dyDescent="0.25">
      <c r="A9772" s="1">
        <v>41883</v>
      </c>
      <c r="B9772" t="s">
        <v>15</v>
      </c>
      <c r="C9772" t="s">
        <v>9</v>
      </c>
      <c r="D9772">
        <v>7</v>
      </c>
      <c r="E9772" s="2">
        <v>6.2847222222222219E-3</v>
      </c>
      <c r="F9772">
        <v>9.0500000000000007</v>
      </c>
    </row>
    <row r="9773" spans="1:6" x14ac:dyDescent="0.25">
      <c r="A9773" s="1">
        <v>41883</v>
      </c>
      <c r="B9773" t="s">
        <v>15</v>
      </c>
      <c r="C9773" t="s">
        <v>10</v>
      </c>
      <c r="D9773">
        <v>6</v>
      </c>
      <c r="E9773" s="2">
        <v>8.5995370370370375E-3</v>
      </c>
      <c r="F9773">
        <v>12.383333333333333</v>
      </c>
    </row>
    <row r="9774" spans="1:6" x14ac:dyDescent="0.25">
      <c r="A9774" s="1">
        <v>41883</v>
      </c>
      <c r="B9774" t="s">
        <v>15</v>
      </c>
      <c r="C9774" t="s">
        <v>11</v>
      </c>
      <c r="D9774">
        <v>7</v>
      </c>
      <c r="E9774" s="2">
        <v>7.6388888888888886E-3</v>
      </c>
      <c r="F9774">
        <v>11</v>
      </c>
    </row>
    <row r="9775" spans="1:6" x14ac:dyDescent="0.25">
      <c r="A9775" s="1">
        <v>41883</v>
      </c>
      <c r="B9775" t="s">
        <v>16</v>
      </c>
      <c r="C9775" t="s">
        <v>6</v>
      </c>
      <c r="D9775">
        <v>21</v>
      </c>
      <c r="E9775" s="2">
        <v>2.0208333333333332E-2</v>
      </c>
      <c r="F9775">
        <v>29.1</v>
      </c>
    </row>
    <row r="9776" spans="1:6" x14ac:dyDescent="0.25">
      <c r="A9776" s="1">
        <v>41883</v>
      </c>
      <c r="B9776" t="s">
        <v>16</v>
      </c>
      <c r="C9776" t="s">
        <v>7</v>
      </c>
      <c r="D9776">
        <v>30</v>
      </c>
      <c r="E9776" s="2">
        <v>3.892361111111111E-2</v>
      </c>
      <c r="F9776">
        <v>56.05</v>
      </c>
    </row>
    <row r="9777" spans="1:6" x14ac:dyDescent="0.25">
      <c r="A9777" s="1">
        <v>41883</v>
      </c>
      <c r="B9777" t="s">
        <v>16</v>
      </c>
      <c r="C9777" t="s">
        <v>8</v>
      </c>
      <c r="D9777">
        <v>26</v>
      </c>
      <c r="E9777" s="2">
        <v>2.2951388888888889E-2</v>
      </c>
      <c r="F9777">
        <v>33.049999999999997</v>
      </c>
    </row>
    <row r="9778" spans="1:6" x14ac:dyDescent="0.25">
      <c r="A9778" s="1">
        <v>41883</v>
      </c>
      <c r="B9778" t="s">
        <v>16</v>
      </c>
      <c r="C9778" t="s">
        <v>9</v>
      </c>
      <c r="D9778">
        <v>6</v>
      </c>
      <c r="E9778" s="2">
        <v>3.3912037037037036E-3</v>
      </c>
      <c r="F9778">
        <v>4.8833333333333329</v>
      </c>
    </row>
    <row r="9779" spans="1:6" x14ac:dyDescent="0.25">
      <c r="A9779" s="1">
        <v>41883</v>
      </c>
      <c r="B9779" t="s">
        <v>16</v>
      </c>
      <c r="C9779" t="s">
        <v>10</v>
      </c>
      <c r="D9779">
        <v>1</v>
      </c>
      <c r="E9779" s="2">
        <v>1.4930555555555556E-3</v>
      </c>
      <c r="F9779">
        <v>2.15</v>
      </c>
    </row>
    <row r="9780" spans="1:6" x14ac:dyDescent="0.25">
      <c r="A9780" s="1">
        <v>41883</v>
      </c>
      <c r="B9780" t="s">
        <v>16</v>
      </c>
      <c r="C9780" t="s">
        <v>11</v>
      </c>
      <c r="D9780">
        <v>44</v>
      </c>
      <c r="E9780" s="2">
        <v>3.8182870370370367E-2</v>
      </c>
      <c r="F9780">
        <v>54.983333333333334</v>
      </c>
    </row>
    <row r="9781" spans="1:6" x14ac:dyDescent="0.25">
      <c r="A9781" s="1">
        <v>41883</v>
      </c>
      <c r="B9781" t="s">
        <v>17</v>
      </c>
      <c r="C9781" t="s">
        <v>6</v>
      </c>
      <c r="D9781">
        <v>10</v>
      </c>
      <c r="E9781" s="2">
        <v>9.8958333333333329E-3</v>
      </c>
      <c r="F9781">
        <v>14.25</v>
      </c>
    </row>
    <row r="9782" spans="1:6" x14ac:dyDescent="0.25">
      <c r="A9782" s="1">
        <v>41883</v>
      </c>
      <c r="B9782" t="s">
        <v>17</v>
      </c>
      <c r="C9782" t="s">
        <v>7</v>
      </c>
      <c r="D9782">
        <v>9</v>
      </c>
      <c r="E9782" s="2">
        <v>1.1585648148148149E-2</v>
      </c>
      <c r="F9782">
        <v>16.683333333333334</v>
      </c>
    </row>
    <row r="9783" spans="1:6" x14ac:dyDescent="0.25">
      <c r="A9783" s="1">
        <v>41883</v>
      </c>
      <c r="B9783" t="s">
        <v>17</v>
      </c>
      <c r="C9783" t="s">
        <v>8</v>
      </c>
      <c r="D9783">
        <v>8</v>
      </c>
      <c r="E9783" s="2">
        <v>6.0185185185185185E-3</v>
      </c>
      <c r="F9783">
        <v>8.6666666666666661</v>
      </c>
    </row>
    <row r="9784" spans="1:6" x14ac:dyDescent="0.25">
      <c r="A9784" s="1">
        <v>41883</v>
      </c>
      <c r="B9784" t="s">
        <v>17</v>
      </c>
      <c r="C9784" t="s">
        <v>9</v>
      </c>
      <c r="D9784">
        <v>3</v>
      </c>
      <c r="E9784" s="2">
        <v>2.2222222222222222E-3</v>
      </c>
      <c r="F9784">
        <v>3.2</v>
      </c>
    </row>
    <row r="9785" spans="1:6" x14ac:dyDescent="0.25">
      <c r="A9785" s="1">
        <v>41883</v>
      </c>
      <c r="B9785" t="s">
        <v>17</v>
      </c>
      <c r="C9785" t="s">
        <v>10</v>
      </c>
      <c r="D9785">
        <v>5</v>
      </c>
      <c r="E9785" s="2">
        <v>5.4166666666666669E-3</v>
      </c>
      <c r="F9785">
        <v>7.8</v>
      </c>
    </row>
    <row r="9786" spans="1:6" x14ac:dyDescent="0.25">
      <c r="A9786" s="1">
        <v>41883</v>
      </c>
      <c r="B9786" t="s">
        <v>17</v>
      </c>
      <c r="C9786" t="s">
        <v>11</v>
      </c>
      <c r="D9786">
        <v>0</v>
      </c>
      <c r="E9786" s="2">
        <v>0</v>
      </c>
      <c r="F9786">
        <v>0</v>
      </c>
    </row>
    <row r="9787" spans="1:6" x14ac:dyDescent="0.25">
      <c r="A9787" s="1">
        <v>41883</v>
      </c>
      <c r="B9787" t="s">
        <v>18</v>
      </c>
      <c r="C9787" t="s">
        <v>6</v>
      </c>
      <c r="D9787">
        <v>132</v>
      </c>
      <c r="E9787" s="2">
        <v>0.13804398148148148</v>
      </c>
      <c r="F9787">
        <v>198.78333333333333</v>
      </c>
    </row>
    <row r="9788" spans="1:6" x14ac:dyDescent="0.25">
      <c r="A9788" s="1">
        <v>41883</v>
      </c>
      <c r="B9788" t="s">
        <v>18</v>
      </c>
      <c r="C9788" t="s">
        <v>7</v>
      </c>
      <c r="D9788">
        <v>163</v>
      </c>
      <c r="E9788" s="2">
        <v>0.15248842592592593</v>
      </c>
      <c r="F9788">
        <v>219.58333333333334</v>
      </c>
    </row>
    <row r="9789" spans="1:6" x14ac:dyDescent="0.25">
      <c r="A9789" s="1">
        <v>41883</v>
      </c>
      <c r="B9789" t="s">
        <v>18</v>
      </c>
      <c r="C9789" t="s">
        <v>8</v>
      </c>
      <c r="D9789">
        <v>67</v>
      </c>
      <c r="E9789" s="2">
        <v>6.1076388888888888E-2</v>
      </c>
      <c r="F9789">
        <v>87.95</v>
      </c>
    </row>
    <row r="9790" spans="1:6" x14ac:dyDescent="0.25">
      <c r="A9790" s="1">
        <v>41883</v>
      </c>
      <c r="B9790" t="s">
        <v>18</v>
      </c>
      <c r="C9790" t="s">
        <v>9</v>
      </c>
      <c r="D9790">
        <v>86</v>
      </c>
      <c r="E9790" s="2">
        <v>6.7314814814814813E-2</v>
      </c>
      <c r="F9790">
        <v>96.933333333333337</v>
      </c>
    </row>
    <row r="9791" spans="1:6" x14ac:dyDescent="0.25">
      <c r="A9791" s="1">
        <v>41883</v>
      </c>
      <c r="B9791" t="s">
        <v>18</v>
      </c>
      <c r="C9791" t="s">
        <v>10</v>
      </c>
      <c r="D9791">
        <v>177</v>
      </c>
      <c r="E9791" s="2">
        <v>0.2336226851851852</v>
      </c>
      <c r="F9791">
        <v>336.41666666666669</v>
      </c>
    </row>
    <row r="9792" spans="1:6" x14ac:dyDescent="0.25">
      <c r="A9792" s="1">
        <v>41883</v>
      </c>
      <c r="B9792" t="s">
        <v>18</v>
      </c>
      <c r="C9792" t="s">
        <v>11</v>
      </c>
      <c r="D9792">
        <v>72</v>
      </c>
      <c r="E9792" s="2">
        <v>7.1168981481481486E-2</v>
      </c>
      <c r="F9792">
        <v>102.48333333333333</v>
      </c>
    </row>
    <row r="9793" spans="1:6" x14ac:dyDescent="0.25">
      <c r="A9793" s="1">
        <v>41883</v>
      </c>
      <c r="B9793" t="s">
        <v>19</v>
      </c>
      <c r="C9793" t="s">
        <v>6</v>
      </c>
      <c r="D9793">
        <v>27</v>
      </c>
      <c r="E9793" s="2">
        <v>3.0393518518518518E-2</v>
      </c>
      <c r="F9793">
        <v>43.766666666666666</v>
      </c>
    </row>
    <row r="9794" spans="1:6" x14ac:dyDescent="0.25">
      <c r="A9794" s="1">
        <v>41883</v>
      </c>
      <c r="B9794" t="s">
        <v>19</v>
      </c>
      <c r="C9794" t="s">
        <v>7</v>
      </c>
      <c r="D9794">
        <v>29</v>
      </c>
      <c r="E9794" s="2">
        <v>3.7662037037037036E-2</v>
      </c>
      <c r="F9794">
        <v>54.233333333333334</v>
      </c>
    </row>
    <row r="9795" spans="1:6" x14ac:dyDescent="0.25">
      <c r="A9795" s="1">
        <v>41883</v>
      </c>
      <c r="B9795" t="s">
        <v>19</v>
      </c>
      <c r="C9795" t="s">
        <v>8</v>
      </c>
      <c r="D9795">
        <v>27</v>
      </c>
      <c r="E9795" s="2">
        <v>2.6111111111111113E-2</v>
      </c>
      <c r="F9795">
        <v>37.6</v>
      </c>
    </row>
    <row r="9796" spans="1:6" x14ac:dyDescent="0.25">
      <c r="A9796" s="1">
        <v>41883</v>
      </c>
      <c r="B9796" t="s">
        <v>19</v>
      </c>
      <c r="C9796" t="s">
        <v>9</v>
      </c>
      <c r="D9796">
        <v>16</v>
      </c>
      <c r="E9796" s="2">
        <v>9.2708333333333341E-3</v>
      </c>
      <c r="F9796">
        <v>13.35</v>
      </c>
    </row>
    <row r="9797" spans="1:6" x14ac:dyDescent="0.25">
      <c r="A9797" s="1">
        <v>41883</v>
      </c>
      <c r="B9797" t="s">
        <v>19</v>
      </c>
      <c r="C9797" t="s">
        <v>10</v>
      </c>
      <c r="D9797">
        <v>6</v>
      </c>
      <c r="E9797" s="2">
        <v>9.1087962962962971E-3</v>
      </c>
      <c r="F9797">
        <v>13.116666666666667</v>
      </c>
    </row>
    <row r="9798" spans="1:6" x14ac:dyDescent="0.25">
      <c r="A9798" s="1">
        <v>41883</v>
      </c>
      <c r="B9798" t="s">
        <v>19</v>
      </c>
      <c r="C9798" t="s">
        <v>11</v>
      </c>
      <c r="D9798">
        <v>36</v>
      </c>
      <c r="E9798" s="2">
        <v>3.6006944444444446E-2</v>
      </c>
      <c r="F9798">
        <v>51.85</v>
      </c>
    </row>
    <row r="9799" spans="1:6" x14ac:dyDescent="0.25">
      <c r="A9799" s="1">
        <v>41883</v>
      </c>
      <c r="B9799" t="s">
        <v>20</v>
      </c>
      <c r="C9799" t="s">
        <v>6</v>
      </c>
      <c r="D9799">
        <v>74</v>
      </c>
      <c r="E9799" s="2">
        <v>0.10108796296296296</v>
      </c>
      <c r="F9799">
        <v>145.56666666666666</v>
      </c>
    </row>
    <row r="9800" spans="1:6" x14ac:dyDescent="0.25">
      <c r="A9800" s="1">
        <v>41883</v>
      </c>
      <c r="B9800" t="s">
        <v>20</v>
      </c>
      <c r="C9800" t="s">
        <v>7</v>
      </c>
      <c r="D9800">
        <v>103</v>
      </c>
      <c r="E9800" s="2">
        <v>0.13949074074074075</v>
      </c>
      <c r="F9800">
        <v>200.86666666666667</v>
      </c>
    </row>
    <row r="9801" spans="1:6" x14ac:dyDescent="0.25">
      <c r="A9801" s="1">
        <v>41883</v>
      </c>
      <c r="B9801" t="s">
        <v>20</v>
      </c>
      <c r="C9801" t="s">
        <v>8</v>
      </c>
      <c r="D9801">
        <v>76</v>
      </c>
      <c r="E9801" s="2">
        <v>7.8750000000000001E-2</v>
      </c>
      <c r="F9801">
        <v>113.4</v>
      </c>
    </row>
    <row r="9802" spans="1:6" x14ac:dyDescent="0.25">
      <c r="A9802" s="1">
        <v>41883</v>
      </c>
      <c r="B9802" t="s">
        <v>20</v>
      </c>
      <c r="C9802" t="s">
        <v>9</v>
      </c>
      <c r="D9802">
        <v>32</v>
      </c>
      <c r="E9802" s="2">
        <v>2.3136574074074073E-2</v>
      </c>
      <c r="F9802">
        <v>33.31666666666667</v>
      </c>
    </row>
    <row r="9803" spans="1:6" x14ac:dyDescent="0.25">
      <c r="A9803" s="1">
        <v>41883</v>
      </c>
      <c r="B9803" t="s">
        <v>20</v>
      </c>
      <c r="C9803" t="s">
        <v>10</v>
      </c>
      <c r="D9803">
        <v>14</v>
      </c>
      <c r="E9803" s="2">
        <v>1.9305555555555555E-2</v>
      </c>
      <c r="F9803">
        <v>27.8</v>
      </c>
    </row>
    <row r="9804" spans="1:6" x14ac:dyDescent="0.25">
      <c r="A9804" s="1">
        <v>41883</v>
      </c>
      <c r="B9804" t="s">
        <v>20</v>
      </c>
      <c r="C9804" t="s">
        <v>11</v>
      </c>
      <c r="D9804">
        <v>56</v>
      </c>
      <c r="E9804" s="2">
        <v>5.0231481481481481E-2</v>
      </c>
      <c r="F9804">
        <v>72.333333333333329</v>
      </c>
    </row>
    <row r="9805" spans="1:6" x14ac:dyDescent="0.25">
      <c r="A9805" s="1">
        <v>41883</v>
      </c>
      <c r="B9805" t="s">
        <v>21</v>
      </c>
      <c r="C9805" t="s">
        <v>6</v>
      </c>
      <c r="D9805">
        <v>18</v>
      </c>
      <c r="E9805" s="2">
        <v>2.1874999999999999E-2</v>
      </c>
      <c r="F9805">
        <v>31.5</v>
      </c>
    </row>
    <row r="9806" spans="1:6" x14ac:dyDescent="0.25">
      <c r="A9806" s="1">
        <v>41883</v>
      </c>
      <c r="B9806" t="s">
        <v>21</v>
      </c>
      <c r="C9806" t="s">
        <v>7</v>
      </c>
      <c r="D9806">
        <v>30</v>
      </c>
      <c r="E9806" s="2">
        <v>3.560185185185185E-2</v>
      </c>
      <c r="F9806">
        <v>51.266666666666666</v>
      </c>
    </row>
    <row r="9807" spans="1:6" x14ac:dyDescent="0.25">
      <c r="A9807" s="1">
        <v>41883</v>
      </c>
      <c r="B9807" t="s">
        <v>21</v>
      </c>
      <c r="C9807" t="s">
        <v>8</v>
      </c>
      <c r="D9807">
        <v>22</v>
      </c>
      <c r="E9807" s="2">
        <v>2.2719907407407407E-2</v>
      </c>
      <c r="F9807">
        <v>32.716666666666669</v>
      </c>
    </row>
    <row r="9808" spans="1:6" x14ac:dyDescent="0.25">
      <c r="A9808" s="1">
        <v>41883</v>
      </c>
      <c r="B9808" t="s">
        <v>21</v>
      </c>
      <c r="C9808" t="s">
        <v>9</v>
      </c>
      <c r="D9808">
        <v>19</v>
      </c>
      <c r="E9808" s="2">
        <v>1.2835648148148148E-2</v>
      </c>
      <c r="F9808">
        <v>18.483333333333334</v>
      </c>
    </row>
    <row r="9809" spans="1:6" x14ac:dyDescent="0.25">
      <c r="A9809" s="1">
        <v>41883</v>
      </c>
      <c r="B9809" t="s">
        <v>21</v>
      </c>
      <c r="C9809" t="s">
        <v>10</v>
      </c>
      <c r="D9809">
        <v>12</v>
      </c>
      <c r="E9809" s="2">
        <v>1.5057870370370371E-2</v>
      </c>
      <c r="F9809">
        <v>21.683333333333334</v>
      </c>
    </row>
    <row r="9810" spans="1:6" x14ac:dyDescent="0.25">
      <c r="A9810" s="1">
        <v>41883</v>
      </c>
      <c r="B9810" t="s">
        <v>21</v>
      </c>
      <c r="C9810" t="s">
        <v>11</v>
      </c>
      <c r="D9810">
        <v>26</v>
      </c>
      <c r="E9810" s="2">
        <v>2.4583333333333332E-2</v>
      </c>
      <c r="F9810">
        <v>35.4</v>
      </c>
    </row>
    <row r="9811" spans="1:6" x14ac:dyDescent="0.25">
      <c r="A9811" s="1">
        <v>41883</v>
      </c>
      <c r="B9811" t="s">
        <v>22</v>
      </c>
      <c r="C9811" t="s">
        <v>6</v>
      </c>
      <c r="D9811">
        <v>7</v>
      </c>
      <c r="E9811" s="2">
        <v>1.0347222222222223E-2</v>
      </c>
      <c r="F9811">
        <v>14.9</v>
      </c>
    </row>
    <row r="9812" spans="1:6" x14ac:dyDescent="0.25">
      <c r="A9812" s="1">
        <v>41883</v>
      </c>
      <c r="B9812" t="s">
        <v>22</v>
      </c>
      <c r="C9812" t="s">
        <v>7</v>
      </c>
      <c r="D9812">
        <v>16</v>
      </c>
      <c r="E9812" s="2">
        <v>1.9756944444444445E-2</v>
      </c>
      <c r="F9812">
        <v>28.45</v>
      </c>
    </row>
    <row r="9813" spans="1:6" x14ac:dyDescent="0.25">
      <c r="A9813" s="1">
        <v>41883</v>
      </c>
      <c r="B9813" t="s">
        <v>22</v>
      </c>
      <c r="C9813" t="s">
        <v>8</v>
      </c>
      <c r="D9813">
        <v>8</v>
      </c>
      <c r="E9813" s="2">
        <v>1.2905092592592593E-2</v>
      </c>
      <c r="F9813">
        <v>18.583333333333332</v>
      </c>
    </row>
    <row r="9814" spans="1:6" x14ac:dyDescent="0.25">
      <c r="A9814" s="1">
        <v>41883</v>
      </c>
      <c r="B9814" t="s">
        <v>22</v>
      </c>
      <c r="C9814" t="s">
        <v>9</v>
      </c>
      <c r="D9814">
        <v>6</v>
      </c>
      <c r="E9814" s="2">
        <v>4.6874999999999998E-3</v>
      </c>
      <c r="F9814">
        <v>6.75</v>
      </c>
    </row>
    <row r="9815" spans="1:6" x14ac:dyDescent="0.25">
      <c r="A9815" s="1">
        <v>41883</v>
      </c>
      <c r="B9815" t="s">
        <v>22</v>
      </c>
      <c r="C9815" t="s">
        <v>10</v>
      </c>
      <c r="D9815">
        <v>1</v>
      </c>
      <c r="E9815" s="2">
        <v>2.1875000000000002E-3</v>
      </c>
      <c r="F9815">
        <v>3.15</v>
      </c>
    </row>
    <row r="9816" spans="1:6" x14ac:dyDescent="0.25">
      <c r="A9816" s="1">
        <v>41883</v>
      </c>
      <c r="B9816" t="s">
        <v>22</v>
      </c>
      <c r="C9816" t="s">
        <v>11</v>
      </c>
      <c r="D9816">
        <v>9</v>
      </c>
      <c r="E9816" s="2">
        <v>1.1678240740740741E-2</v>
      </c>
      <c r="F9816">
        <v>16.816666666666666</v>
      </c>
    </row>
    <row r="9817" spans="1:6" x14ac:dyDescent="0.25">
      <c r="A9817" s="1">
        <v>41883</v>
      </c>
      <c r="B9817" t="s">
        <v>23</v>
      </c>
      <c r="C9817" t="s">
        <v>6</v>
      </c>
      <c r="D9817">
        <v>109</v>
      </c>
      <c r="E9817" s="2">
        <v>0.13170138888888888</v>
      </c>
      <c r="F9817">
        <v>189.65</v>
      </c>
    </row>
    <row r="9818" spans="1:6" x14ac:dyDescent="0.25">
      <c r="A9818" s="1">
        <v>41883</v>
      </c>
      <c r="B9818" t="s">
        <v>23</v>
      </c>
      <c r="C9818" t="s">
        <v>7</v>
      </c>
      <c r="D9818">
        <v>134</v>
      </c>
      <c r="E9818" s="2">
        <v>0.18121527777777777</v>
      </c>
      <c r="F9818">
        <v>260.95</v>
      </c>
    </row>
    <row r="9819" spans="1:6" x14ac:dyDescent="0.25">
      <c r="A9819" s="1">
        <v>41883</v>
      </c>
      <c r="B9819" t="s">
        <v>23</v>
      </c>
      <c r="C9819" t="s">
        <v>8</v>
      </c>
      <c r="D9819">
        <v>92</v>
      </c>
      <c r="E9819" s="2">
        <v>0.10137731481481481</v>
      </c>
      <c r="F9819">
        <v>145.98333333333332</v>
      </c>
    </row>
    <row r="9820" spans="1:6" x14ac:dyDescent="0.25">
      <c r="A9820" s="1">
        <v>41883</v>
      </c>
      <c r="B9820" t="s">
        <v>23</v>
      </c>
      <c r="C9820" t="s">
        <v>9</v>
      </c>
      <c r="D9820">
        <v>42</v>
      </c>
      <c r="E9820" s="2">
        <v>2.8460648148148148E-2</v>
      </c>
      <c r="F9820">
        <v>40.983333333333334</v>
      </c>
    </row>
    <row r="9821" spans="1:6" x14ac:dyDescent="0.25">
      <c r="A9821" s="1">
        <v>41883</v>
      </c>
      <c r="B9821" t="s">
        <v>23</v>
      </c>
      <c r="C9821" t="s">
        <v>10</v>
      </c>
      <c r="D9821">
        <v>22</v>
      </c>
      <c r="E9821" s="2">
        <v>2.8009259259259258E-2</v>
      </c>
      <c r="F9821">
        <v>40.333333333333336</v>
      </c>
    </row>
    <row r="9822" spans="1:6" x14ac:dyDescent="0.25">
      <c r="A9822" s="1">
        <v>41883</v>
      </c>
      <c r="B9822" t="s">
        <v>23</v>
      </c>
      <c r="C9822" t="s">
        <v>11</v>
      </c>
      <c r="D9822">
        <v>85</v>
      </c>
      <c r="E9822" s="2">
        <v>8.189814814814815E-2</v>
      </c>
      <c r="F9822">
        <v>117.93333333333334</v>
      </c>
    </row>
    <row r="9823" spans="1:6" x14ac:dyDescent="0.25">
      <c r="A9823" s="1">
        <v>41883</v>
      </c>
      <c r="B9823" t="s">
        <v>24</v>
      </c>
      <c r="C9823" t="s">
        <v>6</v>
      </c>
      <c r="D9823">
        <v>45</v>
      </c>
      <c r="E9823" s="2">
        <v>5.0590277777777776E-2</v>
      </c>
      <c r="F9823">
        <v>72.849999999999994</v>
      </c>
    </row>
    <row r="9824" spans="1:6" x14ac:dyDescent="0.25">
      <c r="A9824" s="1">
        <v>41883</v>
      </c>
      <c r="B9824" t="s">
        <v>24</v>
      </c>
      <c r="C9824" t="s">
        <v>7</v>
      </c>
      <c r="D9824">
        <v>40</v>
      </c>
      <c r="E9824" s="2">
        <v>2.6608796296296297E-2</v>
      </c>
      <c r="F9824">
        <v>38.31666666666667</v>
      </c>
    </row>
    <row r="9825" spans="1:6" x14ac:dyDescent="0.25">
      <c r="A9825" s="1">
        <v>41883</v>
      </c>
      <c r="B9825" t="s">
        <v>24</v>
      </c>
      <c r="C9825" t="s">
        <v>8</v>
      </c>
      <c r="D9825">
        <v>23</v>
      </c>
      <c r="E9825" s="2">
        <v>1.1967592592592592E-2</v>
      </c>
      <c r="F9825">
        <v>17.233333333333334</v>
      </c>
    </row>
    <row r="9826" spans="1:6" x14ac:dyDescent="0.25">
      <c r="A9826" s="1">
        <v>41883</v>
      </c>
      <c r="B9826" t="s">
        <v>24</v>
      </c>
      <c r="C9826" t="s">
        <v>9</v>
      </c>
      <c r="D9826">
        <v>42</v>
      </c>
      <c r="E9826" s="2">
        <v>3.1122685185185184E-2</v>
      </c>
      <c r="F9826">
        <v>44.81666666666667</v>
      </c>
    </row>
    <row r="9827" spans="1:6" x14ac:dyDescent="0.25">
      <c r="A9827" s="1">
        <v>41883</v>
      </c>
      <c r="B9827" t="s">
        <v>24</v>
      </c>
      <c r="C9827" t="s">
        <v>10</v>
      </c>
      <c r="D9827">
        <v>0</v>
      </c>
      <c r="E9827" s="2">
        <v>0</v>
      </c>
      <c r="F9827">
        <v>0</v>
      </c>
    </row>
    <row r="9828" spans="1:6" x14ac:dyDescent="0.25">
      <c r="A9828" s="1">
        <v>41883</v>
      </c>
      <c r="B9828" t="s">
        <v>24</v>
      </c>
      <c r="C9828" t="s">
        <v>11</v>
      </c>
      <c r="D9828">
        <v>16</v>
      </c>
      <c r="E9828" s="2">
        <v>1.1296296296296296E-2</v>
      </c>
      <c r="F9828">
        <v>16.266666666666666</v>
      </c>
    </row>
    <row r="9829" spans="1:6" x14ac:dyDescent="0.25">
      <c r="A9829" s="1">
        <v>41913</v>
      </c>
      <c r="B9829" t="s">
        <v>5</v>
      </c>
      <c r="C9829" t="s">
        <v>6</v>
      </c>
      <c r="D9829">
        <v>43</v>
      </c>
      <c r="E9829" s="2">
        <v>4.5636574074074072E-2</v>
      </c>
      <c r="F9829">
        <v>65.716666666666669</v>
      </c>
    </row>
    <row r="9830" spans="1:6" x14ac:dyDescent="0.25">
      <c r="A9830" s="1">
        <v>41913</v>
      </c>
      <c r="B9830" t="s">
        <v>5</v>
      </c>
      <c r="C9830" t="s">
        <v>7</v>
      </c>
      <c r="D9830">
        <v>51</v>
      </c>
      <c r="E9830" s="2">
        <v>5.1840277777777777E-2</v>
      </c>
      <c r="F9830">
        <v>74.650000000000006</v>
      </c>
    </row>
    <row r="9831" spans="1:6" x14ac:dyDescent="0.25">
      <c r="A9831" s="1">
        <v>41913</v>
      </c>
      <c r="B9831" t="s">
        <v>5</v>
      </c>
      <c r="C9831" t="s">
        <v>8</v>
      </c>
      <c r="D9831">
        <v>31</v>
      </c>
      <c r="E9831" s="2">
        <v>3.1828703703703706E-2</v>
      </c>
      <c r="F9831">
        <v>45.833333333333336</v>
      </c>
    </row>
    <row r="9832" spans="1:6" x14ac:dyDescent="0.25">
      <c r="A9832" s="1">
        <v>41913</v>
      </c>
      <c r="B9832" t="s">
        <v>5</v>
      </c>
      <c r="C9832" t="s">
        <v>9</v>
      </c>
      <c r="D9832">
        <v>12</v>
      </c>
      <c r="E9832" s="2">
        <v>7.6967592592592591E-3</v>
      </c>
      <c r="F9832">
        <v>11.083333333333334</v>
      </c>
    </row>
    <row r="9833" spans="1:6" x14ac:dyDescent="0.25">
      <c r="A9833" s="1">
        <v>41913</v>
      </c>
      <c r="B9833" t="s">
        <v>5</v>
      </c>
      <c r="C9833" t="s">
        <v>10</v>
      </c>
      <c r="D9833">
        <v>3</v>
      </c>
      <c r="E9833" s="2">
        <v>5.3587962962962964E-3</v>
      </c>
      <c r="F9833">
        <v>7.7166666666666668</v>
      </c>
    </row>
    <row r="9834" spans="1:6" x14ac:dyDescent="0.25">
      <c r="A9834" s="1">
        <v>41913</v>
      </c>
      <c r="B9834" t="s">
        <v>5</v>
      </c>
      <c r="C9834" t="s">
        <v>11</v>
      </c>
      <c r="D9834">
        <v>34</v>
      </c>
      <c r="E9834" s="2">
        <v>2.9687499999999999E-2</v>
      </c>
      <c r="F9834">
        <v>42.75</v>
      </c>
    </row>
    <row r="9835" spans="1:6" x14ac:dyDescent="0.25">
      <c r="A9835" s="1">
        <v>41913</v>
      </c>
      <c r="B9835" t="s">
        <v>12</v>
      </c>
      <c r="C9835" t="s">
        <v>6</v>
      </c>
      <c r="D9835">
        <v>45</v>
      </c>
      <c r="E9835" s="2">
        <v>6.4375000000000002E-2</v>
      </c>
      <c r="F9835">
        <v>92.7</v>
      </c>
    </row>
    <row r="9836" spans="1:6" x14ac:dyDescent="0.25">
      <c r="A9836" s="1">
        <v>41913</v>
      </c>
      <c r="B9836" t="s">
        <v>12</v>
      </c>
      <c r="C9836" t="s">
        <v>7</v>
      </c>
      <c r="D9836">
        <v>30</v>
      </c>
      <c r="E9836" s="2">
        <v>6.0972222222222219E-2</v>
      </c>
      <c r="F9836">
        <v>87.8</v>
      </c>
    </row>
    <row r="9837" spans="1:6" x14ac:dyDescent="0.25">
      <c r="A9837" s="1">
        <v>41913</v>
      </c>
      <c r="B9837" t="s">
        <v>12</v>
      </c>
      <c r="C9837" t="s">
        <v>8</v>
      </c>
      <c r="D9837">
        <v>28</v>
      </c>
      <c r="E9837" s="2">
        <v>3.9571759259259258E-2</v>
      </c>
      <c r="F9837">
        <v>56.983333333333334</v>
      </c>
    </row>
    <row r="9838" spans="1:6" x14ac:dyDescent="0.25">
      <c r="A9838" s="1">
        <v>41913</v>
      </c>
      <c r="B9838" t="s">
        <v>12</v>
      </c>
      <c r="C9838" t="s">
        <v>9</v>
      </c>
      <c r="D9838">
        <v>28</v>
      </c>
      <c r="E9838" s="2">
        <v>2.0902777777777777E-2</v>
      </c>
      <c r="F9838">
        <v>30.1</v>
      </c>
    </row>
    <row r="9839" spans="1:6" x14ac:dyDescent="0.25">
      <c r="A9839" s="1">
        <v>41913</v>
      </c>
      <c r="B9839" t="s">
        <v>12</v>
      </c>
      <c r="C9839" t="s">
        <v>10</v>
      </c>
      <c r="D9839">
        <v>26</v>
      </c>
      <c r="E9839" s="2">
        <v>5.033564814814815E-2</v>
      </c>
      <c r="F9839">
        <v>72.483333333333334</v>
      </c>
    </row>
    <row r="9840" spans="1:6" x14ac:dyDescent="0.25">
      <c r="A9840" s="1">
        <v>41913</v>
      </c>
      <c r="B9840" t="s">
        <v>12</v>
      </c>
      <c r="C9840" t="s">
        <v>11</v>
      </c>
      <c r="D9840">
        <v>33</v>
      </c>
      <c r="E9840" s="2">
        <v>4.1990740740740738E-2</v>
      </c>
      <c r="F9840">
        <v>60.466666666666669</v>
      </c>
    </row>
    <row r="9841" spans="1:6" x14ac:dyDescent="0.25">
      <c r="A9841" s="1">
        <v>41913</v>
      </c>
      <c r="B9841" t="s">
        <v>13</v>
      </c>
      <c r="C9841" t="s">
        <v>6</v>
      </c>
      <c r="D9841">
        <v>67</v>
      </c>
      <c r="E9841" s="2">
        <v>8.0127314814814818E-2</v>
      </c>
      <c r="F9841">
        <v>115.38333333333334</v>
      </c>
    </row>
    <row r="9842" spans="1:6" x14ac:dyDescent="0.25">
      <c r="A9842" s="1">
        <v>41913</v>
      </c>
      <c r="B9842" t="s">
        <v>13</v>
      </c>
      <c r="C9842" t="s">
        <v>7</v>
      </c>
      <c r="D9842">
        <v>81</v>
      </c>
      <c r="E9842" s="2">
        <v>0.12128472222222222</v>
      </c>
      <c r="F9842">
        <v>174.65</v>
      </c>
    </row>
    <row r="9843" spans="1:6" x14ac:dyDescent="0.25">
      <c r="A9843" s="1">
        <v>41913</v>
      </c>
      <c r="B9843" t="s">
        <v>13</v>
      </c>
      <c r="C9843" t="s">
        <v>8</v>
      </c>
      <c r="D9843">
        <v>63</v>
      </c>
      <c r="E9843" s="2">
        <v>8.0891203703703701E-2</v>
      </c>
      <c r="F9843">
        <v>116.48333333333333</v>
      </c>
    </row>
    <row r="9844" spans="1:6" x14ac:dyDescent="0.25">
      <c r="A9844" s="1">
        <v>41913</v>
      </c>
      <c r="B9844" t="s">
        <v>13</v>
      </c>
      <c r="C9844" t="s">
        <v>9</v>
      </c>
      <c r="D9844">
        <v>17</v>
      </c>
      <c r="E9844" s="2">
        <v>1.0763888888888889E-2</v>
      </c>
      <c r="F9844">
        <v>15.5</v>
      </c>
    </row>
    <row r="9845" spans="1:6" x14ac:dyDescent="0.25">
      <c r="A9845" s="1">
        <v>41913</v>
      </c>
      <c r="B9845" t="s">
        <v>13</v>
      </c>
      <c r="C9845" t="s">
        <v>10</v>
      </c>
      <c r="D9845">
        <v>11</v>
      </c>
      <c r="E9845" s="2">
        <v>1.7210648148148149E-2</v>
      </c>
      <c r="F9845">
        <v>24.783333333333335</v>
      </c>
    </row>
    <row r="9846" spans="1:6" x14ac:dyDescent="0.25">
      <c r="A9846" s="1">
        <v>41913</v>
      </c>
      <c r="B9846" t="s">
        <v>13</v>
      </c>
      <c r="C9846" t="s">
        <v>11</v>
      </c>
      <c r="D9846">
        <v>35</v>
      </c>
      <c r="E9846" s="2">
        <v>5.0416666666666665E-2</v>
      </c>
      <c r="F9846">
        <v>72.599999999999994</v>
      </c>
    </row>
    <row r="9847" spans="1:6" x14ac:dyDescent="0.25">
      <c r="A9847" s="1">
        <v>41913</v>
      </c>
      <c r="B9847" t="s">
        <v>14</v>
      </c>
      <c r="C9847" t="s">
        <v>6</v>
      </c>
      <c r="D9847">
        <v>10</v>
      </c>
      <c r="E9847" s="2">
        <v>1.4837962962962963E-2</v>
      </c>
      <c r="F9847">
        <v>21.366666666666667</v>
      </c>
    </row>
    <row r="9848" spans="1:6" x14ac:dyDescent="0.25">
      <c r="A9848" s="1">
        <v>41913</v>
      </c>
      <c r="B9848" t="s">
        <v>14</v>
      </c>
      <c r="C9848" t="s">
        <v>7</v>
      </c>
      <c r="D9848">
        <v>5</v>
      </c>
      <c r="E9848" s="2">
        <v>8.9699074074074073E-3</v>
      </c>
      <c r="F9848">
        <v>12.916666666666666</v>
      </c>
    </row>
    <row r="9849" spans="1:6" x14ac:dyDescent="0.25">
      <c r="A9849" s="1">
        <v>41913</v>
      </c>
      <c r="B9849" t="s">
        <v>14</v>
      </c>
      <c r="C9849" t="s">
        <v>8</v>
      </c>
      <c r="D9849">
        <v>2</v>
      </c>
      <c r="E9849" s="2">
        <v>3.5185185185185185E-3</v>
      </c>
      <c r="F9849">
        <v>5.0666666666666664</v>
      </c>
    </row>
    <row r="9850" spans="1:6" x14ac:dyDescent="0.25">
      <c r="A9850" s="1">
        <v>41913</v>
      </c>
      <c r="B9850" t="s">
        <v>14</v>
      </c>
      <c r="C9850" t="s">
        <v>9</v>
      </c>
      <c r="D9850">
        <v>2</v>
      </c>
      <c r="E9850" s="2">
        <v>2.2916666666666667E-3</v>
      </c>
      <c r="F9850">
        <v>3.3</v>
      </c>
    </row>
    <row r="9851" spans="1:6" x14ac:dyDescent="0.25">
      <c r="A9851" s="1">
        <v>41913</v>
      </c>
      <c r="B9851" t="s">
        <v>14</v>
      </c>
      <c r="C9851" t="s">
        <v>10</v>
      </c>
      <c r="D9851">
        <v>1</v>
      </c>
      <c r="E9851" s="2">
        <v>1.9907407407407408E-3</v>
      </c>
      <c r="F9851">
        <v>2.8666666666666667</v>
      </c>
    </row>
    <row r="9852" spans="1:6" x14ac:dyDescent="0.25">
      <c r="A9852" s="1">
        <v>41913</v>
      </c>
      <c r="B9852" t="s">
        <v>14</v>
      </c>
      <c r="C9852" t="s">
        <v>11</v>
      </c>
      <c r="D9852">
        <v>2</v>
      </c>
      <c r="E9852" s="2">
        <v>3.1481481481481482E-3</v>
      </c>
      <c r="F9852">
        <v>4.5333333333333332</v>
      </c>
    </row>
    <row r="9853" spans="1:6" x14ac:dyDescent="0.25">
      <c r="A9853" s="1">
        <v>41913</v>
      </c>
      <c r="B9853" t="s">
        <v>15</v>
      </c>
      <c r="C9853" t="s">
        <v>6</v>
      </c>
      <c r="D9853">
        <v>47</v>
      </c>
      <c r="E9853" s="2">
        <v>5.4189814814814816E-2</v>
      </c>
      <c r="F9853">
        <v>78.033333333333331</v>
      </c>
    </row>
    <row r="9854" spans="1:6" x14ac:dyDescent="0.25">
      <c r="A9854" s="1">
        <v>41913</v>
      </c>
      <c r="B9854" t="s">
        <v>15</v>
      </c>
      <c r="C9854" t="s">
        <v>7</v>
      </c>
      <c r="D9854">
        <v>55</v>
      </c>
      <c r="E9854" s="2">
        <v>5.9872685185185189E-2</v>
      </c>
      <c r="F9854">
        <v>86.216666666666669</v>
      </c>
    </row>
    <row r="9855" spans="1:6" x14ac:dyDescent="0.25">
      <c r="A9855" s="1">
        <v>41913</v>
      </c>
      <c r="B9855" t="s">
        <v>15</v>
      </c>
      <c r="C9855" t="s">
        <v>8</v>
      </c>
      <c r="D9855">
        <v>35</v>
      </c>
      <c r="E9855" s="2">
        <v>3.4594907407407408E-2</v>
      </c>
      <c r="F9855">
        <v>49.81666666666667</v>
      </c>
    </row>
    <row r="9856" spans="1:6" x14ac:dyDescent="0.25">
      <c r="A9856" s="1">
        <v>41913</v>
      </c>
      <c r="B9856" t="s">
        <v>15</v>
      </c>
      <c r="C9856" t="s">
        <v>9</v>
      </c>
      <c r="D9856">
        <v>13</v>
      </c>
      <c r="E9856" s="2">
        <v>9.1435185185185178E-3</v>
      </c>
      <c r="F9856">
        <v>13.166666666666666</v>
      </c>
    </row>
    <row r="9857" spans="1:6" x14ac:dyDescent="0.25">
      <c r="A9857" s="1">
        <v>41913</v>
      </c>
      <c r="B9857" t="s">
        <v>15</v>
      </c>
      <c r="C9857" t="s">
        <v>10</v>
      </c>
      <c r="D9857">
        <v>2</v>
      </c>
      <c r="E9857" s="2">
        <v>2.4305555555555556E-3</v>
      </c>
      <c r="F9857">
        <v>3.5</v>
      </c>
    </row>
    <row r="9858" spans="1:6" x14ac:dyDescent="0.25">
      <c r="A9858" s="1">
        <v>41913</v>
      </c>
      <c r="B9858" t="s">
        <v>15</v>
      </c>
      <c r="C9858" t="s">
        <v>11</v>
      </c>
      <c r="D9858">
        <v>32</v>
      </c>
      <c r="E9858" s="2">
        <v>2.960648148148148E-2</v>
      </c>
      <c r="F9858">
        <v>42.633333333333333</v>
      </c>
    </row>
    <row r="9859" spans="1:6" x14ac:dyDescent="0.25">
      <c r="A9859" s="1">
        <v>41913</v>
      </c>
      <c r="B9859" t="s">
        <v>16</v>
      </c>
      <c r="C9859" t="s">
        <v>6</v>
      </c>
      <c r="D9859">
        <v>17</v>
      </c>
      <c r="E9859" s="2">
        <v>1.9953703703703703E-2</v>
      </c>
      <c r="F9859">
        <v>28.733333333333334</v>
      </c>
    </row>
    <row r="9860" spans="1:6" x14ac:dyDescent="0.25">
      <c r="A9860" s="1">
        <v>41913</v>
      </c>
      <c r="B9860" t="s">
        <v>16</v>
      </c>
      <c r="C9860" t="s">
        <v>7</v>
      </c>
      <c r="D9860">
        <v>22</v>
      </c>
      <c r="E9860" s="2">
        <v>2.3993055555555556E-2</v>
      </c>
      <c r="F9860">
        <v>34.549999999999997</v>
      </c>
    </row>
    <row r="9861" spans="1:6" x14ac:dyDescent="0.25">
      <c r="A9861" s="1">
        <v>41913</v>
      </c>
      <c r="B9861" t="s">
        <v>16</v>
      </c>
      <c r="C9861" t="s">
        <v>8</v>
      </c>
      <c r="D9861">
        <v>23</v>
      </c>
      <c r="E9861" s="2">
        <v>2.1365740740740741E-2</v>
      </c>
      <c r="F9861">
        <v>30.766666666666666</v>
      </c>
    </row>
    <row r="9862" spans="1:6" x14ac:dyDescent="0.25">
      <c r="A9862" s="1">
        <v>41913</v>
      </c>
      <c r="B9862" t="s">
        <v>16</v>
      </c>
      <c r="C9862" t="s">
        <v>9</v>
      </c>
      <c r="D9862">
        <v>10</v>
      </c>
      <c r="E9862" s="2">
        <v>8.7152777777777784E-3</v>
      </c>
      <c r="F9862">
        <v>12.55</v>
      </c>
    </row>
    <row r="9863" spans="1:6" x14ac:dyDescent="0.25">
      <c r="A9863" s="1">
        <v>41913</v>
      </c>
      <c r="B9863" t="s">
        <v>16</v>
      </c>
      <c r="C9863" t="s">
        <v>10</v>
      </c>
      <c r="D9863">
        <v>2</v>
      </c>
      <c r="E9863" s="2">
        <v>3.1828703703703702E-3</v>
      </c>
      <c r="F9863">
        <v>4.583333333333333</v>
      </c>
    </row>
    <row r="9864" spans="1:6" x14ac:dyDescent="0.25">
      <c r="A9864" s="1">
        <v>41913</v>
      </c>
      <c r="B9864" t="s">
        <v>16</v>
      </c>
      <c r="C9864" t="s">
        <v>11</v>
      </c>
      <c r="D9864">
        <v>31</v>
      </c>
      <c r="E9864" s="2">
        <v>3.1608796296296295E-2</v>
      </c>
      <c r="F9864">
        <v>45.516666666666666</v>
      </c>
    </row>
    <row r="9865" spans="1:6" x14ac:dyDescent="0.25">
      <c r="A9865" s="1">
        <v>41913</v>
      </c>
      <c r="B9865" t="s">
        <v>17</v>
      </c>
      <c r="C9865" t="s">
        <v>6</v>
      </c>
      <c r="D9865">
        <v>4</v>
      </c>
      <c r="E9865" s="2">
        <v>3.3101851851851851E-3</v>
      </c>
      <c r="F9865">
        <v>4.7666666666666666</v>
      </c>
    </row>
    <row r="9866" spans="1:6" x14ac:dyDescent="0.25">
      <c r="A9866" s="1">
        <v>41913</v>
      </c>
      <c r="B9866" t="s">
        <v>17</v>
      </c>
      <c r="C9866" t="s">
        <v>7</v>
      </c>
      <c r="D9866">
        <v>9</v>
      </c>
      <c r="E9866" s="2">
        <v>7.858796296296296E-3</v>
      </c>
      <c r="F9866">
        <v>11.316666666666666</v>
      </c>
    </row>
    <row r="9867" spans="1:6" x14ac:dyDescent="0.25">
      <c r="A9867" s="1">
        <v>41913</v>
      </c>
      <c r="B9867" t="s">
        <v>17</v>
      </c>
      <c r="C9867" t="s">
        <v>8</v>
      </c>
      <c r="D9867">
        <v>5</v>
      </c>
      <c r="E9867" s="2">
        <v>4.1666666666666666E-3</v>
      </c>
      <c r="F9867">
        <v>6</v>
      </c>
    </row>
    <row r="9868" spans="1:6" x14ac:dyDescent="0.25">
      <c r="A9868" s="1">
        <v>41913</v>
      </c>
      <c r="B9868" t="s">
        <v>17</v>
      </c>
      <c r="C9868" t="s">
        <v>9</v>
      </c>
      <c r="D9868">
        <v>2</v>
      </c>
      <c r="E9868" s="2">
        <v>1.0995370370370371E-3</v>
      </c>
      <c r="F9868">
        <v>1.5833333333333335</v>
      </c>
    </row>
    <row r="9869" spans="1:6" x14ac:dyDescent="0.25">
      <c r="A9869" s="1">
        <v>41913</v>
      </c>
      <c r="B9869" t="s">
        <v>17</v>
      </c>
      <c r="C9869" t="s">
        <v>10</v>
      </c>
      <c r="D9869">
        <v>5</v>
      </c>
      <c r="E9869" s="2">
        <v>7.5115740740740742E-3</v>
      </c>
      <c r="F9869">
        <v>10.816666666666666</v>
      </c>
    </row>
    <row r="9870" spans="1:6" x14ac:dyDescent="0.25">
      <c r="A9870" s="1">
        <v>41913</v>
      </c>
      <c r="B9870" t="s">
        <v>17</v>
      </c>
      <c r="C9870" t="s">
        <v>11</v>
      </c>
      <c r="D9870">
        <v>2</v>
      </c>
      <c r="E9870" s="2">
        <v>1.1574074074074073E-3</v>
      </c>
      <c r="F9870">
        <v>1.6666666666666665</v>
      </c>
    </row>
    <row r="9871" spans="1:6" x14ac:dyDescent="0.25">
      <c r="A9871" s="1">
        <v>41913</v>
      </c>
      <c r="B9871" t="s">
        <v>18</v>
      </c>
      <c r="C9871" t="s">
        <v>6</v>
      </c>
      <c r="D9871">
        <v>54</v>
      </c>
      <c r="E9871" s="2">
        <v>5.6817129629629627E-2</v>
      </c>
      <c r="F9871">
        <v>81.816666666666663</v>
      </c>
    </row>
    <row r="9872" spans="1:6" x14ac:dyDescent="0.25">
      <c r="A9872" s="1">
        <v>41913</v>
      </c>
      <c r="B9872" t="s">
        <v>18</v>
      </c>
      <c r="C9872" t="s">
        <v>7</v>
      </c>
      <c r="D9872">
        <v>99</v>
      </c>
      <c r="E9872" s="2">
        <v>8.6018518518518522E-2</v>
      </c>
      <c r="F9872">
        <v>123.86666666666666</v>
      </c>
    </row>
    <row r="9873" spans="1:6" x14ac:dyDescent="0.25">
      <c r="A9873" s="1">
        <v>41913</v>
      </c>
      <c r="B9873" t="s">
        <v>18</v>
      </c>
      <c r="C9873" t="s">
        <v>8</v>
      </c>
      <c r="D9873">
        <v>47</v>
      </c>
      <c r="E9873" s="2">
        <v>3.9143518518518522E-2</v>
      </c>
      <c r="F9873">
        <v>56.366666666666667</v>
      </c>
    </row>
    <row r="9874" spans="1:6" x14ac:dyDescent="0.25">
      <c r="A9874" s="1">
        <v>41913</v>
      </c>
      <c r="B9874" t="s">
        <v>18</v>
      </c>
      <c r="C9874" t="s">
        <v>9</v>
      </c>
      <c r="D9874">
        <v>58</v>
      </c>
      <c r="E9874" s="2">
        <v>4.238425925925926E-2</v>
      </c>
      <c r="F9874">
        <v>61.033333333333331</v>
      </c>
    </row>
    <row r="9875" spans="1:6" x14ac:dyDescent="0.25">
      <c r="A9875" s="1">
        <v>41913</v>
      </c>
      <c r="B9875" t="s">
        <v>18</v>
      </c>
      <c r="C9875" t="s">
        <v>10</v>
      </c>
      <c r="D9875">
        <v>121</v>
      </c>
      <c r="E9875" s="2">
        <v>0.14542824074074073</v>
      </c>
      <c r="F9875">
        <v>209.41666666666666</v>
      </c>
    </row>
    <row r="9876" spans="1:6" x14ac:dyDescent="0.25">
      <c r="A9876" s="1">
        <v>41913</v>
      </c>
      <c r="B9876" t="s">
        <v>18</v>
      </c>
      <c r="C9876" t="s">
        <v>11</v>
      </c>
      <c r="D9876">
        <v>47</v>
      </c>
      <c r="E9876" s="2">
        <v>4.0902777777777781E-2</v>
      </c>
      <c r="F9876">
        <v>58.9</v>
      </c>
    </row>
    <row r="9877" spans="1:6" x14ac:dyDescent="0.25">
      <c r="A9877" s="1">
        <v>41913</v>
      </c>
      <c r="B9877" t="s">
        <v>19</v>
      </c>
      <c r="C9877" t="s">
        <v>6</v>
      </c>
      <c r="D9877">
        <v>24</v>
      </c>
      <c r="E9877" s="2">
        <v>2.3587962962962963E-2</v>
      </c>
      <c r="F9877">
        <v>33.966666666666669</v>
      </c>
    </row>
    <row r="9878" spans="1:6" x14ac:dyDescent="0.25">
      <c r="A9878" s="1">
        <v>41913</v>
      </c>
      <c r="B9878" t="s">
        <v>19</v>
      </c>
      <c r="C9878" t="s">
        <v>7</v>
      </c>
      <c r="D9878">
        <v>26</v>
      </c>
      <c r="E9878" s="2">
        <v>3.0578703703703705E-2</v>
      </c>
      <c r="F9878">
        <v>44.033333333333331</v>
      </c>
    </row>
    <row r="9879" spans="1:6" x14ac:dyDescent="0.25">
      <c r="A9879" s="1">
        <v>41913</v>
      </c>
      <c r="B9879" t="s">
        <v>19</v>
      </c>
      <c r="C9879" t="s">
        <v>8</v>
      </c>
      <c r="D9879">
        <v>25</v>
      </c>
      <c r="E9879" s="2">
        <v>2.0891203703703703E-2</v>
      </c>
      <c r="F9879">
        <v>30.083333333333332</v>
      </c>
    </row>
    <row r="9880" spans="1:6" x14ac:dyDescent="0.25">
      <c r="A9880" s="1">
        <v>41913</v>
      </c>
      <c r="B9880" t="s">
        <v>19</v>
      </c>
      <c r="C9880" t="s">
        <v>9</v>
      </c>
      <c r="D9880">
        <v>16</v>
      </c>
      <c r="E9880" s="2">
        <v>8.4490740740740741E-3</v>
      </c>
      <c r="F9880">
        <v>12.166666666666666</v>
      </c>
    </row>
    <row r="9881" spans="1:6" x14ac:dyDescent="0.25">
      <c r="A9881" s="1">
        <v>41913</v>
      </c>
      <c r="B9881" t="s">
        <v>19</v>
      </c>
      <c r="C9881" t="s">
        <v>10</v>
      </c>
      <c r="D9881">
        <v>8</v>
      </c>
      <c r="E9881" s="2">
        <v>1.1956018518518519E-2</v>
      </c>
      <c r="F9881">
        <v>17.216666666666665</v>
      </c>
    </row>
    <row r="9882" spans="1:6" x14ac:dyDescent="0.25">
      <c r="A9882" s="1">
        <v>41913</v>
      </c>
      <c r="B9882" t="s">
        <v>19</v>
      </c>
      <c r="C9882" t="s">
        <v>11</v>
      </c>
      <c r="D9882">
        <v>32</v>
      </c>
      <c r="E9882" s="2">
        <v>3.3125000000000002E-2</v>
      </c>
      <c r="F9882">
        <v>47.7</v>
      </c>
    </row>
    <row r="9883" spans="1:6" x14ac:dyDescent="0.25">
      <c r="A9883" s="1">
        <v>41913</v>
      </c>
      <c r="B9883" t="s">
        <v>20</v>
      </c>
      <c r="C9883" t="s">
        <v>6</v>
      </c>
      <c r="D9883">
        <v>37</v>
      </c>
      <c r="E9883" s="2">
        <v>5.0057870370370371E-2</v>
      </c>
      <c r="F9883">
        <v>72.083333333333329</v>
      </c>
    </row>
    <row r="9884" spans="1:6" x14ac:dyDescent="0.25">
      <c r="A9884" s="1">
        <v>41913</v>
      </c>
      <c r="B9884" t="s">
        <v>20</v>
      </c>
      <c r="C9884" t="s">
        <v>7</v>
      </c>
      <c r="D9884">
        <v>37</v>
      </c>
      <c r="E9884" s="2">
        <v>4.8275462962962964E-2</v>
      </c>
      <c r="F9884">
        <v>69.516666666666666</v>
      </c>
    </row>
    <row r="9885" spans="1:6" x14ac:dyDescent="0.25">
      <c r="A9885" s="1">
        <v>41913</v>
      </c>
      <c r="B9885" t="s">
        <v>20</v>
      </c>
      <c r="C9885" t="s">
        <v>8</v>
      </c>
      <c r="D9885">
        <v>27</v>
      </c>
      <c r="E9885" s="2">
        <v>2.9062500000000002E-2</v>
      </c>
      <c r="F9885">
        <v>41.85</v>
      </c>
    </row>
    <row r="9886" spans="1:6" x14ac:dyDescent="0.25">
      <c r="A9886" s="1">
        <v>41913</v>
      </c>
      <c r="B9886" t="s">
        <v>20</v>
      </c>
      <c r="C9886" t="s">
        <v>9</v>
      </c>
      <c r="D9886">
        <v>22</v>
      </c>
      <c r="E9886" s="2">
        <v>1.3136574074074075E-2</v>
      </c>
      <c r="F9886">
        <v>18.916666666666668</v>
      </c>
    </row>
    <row r="9887" spans="1:6" x14ac:dyDescent="0.25">
      <c r="A9887" s="1">
        <v>41913</v>
      </c>
      <c r="B9887" t="s">
        <v>20</v>
      </c>
      <c r="C9887" t="s">
        <v>10</v>
      </c>
      <c r="D9887">
        <v>8</v>
      </c>
      <c r="E9887" s="2">
        <v>9.2129629629629627E-3</v>
      </c>
      <c r="F9887">
        <v>13.266666666666667</v>
      </c>
    </row>
    <row r="9888" spans="1:6" x14ac:dyDescent="0.25">
      <c r="A9888" s="1">
        <v>41913</v>
      </c>
      <c r="B9888" t="s">
        <v>20</v>
      </c>
      <c r="C9888" t="s">
        <v>11</v>
      </c>
      <c r="D9888">
        <v>15</v>
      </c>
      <c r="E9888" s="2">
        <v>1.5462962962962963E-2</v>
      </c>
      <c r="F9888">
        <v>22.266666666666666</v>
      </c>
    </row>
    <row r="9889" spans="1:6" x14ac:dyDescent="0.25">
      <c r="A9889" s="1">
        <v>41913</v>
      </c>
      <c r="B9889" t="s">
        <v>21</v>
      </c>
      <c r="C9889" t="s">
        <v>6</v>
      </c>
      <c r="D9889">
        <v>27</v>
      </c>
      <c r="E9889" s="2">
        <v>2.8946759259259259E-2</v>
      </c>
      <c r="F9889">
        <v>41.68333333333333</v>
      </c>
    </row>
    <row r="9890" spans="1:6" x14ac:dyDescent="0.25">
      <c r="A9890" s="1">
        <v>41913</v>
      </c>
      <c r="B9890" t="s">
        <v>21</v>
      </c>
      <c r="C9890" t="s">
        <v>7</v>
      </c>
      <c r="D9890">
        <v>57</v>
      </c>
      <c r="E9890" s="2">
        <v>5.8888888888888886E-2</v>
      </c>
      <c r="F9890">
        <v>84.8</v>
      </c>
    </row>
    <row r="9891" spans="1:6" x14ac:dyDescent="0.25">
      <c r="A9891" s="1">
        <v>41913</v>
      </c>
      <c r="B9891" t="s">
        <v>21</v>
      </c>
      <c r="C9891" t="s">
        <v>8</v>
      </c>
      <c r="D9891">
        <v>49</v>
      </c>
      <c r="E9891" s="2">
        <v>5.5844907407407406E-2</v>
      </c>
      <c r="F9891">
        <v>80.416666666666671</v>
      </c>
    </row>
    <row r="9892" spans="1:6" x14ac:dyDescent="0.25">
      <c r="A9892" s="1">
        <v>41913</v>
      </c>
      <c r="B9892" t="s">
        <v>21</v>
      </c>
      <c r="C9892" t="s">
        <v>9</v>
      </c>
      <c r="D9892">
        <v>17</v>
      </c>
      <c r="E9892" s="2">
        <v>1.1296296296296296E-2</v>
      </c>
      <c r="F9892">
        <v>16.266666666666666</v>
      </c>
    </row>
    <row r="9893" spans="1:6" x14ac:dyDescent="0.25">
      <c r="A9893" s="1">
        <v>41913</v>
      </c>
      <c r="B9893" t="s">
        <v>21</v>
      </c>
      <c r="C9893" t="s">
        <v>10</v>
      </c>
      <c r="D9893">
        <v>19</v>
      </c>
      <c r="E9893" s="2">
        <v>2.1122685185185185E-2</v>
      </c>
      <c r="F9893">
        <v>30.416666666666668</v>
      </c>
    </row>
    <row r="9894" spans="1:6" x14ac:dyDescent="0.25">
      <c r="A9894" s="1">
        <v>41913</v>
      </c>
      <c r="B9894" t="s">
        <v>21</v>
      </c>
      <c r="C9894" t="s">
        <v>11</v>
      </c>
      <c r="D9894">
        <v>49</v>
      </c>
      <c r="E9894" s="2">
        <v>4.0902777777777781E-2</v>
      </c>
      <c r="F9894">
        <v>58.9</v>
      </c>
    </row>
    <row r="9895" spans="1:6" x14ac:dyDescent="0.25">
      <c r="A9895" s="1">
        <v>41913</v>
      </c>
      <c r="B9895" t="s">
        <v>22</v>
      </c>
      <c r="C9895" t="s">
        <v>6</v>
      </c>
      <c r="D9895">
        <v>10</v>
      </c>
      <c r="E9895" s="2">
        <v>1.2789351851851852E-2</v>
      </c>
      <c r="F9895">
        <v>18.416666666666668</v>
      </c>
    </row>
    <row r="9896" spans="1:6" x14ac:dyDescent="0.25">
      <c r="A9896" s="1">
        <v>41913</v>
      </c>
      <c r="B9896" t="s">
        <v>22</v>
      </c>
      <c r="C9896" t="s">
        <v>7</v>
      </c>
      <c r="D9896">
        <v>10</v>
      </c>
      <c r="E9896" s="2">
        <v>1.2291666666666666E-2</v>
      </c>
      <c r="F9896">
        <v>17.7</v>
      </c>
    </row>
    <row r="9897" spans="1:6" x14ac:dyDescent="0.25">
      <c r="A9897" s="1">
        <v>41913</v>
      </c>
      <c r="B9897" t="s">
        <v>22</v>
      </c>
      <c r="C9897" t="s">
        <v>8</v>
      </c>
      <c r="D9897">
        <v>10</v>
      </c>
      <c r="E9897" s="2">
        <v>9.7337962962962959E-3</v>
      </c>
      <c r="F9897">
        <v>14.016666666666667</v>
      </c>
    </row>
    <row r="9898" spans="1:6" x14ac:dyDescent="0.25">
      <c r="A9898" s="1">
        <v>41913</v>
      </c>
      <c r="B9898" t="s">
        <v>22</v>
      </c>
      <c r="C9898" t="s">
        <v>9</v>
      </c>
      <c r="D9898">
        <v>1</v>
      </c>
      <c r="E9898" s="2">
        <v>9.6064814814814819E-4</v>
      </c>
      <c r="F9898">
        <v>1.3833333333333333</v>
      </c>
    </row>
    <row r="9899" spans="1:6" x14ac:dyDescent="0.25">
      <c r="A9899" s="1">
        <v>41913</v>
      </c>
      <c r="B9899" t="s">
        <v>22</v>
      </c>
      <c r="C9899" t="s">
        <v>10</v>
      </c>
      <c r="D9899">
        <v>3</v>
      </c>
      <c r="E9899" s="2">
        <v>2.0486111111111113E-3</v>
      </c>
      <c r="F9899">
        <v>2.95</v>
      </c>
    </row>
    <row r="9900" spans="1:6" x14ac:dyDescent="0.25">
      <c r="A9900" s="1">
        <v>41913</v>
      </c>
      <c r="B9900" t="s">
        <v>22</v>
      </c>
      <c r="C9900" t="s">
        <v>11</v>
      </c>
      <c r="D9900">
        <v>8</v>
      </c>
      <c r="E9900" s="2">
        <v>9.9652777777777778E-3</v>
      </c>
      <c r="F9900">
        <v>14.35</v>
      </c>
    </row>
    <row r="9901" spans="1:6" x14ac:dyDescent="0.25">
      <c r="A9901" s="1">
        <v>41913</v>
      </c>
      <c r="B9901" t="s">
        <v>23</v>
      </c>
      <c r="C9901" t="s">
        <v>6</v>
      </c>
      <c r="D9901">
        <v>57</v>
      </c>
      <c r="E9901" s="2">
        <v>7.0185185185185184E-2</v>
      </c>
      <c r="F9901">
        <v>101.06666666666666</v>
      </c>
    </row>
    <row r="9902" spans="1:6" x14ac:dyDescent="0.25">
      <c r="A9902" s="1">
        <v>41913</v>
      </c>
      <c r="B9902" t="s">
        <v>23</v>
      </c>
      <c r="C9902" t="s">
        <v>7</v>
      </c>
      <c r="D9902">
        <v>102</v>
      </c>
      <c r="E9902" s="2">
        <v>0.1525</v>
      </c>
      <c r="F9902">
        <v>219.6</v>
      </c>
    </row>
    <row r="9903" spans="1:6" x14ac:dyDescent="0.25">
      <c r="A9903" s="1">
        <v>41913</v>
      </c>
      <c r="B9903" t="s">
        <v>23</v>
      </c>
      <c r="C9903" t="s">
        <v>8</v>
      </c>
      <c r="D9903">
        <v>98</v>
      </c>
      <c r="E9903" s="2">
        <v>0.11792824074074074</v>
      </c>
      <c r="F9903">
        <v>169.81666666666666</v>
      </c>
    </row>
    <row r="9904" spans="1:6" x14ac:dyDescent="0.25">
      <c r="A9904" s="1">
        <v>41913</v>
      </c>
      <c r="B9904" t="s">
        <v>23</v>
      </c>
      <c r="C9904" t="s">
        <v>9</v>
      </c>
      <c r="D9904">
        <v>29</v>
      </c>
      <c r="E9904" s="2">
        <v>2.1597222222222223E-2</v>
      </c>
      <c r="F9904">
        <v>31.1</v>
      </c>
    </row>
    <row r="9905" spans="1:6" x14ac:dyDescent="0.25">
      <c r="A9905" s="1">
        <v>41913</v>
      </c>
      <c r="B9905" t="s">
        <v>23</v>
      </c>
      <c r="C9905" t="s">
        <v>10</v>
      </c>
      <c r="D9905">
        <v>27</v>
      </c>
      <c r="E9905" s="2">
        <v>4.040509259259259E-2</v>
      </c>
      <c r="F9905">
        <v>58.18333333333333</v>
      </c>
    </row>
    <row r="9906" spans="1:6" x14ac:dyDescent="0.25">
      <c r="A9906" s="1">
        <v>41913</v>
      </c>
      <c r="B9906" t="s">
        <v>23</v>
      </c>
      <c r="C9906" t="s">
        <v>11</v>
      </c>
      <c r="D9906">
        <v>70</v>
      </c>
      <c r="E9906" s="2">
        <v>7.9745370370370369E-2</v>
      </c>
      <c r="F9906">
        <v>114.83333333333333</v>
      </c>
    </row>
    <row r="9907" spans="1:6" x14ac:dyDescent="0.25">
      <c r="A9907" s="1">
        <v>41913</v>
      </c>
      <c r="B9907" t="s">
        <v>24</v>
      </c>
      <c r="C9907" t="s">
        <v>6</v>
      </c>
      <c r="D9907">
        <v>48</v>
      </c>
      <c r="E9907" s="2">
        <v>6.2106481481481485E-2</v>
      </c>
      <c r="F9907">
        <v>89.433333333333337</v>
      </c>
    </row>
    <row r="9908" spans="1:6" x14ac:dyDescent="0.25">
      <c r="A9908" s="1">
        <v>41913</v>
      </c>
      <c r="B9908" t="s">
        <v>24</v>
      </c>
      <c r="C9908" t="s">
        <v>7</v>
      </c>
      <c r="D9908">
        <v>33</v>
      </c>
      <c r="E9908" s="2">
        <v>2.8217592592592593E-2</v>
      </c>
      <c r="F9908">
        <v>40.633333333333333</v>
      </c>
    </row>
    <row r="9909" spans="1:6" x14ac:dyDescent="0.25">
      <c r="A9909" s="1">
        <v>41913</v>
      </c>
      <c r="B9909" t="s">
        <v>24</v>
      </c>
      <c r="C9909" t="s">
        <v>8</v>
      </c>
      <c r="D9909">
        <v>25</v>
      </c>
      <c r="E9909" s="2">
        <v>1.8437499999999999E-2</v>
      </c>
      <c r="F9909">
        <v>26.55</v>
      </c>
    </row>
    <row r="9910" spans="1:6" x14ac:dyDescent="0.25">
      <c r="A9910" s="1">
        <v>41913</v>
      </c>
      <c r="B9910" t="s">
        <v>24</v>
      </c>
      <c r="C9910" t="s">
        <v>9</v>
      </c>
      <c r="D9910">
        <v>32</v>
      </c>
      <c r="E9910" s="2">
        <v>2.704861111111111E-2</v>
      </c>
      <c r="F9910">
        <v>38.950000000000003</v>
      </c>
    </row>
    <row r="9911" spans="1:6" x14ac:dyDescent="0.25">
      <c r="A9911" s="1">
        <v>41913</v>
      </c>
      <c r="B9911" t="s">
        <v>24</v>
      </c>
      <c r="C9911" t="s">
        <v>10</v>
      </c>
      <c r="D9911">
        <v>0</v>
      </c>
      <c r="E9911" s="2">
        <v>0</v>
      </c>
      <c r="F9911">
        <v>0</v>
      </c>
    </row>
    <row r="9912" spans="1:6" x14ac:dyDescent="0.25">
      <c r="A9912" s="1">
        <v>41913</v>
      </c>
      <c r="B9912" t="s">
        <v>24</v>
      </c>
      <c r="C9912" t="s">
        <v>11</v>
      </c>
      <c r="D9912">
        <v>17</v>
      </c>
      <c r="E9912" s="2">
        <v>1.3923611111111111E-2</v>
      </c>
      <c r="F9912">
        <v>20.05</v>
      </c>
    </row>
    <row r="9913" spans="1:6" x14ac:dyDescent="0.25">
      <c r="A9913" s="1">
        <v>41944</v>
      </c>
      <c r="B9913" t="s">
        <v>5</v>
      </c>
      <c r="C9913" t="s">
        <v>6</v>
      </c>
      <c r="D9913">
        <v>40</v>
      </c>
      <c r="E9913" s="2">
        <v>3.4004629629629628E-2</v>
      </c>
      <c r="F9913">
        <v>48.966666666666669</v>
      </c>
    </row>
    <row r="9914" spans="1:6" x14ac:dyDescent="0.25">
      <c r="A9914" s="1">
        <v>41944</v>
      </c>
      <c r="B9914" t="s">
        <v>5</v>
      </c>
      <c r="C9914" t="s">
        <v>7</v>
      </c>
      <c r="D9914">
        <v>50</v>
      </c>
      <c r="E9914" s="2">
        <v>4.4837962962962961E-2</v>
      </c>
      <c r="F9914">
        <v>64.566666666666663</v>
      </c>
    </row>
    <row r="9915" spans="1:6" x14ac:dyDescent="0.25">
      <c r="A9915" s="1">
        <v>41944</v>
      </c>
      <c r="B9915" t="s">
        <v>5</v>
      </c>
      <c r="C9915" t="s">
        <v>8</v>
      </c>
      <c r="D9915">
        <v>42</v>
      </c>
      <c r="E9915" s="2">
        <v>3.4016203703703701E-2</v>
      </c>
      <c r="F9915">
        <v>48.983333333333334</v>
      </c>
    </row>
    <row r="9916" spans="1:6" x14ac:dyDescent="0.25">
      <c r="A9916" s="1">
        <v>41944</v>
      </c>
      <c r="B9916" t="s">
        <v>5</v>
      </c>
      <c r="C9916" t="s">
        <v>9</v>
      </c>
      <c r="D9916">
        <v>6</v>
      </c>
      <c r="E9916" s="2">
        <v>2.1990740740740742E-3</v>
      </c>
      <c r="F9916">
        <v>3.1666666666666665</v>
      </c>
    </row>
    <row r="9917" spans="1:6" x14ac:dyDescent="0.25">
      <c r="A9917" s="1">
        <v>41944</v>
      </c>
      <c r="B9917" t="s">
        <v>5</v>
      </c>
      <c r="C9917" t="s">
        <v>10</v>
      </c>
      <c r="D9917">
        <v>3</v>
      </c>
      <c r="E9917" s="2">
        <v>3.6226851851851854E-3</v>
      </c>
      <c r="F9917">
        <v>5.2166666666666668</v>
      </c>
    </row>
    <row r="9918" spans="1:6" x14ac:dyDescent="0.25">
      <c r="A9918" s="1">
        <v>41944</v>
      </c>
      <c r="B9918" t="s">
        <v>5</v>
      </c>
      <c r="C9918" t="s">
        <v>11</v>
      </c>
      <c r="D9918">
        <v>36</v>
      </c>
      <c r="E9918" s="2">
        <v>2.7152777777777779E-2</v>
      </c>
      <c r="F9918">
        <v>39.1</v>
      </c>
    </row>
    <row r="9919" spans="1:6" x14ac:dyDescent="0.25">
      <c r="A9919" s="1">
        <v>41944</v>
      </c>
      <c r="B9919" t="s">
        <v>12</v>
      </c>
      <c r="C9919" t="s">
        <v>6</v>
      </c>
      <c r="D9919">
        <v>48</v>
      </c>
      <c r="E9919" s="2">
        <v>7.1585648148148148E-2</v>
      </c>
      <c r="F9919">
        <v>103.08333333333333</v>
      </c>
    </row>
    <row r="9920" spans="1:6" x14ac:dyDescent="0.25">
      <c r="A9920" s="1">
        <v>41944</v>
      </c>
      <c r="B9920" t="s">
        <v>12</v>
      </c>
      <c r="C9920" t="s">
        <v>7</v>
      </c>
      <c r="D9920">
        <v>38</v>
      </c>
      <c r="E9920" s="2">
        <v>6.1041666666666668E-2</v>
      </c>
      <c r="F9920">
        <v>87.9</v>
      </c>
    </row>
    <row r="9921" spans="1:6" x14ac:dyDescent="0.25">
      <c r="A9921" s="1">
        <v>41944</v>
      </c>
      <c r="B9921" t="s">
        <v>12</v>
      </c>
      <c r="C9921" t="s">
        <v>8</v>
      </c>
      <c r="D9921">
        <v>32</v>
      </c>
      <c r="E9921" s="2">
        <v>4.0034722222222222E-2</v>
      </c>
      <c r="F9921">
        <v>57.65</v>
      </c>
    </row>
    <row r="9922" spans="1:6" x14ac:dyDescent="0.25">
      <c r="A9922" s="1">
        <v>41944</v>
      </c>
      <c r="B9922" t="s">
        <v>12</v>
      </c>
      <c r="C9922" t="s">
        <v>9</v>
      </c>
      <c r="D9922">
        <v>20</v>
      </c>
      <c r="E9922" s="2">
        <v>1.7199074074074075E-2</v>
      </c>
      <c r="F9922">
        <v>24.766666666666666</v>
      </c>
    </row>
    <row r="9923" spans="1:6" x14ac:dyDescent="0.25">
      <c r="A9923" s="1">
        <v>41944</v>
      </c>
      <c r="B9923" t="s">
        <v>12</v>
      </c>
      <c r="C9923" t="s">
        <v>10</v>
      </c>
      <c r="D9923">
        <v>21</v>
      </c>
      <c r="E9923" s="2">
        <v>4.2129629629629628E-2</v>
      </c>
      <c r="F9923">
        <v>60.666666666666664</v>
      </c>
    </row>
    <row r="9924" spans="1:6" x14ac:dyDescent="0.25">
      <c r="A9924" s="1">
        <v>41944</v>
      </c>
      <c r="B9924" t="s">
        <v>12</v>
      </c>
      <c r="C9924" t="s">
        <v>11</v>
      </c>
      <c r="D9924">
        <v>52</v>
      </c>
      <c r="E9924" s="2">
        <v>6.1203703703703705E-2</v>
      </c>
      <c r="F9924">
        <v>88.13333333333334</v>
      </c>
    </row>
    <row r="9925" spans="1:6" x14ac:dyDescent="0.25">
      <c r="A9925" s="1">
        <v>41944</v>
      </c>
      <c r="B9925" t="s">
        <v>13</v>
      </c>
      <c r="C9925" t="s">
        <v>6</v>
      </c>
      <c r="D9925">
        <v>50</v>
      </c>
      <c r="E9925" s="2">
        <v>5.9872685185185189E-2</v>
      </c>
      <c r="F9925">
        <v>86.216666666666669</v>
      </c>
    </row>
    <row r="9926" spans="1:6" x14ac:dyDescent="0.25">
      <c r="A9926" s="1">
        <v>41944</v>
      </c>
      <c r="B9926" t="s">
        <v>13</v>
      </c>
      <c r="C9926" t="s">
        <v>7</v>
      </c>
      <c r="D9926">
        <v>69</v>
      </c>
      <c r="E9926" s="2">
        <v>0.11538194444444444</v>
      </c>
      <c r="F9926">
        <v>166.15</v>
      </c>
    </row>
    <row r="9927" spans="1:6" x14ac:dyDescent="0.25">
      <c r="A9927" s="1">
        <v>41944</v>
      </c>
      <c r="B9927" t="s">
        <v>13</v>
      </c>
      <c r="C9927" t="s">
        <v>8</v>
      </c>
      <c r="D9927">
        <v>38</v>
      </c>
      <c r="E9927" s="2">
        <v>4.4421296296296299E-2</v>
      </c>
      <c r="F9927">
        <v>63.966666666666669</v>
      </c>
    </row>
    <row r="9928" spans="1:6" x14ac:dyDescent="0.25">
      <c r="A9928" s="1">
        <v>41944</v>
      </c>
      <c r="B9928" t="s">
        <v>13</v>
      </c>
      <c r="C9928" t="s">
        <v>9</v>
      </c>
      <c r="D9928">
        <v>19</v>
      </c>
      <c r="E9928" s="2">
        <v>1.3171296296296296E-2</v>
      </c>
      <c r="F9928">
        <v>18.966666666666665</v>
      </c>
    </row>
    <row r="9929" spans="1:6" x14ac:dyDescent="0.25">
      <c r="A9929" s="1">
        <v>41944</v>
      </c>
      <c r="B9929" t="s">
        <v>13</v>
      </c>
      <c r="C9929" t="s">
        <v>10</v>
      </c>
      <c r="D9929">
        <v>15</v>
      </c>
      <c r="E9929" s="2">
        <v>2.988425925925926E-2</v>
      </c>
      <c r="F9929">
        <v>43.033333333333331</v>
      </c>
    </row>
    <row r="9930" spans="1:6" x14ac:dyDescent="0.25">
      <c r="A9930" s="1">
        <v>41944</v>
      </c>
      <c r="B9930" t="s">
        <v>13</v>
      </c>
      <c r="C9930" t="s">
        <v>11</v>
      </c>
      <c r="D9930">
        <v>23</v>
      </c>
      <c r="E9930" s="2">
        <v>2.1759259259259259E-2</v>
      </c>
      <c r="F9930">
        <v>31.333333333333332</v>
      </c>
    </row>
    <row r="9931" spans="1:6" x14ac:dyDescent="0.25">
      <c r="A9931" s="1">
        <v>41944</v>
      </c>
      <c r="B9931" t="s">
        <v>14</v>
      </c>
      <c r="C9931" t="s">
        <v>6</v>
      </c>
      <c r="D9931">
        <v>9</v>
      </c>
      <c r="E9931" s="2">
        <v>1.4791666666666667E-2</v>
      </c>
      <c r="F9931">
        <v>21.3</v>
      </c>
    </row>
    <row r="9932" spans="1:6" x14ac:dyDescent="0.25">
      <c r="A9932" s="1">
        <v>41944</v>
      </c>
      <c r="B9932" t="s">
        <v>14</v>
      </c>
      <c r="C9932" t="s">
        <v>7</v>
      </c>
      <c r="D9932">
        <v>9</v>
      </c>
      <c r="E9932" s="2">
        <v>2.3495370370370371E-2</v>
      </c>
      <c r="F9932">
        <v>33.833333333333336</v>
      </c>
    </row>
    <row r="9933" spans="1:6" x14ac:dyDescent="0.25">
      <c r="A9933" s="1">
        <v>41944</v>
      </c>
      <c r="B9933" t="s">
        <v>14</v>
      </c>
      <c r="C9933" t="s">
        <v>8</v>
      </c>
      <c r="D9933">
        <v>4</v>
      </c>
      <c r="E9933" s="2">
        <v>5.7291666666666663E-3</v>
      </c>
      <c r="F9933">
        <v>8.25</v>
      </c>
    </row>
    <row r="9934" spans="1:6" x14ac:dyDescent="0.25">
      <c r="A9934" s="1">
        <v>41944</v>
      </c>
      <c r="B9934" t="s">
        <v>14</v>
      </c>
      <c r="C9934" t="s">
        <v>9</v>
      </c>
      <c r="D9934">
        <v>1</v>
      </c>
      <c r="E9934" s="2">
        <v>1.0300925925925926E-3</v>
      </c>
      <c r="F9934">
        <v>1.4833333333333334</v>
      </c>
    </row>
    <row r="9935" spans="1:6" x14ac:dyDescent="0.25">
      <c r="A9935" s="1">
        <v>41944</v>
      </c>
      <c r="B9935" t="s">
        <v>14</v>
      </c>
      <c r="C9935" t="s">
        <v>10</v>
      </c>
      <c r="D9935">
        <v>0</v>
      </c>
      <c r="E9935" s="2">
        <v>0</v>
      </c>
      <c r="F9935">
        <v>0</v>
      </c>
    </row>
    <row r="9936" spans="1:6" x14ac:dyDescent="0.25">
      <c r="A9936" s="1">
        <v>41944</v>
      </c>
      <c r="B9936" t="s">
        <v>14</v>
      </c>
      <c r="C9936" t="s">
        <v>11</v>
      </c>
      <c r="D9936">
        <v>7</v>
      </c>
      <c r="E9936" s="2">
        <v>8.3912037037037045E-3</v>
      </c>
      <c r="F9936">
        <v>12.083333333333334</v>
      </c>
    </row>
    <row r="9937" spans="1:6" x14ac:dyDescent="0.25">
      <c r="A9937" s="1">
        <v>41944</v>
      </c>
      <c r="B9937" t="s">
        <v>15</v>
      </c>
      <c r="C9937" t="s">
        <v>6</v>
      </c>
      <c r="D9937">
        <v>56</v>
      </c>
      <c r="E9937" s="2">
        <v>5.6597222222222222E-2</v>
      </c>
      <c r="F9937">
        <v>81.5</v>
      </c>
    </row>
    <row r="9938" spans="1:6" x14ac:dyDescent="0.25">
      <c r="A9938" s="1">
        <v>41944</v>
      </c>
      <c r="B9938" t="s">
        <v>15</v>
      </c>
      <c r="C9938" t="s">
        <v>7</v>
      </c>
      <c r="D9938">
        <v>32</v>
      </c>
      <c r="E9938" s="2">
        <v>3.4780092592592592E-2</v>
      </c>
      <c r="F9938">
        <v>50.083333333333336</v>
      </c>
    </row>
    <row r="9939" spans="1:6" x14ac:dyDescent="0.25">
      <c r="A9939" s="1">
        <v>41944</v>
      </c>
      <c r="B9939" t="s">
        <v>15</v>
      </c>
      <c r="C9939" t="s">
        <v>8</v>
      </c>
      <c r="D9939">
        <v>28</v>
      </c>
      <c r="E9939" s="2">
        <v>2.4664351851851851E-2</v>
      </c>
      <c r="F9939">
        <v>35.516666666666666</v>
      </c>
    </row>
    <row r="9940" spans="1:6" x14ac:dyDescent="0.25">
      <c r="A9940" s="1">
        <v>41944</v>
      </c>
      <c r="B9940" t="s">
        <v>15</v>
      </c>
      <c r="C9940" t="s">
        <v>9</v>
      </c>
      <c r="D9940">
        <v>11</v>
      </c>
      <c r="E9940" s="2">
        <v>1.0578703703703703E-2</v>
      </c>
      <c r="F9940">
        <v>15.233333333333333</v>
      </c>
    </row>
    <row r="9941" spans="1:6" x14ac:dyDescent="0.25">
      <c r="A9941" s="1">
        <v>41944</v>
      </c>
      <c r="B9941" t="s">
        <v>15</v>
      </c>
      <c r="C9941" t="s">
        <v>10</v>
      </c>
      <c r="D9941">
        <v>13</v>
      </c>
      <c r="E9941" s="2">
        <v>1.4236111111111111E-2</v>
      </c>
      <c r="F9941">
        <v>20.5</v>
      </c>
    </row>
    <row r="9942" spans="1:6" x14ac:dyDescent="0.25">
      <c r="A9942" s="1">
        <v>41944</v>
      </c>
      <c r="B9942" t="s">
        <v>15</v>
      </c>
      <c r="C9942" t="s">
        <v>11</v>
      </c>
      <c r="D9942">
        <v>20</v>
      </c>
      <c r="E9942" s="2">
        <v>1.369212962962963E-2</v>
      </c>
      <c r="F9942">
        <v>19.716666666666665</v>
      </c>
    </row>
    <row r="9943" spans="1:6" x14ac:dyDescent="0.25">
      <c r="A9943" s="1">
        <v>41944</v>
      </c>
      <c r="B9943" t="s">
        <v>16</v>
      </c>
      <c r="C9943" t="s">
        <v>6</v>
      </c>
      <c r="D9943">
        <v>21</v>
      </c>
      <c r="E9943" s="2">
        <v>1.6215277777777776E-2</v>
      </c>
      <c r="F9943">
        <v>23.35</v>
      </c>
    </row>
    <row r="9944" spans="1:6" x14ac:dyDescent="0.25">
      <c r="A9944" s="1">
        <v>41944</v>
      </c>
      <c r="B9944" t="s">
        <v>16</v>
      </c>
      <c r="C9944" t="s">
        <v>7</v>
      </c>
      <c r="D9944">
        <v>23</v>
      </c>
      <c r="E9944" s="2">
        <v>2.101851851851852E-2</v>
      </c>
      <c r="F9944">
        <v>30.266666666666666</v>
      </c>
    </row>
    <row r="9945" spans="1:6" x14ac:dyDescent="0.25">
      <c r="A9945" s="1">
        <v>41944</v>
      </c>
      <c r="B9945" t="s">
        <v>16</v>
      </c>
      <c r="C9945" t="s">
        <v>8</v>
      </c>
      <c r="D9945">
        <v>20</v>
      </c>
      <c r="E9945" s="2">
        <v>1.4606481481481481E-2</v>
      </c>
      <c r="F9945">
        <v>21.033333333333335</v>
      </c>
    </row>
    <row r="9946" spans="1:6" x14ac:dyDescent="0.25">
      <c r="A9946" s="1">
        <v>41944</v>
      </c>
      <c r="B9946" t="s">
        <v>16</v>
      </c>
      <c r="C9946" t="s">
        <v>9</v>
      </c>
      <c r="D9946">
        <v>7</v>
      </c>
      <c r="E9946" s="2">
        <v>6.3078703703703708E-3</v>
      </c>
      <c r="F9946">
        <v>9.0833333333333339</v>
      </c>
    </row>
    <row r="9947" spans="1:6" x14ac:dyDescent="0.25">
      <c r="A9947" s="1">
        <v>41944</v>
      </c>
      <c r="B9947" t="s">
        <v>16</v>
      </c>
      <c r="C9947" t="s">
        <v>10</v>
      </c>
      <c r="D9947">
        <v>0</v>
      </c>
      <c r="E9947" s="2">
        <v>0</v>
      </c>
      <c r="F9947">
        <v>0</v>
      </c>
    </row>
    <row r="9948" spans="1:6" x14ac:dyDescent="0.25">
      <c r="A9948" s="1">
        <v>41944</v>
      </c>
      <c r="B9948" t="s">
        <v>16</v>
      </c>
      <c r="C9948" t="s">
        <v>11</v>
      </c>
      <c r="D9948">
        <v>43</v>
      </c>
      <c r="E9948" s="2">
        <v>3.5694444444444445E-2</v>
      </c>
      <c r="F9948">
        <v>51.4</v>
      </c>
    </row>
    <row r="9949" spans="1:6" x14ac:dyDescent="0.25">
      <c r="A9949" s="1">
        <v>41944</v>
      </c>
      <c r="B9949" t="s">
        <v>17</v>
      </c>
      <c r="C9949" t="s">
        <v>6</v>
      </c>
      <c r="D9949">
        <v>25</v>
      </c>
      <c r="E9949" s="2">
        <v>3.0300925925925926E-2</v>
      </c>
      <c r="F9949">
        <v>43.633333333333333</v>
      </c>
    </row>
    <row r="9950" spans="1:6" x14ac:dyDescent="0.25">
      <c r="A9950" s="1">
        <v>41944</v>
      </c>
      <c r="B9950" t="s">
        <v>17</v>
      </c>
      <c r="C9950" t="s">
        <v>7</v>
      </c>
      <c r="D9950">
        <v>22</v>
      </c>
      <c r="E9950" s="2">
        <v>2.627314814814815E-2</v>
      </c>
      <c r="F9950">
        <v>37.833333333333336</v>
      </c>
    </row>
    <row r="9951" spans="1:6" x14ac:dyDescent="0.25">
      <c r="A9951" s="1">
        <v>41944</v>
      </c>
      <c r="B9951" t="s">
        <v>17</v>
      </c>
      <c r="C9951" t="s">
        <v>8</v>
      </c>
      <c r="D9951">
        <v>20</v>
      </c>
      <c r="E9951" s="2">
        <v>2.0682870370370369E-2</v>
      </c>
      <c r="F9951">
        <v>29.783333333333335</v>
      </c>
    </row>
    <row r="9952" spans="1:6" x14ac:dyDescent="0.25">
      <c r="A9952" s="1">
        <v>41944</v>
      </c>
      <c r="B9952" t="s">
        <v>17</v>
      </c>
      <c r="C9952" t="s">
        <v>9</v>
      </c>
      <c r="D9952">
        <v>5</v>
      </c>
      <c r="E9952" s="2">
        <v>5.5208333333333333E-3</v>
      </c>
      <c r="F9952">
        <v>7.95</v>
      </c>
    </row>
    <row r="9953" spans="1:6" x14ac:dyDescent="0.25">
      <c r="A9953" s="1">
        <v>41944</v>
      </c>
      <c r="B9953" t="s">
        <v>17</v>
      </c>
      <c r="C9953" t="s">
        <v>10</v>
      </c>
      <c r="D9953">
        <v>10</v>
      </c>
      <c r="E9953" s="2">
        <v>1.2662037037037038E-2</v>
      </c>
      <c r="F9953">
        <v>18.233333333333334</v>
      </c>
    </row>
    <row r="9954" spans="1:6" x14ac:dyDescent="0.25">
      <c r="A9954" s="1">
        <v>41944</v>
      </c>
      <c r="B9954" t="s">
        <v>17</v>
      </c>
      <c r="C9954" t="s">
        <v>11</v>
      </c>
      <c r="D9954">
        <v>8</v>
      </c>
      <c r="E9954" s="2">
        <v>5.5439814814814813E-3</v>
      </c>
      <c r="F9954">
        <v>7.9833333333333334</v>
      </c>
    </row>
    <row r="9955" spans="1:6" x14ac:dyDescent="0.25">
      <c r="A9955" s="1">
        <v>41944</v>
      </c>
      <c r="B9955" t="s">
        <v>18</v>
      </c>
      <c r="C9955" t="s">
        <v>6</v>
      </c>
      <c r="D9955">
        <v>58</v>
      </c>
      <c r="E9955" s="2">
        <v>6.4004629629629634E-2</v>
      </c>
      <c r="F9955">
        <v>92.166666666666671</v>
      </c>
    </row>
    <row r="9956" spans="1:6" x14ac:dyDescent="0.25">
      <c r="A9956" s="1">
        <v>41944</v>
      </c>
      <c r="B9956" t="s">
        <v>18</v>
      </c>
      <c r="C9956" t="s">
        <v>7</v>
      </c>
      <c r="D9956">
        <v>84</v>
      </c>
      <c r="E9956" s="2">
        <v>8.0729166666666671E-2</v>
      </c>
      <c r="F9956">
        <v>116.25</v>
      </c>
    </row>
    <row r="9957" spans="1:6" x14ac:dyDescent="0.25">
      <c r="A9957" s="1">
        <v>41944</v>
      </c>
      <c r="B9957" t="s">
        <v>18</v>
      </c>
      <c r="C9957" t="s">
        <v>8</v>
      </c>
      <c r="D9957">
        <v>44</v>
      </c>
      <c r="E9957" s="2">
        <v>3.9259259259259258E-2</v>
      </c>
      <c r="F9957">
        <v>56.533333333333331</v>
      </c>
    </row>
    <row r="9958" spans="1:6" x14ac:dyDescent="0.25">
      <c r="A9958" s="1">
        <v>41944</v>
      </c>
      <c r="B9958" t="s">
        <v>18</v>
      </c>
      <c r="C9958" t="s">
        <v>9</v>
      </c>
      <c r="D9958">
        <v>48</v>
      </c>
      <c r="E9958" s="2">
        <v>3.4641203703703702E-2</v>
      </c>
      <c r="F9958">
        <v>49.883333333333333</v>
      </c>
    </row>
    <row r="9959" spans="1:6" x14ac:dyDescent="0.25">
      <c r="A9959" s="1">
        <v>41944</v>
      </c>
      <c r="B9959" t="s">
        <v>18</v>
      </c>
      <c r="C9959" t="s">
        <v>10</v>
      </c>
      <c r="D9959">
        <v>105</v>
      </c>
      <c r="E9959" s="2">
        <v>0.12440972222222223</v>
      </c>
      <c r="F9959">
        <v>179.15</v>
      </c>
    </row>
    <row r="9960" spans="1:6" x14ac:dyDescent="0.25">
      <c r="A9960" s="1">
        <v>41944</v>
      </c>
      <c r="B9960" t="s">
        <v>18</v>
      </c>
      <c r="C9960" t="s">
        <v>11</v>
      </c>
      <c r="D9960">
        <v>42</v>
      </c>
      <c r="E9960" s="2">
        <v>3.1574074074074074E-2</v>
      </c>
      <c r="F9960">
        <v>45.466666666666669</v>
      </c>
    </row>
    <row r="9961" spans="1:6" x14ac:dyDescent="0.25">
      <c r="A9961" s="1">
        <v>41944</v>
      </c>
      <c r="B9961" t="s">
        <v>19</v>
      </c>
      <c r="C9961" t="s">
        <v>6</v>
      </c>
      <c r="D9961">
        <v>32</v>
      </c>
      <c r="E9961" s="2">
        <v>3.6759259259259262E-2</v>
      </c>
      <c r="F9961">
        <v>52.93333333333333</v>
      </c>
    </row>
    <row r="9962" spans="1:6" x14ac:dyDescent="0.25">
      <c r="A9962" s="1">
        <v>41944</v>
      </c>
      <c r="B9962" t="s">
        <v>19</v>
      </c>
      <c r="C9962" t="s">
        <v>7</v>
      </c>
      <c r="D9962">
        <v>39</v>
      </c>
      <c r="E9962" s="2">
        <v>3.9907407407407405E-2</v>
      </c>
      <c r="F9962">
        <v>57.466666666666669</v>
      </c>
    </row>
    <row r="9963" spans="1:6" x14ac:dyDescent="0.25">
      <c r="A9963" s="1">
        <v>41944</v>
      </c>
      <c r="B9963" t="s">
        <v>19</v>
      </c>
      <c r="C9963" t="s">
        <v>8</v>
      </c>
      <c r="D9963">
        <v>31</v>
      </c>
      <c r="E9963" s="2">
        <v>3.8900462962962963E-2</v>
      </c>
      <c r="F9963">
        <v>56.016666666666666</v>
      </c>
    </row>
    <row r="9964" spans="1:6" x14ac:dyDescent="0.25">
      <c r="A9964" s="1">
        <v>41944</v>
      </c>
      <c r="B9964" t="s">
        <v>19</v>
      </c>
      <c r="C9964" t="s">
        <v>9</v>
      </c>
      <c r="D9964">
        <v>19</v>
      </c>
      <c r="E9964" s="2">
        <v>1.2951388888888889E-2</v>
      </c>
      <c r="F9964">
        <v>18.649999999999999</v>
      </c>
    </row>
    <row r="9965" spans="1:6" x14ac:dyDescent="0.25">
      <c r="A9965" s="1">
        <v>41944</v>
      </c>
      <c r="B9965" t="s">
        <v>19</v>
      </c>
      <c r="C9965" t="s">
        <v>10</v>
      </c>
      <c r="D9965">
        <v>16</v>
      </c>
      <c r="E9965" s="2">
        <v>1.7488425925925925E-2</v>
      </c>
      <c r="F9965">
        <v>25.183333333333334</v>
      </c>
    </row>
    <row r="9966" spans="1:6" x14ac:dyDescent="0.25">
      <c r="A9966" s="1">
        <v>41944</v>
      </c>
      <c r="B9966" t="s">
        <v>19</v>
      </c>
      <c r="C9966" t="s">
        <v>11</v>
      </c>
      <c r="D9966">
        <v>31</v>
      </c>
      <c r="E9966" s="2">
        <v>2.7569444444444445E-2</v>
      </c>
      <c r="F9966">
        <v>39.700000000000003</v>
      </c>
    </row>
    <row r="9967" spans="1:6" x14ac:dyDescent="0.25">
      <c r="A9967" s="1">
        <v>41944</v>
      </c>
      <c r="B9967" t="s">
        <v>20</v>
      </c>
      <c r="C9967" t="s">
        <v>6</v>
      </c>
      <c r="D9967">
        <v>37</v>
      </c>
      <c r="E9967" s="2">
        <v>4.2847222222222224E-2</v>
      </c>
      <c r="F9967">
        <v>61.7</v>
      </c>
    </row>
    <row r="9968" spans="1:6" x14ac:dyDescent="0.25">
      <c r="A9968" s="1">
        <v>41944</v>
      </c>
      <c r="B9968" t="s">
        <v>20</v>
      </c>
      <c r="C9968" t="s">
        <v>7</v>
      </c>
      <c r="D9968">
        <v>57</v>
      </c>
      <c r="E9968" s="2">
        <v>6.8692129629629631E-2</v>
      </c>
      <c r="F9968">
        <v>98.916666666666671</v>
      </c>
    </row>
    <row r="9969" spans="1:6" x14ac:dyDescent="0.25">
      <c r="A9969" s="1">
        <v>41944</v>
      </c>
      <c r="B9969" t="s">
        <v>20</v>
      </c>
      <c r="C9969" t="s">
        <v>8</v>
      </c>
      <c r="D9969">
        <v>35</v>
      </c>
      <c r="E9969" s="2">
        <v>3.3125000000000002E-2</v>
      </c>
      <c r="F9969">
        <v>47.7</v>
      </c>
    </row>
    <row r="9970" spans="1:6" x14ac:dyDescent="0.25">
      <c r="A9970" s="1">
        <v>41944</v>
      </c>
      <c r="B9970" t="s">
        <v>20</v>
      </c>
      <c r="C9970" t="s">
        <v>9</v>
      </c>
      <c r="D9970">
        <v>29</v>
      </c>
      <c r="E9970" s="2">
        <v>1.7349537037037038E-2</v>
      </c>
      <c r="F9970">
        <v>24.983333333333334</v>
      </c>
    </row>
    <row r="9971" spans="1:6" x14ac:dyDescent="0.25">
      <c r="A9971" s="1">
        <v>41944</v>
      </c>
      <c r="B9971" t="s">
        <v>20</v>
      </c>
      <c r="C9971" t="s">
        <v>10</v>
      </c>
      <c r="D9971">
        <v>4</v>
      </c>
      <c r="E9971" s="2">
        <v>5.5324074074074078E-3</v>
      </c>
      <c r="F9971">
        <v>7.9666666666666668</v>
      </c>
    </row>
    <row r="9972" spans="1:6" x14ac:dyDescent="0.25">
      <c r="A9972" s="1">
        <v>41944</v>
      </c>
      <c r="B9972" t="s">
        <v>20</v>
      </c>
      <c r="C9972" t="s">
        <v>11</v>
      </c>
      <c r="D9972">
        <v>22</v>
      </c>
      <c r="E9972" s="2">
        <v>2.0023148148148148E-2</v>
      </c>
      <c r="F9972">
        <v>28.833333333333332</v>
      </c>
    </row>
    <row r="9973" spans="1:6" x14ac:dyDescent="0.25">
      <c r="A9973" s="1">
        <v>41944</v>
      </c>
      <c r="B9973" t="s">
        <v>21</v>
      </c>
      <c r="C9973" t="s">
        <v>6</v>
      </c>
      <c r="D9973">
        <v>16</v>
      </c>
      <c r="E9973" s="2">
        <v>1.8645833333333334E-2</v>
      </c>
      <c r="F9973">
        <v>26.85</v>
      </c>
    </row>
    <row r="9974" spans="1:6" x14ac:dyDescent="0.25">
      <c r="A9974" s="1">
        <v>41944</v>
      </c>
      <c r="B9974" t="s">
        <v>21</v>
      </c>
      <c r="C9974" t="s">
        <v>7</v>
      </c>
      <c r="D9974">
        <v>14</v>
      </c>
      <c r="E9974" s="2">
        <v>2.2488425925925926E-2</v>
      </c>
      <c r="F9974">
        <v>32.383333333333333</v>
      </c>
    </row>
    <row r="9975" spans="1:6" x14ac:dyDescent="0.25">
      <c r="A9975" s="1">
        <v>41944</v>
      </c>
      <c r="B9975" t="s">
        <v>21</v>
      </c>
      <c r="C9975" t="s">
        <v>8</v>
      </c>
      <c r="D9975">
        <v>18</v>
      </c>
      <c r="E9975" s="2">
        <v>2.4421296296296295E-2</v>
      </c>
      <c r="F9975">
        <v>35.166666666666664</v>
      </c>
    </row>
    <row r="9976" spans="1:6" x14ac:dyDescent="0.25">
      <c r="A9976" s="1">
        <v>41944</v>
      </c>
      <c r="B9976" t="s">
        <v>21</v>
      </c>
      <c r="C9976" t="s">
        <v>9</v>
      </c>
      <c r="D9976">
        <v>4</v>
      </c>
      <c r="E9976" s="2">
        <v>3.3796296296296296E-3</v>
      </c>
      <c r="F9976">
        <v>4.8666666666666671</v>
      </c>
    </row>
    <row r="9977" spans="1:6" x14ac:dyDescent="0.25">
      <c r="A9977" s="1">
        <v>41944</v>
      </c>
      <c r="B9977" t="s">
        <v>21</v>
      </c>
      <c r="C9977" t="s">
        <v>10</v>
      </c>
      <c r="D9977">
        <v>7</v>
      </c>
      <c r="E9977" s="2">
        <v>7.8356481481481489E-3</v>
      </c>
      <c r="F9977">
        <v>11.283333333333333</v>
      </c>
    </row>
    <row r="9978" spans="1:6" x14ac:dyDescent="0.25">
      <c r="A9978" s="1">
        <v>41944</v>
      </c>
      <c r="B9978" t="s">
        <v>21</v>
      </c>
      <c r="C9978" t="s">
        <v>11</v>
      </c>
      <c r="D9978">
        <v>20</v>
      </c>
      <c r="E9978" s="2">
        <v>2.2951388888888889E-2</v>
      </c>
      <c r="F9978">
        <v>33.049999999999997</v>
      </c>
    </row>
    <row r="9979" spans="1:6" x14ac:dyDescent="0.25">
      <c r="A9979" s="1">
        <v>41944</v>
      </c>
      <c r="B9979" t="s">
        <v>22</v>
      </c>
      <c r="C9979" t="s">
        <v>6</v>
      </c>
      <c r="D9979">
        <v>17</v>
      </c>
      <c r="E9979" s="2">
        <v>2.4293981481481482E-2</v>
      </c>
      <c r="F9979">
        <v>34.983333333333334</v>
      </c>
    </row>
    <row r="9980" spans="1:6" x14ac:dyDescent="0.25">
      <c r="A9980" s="1">
        <v>41944</v>
      </c>
      <c r="B9980" t="s">
        <v>22</v>
      </c>
      <c r="C9980" t="s">
        <v>7</v>
      </c>
      <c r="D9980">
        <v>22</v>
      </c>
      <c r="E9980" s="2">
        <v>3.0659722222222224E-2</v>
      </c>
      <c r="F9980">
        <v>44.15</v>
      </c>
    </row>
    <row r="9981" spans="1:6" x14ac:dyDescent="0.25">
      <c r="A9981" s="1">
        <v>41944</v>
      </c>
      <c r="B9981" t="s">
        <v>22</v>
      </c>
      <c r="C9981" t="s">
        <v>8</v>
      </c>
      <c r="D9981">
        <v>8</v>
      </c>
      <c r="E9981" s="2">
        <v>9.6064814814814815E-3</v>
      </c>
      <c r="F9981">
        <v>13.833333333333334</v>
      </c>
    </row>
    <row r="9982" spans="1:6" x14ac:dyDescent="0.25">
      <c r="A9982" s="1">
        <v>41944</v>
      </c>
      <c r="B9982" t="s">
        <v>22</v>
      </c>
      <c r="C9982" t="s">
        <v>9</v>
      </c>
      <c r="D9982">
        <v>7</v>
      </c>
      <c r="E9982" s="2">
        <v>4.6990740740740743E-3</v>
      </c>
      <c r="F9982">
        <v>6.7666666666666666</v>
      </c>
    </row>
    <row r="9983" spans="1:6" x14ac:dyDescent="0.25">
      <c r="A9983" s="1">
        <v>41944</v>
      </c>
      <c r="B9983" t="s">
        <v>22</v>
      </c>
      <c r="C9983" t="s">
        <v>10</v>
      </c>
      <c r="D9983">
        <v>5</v>
      </c>
      <c r="E9983" s="2">
        <v>4.4444444444444444E-3</v>
      </c>
      <c r="F9983">
        <v>6.4</v>
      </c>
    </row>
    <row r="9984" spans="1:6" x14ac:dyDescent="0.25">
      <c r="A9984" s="1">
        <v>41944</v>
      </c>
      <c r="B9984" t="s">
        <v>22</v>
      </c>
      <c r="C9984" t="s">
        <v>11</v>
      </c>
      <c r="D9984">
        <v>12</v>
      </c>
      <c r="E9984" s="2">
        <v>1.7916666666666668E-2</v>
      </c>
      <c r="F9984">
        <v>25.8</v>
      </c>
    </row>
    <row r="9985" spans="1:6" x14ac:dyDescent="0.25">
      <c r="A9985" s="1">
        <v>41944</v>
      </c>
      <c r="B9985" t="s">
        <v>23</v>
      </c>
      <c r="C9985" t="s">
        <v>6</v>
      </c>
      <c r="D9985">
        <v>84</v>
      </c>
      <c r="E9985" s="2">
        <v>0.10512731481481481</v>
      </c>
      <c r="F9985">
        <v>151.38333333333333</v>
      </c>
    </row>
    <row r="9986" spans="1:6" x14ac:dyDescent="0.25">
      <c r="A9986" s="1">
        <v>41944</v>
      </c>
      <c r="B9986" t="s">
        <v>23</v>
      </c>
      <c r="C9986" t="s">
        <v>7</v>
      </c>
      <c r="D9986">
        <v>86</v>
      </c>
      <c r="E9986" s="2">
        <v>0.13474537037037038</v>
      </c>
      <c r="F9986">
        <v>194.03333333333333</v>
      </c>
    </row>
    <row r="9987" spans="1:6" x14ac:dyDescent="0.25">
      <c r="A9987" s="1">
        <v>41944</v>
      </c>
      <c r="B9987" t="s">
        <v>23</v>
      </c>
      <c r="C9987" t="s">
        <v>8</v>
      </c>
      <c r="D9987">
        <v>59</v>
      </c>
      <c r="E9987" s="2">
        <v>7.3958333333333334E-2</v>
      </c>
      <c r="F9987">
        <v>106.5</v>
      </c>
    </row>
    <row r="9988" spans="1:6" x14ac:dyDescent="0.25">
      <c r="A9988" s="1">
        <v>41944</v>
      </c>
      <c r="B9988" t="s">
        <v>23</v>
      </c>
      <c r="C9988" t="s">
        <v>9</v>
      </c>
      <c r="D9988">
        <v>43</v>
      </c>
      <c r="E9988" s="2">
        <v>2.5972222222222223E-2</v>
      </c>
      <c r="F9988">
        <v>37.4</v>
      </c>
    </row>
    <row r="9989" spans="1:6" x14ac:dyDescent="0.25">
      <c r="A9989" s="1">
        <v>41944</v>
      </c>
      <c r="B9989" t="s">
        <v>23</v>
      </c>
      <c r="C9989" t="s">
        <v>10</v>
      </c>
      <c r="D9989">
        <v>33</v>
      </c>
      <c r="E9989" s="2">
        <v>4.7986111111111111E-2</v>
      </c>
      <c r="F9989">
        <v>69.099999999999994</v>
      </c>
    </row>
    <row r="9990" spans="1:6" x14ac:dyDescent="0.25">
      <c r="A9990" s="1">
        <v>41944</v>
      </c>
      <c r="B9990" t="s">
        <v>23</v>
      </c>
      <c r="C9990" t="s">
        <v>11</v>
      </c>
      <c r="D9990">
        <v>86</v>
      </c>
      <c r="E9990" s="2">
        <v>9.723379629629629E-2</v>
      </c>
      <c r="F9990">
        <v>140.01666666666668</v>
      </c>
    </row>
    <row r="9991" spans="1:6" x14ac:dyDescent="0.25">
      <c r="A9991" s="1">
        <v>41944</v>
      </c>
      <c r="B9991" t="s">
        <v>24</v>
      </c>
      <c r="C9991" t="s">
        <v>6</v>
      </c>
      <c r="D9991">
        <v>38</v>
      </c>
      <c r="E9991" s="2">
        <v>4.1643518518518517E-2</v>
      </c>
      <c r="F9991">
        <v>59.966666666666669</v>
      </c>
    </row>
    <row r="9992" spans="1:6" x14ac:dyDescent="0.25">
      <c r="A9992" s="1">
        <v>41944</v>
      </c>
      <c r="B9992" t="s">
        <v>24</v>
      </c>
      <c r="C9992" t="s">
        <v>7</v>
      </c>
      <c r="D9992">
        <v>39</v>
      </c>
      <c r="E9992" s="2">
        <v>3.3842592592592591E-2</v>
      </c>
      <c r="F9992">
        <v>48.733333333333334</v>
      </c>
    </row>
    <row r="9993" spans="1:6" x14ac:dyDescent="0.25">
      <c r="A9993" s="1">
        <v>41944</v>
      </c>
      <c r="B9993" t="s">
        <v>24</v>
      </c>
      <c r="C9993" t="s">
        <v>8</v>
      </c>
      <c r="D9993">
        <v>26</v>
      </c>
      <c r="E9993" s="2">
        <v>2.4259259259259258E-2</v>
      </c>
      <c r="F9993">
        <v>34.93333333333333</v>
      </c>
    </row>
    <row r="9994" spans="1:6" x14ac:dyDescent="0.25">
      <c r="A9994" s="1">
        <v>41944</v>
      </c>
      <c r="B9994" t="s">
        <v>24</v>
      </c>
      <c r="C9994" t="s">
        <v>9</v>
      </c>
      <c r="D9994">
        <v>41</v>
      </c>
      <c r="E9994" s="2">
        <v>3.09375E-2</v>
      </c>
      <c r="F9994">
        <v>44.55</v>
      </c>
    </row>
    <row r="9995" spans="1:6" x14ac:dyDescent="0.25">
      <c r="A9995" s="1">
        <v>41944</v>
      </c>
      <c r="B9995" t="s">
        <v>24</v>
      </c>
      <c r="C9995" t="s">
        <v>10</v>
      </c>
      <c r="D9995">
        <v>0</v>
      </c>
      <c r="E9995" s="2">
        <v>0</v>
      </c>
      <c r="F9995">
        <v>0</v>
      </c>
    </row>
    <row r="9996" spans="1:6" x14ac:dyDescent="0.25">
      <c r="A9996" s="1">
        <v>41944</v>
      </c>
      <c r="B9996" t="s">
        <v>24</v>
      </c>
      <c r="C9996" t="s">
        <v>11</v>
      </c>
      <c r="D9996">
        <v>30</v>
      </c>
      <c r="E9996" s="2">
        <v>2.3414351851851853E-2</v>
      </c>
      <c r="F9996">
        <v>33.716666666666669</v>
      </c>
    </row>
    <row r="9997" spans="1:6" x14ac:dyDescent="0.25">
      <c r="A9997" s="1">
        <v>41974</v>
      </c>
      <c r="B9997" t="s">
        <v>5</v>
      </c>
      <c r="C9997" t="s">
        <v>6</v>
      </c>
      <c r="D9997">
        <v>74</v>
      </c>
      <c r="E9997" s="2">
        <v>8.0011574074074068E-2</v>
      </c>
      <c r="F9997">
        <v>115.21666666666667</v>
      </c>
    </row>
    <row r="9998" spans="1:6" x14ac:dyDescent="0.25">
      <c r="A9998" s="1">
        <v>41974</v>
      </c>
      <c r="B9998" t="s">
        <v>5</v>
      </c>
      <c r="C9998" t="s">
        <v>7</v>
      </c>
      <c r="D9998">
        <v>88</v>
      </c>
      <c r="E9998" s="2">
        <v>9.2812500000000006E-2</v>
      </c>
      <c r="F9998">
        <v>133.65</v>
      </c>
    </row>
    <row r="9999" spans="1:6" x14ac:dyDescent="0.25">
      <c r="A9999" s="1">
        <v>41974</v>
      </c>
      <c r="B9999" t="s">
        <v>5</v>
      </c>
      <c r="C9999" t="s">
        <v>8</v>
      </c>
      <c r="D9999">
        <v>57</v>
      </c>
      <c r="E9999" s="2">
        <v>5.6111111111111112E-2</v>
      </c>
      <c r="F9999">
        <v>80.8</v>
      </c>
    </row>
    <row r="10000" spans="1:6" x14ac:dyDescent="0.25">
      <c r="A10000" s="1">
        <v>41974</v>
      </c>
      <c r="B10000" t="s">
        <v>5</v>
      </c>
      <c r="C10000" t="s">
        <v>9</v>
      </c>
      <c r="D10000">
        <v>16</v>
      </c>
      <c r="E10000" s="2">
        <v>1.3182870370370371E-2</v>
      </c>
      <c r="F10000">
        <v>18.983333333333334</v>
      </c>
    </row>
    <row r="10001" spans="1:6" x14ac:dyDescent="0.25">
      <c r="A10001" s="1">
        <v>41974</v>
      </c>
      <c r="B10001" t="s">
        <v>5</v>
      </c>
      <c r="C10001" t="s">
        <v>10</v>
      </c>
      <c r="D10001">
        <v>16</v>
      </c>
      <c r="E10001" s="2">
        <v>1.5613425925925926E-2</v>
      </c>
      <c r="F10001">
        <v>22.483333333333334</v>
      </c>
    </row>
    <row r="10002" spans="1:6" x14ac:dyDescent="0.25">
      <c r="A10002" s="1">
        <v>41974</v>
      </c>
      <c r="B10002" t="s">
        <v>5</v>
      </c>
      <c r="C10002" t="s">
        <v>11</v>
      </c>
      <c r="D10002">
        <v>56</v>
      </c>
      <c r="E10002" s="2">
        <v>4.7997685185185185E-2</v>
      </c>
      <c r="F10002">
        <v>69.11666666666666</v>
      </c>
    </row>
    <row r="10003" spans="1:6" x14ac:dyDescent="0.25">
      <c r="A10003" s="1">
        <v>41974</v>
      </c>
      <c r="B10003" t="s">
        <v>12</v>
      </c>
      <c r="C10003" t="s">
        <v>6</v>
      </c>
      <c r="D10003">
        <v>80</v>
      </c>
      <c r="E10003" s="2">
        <v>0.11239583333333333</v>
      </c>
      <c r="F10003">
        <v>161.85</v>
      </c>
    </row>
    <row r="10004" spans="1:6" x14ac:dyDescent="0.25">
      <c r="A10004" s="1">
        <v>41974</v>
      </c>
      <c r="B10004" t="s">
        <v>12</v>
      </c>
      <c r="C10004" t="s">
        <v>7</v>
      </c>
      <c r="D10004">
        <v>55</v>
      </c>
      <c r="E10004" s="2">
        <v>8.9849537037037033E-2</v>
      </c>
      <c r="F10004">
        <v>129.38333333333333</v>
      </c>
    </row>
    <row r="10005" spans="1:6" x14ac:dyDescent="0.25">
      <c r="A10005" s="1">
        <v>41974</v>
      </c>
      <c r="B10005" t="s">
        <v>12</v>
      </c>
      <c r="C10005" t="s">
        <v>8</v>
      </c>
      <c r="D10005">
        <v>44</v>
      </c>
      <c r="E10005" s="2">
        <v>5.7222222222222223E-2</v>
      </c>
      <c r="F10005">
        <v>82.4</v>
      </c>
    </row>
    <row r="10006" spans="1:6" x14ac:dyDescent="0.25">
      <c r="A10006" s="1">
        <v>41974</v>
      </c>
      <c r="B10006" t="s">
        <v>12</v>
      </c>
      <c r="C10006" t="s">
        <v>9</v>
      </c>
      <c r="D10006">
        <v>28</v>
      </c>
      <c r="E10006" s="2">
        <v>2.6840277777777779E-2</v>
      </c>
      <c r="F10006">
        <v>38.65</v>
      </c>
    </row>
    <row r="10007" spans="1:6" x14ac:dyDescent="0.25">
      <c r="A10007" s="1">
        <v>41974</v>
      </c>
      <c r="B10007" t="s">
        <v>12</v>
      </c>
      <c r="C10007" t="s">
        <v>10</v>
      </c>
      <c r="D10007">
        <v>25</v>
      </c>
      <c r="E10007" s="2">
        <v>4.3344907407407408E-2</v>
      </c>
      <c r="F10007">
        <v>62.416666666666664</v>
      </c>
    </row>
    <row r="10008" spans="1:6" x14ac:dyDescent="0.25">
      <c r="A10008" s="1">
        <v>41974</v>
      </c>
      <c r="B10008" t="s">
        <v>12</v>
      </c>
      <c r="C10008" t="s">
        <v>11</v>
      </c>
      <c r="D10008">
        <v>74</v>
      </c>
      <c r="E10008" s="2">
        <v>9.3506944444444448E-2</v>
      </c>
      <c r="F10008">
        <v>134.65</v>
      </c>
    </row>
    <row r="10009" spans="1:6" x14ac:dyDescent="0.25">
      <c r="A10009" s="1">
        <v>41974</v>
      </c>
      <c r="B10009" t="s">
        <v>13</v>
      </c>
      <c r="C10009" t="s">
        <v>6</v>
      </c>
      <c r="D10009">
        <v>79</v>
      </c>
      <c r="E10009" s="2">
        <v>0.10240740740740741</v>
      </c>
      <c r="F10009">
        <v>147.46666666666667</v>
      </c>
    </row>
    <row r="10010" spans="1:6" x14ac:dyDescent="0.25">
      <c r="A10010" s="1">
        <v>41974</v>
      </c>
      <c r="B10010" t="s">
        <v>13</v>
      </c>
      <c r="C10010" t="s">
        <v>7</v>
      </c>
      <c r="D10010">
        <v>86</v>
      </c>
      <c r="E10010" s="2">
        <v>0.14432870370370371</v>
      </c>
      <c r="F10010">
        <v>207.83333333333334</v>
      </c>
    </row>
    <row r="10011" spans="1:6" x14ac:dyDescent="0.25">
      <c r="A10011" s="1">
        <v>41974</v>
      </c>
      <c r="B10011" t="s">
        <v>13</v>
      </c>
      <c r="C10011" t="s">
        <v>8</v>
      </c>
      <c r="D10011">
        <v>61</v>
      </c>
      <c r="E10011" s="2">
        <v>7.4374999999999997E-2</v>
      </c>
      <c r="F10011">
        <v>107.1</v>
      </c>
    </row>
    <row r="10012" spans="1:6" x14ac:dyDescent="0.25">
      <c r="A10012" s="1">
        <v>41974</v>
      </c>
      <c r="B10012" t="s">
        <v>13</v>
      </c>
      <c r="C10012" t="s">
        <v>9</v>
      </c>
      <c r="D10012">
        <v>22</v>
      </c>
      <c r="E10012" s="2">
        <v>1.4930555555555556E-2</v>
      </c>
      <c r="F10012">
        <v>21.5</v>
      </c>
    </row>
    <row r="10013" spans="1:6" x14ac:dyDescent="0.25">
      <c r="A10013" s="1">
        <v>41974</v>
      </c>
      <c r="B10013" t="s">
        <v>13</v>
      </c>
      <c r="C10013" t="s">
        <v>10</v>
      </c>
      <c r="D10013">
        <v>24</v>
      </c>
      <c r="E10013" s="2">
        <v>3.7499999999999999E-2</v>
      </c>
      <c r="F10013">
        <v>54</v>
      </c>
    </row>
    <row r="10014" spans="1:6" x14ac:dyDescent="0.25">
      <c r="A10014" s="1">
        <v>41974</v>
      </c>
      <c r="B10014" t="s">
        <v>13</v>
      </c>
      <c r="C10014" t="s">
        <v>11</v>
      </c>
      <c r="D10014">
        <v>44</v>
      </c>
      <c r="E10014" s="2">
        <v>4.7789351851851854E-2</v>
      </c>
      <c r="F10014">
        <v>68.816666666666663</v>
      </c>
    </row>
    <row r="10015" spans="1:6" x14ac:dyDescent="0.25">
      <c r="A10015" s="1">
        <v>41974</v>
      </c>
      <c r="B10015" t="s">
        <v>14</v>
      </c>
      <c r="C10015" t="s">
        <v>6</v>
      </c>
      <c r="D10015">
        <v>11</v>
      </c>
      <c r="E10015" s="2">
        <v>2.0208333333333332E-2</v>
      </c>
      <c r="F10015">
        <v>29.1</v>
      </c>
    </row>
    <row r="10016" spans="1:6" x14ac:dyDescent="0.25">
      <c r="A10016" s="1">
        <v>41974</v>
      </c>
      <c r="B10016" t="s">
        <v>14</v>
      </c>
      <c r="C10016" t="s">
        <v>7</v>
      </c>
      <c r="D10016">
        <v>8</v>
      </c>
      <c r="E10016" s="2">
        <v>1.5486111111111112E-2</v>
      </c>
      <c r="F10016">
        <v>22.3</v>
      </c>
    </row>
    <row r="10017" spans="1:6" x14ac:dyDescent="0.25">
      <c r="A10017" s="1">
        <v>41974</v>
      </c>
      <c r="B10017" t="s">
        <v>14</v>
      </c>
      <c r="C10017" t="s">
        <v>8</v>
      </c>
      <c r="D10017">
        <v>6</v>
      </c>
      <c r="E10017" s="2">
        <v>1.019675925925926E-2</v>
      </c>
      <c r="F10017">
        <v>14.683333333333334</v>
      </c>
    </row>
    <row r="10018" spans="1:6" x14ac:dyDescent="0.25">
      <c r="A10018" s="1">
        <v>41974</v>
      </c>
      <c r="B10018" t="s">
        <v>14</v>
      </c>
      <c r="C10018" t="s">
        <v>9</v>
      </c>
      <c r="D10018">
        <v>5</v>
      </c>
      <c r="E10018" s="2">
        <v>3.472222222222222E-3</v>
      </c>
      <c r="F10018">
        <v>5</v>
      </c>
    </row>
    <row r="10019" spans="1:6" x14ac:dyDescent="0.25">
      <c r="A10019" s="1">
        <v>41974</v>
      </c>
      <c r="B10019" t="s">
        <v>14</v>
      </c>
      <c r="C10019" t="s">
        <v>10</v>
      </c>
      <c r="D10019">
        <v>1</v>
      </c>
      <c r="E10019" s="2">
        <v>2.2453703703703702E-3</v>
      </c>
      <c r="F10019">
        <v>3.2333333333333334</v>
      </c>
    </row>
    <row r="10020" spans="1:6" x14ac:dyDescent="0.25">
      <c r="A10020" s="1">
        <v>41974</v>
      </c>
      <c r="B10020" t="s">
        <v>14</v>
      </c>
      <c r="C10020" t="s">
        <v>11</v>
      </c>
      <c r="D10020">
        <v>5</v>
      </c>
      <c r="E10020" s="2">
        <v>5.3356481481481484E-3</v>
      </c>
      <c r="F10020">
        <v>7.6833333333333336</v>
      </c>
    </row>
    <row r="10021" spans="1:6" x14ac:dyDescent="0.25">
      <c r="A10021" s="1">
        <v>41974</v>
      </c>
      <c r="B10021" t="s">
        <v>15</v>
      </c>
      <c r="C10021" t="s">
        <v>6</v>
      </c>
      <c r="D10021">
        <v>33</v>
      </c>
      <c r="E10021" s="2">
        <v>4.234953703703704E-2</v>
      </c>
      <c r="F10021">
        <v>60.983333333333334</v>
      </c>
    </row>
    <row r="10022" spans="1:6" x14ac:dyDescent="0.25">
      <c r="A10022" s="1">
        <v>41974</v>
      </c>
      <c r="B10022" t="s">
        <v>15</v>
      </c>
      <c r="C10022" t="s">
        <v>7</v>
      </c>
      <c r="D10022">
        <v>43</v>
      </c>
      <c r="E10022" s="2">
        <v>4.3425925925925923E-2</v>
      </c>
      <c r="F10022">
        <v>62.533333333333331</v>
      </c>
    </row>
    <row r="10023" spans="1:6" x14ac:dyDescent="0.25">
      <c r="A10023" s="1">
        <v>41974</v>
      </c>
      <c r="B10023" t="s">
        <v>15</v>
      </c>
      <c r="C10023" t="s">
        <v>8</v>
      </c>
      <c r="D10023">
        <v>24</v>
      </c>
      <c r="E10023" s="2">
        <v>2.4039351851851853E-2</v>
      </c>
      <c r="F10023">
        <v>34.616666666666667</v>
      </c>
    </row>
    <row r="10024" spans="1:6" x14ac:dyDescent="0.25">
      <c r="A10024" s="1">
        <v>41974</v>
      </c>
      <c r="B10024" t="s">
        <v>15</v>
      </c>
      <c r="C10024" t="s">
        <v>9</v>
      </c>
      <c r="D10024">
        <v>10</v>
      </c>
      <c r="E10024" s="2">
        <v>4.4675925925925924E-3</v>
      </c>
      <c r="F10024">
        <v>6.4333333333333336</v>
      </c>
    </row>
    <row r="10025" spans="1:6" x14ac:dyDescent="0.25">
      <c r="A10025" s="1">
        <v>41974</v>
      </c>
      <c r="B10025" t="s">
        <v>15</v>
      </c>
      <c r="C10025" t="s">
        <v>10</v>
      </c>
      <c r="D10025">
        <v>12</v>
      </c>
      <c r="E10025" s="2">
        <v>1.982638888888889E-2</v>
      </c>
      <c r="F10025">
        <v>28.55</v>
      </c>
    </row>
    <row r="10026" spans="1:6" x14ac:dyDescent="0.25">
      <c r="A10026" s="1">
        <v>41974</v>
      </c>
      <c r="B10026" t="s">
        <v>15</v>
      </c>
      <c r="C10026" t="s">
        <v>11</v>
      </c>
      <c r="D10026">
        <v>17</v>
      </c>
      <c r="E10026" s="2">
        <v>1.2777777777777779E-2</v>
      </c>
      <c r="F10026">
        <v>18.399999999999999</v>
      </c>
    </row>
    <row r="10027" spans="1:6" x14ac:dyDescent="0.25">
      <c r="A10027" s="1">
        <v>41974</v>
      </c>
      <c r="B10027" t="s">
        <v>16</v>
      </c>
      <c r="C10027" t="s">
        <v>6</v>
      </c>
      <c r="D10027">
        <v>25</v>
      </c>
      <c r="E10027" s="2">
        <v>2.7557870370370371E-2</v>
      </c>
      <c r="F10027">
        <v>39.68333333333333</v>
      </c>
    </row>
    <row r="10028" spans="1:6" x14ac:dyDescent="0.25">
      <c r="A10028" s="1">
        <v>41974</v>
      </c>
      <c r="B10028" t="s">
        <v>16</v>
      </c>
      <c r="C10028" t="s">
        <v>7</v>
      </c>
      <c r="D10028">
        <v>31</v>
      </c>
      <c r="E10028" s="2">
        <v>2.642361111111111E-2</v>
      </c>
      <c r="F10028">
        <v>38.049999999999997</v>
      </c>
    </row>
    <row r="10029" spans="1:6" x14ac:dyDescent="0.25">
      <c r="A10029" s="1">
        <v>41974</v>
      </c>
      <c r="B10029" t="s">
        <v>16</v>
      </c>
      <c r="C10029" t="s">
        <v>8</v>
      </c>
      <c r="D10029">
        <v>29</v>
      </c>
      <c r="E10029" s="2">
        <v>2.2592592592592591E-2</v>
      </c>
      <c r="F10029">
        <v>32.533333333333331</v>
      </c>
    </row>
    <row r="10030" spans="1:6" x14ac:dyDescent="0.25">
      <c r="A10030" s="1">
        <v>41974</v>
      </c>
      <c r="B10030" t="s">
        <v>16</v>
      </c>
      <c r="C10030" t="s">
        <v>9</v>
      </c>
      <c r="D10030">
        <v>17</v>
      </c>
      <c r="E10030" s="2">
        <v>1.2881944444444444E-2</v>
      </c>
      <c r="F10030">
        <v>18.55</v>
      </c>
    </row>
    <row r="10031" spans="1:6" x14ac:dyDescent="0.25">
      <c r="A10031" s="1">
        <v>41974</v>
      </c>
      <c r="B10031" t="s">
        <v>16</v>
      </c>
      <c r="C10031" t="s">
        <v>10</v>
      </c>
      <c r="D10031">
        <v>10</v>
      </c>
      <c r="E10031" s="2">
        <v>8.1018518518518514E-3</v>
      </c>
      <c r="F10031">
        <v>11.666666666666666</v>
      </c>
    </row>
    <row r="10032" spans="1:6" x14ac:dyDescent="0.25">
      <c r="A10032" s="1">
        <v>41974</v>
      </c>
      <c r="B10032" t="s">
        <v>16</v>
      </c>
      <c r="C10032" t="s">
        <v>11</v>
      </c>
      <c r="D10032">
        <v>47</v>
      </c>
      <c r="E10032" s="2">
        <v>3.875E-2</v>
      </c>
      <c r="F10032">
        <v>55.8</v>
      </c>
    </row>
    <row r="10033" spans="1:6" x14ac:dyDescent="0.25">
      <c r="A10033" s="1">
        <v>41974</v>
      </c>
      <c r="B10033" t="s">
        <v>17</v>
      </c>
      <c r="C10033" t="s">
        <v>6</v>
      </c>
      <c r="D10033">
        <v>6</v>
      </c>
      <c r="E10033" s="2">
        <v>4.7569444444444447E-3</v>
      </c>
      <c r="F10033">
        <v>6.85</v>
      </c>
    </row>
    <row r="10034" spans="1:6" x14ac:dyDescent="0.25">
      <c r="A10034" s="1">
        <v>41974</v>
      </c>
      <c r="B10034" t="s">
        <v>17</v>
      </c>
      <c r="C10034" t="s">
        <v>7</v>
      </c>
      <c r="D10034">
        <v>20</v>
      </c>
      <c r="E10034" s="2">
        <v>3.0601851851851852E-2</v>
      </c>
      <c r="F10034">
        <v>44.06666666666667</v>
      </c>
    </row>
    <row r="10035" spans="1:6" x14ac:dyDescent="0.25">
      <c r="A10035" s="1">
        <v>41974</v>
      </c>
      <c r="B10035" t="s">
        <v>17</v>
      </c>
      <c r="C10035" t="s">
        <v>8</v>
      </c>
      <c r="D10035">
        <v>11</v>
      </c>
      <c r="E10035" s="2">
        <v>1.2025462962962963E-2</v>
      </c>
      <c r="F10035">
        <v>17.316666666666666</v>
      </c>
    </row>
    <row r="10036" spans="1:6" x14ac:dyDescent="0.25">
      <c r="A10036" s="1">
        <v>41974</v>
      </c>
      <c r="B10036" t="s">
        <v>17</v>
      </c>
      <c r="C10036" t="s">
        <v>9</v>
      </c>
      <c r="D10036">
        <v>2</v>
      </c>
      <c r="E10036" s="2">
        <v>1.1226851851851851E-3</v>
      </c>
      <c r="F10036">
        <v>1.6166666666666667</v>
      </c>
    </row>
    <row r="10037" spans="1:6" x14ac:dyDescent="0.25">
      <c r="A10037" s="1">
        <v>41974</v>
      </c>
      <c r="B10037" t="s">
        <v>17</v>
      </c>
      <c r="C10037" t="s">
        <v>10</v>
      </c>
      <c r="D10037">
        <v>6</v>
      </c>
      <c r="E10037" s="2">
        <v>9.2592592592592587E-3</v>
      </c>
      <c r="F10037">
        <v>13.333333333333334</v>
      </c>
    </row>
    <row r="10038" spans="1:6" x14ac:dyDescent="0.25">
      <c r="A10038" s="1">
        <v>41974</v>
      </c>
      <c r="B10038" t="s">
        <v>17</v>
      </c>
      <c r="C10038" t="s">
        <v>11</v>
      </c>
      <c r="D10038">
        <v>4</v>
      </c>
      <c r="E10038" s="2">
        <v>3.6805555555555554E-3</v>
      </c>
      <c r="F10038">
        <v>5.3</v>
      </c>
    </row>
    <row r="10039" spans="1:6" x14ac:dyDescent="0.25">
      <c r="A10039" s="1">
        <v>41974</v>
      </c>
      <c r="B10039" t="s">
        <v>18</v>
      </c>
      <c r="C10039" t="s">
        <v>6</v>
      </c>
      <c r="D10039">
        <v>60</v>
      </c>
      <c r="E10039" s="2">
        <v>6.8333333333333329E-2</v>
      </c>
      <c r="F10039">
        <v>98.4</v>
      </c>
    </row>
    <row r="10040" spans="1:6" x14ac:dyDescent="0.25">
      <c r="A10040" s="1">
        <v>41974</v>
      </c>
      <c r="B10040" t="s">
        <v>18</v>
      </c>
      <c r="C10040" t="s">
        <v>7</v>
      </c>
      <c r="D10040">
        <v>91</v>
      </c>
      <c r="E10040" s="2">
        <v>8.396990740740741E-2</v>
      </c>
      <c r="F10040">
        <v>120.91666666666667</v>
      </c>
    </row>
    <row r="10041" spans="1:6" x14ac:dyDescent="0.25">
      <c r="A10041" s="1">
        <v>41974</v>
      </c>
      <c r="B10041" t="s">
        <v>18</v>
      </c>
      <c r="C10041" t="s">
        <v>8</v>
      </c>
      <c r="D10041">
        <v>35</v>
      </c>
      <c r="E10041" s="2">
        <v>3.2002314814814817E-2</v>
      </c>
      <c r="F10041">
        <v>46.083333333333336</v>
      </c>
    </row>
    <row r="10042" spans="1:6" x14ac:dyDescent="0.25">
      <c r="A10042" s="1">
        <v>41974</v>
      </c>
      <c r="B10042" t="s">
        <v>18</v>
      </c>
      <c r="C10042" t="s">
        <v>9</v>
      </c>
      <c r="D10042">
        <v>51</v>
      </c>
      <c r="E10042" s="2">
        <v>3.6840277777777777E-2</v>
      </c>
      <c r="F10042">
        <v>53.05</v>
      </c>
    </row>
    <row r="10043" spans="1:6" x14ac:dyDescent="0.25">
      <c r="A10043" s="1">
        <v>41974</v>
      </c>
      <c r="B10043" t="s">
        <v>18</v>
      </c>
      <c r="C10043" t="s">
        <v>10</v>
      </c>
      <c r="D10043">
        <v>128</v>
      </c>
      <c r="E10043" s="2">
        <v>0.15344907407407407</v>
      </c>
      <c r="F10043">
        <v>220.96666666666667</v>
      </c>
    </row>
    <row r="10044" spans="1:6" x14ac:dyDescent="0.25">
      <c r="A10044" s="1">
        <v>41974</v>
      </c>
      <c r="B10044" t="s">
        <v>18</v>
      </c>
      <c r="C10044" t="s">
        <v>11</v>
      </c>
      <c r="D10044">
        <v>37</v>
      </c>
      <c r="E10044" s="2">
        <v>2.6898148148148147E-2</v>
      </c>
      <c r="F10044">
        <v>38.733333333333334</v>
      </c>
    </row>
    <row r="10045" spans="1:6" x14ac:dyDescent="0.25">
      <c r="A10045" s="1">
        <v>41974</v>
      </c>
      <c r="B10045" t="s">
        <v>19</v>
      </c>
      <c r="C10045" t="s">
        <v>6</v>
      </c>
      <c r="D10045">
        <v>13</v>
      </c>
      <c r="E10045" s="2">
        <v>1.21875E-2</v>
      </c>
      <c r="F10045">
        <v>17.55</v>
      </c>
    </row>
    <row r="10046" spans="1:6" x14ac:dyDescent="0.25">
      <c r="A10046" s="1">
        <v>41974</v>
      </c>
      <c r="B10046" t="s">
        <v>19</v>
      </c>
      <c r="C10046" t="s">
        <v>7</v>
      </c>
      <c r="D10046">
        <v>16</v>
      </c>
      <c r="E10046" s="2">
        <v>1.5833333333333335E-2</v>
      </c>
      <c r="F10046">
        <v>22.8</v>
      </c>
    </row>
    <row r="10047" spans="1:6" x14ac:dyDescent="0.25">
      <c r="A10047" s="1">
        <v>41974</v>
      </c>
      <c r="B10047" t="s">
        <v>19</v>
      </c>
      <c r="C10047" t="s">
        <v>8</v>
      </c>
      <c r="D10047">
        <v>11</v>
      </c>
      <c r="E10047" s="2">
        <v>1.074074074074074E-2</v>
      </c>
      <c r="F10047">
        <v>15.466666666666667</v>
      </c>
    </row>
    <row r="10048" spans="1:6" x14ac:dyDescent="0.25">
      <c r="A10048" s="1">
        <v>41974</v>
      </c>
      <c r="B10048" t="s">
        <v>19</v>
      </c>
      <c r="C10048" t="s">
        <v>9</v>
      </c>
      <c r="D10048">
        <v>11</v>
      </c>
      <c r="E10048" s="2">
        <v>7.3148148148148148E-3</v>
      </c>
      <c r="F10048">
        <v>10.533333333333333</v>
      </c>
    </row>
    <row r="10049" spans="1:6" x14ac:dyDescent="0.25">
      <c r="A10049" s="1">
        <v>41974</v>
      </c>
      <c r="B10049" t="s">
        <v>19</v>
      </c>
      <c r="C10049" t="s">
        <v>10</v>
      </c>
      <c r="D10049">
        <v>14</v>
      </c>
      <c r="E10049" s="2">
        <v>1.5717592592592592E-2</v>
      </c>
      <c r="F10049">
        <v>22.633333333333333</v>
      </c>
    </row>
    <row r="10050" spans="1:6" x14ac:dyDescent="0.25">
      <c r="A10050" s="1">
        <v>41974</v>
      </c>
      <c r="B10050" t="s">
        <v>19</v>
      </c>
      <c r="C10050" t="s">
        <v>11</v>
      </c>
      <c r="D10050">
        <v>32</v>
      </c>
      <c r="E10050" s="2">
        <v>2.7731481481481482E-2</v>
      </c>
      <c r="F10050">
        <v>39.93333333333333</v>
      </c>
    </row>
    <row r="10051" spans="1:6" x14ac:dyDescent="0.25">
      <c r="A10051" s="1">
        <v>41974</v>
      </c>
      <c r="B10051" t="s">
        <v>20</v>
      </c>
      <c r="C10051" t="s">
        <v>6</v>
      </c>
      <c r="D10051">
        <v>49</v>
      </c>
      <c r="E10051" s="2">
        <v>4.3831018518518519E-2</v>
      </c>
      <c r="F10051">
        <v>63.116666666666667</v>
      </c>
    </row>
    <row r="10052" spans="1:6" x14ac:dyDescent="0.25">
      <c r="A10052" s="1">
        <v>41974</v>
      </c>
      <c r="B10052" t="s">
        <v>20</v>
      </c>
      <c r="C10052" t="s">
        <v>7</v>
      </c>
      <c r="D10052">
        <v>50</v>
      </c>
      <c r="E10052" s="2">
        <v>8.233796296296296E-2</v>
      </c>
      <c r="F10052">
        <v>118.56666666666666</v>
      </c>
    </row>
    <row r="10053" spans="1:6" x14ac:dyDescent="0.25">
      <c r="A10053" s="1">
        <v>41974</v>
      </c>
      <c r="B10053" t="s">
        <v>20</v>
      </c>
      <c r="C10053" t="s">
        <v>8</v>
      </c>
      <c r="D10053">
        <v>39</v>
      </c>
      <c r="E10053" s="2">
        <v>4.372685185185185E-2</v>
      </c>
      <c r="F10053">
        <v>62.966666666666669</v>
      </c>
    </row>
    <row r="10054" spans="1:6" x14ac:dyDescent="0.25">
      <c r="A10054" s="1">
        <v>41974</v>
      </c>
      <c r="B10054" t="s">
        <v>20</v>
      </c>
      <c r="C10054" t="s">
        <v>9</v>
      </c>
      <c r="D10054">
        <v>23</v>
      </c>
      <c r="E10054" s="2">
        <v>1.5856481481481482E-2</v>
      </c>
      <c r="F10054">
        <v>22.833333333333332</v>
      </c>
    </row>
    <row r="10055" spans="1:6" x14ac:dyDescent="0.25">
      <c r="A10055" s="1">
        <v>41974</v>
      </c>
      <c r="B10055" t="s">
        <v>20</v>
      </c>
      <c r="C10055" t="s">
        <v>10</v>
      </c>
      <c r="D10055">
        <v>7</v>
      </c>
      <c r="E10055" s="2">
        <v>7.8240740740740736E-3</v>
      </c>
      <c r="F10055">
        <v>11.266666666666667</v>
      </c>
    </row>
    <row r="10056" spans="1:6" x14ac:dyDescent="0.25">
      <c r="A10056" s="1">
        <v>41974</v>
      </c>
      <c r="B10056" t="s">
        <v>20</v>
      </c>
      <c r="C10056" t="s">
        <v>11</v>
      </c>
      <c r="D10056">
        <v>20</v>
      </c>
      <c r="E10056" s="2">
        <v>1.90625E-2</v>
      </c>
      <c r="F10056">
        <v>27.45</v>
      </c>
    </row>
    <row r="10057" spans="1:6" x14ac:dyDescent="0.25">
      <c r="A10057" s="1">
        <v>41974</v>
      </c>
      <c r="B10057" t="s">
        <v>21</v>
      </c>
      <c r="C10057" t="s">
        <v>6</v>
      </c>
      <c r="D10057">
        <v>25</v>
      </c>
      <c r="E10057" s="2">
        <v>3.1643518518518515E-2</v>
      </c>
      <c r="F10057">
        <v>45.56666666666667</v>
      </c>
    </row>
    <row r="10058" spans="1:6" x14ac:dyDescent="0.25">
      <c r="A10058" s="1">
        <v>41974</v>
      </c>
      <c r="B10058" t="s">
        <v>21</v>
      </c>
      <c r="C10058" t="s">
        <v>7</v>
      </c>
      <c r="D10058">
        <v>30</v>
      </c>
      <c r="E10058" s="2">
        <v>3.9942129629629633E-2</v>
      </c>
      <c r="F10058">
        <v>57.516666666666666</v>
      </c>
    </row>
    <row r="10059" spans="1:6" x14ac:dyDescent="0.25">
      <c r="A10059" s="1">
        <v>41974</v>
      </c>
      <c r="B10059" t="s">
        <v>21</v>
      </c>
      <c r="C10059" t="s">
        <v>8</v>
      </c>
      <c r="D10059">
        <v>26</v>
      </c>
      <c r="E10059" s="2">
        <v>3.2256944444444442E-2</v>
      </c>
      <c r="F10059">
        <v>46.45</v>
      </c>
    </row>
    <row r="10060" spans="1:6" x14ac:dyDescent="0.25">
      <c r="A10060" s="1">
        <v>41974</v>
      </c>
      <c r="B10060" t="s">
        <v>21</v>
      </c>
      <c r="C10060" t="s">
        <v>9</v>
      </c>
      <c r="D10060">
        <v>7</v>
      </c>
      <c r="E10060" s="2">
        <v>3.5185185185185185E-3</v>
      </c>
      <c r="F10060">
        <v>5.0666666666666664</v>
      </c>
    </row>
    <row r="10061" spans="1:6" x14ac:dyDescent="0.25">
      <c r="A10061" s="1">
        <v>41974</v>
      </c>
      <c r="B10061" t="s">
        <v>21</v>
      </c>
      <c r="C10061" t="s">
        <v>10</v>
      </c>
      <c r="D10061">
        <v>10</v>
      </c>
      <c r="E10061" s="2">
        <v>1.337962962962963E-2</v>
      </c>
      <c r="F10061">
        <v>19.266666666666666</v>
      </c>
    </row>
    <row r="10062" spans="1:6" x14ac:dyDescent="0.25">
      <c r="A10062" s="1">
        <v>41974</v>
      </c>
      <c r="B10062" t="s">
        <v>21</v>
      </c>
      <c r="C10062" t="s">
        <v>11</v>
      </c>
      <c r="D10062">
        <v>20</v>
      </c>
      <c r="E10062" s="2">
        <v>2.1377314814814814E-2</v>
      </c>
      <c r="F10062">
        <v>30.783333333333335</v>
      </c>
    </row>
    <row r="10063" spans="1:6" x14ac:dyDescent="0.25">
      <c r="A10063" s="1">
        <v>41974</v>
      </c>
      <c r="B10063" t="s">
        <v>22</v>
      </c>
      <c r="C10063" t="s">
        <v>6</v>
      </c>
      <c r="D10063">
        <v>11</v>
      </c>
      <c r="E10063" s="2">
        <v>1.4849537037037038E-2</v>
      </c>
      <c r="F10063">
        <v>21.383333333333333</v>
      </c>
    </row>
    <row r="10064" spans="1:6" x14ac:dyDescent="0.25">
      <c r="A10064" s="1">
        <v>41974</v>
      </c>
      <c r="B10064" t="s">
        <v>22</v>
      </c>
      <c r="C10064" t="s">
        <v>7</v>
      </c>
      <c r="D10064">
        <v>10</v>
      </c>
      <c r="E10064" s="2">
        <v>1.0023148148148147E-2</v>
      </c>
      <c r="F10064">
        <v>14.433333333333334</v>
      </c>
    </row>
    <row r="10065" spans="1:6" x14ac:dyDescent="0.25">
      <c r="A10065" s="1">
        <v>41974</v>
      </c>
      <c r="B10065" t="s">
        <v>22</v>
      </c>
      <c r="C10065" t="s">
        <v>8</v>
      </c>
      <c r="D10065">
        <v>6</v>
      </c>
      <c r="E10065" s="2">
        <v>5.9375000000000001E-3</v>
      </c>
      <c r="F10065">
        <v>8.5500000000000007</v>
      </c>
    </row>
    <row r="10066" spans="1:6" x14ac:dyDescent="0.25">
      <c r="A10066" s="1">
        <v>41974</v>
      </c>
      <c r="B10066" t="s">
        <v>22</v>
      </c>
      <c r="C10066" t="s">
        <v>9</v>
      </c>
      <c r="D10066">
        <v>7</v>
      </c>
      <c r="E10066" s="2">
        <v>5.3935185185185188E-3</v>
      </c>
      <c r="F10066">
        <v>7.7666666666666666</v>
      </c>
    </row>
    <row r="10067" spans="1:6" x14ac:dyDescent="0.25">
      <c r="A10067" s="1">
        <v>41974</v>
      </c>
      <c r="B10067" t="s">
        <v>22</v>
      </c>
      <c r="C10067" t="s">
        <v>10</v>
      </c>
      <c r="D10067">
        <v>3</v>
      </c>
      <c r="E10067" s="2">
        <v>3.472222222222222E-3</v>
      </c>
      <c r="F10067">
        <v>5</v>
      </c>
    </row>
    <row r="10068" spans="1:6" x14ac:dyDescent="0.25">
      <c r="A10068" s="1">
        <v>41974</v>
      </c>
      <c r="B10068" t="s">
        <v>22</v>
      </c>
      <c r="C10068" t="s">
        <v>11</v>
      </c>
      <c r="D10068">
        <v>6</v>
      </c>
      <c r="E10068" s="2">
        <v>5.9722222222222225E-3</v>
      </c>
      <c r="F10068">
        <v>8.6</v>
      </c>
    </row>
    <row r="10069" spans="1:6" x14ac:dyDescent="0.25">
      <c r="A10069" s="1">
        <v>41974</v>
      </c>
      <c r="B10069" t="s">
        <v>23</v>
      </c>
      <c r="C10069" t="s">
        <v>6</v>
      </c>
      <c r="D10069">
        <v>141</v>
      </c>
      <c r="E10069" s="2">
        <v>0.16909722222222223</v>
      </c>
      <c r="F10069">
        <v>243.5</v>
      </c>
    </row>
    <row r="10070" spans="1:6" x14ac:dyDescent="0.25">
      <c r="A10070" s="1">
        <v>41974</v>
      </c>
      <c r="B10070" t="s">
        <v>23</v>
      </c>
      <c r="C10070" t="s">
        <v>7</v>
      </c>
      <c r="D10070">
        <v>182</v>
      </c>
      <c r="E10070" s="2">
        <v>0.2520486111111111</v>
      </c>
      <c r="F10070">
        <v>362.95</v>
      </c>
    </row>
    <row r="10071" spans="1:6" x14ac:dyDescent="0.25">
      <c r="A10071" s="1">
        <v>41974</v>
      </c>
      <c r="B10071" t="s">
        <v>23</v>
      </c>
      <c r="C10071" t="s">
        <v>8</v>
      </c>
      <c r="D10071">
        <v>118</v>
      </c>
      <c r="E10071" s="2">
        <v>0.13936342592592593</v>
      </c>
      <c r="F10071">
        <v>200.68333333333334</v>
      </c>
    </row>
    <row r="10072" spans="1:6" x14ac:dyDescent="0.25">
      <c r="A10072" s="1">
        <v>41974</v>
      </c>
      <c r="B10072" t="s">
        <v>23</v>
      </c>
      <c r="C10072" t="s">
        <v>9</v>
      </c>
      <c r="D10072">
        <v>65</v>
      </c>
      <c r="E10072" s="2">
        <v>4.283564814814815E-2</v>
      </c>
      <c r="F10072">
        <v>61.68333333333333</v>
      </c>
    </row>
    <row r="10073" spans="1:6" x14ac:dyDescent="0.25">
      <c r="A10073" s="1">
        <v>41974</v>
      </c>
      <c r="B10073" t="s">
        <v>23</v>
      </c>
      <c r="C10073" t="s">
        <v>10</v>
      </c>
      <c r="D10073">
        <v>46</v>
      </c>
      <c r="E10073" s="2">
        <v>6.2395833333333331E-2</v>
      </c>
      <c r="F10073">
        <v>89.85</v>
      </c>
    </row>
    <row r="10074" spans="1:6" x14ac:dyDescent="0.25">
      <c r="A10074" s="1">
        <v>41974</v>
      </c>
      <c r="B10074" t="s">
        <v>23</v>
      </c>
      <c r="C10074" t="s">
        <v>11</v>
      </c>
      <c r="D10074">
        <v>130</v>
      </c>
      <c r="E10074" s="2">
        <v>0.13324074074074074</v>
      </c>
      <c r="F10074">
        <v>191.86666666666667</v>
      </c>
    </row>
    <row r="10075" spans="1:6" x14ac:dyDescent="0.25">
      <c r="A10075" s="1">
        <v>41974</v>
      </c>
      <c r="B10075" t="s">
        <v>24</v>
      </c>
      <c r="C10075" t="s">
        <v>6</v>
      </c>
      <c r="D10075">
        <v>31</v>
      </c>
      <c r="E10075" s="2">
        <v>3.4872685185185187E-2</v>
      </c>
      <c r="F10075">
        <v>50.216666666666669</v>
      </c>
    </row>
    <row r="10076" spans="1:6" x14ac:dyDescent="0.25">
      <c r="A10076" s="1">
        <v>41974</v>
      </c>
      <c r="B10076" t="s">
        <v>24</v>
      </c>
      <c r="C10076" t="s">
        <v>7</v>
      </c>
      <c r="D10076">
        <v>27</v>
      </c>
      <c r="E10076" s="2">
        <v>1.7719907407407406E-2</v>
      </c>
      <c r="F10076">
        <v>25.516666666666666</v>
      </c>
    </row>
    <row r="10077" spans="1:6" x14ac:dyDescent="0.25">
      <c r="A10077" s="1">
        <v>41974</v>
      </c>
      <c r="B10077" t="s">
        <v>24</v>
      </c>
      <c r="C10077" t="s">
        <v>8</v>
      </c>
      <c r="D10077">
        <v>17</v>
      </c>
      <c r="E10077" s="2">
        <v>1.1770833333333333E-2</v>
      </c>
      <c r="F10077">
        <v>16.95</v>
      </c>
    </row>
    <row r="10078" spans="1:6" x14ac:dyDescent="0.25">
      <c r="A10078" s="1">
        <v>41974</v>
      </c>
      <c r="B10078" t="s">
        <v>24</v>
      </c>
      <c r="C10078" t="s">
        <v>9</v>
      </c>
      <c r="D10078">
        <v>43</v>
      </c>
      <c r="E10078" s="2">
        <v>3.3472222222222223E-2</v>
      </c>
      <c r="F10078">
        <v>48.2</v>
      </c>
    </row>
    <row r="10079" spans="1:6" x14ac:dyDescent="0.25">
      <c r="A10079" s="1">
        <v>41974</v>
      </c>
      <c r="B10079" t="s">
        <v>24</v>
      </c>
      <c r="C10079" t="s">
        <v>10</v>
      </c>
      <c r="D10079">
        <v>0</v>
      </c>
      <c r="E10079" s="2">
        <v>0</v>
      </c>
      <c r="F10079">
        <v>0</v>
      </c>
    </row>
    <row r="10080" spans="1:6" x14ac:dyDescent="0.25">
      <c r="A10080" s="1">
        <v>41974</v>
      </c>
      <c r="B10080" t="s">
        <v>24</v>
      </c>
      <c r="C10080" t="s">
        <v>11</v>
      </c>
      <c r="D10080">
        <v>16</v>
      </c>
      <c r="E10080" s="2">
        <v>1.3206018518518518E-2</v>
      </c>
      <c r="F10080">
        <v>19.016666666666666</v>
      </c>
    </row>
    <row r="10081" spans="1:6" x14ac:dyDescent="0.25">
      <c r="A10081" s="1">
        <v>42005</v>
      </c>
      <c r="B10081" t="s">
        <v>5</v>
      </c>
      <c r="C10081" t="s">
        <v>6</v>
      </c>
      <c r="D10081">
        <v>29</v>
      </c>
      <c r="E10081" s="2">
        <v>2.3726851851851853E-2</v>
      </c>
      <c r="F10081">
        <v>34.166666666666664</v>
      </c>
    </row>
    <row r="10082" spans="1:6" x14ac:dyDescent="0.25">
      <c r="A10082" s="1">
        <v>42005</v>
      </c>
      <c r="B10082" t="s">
        <v>5</v>
      </c>
      <c r="C10082" t="s">
        <v>7</v>
      </c>
      <c r="D10082">
        <v>27</v>
      </c>
      <c r="E10082" s="2">
        <v>1.9421296296296298E-2</v>
      </c>
      <c r="F10082">
        <v>27.966666666666665</v>
      </c>
    </row>
    <row r="10083" spans="1:6" x14ac:dyDescent="0.25">
      <c r="A10083" s="1">
        <v>42005</v>
      </c>
      <c r="B10083" t="s">
        <v>5</v>
      </c>
      <c r="C10083" t="s">
        <v>8</v>
      </c>
      <c r="D10083">
        <v>35</v>
      </c>
      <c r="E10083" s="2">
        <v>2.5925925925925925E-2</v>
      </c>
      <c r="F10083">
        <v>37.333333333333336</v>
      </c>
    </row>
    <row r="10084" spans="1:6" x14ac:dyDescent="0.25">
      <c r="A10084" s="1">
        <v>42005</v>
      </c>
      <c r="B10084" t="s">
        <v>5</v>
      </c>
      <c r="C10084" t="s">
        <v>9</v>
      </c>
      <c r="D10084">
        <v>7</v>
      </c>
      <c r="E10084" s="2">
        <v>3.7962962962962963E-3</v>
      </c>
      <c r="F10084">
        <v>5.4666666666666668</v>
      </c>
    </row>
    <row r="10085" spans="1:6" x14ac:dyDescent="0.25">
      <c r="A10085" s="1">
        <v>42005</v>
      </c>
      <c r="B10085" t="s">
        <v>5</v>
      </c>
      <c r="C10085" t="s">
        <v>10</v>
      </c>
      <c r="D10085">
        <v>5</v>
      </c>
      <c r="E10085" s="2">
        <v>3.1134259259259257E-3</v>
      </c>
      <c r="F10085">
        <v>4.4833333333333334</v>
      </c>
    </row>
    <row r="10086" spans="1:6" x14ac:dyDescent="0.25">
      <c r="A10086" s="1">
        <v>42005</v>
      </c>
      <c r="B10086" t="s">
        <v>5</v>
      </c>
      <c r="C10086" t="s">
        <v>11</v>
      </c>
      <c r="D10086">
        <v>34</v>
      </c>
      <c r="E10086" s="2">
        <v>2.5497685185185186E-2</v>
      </c>
      <c r="F10086">
        <v>36.716666666666669</v>
      </c>
    </row>
    <row r="10087" spans="1:6" x14ac:dyDescent="0.25">
      <c r="A10087" s="1">
        <v>42005</v>
      </c>
      <c r="B10087" t="s">
        <v>12</v>
      </c>
      <c r="C10087" t="s">
        <v>6</v>
      </c>
      <c r="D10087">
        <v>41</v>
      </c>
      <c r="E10087" s="2">
        <v>5.8125000000000003E-2</v>
      </c>
      <c r="F10087">
        <v>83.7</v>
      </c>
    </row>
    <row r="10088" spans="1:6" x14ac:dyDescent="0.25">
      <c r="A10088" s="1">
        <v>42005</v>
      </c>
      <c r="B10088" t="s">
        <v>12</v>
      </c>
      <c r="C10088" t="s">
        <v>7</v>
      </c>
      <c r="D10088">
        <v>34</v>
      </c>
      <c r="E10088" s="2">
        <v>5.5150462962962964E-2</v>
      </c>
      <c r="F10088">
        <v>79.416666666666671</v>
      </c>
    </row>
    <row r="10089" spans="1:6" x14ac:dyDescent="0.25">
      <c r="A10089" s="1">
        <v>42005</v>
      </c>
      <c r="B10089" t="s">
        <v>12</v>
      </c>
      <c r="C10089" t="s">
        <v>8</v>
      </c>
      <c r="D10089">
        <v>18</v>
      </c>
      <c r="E10089" s="2">
        <v>2.329861111111111E-2</v>
      </c>
      <c r="F10089">
        <v>33.549999999999997</v>
      </c>
    </row>
    <row r="10090" spans="1:6" x14ac:dyDescent="0.25">
      <c r="A10090" s="1">
        <v>42005</v>
      </c>
      <c r="B10090" t="s">
        <v>12</v>
      </c>
      <c r="C10090" t="s">
        <v>9</v>
      </c>
      <c r="D10090">
        <v>26</v>
      </c>
      <c r="E10090" s="2">
        <v>2.2534722222222223E-2</v>
      </c>
      <c r="F10090">
        <v>32.450000000000003</v>
      </c>
    </row>
    <row r="10091" spans="1:6" x14ac:dyDescent="0.25">
      <c r="A10091" s="1">
        <v>42005</v>
      </c>
      <c r="B10091" t="s">
        <v>12</v>
      </c>
      <c r="C10091" t="s">
        <v>10</v>
      </c>
      <c r="D10091">
        <v>25</v>
      </c>
      <c r="E10091" s="2">
        <v>3.4699074074074077E-2</v>
      </c>
      <c r="F10091">
        <v>49.966666666666669</v>
      </c>
    </row>
    <row r="10092" spans="1:6" x14ac:dyDescent="0.25">
      <c r="A10092" s="1">
        <v>42005</v>
      </c>
      <c r="B10092" t="s">
        <v>12</v>
      </c>
      <c r="C10092" t="s">
        <v>11</v>
      </c>
      <c r="D10092">
        <v>47</v>
      </c>
      <c r="E10092" s="2">
        <v>5.2673611111111109E-2</v>
      </c>
      <c r="F10092">
        <v>75.849999999999994</v>
      </c>
    </row>
    <row r="10093" spans="1:6" x14ac:dyDescent="0.25">
      <c r="A10093" s="1">
        <v>42005</v>
      </c>
      <c r="B10093" t="s">
        <v>13</v>
      </c>
      <c r="C10093" t="s">
        <v>6</v>
      </c>
      <c r="D10093">
        <v>39</v>
      </c>
      <c r="E10093" s="2">
        <v>5.4479166666666669E-2</v>
      </c>
      <c r="F10093">
        <v>78.45</v>
      </c>
    </row>
    <row r="10094" spans="1:6" x14ac:dyDescent="0.25">
      <c r="A10094" s="1">
        <v>42005</v>
      </c>
      <c r="B10094" t="s">
        <v>13</v>
      </c>
      <c r="C10094" t="s">
        <v>7</v>
      </c>
      <c r="D10094">
        <v>48</v>
      </c>
      <c r="E10094" s="2">
        <v>8.2847222222222225E-2</v>
      </c>
      <c r="F10094">
        <v>119.3</v>
      </c>
    </row>
    <row r="10095" spans="1:6" x14ac:dyDescent="0.25">
      <c r="A10095" s="1">
        <v>42005</v>
      </c>
      <c r="B10095" t="s">
        <v>13</v>
      </c>
      <c r="C10095" t="s">
        <v>8</v>
      </c>
      <c r="D10095">
        <v>23</v>
      </c>
      <c r="E10095" s="2">
        <v>2.7650462962962963E-2</v>
      </c>
      <c r="F10095">
        <v>39.81666666666667</v>
      </c>
    </row>
    <row r="10096" spans="1:6" x14ac:dyDescent="0.25">
      <c r="A10096" s="1">
        <v>42005</v>
      </c>
      <c r="B10096" t="s">
        <v>13</v>
      </c>
      <c r="C10096" t="s">
        <v>9</v>
      </c>
      <c r="D10096">
        <v>13</v>
      </c>
      <c r="E10096" s="2">
        <v>8.3680555555555557E-3</v>
      </c>
      <c r="F10096">
        <v>12.05</v>
      </c>
    </row>
    <row r="10097" spans="1:6" x14ac:dyDescent="0.25">
      <c r="A10097" s="1">
        <v>42005</v>
      </c>
      <c r="B10097" t="s">
        <v>13</v>
      </c>
      <c r="C10097" t="s">
        <v>10</v>
      </c>
      <c r="D10097">
        <v>8</v>
      </c>
      <c r="E10097" s="2">
        <v>1.3888888888888888E-2</v>
      </c>
      <c r="F10097">
        <v>20</v>
      </c>
    </row>
    <row r="10098" spans="1:6" x14ac:dyDescent="0.25">
      <c r="A10098" s="1">
        <v>42005</v>
      </c>
      <c r="B10098" t="s">
        <v>13</v>
      </c>
      <c r="C10098" t="s">
        <v>11</v>
      </c>
      <c r="D10098">
        <v>16</v>
      </c>
      <c r="E10098" s="2">
        <v>1.8020833333333333E-2</v>
      </c>
      <c r="F10098">
        <v>25.95</v>
      </c>
    </row>
    <row r="10099" spans="1:6" x14ac:dyDescent="0.25">
      <c r="A10099" s="1">
        <v>42005</v>
      </c>
      <c r="B10099" t="s">
        <v>14</v>
      </c>
      <c r="C10099" t="s">
        <v>6</v>
      </c>
      <c r="D10099">
        <v>8</v>
      </c>
      <c r="E10099" s="2">
        <v>1.0162037037037037E-2</v>
      </c>
      <c r="F10099">
        <v>14.633333333333333</v>
      </c>
    </row>
    <row r="10100" spans="1:6" x14ac:dyDescent="0.25">
      <c r="A10100" s="1">
        <v>42005</v>
      </c>
      <c r="B10100" t="s">
        <v>14</v>
      </c>
      <c r="C10100" t="s">
        <v>7</v>
      </c>
      <c r="D10100">
        <v>10</v>
      </c>
      <c r="E10100" s="2">
        <v>1.5949074074074074E-2</v>
      </c>
      <c r="F10100">
        <v>22.966666666666665</v>
      </c>
    </row>
    <row r="10101" spans="1:6" x14ac:dyDescent="0.25">
      <c r="A10101" s="1">
        <v>42005</v>
      </c>
      <c r="B10101" t="s">
        <v>14</v>
      </c>
      <c r="C10101" t="s">
        <v>8</v>
      </c>
      <c r="D10101">
        <v>6</v>
      </c>
      <c r="E10101" s="2">
        <v>7.6851851851851855E-3</v>
      </c>
      <c r="F10101">
        <v>11.066666666666666</v>
      </c>
    </row>
    <row r="10102" spans="1:6" x14ac:dyDescent="0.25">
      <c r="A10102" s="1">
        <v>42005</v>
      </c>
      <c r="B10102" t="s">
        <v>14</v>
      </c>
      <c r="C10102" t="s">
        <v>9</v>
      </c>
      <c r="D10102">
        <v>2</v>
      </c>
      <c r="E10102" s="2">
        <v>1.2037037037037038E-3</v>
      </c>
      <c r="F10102">
        <v>1.7333333333333334</v>
      </c>
    </row>
    <row r="10103" spans="1:6" x14ac:dyDescent="0.25">
      <c r="A10103" s="1">
        <v>42005</v>
      </c>
      <c r="B10103" t="s">
        <v>14</v>
      </c>
      <c r="C10103" t="s">
        <v>10</v>
      </c>
      <c r="D10103">
        <v>3</v>
      </c>
      <c r="E10103" s="2">
        <v>4.8611111111111112E-3</v>
      </c>
      <c r="F10103">
        <v>7</v>
      </c>
    </row>
    <row r="10104" spans="1:6" x14ac:dyDescent="0.25">
      <c r="A10104" s="1">
        <v>42005</v>
      </c>
      <c r="B10104" t="s">
        <v>14</v>
      </c>
      <c r="C10104" t="s">
        <v>11</v>
      </c>
      <c r="D10104">
        <v>8</v>
      </c>
      <c r="E10104" s="2">
        <v>9.2245370370370363E-3</v>
      </c>
      <c r="F10104">
        <v>13.283333333333333</v>
      </c>
    </row>
    <row r="10105" spans="1:6" x14ac:dyDescent="0.25">
      <c r="A10105" s="1">
        <v>42005</v>
      </c>
      <c r="B10105" t="s">
        <v>15</v>
      </c>
      <c r="C10105" t="s">
        <v>6</v>
      </c>
      <c r="D10105">
        <v>21</v>
      </c>
      <c r="E10105" s="2">
        <v>2.8518518518518519E-2</v>
      </c>
      <c r="F10105">
        <v>41.06666666666667</v>
      </c>
    </row>
    <row r="10106" spans="1:6" x14ac:dyDescent="0.25">
      <c r="A10106" s="1">
        <v>42005</v>
      </c>
      <c r="B10106" t="s">
        <v>15</v>
      </c>
      <c r="C10106" t="s">
        <v>7</v>
      </c>
      <c r="D10106">
        <v>15</v>
      </c>
      <c r="E10106" s="2">
        <v>1.5081018518518518E-2</v>
      </c>
      <c r="F10106">
        <v>21.716666666666665</v>
      </c>
    </row>
    <row r="10107" spans="1:6" x14ac:dyDescent="0.25">
      <c r="A10107" s="1">
        <v>42005</v>
      </c>
      <c r="B10107" t="s">
        <v>15</v>
      </c>
      <c r="C10107" t="s">
        <v>8</v>
      </c>
      <c r="D10107">
        <v>8</v>
      </c>
      <c r="E10107" s="2">
        <v>1.0752314814814815E-2</v>
      </c>
      <c r="F10107">
        <v>15.483333333333333</v>
      </c>
    </row>
    <row r="10108" spans="1:6" x14ac:dyDescent="0.25">
      <c r="A10108" s="1">
        <v>42005</v>
      </c>
      <c r="B10108" t="s">
        <v>15</v>
      </c>
      <c r="C10108" t="s">
        <v>9</v>
      </c>
      <c r="D10108">
        <v>4</v>
      </c>
      <c r="E10108" s="2">
        <v>2.0138888888888888E-3</v>
      </c>
      <c r="F10108">
        <v>2.9</v>
      </c>
    </row>
    <row r="10109" spans="1:6" x14ac:dyDescent="0.25">
      <c r="A10109" s="1">
        <v>42005</v>
      </c>
      <c r="B10109" t="s">
        <v>15</v>
      </c>
      <c r="C10109" t="s">
        <v>10</v>
      </c>
      <c r="D10109">
        <v>1</v>
      </c>
      <c r="E10109" s="2">
        <v>1.8171296296296297E-3</v>
      </c>
      <c r="F10109">
        <v>2.6166666666666667</v>
      </c>
    </row>
    <row r="10110" spans="1:6" x14ac:dyDescent="0.25">
      <c r="A10110" s="1">
        <v>42005</v>
      </c>
      <c r="B10110" t="s">
        <v>15</v>
      </c>
      <c r="C10110" t="s">
        <v>11</v>
      </c>
      <c r="D10110">
        <v>8</v>
      </c>
      <c r="E10110" s="2">
        <v>9.3865740740740732E-3</v>
      </c>
      <c r="F10110">
        <v>13.516666666666667</v>
      </c>
    </row>
    <row r="10111" spans="1:6" x14ac:dyDescent="0.25">
      <c r="A10111" s="1">
        <v>42005</v>
      </c>
      <c r="B10111" t="s">
        <v>16</v>
      </c>
      <c r="C10111" t="s">
        <v>6</v>
      </c>
      <c r="D10111">
        <v>6</v>
      </c>
      <c r="E10111" s="2">
        <v>4.9652777777777777E-3</v>
      </c>
      <c r="F10111">
        <v>7.15</v>
      </c>
    </row>
    <row r="10112" spans="1:6" x14ac:dyDescent="0.25">
      <c r="A10112" s="1">
        <v>42005</v>
      </c>
      <c r="B10112" t="s">
        <v>16</v>
      </c>
      <c r="C10112" t="s">
        <v>7</v>
      </c>
      <c r="D10112">
        <v>6</v>
      </c>
      <c r="E10112" s="2">
        <v>5.0462962962962961E-3</v>
      </c>
      <c r="F10112">
        <v>7.2666666666666666</v>
      </c>
    </row>
    <row r="10113" spans="1:6" x14ac:dyDescent="0.25">
      <c r="A10113" s="1">
        <v>42005</v>
      </c>
      <c r="B10113" t="s">
        <v>16</v>
      </c>
      <c r="C10113" t="s">
        <v>8</v>
      </c>
      <c r="D10113">
        <v>10</v>
      </c>
      <c r="E10113" s="2">
        <v>6.2731481481481484E-3</v>
      </c>
      <c r="F10113">
        <v>9.0333333333333332</v>
      </c>
    </row>
    <row r="10114" spans="1:6" x14ac:dyDescent="0.25">
      <c r="A10114" s="1">
        <v>42005</v>
      </c>
      <c r="B10114" t="s">
        <v>16</v>
      </c>
      <c r="C10114" t="s">
        <v>9</v>
      </c>
      <c r="D10114">
        <v>4</v>
      </c>
      <c r="E10114" s="2">
        <v>2.8240740740740739E-3</v>
      </c>
      <c r="F10114">
        <v>4.0666666666666664</v>
      </c>
    </row>
    <row r="10115" spans="1:6" x14ac:dyDescent="0.25">
      <c r="A10115" s="1">
        <v>42005</v>
      </c>
      <c r="B10115" t="s">
        <v>16</v>
      </c>
      <c r="C10115" t="s">
        <v>10</v>
      </c>
      <c r="D10115">
        <v>0</v>
      </c>
      <c r="E10115" s="2">
        <v>0</v>
      </c>
      <c r="F10115">
        <v>0</v>
      </c>
    </row>
    <row r="10116" spans="1:6" x14ac:dyDescent="0.25">
      <c r="A10116" s="1">
        <v>42005</v>
      </c>
      <c r="B10116" t="s">
        <v>16</v>
      </c>
      <c r="C10116" t="s">
        <v>11</v>
      </c>
      <c r="D10116">
        <v>6</v>
      </c>
      <c r="E10116" s="2">
        <v>5.4745370370370373E-3</v>
      </c>
      <c r="F10116">
        <v>7.8833333333333329</v>
      </c>
    </row>
    <row r="10117" spans="1:6" x14ac:dyDescent="0.25">
      <c r="A10117" s="1">
        <v>42005</v>
      </c>
      <c r="B10117" t="s">
        <v>17</v>
      </c>
      <c r="C10117" t="s">
        <v>6</v>
      </c>
      <c r="D10117">
        <v>16</v>
      </c>
      <c r="E10117" s="2">
        <v>2.2199074074074072E-2</v>
      </c>
      <c r="F10117">
        <v>31.966666666666665</v>
      </c>
    </row>
    <row r="10118" spans="1:6" x14ac:dyDescent="0.25">
      <c r="A10118" s="1">
        <v>42005</v>
      </c>
      <c r="B10118" t="s">
        <v>17</v>
      </c>
      <c r="C10118" t="s">
        <v>7</v>
      </c>
      <c r="D10118">
        <v>14</v>
      </c>
      <c r="E10118" s="2">
        <v>2.1527777777777778E-2</v>
      </c>
      <c r="F10118">
        <v>31</v>
      </c>
    </row>
    <row r="10119" spans="1:6" x14ac:dyDescent="0.25">
      <c r="A10119" s="1">
        <v>42005</v>
      </c>
      <c r="B10119" t="s">
        <v>17</v>
      </c>
      <c r="C10119" t="s">
        <v>8</v>
      </c>
      <c r="D10119">
        <v>13</v>
      </c>
      <c r="E10119" s="2">
        <v>1.5081018518518518E-2</v>
      </c>
      <c r="F10119">
        <v>21.716666666666665</v>
      </c>
    </row>
    <row r="10120" spans="1:6" x14ac:dyDescent="0.25">
      <c r="A10120" s="1">
        <v>42005</v>
      </c>
      <c r="B10120" t="s">
        <v>17</v>
      </c>
      <c r="C10120" t="s">
        <v>9</v>
      </c>
      <c r="D10120">
        <v>10</v>
      </c>
      <c r="E10120" s="2">
        <v>7.1064814814814819E-3</v>
      </c>
      <c r="F10120">
        <v>10.233333333333333</v>
      </c>
    </row>
    <row r="10121" spans="1:6" x14ac:dyDescent="0.25">
      <c r="A10121" s="1">
        <v>42005</v>
      </c>
      <c r="B10121" t="s">
        <v>17</v>
      </c>
      <c r="C10121" t="s">
        <v>10</v>
      </c>
      <c r="D10121">
        <v>11</v>
      </c>
      <c r="E10121" s="2">
        <v>1.579861111111111E-2</v>
      </c>
      <c r="F10121">
        <v>22.75</v>
      </c>
    </row>
    <row r="10122" spans="1:6" x14ac:dyDescent="0.25">
      <c r="A10122" s="1">
        <v>42005</v>
      </c>
      <c r="B10122" t="s">
        <v>17</v>
      </c>
      <c r="C10122" t="s">
        <v>11</v>
      </c>
      <c r="D10122">
        <v>13</v>
      </c>
      <c r="E10122" s="2">
        <v>1.0300925925925925E-2</v>
      </c>
      <c r="F10122">
        <v>14.833333333333334</v>
      </c>
    </row>
    <row r="10123" spans="1:6" x14ac:dyDescent="0.25">
      <c r="A10123" s="1">
        <v>42005</v>
      </c>
      <c r="B10123" t="s">
        <v>18</v>
      </c>
      <c r="C10123" t="s">
        <v>6</v>
      </c>
      <c r="D10123">
        <v>65</v>
      </c>
      <c r="E10123" s="2">
        <v>7.4467592592592599E-2</v>
      </c>
      <c r="F10123">
        <v>107.23333333333333</v>
      </c>
    </row>
    <row r="10124" spans="1:6" x14ac:dyDescent="0.25">
      <c r="A10124" s="1">
        <v>42005</v>
      </c>
      <c r="B10124" t="s">
        <v>18</v>
      </c>
      <c r="C10124" t="s">
        <v>7</v>
      </c>
      <c r="D10124">
        <v>98</v>
      </c>
      <c r="E10124" s="2">
        <v>8.6574074074074067E-2</v>
      </c>
      <c r="F10124">
        <v>124.66666666666667</v>
      </c>
    </row>
    <row r="10125" spans="1:6" x14ac:dyDescent="0.25">
      <c r="A10125" s="1">
        <v>42005</v>
      </c>
      <c r="B10125" t="s">
        <v>18</v>
      </c>
      <c r="C10125" t="s">
        <v>8</v>
      </c>
      <c r="D10125">
        <v>51</v>
      </c>
      <c r="E10125" s="2">
        <v>4.283564814814815E-2</v>
      </c>
      <c r="F10125">
        <v>61.68333333333333</v>
      </c>
    </row>
    <row r="10126" spans="1:6" x14ac:dyDescent="0.25">
      <c r="A10126" s="1">
        <v>42005</v>
      </c>
      <c r="B10126" t="s">
        <v>18</v>
      </c>
      <c r="C10126" t="s">
        <v>9</v>
      </c>
      <c r="D10126">
        <v>55</v>
      </c>
      <c r="E10126" s="2">
        <v>3.829861111111111E-2</v>
      </c>
      <c r="F10126">
        <v>55.15</v>
      </c>
    </row>
    <row r="10127" spans="1:6" x14ac:dyDescent="0.25">
      <c r="A10127" s="1">
        <v>42005</v>
      </c>
      <c r="B10127" t="s">
        <v>18</v>
      </c>
      <c r="C10127" t="s">
        <v>10</v>
      </c>
      <c r="D10127">
        <v>108</v>
      </c>
      <c r="E10127" s="2">
        <v>0.11795138888888888</v>
      </c>
      <c r="F10127">
        <v>169.85</v>
      </c>
    </row>
    <row r="10128" spans="1:6" x14ac:dyDescent="0.25">
      <c r="A10128" s="1">
        <v>42005</v>
      </c>
      <c r="B10128" t="s">
        <v>18</v>
      </c>
      <c r="C10128" t="s">
        <v>11</v>
      </c>
      <c r="D10128">
        <v>44</v>
      </c>
      <c r="E10128" s="2">
        <v>3.636574074074074E-2</v>
      </c>
      <c r="F10128">
        <v>52.366666666666667</v>
      </c>
    </row>
    <row r="10129" spans="1:6" x14ac:dyDescent="0.25">
      <c r="A10129" s="1">
        <v>42005</v>
      </c>
      <c r="B10129" t="s">
        <v>19</v>
      </c>
      <c r="C10129" t="s">
        <v>6</v>
      </c>
      <c r="D10129">
        <v>13</v>
      </c>
      <c r="E10129" s="2">
        <v>1.4247685185185184E-2</v>
      </c>
      <c r="F10129">
        <v>20.516666666666666</v>
      </c>
    </row>
    <row r="10130" spans="1:6" x14ac:dyDescent="0.25">
      <c r="A10130" s="1">
        <v>42005</v>
      </c>
      <c r="B10130" t="s">
        <v>19</v>
      </c>
      <c r="C10130" t="s">
        <v>7</v>
      </c>
      <c r="D10130">
        <v>8</v>
      </c>
      <c r="E10130" s="2">
        <v>1.0092592592592592E-2</v>
      </c>
      <c r="F10130">
        <v>14.533333333333333</v>
      </c>
    </row>
    <row r="10131" spans="1:6" x14ac:dyDescent="0.25">
      <c r="A10131" s="1">
        <v>42005</v>
      </c>
      <c r="B10131" t="s">
        <v>19</v>
      </c>
      <c r="C10131" t="s">
        <v>8</v>
      </c>
      <c r="D10131">
        <v>11</v>
      </c>
      <c r="E10131" s="2">
        <v>1.3032407407407407E-2</v>
      </c>
      <c r="F10131">
        <v>18.766666666666666</v>
      </c>
    </row>
    <row r="10132" spans="1:6" x14ac:dyDescent="0.25">
      <c r="A10132" s="1">
        <v>42005</v>
      </c>
      <c r="B10132" t="s">
        <v>19</v>
      </c>
      <c r="C10132" t="s">
        <v>9</v>
      </c>
      <c r="D10132">
        <v>13</v>
      </c>
      <c r="E10132" s="2">
        <v>1.0694444444444444E-2</v>
      </c>
      <c r="F10132">
        <v>15.4</v>
      </c>
    </row>
    <row r="10133" spans="1:6" x14ac:dyDescent="0.25">
      <c r="A10133" s="1">
        <v>42005</v>
      </c>
      <c r="B10133" t="s">
        <v>19</v>
      </c>
      <c r="C10133" t="s">
        <v>10</v>
      </c>
      <c r="D10133">
        <v>6</v>
      </c>
      <c r="E10133" s="2">
        <v>6.9328703703703705E-3</v>
      </c>
      <c r="F10133">
        <v>9.9833333333333325</v>
      </c>
    </row>
    <row r="10134" spans="1:6" x14ac:dyDescent="0.25">
      <c r="A10134" s="1">
        <v>42005</v>
      </c>
      <c r="B10134" t="s">
        <v>19</v>
      </c>
      <c r="C10134" t="s">
        <v>11</v>
      </c>
      <c r="D10134">
        <v>20</v>
      </c>
      <c r="E10134" s="2">
        <v>1.923611111111111E-2</v>
      </c>
      <c r="F10134">
        <v>27.7</v>
      </c>
    </row>
    <row r="10135" spans="1:6" x14ac:dyDescent="0.25">
      <c r="A10135" s="1">
        <v>42005</v>
      </c>
      <c r="B10135" t="s">
        <v>20</v>
      </c>
      <c r="C10135" t="s">
        <v>6</v>
      </c>
      <c r="D10135">
        <v>223</v>
      </c>
      <c r="E10135" s="2">
        <v>0.30980324074074073</v>
      </c>
      <c r="F10135">
        <v>446.11666666666667</v>
      </c>
    </row>
    <row r="10136" spans="1:6" x14ac:dyDescent="0.25">
      <c r="A10136" s="1">
        <v>42005</v>
      </c>
      <c r="B10136" t="s">
        <v>20</v>
      </c>
      <c r="C10136" t="s">
        <v>7</v>
      </c>
      <c r="D10136">
        <v>262</v>
      </c>
      <c r="E10136" s="2">
        <v>0.38200231481481484</v>
      </c>
      <c r="F10136">
        <v>550.08333333333337</v>
      </c>
    </row>
    <row r="10137" spans="1:6" x14ac:dyDescent="0.25">
      <c r="A10137" s="1">
        <v>42005</v>
      </c>
      <c r="B10137" t="s">
        <v>20</v>
      </c>
      <c r="C10137" t="s">
        <v>8</v>
      </c>
      <c r="D10137">
        <v>144</v>
      </c>
      <c r="E10137" s="2">
        <v>0.15002314814814816</v>
      </c>
      <c r="F10137">
        <v>216.03333333333333</v>
      </c>
    </row>
    <row r="10138" spans="1:6" x14ac:dyDescent="0.25">
      <c r="A10138" s="1">
        <v>42005</v>
      </c>
      <c r="B10138" t="s">
        <v>20</v>
      </c>
      <c r="C10138" t="s">
        <v>9</v>
      </c>
      <c r="D10138">
        <v>79</v>
      </c>
      <c r="E10138" s="2">
        <v>5.6041666666666663E-2</v>
      </c>
      <c r="F10138">
        <v>80.7</v>
      </c>
    </row>
    <row r="10139" spans="1:6" x14ac:dyDescent="0.25">
      <c r="A10139" s="1">
        <v>42005</v>
      </c>
      <c r="B10139" t="s">
        <v>20</v>
      </c>
      <c r="C10139" t="s">
        <v>10</v>
      </c>
      <c r="D10139">
        <v>58</v>
      </c>
      <c r="E10139" s="2">
        <v>6.5914351851851849E-2</v>
      </c>
      <c r="F10139">
        <v>94.916666666666671</v>
      </c>
    </row>
    <row r="10140" spans="1:6" x14ac:dyDescent="0.25">
      <c r="A10140" s="1">
        <v>42005</v>
      </c>
      <c r="B10140" t="s">
        <v>20</v>
      </c>
      <c r="C10140" t="s">
        <v>11</v>
      </c>
      <c r="D10140">
        <v>191</v>
      </c>
      <c r="E10140" s="2">
        <v>0.19285879629629629</v>
      </c>
      <c r="F10140">
        <v>277.71666666666664</v>
      </c>
    </row>
    <row r="10141" spans="1:6" x14ac:dyDescent="0.25">
      <c r="A10141" s="1">
        <v>42005</v>
      </c>
      <c r="B10141" t="s">
        <v>21</v>
      </c>
      <c r="C10141" t="s">
        <v>6</v>
      </c>
      <c r="D10141">
        <v>18</v>
      </c>
      <c r="E10141" s="2">
        <v>2.2349537037037036E-2</v>
      </c>
      <c r="F10141">
        <v>32.18333333333333</v>
      </c>
    </row>
    <row r="10142" spans="1:6" x14ac:dyDescent="0.25">
      <c r="A10142" s="1">
        <v>42005</v>
      </c>
      <c r="B10142" t="s">
        <v>21</v>
      </c>
      <c r="C10142" t="s">
        <v>7</v>
      </c>
      <c r="D10142">
        <v>17</v>
      </c>
      <c r="E10142" s="2">
        <v>2.2372685185185186E-2</v>
      </c>
      <c r="F10142">
        <v>32.216666666666669</v>
      </c>
    </row>
    <row r="10143" spans="1:6" x14ac:dyDescent="0.25">
      <c r="A10143" s="1">
        <v>42005</v>
      </c>
      <c r="B10143" t="s">
        <v>21</v>
      </c>
      <c r="C10143" t="s">
        <v>8</v>
      </c>
      <c r="D10143">
        <v>13</v>
      </c>
      <c r="E10143" s="2">
        <v>1.4583333333333334E-2</v>
      </c>
      <c r="F10143">
        <v>21</v>
      </c>
    </row>
    <row r="10144" spans="1:6" x14ac:dyDescent="0.25">
      <c r="A10144" s="1">
        <v>42005</v>
      </c>
      <c r="B10144" t="s">
        <v>21</v>
      </c>
      <c r="C10144" t="s">
        <v>9</v>
      </c>
      <c r="D10144">
        <v>5</v>
      </c>
      <c r="E10144" s="2">
        <v>2.3495370370370371E-3</v>
      </c>
      <c r="F10144">
        <v>3.3833333333333333</v>
      </c>
    </row>
    <row r="10145" spans="1:6" x14ac:dyDescent="0.25">
      <c r="A10145" s="1">
        <v>42005</v>
      </c>
      <c r="B10145" t="s">
        <v>21</v>
      </c>
      <c r="C10145" t="s">
        <v>10</v>
      </c>
      <c r="D10145">
        <v>2</v>
      </c>
      <c r="E10145" s="2">
        <v>2.5231481481481481E-3</v>
      </c>
      <c r="F10145">
        <v>3.6333333333333333</v>
      </c>
    </row>
    <row r="10146" spans="1:6" x14ac:dyDescent="0.25">
      <c r="A10146" s="1">
        <v>42005</v>
      </c>
      <c r="B10146" t="s">
        <v>21</v>
      </c>
      <c r="C10146" t="s">
        <v>11</v>
      </c>
      <c r="D10146">
        <v>20</v>
      </c>
      <c r="E10146" s="2">
        <v>1.726851851851852E-2</v>
      </c>
      <c r="F10146">
        <v>24.866666666666667</v>
      </c>
    </row>
    <row r="10147" spans="1:6" x14ac:dyDescent="0.25">
      <c r="A10147" s="1">
        <v>42005</v>
      </c>
      <c r="B10147" t="s">
        <v>22</v>
      </c>
      <c r="C10147" t="s">
        <v>6</v>
      </c>
      <c r="D10147">
        <v>10</v>
      </c>
      <c r="E10147" s="2">
        <v>1.5046296296296295E-2</v>
      </c>
      <c r="F10147">
        <v>21.666666666666668</v>
      </c>
    </row>
    <row r="10148" spans="1:6" x14ac:dyDescent="0.25">
      <c r="A10148" s="1">
        <v>42005</v>
      </c>
      <c r="B10148" t="s">
        <v>22</v>
      </c>
      <c r="C10148" t="s">
        <v>7</v>
      </c>
      <c r="D10148">
        <v>4</v>
      </c>
      <c r="E10148" s="2">
        <v>6.2384259259259259E-3</v>
      </c>
      <c r="F10148">
        <v>8.9833333333333325</v>
      </c>
    </row>
    <row r="10149" spans="1:6" x14ac:dyDescent="0.25">
      <c r="A10149" s="1">
        <v>42005</v>
      </c>
      <c r="B10149" t="s">
        <v>22</v>
      </c>
      <c r="C10149" t="s">
        <v>8</v>
      </c>
      <c r="D10149">
        <v>3</v>
      </c>
      <c r="E10149" s="2">
        <v>2.7893518518518519E-3</v>
      </c>
      <c r="F10149">
        <v>4.0166666666666666</v>
      </c>
    </row>
    <row r="10150" spans="1:6" x14ac:dyDescent="0.25">
      <c r="A10150" s="1">
        <v>42005</v>
      </c>
      <c r="B10150" t="s">
        <v>22</v>
      </c>
      <c r="C10150" t="s">
        <v>9</v>
      </c>
      <c r="D10150">
        <v>3</v>
      </c>
      <c r="E10150" s="2">
        <v>2.9166666666666668E-3</v>
      </c>
      <c r="F10150">
        <v>4.2</v>
      </c>
    </row>
    <row r="10151" spans="1:6" x14ac:dyDescent="0.25">
      <c r="A10151" s="1">
        <v>42005</v>
      </c>
      <c r="B10151" t="s">
        <v>22</v>
      </c>
      <c r="C10151" t="s">
        <v>10</v>
      </c>
      <c r="D10151">
        <v>0</v>
      </c>
      <c r="E10151" s="2">
        <v>0</v>
      </c>
      <c r="F10151">
        <v>0</v>
      </c>
    </row>
    <row r="10152" spans="1:6" x14ac:dyDescent="0.25">
      <c r="A10152" s="1">
        <v>42005</v>
      </c>
      <c r="B10152" t="s">
        <v>22</v>
      </c>
      <c r="C10152" t="s">
        <v>11</v>
      </c>
      <c r="D10152">
        <v>5</v>
      </c>
      <c r="E10152" s="2">
        <v>4.9884259259259257E-3</v>
      </c>
      <c r="F10152">
        <v>7.1833333333333336</v>
      </c>
    </row>
    <row r="10153" spans="1:6" x14ac:dyDescent="0.25">
      <c r="A10153" s="1">
        <v>42005</v>
      </c>
      <c r="B10153" t="s">
        <v>23</v>
      </c>
      <c r="C10153" t="s">
        <v>6</v>
      </c>
      <c r="D10153">
        <v>72</v>
      </c>
      <c r="E10153" s="2">
        <v>9.2025462962962962E-2</v>
      </c>
      <c r="F10153">
        <v>132.51666666666668</v>
      </c>
    </row>
    <row r="10154" spans="1:6" x14ac:dyDescent="0.25">
      <c r="A10154" s="1">
        <v>42005</v>
      </c>
      <c r="B10154" t="s">
        <v>23</v>
      </c>
      <c r="C10154" t="s">
        <v>7</v>
      </c>
      <c r="D10154">
        <v>91</v>
      </c>
      <c r="E10154" s="2">
        <v>0.11175925925925925</v>
      </c>
      <c r="F10154">
        <v>160.93333333333334</v>
      </c>
    </row>
    <row r="10155" spans="1:6" x14ac:dyDescent="0.25">
      <c r="A10155" s="1">
        <v>42005</v>
      </c>
      <c r="B10155" t="s">
        <v>23</v>
      </c>
      <c r="C10155" t="s">
        <v>8</v>
      </c>
      <c r="D10155">
        <v>67</v>
      </c>
      <c r="E10155" s="2">
        <v>7.4236111111111114E-2</v>
      </c>
      <c r="F10155">
        <v>106.9</v>
      </c>
    </row>
    <row r="10156" spans="1:6" x14ac:dyDescent="0.25">
      <c r="A10156" s="1">
        <v>42005</v>
      </c>
      <c r="B10156" t="s">
        <v>23</v>
      </c>
      <c r="C10156" t="s">
        <v>9</v>
      </c>
      <c r="D10156">
        <v>27</v>
      </c>
      <c r="E10156" s="2">
        <v>1.7847222222222223E-2</v>
      </c>
      <c r="F10156">
        <v>25.7</v>
      </c>
    </row>
    <row r="10157" spans="1:6" x14ac:dyDescent="0.25">
      <c r="A10157" s="1">
        <v>42005</v>
      </c>
      <c r="B10157" t="s">
        <v>23</v>
      </c>
      <c r="C10157" t="s">
        <v>10</v>
      </c>
      <c r="D10157">
        <v>32</v>
      </c>
      <c r="E10157" s="2">
        <v>4.9085648148148149E-2</v>
      </c>
      <c r="F10157">
        <v>70.683333333333337</v>
      </c>
    </row>
    <row r="10158" spans="1:6" x14ac:dyDescent="0.25">
      <c r="A10158" s="1">
        <v>42005</v>
      </c>
      <c r="B10158" t="s">
        <v>23</v>
      </c>
      <c r="C10158" t="s">
        <v>11</v>
      </c>
      <c r="D10158">
        <v>79</v>
      </c>
      <c r="E10158" s="2">
        <v>8.3043981481481483E-2</v>
      </c>
      <c r="F10158">
        <v>119.58333333333333</v>
      </c>
    </row>
    <row r="10159" spans="1:6" x14ac:dyDescent="0.25">
      <c r="A10159" s="1">
        <v>42005</v>
      </c>
      <c r="B10159" t="s">
        <v>24</v>
      </c>
      <c r="C10159" t="s">
        <v>6</v>
      </c>
      <c r="D10159">
        <v>25</v>
      </c>
      <c r="E10159" s="2">
        <v>2.1458333333333333E-2</v>
      </c>
      <c r="F10159">
        <v>30.9</v>
      </c>
    </row>
    <row r="10160" spans="1:6" x14ac:dyDescent="0.25">
      <c r="A10160" s="1">
        <v>42005</v>
      </c>
      <c r="B10160" t="s">
        <v>24</v>
      </c>
      <c r="C10160" t="s">
        <v>7</v>
      </c>
      <c r="D10160">
        <v>23</v>
      </c>
      <c r="E10160" s="2">
        <v>1.255787037037037E-2</v>
      </c>
      <c r="F10160">
        <v>18.083333333333332</v>
      </c>
    </row>
    <row r="10161" spans="1:6" x14ac:dyDescent="0.25">
      <c r="A10161" s="1">
        <v>42005</v>
      </c>
      <c r="B10161" t="s">
        <v>24</v>
      </c>
      <c r="C10161" t="s">
        <v>8</v>
      </c>
      <c r="D10161">
        <v>13</v>
      </c>
      <c r="E10161" s="2">
        <v>6.6319444444444446E-3</v>
      </c>
      <c r="F10161">
        <v>9.5500000000000007</v>
      </c>
    </row>
    <row r="10162" spans="1:6" x14ac:dyDescent="0.25">
      <c r="A10162" s="1">
        <v>42005</v>
      </c>
      <c r="B10162" t="s">
        <v>24</v>
      </c>
      <c r="C10162" t="s">
        <v>9</v>
      </c>
      <c r="D10162">
        <v>26</v>
      </c>
      <c r="E10162" s="2">
        <v>2.1319444444444443E-2</v>
      </c>
      <c r="F10162">
        <v>30.7</v>
      </c>
    </row>
    <row r="10163" spans="1:6" x14ac:dyDescent="0.25">
      <c r="A10163" s="1">
        <v>42005</v>
      </c>
      <c r="B10163" t="s">
        <v>24</v>
      </c>
      <c r="C10163" t="s">
        <v>10</v>
      </c>
      <c r="D10163">
        <v>0</v>
      </c>
      <c r="E10163" s="2">
        <v>0</v>
      </c>
      <c r="F10163">
        <v>0</v>
      </c>
    </row>
    <row r="10164" spans="1:6" x14ac:dyDescent="0.25">
      <c r="A10164" s="1">
        <v>42005</v>
      </c>
      <c r="B10164" t="s">
        <v>24</v>
      </c>
      <c r="C10164" t="s">
        <v>11</v>
      </c>
      <c r="D10164">
        <v>10</v>
      </c>
      <c r="E10164" s="2">
        <v>5.3125000000000004E-3</v>
      </c>
      <c r="F10164">
        <v>7.65</v>
      </c>
    </row>
    <row r="10165" spans="1:6" x14ac:dyDescent="0.25">
      <c r="A10165" s="1">
        <v>42036</v>
      </c>
      <c r="B10165" t="s">
        <v>5</v>
      </c>
      <c r="C10165" t="s">
        <v>6</v>
      </c>
      <c r="D10165">
        <v>48</v>
      </c>
      <c r="E10165" s="2">
        <v>4.6759259259259257E-2</v>
      </c>
      <c r="F10165">
        <v>67.333333333333329</v>
      </c>
    </row>
    <row r="10166" spans="1:6" x14ac:dyDescent="0.25">
      <c r="A10166" s="1">
        <v>42036</v>
      </c>
      <c r="B10166" t="s">
        <v>5</v>
      </c>
      <c r="C10166" t="s">
        <v>7</v>
      </c>
      <c r="D10166">
        <v>38</v>
      </c>
      <c r="E10166" s="2">
        <v>3.5324074074074077E-2</v>
      </c>
      <c r="F10166">
        <v>50.866666666666667</v>
      </c>
    </row>
    <row r="10167" spans="1:6" x14ac:dyDescent="0.25">
      <c r="A10167" s="1">
        <v>42036</v>
      </c>
      <c r="B10167" t="s">
        <v>5</v>
      </c>
      <c r="C10167" t="s">
        <v>8</v>
      </c>
      <c r="D10167">
        <v>37</v>
      </c>
      <c r="E10167" s="2">
        <v>3.2199074074074074E-2</v>
      </c>
      <c r="F10167">
        <v>46.366666666666667</v>
      </c>
    </row>
    <row r="10168" spans="1:6" x14ac:dyDescent="0.25">
      <c r="A10168" s="1">
        <v>42036</v>
      </c>
      <c r="B10168" t="s">
        <v>5</v>
      </c>
      <c r="C10168" t="s">
        <v>9</v>
      </c>
      <c r="D10168">
        <v>4</v>
      </c>
      <c r="E10168" s="2">
        <v>1.8981481481481482E-3</v>
      </c>
      <c r="F10168">
        <v>2.7333333333333334</v>
      </c>
    </row>
    <row r="10169" spans="1:6" x14ac:dyDescent="0.25">
      <c r="A10169" s="1">
        <v>42036</v>
      </c>
      <c r="B10169" t="s">
        <v>5</v>
      </c>
      <c r="C10169" t="s">
        <v>10</v>
      </c>
      <c r="D10169">
        <v>3</v>
      </c>
      <c r="E10169" s="2">
        <v>2.5231481481481481E-3</v>
      </c>
      <c r="F10169">
        <v>3.6333333333333333</v>
      </c>
    </row>
    <row r="10170" spans="1:6" x14ac:dyDescent="0.25">
      <c r="A10170" s="1">
        <v>42036</v>
      </c>
      <c r="B10170" t="s">
        <v>5</v>
      </c>
      <c r="C10170" t="s">
        <v>11</v>
      </c>
      <c r="D10170">
        <v>26</v>
      </c>
      <c r="E10170" s="2">
        <v>2.3657407407407408E-2</v>
      </c>
      <c r="F10170">
        <v>34.06666666666667</v>
      </c>
    </row>
    <row r="10171" spans="1:6" x14ac:dyDescent="0.25">
      <c r="A10171" s="1">
        <v>42036</v>
      </c>
      <c r="B10171" t="s">
        <v>12</v>
      </c>
      <c r="C10171" t="s">
        <v>6</v>
      </c>
      <c r="D10171">
        <v>54</v>
      </c>
      <c r="E10171" s="2">
        <v>7.3321759259259253E-2</v>
      </c>
      <c r="F10171">
        <v>105.58333333333333</v>
      </c>
    </row>
    <row r="10172" spans="1:6" x14ac:dyDescent="0.25">
      <c r="A10172" s="1">
        <v>42036</v>
      </c>
      <c r="B10172" t="s">
        <v>12</v>
      </c>
      <c r="C10172" t="s">
        <v>7</v>
      </c>
      <c r="D10172">
        <v>37</v>
      </c>
      <c r="E10172" s="2">
        <v>5.347222222222222E-2</v>
      </c>
      <c r="F10172">
        <v>77</v>
      </c>
    </row>
    <row r="10173" spans="1:6" x14ac:dyDescent="0.25">
      <c r="A10173" s="1">
        <v>42036</v>
      </c>
      <c r="B10173" t="s">
        <v>12</v>
      </c>
      <c r="C10173" t="s">
        <v>8</v>
      </c>
      <c r="D10173">
        <v>23</v>
      </c>
      <c r="E10173" s="2">
        <v>2.9374999999999998E-2</v>
      </c>
      <c r="F10173">
        <v>42.3</v>
      </c>
    </row>
    <row r="10174" spans="1:6" x14ac:dyDescent="0.25">
      <c r="A10174" s="1">
        <v>42036</v>
      </c>
      <c r="B10174" t="s">
        <v>12</v>
      </c>
      <c r="C10174" t="s">
        <v>9</v>
      </c>
      <c r="D10174">
        <v>27</v>
      </c>
      <c r="E10174" s="2">
        <v>2.3125E-2</v>
      </c>
      <c r="F10174">
        <v>33.299999999999997</v>
      </c>
    </row>
    <row r="10175" spans="1:6" x14ac:dyDescent="0.25">
      <c r="A10175" s="1">
        <v>42036</v>
      </c>
      <c r="B10175" t="s">
        <v>12</v>
      </c>
      <c r="C10175" t="s">
        <v>10</v>
      </c>
      <c r="D10175">
        <v>26</v>
      </c>
      <c r="E10175" s="2">
        <v>4.8148148148148148E-2</v>
      </c>
      <c r="F10175">
        <v>69.333333333333329</v>
      </c>
    </row>
    <row r="10176" spans="1:6" x14ac:dyDescent="0.25">
      <c r="A10176" s="1">
        <v>42036</v>
      </c>
      <c r="B10176" t="s">
        <v>12</v>
      </c>
      <c r="C10176" t="s">
        <v>11</v>
      </c>
      <c r="D10176">
        <v>40</v>
      </c>
      <c r="E10176" s="2">
        <v>5.2083333333333336E-2</v>
      </c>
      <c r="F10176">
        <v>75</v>
      </c>
    </row>
    <row r="10177" spans="1:6" x14ac:dyDescent="0.25">
      <c r="A10177" s="1">
        <v>42036</v>
      </c>
      <c r="B10177" t="s">
        <v>13</v>
      </c>
      <c r="C10177" t="s">
        <v>6</v>
      </c>
      <c r="D10177">
        <v>84</v>
      </c>
      <c r="E10177" s="2">
        <v>0.10960648148148149</v>
      </c>
      <c r="F10177">
        <v>157.83333333333334</v>
      </c>
    </row>
    <row r="10178" spans="1:6" x14ac:dyDescent="0.25">
      <c r="A10178" s="1">
        <v>42036</v>
      </c>
      <c r="B10178" t="s">
        <v>13</v>
      </c>
      <c r="C10178" t="s">
        <v>7</v>
      </c>
      <c r="D10178">
        <v>107</v>
      </c>
      <c r="E10178" s="2">
        <v>0.15612268518518518</v>
      </c>
      <c r="F10178">
        <v>224.81666666666666</v>
      </c>
    </row>
    <row r="10179" spans="1:6" x14ac:dyDescent="0.25">
      <c r="A10179" s="1">
        <v>42036</v>
      </c>
      <c r="B10179" t="s">
        <v>13</v>
      </c>
      <c r="C10179" t="s">
        <v>8</v>
      </c>
      <c r="D10179">
        <v>66</v>
      </c>
      <c r="E10179" s="2">
        <v>7.9780092592592597E-2</v>
      </c>
      <c r="F10179">
        <v>114.88333333333334</v>
      </c>
    </row>
    <row r="10180" spans="1:6" x14ac:dyDescent="0.25">
      <c r="A10180" s="1">
        <v>42036</v>
      </c>
      <c r="B10180" t="s">
        <v>13</v>
      </c>
      <c r="C10180" t="s">
        <v>9</v>
      </c>
      <c r="D10180">
        <v>29</v>
      </c>
      <c r="E10180" s="2">
        <v>1.9143518518518518E-2</v>
      </c>
      <c r="F10180">
        <v>27.566666666666666</v>
      </c>
    </row>
    <row r="10181" spans="1:6" x14ac:dyDescent="0.25">
      <c r="A10181" s="1">
        <v>42036</v>
      </c>
      <c r="B10181" t="s">
        <v>13</v>
      </c>
      <c r="C10181" t="s">
        <v>10</v>
      </c>
      <c r="D10181">
        <v>40</v>
      </c>
      <c r="E10181" s="2">
        <v>5.6944444444444443E-2</v>
      </c>
      <c r="F10181">
        <v>82</v>
      </c>
    </row>
    <row r="10182" spans="1:6" x14ac:dyDescent="0.25">
      <c r="A10182" s="1">
        <v>42036</v>
      </c>
      <c r="B10182" t="s">
        <v>13</v>
      </c>
      <c r="C10182" t="s">
        <v>11</v>
      </c>
      <c r="D10182">
        <v>51</v>
      </c>
      <c r="E10182" s="2">
        <v>6.0659722222222219E-2</v>
      </c>
      <c r="F10182">
        <v>87.35</v>
      </c>
    </row>
    <row r="10183" spans="1:6" x14ac:dyDescent="0.25">
      <c r="A10183" s="1">
        <v>42036</v>
      </c>
      <c r="B10183" t="s">
        <v>14</v>
      </c>
      <c r="C10183" t="s">
        <v>6</v>
      </c>
      <c r="D10183">
        <v>16</v>
      </c>
      <c r="E10183" s="2">
        <v>2.4421296296296295E-2</v>
      </c>
      <c r="F10183">
        <v>35.166666666666664</v>
      </c>
    </row>
    <row r="10184" spans="1:6" x14ac:dyDescent="0.25">
      <c r="A10184" s="1">
        <v>42036</v>
      </c>
      <c r="B10184" t="s">
        <v>14</v>
      </c>
      <c r="C10184" t="s">
        <v>7</v>
      </c>
      <c r="D10184">
        <v>7</v>
      </c>
      <c r="E10184" s="2">
        <v>1.3229166666666667E-2</v>
      </c>
      <c r="F10184">
        <v>19.05</v>
      </c>
    </row>
    <row r="10185" spans="1:6" x14ac:dyDescent="0.25">
      <c r="A10185" s="1">
        <v>42036</v>
      </c>
      <c r="B10185" t="s">
        <v>14</v>
      </c>
      <c r="C10185" t="s">
        <v>8</v>
      </c>
      <c r="D10185">
        <v>6</v>
      </c>
      <c r="E10185" s="2">
        <v>5.2430555555555555E-3</v>
      </c>
      <c r="F10185">
        <v>7.55</v>
      </c>
    </row>
    <row r="10186" spans="1:6" x14ac:dyDescent="0.25">
      <c r="A10186" s="1">
        <v>42036</v>
      </c>
      <c r="B10186" t="s">
        <v>14</v>
      </c>
      <c r="C10186" t="s">
        <v>9</v>
      </c>
      <c r="D10186">
        <v>2</v>
      </c>
      <c r="E10186" s="2">
        <v>1.712962962962963E-3</v>
      </c>
      <c r="F10186">
        <v>2.4666666666666668</v>
      </c>
    </row>
    <row r="10187" spans="1:6" x14ac:dyDescent="0.25">
      <c r="A10187" s="1">
        <v>42036</v>
      </c>
      <c r="B10187" t="s">
        <v>14</v>
      </c>
      <c r="C10187" t="s">
        <v>10</v>
      </c>
      <c r="D10187">
        <v>1</v>
      </c>
      <c r="E10187" s="2">
        <v>1.8055555555555555E-3</v>
      </c>
      <c r="F10187">
        <v>2.6</v>
      </c>
    </row>
    <row r="10188" spans="1:6" x14ac:dyDescent="0.25">
      <c r="A10188" s="1">
        <v>42036</v>
      </c>
      <c r="B10188" t="s">
        <v>14</v>
      </c>
      <c r="C10188" t="s">
        <v>11</v>
      </c>
      <c r="D10188">
        <v>8</v>
      </c>
      <c r="E10188" s="2">
        <v>7.9976851851851858E-3</v>
      </c>
      <c r="F10188">
        <v>11.516666666666667</v>
      </c>
    </row>
    <row r="10189" spans="1:6" x14ac:dyDescent="0.25">
      <c r="A10189" s="1">
        <v>42036</v>
      </c>
      <c r="B10189" t="s">
        <v>15</v>
      </c>
      <c r="C10189" t="s">
        <v>6</v>
      </c>
      <c r="D10189">
        <v>32</v>
      </c>
      <c r="E10189" s="2">
        <v>3.2847222222222222E-2</v>
      </c>
      <c r="F10189">
        <v>47.3</v>
      </c>
    </row>
    <row r="10190" spans="1:6" x14ac:dyDescent="0.25">
      <c r="A10190" s="1">
        <v>42036</v>
      </c>
      <c r="B10190" t="s">
        <v>15</v>
      </c>
      <c r="C10190" t="s">
        <v>7</v>
      </c>
      <c r="D10190">
        <v>27</v>
      </c>
      <c r="E10190" s="2">
        <v>3.6585648148148145E-2</v>
      </c>
      <c r="F10190">
        <v>52.68333333333333</v>
      </c>
    </row>
    <row r="10191" spans="1:6" x14ac:dyDescent="0.25">
      <c r="A10191" s="1">
        <v>42036</v>
      </c>
      <c r="B10191" t="s">
        <v>15</v>
      </c>
      <c r="C10191" t="s">
        <v>8</v>
      </c>
      <c r="D10191">
        <v>26</v>
      </c>
      <c r="E10191" s="2">
        <v>2.8298611111111111E-2</v>
      </c>
      <c r="F10191">
        <v>40.75</v>
      </c>
    </row>
    <row r="10192" spans="1:6" x14ac:dyDescent="0.25">
      <c r="A10192" s="1">
        <v>42036</v>
      </c>
      <c r="B10192" t="s">
        <v>15</v>
      </c>
      <c r="C10192" t="s">
        <v>9</v>
      </c>
      <c r="D10192">
        <v>6</v>
      </c>
      <c r="E10192" s="2">
        <v>2.5925925925925925E-3</v>
      </c>
      <c r="F10192">
        <v>3.7333333333333334</v>
      </c>
    </row>
    <row r="10193" spans="1:6" x14ac:dyDescent="0.25">
      <c r="A10193" s="1">
        <v>42036</v>
      </c>
      <c r="B10193" t="s">
        <v>15</v>
      </c>
      <c r="C10193" t="s">
        <v>10</v>
      </c>
      <c r="D10193">
        <v>2</v>
      </c>
      <c r="E10193" s="2">
        <v>5.6249999999999998E-3</v>
      </c>
      <c r="F10193">
        <v>8.1</v>
      </c>
    </row>
    <row r="10194" spans="1:6" x14ac:dyDescent="0.25">
      <c r="A10194" s="1">
        <v>42036</v>
      </c>
      <c r="B10194" t="s">
        <v>15</v>
      </c>
      <c r="C10194" t="s">
        <v>11</v>
      </c>
      <c r="D10194">
        <v>15</v>
      </c>
      <c r="E10194" s="2">
        <v>1.4328703703703703E-2</v>
      </c>
      <c r="F10194">
        <v>20.633333333333333</v>
      </c>
    </row>
    <row r="10195" spans="1:6" x14ac:dyDescent="0.25">
      <c r="A10195" s="1">
        <v>42036</v>
      </c>
      <c r="B10195" t="s">
        <v>16</v>
      </c>
      <c r="C10195" t="s">
        <v>6</v>
      </c>
      <c r="D10195">
        <v>22</v>
      </c>
      <c r="E10195" s="2">
        <v>2.449074074074074E-2</v>
      </c>
      <c r="F10195">
        <v>35.266666666666666</v>
      </c>
    </row>
    <row r="10196" spans="1:6" x14ac:dyDescent="0.25">
      <c r="A10196" s="1">
        <v>42036</v>
      </c>
      <c r="B10196" t="s">
        <v>16</v>
      </c>
      <c r="C10196" t="s">
        <v>7</v>
      </c>
      <c r="D10196">
        <v>28</v>
      </c>
      <c r="E10196" s="2">
        <v>2.2060185185185186E-2</v>
      </c>
      <c r="F10196">
        <v>31.766666666666666</v>
      </c>
    </row>
    <row r="10197" spans="1:6" x14ac:dyDescent="0.25">
      <c r="A10197" s="1">
        <v>42036</v>
      </c>
      <c r="B10197" t="s">
        <v>16</v>
      </c>
      <c r="C10197" t="s">
        <v>8</v>
      </c>
      <c r="D10197">
        <v>20</v>
      </c>
      <c r="E10197" s="2">
        <v>1.7222222222222222E-2</v>
      </c>
      <c r="F10197">
        <v>24.8</v>
      </c>
    </row>
    <row r="10198" spans="1:6" x14ac:dyDescent="0.25">
      <c r="A10198" s="1">
        <v>42036</v>
      </c>
      <c r="B10198" t="s">
        <v>16</v>
      </c>
      <c r="C10198" t="s">
        <v>9</v>
      </c>
      <c r="D10198">
        <v>9</v>
      </c>
      <c r="E10198" s="2">
        <v>6.3773148148148148E-3</v>
      </c>
      <c r="F10198">
        <v>9.1833333333333336</v>
      </c>
    </row>
    <row r="10199" spans="1:6" x14ac:dyDescent="0.25">
      <c r="A10199" s="1">
        <v>42036</v>
      </c>
      <c r="B10199" t="s">
        <v>16</v>
      </c>
      <c r="C10199" t="s">
        <v>10</v>
      </c>
      <c r="D10199">
        <v>3</v>
      </c>
      <c r="E10199" s="2">
        <v>2.0254629629629629E-3</v>
      </c>
      <c r="F10199">
        <v>2.9166666666666665</v>
      </c>
    </row>
    <row r="10200" spans="1:6" x14ac:dyDescent="0.25">
      <c r="A10200" s="1">
        <v>42036</v>
      </c>
      <c r="B10200" t="s">
        <v>16</v>
      </c>
      <c r="C10200" t="s">
        <v>11</v>
      </c>
      <c r="D10200">
        <v>25</v>
      </c>
      <c r="E10200" s="2">
        <v>2.3159722222222224E-2</v>
      </c>
      <c r="F10200">
        <v>33.35</v>
      </c>
    </row>
    <row r="10201" spans="1:6" x14ac:dyDescent="0.25">
      <c r="A10201" s="1">
        <v>42036</v>
      </c>
      <c r="B10201" t="s">
        <v>17</v>
      </c>
      <c r="C10201" t="s">
        <v>6</v>
      </c>
      <c r="D10201">
        <v>7</v>
      </c>
      <c r="E10201" s="2">
        <v>1.0613425925925925E-2</v>
      </c>
      <c r="F10201">
        <v>15.283333333333333</v>
      </c>
    </row>
    <row r="10202" spans="1:6" x14ac:dyDescent="0.25">
      <c r="A10202" s="1">
        <v>42036</v>
      </c>
      <c r="B10202" t="s">
        <v>17</v>
      </c>
      <c r="C10202" t="s">
        <v>7</v>
      </c>
      <c r="D10202">
        <v>16</v>
      </c>
      <c r="E10202" s="2">
        <v>1.6319444444444445E-2</v>
      </c>
      <c r="F10202">
        <v>23.5</v>
      </c>
    </row>
    <row r="10203" spans="1:6" x14ac:dyDescent="0.25">
      <c r="A10203" s="1">
        <v>42036</v>
      </c>
      <c r="B10203" t="s">
        <v>17</v>
      </c>
      <c r="C10203" t="s">
        <v>8</v>
      </c>
      <c r="D10203">
        <v>9</v>
      </c>
      <c r="E10203" s="2">
        <v>6.2037037037037035E-3</v>
      </c>
      <c r="F10203">
        <v>8.9333333333333336</v>
      </c>
    </row>
    <row r="10204" spans="1:6" x14ac:dyDescent="0.25">
      <c r="A10204" s="1">
        <v>42036</v>
      </c>
      <c r="B10204" t="s">
        <v>17</v>
      </c>
      <c r="C10204" t="s">
        <v>9</v>
      </c>
      <c r="D10204">
        <v>2</v>
      </c>
      <c r="E10204" s="2">
        <v>1.8634259259259259E-3</v>
      </c>
      <c r="F10204">
        <v>2.6833333333333336</v>
      </c>
    </row>
    <row r="10205" spans="1:6" x14ac:dyDescent="0.25">
      <c r="A10205" s="1">
        <v>42036</v>
      </c>
      <c r="B10205" t="s">
        <v>17</v>
      </c>
      <c r="C10205" t="s">
        <v>10</v>
      </c>
      <c r="D10205">
        <v>6</v>
      </c>
      <c r="E10205" s="2">
        <v>5.2662037037037035E-3</v>
      </c>
      <c r="F10205">
        <v>7.583333333333333</v>
      </c>
    </row>
    <row r="10206" spans="1:6" x14ac:dyDescent="0.25">
      <c r="A10206" s="1">
        <v>42036</v>
      </c>
      <c r="B10206" t="s">
        <v>17</v>
      </c>
      <c r="C10206" t="s">
        <v>11</v>
      </c>
      <c r="D10206">
        <v>4</v>
      </c>
      <c r="E10206" s="2">
        <v>2.638888888888889E-3</v>
      </c>
      <c r="F10206">
        <v>3.8</v>
      </c>
    </row>
    <row r="10207" spans="1:6" x14ac:dyDescent="0.25">
      <c r="A10207" s="1">
        <v>42036</v>
      </c>
      <c r="B10207" t="s">
        <v>18</v>
      </c>
      <c r="C10207" t="s">
        <v>6</v>
      </c>
      <c r="D10207">
        <v>65</v>
      </c>
      <c r="E10207" s="2">
        <v>8.0474537037037039E-2</v>
      </c>
      <c r="F10207">
        <v>115.88333333333334</v>
      </c>
    </row>
    <row r="10208" spans="1:6" x14ac:dyDescent="0.25">
      <c r="A10208" s="1">
        <v>42036</v>
      </c>
      <c r="B10208" t="s">
        <v>18</v>
      </c>
      <c r="C10208" t="s">
        <v>7</v>
      </c>
      <c r="D10208">
        <v>92</v>
      </c>
      <c r="E10208" s="2">
        <v>0.10353009259259259</v>
      </c>
      <c r="F10208">
        <v>149.08333333333334</v>
      </c>
    </row>
    <row r="10209" spans="1:6" x14ac:dyDescent="0.25">
      <c r="A10209" s="1">
        <v>42036</v>
      </c>
      <c r="B10209" t="s">
        <v>18</v>
      </c>
      <c r="C10209" t="s">
        <v>8</v>
      </c>
      <c r="D10209">
        <v>60</v>
      </c>
      <c r="E10209" s="2">
        <v>5.1134259259259261E-2</v>
      </c>
      <c r="F10209">
        <v>73.63333333333334</v>
      </c>
    </row>
    <row r="10210" spans="1:6" x14ac:dyDescent="0.25">
      <c r="A10210" s="1">
        <v>42036</v>
      </c>
      <c r="B10210" t="s">
        <v>18</v>
      </c>
      <c r="C10210" t="s">
        <v>9</v>
      </c>
      <c r="D10210">
        <v>52</v>
      </c>
      <c r="E10210" s="2">
        <v>3.4687500000000003E-2</v>
      </c>
      <c r="F10210">
        <v>49.95</v>
      </c>
    </row>
    <row r="10211" spans="1:6" x14ac:dyDescent="0.25">
      <c r="A10211" s="1">
        <v>42036</v>
      </c>
      <c r="B10211" t="s">
        <v>18</v>
      </c>
      <c r="C10211" t="s">
        <v>10</v>
      </c>
      <c r="D10211">
        <v>114</v>
      </c>
      <c r="E10211" s="2">
        <v>0.14460648148148147</v>
      </c>
      <c r="F10211">
        <v>208.23333333333332</v>
      </c>
    </row>
    <row r="10212" spans="1:6" x14ac:dyDescent="0.25">
      <c r="A10212" s="1">
        <v>42036</v>
      </c>
      <c r="B10212" t="s">
        <v>18</v>
      </c>
      <c r="C10212" t="s">
        <v>11</v>
      </c>
      <c r="D10212">
        <v>51</v>
      </c>
      <c r="E10212" s="2">
        <v>4.5034722222222219E-2</v>
      </c>
      <c r="F10212">
        <v>64.849999999999994</v>
      </c>
    </row>
    <row r="10213" spans="1:6" x14ac:dyDescent="0.25">
      <c r="A10213" s="1">
        <v>42036</v>
      </c>
      <c r="B10213" t="s">
        <v>19</v>
      </c>
      <c r="C10213" t="s">
        <v>6</v>
      </c>
      <c r="D10213">
        <v>22</v>
      </c>
      <c r="E10213" s="2">
        <v>2.3703703703703703E-2</v>
      </c>
      <c r="F10213">
        <v>34.133333333333333</v>
      </c>
    </row>
    <row r="10214" spans="1:6" x14ac:dyDescent="0.25">
      <c r="A10214" s="1">
        <v>42036</v>
      </c>
      <c r="B10214" t="s">
        <v>19</v>
      </c>
      <c r="C10214" t="s">
        <v>7</v>
      </c>
      <c r="D10214">
        <v>26</v>
      </c>
      <c r="E10214" s="2">
        <v>3.2314814814814817E-2</v>
      </c>
      <c r="F10214">
        <v>46.533333333333331</v>
      </c>
    </row>
    <row r="10215" spans="1:6" x14ac:dyDescent="0.25">
      <c r="A10215" s="1">
        <v>42036</v>
      </c>
      <c r="B10215" t="s">
        <v>19</v>
      </c>
      <c r="C10215" t="s">
        <v>8</v>
      </c>
      <c r="D10215">
        <v>17</v>
      </c>
      <c r="E10215" s="2">
        <v>2.0266203703703703E-2</v>
      </c>
      <c r="F10215">
        <v>29.183333333333334</v>
      </c>
    </row>
    <row r="10216" spans="1:6" x14ac:dyDescent="0.25">
      <c r="A10216" s="1">
        <v>42036</v>
      </c>
      <c r="B10216" t="s">
        <v>19</v>
      </c>
      <c r="C10216" t="s">
        <v>9</v>
      </c>
      <c r="D10216">
        <v>23</v>
      </c>
      <c r="E10216" s="2">
        <v>1.9768518518518519E-2</v>
      </c>
      <c r="F10216">
        <v>28.466666666666665</v>
      </c>
    </row>
    <row r="10217" spans="1:6" x14ac:dyDescent="0.25">
      <c r="A10217" s="1">
        <v>42036</v>
      </c>
      <c r="B10217" t="s">
        <v>19</v>
      </c>
      <c r="C10217" t="s">
        <v>10</v>
      </c>
      <c r="D10217">
        <v>11</v>
      </c>
      <c r="E10217" s="2">
        <v>1.1817129629629629E-2</v>
      </c>
      <c r="F10217">
        <v>17.016666666666666</v>
      </c>
    </row>
    <row r="10218" spans="1:6" x14ac:dyDescent="0.25">
      <c r="A10218" s="1">
        <v>42036</v>
      </c>
      <c r="B10218" t="s">
        <v>19</v>
      </c>
      <c r="C10218" t="s">
        <v>11</v>
      </c>
      <c r="D10218">
        <v>29</v>
      </c>
      <c r="E10218" s="2">
        <v>2.9409722222222223E-2</v>
      </c>
      <c r="F10218">
        <v>42.35</v>
      </c>
    </row>
    <row r="10219" spans="1:6" x14ac:dyDescent="0.25">
      <c r="A10219" s="1">
        <v>42036</v>
      </c>
      <c r="B10219" t="s">
        <v>20</v>
      </c>
      <c r="C10219" t="s">
        <v>6</v>
      </c>
      <c r="D10219">
        <v>50</v>
      </c>
      <c r="E10219" s="2">
        <v>0.06</v>
      </c>
      <c r="F10219">
        <v>86.4</v>
      </c>
    </row>
    <row r="10220" spans="1:6" x14ac:dyDescent="0.25">
      <c r="A10220" s="1">
        <v>42036</v>
      </c>
      <c r="B10220" t="s">
        <v>20</v>
      </c>
      <c r="C10220" t="s">
        <v>7</v>
      </c>
      <c r="D10220">
        <v>62</v>
      </c>
      <c r="E10220" s="2">
        <v>7.5844907407407403E-2</v>
      </c>
      <c r="F10220">
        <v>109.21666666666667</v>
      </c>
    </row>
    <row r="10221" spans="1:6" x14ac:dyDescent="0.25">
      <c r="A10221" s="1">
        <v>42036</v>
      </c>
      <c r="B10221" t="s">
        <v>20</v>
      </c>
      <c r="C10221" t="s">
        <v>8</v>
      </c>
      <c r="D10221">
        <v>33</v>
      </c>
      <c r="E10221" s="2">
        <v>2.9583333333333333E-2</v>
      </c>
      <c r="F10221">
        <v>42.6</v>
      </c>
    </row>
    <row r="10222" spans="1:6" x14ac:dyDescent="0.25">
      <c r="A10222" s="1">
        <v>42036</v>
      </c>
      <c r="B10222" t="s">
        <v>20</v>
      </c>
      <c r="C10222" t="s">
        <v>9</v>
      </c>
      <c r="D10222">
        <v>20</v>
      </c>
      <c r="E10222" s="2">
        <v>1.7060185185185185E-2</v>
      </c>
      <c r="F10222">
        <v>24.566666666666666</v>
      </c>
    </row>
    <row r="10223" spans="1:6" x14ac:dyDescent="0.25">
      <c r="A10223" s="1">
        <v>42036</v>
      </c>
      <c r="B10223" t="s">
        <v>20</v>
      </c>
      <c r="C10223" t="s">
        <v>10</v>
      </c>
      <c r="D10223">
        <v>10</v>
      </c>
      <c r="E10223" s="2">
        <v>1.3298611111111112E-2</v>
      </c>
      <c r="F10223">
        <v>19.149999999999999</v>
      </c>
    </row>
    <row r="10224" spans="1:6" x14ac:dyDescent="0.25">
      <c r="A10224" s="1">
        <v>42036</v>
      </c>
      <c r="B10224" t="s">
        <v>20</v>
      </c>
      <c r="C10224" t="s">
        <v>11</v>
      </c>
      <c r="D10224">
        <v>45</v>
      </c>
      <c r="E10224" s="2">
        <v>4.1284722222222223E-2</v>
      </c>
      <c r="F10224">
        <v>59.45</v>
      </c>
    </row>
    <row r="10225" spans="1:6" x14ac:dyDescent="0.25">
      <c r="A10225" s="1">
        <v>42036</v>
      </c>
      <c r="B10225" t="s">
        <v>21</v>
      </c>
      <c r="C10225" t="s">
        <v>6</v>
      </c>
      <c r="D10225">
        <v>15</v>
      </c>
      <c r="E10225" s="2">
        <v>1.96875E-2</v>
      </c>
      <c r="F10225">
        <v>28.35</v>
      </c>
    </row>
    <row r="10226" spans="1:6" x14ac:dyDescent="0.25">
      <c r="A10226" s="1">
        <v>42036</v>
      </c>
      <c r="B10226" t="s">
        <v>21</v>
      </c>
      <c r="C10226" t="s">
        <v>7</v>
      </c>
      <c r="D10226">
        <v>12</v>
      </c>
      <c r="E10226" s="2">
        <v>2.6574074074074073E-2</v>
      </c>
      <c r="F10226">
        <v>38.266666666666666</v>
      </c>
    </row>
    <row r="10227" spans="1:6" x14ac:dyDescent="0.25">
      <c r="A10227" s="1">
        <v>42036</v>
      </c>
      <c r="B10227" t="s">
        <v>21</v>
      </c>
      <c r="C10227" t="s">
        <v>8</v>
      </c>
      <c r="D10227">
        <v>15</v>
      </c>
      <c r="E10227" s="2">
        <v>1.90625E-2</v>
      </c>
      <c r="F10227">
        <v>27.45</v>
      </c>
    </row>
    <row r="10228" spans="1:6" x14ac:dyDescent="0.25">
      <c r="A10228" s="1">
        <v>42036</v>
      </c>
      <c r="B10228" t="s">
        <v>21</v>
      </c>
      <c r="C10228" t="s">
        <v>9</v>
      </c>
      <c r="D10228">
        <v>3</v>
      </c>
      <c r="E10228" s="2">
        <v>2.1064814814814813E-3</v>
      </c>
      <c r="F10228">
        <v>3.0333333333333332</v>
      </c>
    </row>
    <row r="10229" spans="1:6" x14ac:dyDescent="0.25">
      <c r="A10229" s="1">
        <v>42036</v>
      </c>
      <c r="B10229" t="s">
        <v>21</v>
      </c>
      <c r="C10229" t="s">
        <v>10</v>
      </c>
      <c r="D10229">
        <v>2</v>
      </c>
      <c r="E10229" s="2">
        <v>2.476851851851852E-3</v>
      </c>
      <c r="F10229">
        <v>3.5666666666666664</v>
      </c>
    </row>
    <row r="10230" spans="1:6" x14ac:dyDescent="0.25">
      <c r="A10230" s="1">
        <v>42036</v>
      </c>
      <c r="B10230" t="s">
        <v>21</v>
      </c>
      <c r="C10230" t="s">
        <v>11</v>
      </c>
      <c r="D10230">
        <v>17</v>
      </c>
      <c r="E10230" s="2">
        <v>2.1122685185185185E-2</v>
      </c>
      <c r="F10230">
        <v>30.416666666666668</v>
      </c>
    </row>
    <row r="10231" spans="1:6" x14ac:dyDescent="0.25">
      <c r="A10231" s="1">
        <v>42036</v>
      </c>
      <c r="B10231" t="s">
        <v>22</v>
      </c>
      <c r="C10231" t="s">
        <v>6</v>
      </c>
      <c r="D10231">
        <v>8</v>
      </c>
      <c r="E10231" s="2">
        <v>1.0914351851851852E-2</v>
      </c>
      <c r="F10231">
        <v>15.716666666666667</v>
      </c>
    </row>
    <row r="10232" spans="1:6" x14ac:dyDescent="0.25">
      <c r="A10232" s="1">
        <v>42036</v>
      </c>
      <c r="B10232" t="s">
        <v>22</v>
      </c>
      <c r="C10232" t="s">
        <v>7</v>
      </c>
      <c r="D10232">
        <v>8</v>
      </c>
      <c r="E10232" s="2">
        <v>6.6550925925925927E-3</v>
      </c>
      <c r="F10232">
        <v>9.5833333333333339</v>
      </c>
    </row>
    <row r="10233" spans="1:6" x14ac:dyDescent="0.25">
      <c r="A10233" s="1">
        <v>42036</v>
      </c>
      <c r="B10233" t="s">
        <v>22</v>
      </c>
      <c r="C10233" t="s">
        <v>8</v>
      </c>
      <c r="D10233">
        <v>5</v>
      </c>
      <c r="E10233" s="2">
        <v>7.5578703703703702E-3</v>
      </c>
      <c r="F10233">
        <v>10.883333333333333</v>
      </c>
    </row>
    <row r="10234" spans="1:6" x14ac:dyDescent="0.25">
      <c r="A10234" s="1">
        <v>42036</v>
      </c>
      <c r="B10234" t="s">
        <v>22</v>
      </c>
      <c r="C10234" t="s">
        <v>9</v>
      </c>
      <c r="D10234">
        <v>5</v>
      </c>
      <c r="E10234" s="2">
        <v>2.0949074074074073E-3</v>
      </c>
      <c r="F10234">
        <v>3.0166666666666666</v>
      </c>
    </row>
    <row r="10235" spans="1:6" x14ac:dyDescent="0.25">
      <c r="A10235" s="1">
        <v>42036</v>
      </c>
      <c r="B10235" t="s">
        <v>22</v>
      </c>
      <c r="C10235" t="s">
        <v>10</v>
      </c>
      <c r="D10235">
        <v>0</v>
      </c>
      <c r="E10235" s="2">
        <v>0</v>
      </c>
      <c r="F10235">
        <v>0</v>
      </c>
    </row>
    <row r="10236" spans="1:6" x14ac:dyDescent="0.25">
      <c r="A10236" s="1">
        <v>42036</v>
      </c>
      <c r="B10236" t="s">
        <v>22</v>
      </c>
      <c r="C10236" t="s">
        <v>11</v>
      </c>
      <c r="D10236">
        <v>5</v>
      </c>
      <c r="E10236" s="2">
        <v>7.060185185185185E-3</v>
      </c>
      <c r="F10236">
        <v>10.166666666666666</v>
      </c>
    </row>
    <row r="10237" spans="1:6" x14ac:dyDescent="0.25">
      <c r="A10237" s="1">
        <v>42036</v>
      </c>
      <c r="B10237" t="s">
        <v>23</v>
      </c>
      <c r="C10237" t="s">
        <v>6</v>
      </c>
      <c r="D10237">
        <v>50</v>
      </c>
      <c r="E10237" s="2">
        <v>6.5428240740740745E-2</v>
      </c>
      <c r="F10237">
        <v>94.216666666666669</v>
      </c>
    </row>
    <row r="10238" spans="1:6" x14ac:dyDescent="0.25">
      <c r="A10238" s="1">
        <v>42036</v>
      </c>
      <c r="B10238" t="s">
        <v>23</v>
      </c>
      <c r="C10238" t="s">
        <v>7</v>
      </c>
      <c r="D10238">
        <v>76</v>
      </c>
      <c r="E10238" s="2">
        <v>0.12589120370370371</v>
      </c>
      <c r="F10238">
        <v>181.28333333333333</v>
      </c>
    </row>
    <row r="10239" spans="1:6" x14ac:dyDescent="0.25">
      <c r="A10239" s="1">
        <v>42036</v>
      </c>
      <c r="B10239" t="s">
        <v>23</v>
      </c>
      <c r="C10239" t="s">
        <v>8</v>
      </c>
      <c r="D10239">
        <v>54</v>
      </c>
      <c r="E10239" s="2">
        <v>6.8877314814814808E-2</v>
      </c>
      <c r="F10239">
        <v>99.183333333333337</v>
      </c>
    </row>
    <row r="10240" spans="1:6" x14ac:dyDescent="0.25">
      <c r="A10240" s="1">
        <v>42036</v>
      </c>
      <c r="B10240" t="s">
        <v>23</v>
      </c>
      <c r="C10240" t="s">
        <v>9</v>
      </c>
      <c r="D10240">
        <v>41</v>
      </c>
      <c r="E10240" s="2">
        <v>2.9108796296296296E-2</v>
      </c>
      <c r="F10240">
        <v>41.916666666666664</v>
      </c>
    </row>
    <row r="10241" spans="1:6" x14ac:dyDescent="0.25">
      <c r="A10241" s="1">
        <v>42036</v>
      </c>
      <c r="B10241" t="s">
        <v>23</v>
      </c>
      <c r="C10241" t="s">
        <v>10</v>
      </c>
      <c r="D10241">
        <v>20</v>
      </c>
      <c r="E10241" s="2">
        <v>2.6527777777777779E-2</v>
      </c>
      <c r="F10241">
        <v>38.200000000000003</v>
      </c>
    </row>
    <row r="10242" spans="1:6" x14ac:dyDescent="0.25">
      <c r="A10242" s="1">
        <v>42036</v>
      </c>
      <c r="B10242" t="s">
        <v>23</v>
      </c>
      <c r="C10242" t="s">
        <v>11</v>
      </c>
      <c r="D10242">
        <v>68</v>
      </c>
      <c r="E10242" s="2">
        <v>7.0219907407407411E-2</v>
      </c>
      <c r="F10242">
        <v>101.11666666666666</v>
      </c>
    </row>
    <row r="10243" spans="1:6" x14ac:dyDescent="0.25">
      <c r="A10243" s="1">
        <v>42036</v>
      </c>
      <c r="B10243" t="s">
        <v>24</v>
      </c>
      <c r="C10243" t="s">
        <v>6</v>
      </c>
      <c r="D10243">
        <v>41</v>
      </c>
      <c r="E10243" s="2">
        <v>6.2581018518518522E-2</v>
      </c>
      <c r="F10243">
        <v>90.11666666666666</v>
      </c>
    </row>
    <row r="10244" spans="1:6" x14ac:dyDescent="0.25">
      <c r="A10244" s="1">
        <v>42036</v>
      </c>
      <c r="B10244" t="s">
        <v>24</v>
      </c>
      <c r="C10244" t="s">
        <v>7</v>
      </c>
      <c r="D10244">
        <v>41</v>
      </c>
      <c r="E10244" s="2">
        <v>3.7615740740740741E-2</v>
      </c>
      <c r="F10244">
        <v>54.166666666666664</v>
      </c>
    </row>
    <row r="10245" spans="1:6" x14ac:dyDescent="0.25">
      <c r="A10245" s="1">
        <v>42036</v>
      </c>
      <c r="B10245" t="s">
        <v>24</v>
      </c>
      <c r="C10245" t="s">
        <v>8</v>
      </c>
      <c r="D10245">
        <v>25</v>
      </c>
      <c r="E10245" s="2">
        <v>2.3379629629629629E-2</v>
      </c>
      <c r="F10245">
        <v>33.666666666666664</v>
      </c>
    </row>
    <row r="10246" spans="1:6" x14ac:dyDescent="0.25">
      <c r="A10246" s="1">
        <v>42036</v>
      </c>
      <c r="B10246" t="s">
        <v>24</v>
      </c>
      <c r="C10246" t="s">
        <v>9</v>
      </c>
      <c r="D10246">
        <v>27</v>
      </c>
      <c r="E10246" s="2">
        <v>2.5173611111111112E-2</v>
      </c>
      <c r="F10246">
        <v>36.25</v>
      </c>
    </row>
    <row r="10247" spans="1:6" x14ac:dyDescent="0.25">
      <c r="A10247" s="1">
        <v>42036</v>
      </c>
      <c r="B10247" t="s">
        <v>24</v>
      </c>
      <c r="C10247" t="s">
        <v>10</v>
      </c>
      <c r="D10247">
        <v>1</v>
      </c>
      <c r="E10247" s="2">
        <v>1.0416666666666667E-3</v>
      </c>
      <c r="F10247">
        <v>1.5</v>
      </c>
    </row>
    <row r="10248" spans="1:6" x14ac:dyDescent="0.25">
      <c r="A10248" s="1">
        <v>42036</v>
      </c>
      <c r="B10248" t="s">
        <v>24</v>
      </c>
      <c r="C10248" t="s">
        <v>11</v>
      </c>
      <c r="D10248">
        <v>27</v>
      </c>
      <c r="E10248" s="2">
        <v>1.951388888888889E-2</v>
      </c>
      <c r="F10248">
        <v>28.1</v>
      </c>
    </row>
    <row r="10249" spans="1:6" x14ac:dyDescent="0.25">
      <c r="A10249" s="1">
        <v>42064</v>
      </c>
      <c r="B10249" t="s">
        <v>5</v>
      </c>
      <c r="C10249" t="s">
        <v>6</v>
      </c>
      <c r="D10249">
        <v>97</v>
      </c>
      <c r="E10249" s="2">
        <v>0.1144212962962963</v>
      </c>
      <c r="F10249">
        <v>164.76666666666668</v>
      </c>
    </row>
    <row r="10250" spans="1:6" x14ac:dyDescent="0.25">
      <c r="A10250" s="1">
        <v>42064</v>
      </c>
      <c r="B10250" t="s">
        <v>5</v>
      </c>
      <c r="C10250" t="s">
        <v>7</v>
      </c>
      <c r="D10250">
        <v>133</v>
      </c>
      <c r="E10250" s="2">
        <v>0.14732638888888888</v>
      </c>
      <c r="F10250">
        <v>212.15</v>
      </c>
    </row>
    <row r="10251" spans="1:6" x14ac:dyDescent="0.25">
      <c r="A10251" s="1">
        <v>42064</v>
      </c>
      <c r="B10251" t="s">
        <v>5</v>
      </c>
      <c r="C10251" t="s">
        <v>8</v>
      </c>
      <c r="D10251">
        <v>72</v>
      </c>
      <c r="E10251" s="2">
        <v>6.8275462962962968E-2</v>
      </c>
      <c r="F10251">
        <v>98.316666666666663</v>
      </c>
    </row>
    <row r="10252" spans="1:6" x14ac:dyDescent="0.25">
      <c r="A10252" s="1">
        <v>42064</v>
      </c>
      <c r="B10252" t="s">
        <v>5</v>
      </c>
      <c r="C10252" t="s">
        <v>9</v>
      </c>
      <c r="D10252">
        <v>27</v>
      </c>
      <c r="E10252" s="2">
        <v>2.2256944444444444E-2</v>
      </c>
      <c r="F10252">
        <v>32.049999999999997</v>
      </c>
    </row>
    <row r="10253" spans="1:6" x14ac:dyDescent="0.25">
      <c r="A10253" s="1">
        <v>42064</v>
      </c>
      <c r="B10253" t="s">
        <v>5</v>
      </c>
      <c r="C10253" t="s">
        <v>10</v>
      </c>
      <c r="D10253">
        <v>15</v>
      </c>
      <c r="E10253" s="2">
        <v>1.4780092592592593E-2</v>
      </c>
      <c r="F10253">
        <v>21.283333333333335</v>
      </c>
    </row>
    <row r="10254" spans="1:6" x14ac:dyDescent="0.25">
      <c r="A10254" s="1">
        <v>42064</v>
      </c>
      <c r="B10254" t="s">
        <v>5</v>
      </c>
      <c r="C10254" t="s">
        <v>11</v>
      </c>
      <c r="D10254">
        <v>74</v>
      </c>
      <c r="E10254" s="2">
        <v>6.9976851851851846E-2</v>
      </c>
      <c r="F10254">
        <v>100.76666666666667</v>
      </c>
    </row>
    <row r="10255" spans="1:6" x14ac:dyDescent="0.25">
      <c r="A10255" s="1">
        <v>42064</v>
      </c>
      <c r="B10255" t="s">
        <v>12</v>
      </c>
      <c r="C10255" t="s">
        <v>6</v>
      </c>
      <c r="D10255">
        <v>45</v>
      </c>
      <c r="E10255" s="2">
        <v>6.4027777777777781E-2</v>
      </c>
      <c r="F10255">
        <v>92.2</v>
      </c>
    </row>
    <row r="10256" spans="1:6" x14ac:dyDescent="0.25">
      <c r="A10256" s="1">
        <v>42064</v>
      </c>
      <c r="B10256" t="s">
        <v>12</v>
      </c>
      <c r="C10256" t="s">
        <v>7</v>
      </c>
      <c r="D10256">
        <v>30</v>
      </c>
      <c r="E10256" s="2">
        <v>5.3067129629629631E-2</v>
      </c>
      <c r="F10256">
        <v>76.416666666666671</v>
      </c>
    </row>
    <row r="10257" spans="1:6" x14ac:dyDescent="0.25">
      <c r="A10257" s="1">
        <v>42064</v>
      </c>
      <c r="B10257" t="s">
        <v>12</v>
      </c>
      <c r="C10257" t="s">
        <v>8</v>
      </c>
      <c r="D10257">
        <v>25</v>
      </c>
      <c r="E10257" s="2">
        <v>3.5694444444444445E-2</v>
      </c>
      <c r="F10257">
        <v>51.4</v>
      </c>
    </row>
    <row r="10258" spans="1:6" x14ac:dyDescent="0.25">
      <c r="A10258" s="1">
        <v>42064</v>
      </c>
      <c r="B10258" t="s">
        <v>12</v>
      </c>
      <c r="C10258" t="s">
        <v>9</v>
      </c>
      <c r="D10258">
        <v>27</v>
      </c>
      <c r="E10258" s="2">
        <v>6.0613425925925925E-2</v>
      </c>
      <c r="F10258">
        <v>87.283333333333331</v>
      </c>
    </row>
    <row r="10259" spans="1:6" x14ac:dyDescent="0.25">
      <c r="A10259" s="1">
        <v>42064</v>
      </c>
      <c r="B10259" t="s">
        <v>12</v>
      </c>
      <c r="C10259" t="s">
        <v>10</v>
      </c>
      <c r="D10259">
        <v>23</v>
      </c>
      <c r="E10259" s="2">
        <v>4.3842592592592593E-2</v>
      </c>
      <c r="F10259">
        <v>63.133333333333333</v>
      </c>
    </row>
    <row r="10260" spans="1:6" x14ac:dyDescent="0.25">
      <c r="A10260" s="1">
        <v>42064</v>
      </c>
      <c r="B10260" t="s">
        <v>12</v>
      </c>
      <c r="C10260" t="s">
        <v>11</v>
      </c>
      <c r="D10260">
        <v>42</v>
      </c>
      <c r="E10260" s="2">
        <v>5.0173611111111113E-2</v>
      </c>
      <c r="F10260">
        <v>72.25</v>
      </c>
    </row>
    <row r="10261" spans="1:6" x14ac:dyDescent="0.25">
      <c r="A10261" s="1">
        <v>42064</v>
      </c>
      <c r="B10261" t="s">
        <v>13</v>
      </c>
      <c r="C10261" t="s">
        <v>6</v>
      </c>
      <c r="D10261">
        <v>51</v>
      </c>
      <c r="E10261" s="2">
        <v>6.1354166666666668E-2</v>
      </c>
      <c r="F10261">
        <v>88.35</v>
      </c>
    </row>
    <row r="10262" spans="1:6" x14ac:dyDescent="0.25">
      <c r="A10262" s="1">
        <v>42064</v>
      </c>
      <c r="B10262" t="s">
        <v>13</v>
      </c>
      <c r="C10262" t="s">
        <v>7</v>
      </c>
      <c r="D10262">
        <v>62</v>
      </c>
      <c r="E10262" s="2">
        <v>9.6284722222222216E-2</v>
      </c>
      <c r="F10262">
        <v>138.65</v>
      </c>
    </row>
    <row r="10263" spans="1:6" x14ac:dyDescent="0.25">
      <c r="A10263" s="1">
        <v>42064</v>
      </c>
      <c r="B10263" t="s">
        <v>13</v>
      </c>
      <c r="C10263" t="s">
        <v>8</v>
      </c>
      <c r="D10263">
        <v>35</v>
      </c>
      <c r="E10263" s="2">
        <v>3.7488425925925925E-2</v>
      </c>
      <c r="F10263">
        <v>53.983333333333334</v>
      </c>
    </row>
    <row r="10264" spans="1:6" x14ac:dyDescent="0.25">
      <c r="A10264" s="1">
        <v>42064</v>
      </c>
      <c r="B10264" t="s">
        <v>13</v>
      </c>
      <c r="C10264" t="s">
        <v>9</v>
      </c>
      <c r="D10264">
        <v>21</v>
      </c>
      <c r="E10264" s="2">
        <v>1.6886574074074075E-2</v>
      </c>
      <c r="F10264">
        <v>24.316666666666666</v>
      </c>
    </row>
    <row r="10265" spans="1:6" x14ac:dyDescent="0.25">
      <c r="A10265" s="1">
        <v>42064</v>
      </c>
      <c r="B10265" t="s">
        <v>13</v>
      </c>
      <c r="C10265" t="s">
        <v>10</v>
      </c>
      <c r="D10265">
        <v>17</v>
      </c>
      <c r="E10265" s="2">
        <v>2.3819444444444445E-2</v>
      </c>
      <c r="F10265">
        <v>34.299999999999997</v>
      </c>
    </row>
    <row r="10266" spans="1:6" x14ac:dyDescent="0.25">
      <c r="A10266" s="1">
        <v>42064</v>
      </c>
      <c r="B10266" t="s">
        <v>13</v>
      </c>
      <c r="C10266" t="s">
        <v>11</v>
      </c>
      <c r="D10266">
        <v>18</v>
      </c>
      <c r="E10266" s="2">
        <v>1.9212962962962963E-2</v>
      </c>
      <c r="F10266">
        <v>27.666666666666668</v>
      </c>
    </row>
    <row r="10267" spans="1:6" x14ac:dyDescent="0.25">
      <c r="A10267" s="1">
        <v>42064</v>
      </c>
      <c r="B10267" t="s">
        <v>14</v>
      </c>
      <c r="C10267" t="s">
        <v>6</v>
      </c>
      <c r="D10267">
        <v>15</v>
      </c>
      <c r="E10267" s="2">
        <v>2.1145833333333332E-2</v>
      </c>
      <c r="F10267">
        <v>30.45</v>
      </c>
    </row>
    <row r="10268" spans="1:6" x14ac:dyDescent="0.25">
      <c r="A10268" s="1">
        <v>42064</v>
      </c>
      <c r="B10268" t="s">
        <v>14</v>
      </c>
      <c r="C10268" t="s">
        <v>7</v>
      </c>
      <c r="D10268">
        <v>12</v>
      </c>
      <c r="E10268" s="2">
        <v>2.1608796296296296E-2</v>
      </c>
      <c r="F10268">
        <v>31.116666666666667</v>
      </c>
    </row>
    <row r="10269" spans="1:6" x14ac:dyDescent="0.25">
      <c r="A10269" s="1">
        <v>42064</v>
      </c>
      <c r="B10269" t="s">
        <v>14</v>
      </c>
      <c r="C10269" t="s">
        <v>8</v>
      </c>
      <c r="D10269">
        <v>7</v>
      </c>
      <c r="E10269" s="2">
        <v>1.1539351851851851E-2</v>
      </c>
      <c r="F10269">
        <v>16.616666666666667</v>
      </c>
    </row>
    <row r="10270" spans="1:6" x14ac:dyDescent="0.25">
      <c r="A10270" s="1">
        <v>42064</v>
      </c>
      <c r="B10270" t="s">
        <v>14</v>
      </c>
      <c r="C10270" t="s">
        <v>9</v>
      </c>
      <c r="D10270">
        <v>3</v>
      </c>
      <c r="E10270" s="2">
        <v>3.2407407407407406E-3</v>
      </c>
      <c r="F10270">
        <v>4.666666666666667</v>
      </c>
    </row>
    <row r="10271" spans="1:6" x14ac:dyDescent="0.25">
      <c r="A10271" s="1">
        <v>42064</v>
      </c>
      <c r="B10271" t="s">
        <v>14</v>
      </c>
      <c r="C10271" t="s">
        <v>10</v>
      </c>
      <c r="D10271">
        <v>0</v>
      </c>
      <c r="E10271" s="2">
        <v>0</v>
      </c>
      <c r="F10271">
        <v>0</v>
      </c>
    </row>
    <row r="10272" spans="1:6" x14ac:dyDescent="0.25">
      <c r="A10272" s="1">
        <v>42064</v>
      </c>
      <c r="B10272" t="s">
        <v>14</v>
      </c>
      <c r="C10272" t="s">
        <v>11</v>
      </c>
      <c r="D10272">
        <v>9</v>
      </c>
      <c r="E10272" s="2">
        <v>1.0324074074074074E-2</v>
      </c>
      <c r="F10272">
        <v>14.866666666666667</v>
      </c>
    </row>
    <row r="10273" spans="1:6" x14ac:dyDescent="0.25">
      <c r="A10273" s="1">
        <v>42064</v>
      </c>
      <c r="B10273" t="s">
        <v>15</v>
      </c>
      <c r="C10273" t="s">
        <v>6</v>
      </c>
      <c r="D10273">
        <v>41</v>
      </c>
      <c r="E10273" s="2">
        <v>5.2812499999999998E-2</v>
      </c>
      <c r="F10273">
        <v>76.05</v>
      </c>
    </row>
    <row r="10274" spans="1:6" x14ac:dyDescent="0.25">
      <c r="A10274" s="1">
        <v>42064</v>
      </c>
      <c r="B10274" t="s">
        <v>15</v>
      </c>
      <c r="C10274" t="s">
        <v>7</v>
      </c>
      <c r="D10274">
        <v>41</v>
      </c>
      <c r="E10274" s="2">
        <v>4.3645833333333335E-2</v>
      </c>
      <c r="F10274">
        <v>62.85</v>
      </c>
    </row>
    <row r="10275" spans="1:6" x14ac:dyDescent="0.25">
      <c r="A10275" s="1">
        <v>42064</v>
      </c>
      <c r="B10275" t="s">
        <v>15</v>
      </c>
      <c r="C10275" t="s">
        <v>8</v>
      </c>
      <c r="D10275">
        <v>43</v>
      </c>
      <c r="E10275" s="2">
        <v>4.3449074074074077E-2</v>
      </c>
      <c r="F10275">
        <v>62.56666666666667</v>
      </c>
    </row>
    <row r="10276" spans="1:6" x14ac:dyDescent="0.25">
      <c r="A10276" s="1">
        <v>42064</v>
      </c>
      <c r="B10276" t="s">
        <v>15</v>
      </c>
      <c r="C10276" t="s">
        <v>9</v>
      </c>
      <c r="D10276">
        <v>9</v>
      </c>
      <c r="E10276" s="2">
        <v>5.9837962962962961E-3</v>
      </c>
      <c r="F10276">
        <v>8.6166666666666671</v>
      </c>
    </row>
    <row r="10277" spans="1:6" x14ac:dyDescent="0.25">
      <c r="A10277" s="1">
        <v>42064</v>
      </c>
      <c r="B10277" t="s">
        <v>15</v>
      </c>
      <c r="C10277" t="s">
        <v>10</v>
      </c>
      <c r="D10277">
        <v>10</v>
      </c>
      <c r="E10277" s="2">
        <v>1.1956018518518519E-2</v>
      </c>
      <c r="F10277">
        <v>17.216666666666665</v>
      </c>
    </row>
    <row r="10278" spans="1:6" x14ac:dyDescent="0.25">
      <c r="A10278" s="1">
        <v>42064</v>
      </c>
      <c r="B10278" t="s">
        <v>15</v>
      </c>
      <c r="C10278" t="s">
        <v>11</v>
      </c>
      <c r="D10278">
        <v>30</v>
      </c>
      <c r="E10278" s="2">
        <v>2.5717592592592594E-2</v>
      </c>
      <c r="F10278">
        <v>37.033333333333331</v>
      </c>
    </row>
    <row r="10279" spans="1:6" x14ac:dyDescent="0.25">
      <c r="A10279" s="1">
        <v>42064</v>
      </c>
      <c r="B10279" t="s">
        <v>16</v>
      </c>
      <c r="C10279" t="s">
        <v>6</v>
      </c>
      <c r="D10279">
        <v>53</v>
      </c>
      <c r="E10279" s="2">
        <v>6.4062499999999994E-2</v>
      </c>
      <c r="F10279">
        <v>92.25</v>
      </c>
    </row>
    <row r="10280" spans="1:6" x14ac:dyDescent="0.25">
      <c r="A10280" s="1">
        <v>42064</v>
      </c>
      <c r="B10280" t="s">
        <v>16</v>
      </c>
      <c r="C10280" t="s">
        <v>7</v>
      </c>
      <c r="D10280">
        <v>59</v>
      </c>
      <c r="E10280" s="2">
        <v>6.2164351851851853E-2</v>
      </c>
      <c r="F10280">
        <v>89.516666666666666</v>
      </c>
    </row>
    <row r="10281" spans="1:6" x14ac:dyDescent="0.25">
      <c r="A10281" s="1">
        <v>42064</v>
      </c>
      <c r="B10281" t="s">
        <v>16</v>
      </c>
      <c r="C10281" t="s">
        <v>8</v>
      </c>
      <c r="D10281">
        <v>39</v>
      </c>
      <c r="E10281" s="2">
        <v>3.1608796296296295E-2</v>
      </c>
      <c r="F10281">
        <v>45.516666666666666</v>
      </c>
    </row>
    <row r="10282" spans="1:6" x14ac:dyDescent="0.25">
      <c r="A10282" s="1">
        <v>42064</v>
      </c>
      <c r="B10282" t="s">
        <v>16</v>
      </c>
      <c r="C10282" t="s">
        <v>9</v>
      </c>
      <c r="D10282">
        <v>23</v>
      </c>
      <c r="E10282" s="2">
        <v>1.8553240740740742E-2</v>
      </c>
      <c r="F10282">
        <v>26.716666666666665</v>
      </c>
    </row>
    <row r="10283" spans="1:6" x14ac:dyDescent="0.25">
      <c r="A10283" s="1">
        <v>42064</v>
      </c>
      <c r="B10283" t="s">
        <v>16</v>
      </c>
      <c r="C10283" t="s">
        <v>10</v>
      </c>
      <c r="D10283">
        <v>8</v>
      </c>
      <c r="E10283" s="2">
        <v>8.5532407407407415E-3</v>
      </c>
      <c r="F10283">
        <v>12.316666666666666</v>
      </c>
    </row>
    <row r="10284" spans="1:6" x14ac:dyDescent="0.25">
      <c r="A10284" s="1">
        <v>42064</v>
      </c>
      <c r="B10284" t="s">
        <v>16</v>
      </c>
      <c r="C10284" t="s">
        <v>11</v>
      </c>
      <c r="D10284">
        <v>57</v>
      </c>
      <c r="E10284" s="2">
        <v>5.0127314814814812E-2</v>
      </c>
      <c r="F10284">
        <v>72.183333333333337</v>
      </c>
    </row>
    <row r="10285" spans="1:6" x14ac:dyDescent="0.25">
      <c r="A10285" s="1">
        <v>42064</v>
      </c>
      <c r="B10285" t="s">
        <v>17</v>
      </c>
      <c r="C10285" t="s">
        <v>6</v>
      </c>
      <c r="D10285">
        <v>6</v>
      </c>
      <c r="E10285" s="2">
        <v>6.122685185185185E-3</v>
      </c>
      <c r="F10285">
        <v>8.8166666666666664</v>
      </c>
    </row>
    <row r="10286" spans="1:6" x14ac:dyDescent="0.25">
      <c r="A10286" s="1">
        <v>42064</v>
      </c>
      <c r="B10286" t="s">
        <v>17</v>
      </c>
      <c r="C10286" t="s">
        <v>7</v>
      </c>
      <c r="D10286">
        <v>9</v>
      </c>
      <c r="E10286" s="2">
        <v>1.5057870370370371E-2</v>
      </c>
      <c r="F10286">
        <v>21.683333333333334</v>
      </c>
    </row>
    <row r="10287" spans="1:6" x14ac:dyDescent="0.25">
      <c r="A10287" s="1">
        <v>42064</v>
      </c>
      <c r="B10287" t="s">
        <v>17</v>
      </c>
      <c r="C10287" t="s">
        <v>8</v>
      </c>
      <c r="D10287">
        <v>6</v>
      </c>
      <c r="E10287" s="2">
        <v>3.4837962962962965E-3</v>
      </c>
      <c r="F10287">
        <v>5.0166666666666666</v>
      </c>
    </row>
    <row r="10288" spans="1:6" x14ac:dyDescent="0.25">
      <c r="A10288" s="1">
        <v>42064</v>
      </c>
      <c r="B10288" t="s">
        <v>17</v>
      </c>
      <c r="C10288" t="s">
        <v>9</v>
      </c>
      <c r="D10288">
        <v>1</v>
      </c>
      <c r="E10288" s="2">
        <v>4.1666666666666669E-4</v>
      </c>
      <c r="F10288">
        <v>0.6</v>
      </c>
    </row>
    <row r="10289" spans="1:6" x14ac:dyDescent="0.25">
      <c r="A10289" s="1">
        <v>42064</v>
      </c>
      <c r="B10289" t="s">
        <v>17</v>
      </c>
      <c r="C10289" t="s">
        <v>10</v>
      </c>
      <c r="D10289">
        <v>9</v>
      </c>
      <c r="E10289" s="2">
        <v>8.2986111111111108E-3</v>
      </c>
      <c r="F10289">
        <v>11.95</v>
      </c>
    </row>
    <row r="10290" spans="1:6" x14ac:dyDescent="0.25">
      <c r="A10290" s="1">
        <v>42064</v>
      </c>
      <c r="B10290" t="s">
        <v>17</v>
      </c>
      <c r="C10290" t="s">
        <v>11</v>
      </c>
      <c r="D10290">
        <v>1</v>
      </c>
      <c r="E10290" s="2">
        <v>3.8194444444444446E-4</v>
      </c>
      <c r="F10290">
        <v>0.55000000000000004</v>
      </c>
    </row>
    <row r="10291" spans="1:6" x14ac:dyDescent="0.25">
      <c r="A10291" s="1">
        <v>42064</v>
      </c>
      <c r="B10291" t="s">
        <v>18</v>
      </c>
      <c r="C10291" t="s">
        <v>6</v>
      </c>
      <c r="D10291">
        <v>64</v>
      </c>
      <c r="E10291" s="2">
        <v>7.0428240740740736E-2</v>
      </c>
      <c r="F10291">
        <v>101.41666666666667</v>
      </c>
    </row>
    <row r="10292" spans="1:6" x14ac:dyDescent="0.25">
      <c r="A10292" s="1">
        <v>42064</v>
      </c>
      <c r="B10292" t="s">
        <v>18</v>
      </c>
      <c r="C10292" t="s">
        <v>7</v>
      </c>
      <c r="D10292">
        <v>99</v>
      </c>
      <c r="E10292" s="2">
        <v>9.7638888888888886E-2</v>
      </c>
      <c r="F10292">
        <v>140.6</v>
      </c>
    </row>
    <row r="10293" spans="1:6" x14ac:dyDescent="0.25">
      <c r="A10293" s="1">
        <v>42064</v>
      </c>
      <c r="B10293" t="s">
        <v>18</v>
      </c>
      <c r="C10293" t="s">
        <v>8</v>
      </c>
      <c r="D10293">
        <v>38</v>
      </c>
      <c r="E10293" s="2">
        <v>3.4513888888888886E-2</v>
      </c>
      <c r="F10293">
        <v>49.7</v>
      </c>
    </row>
    <row r="10294" spans="1:6" x14ac:dyDescent="0.25">
      <c r="A10294" s="1">
        <v>42064</v>
      </c>
      <c r="B10294" t="s">
        <v>18</v>
      </c>
      <c r="C10294" t="s">
        <v>9</v>
      </c>
      <c r="D10294">
        <v>42</v>
      </c>
      <c r="E10294" s="2">
        <v>3.0289351851851852E-2</v>
      </c>
      <c r="F10294">
        <v>43.616666666666667</v>
      </c>
    </row>
    <row r="10295" spans="1:6" x14ac:dyDescent="0.25">
      <c r="A10295" s="1">
        <v>42064</v>
      </c>
      <c r="B10295" t="s">
        <v>18</v>
      </c>
      <c r="C10295" t="s">
        <v>10</v>
      </c>
      <c r="D10295">
        <v>160</v>
      </c>
      <c r="E10295" s="2">
        <v>0.18592592592592594</v>
      </c>
      <c r="F10295">
        <v>267.73333333333335</v>
      </c>
    </row>
    <row r="10296" spans="1:6" x14ac:dyDescent="0.25">
      <c r="A10296" s="1">
        <v>42064</v>
      </c>
      <c r="B10296" t="s">
        <v>18</v>
      </c>
      <c r="C10296" t="s">
        <v>11</v>
      </c>
      <c r="D10296">
        <v>55</v>
      </c>
      <c r="E10296" s="2">
        <v>4.912037037037037E-2</v>
      </c>
      <c r="F10296">
        <v>70.733333333333334</v>
      </c>
    </row>
    <row r="10297" spans="1:6" x14ac:dyDescent="0.25">
      <c r="A10297" s="1">
        <v>42064</v>
      </c>
      <c r="B10297" t="s">
        <v>19</v>
      </c>
      <c r="C10297" t="s">
        <v>6</v>
      </c>
      <c r="D10297">
        <v>11</v>
      </c>
      <c r="E10297" s="2">
        <v>9.8263888888888897E-3</v>
      </c>
      <c r="F10297">
        <v>14.15</v>
      </c>
    </row>
    <row r="10298" spans="1:6" x14ac:dyDescent="0.25">
      <c r="A10298" s="1">
        <v>42064</v>
      </c>
      <c r="B10298" t="s">
        <v>19</v>
      </c>
      <c r="C10298" t="s">
        <v>7</v>
      </c>
      <c r="D10298">
        <v>21</v>
      </c>
      <c r="E10298" s="2">
        <v>2.8125000000000001E-2</v>
      </c>
      <c r="F10298">
        <v>40.5</v>
      </c>
    </row>
    <row r="10299" spans="1:6" x14ac:dyDescent="0.25">
      <c r="A10299" s="1">
        <v>42064</v>
      </c>
      <c r="B10299" t="s">
        <v>19</v>
      </c>
      <c r="C10299" t="s">
        <v>8</v>
      </c>
      <c r="D10299">
        <v>18</v>
      </c>
      <c r="E10299" s="2">
        <v>1.5972222222222221E-2</v>
      </c>
      <c r="F10299">
        <v>23</v>
      </c>
    </row>
    <row r="10300" spans="1:6" x14ac:dyDescent="0.25">
      <c r="A10300" s="1">
        <v>42064</v>
      </c>
      <c r="B10300" t="s">
        <v>19</v>
      </c>
      <c r="C10300" t="s">
        <v>9</v>
      </c>
      <c r="D10300">
        <v>18</v>
      </c>
      <c r="E10300" s="2">
        <v>1.2060185185185186E-2</v>
      </c>
      <c r="F10300">
        <v>17.366666666666667</v>
      </c>
    </row>
    <row r="10301" spans="1:6" x14ac:dyDescent="0.25">
      <c r="A10301" s="1">
        <v>42064</v>
      </c>
      <c r="B10301" t="s">
        <v>19</v>
      </c>
      <c r="C10301" t="s">
        <v>10</v>
      </c>
      <c r="D10301">
        <v>13</v>
      </c>
      <c r="E10301" s="2">
        <v>1.3506944444444445E-2</v>
      </c>
      <c r="F10301">
        <v>19.45</v>
      </c>
    </row>
    <row r="10302" spans="1:6" x14ac:dyDescent="0.25">
      <c r="A10302" s="1">
        <v>42064</v>
      </c>
      <c r="B10302" t="s">
        <v>19</v>
      </c>
      <c r="C10302" t="s">
        <v>11</v>
      </c>
      <c r="D10302">
        <v>27</v>
      </c>
      <c r="E10302" s="2">
        <v>2.4050925925925927E-2</v>
      </c>
      <c r="F10302">
        <v>34.633333333333333</v>
      </c>
    </row>
    <row r="10303" spans="1:6" x14ac:dyDescent="0.25">
      <c r="A10303" s="1">
        <v>42064</v>
      </c>
      <c r="B10303" t="s">
        <v>20</v>
      </c>
      <c r="C10303" t="s">
        <v>6</v>
      </c>
      <c r="D10303">
        <v>102</v>
      </c>
      <c r="E10303" s="2">
        <v>0.12689814814814815</v>
      </c>
      <c r="F10303">
        <v>182.73333333333332</v>
      </c>
    </row>
    <row r="10304" spans="1:6" x14ac:dyDescent="0.25">
      <c r="A10304" s="1">
        <v>42064</v>
      </c>
      <c r="B10304" t="s">
        <v>20</v>
      </c>
      <c r="C10304" t="s">
        <v>7</v>
      </c>
      <c r="D10304">
        <v>138</v>
      </c>
      <c r="E10304" s="2">
        <v>0.19475694444444444</v>
      </c>
      <c r="F10304">
        <v>280.45</v>
      </c>
    </row>
    <row r="10305" spans="1:6" x14ac:dyDescent="0.25">
      <c r="A10305" s="1">
        <v>42064</v>
      </c>
      <c r="B10305" t="s">
        <v>20</v>
      </c>
      <c r="C10305" t="s">
        <v>8</v>
      </c>
      <c r="D10305">
        <v>58</v>
      </c>
      <c r="E10305" s="2">
        <v>5.7199074074074076E-2</v>
      </c>
      <c r="F10305">
        <v>82.36666666666666</v>
      </c>
    </row>
    <row r="10306" spans="1:6" x14ac:dyDescent="0.25">
      <c r="A10306" s="1">
        <v>42064</v>
      </c>
      <c r="B10306" t="s">
        <v>20</v>
      </c>
      <c r="C10306" t="s">
        <v>9</v>
      </c>
      <c r="D10306">
        <v>34</v>
      </c>
      <c r="E10306" s="2">
        <v>2.3194444444444445E-2</v>
      </c>
      <c r="F10306">
        <v>33.4</v>
      </c>
    </row>
    <row r="10307" spans="1:6" x14ac:dyDescent="0.25">
      <c r="A10307" s="1">
        <v>42064</v>
      </c>
      <c r="B10307" t="s">
        <v>20</v>
      </c>
      <c r="C10307" t="s">
        <v>10</v>
      </c>
      <c r="D10307">
        <v>15</v>
      </c>
      <c r="E10307" s="2">
        <v>1.9143518518518518E-2</v>
      </c>
      <c r="F10307">
        <v>27.566666666666666</v>
      </c>
    </row>
    <row r="10308" spans="1:6" x14ac:dyDescent="0.25">
      <c r="A10308" s="1">
        <v>42064</v>
      </c>
      <c r="B10308" t="s">
        <v>20</v>
      </c>
      <c r="C10308" t="s">
        <v>11</v>
      </c>
      <c r="D10308">
        <v>91</v>
      </c>
      <c r="E10308" s="2">
        <v>9.6817129629629628E-2</v>
      </c>
      <c r="F10308">
        <v>139.41666666666666</v>
      </c>
    </row>
    <row r="10309" spans="1:6" x14ac:dyDescent="0.25">
      <c r="A10309" s="1">
        <v>42064</v>
      </c>
      <c r="B10309" t="s">
        <v>21</v>
      </c>
      <c r="C10309" t="s">
        <v>6</v>
      </c>
      <c r="D10309">
        <v>29</v>
      </c>
      <c r="E10309" s="2">
        <v>3.8541666666666669E-2</v>
      </c>
      <c r="F10309">
        <v>55.5</v>
      </c>
    </row>
    <row r="10310" spans="1:6" x14ac:dyDescent="0.25">
      <c r="A10310" s="1">
        <v>42064</v>
      </c>
      <c r="B10310" t="s">
        <v>21</v>
      </c>
      <c r="C10310" t="s">
        <v>7</v>
      </c>
      <c r="D10310">
        <v>25</v>
      </c>
      <c r="E10310" s="2">
        <v>3.1597222222222221E-2</v>
      </c>
      <c r="F10310">
        <v>45.5</v>
      </c>
    </row>
    <row r="10311" spans="1:6" x14ac:dyDescent="0.25">
      <c r="A10311" s="1">
        <v>42064</v>
      </c>
      <c r="B10311" t="s">
        <v>21</v>
      </c>
      <c r="C10311" t="s">
        <v>8</v>
      </c>
      <c r="D10311">
        <v>17</v>
      </c>
      <c r="E10311" s="2">
        <v>2.0543981481481483E-2</v>
      </c>
      <c r="F10311">
        <v>29.583333333333332</v>
      </c>
    </row>
    <row r="10312" spans="1:6" x14ac:dyDescent="0.25">
      <c r="A10312" s="1">
        <v>42064</v>
      </c>
      <c r="B10312" t="s">
        <v>21</v>
      </c>
      <c r="C10312" t="s">
        <v>9</v>
      </c>
      <c r="D10312">
        <v>7</v>
      </c>
      <c r="E10312" s="2">
        <v>3.9236111111111112E-3</v>
      </c>
      <c r="F10312">
        <v>5.65</v>
      </c>
    </row>
    <row r="10313" spans="1:6" x14ac:dyDescent="0.25">
      <c r="A10313" s="1">
        <v>42064</v>
      </c>
      <c r="B10313" t="s">
        <v>21</v>
      </c>
      <c r="C10313" t="s">
        <v>10</v>
      </c>
      <c r="D10313">
        <v>2</v>
      </c>
      <c r="E10313" s="2">
        <v>2.7314814814814814E-3</v>
      </c>
      <c r="F10313">
        <v>3.9333333333333336</v>
      </c>
    </row>
    <row r="10314" spans="1:6" x14ac:dyDescent="0.25">
      <c r="A10314" s="1">
        <v>42064</v>
      </c>
      <c r="B10314" t="s">
        <v>21</v>
      </c>
      <c r="C10314" t="s">
        <v>11</v>
      </c>
      <c r="D10314">
        <v>23</v>
      </c>
      <c r="E10314" s="2">
        <v>2.539351851851852E-2</v>
      </c>
      <c r="F10314">
        <v>36.56666666666667</v>
      </c>
    </row>
    <row r="10315" spans="1:6" x14ac:dyDescent="0.25">
      <c r="A10315" s="1">
        <v>42064</v>
      </c>
      <c r="B10315" t="s">
        <v>22</v>
      </c>
      <c r="C10315" t="s">
        <v>6</v>
      </c>
      <c r="D10315">
        <v>14</v>
      </c>
      <c r="E10315" s="2">
        <v>2.0613425925925927E-2</v>
      </c>
      <c r="F10315">
        <v>29.683333333333334</v>
      </c>
    </row>
    <row r="10316" spans="1:6" x14ac:dyDescent="0.25">
      <c r="A10316" s="1">
        <v>42064</v>
      </c>
      <c r="B10316" t="s">
        <v>22</v>
      </c>
      <c r="C10316" t="s">
        <v>7</v>
      </c>
      <c r="D10316">
        <v>25</v>
      </c>
      <c r="E10316" s="2">
        <v>3.4618055555555555E-2</v>
      </c>
      <c r="F10316">
        <v>49.85</v>
      </c>
    </row>
    <row r="10317" spans="1:6" x14ac:dyDescent="0.25">
      <c r="A10317" s="1">
        <v>42064</v>
      </c>
      <c r="B10317" t="s">
        <v>22</v>
      </c>
      <c r="C10317" t="s">
        <v>8</v>
      </c>
      <c r="D10317">
        <v>12</v>
      </c>
      <c r="E10317" s="2">
        <v>1.1643518518518518E-2</v>
      </c>
      <c r="F10317">
        <v>16.766666666666666</v>
      </c>
    </row>
    <row r="10318" spans="1:6" x14ac:dyDescent="0.25">
      <c r="A10318" s="1">
        <v>42064</v>
      </c>
      <c r="B10318" t="s">
        <v>22</v>
      </c>
      <c r="C10318" t="s">
        <v>9</v>
      </c>
      <c r="D10318">
        <v>3</v>
      </c>
      <c r="E10318" s="2">
        <v>1.5625000000000001E-3</v>
      </c>
      <c r="F10318">
        <v>2.25</v>
      </c>
    </row>
    <row r="10319" spans="1:6" x14ac:dyDescent="0.25">
      <c r="A10319" s="1">
        <v>42064</v>
      </c>
      <c r="B10319" t="s">
        <v>22</v>
      </c>
      <c r="C10319" t="s">
        <v>10</v>
      </c>
      <c r="D10319">
        <v>4</v>
      </c>
      <c r="E10319" s="2">
        <v>5.3009259259259259E-3</v>
      </c>
      <c r="F10319">
        <v>7.6333333333333329</v>
      </c>
    </row>
    <row r="10320" spans="1:6" x14ac:dyDescent="0.25">
      <c r="A10320" s="1">
        <v>42064</v>
      </c>
      <c r="B10320" t="s">
        <v>22</v>
      </c>
      <c r="C10320" t="s">
        <v>11</v>
      </c>
      <c r="D10320">
        <v>17</v>
      </c>
      <c r="E10320" s="2">
        <v>2.375E-2</v>
      </c>
      <c r="F10320">
        <v>34.200000000000003</v>
      </c>
    </row>
    <row r="10321" spans="1:6" x14ac:dyDescent="0.25">
      <c r="A10321" s="1">
        <v>42064</v>
      </c>
      <c r="B10321" t="s">
        <v>23</v>
      </c>
      <c r="C10321" t="s">
        <v>6</v>
      </c>
      <c r="D10321">
        <v>91</v>
      </c>
      <c r="E10321" s="2">
        <v>0.11886574074074074</v>
      </c>
      <c r="F10321">
        <v>171.16666666666666</v>
      </c>
    </row>
    <row r="10322" spans="1:6" x14ac:dyDescent="0.25">
      <c r="A10322" s="1">
        <v>42064</v>
      </c>
      <c r="B10322" t="s">
        <v>23</v>
      </c>
      <c r="C10322" t="s">
        <v>7</v>
      </c>
      <c r="D10322">
        <v>83</v>
      </c>
      <c r="E10322" s="2">
        <v>0.14341435185185186</v>
      </c>
      <c r="F10322">
        <v>206.51666666666668</v>
      </c>
    </row>
    <row r="10323" spans="1:6" x14ac:dyDescent="0.25">
      <c r="A10323" s="1">
        <v>42064</v>
      </c>
      <c r="B10323" t="s">
        <v>23</v>
      </c>
      <c r="C10323" t="s">
        <v>8</v>
      </c>
      <c r="D10323">
        <v>68</v>
      </c>
      <c r="E10323" s="2">
        <v>7.4907407407407409E-2</v>
      </c>
      <c r="F10323">
        <v>107.86666666666666</v>
      </c>
    </row>
    <row r="10324" spans="1:6" x14ac:dyDescent="0.25">
      <c r="A10324" s="1">
        <v>42064</v>
      </c>
      <c r="B10324" t="s">
        <v>23</v>
      </c>
      <c r="C10324" t="s">
        <v>9</v>
      </c>
      <c r="D10324">
        <v>39</v>
      </c>
      <c r="E10324" s="2">
        <v>2.5902777777777778E-2</v>
      </c>
      <c r="F10324">
        <v>37.299999999999997</v>
      </c>
    </row>
    <row r="10325" spans="1:6" x14ac:dyDescent="0.25">
      <c r="A10325" s="1">
        <v>42064</v>
      </c>
      <c r="B10325" t="s">
        <v>23</v>
      </c>
      <c r="C10325" t="s">
        <v>10</v>
      </c>
      <c r="D10325">
        <v>40</v>
      </c>
      <c r="E10325" s="2">
        <v>6.3599537037037038E-2</v>
      </c>
      <c r="F10325">
        <v>91.583333333333329</v>
      </c>
    </row>
    <row r="10326" spans="1:6" x14ac:dyDescent="0.25">
      <c r="A10326" s="1">
        <v>42064</v>
      </c>
      <c r="B10326" t="s">
        <v>23</v>
      </c>
      <c r="C10326" t="s">
        <v>11</v>
      </c>
      <c r="D10326">
        <v>94</v>
      </c>
      <c r="E10326" s="2">
        <v>9.2384259259259263E-2</v>
      </c>
      <c r="F10326">
        <v>133.03333333333333</v>
      </c>
    </row>
    <row r="10327" spans="1:6" x14ac:dyDescent="0.25">
      <c r="A10327" s="1">
        <v>42064</v>
      </c>
      <c r="B10327" t="s">
        <v>24</v>
      </c>
      <c r="C10327" t="s">
        <v>6</v>
      </c>
      <c r="D10327">
        <v>36</v>
      </c>
      <c r="E10327" s="2">
        <v>4.4282407407407409E-2</v>
      </c>
      <c r="F10327">
        <v>63.766666666666666</v>
      </c>
    </row>
    <row r="10328" spans="1:6" x14ac:dyDescent="0.25">
      <c r="A10328" s="1">
        <v>42064</v>
      </c>
      <c r="B10328" t="s">
        <v>24</v>
      </c>
      <c r="C10328" t="s">
        <v>7</v>
      </c>
      <c r="D10328">
        <v>34</v>
      </c>
      <c r="E10328" s="2">
        <v>1.863425925925926E-2</v>
      </c>
      <c r="F10328">
        <v>26.833333333333332</v>
      </c>
    </row>
    <row r="10329" spans="1:6" x14ac:dyDescent="0.25">
      <c r="A10329" s="1">
        <v>42064</v>
      </c>
      <c r="B10329" t="s">
        <v>24</v>
      </c>
      <c r="C10329" t="s">
        <v>8</v>
      </c>
      <c r="D10329">
        <v>34</v>
      </c>
      <c r="E10329" s="2">
        <v>2.5358796296296296E-2</v>
      </c>
      <c r="F10329">
        <v>36.516666666666666</v>
      </c>
    </row>
    <row r="10330" spans="1:6" x14ac:dyDescent="0.25">
      <c r="A10330" s="1">
        <v>42064</v>
      </c>
      <c r="B10330" t="s">
        <v>24</v>
      </c>
      <c r="C10330" t="s">
        <v>9</v>
      </c>
      <c r="D10330">
        <v>41</v>
      </c>
      <c r="E10330" s="2">
        <v>3.1516203703703706E-2</v>
      </c>
      <c r="F10330">
        <v>45.383333333333333</v>
      </c>
    </row>
    <row r="10331" spans="1:6" x14ac:dyDescent="0.25">
      <c r="A10331" s="1">
        <v>42064</v>
      </c>
      <c r="B10331" t="s">
        <v>24</v>
      </c>
      <c r="C10331" t="s">
        <v>10</v>
      </c>
      <c r="D10331">
        <v>1</v>
      </c>
      <c r="E10331" s="2">
        <v>1.6319444444444445E-3</v>
      </c>
      <c r="F10331">
        <v>2.35</v>
      </c>
    </row>
    <row r="10332" spans="1:6" x14ac:dyDescent="0.25">
      <c r="A10332" s="1">
        <v>42064</v>
      </c>
      <c r="B10332" t="s">
        <v>24</v>
      </c>
      <c r="C10332" t="s">
        <v>11</v>
      </c>
      <c r="D10332">
        <v>27</v>
      </c>
      <c r="E10332" s="2">
        <v>1.8541666666666668E-2</v>
      </c>
      <c r="F10332">
        <v>26.7</v>
      </c>
    </row>
    <row r="10333" spans="1:6" x14ac:dyDescent="0.25">
      <c r="A10333" s="1">
        <v>42095</v>
      </c>
      <c r="B10333" t="s">
        <v>5</v>
      </c>
      <c r="C10333" t="s">
        <v>6</v>
      </c>
      <c r="D10333">
        <v>69</v>
      </c>
      <c r="E10333" s="2">
        <v>7.694444444444444E-2</v>
      </c>
      <c r="F10333">
        <v>110.8</v>
      </c>
    </row>
    <row r="10334" spans="1:6" x14ac:dyDescent="0.25">
      <c r="A10334" s="1">
        <v>42095</v>
      </c>
      <c r="B10334" t="s">
        <v>5</v>
      </c>
      <c r="C10334" t="s">
        <v>7</v>
      </c>
      <c r="D10334">
        <v>64</v>
      </c>
      <c r="E10334" s="2">
        <v>6.9004629629629624E-2</v>
      </c>
      <c r="F10334">
        <v>99.36666666666666</v>
      </c>
    </row>
    <row r="10335" spans="1:6" x14ac:dyDescent="0.25">
      <c r="A10335" s="1">
        <v>42095</v>
      </c>
      <c r="B10335" t="s">
        <v>5</v>
      </c>
      <c r="C10335" t="s">
        <v>8</v>
      </c>
      <c r="D10335">
        <v>53</v>
      </c>
      <c r="E10335" s="2">
        <v>5.1203703703703703E-2</v>
      </c>
      <c r="F10335">
        <v>73.733333333333334</v>
      </c>
    </row>
    <row r="10336" spans="1:6" x14ac:dyDescent="0.25">
      <c r="A10336" s="1">
        <v>42095</v>
      </c>
      <c r="B10336" t="s">
        <v>5</v>
      </c>
      <c r="C10336" t="s">
        <v>9</v>
      </c>
      <c r="D10336">
        <v>25</v>
      </c>
      <c r="E10336" s="2">
        <v>1.9722222222222221E-2</v>
      </c>
      <c r="F10336">
        <v>28.4</v>
      </c>
    </row>
    <row r="10337" spans="1:6" x14ac:dyDescent="0.25">
      <c r="A10337" s="1">
        <v>42095</v>
      </c>
      <c r="B10337" t="s">
        <v>5</v>
      </c>
      <c r="C10337" t="s">
        <v>10</v>
      </c>
      <c r="D10337">
        <v>12</v>
      </c>
      <c r="E10337" s="2">
        <v>1.2662037037037038E-2</v>
      </c>
      <c r="F10337">
        <v>18.233333333333334</v>
      </c>
    </row>
    <row r="10338" spans="1:6" x14ac:dyDescent="0.25">
      <c r="A10338" s="1">
        <v>42095</v>
      </c>
      <c r="B10338" t="s">
        <v>5</v>
      </c>
      <c r="C10338" t="s">
        <v>11</v>
      </c>
      <c r="D10338">
        <v>57</v>
      </c>
      <c r="E10338" s="2">
        <v>4.9143518518518517E-2</v>
      </c>
      <c r="F10338">
        <v>70.766666666666666</v>
      </c>
    </row>
    <row r="10339" spans="1:6" x14ac:dyDescent="0.25">
      <c r="A10339" s="1">
        <v>42095</v>
      </c>
      <c r="B10339" t="s">
        <v>12</v>
      </c>
      <c r="C10339" t="s">
        <v>6</v>
      </c>
      <c r="D10339">
        <v>43</v>
      </c>
      <c r="E10339" s="2">
        <v>6.3298611111111111E-2</v>
      </c>
      <c r="F10339">
        <v>91.15</v>
      </c>
    </row>
    <row r="10340" spans="1:6" x14ac:dyDescent="0.25">
      <c r="A10340" s="1">
        <v>42095</v>
      </c>
      <c r="B10340" t="s">
        <v>12</v>
      </c>
      <c r="C10340" t="s">
        <v>7</v>
      </c>
      <c r="D10340">
        <v>36</v>
      </c>
      <c r="E10340" s="2">
        <v>7.6122685185185182E-2</v>
      </c>
      <c r="F10340">
        <v>109.61666666666666</v>
      </c>
    </row>
    <row r="10341" spans="1:6" x14ac:dyDescent="0.25">
      <c r="A10341" s="1">
        <v>42095</v>
      </c>
      <c r="B10341" t="s">
        <v>12</v>
      </c>
      <c r="C10341" t="s">
        <v>8</v>
      </c>
      <c r="D10341">
        <v>36</v>
      </c>
      <c r="E10341" s="2">
        <v>4.3090277777777776E-2</v>
      </c>
      <c r="F10341">
        <v>62.05</v>
      </c>
    </row>
    <row r="10342" spans="1:6" x14ac:dyDescent="0.25">
      <c r="A10342" s="1">
        <v>42095</v>
      </c>
      <c r="B10342" t="s">
        <v>12</v>
      </c>
      <c r="C10342" t="s">
        <v>9</v>
      </c>
      <c r="D10342">
        <v>34</v>
      </c>
      <c r="E10342" s="2">
        <v>2.9560185185185186E-2</v>
      </c>
      <c r="F10342">
        <v>42.56666666666667</v>
      </c>
    </row>
    <row r="10343" spans="1:6" x14ac:dyDescent="0.25">
      <c r="A10343" s="1">
        <v>42095</v>
      </c>
      <c r="B10343" t="s">
        <v>12</v>
      </c>
      <c r="C10343" t="s">
        <v>10</v>
      </c>
      <c r="D10343">
        <v>26</v>
      </c>
      <c r="E10343" s="2">
        <v>4.7268518518518515E-2</v>
      </c>
      <c r="F10343">
        <v>68.066666666666663</v>
      </c>
    </row>
    <row r="10344" spans="1:6" x14ac:dyDescent="0.25">
      <c r="A10344" s="1">
        <v>42095</v>
      </c>
      <c r="B10344" t="s">
        <v>12</v>
      </c>
      <c r="C10344" t="s">
        <v>11</v>
      </c>
      <c r="D10344">
        <v>39</v>
      </c>
      <c r="E10344" s="2">
        <v>5.122685185185185E-2</v>
      </c>
      <c r="F10344">
        <v>73.766666666666666</v>
      </c>
    </row>
    <row r="10345" spans="1:6" x14ac:dyDescent="0.25">
      <c r="A10345" s="1">
        <v>42095</v>
      </c>
      <c r="B10345" t="s">
        <v>13</v>
      </c>
      <c r="C10345" t="s">
        <v>6</v>
      </c>
      <c r="D10345">
        <v>44</v>
      </c>
      <c r="E10345" s="2">
        <v>5.4618055555555559E-2</v>
      </c>
      <c r="F10345">
        <v>78.650000000000006</v>
      </c>
    </row>
    <row r="10346" spans="1:6" x14ac:dyDescent="0.25">
      <c r="A10346" s="1">
        <v>42095</v>
      </c>
      <c r="B10346" t="s">
        <v>13</v>
      </c>
      <c r="C10346" t="s">
        <v>7</v>
      </c>
      <c r="D10346">
        <v>80</v>
      </c>
      <c r="E10346" s="2">
        <v>0.12613425925925925</v>
      </c>
      <c r="F10346">
        <v>181.63333333333333</v>
      </c>
    </row>
    <row r="10347" spans="1:6" x14ac:dyDescent="0.25">
      <c r="A10347" s="1">
        <v>42095</v>
      </c>
      <c r="B10347" t="s">
        <v>13</v>
      </c>
      <c r="C10347" t="s">
        <v>8</v>
      </c>
      <c r="D10347">
        <v>50</v>
      </c>
      <c r="E10347" s="2">
        <v>6.3333333333333339E-2</v>
      </c>
      <c r="F10347">
        <v>91.2</v>
      </c>
    </row>
    <row r="10348" spans="1:6" x14ac:dyDescent="0.25">
      <c r="A10348" s="1">
        <v>42095</v>
      </c>
      <c r="B10348" t="s">
        <v>13</v>
      </c>
      <c r="C10348" t="s">
        <v>9</v>
      </c>
      <c r="D10348">
        <v>15</v>
      </c>
      <c r="E10348" s="2">
        <v>9.5833333333333326E-3</v>
      </c>
      <c r="F10348">
        <v>13.8</v>
      </c>
    </row>
    <row r="10349" spans="1:6" x14ac:dyDescent="0.25">
      <c r="A10349" s="1">
        <v>42095</v>
      </c>
      <c r="B10349" t="s">
        <v>13</v>
      </c>
      <c r="C10349" t="s">
        <v>10</v>
      </c>
      <c r="D10349">
        <v>17</v>
      </c>
      <c r="E10349" s="2">
        <v>2.3969907407407409E-2</v>
      </c>
      <c r="F10349">
        <v>34.516666666666666</v>
      </c>
    </row>
    <row r="10350" spans="1:6" x14ac:dyDescent="0.25">
      <c r="A10350" s="1">
        <v>42095</v>
      </c>
      <c r="B10350" t="s">
        <v>13</v>
      </c>
      <c r="C10350" t="s">
        <v>11</v>
      </c>
      <c r="D10350">
        <v>40</v>
      </c>
      <c r="E10350" s="2">
        <v>4.2916666666666665E-2</v>
      </c>
      <c r="F10350">
        <v>61.8</v>
      </c>
    </row>
    <row r="10351" spans="1:6" x14ac:dyDescent="0.25">
      <c r="A10351" s="1">
        <v>42095</v>
      </c>
      <c r="B10351" t="s">
        <v>14</v>
      </c>
      <c r="C10351" t="s">
        <v>6</v>
      </c>
      <c r="D10351">
        <v>13</v>
      </c>
      <c r="E10351" s="2">
        <v>2.1145833333333332E-2</v>
      </c>
      <c r="F10351">
        <v>30.45</v>
      </c>
    </row>
    <row r="10352" spans="1:6" x14ac:dyDescent="0.25">
      <c r="A10352" s="1">
        <v>42095</v>
      </c>
      <c r="B10352" t="s">
        <v>14</v>
      </c>
      <c r="C10352" t="s">
        <v>7</v>
      </c>
      <c r="D10352">
        <v>10</v>
      </c>
      <c r="E10352" s="2">
        <v>2.0902777777777777E-2</v>
      </c>
      <c r="F10352">
        <v>30.1</v>
      </c>
    </row>
    <row r="10353" spans="1:6" x14ac:dyDescent="0.25">
      <c r="A10353" s="1">
        <v>42095</v>
      </c>
      <c r="B10353" t="s">
        <v>14</v>
      </c>
      <c r="C10353" t="s">
        <v>8</v>
      </c>
      <c r="D10353">
        <v>4</v>
      </c>
      <c r="E10353" s="2">
        <v>7.3263888888888892E-3</v>
      </c>
      <c r="F10353">
        <v>10.55</v>
      </c>
    </row>
    <row r="10354" spans="1:6" x14ac:dyDescent="0.25">
      <c r="A10354" s="1">
        <v>42095</v>
      </c>
      <c r="B10354" t="s">
        <v>14</v>
      </c>
      <c r="C10354" t="s">
        <v>9</v>
      </c>
      <c r="D10354">
        <v>0</v>
      </c>
      <c r="E10354" s="2">
        <v>0</v>
      </c>
      <c r="F10354">
        <v>0</v>
      </c>
    </row>
    <row r="10355" spans="1:6" x14ac:dyDescent="0.25">
      <c r="A10355" s="1">
        <v>42095</v>
      </c>
      <c r="B10355" t="s">
        <v>14</v>
      </c>
      <c r="C10355" t="s">
        <v>10</v>
      </c>
      <c r="D10355">
        <v>3</v>
      </c>
      <c r="E10355" s="2">
        <v>5.2314814814814811E-3</v>
      </c>
      <c r="F10355">
        <v>7.5333333333333332</v>
      </c>
    </row>
    <row r="10356" spans="1:6" x14ac:dyDescent="0.25">
      <c r="A10356" s="1">
        <v>42095</v>
      </c>
      <c r="B10356" t="s">
        <v>14</v>
      </c>
      <c r="C10356" t="s">
        <v>11</v>
      </c>
      <c r="D10356">
        <v>4</v>
      </c>
      <c r="E10356" s="2">
        <v>3.2870370370370371E-3</v>
      </c>
      <c r="F10356">
        <v>4.7333333333333334</v>
      </c>
    </row>
    <row r="10357" spans="1:6" x14ac:dyDescent="0.25">
      <c r="A10357" s="1">
        <v>42095</v>
      </c>
      <c r="B10357" t="s">
        <v>15</v>
      </c>
      <c r="C10357" t="s">
        <v>6</v>
      </c>
      <c r="D10357">
        <v>17</v>
      </c>
      <c r="E10357" s="2">
        <v>2.0520833333333332E-2</v>
      </c>
      <c r="F10357">
        <v>29.55</v>
      </c>
    </row>
    <row r="10358" spans="1:6" x14ac:dyDescent="0.25">
      <c r="A10358" s="1">
        <v>42095</v>
      </c>
      <c r="B10358" t="s">
        <v>15</v>
      </c>
      <c r="C10358" t="s">
        <v>7</v>
      </c>
      <c r="D10358">
        <v>17</v>
      </c>
      <c r="E10358" s="2">
        <v>2.2025462962962962E-2</v>
      </c>
      <c r="F10358">
        <v>31.716666666666665</v>
      </c>
    </row>
    <row r="10359" spans="1:6" x14ac:dyDescent="0.25">
      <c r="A10359" s="1">
        <v>42095</v>
      </c>
      <c r="B10359" t="s">
        <v>15</v>
      </c>
      <c r="C10359" t="s">
        <v>8</v>
      </c>
      <c r="D10359">
        <v>7</v>
      </c>
      <c r="E10359" s="2">
        <v>8.5763888888888886E-3</v>
      </c>
      <c r="F10359">
        <v>12.35</v>
      </c>
    </row>
    <row r="10360" spans="1:6" x14ac:dyDescent="0.25">
      <c r="A10360" s="1">
        <v>42095</v>
      </c>
      <c r="B10360" t="s">
        <v>15</v>
      </c>
      <c r="C10360" t="s">
        <v>9</v>
      </c>
      <c r="D10360">
        <v>6</v>
      </c>
      <c r="E10360" s="2">
        <v>3.9699074074074072E-3</v>
      </c>
      <c r="F10360">
        <v>5.7166666666666668</v>
      </c>
    </row>
    <row r="10361" spans="1:6" x14ac:dyDescent="0.25">
      <c r="A10361" s="1">
        <v>42095</v>
      </c>
      <c r="B10361" t="s">
        <v>15</v>
      </c>
      <c r="C10361" t="s">
        <v>10</v>
      </c>
      <c r="D10361">
        <v>2</v>
      </c>
      <c r="E10361" s="2">
        <v>2.8472222222222223E-3</v>
      </c>
      <c r="F10361">
        <v>4.0999999999999996</v>
      </c>
    </row>
    <row r="10362" spans="1:6" x14ac:dyDescent="0.25">
      <c r="A10362" s="1">
        <v>42095</v>
      </c>
      <c r="B10362" t="s">
        <v>15</v>
      </c>
      <c r="C10362" t="s">
        <v>11</v>
      </c>
      <c r="D10362">
        <v>11</v>
      </c>
      <c r="E10362" s="2">
        <v>9.8958333333333329E-3</v>
      </c>
      <c r="F10362">
        <v>14.25</v>
      </c>
    </row>
    <row r="10363" spans="1:6" x14ac:dyDescent="0.25">
      <c r="A10363" s="1">
        <v>42095</v>
      </c>
      <c r="B10363" t="s">
        <v>16</v>
      </c>
      <c r="C10363" t="s">
        <v>6</v>
      </c>
      <c r="D10363">
        <v>48</v>
      </c>
      <c r="E10363" s="2">
        <v>4.9791666666666665E-2</v>
      </c>
      <c r="F10363">
        <v>71.7</v>
      </c>
    </row>
    <row r="10364" spans="1:6" x14ac:dyDescent="0.25">
      <c r="A10364" s="1">
        <v>42095</v>
      </c>
      <c r="B10364" t="s">
        <v>16</v>
      </c>
      <c r="C10364" t="s">
        <v>7</v>
      </c>
      <c r="D10364">
        <v>51</v>
      </c>
      <c r="E10364" s="2">
        <v>5.5428240740740743E-2</v>
      </c>
      <c r="F10364">
        <v>79.816666666666663</v>
      </c>
    </row>
    <row r="10365" spans="1:6" x14ac:dyDescent="0.25">
      <c r="A10365" s="1">
        <v>42095</v>
      </c>
      <c r="B10365" t="s">
        <v>16</v>
      </c>
      <c r="C10365" t="s">
        <v>8</v>
      </c>
      <c r="D10365">
        <v>45</v>
      </c>
      <c r="E10365" s="2">
        <v>3.7488425925925925E-2</v>
      </c>
      <c r="F10365">
        <v>53.983333333333334</v>
      </c>
    </row>
    <row r="10366" spans="1:6" x14ac:dyDescent="0.25">
      <c r="A10366" s="1">
        <v>42095</v>
      </c>
      <c r="B10366" t="s">
        <v>16</v>
      </c>
      <c r="C10366" t="s">
        <v>9</v>
      </c>
      <c r="D10366">
        <v>21</v>
      </c>
      <c r="E10366" s="2">
        <v>1.3182870370370371E-2</v>
      </c>
      <c r="F10366">
        <v>18.983333333333334</v>
      </c>
    </row>
    <row r="10367" spans="1:6" x14ac:dyDescent="0.25">
      <c r="A10367" s="1">
        <v>42095</v>
      </c>
      <c r="B10367" t="s">
        <v>16</v>
      </c>
      <c r="C10367" t="s">
        <v>10</v>
      </c>
      <c r="D10367">
        <v>2</v>
      </c>
      <c r="E10367" s="2">
        <v>4.1203703703703706E-3</v>
      </c>
      <c r="F10367">
        <v>5.9333333333333336</v>
      </c>
    </row>
    <row r="10368" spans="1:6" x14ac:dyDescent="0.25">
      <c r="A10368" s="1">
        <v>42095</v>
      </c>
      <c r="B10368" t="s">
        <v>16</v>
      </c>
      <c r="C10368" t="s">
        <v>11</v>
      </c>
      <c r="D10368">
        <v>54</v>
      </c>
      <c r="E10368" s="2">
        <v>4.2870370370370371E-2</v>
      </c>
      <c r="F10368">
        <v>61.733333333333334</v>
      </c>
    </row>
    <row r="10369" spans="1:6" x14ac:dyDescent="0.25">
      <c r="A10369" s="1">
        <v>42095</v>
      </c>
      <c r="B10369" t="s">
        <v>17</v>
      </c>
      <c r="C10369" t="s">
        <v>6</v>
      </c>
      <c r="D10369">
        <v>29</v>
      </c>
      <c r="E10369" s="2">
        <v>2.9953703703703705E-2</v>
      </c>
      <c r="F10369">
        <v>43.133333333333333</v>
      </c>
    </row>
    <row r="10370" spans="1:6" x14ac:dyDescent="0.25">
      <c r="A10370" s="1">
        <v>42095</v>
      </c>
      <c r="B10370" t="s">
        <v>17</v>
      </c>
      <c r="C10370" t="s">
        <v>7</v>
      </c>
      <c r="D10370">
        <v>26</v>
      </c>
      <c r="E10370" s="2">
        <v>2.9201388888888888E-2</v>
      </c>
      <c r="F10370">
        <v>42.05</v>
      </c>
    </row>
    <row r="10371" spans="1:6" x14ac:dyDescent="0.25">
      <c r="A10371" s="1">
        <v>42095</v>
      </c>
      <c r="B10371" t="s">
        <v>17</v>
      </c>
      <c r="C10371" t="s">
        <v>8</v>
      </c>
      <c r="D10371">
        <v>30</v>
      </c>
      <c r="E10371" s="2">
        <v>2.988425925925926E-2</v>
      </c>
      <c r="F10371">
        <v>43.033333333333331</v>
      </c>
    </row>
    <row r="10372" spans="1:6" x14ac:dyDescent="0.25">
      <c r="A10372" s="1">
        <v>42095</v>
      </c>
      <c r="B10372" t="s">
        <v>17</v>
      </c>
      <c r="C10372" t="s">
        <v>9</v>
      </c>
      <c r="D10372">
        <v>11</v>
      </c>
      <c r="E10372" s="2">
        <v>8.3796296296296292E-3</v>
      </c>
      <c r="F10372">
        <v>12.066666666666666</v>
      </c>
    </row>
    <row r="10373" spans="1:6" x14ac:dyDescent="0.25">
      <c r="A10373" s="1">
        <v>42095</v>
      </c>
      <c r="B10373" t="s">
        <v>17</v>
      </c>
      <c r="C10373" t="s">
        <v>10</v>
      </c>
      <c r="D10373">
        <v>24</v>
      </c>
      <c r="E10373" s="2">
        <v>3.0092592592592591E-2</v>
      </c>
      <c r="F10373">
        <v>43.333333333333336</v>
      </c>
    </row>
    <row r="10374" spans="1:6" x14ac:dyDescent="0.25">
      <c r="A10374" s="1">
        <v>42095</v>
      </c>
      <c r="B10374" t="s">
        <v>17</v>
      </c>
      <c r="C10374" t="s">
        <v>11</v>
      </c>
      <c r="D10374">
        <v>19</v>
      </c>
      <c r="E10374" s="2">
        <v>1.5879629629629629E-2</v>
      </c>
      <c r="F10374">
        <v>22.866666666666667</v>
      </c>
    </row>
    <row r="10375" spans="1:6" x14ac:dyDescent="0.25">
      <c r="A10375" s="1">
        <v>42095</v>
      </c>
      <c r="B10375" t="s">
        <v>18</v>
      </c>
      <c r="C10375" t="s">
        <v>6</v>
      </c>
      <c r="D10375">
        <v>32</v>
      </c>
      <c r="E10375" s="2">
        <v>4.1331018518518517E-2</v>
      </c>
      <c r="F10375">
        <v>59.516666666666666</v>
      </c>
    </row>
    <row r="10376" spans="1:6" x14ac:dyDescent="0.25">
      <c r="A10376" s="1">
        <v>42095</v>
      </c>
      <c r="B10376" t="s">
        <v>18</v>
      </c>
      <c r="C10376" t="s">
        <v>7</v>
      </c>
      <c r="D10376">
        <v>55</v>
      </c>
      <c r="E10376" s="2">
        <v>5.5023148148148147E-2</v>
      </c>
      <c r="F10376">
        <v>79.233333333333334</v>
      </c>
    </row>
    <row r="10377" spans="1:6" x14ac:dyDescent="0.25">
      <c r="A10377" s="1">
        <v>42095</v>
      </c>
      <c r="B10377" t="s">
        <v>18</v>
      </c>
      <c r="C10377" t="s">
        <v>8</v>
      </c>
      <c r="D10377">
        <v>19</v>
      </c>
      <c r="E10377" s="2">
        <v>1.6886574074074075E-2</v>
      </c>
      <c r="F10377">
        <v>24.316666666666666</v>
      </c>
    </row>
    <row r="10378" spans="1:6" x14ac:dyDescent="0.25">
      <c r="A10378" s="1">
        <v>42095</v>
      </c>
      <c r="B10378" t="s">
        <v>18</v>
      </c>
      <c r="C10378" t="s">
        <v>9</v>
      </c>
      <c r="D10378">
        <v>29</v>
      </c>
      <c r="E10378" s="2">
        <v>2.2754629629629628E-2</v>
      </c>
      <c r="F10378">
        <v>32.766666666666666</v>
      </c>
    </row>
    <row r="10379" spans="1:6" x14ac:dyDescent="0.25">
      <c r="A10379" s="1">
        <v>42095</v>
      </c>
      <c r="B10379" t="s">
        <v>18</v>
      </c>
      <c r="C10379" t="s">
        <v>10</v>
      </c>
      <c r="D10379">
        <v>88</v>
      </c>
      <c r="E10379" s="2">
        <v>0.11310185185185186</v>
      </c>
      <c r="F10379">
        <v>162.86666666666667</v>
      </c>
    </row>
    <row r="10380" spans="1:6" x14ac:dyDescent="0.25">
      <c r="A10380" s="1">
        <v>42095</v>
      </c>
      <c r="B10380" t="s">
        <v>18</v>
      </c>
      <c r="C10380" t="s">
        <v>11</v>
      </c>
      <c r="D10380">
        <v>35</v>
      </c>
      <c r="E10380" s="2">
        <v>2.7557870370370371E-2</v>
      </c>
      <c r="F10380">
        <v>39.68333333333333</v>
      </c>
    </row>
    <row r="10381" spans="1:6" x14ac:dyDescent="0.25">
      <c r="A10381" s="1">
        <v>42095</v>
      </c>
      <c r="B10381" t="s">
        <v>19</v>
      </c>
      <c r="C10381" t="s">
        <v>6</v>
      </c>
      <c r="D10381">
        <v>21</v>
      </c>
      <c r="E10381" s="2">
        <v>2.2499999999999999E-2</v>
      </c>
      <c r="F10381">
        <v>32.4</v>
      </c>
    </row>
    <row r="10382" spans="1:6" x14ac:dyDescent="0.25">
      <c r="A10382" s="1">
        <v>42095</v>
      </c>
      <c r="B10382" t="s">
        <v>19</v>
      </c>
      <c r="C10382" t="s">
        <v>7</v>
      </c>
      <c r="D10382">
        <v>18</v>
      </c>
      <c r="E10382" s="2">
        <v>1.8391203703703705E-2</v>
      </c>
      <c r="F10382">
        <v>26.483333333333334</v>
      </c>
    </row>
    <row r="10383" spans="1:6" x14ac:dyDescent="0.25">
      <c r="A10383" s="1">
        <v>42095</v>
      </c>
      <c r="B10383" t="s">
        <v>19</v>
      </c>
      <c r="C10383" t="s">
        <v>8</v>
      </c>
      <c r="D10383">
        <v>9</v>
      </c>
      <c r="E10383" s="2">
        <v>9.0162037037037034E-3</v>
      </c>
      <c r="F10383">
        <v>12.983333333333333</v>
      </c>
    </row>
    <row r="10384" spans="1:6" x14ac:dyDescent="0.25">
      <c r="A10384" s="1">
        <v>42095</v>
      </c>
      <c r="B10384" t="s">
        <v>19</v>
      </c>
      <c r="C10384" t="s">
        <v>9</v>
      </c>
      <c r="D10384">
        <v>7</v>
      </c>
      <c r="E10384" s="2">
        <v>5.2662037037037035E-3</v>
      </c>
      <c r="F10384">
        <v>7.583333333333333</v>
      </c>
    </row>
    <row r="10385" spans="1:6" x14ac:dyDescent="0.25">
      <c r="A10385" s="1">
        <v>42095</v>
      </c>
      <c r="B10385" t="s">
        <v>19</v>
      </c>
      <c r="C10385" t="s">
        <v>10</v>
      </c>
      <c r="D10385">
        <v>13</v>
      </c>
      <c r="E10385" s="2">
        <v>1.1747685185185186E-2</v>
      </c>
      <c r="F10385">
        <v>16.916666666666668</v>
      </c>
    </row>
    <row r="10386" spans="1:6" x14ac:dyDescent="0.25">
      <c r="A10386" s="1">
        <v>42095</v>
      </c>
      <c r="B10386" t="s">
        <v>19</v>
      </c>
      <c r="C10386" t="s">
        <v>11</v>
      </c>
      <c r="D10386">
        <v>33</v>
      </c>
      <c r="E10386" s="2">
        <v>2.375E-2</v>
      </c>
      <c r="F10386">
        <v>34.200000000000003</v>
      </c>
    </row>
    <row r="10387" spans="1:6" x14ac:dyDescent="0.25">
      <c r="A10387" s="1">
        <v>42095</v>
      </c>
      <c r="B10387" t="s">
        <v>20</v>
      </c>
      <c r="C10387" t="s">
        <v>6</v>
      </c>
      <c r="D10387">
        <v>48</v>
      </c>
      <c r="E10387" s="2">
        <v>7.2256944444444443E-2</v>
      </c>
      <c r="F10387">
        <v>104.05</v>
      </c>
    </row>
    <row r="10388" spans="1:6" x14ac:dyDescent="0.25">
      <c r="A10388" s="1">
        <v>42095</v>
      </c>
      <c r="B10388" t="s">
        <v>20</v>
      </c>
      <c r="C10388" t="s">
        <v>7</v>
      </c>
      <c r="D10388">
        <v>56</v>
      </c>
      <c r="E10388" s="2">
        <v>6.3796296296296295E-2</v>
      </c>
      <c r="F10388">
        <v>91.86666666666666</v>
      </c>
    </row>
    <row r="10389" spans="1:6" x14ac:dyDescent="0.25">
      <c r="A10389" s="1">
        <v>42095</v>
      </c>
      <c r="B10389" t="s">
        <v>20</v>
      </c>
      <c r="C10389" t="s">
        <v>8</v>
      </c>
      <c r="D10389">
        <v>48</v>
      </c>
      <c r="E10389" s="2">
        <v>4.2245370370370371E-2</v>
      </c>
      <c r="F10389">
        <v>60.833333333333336</v>
      </c>
    </row>
    <row r="10390" spans="1:6" x14ac:dyDescent="0.25">
      <c r="A10390" s="1">
        <v>42095</v>
      </c>
      <c r="B10390" t="s">
        <v>20</v>
      </c>
      <c r="C10390" t="s">
        <v>9</v>
      </c>
      <c r="D10390">
        <v>30</v>
      </c>
      <c r="E10390" s="2">
        <v>1.9120370370370371E-2</v>
      </c>
      <c r="F10390">
        <v>27.533333333333335</v>
      </c>
    </row>
    <row r="10391" spans="1:6" x14ac:dyDescent="0.25">
      <c r="A10391" s="1">
        <v>42095</v>
      </c>
      <c r="B10391" t="s">
        <v>20</v>
      </c>
      <c r="C10391" t="s">
        <v>10</v>
      </c>
      <c r="D10391">
        <v>17</v>
      </c>
      <c r="E10391" s="2">
        <v>2.1307870370370369E-2</v>
      </c>
      <c r="F10391">
        <v>30.683333333333334</v>
      </c>
    </row>
    <row r="10392" spans="1:6" x14ac:dyDescent="0.25">
      <c r="A10392" s="1">
        <v>42095</v>
      </c>
      <c r="B10392" t="s">
        <v>20</v>
      </c>
      <c r="C10392" t="s">
        <v>11</v>
      </c>
      <c r="D10392">
        <v>34</v>
      </c>
      <c r="E10392" s="2">
        <v>3.3240740740740737E-2</v>
      </c>
      <c r="F10392">
        <v>47.866666666666667</v>
      </c>
    </row>
    <row r="10393" spans="1:6" x14ac:dyDescent="0.25">
      <c r="A10393" s="1">
        <v>42095</v>
      </c>
      <c r="B10393" t="s">
        <v>21</v>
      </c>
      <c r="C10393" t="s">
        <v>6</v>
      </c>
      <c r="D10393">
        <v>25</v>
      </c>
      <c r="E10393" s="2">
        <v>3.6898148148148145E-2</v>
      </c>
      <c r="F10393">
        <v>53.133333333333333</v>
      </c>
    </row>
    <row r="10394" spans="1:6" x14ac:dyDescent="0.25">
      <c r="A10394" s="1">
        <v>42095</v>
      </c>
      <c r="B10394" t="s">
        <v>21</v>
      </c>
      <c r="C10394" t="s">
        <v>7</v>
      </c>
      <c r="D10394">
        <v>7</v>
      </c>
      <c r="E10394" s="2">
        <v>1.3136574074074075E-2</v>
      </c>
      <c r="F10394">
        <v>18.916666666666668</v>
      </c>
    </row>
    <row r="10395" spans="1:6" x14ac:dyDescent="0.25">
      <c r="A10395" s="1">
        <v>42095</v>
      </c>
      <c r="B10395" t="s">
        <v>21</v>
      </c>
      <c r="C10395" t="s">
        <v>8</v>
      </c>
      <c r="D10395">
        <v>15</v>
      </c>
      <c r="E10395" s="2">
        <v>2.0439814814814813E-2</v>
      </c>
      <c r="F10395">
        <v>29.433333333333334</v>
      </c>
    </row>
    <row r="10396" spans="1:6" x14ac:dyDescent="0.25">
      <c r="A10396" s="1">
        <v>42095</v>
      </c>
      <c r="B10396" t="s">
        <v>21</v>
      </c>
      <c r="C10396" t="s">
        <v>9</v>
      </c>
      <c r="D10396">
        <v>6</v>
      </c>
      <c r="E10396" s="2">
        <v>4.6759259259259263E-3</v>
      </c>
      <c r="F10396">
        <v>6.7333333333333334</v>
      </c>
    </row>
    <row r="10397" spans="1:6" x14ac:dyDescent="0.25">
      <c r="A10397" s="1">
        <v>42095</v>
      </c>
      <c r="B10397" t="s">
        <v>21</v>
      </c>
      <c r="C10397" t="s">
        <v>10</v>
      </c>
      <c r="D10397">
        <v>2</v>
      </c>
      <c r="E10397" s="2">
        <v>2.3495370370370371E-3</v>
      </c>
      <c r="F10397">
        <v>3.3833333333333333</v>
      </c>
    </row>
    <row r="10398" spans="1:6" x14ac:dyDescent="0.25">
      <c r="A10398" s="1">
        <v>42095</v>
      </c>
      <c r="B10398" t="s">
        <v>21</v>
      </c>
      <c r="C10398" t="s">
        <v>11</v>
      </c>
      <c r="D10398">
        <v>17</v>
      </c>
      <c r="E10398" s="2">
        <v>1.8657407407407407E-2</v>
      </c>
      <c r="F10398">
        <v>26.866666666666667</v>
      </c>
    </row>
    <row r="10399" spans="1:6" x14ac:dyDescent="0.25">
      <c r="A10399" s="1">
        <v>42095</v>
      </c>
      <c r="B10399" t="s">
        <v>22</v>
      </c>
      <c r="C10399" t="s">
        <v>6</v>
      </c>
      <c r="D10399">
        <v>11</v>
      </c>
      <c r="E10399" s="2">
        <v>1.5324074074074073E-2</v>
      </c>
      <c r="F10399">
        <v>22.066666666666666</v>
      </c>
    </row>
    <row r="10400" spans="1:6" x14ac:dyDescent="0.25">
      <c r="A10400" s="1">
        <v>42095</v>
      </c>
      <c r="B10400" t="s">
        <v>22</v>
      </c>
      <c r="C10400" t="s">
        <v>7</v>
      </c>
      <c r="D10400">
        <v>10</v>
      </c>
      <c r="E10400" s="2">
        <v>1.3877314814814815E-2</v>
      </c>
      <c r="F10400">
        <v>19.983333333333334</v>
      </c>
    </row>
    <row r="10401" spans="1:6" x14ac:dyDescent="0.25">
      <c r="A10401" s="1">
        <v>42095</v>
      </c>
      <c r="B10401" t="s">
        <v>22</v>
      </c>
      <c r="C10401" t="s">
        <v>8</v>
      </c>
      <c r="D10401">
        <v>7</v>
      </c>
      <c r="E10401" s="2">
        <v>7.013888888888889E-3</v>
      </c>
      <c r="F10401">
        <v>10.1</v>
      </c>
    </row>
    <row r="10402" spans="1:6" x14ac:dyDescent="0.25">
      <c r="A10402" s="1">
        <v>42095</v>
      </c>
      <c r="B10402" t="s">
        <v>22</v>
      </c>
      <c r="C10402" t="s">
        <v>9</v>
      </c>
      <c r="D10402">
        <v>7</v>
      </c>
      <c r="E10402" s="2">
        <v>6.2152777777777779E-3</v>
      </c>
      <c r="F10402">
        <v>8.9499999999999993</v>
      </c>
    </row>
    <row r="10403" spans="1:6" x14ac:dyDescent="0.25">
      <c r="A10403" s="1">
        <v>42095</v>
      </c>
      <c r="B10403" t="s">
        <v>22</v>
      </c>
      <c r="C10403" t="s">
        <v>10</v>
      </c>
      <c r="D10403">
        <v>5</v>
      </c>
      <c r="E10403" s="2">
        <v>6.9907407407407409E-3</v>
      </c>
      <c r="F10403">
        <v>10.066666666666666</v>
      </c>
    </row>
    <row r="10404" spans="1:6" x14ac:dyDescent="0.25">
      <c r="A10404" s="1">
        <v>42095</v>
      </c>
      <c r="B10404" t="s">
        <v>22</v>
      </c>
      <c r="C10404" t="s">
        <v>11</v>
      </c>
      <c r="D10404">
        <v>9</v>
      </c>
      <c r="E10404" s="2">
        <v>8.7962962962962968E-3</v>
      </c>
      <c r="F10404">
        <v>12.666666666666666</v>
      </c>
    </row>
    <row r="10405" spans="1:6" x14ac:dyDescent="0.25">
      <c r="A10405" s="1">
        <v>42095</v>
      </c>
      <c r="B10405" t="s">
        <v>23</v>
      </c>
      <c r="C10405" t="s">
        <v>6</v>
      </c>
      <c r="D10405">
        <v>73</v>
      </c>
      <c r="E10405" s="2">
        <v>9.3333333333333338E-2</v>
      </c>
      <c r="F10405">
        <v>134.4</v>
      </c>
    </row>
    <row r="10406" spans="1:6" x14ac:dyDescent="0.25">
      <c r="A10406" s="1">
        <v>42095</v>
      </c>
      <c r="B10406" t="s">
        <v>23</v>
      </c>
      <c r="C10406" t="s">
        <v>7</v>
      </c>
      <c r="D10406">
        <v>110</v>
      </c>
      <c r="E10406" s="2">
        <v>0.15627314814814816</v>
      </c>
      <c r="F10406">
        <v>225.03333333333333</v>
      </c>
    </row>
    <row r="10407" spans="1:6" x14ac:dyDescent="0.25">
      <c r="A10407" s="1">
        <v>42095</v>
      </c>
      <c r="B10407" t="s">
        <v>23</v>
      </c>
      <c r="C10407" t="s">
        <v>8</v>
      </c>
      <c r="D10407">
        <v>51</v>
      </c>
      <c r="E10407" s="2">
        <v>5.8194444444444444E-2</v>
      </c>
      <c r="F10407">
        <v>83.8</v>
      </c>
    </row>
    <row r="10408" spans="1:6" x14ac:dyDescent="0.25">
      <c r="A10408" s="1">
        <v>42095</v>
      </c>
      <c r="B10408" t="s">
        <v>23</v>
      </c>
      <c r="C10408" t="s">
        <v>9</v>
      </c>
      <c r="D10408">
        <v>32</v>
      </c>
      <c r="E10408" s="2">
        <v>1.9525462962962963E-2</v>
      </c>
      <c r="F10408">
        <v>28.116666666666667</v>
      </c>
    </row>
    <row r="10409" spans="1:6" x14ac:dyDescent="0.25">
      <c r="A10409" s="1">
        <v>42095</v>
      </c>
      <c r="B10409" t="s">
        <v>23</v>
      </c>
      <c r="C10409" t="s">
        <v>10</v>
      </c>
      <c r="D10409">
        <v>29</v>
      </c>
      <c r="E10409" s="2">
        <v>3.8171296296296293E-2</v>
      </c>
      <c r="F10409">
        <v>54.966666666666669</v>
      </c>
    </row>
    <row r="10410" spans="1:6" x14ac:dyDescent="0.25">
      <c r="A10410" s="1">
        <v>42095</v>
      </c>
      <c r="B10410" t="s">
        <v>23</v>
      </c>
      <c r="C10410" t="s">
        <v>11</v>
      </c>
      <c r="D10410">
        <v>89</v>
      </c>
      <c r="E10410" s="2">
        <v>7.5219907407407402E-2</v>
      </c>
      <c r="F10410">
        <v>108.31666666666666</v>
      </c>
    </row>
    <row r="10411" spans="1:6" x14ac:dyDescent="0.25">
      <c r="A10411" s="1">
        <v>42095</v>
      </c>
      <c r="B10411" t="s">
        <v>24</v>
      </c>
      <c r="C10411" t="s">
        <v>6</v>
      </c>
      <c r="D10411">
        <v>33</v>
      </c>
      <c r="E10411" s="2">
        <v>4.2777777777777776E-2</v>
      </c>
      <c r="F10411">
        <v>61.6</v>
      </c>
    </row>
    <row r="10412" spans="1:6" x14ac:dyDescent="0.25">
      <c r="A10412" s="1">
        <v>42095</v>
      </c>
      <c r="B10412" t="s">
        <v>24</v>
      </c>
      <c r="C10412" t="s">
        <v>7</v>
      </c>
      <c r="D10412">
        <v>22</v>
      </c>
      <c r="E10412" s="2">
        <v>1.8402777777777778E-2</v>
      </c>
      <c r="F10412">
        <v>26.5</v>
      </c>
    </row>
    <row r="10413" spans="1:6" x14ac:dyDescent="0.25">
      <c r="A10413" s="1">
        <v>42095</v>
      </c>
      <c r="B10413" t="s">
        <v>24</v>
      </c>
      <c r="C10413" t="s">
        <v>8</v>
      </c>
      <c r="D10413">
        <v>20</v>
      </c>
      <c r="E10413" s="2">
        <v>1.4618055555555556E-2</v>
      </c>
      <c r="F10413">
        <v>21.05</v>
      </c>
    </row>
    <row r="10414" spans="1:6" x14ac:dyDescent="0.25">
      <c r="A10414" s="1">
        <v>42095</v>
      </c>
      <c r="B10414" t="s">
        <v>24</v>
      </c>
      <c r="C10414" t="s">
        <v>9</v>
      </c>
      <c r="D10414">
        <v>34</v>
      </c>
      <c r="E10414" s="2">
        <v>2.480324074074074E-2</v>
      </c>
      <c r="F10414">
        <v>35.716666666666669</v>
      </c>
    </row>
    <row r="10415" spans="1:6" x14ac:dyDescent="0.25">
      <c r="A10415" s="1">
        <v>42095</v>
      </c>
      <c r="B10415" t="s">
        <v>24</v>
      </c>
      <c r="C10415" t="s">
        <v>10</v>
      </c>
      <c r="D10415">
        <v>0</v>
      </c>
      <c r="E10415" s="2">
        <v>0</v>
      </c>
      <c r="F10415">
        <v>0</v>
      </c>
    </row>
    <row r="10416" spans="1:6" x14ac:dyDescent="0.25">
      <c r="A10416" s="1">
        <v>42095</v>
      </c>
      <c r="B10416" t="s">
        <v>24</v>
      </c>
      <c r="C10416" t="s">
        <v>11</v>
      </c>
      <c r="D10416">
        <v>16</v>
      </c>
      <c r="E10416" s="2">
        <v>1.1435185185185185E-2</v>
      </c>
      <c r="F10416">
        <v>16.466666666666665</v>
      </c>
    </row>
    <row r="10417" spans="1:6" x14ac:dyDescent="0.25">
      <c r="A10417" s="1">
        <v>42125</v>
      </c>
      <c r="B10417" t="s">
        <v>5</v>
      </c>
      <c r="C10417" t="s">
        <v>6</v>
      </c>
      <c r="D10417">
        <v>27</v>
      </c>
      <c r="E10417" s="2">
        <v>3.304398148148148E-2</v>
      </c>
      <c r="F10417">
        <v>47.583333333333336</v>
      </c>
    </row>
    <row r="10418" spans="1:6" x14ac:dyDescent="0.25">
      <c r="A10418" s="1">
        <v>42125</v>
      </c>
      <c r="B10418" t="s">
        <v>5</v>
      </c>
      <c r="C10418" t="s">
        <v>7</v>
      </c>
      <c r="D10418">
        <v>23</v>
      </c>
      <c r="E10418" s="2">
        <v>2.375E-2</v>
      </c>
      <c r="F10418">
        <v>34.200000000000003</v>
      </c>
    </row>
    <row r="10419" spans="1:6" x14ac:dyDescent="0.25">
      <c r="A10419" s="1">
        <v>42125</v>
      </c>
      <c r="B10419" t="s">
        <v>5</v>
      </c>
      <c r="C10419" t="s">
        <v>8</v>
      </c>
      <c r="D10419">
        <v>21</v>
      </c>
      <c r="E10419" s="2">
        <v>1.8935185185185187E-2</v>
      </c>
      <c r="F10419">
        <v>27.266666666666666</v>
      </c>
    </row>
    <row r="10420" spans="1:6" x14ac:dyDescent="0.25">
      <c r="A10420" s="1">
        <v>42125</v>
      </c>
      <c r="B10420" t="s">
        <v>5</v>
      </c>
      <c r="C10420" t="s">
        <v>9</v>
      </c>
      <c r="D10420">
        <v>5</v>
      </c>
      <c r="E10420" s="2">
        <v>3.4375E-3</v>
      </c>
      <c r="F10420">
        <v>4.95</v>
      </c>
    </row>
    <row r="10421" spans="1:6" x14ac:dyDescent="0.25">
      <c r="A10421" s="1">
        <v>42125</v>
      </c>
      <c r="B10421" t="s">
        <v>5</v>
      </c>
      <c r="C10421" t="s">
        <v>10</v>
      </c>
      <c r="D10421">
        <v>8</v>
      </c>
      <c r="E10421" s="2">
        <v>7.0949074074074074E-3</v>
      </c>
      <c r="F10421">
        <v>10.216666666666667</v>
      </c>
    </row>
    <row r="10422" spans="1:6" x14ac:dyDescent="0.25">
      <c r="A10422" s="1">
        <v>42125</v>
      </c>
      <c r="B10422" t="s">
        <v>5</v>
      </c>
      <c r="C10422" t="s">
        <v>11</v>
      </c>
      <c r="D10422">
        <v>28</v>
      </c>
      <c r="E10422" s="2">
        <v>2.0833333333333332E-2</v>
      </c>
      <c r="F10422">
        <v>30</v>
      </c>
    </row>
    <row r="10423" spans="1:6" x14ac:dyDescent="0.25">
      <c r="A10423" s="1">
        <v>42125</v>
      </c>
      <c r="B10423" t="s">
        <v>12</v>
      </c>
      <c r="C10423" t="s">
        <v>6</v>
      </c>
      <c r="D10423">
        <v>50</v>
      </c>
      <c r="E10423" s="2">
        <v>7.2094907407407413E-2</v>
      </c>
      <c r="F10423">
        <v>103.81666666666666</v>
      </c>
    </row>
    <row r="10424" spans="1:6" x14ac:dyDescent="0.25">
      <c r="A10424" s="1">
        <v>42125</v>
      </c>
      <c r="B10424" t="s">
        <v>12</v>
      </c>
      <c r="C10424" t="s">
        <v>7</v>
      </c>
      <c r="D10424">
        <v>39</v>
      </c>
      <c r="E10424" s="2">
        <v>6.3611111111111104E-2</v>
      </c>
      <c r="F10424">
        <v>91.6</v>
      </c>
    </row>
    <row r="10425" spans="1:6" x14ac:dyDescent="0.25">
      <c r="A10425" s="1">
        <v>42125</v>
      </c>
      <c r="B10425" t="s">
        <v>12</v>
      </c>
      <c r="C10425" t="s">
        <v>8</v>
      </c>
      <c r="D10425">
        <v>29</v>
      </c>
      <c r="E10425" s="2">
        <v>4.1805555555555554E-2</v>
      </c>
      <c r="F10425">
        <v>60.2</v>
      </c>
    </row>
    <row r="10426" spans="1:6" x14ac:dyDescent="0.25">
      <c r="A10426" s="1">
        <v>42125</v>
      </c>
      <c r="B10426" t="s">
        <v>12</v>
      </c>
      <c r="C10426" t="s">
        <v>9</v>
      </c>
      <c r="D10426">
        <v>23</v>
      </c>
      <c r="E10426" s="2">
        <v>2.3414351851851853E-2</v>
      </c>
      <c r="F10426">
        <v>33.716666666666669</v>
      </c>
    </row>
    <row r="10427" spans="1:6" x14ac:dyDescent="0.25">
      <c r="A10427" s="1">
        <v>42125</v>
      </c>
      <c r="B10427" t="s">
        <v>12</v>
      </c>
      <c r="C10427" t="s">
        <v>10</v>
      </c>
      <c r="D10427">
        <v>26</v>
      </c>
      <c r="E10427" s="2">
        <v>4.4340277777777777E-2</v>
      </c>
      <c r="F10427">
        <v>63.85</v>
      </c>
    </row>
    <row r="10428" spans="1:6" x14ac:dyDescent="0.25">
      <c r="A10428" s="1">
        <v>42125</v>
      </c>
      <c r="B10428" t="s">
        <v>12</v>
      </c>
      <c r="C10428" t="s">
        <v>11</v>
      </c>
      <c r="D10428">
        <v>58</v>
      </c>
      <c r="E10428" s="2">
        <v>6.1481481481481484E-2</v>
      </c>
      <c r="F10428">
        <v>88.533333333333331</v>
      </c>
    </row>
    <row r="10429" spans="1:6" x14ac:dyDescent="0.25">
      <c r="A10429" s="1">
        <v>42125</v>
      </c>
      <c r="B10429" t="s">
        <v>13</v>
      </c>
      <c r="C10429" t="s">
        <v>6</v>
      </c>
      <c r="D10429">
        <v>49</v>
      </c>
      <c r="E10429" s="2">
        <v>7.0243055555555559E-2</v>
      </c>
      <c r="F10429">
        <v>101.15</v>
      </c>
    </row>
    <row r="10430" spans="1:6" x14ac:dyDescent="0.25">
      <c r="A10430" s="1">
        <v>42125</v>
      </c>
      <c r="B10430" t="s">
        <v>13</v>
      </c>
      <c r="C10430" t="s">
        <v>7</v>
      </c>
      <c r="D10430">
        <v>89</v>
      </c>
      <c r="E10430" s="2">
        <v>0.14543981481481483</v>
      </c>
      <c r="F10430">
        <v>209.43333333333334</v>
      </c>
    </row>
    <row r="10431" spans="1:6" x14ac:dyDescent="0.25">
      <c r="A10431" s="1">
        <v>42125</v>
      </c>
      <c r="B10431" t="s">
        <v>13</v>
      </c>
      <c r="C10431" t="s">
        <v>8</v>
      </c>
      <c r="D10431">
        <v>47</v>
      </c>
      <c r="E10431" s="2">
        <v>6.7152777777777783E-2</v>
      </c>
      <c r="F10431">
        <v>96.7</v>
      </c>
    </row>
    <row r="10432" spans="1:6" x14ac:dyDescent="0.25">
      <c r="A10432" s="1">
        <v>42125</v>
      </c>
      <c r="B10432" t="s">
        <v>13</v>
      </c>
      <c r="C10432" t="s">
        <v>9</v>
      </c>
      <c r="D10432">
        <v>12</v>
      </c>
      <c r="E10432" s="2">
        <v>1.0636574074074074E-2</v>
      </c>
      <c r="F10432">
        <v>15.316666666666666</v>
      </c>
    </row>
    <row r="10433" spans="1:6" x14ac:dyDescent="0.25">
      <c r="A10433" s="1">
        <v>42125</v>
      </c>
      <c r="B10433" t="s">
        <v>13</v>
      </c>
      <c r="C10433" t="s">
        <v>10</v>
      </c>
      <c r="D10433">
        <v>5</v>
      </c>
      <c r="E10433" s="2">
        <v>8.0208333333333329E-3</v>
      </c>
      <c r="F10433">
        <v>11.55</v>
      </c>
    </row>
    <row r="10434" spans="1:6" x14ac:dyDescent="0.25">
      <c r="A10434" s="1">
        <v>42125</v>
      </c>
      <c r="B10434" t="s">
        <v>13</v>
      </c>
      <c r="C10434" t="s">
        <v>11</v>
      </c>
      <c r="D10434">
        <v>25</v>
      </c>
      <c r="E10434" s="2">
        <v>2.8287037037037038E-2</v>
      </c>
      <c r="F10434">
        <v>40.733333333333334</v>
      </c>
    </row>
    <row r="10435" spans="1:6" x14ac:dyDescent="0.25">
      <c r="A10435" s="1">
        <v>42125</v>
      </c>
      <c r="B10435" t="s">
        <v>14</v>
      </c>
      <c r="C10435" t="s">
        <v>6</v>
      </c>
      <c r="D10435">
        <v>24</v>
      </c>
      <c r="E10435" s="2">
        <v>3.2372685185185185E-2</v>
      </c>
      <c r="F10435">
        <v>46.616666666666667</v>
      </c>
    </row>
    <row r="10436" spans="1:6" x14ac:dyDescent="0.25">
      <c r="A10436" s="1">
        <v>42125</v>
      </c>
      <c r="B10436" t="s">
        <v>14</v>
      </c>
      <c r="C10436" t="s">
        <v>7</v>
      </c>
      <c r="D10436">
        <v>22</v>
      </c>
      <c r="E10436" s="2">
        <v>3.0879629629629628E-2</v>
      </c>
      <c r="F10436">
        <v>44.466666666666669</v>
      </c>
    </row>
    <row r="10437" spans="1:6" x14ac:dyDescent="0.25">
      <c r="A10437" s="1">
        <v>42125</v>
      </c>
      <c r="B10437" t="s">
        <v>14</v>
      </c>
      <c r="C10437" t="s">
        <v>8</v>
      </c>
      <c r="D10437">
        <v>19</v>
      </c>
      <c r="E10437" s="2">
        <v>2.974537037037037E-2</v>
      </c>
      <c r="F10437">
        <v>42.833333333333336</v>
      </c>
    </row>
    <row r="10438" spans="1:6" x14ac:dyDescent="0.25">
      <c r="A10438" s="1">
        <v>42125</v>
      </c>
      <c r="B10438" t="s">
        <v>14</v>
      </c>
      <c r="C10438" t="s">
        <v>9</v>
      </c>
      <c r="D10438">
        <v>4</v>
      </c>
      <c r="E10438" s="2">
        <v>4.4675925925925924E-3</v>
      </c>
      <c r="F10438">
        <v>6.4333333333333336</v>
      </c>
    </row>
    <row r="10439" spans="1:6" x14ac:dyDescent="0.25">
      <c r="A10439" s="1">
        <v>42125</v>
      </c>
      <c r="B10439" t="s">
        <v>14</v>
      </c>
      <c r="C10439" t="s">
        <v>10</v>
      </c>
      <c r="D10439">
        <v>4</v>
      </c>
      <c r="E10439" s="2">
        <v>5.2199074074074075E-3</v>
      </c>
      <c r="F10439">
        <v>7.5166666666666666</v>
      </c>
    </row>
    <row r="10440" spans="1:6" x14ac:dyDescent="0.25">
      <c r="A10440" s="1">
        <v>42125</v>
      </c>
      <c r="B10440" t="s">
        <v>14</v>
      </c>
      <c r="C10440" t="s">
        <v>11</v>
      </c>
      <c r="D10440">
        <v>20</v>
      </c>
      <c r="E10440" s="2">
        <v>2.1770833333333333E-2</v>
      </c>
      <c r="F10440">
        <v>31.35</v>
      </c>
    </row>
    <row r="10441" spans="1:6" x14ac:dyDescent="0.25">
      <c r="A10441" s="1">
        <v>42125</v>
      </c>
      <c r="B10441" t="s">
        <v>15</v>
      </c>
      <c r="C10441" t="s">
        <v>6</v>
      </c>
      <c r="D10441">
        <v>18</v>
      </c>
      <c r="E10441" s="2">
        <v>2.4756944444444446E-2</v>
      </c>
      <c r="F10441">
        <v>35.65</v>
      </c>
    </row>
    <row r="10442" spans="1:6" x14ac:dyDescent="0.25">
      <c r="A10442" s="1">
        <v>42125</v>
      </c>
      <c r="B10442" t="s">
        <v>15</v>
      </c>
      <c r="C10442" t="s">
        <v>7</v>
      </c>
      <c r="D10442">
        <v>26</v>
      </c>
      <c r="E10442" s="2">
        <v>4.0219907407407406E-2</v>
      </c>
      <c r="F10442">
        <v>57.916666666666664</v>
      </c>
    </row>
    <row r="10443" spans="1:6" x14ac:dyDescent="0.25">
      <c r="A10443" s="1">
        <v>42125</v>
      </c>
      <c r="B10443" t="s">
        <v>15</v>
      </c>
      <c r="C10443" t="s">
        <v>8</v>
      </c>
      <c r="D10443">
        <v>17</v>
      </c>
      <c r="E10443" s="2">
        <v>2.1898148148148149E-2</v>
      </c>
      <c r="F10443">
        <v>31.533333333333335</v>
      </c>
    </row>
    <row r="10444" spans="1:6" x14ac:dyDescent="0.25">
      <c r="A10444" s="1">
        <v>42125</v>
      </c>
      <c r="B10444" t="s">
        <v>15</v>
      </c>
      <c r="C10444" t="s">
        <v>9</v>
      </c>
      <c r="D10444">
        <v>4</v>
      </c>
      <c r="E10444" s="2">
        <v>2.8124999999999999E-3</v>
      </c>
      <c r="F10444">
        <v>4.05</v>
      </c>
    </row>
    <row r="10445" spans="1:6" x14ac:dyDescent="0.25">
      <c r="A10445" s="1">
        <v>42125</v>
      </c>
      <c r="B10445" t="s">
        <v>15</v>
      </c>
      <c r="C10445" t="s">
        <v>10</v>
      </c>
      <c r="D10445">
        <v>9</v>
      </c>
      <c r="E10445" s="2">
        <v>8.4953703703703701E-3</v>
      </c>
      <c r="F10445">
        <v>12.233333333333333</v>
      </c>
    </row>
    <row r="10446" spans="1:6" x14ac:dyDescent="0.25">
      <c r="A10446" s="1">
        <v>42125</v>
      </c>
      <c r="B10446" t="s">
        <v>15</v>
      </c>
      <c r="C10446" t="s">
        <v>11</v>
      </c>
      <c r="D10446">
        <v>4</v>
      </c>
      <c r="E10446" s="2">
        <v>4.1666666666666666E-3</v>
      </c>
      <c r="F10446">
        <v>6</v>
      </c>
    </row>
    <row r="10447" spans="1:6" x14ac:dyDescent="0.25">
      <c r="A10447" s="1">
        <v>42125</v>
      </c>
      <c r="B10447" t="s">
        <v>16</v>
      </c>
      <c r="C10447" t="s">
        <v>6</v>
      </c>
      <c r="D10447">
        <v>16</v>
      </c>
      <c r="E10447" s="2">
        <v>1.8344907407407407E-2</v>
      </c>
      <c r="F10447">
        <v>26.416666666666668</v>
      </c>
    </row>
    <row r="10448" spans="1:6" x14ac:dyDescent="0.25">
      <c r="A10448" s="1">
        <v>42125</v>
      </c>
      <c r="B10448" t="s">
        <v>16</v>
      </c>
      <c r="C10448" t="s">
        <v>7</v>
      </c>
      <c r="D10448">
        <v>15</v>
      </c>
      <c r="E10448" s="2">
        <v>2.0868055555555556E-2</v>
      </c>
      <c r="F10448">
        <v>30.05</v>
      </c>
    </row>
    <row r="10449" spans="1:6" x14ac:dyDescent="0.25">
      <c r="A10449" s="1">
        <v>42125</v>
      </c>
      <c r="B10449" t="s">
        <v>16</v>
      </c>
      <c r="C10449" t="s">
        <v>8</v>
      </c>
      <c r="D10449">
        <v>24</v>
      </c>
      <c r="E10449" s="2">
        <v>2.1273148148148149E-2</v>
      </c>
      <c r="F10449">
        <v>30.633333333333333</v>
      </c>
    </row>
    <row r="10450" spans="1:6" x14ac:dyDescent="0.25">
      <c r="A10450" s="1">
        <v>42125</v>
      </c>
      <c r="B10450" t="s">
        <v>16</v>
      </c>
      <c r="C10450" t="s">
        <v>9</v>
      </c>
      <c r="D10450">
        <v>4</v>
      </c>
      <c r="E10450" s="2">
        <v>2.0370370370370369E-3</v>
      </c>
      <c r="F10450">
        <v>2.9333333333333336</v>
      </c>
    </row>
    <row r="10451" spans="1:6" x14ac:dyDescent="0.25">
      <c r="A10451" s="1">
        <v>42125</v>
      </c>
      <c r="B10451" t="s">
        <v>16</v>
      </c>
      <c r="C10451" t="s">
        <v>10</v>
      </c>
      <c r="D10451">
        <v>1</v>
      </c>
      <c r="E10451" s="2">
        <v>1.1342592592592593E-3</v>
      </c>
      <c r="F10451">
        <v>1.6333333333333333</v>
      </c>
    </row>
    <row r="10452" spans="1:6" x14ac:dyDescent="0.25">
      <c r="A10452" s="1">
        <v>42125</v>
      </c>
      <c r="B10452" t="s">
        <v>16</v>
      </c>
      <c r="C10452" t="s">
        <v>11</v>
      </c>
      <c r="D10452">
        <v>18</v>
      </c>
      <c r="E10452" s="2">
        <v>1.5972222222222221E-2</v>
      </c>
      <c r="F10452">
        <v>23</v>
      </c>
    </row>
    <row r="10453" spans="1:6" x14ac:dyDescent="0.25">
      <c r="A10453" s="1">
        <v>42125</v>
      </c>
      <c r="B10453" t="s">
        <v>17</v>
      </c>
      <c r="C10453" t="s">
        <v>6</v>
      </c>
      <c r="D10453">
        <v>21</v>
      </c>
      <c r="E10453" s="2">
        <v>2.8356481481481483E-2</v>
      </c>
      <c r="F10453">
        <v>40.833333333333336</v>
      </c>
    </row>
    <row r="10454" spans="1:6" x14ac:dyDescent="0.25">
      <c r="A10454" s="1">
        <v>42125</v>
      </c>
      <c r="B10454" t="s">
        <v>17</v>
      </c>
      <c r="C10454" t="s">
        <v>7</v>
      </c>
      <c r="D10454">
        <v>24</v>
      </c>
      <c r="E10454" s="2">
        <v>2.6886574074074073E-2</v>
      </c>
      <c r="F10454">
        <v>38.716666666666669</v>
      </c>
    </row>
    <row r="10455" spans="1:6" x14ac:dyDescent="0.25">
      <c r="A10455" s="1">
        <v>42125</v>
      </c>
      <c r="B10455" t="s">
        <v>17</v>
      </c>
      <c r="C10455" t="s">
        <v>8</v>
      </c>
      <c r="D10455">
        <v>17</v>
      </c>
      <c r="E10455" s="2">
        <v>1.6412037037037037E-2</v>
      </c>
      <c r="F10455">
        <v>23.633333333333333</v>
      </c>
    </row>
    <row r="10456" spans="1:6" x14ac:dyDescent="0.25">
      <c r="A10456" s="1">
        <v>42125</v>
      </c>
      <c r="B10456" t="s">
        <v>17</v>
      </c>
      <c r="C10456" t="s">
        <v>9</v>
      </c>
      <c r="D10456">
        <v>10</v>
      </c>
      <c r="E10456" s="2">
        <v>7.1875000000000003E-3</v>
      </c>
      <c r="F10456">
        <v>10.35</v>
      </c>
    </row>
    <row r="10457" spans="1:6" x14ac:dyDescent="0.25">
      <c r="A10457" s="1">
        <v>42125</v>
      </c>
      <c r="B10457" t="s">
        <v>17</v>
      </c>
      <c r="C10457" t="s">
        <v>10</v>
      </c>
      <c r="D10457">
        <v>11</v>
      </c>
      <c r="E10457" s="2">
        <v>1.4097222222222223E-2</v>
      </c>
      <c r="F10457">
        <v>20.3</v>
      </c>
    </row>
    <row r="10458" spans="1:6" x14ac:dyDescent="0.25">
      <c r="A10458" s="1">
        <v>42125</v>
      </c>
      <c r="B10458" t="s">
        <v>17</v>
      </c>
      <c r="C10458" t="s">
        <v>11</v>
      </c>
      <c r="D10458">
        <v>13</v>
      </c>
      <c r="E10458" s="2">
        <v>1.3171296296296296E-2</v>
      </c>
      <c r="F10458">
        <v>18.966666666666665</v>
      </c>
    </row>
    <row r="10459" spans="1:6" x14ac:dyDescent="0.25">
      <c r="A10459" s="1">
        <v>42125</v>
      </c>
      <c r="B10459" t="s">
        <v>18</v>
      </c>
      <c r="C10459" t="s">
        <v>6</v>
      </c>
      <c r="D10459">
        <v>51</v>
      </c>
      <c r="E10459" s="2">
        <v>6.4155092592592597E-2</v>
      </c>
      <c r="F10459">
        <v>92.38333333333334</v>
      </c>
    </row>
    <row r="10460" spans="1:6" x14ac:dyDescent="0.25">
      <c r="A10460" s="1">
        <v>42125</v>
      </c>
      <c r="B10460" t="s">
        <v>18</v>
      </c>
      <c r="C10460" t="s">
        <v>7</v>
      </c>
      <c r="D10460">
        <v>98</v>
      </c>
      <c r="E10460" s="2">
        <v>0.10734953703703703</v>
      </c>
      <c r="F10460">
        <v>154.58333333333334</v>
      </c>
    </row>
    <row r="10461" spans="1:6" x14ac:dyDescent="0.25">
      <c r="A10461" s="1">
        <v>42125</v>
      </c>
      <c r="B10461" t="s">
        <v>18</v>
      </c>
      <c r="C10461" t="s">
        <v>8</v>
      </c>
      <c r="D10461">
        <v>35</v>
      </c>
      <c r="E10461" s="2">
        <v>3.2974537037037038E-2</v>
      </c>
      <c r="F10461">
        <v>47.483333333333334</v>
      </c>
    </row>
    <row r="10462" spans="1:6" x14ac:dyDescent="0.25">
      <c r="A10462" s="1">
        <v>42125</v>
      </c>
      <c r="B10462" t="s">
        <v>18</v>
      </c>
      <c r="C10462" t="s">
        <v>9</v>
      </c>
      <c r="D10462">
        <v>52</v>
      </c>
      <c r="E10462" s="2">
        <v>3.7939814814814815E-2</v>
      </c>
      <c r="F10462">
        <v>54.633333333333333</v>
      </c>
    </row>
    <row r="10463" spans="1:6" x14ac:dyDescent="0.25">
      <c r="A10463" s="1">
        <v>42125</v>
      </c>
      <c r="B10463" t="s">
        <v>18</v>
      </c>
      <c r="C10463" t="s">
        <v>10</v>
      </c>
      <c r="D10463">
        <v>128</v>
      </c>
      <c r="E10463" s="2">
        <v>0.15344907407407407</v>
      </c>
      <c r="F10463">
        <v>220.96666666666667</v>
      </c>
    </row>
    <row r="10464" spans="1:6" x14ac:dyDescent="0.25">
      <c r="A10464" s="1">
        <v>42125</v>
      </c>
      <c r="B10464" t="s">
        <v>18</v>
      </c>
      <c r="C10464" t="s">
        <v>11</v>
      </c>
      <c r="D10464">
        <v>48</v>
      </c>
      <c r="E10464" s="2">
        <v>3.8761574074074073E-2</v>
      </c>
      <c r="F10464">
        <v>55.81666666666667</v>
      </c>
    </row>
    <row r="10465" spans="1:6" x14ac:dyDescent="0.25">
      <c r="A10465" s="1">
        <v>42125</v>
      </c>
      <c r="B10465" t="s">
        <v>19</v>
      </c>
      <c r="C10465" t="s">
        <v>6</v>
      </c>
      <c r="D10465">
        <v>25</v>
      </c>
      <c r="E10465" s="2">
        <v>3.3391203703703701E-2</v>
      </c>
      <c r="F10465">
        <v>48.083333333333336</v>
      </c>
    </row>
    <row r="10466" spans="1:6" x14ac:dyDescent="0.25">
      <c r="A10466" s="1">
        <v>42125</v>
      </c>
      <c r="B10466" t="s">
        <v>19</v>
      </c>
      <c r="C10466" t="s">
        <v>7</v>
      </c>
      <c r="D10466">
        <v>15</v>
      </c>
      <c r="E10466" s="2">
        <v>1.6168981481481482E-2</v>
      </c>
      <c r="F10466">
        <v>23.283333333333335</v>
      </c>
    </row>
    <row r="10467" spans="1:6" x14ac:dyDescent="0.25">
      <c r="A10467" s="1">
        <v>42125</v>
      </c>
      <c r="B10467" t="s">
        <v>19</v>
      </c>
      <c r="C10467" t="s">
        <v>8</v>
      </c>
      <c r="D10467">
        <v>18</v>
      </c>
      <c r="E10467" s="2">
        <v>2.0798611111111111E-2</v>
      </c>
      <c r="F10467">
        <v>29.95</v>
      </c>
    </row>
    <row r="10468" spans="1:6" x14ac:dyDescent="0.25">
      <c r="A10468" s="1">
        <v>42125</v>
      </c>
      <c r="B10468" t="s">
        <v>19</v>
      </c>
      <c r="C10468" t="s">
        <v>9</v>
      </c>
      <c r="D10468">
        <v>15</v>
      </c>
      <c r="E10468" s="2">
        <v>1.3541666666666667E-2</v>
      </c>
      <c r="F10468">
        <v>19.5</v>
      </c>
    </row>
    <row r="10469" spans="1:6" x14ac:dyDescent="0.25">
      <c r="A10469" s="1">
        <v>42125</v>
      </c>
      <c r="B10469" t="s">
        <v>19</v>
      </c>
      <c r="C10469" t="s">
        <v>10</v>
      </c>
      <c r="D10469">
        <v>12</v>
      </c>
      <c r="E10469" s="2">
        <v>1.5289351851851853E-2</v>
      </c>
      <c r="F10469">
        <v>22.016666666666666</v>
      </c>
    </row>
    <row r="10470" spans="1:6" x14ac:dyDescent="0.25">
      <c r="A10470" s="1">
        <v>42125</v>
      </c>
      <c r="B10470" t="s">
        <v>19</v>
      </c>
      <c r="C10470" t="s">
        <v>11</v>
      </c>
      <c r="D10470">
        <v>29</v>
      </c>
      <c r="E10470" s="2">
        <v>2.4456018518518519E-2</v>
      </c>
      <c r="F10470">
        <v>35.216666666666669</v>
      </c>
    </row>
    <row r="10471" spans="1:6" x14ac:dyDescent="0.25">
      <c r="A10471" s="1">
        <v>42125</v>
      </c>
      <c r="B10471" t="s">
        <v>20</v>
      </c>
      <c r="C10471" t="s">
        <v>6</v>
      </c>
      <c r="D10471">
        <v>33</v>
      </c>
      <c r="E10471" s="2">
        <v>3.9930555555555552E-2</v>
      </c>
      <c r="F10471">
        <v>57.5</v>
      </c>
    </row>
    <row r="10472" spans="1:6" x14ac:dyDescent="0.25">
      <c r="A10472" s="1">
        <v>42125</v>
      </c>
      <c r="B10472" t="s">
        <v>20</v>
      </c>
      <c r="C10472" t="s">
        <v>7</v>
      </c>
      <c r="D10472">
        <v>34</v>
      </c>
      <c r="E10472" s="2">
        <v>3.8553240740740742E-2</v>
      </c>
      <c r="F10472">
        <v>55.516666666666666</v>
      </c>
    </row>
    <row r="10473" spans="1:6" x14ac:dyDescent="0.25">
      <c r="A10473" s="1">
        <v>42125</v>
      </c>
      <c r="B10473" t="s">
        <v>20</v>
      </c>
      <c r="C10473" t="s">
        <v>8</v>
      </c>
      <c r="D10473">
        <v>32</v>
      </c>
      <c r="E10473" s="2">
        <v>3.605324074074074E-2</v>
      </c>
      <c r="F10473">
        <v>51.916666666666664</v>
      </c>
    </row>
    <row r="10474" spans="1:6" x14ac:dyDescent="0.25">
      <c r="A10474" s="1">
        <v>42125</v>
      </c>
      <c r="B10474" t="s">
        <v>20</v>
      </c>
      <c r="C10474" t="s">
        <v>9</v>
      </c>
      <c r="D10474">
        <v>18</v>
      </c>
      <c r="E10474" s="2">
        <v>1.2060185185185186E-2</v>
      </c>
      <c r="F10474">
        <v>17.366666666666667</v>
      </c>
    </row>
    <row r="10475" spans="1:6" x14ac:dyDescent="0.25">
      <c r="A10475" s="1">
        <v>42125</v>
      </c>
      <c r="B10475" t="s">
        <v>20</v>
      </c>
      <c r="C10475" t="s">
        <v>10</v>
      </c>
      <c r="D10475">
        <v>6</v>
      </c>
      <c r="E10475" s="2">
        <v>8.9930555555555562E-3</v>
      </c>
      <c r="F10475">
        <v>12.95</v>
      </c>
    </row>
    <row r="10476" spans="1:6" x14ac:dyDescent="0.25">
      <c r="A10476" s="1">
        <v>42125</v>
      </c>
      <c r="B10476" t="s">
        <v>20</v>
      </c>
      <c r="C10476" t="s">
        <v>11</v>
      </c>
      <c r="D10476">
        <v>25</v>
      </c>
      <c r="E10476" s="2">
        <v>2.1631944444444443E-2</v>
      </c>
      <c r="F10476">
        <v>31.15</v>
      </c>
    </row>
    <row r="10477" spans="1:6" x14ac:dyDescent="0.25">
      <c r="A10477" s="1">
        <v>42125</v>
      </c>
      <c r="B10477" t="s">
        <v>21</v>
      </c>
      <c r="C10477" t="s">
        <v>6</v>
      </c>
      <c r="D10477">
        <v>20</v>
      </c>
      <c r="E10477" s="2">
        <v>2.7986111111111111E-2</v>
      </c>
      <c r="F10477">
        <v>40.299999999999997</v>
      </c>
    </row>
    <row r="10478" spans="1:6" x14ac:dyDescent="0.25">
      <c r="A10478" s="1">
        <v>42125</v>
      </c>
      <c r="B10478" t="s">
        <v>21</v>
      </c>
      <c r="C10478" t="s">
        <v>7</v>
      </c>
      <c r="D10478">
        <v>20</v>
      </c>
      <c r="E10478" s="2">
        <v>4.5671296296296293E-2</v>
      </c>
      <c r="F10478">
        <v>65.766666666666666</v>
      </c>
    </row>
    <row r="10479" spans="1:6" x14ac:dyDescent="0.25">
      <c r="A10479" s="1">
        <v>42125</v>
      </c>
      <c r="B10479" t="s">
        <v>21</v>
      </c>
      <c r="C10479" t="s">
        <v>8</v>
      </c>
      <c r="D10479">
        <v>12</v>
      </c>
      <c r="E10479" s="2">
        <v>1.7812499999999998E-2</v>
      </c>
      <c r="F10479">
        <v>25.65</v>
      </c>
    </row>
    <row r="10480" spans="1:6" x14ac:dyDescent="0.25">
      <c r="A10480" s="1">
        <v>42125</v>
      </c>
      <c r="B10480" t="s">
        <v>21</v>
      </c>
      <c r="C10480" t="s">
        <v>9</v>
      </c>
      <c r="D10480">
        <v>4</v>
      </c>
      <c r="E10480" s="2">
        <v>3.8657407407407408E-3</v>
      </c>
      <c r="F10480">
        <v>5.5666666666666664</v>
      </c>
    </row>
    <row r="10481" spans="1:6" x14ac:dyDescent="0.25">
      <c r="A10481" s="1">
        <v>42125</v>
      </c>
      <c r="B10481" t="s">
        <v>21</v>
      </c>
      <c r="C10481" t="s">
        <v>10</v>
      </c>
      <c r="D10481">
        <v>2</v>
      </c>
      <c r="E10481" s="2">
        <v>2.488425925925926E-3</v>
      </c>
      <c r="F10481">
        <v>3.5833333333333335</v>
      </c>
    </row>
    <row r="10482" spans="1:6" x14ac:dyDescent="0.25">
      <c r="A10482" s="1">
        <v>42125</v>
      </c>
      <c r="B10482" t="s">
        <v>21</v>
      </c>
      <c r="C10482" t="s">
        <v>11</v>
      </c>
      <c r="D10482">
        <v>26</v>
      </c>
      <c r="E10482" s="2">
        <v>3.3275462962962965E-2</v>
      </c>
      <c r="F10482">
        <v>47.916666666666664</v>
      </c>
    </row>
    <row r="10483" spans="1:6" x14ac:dyDescent="0.25">
      <c r="A10483" s="1">
        <v>42125</v>
      </c>
      <c r="B10483" t="s">
        <v>22</v>
      </c>
      <c r="C10483" t="s">
        <v>6</v>
      </c>
      <c r="D10483">
        <v>16</v>
      </c>
      <c r="E10483" s="2">
        <v>2.5844907407407407E-2</v>
      </c>
      <c r="F10483">
        <v>37.216666666666669</v>
      </c>
    </row>
    <row r="10484" spans="1:6" x14ac:dyDescent="0.25">
      <c r="A10484" s="1">
        <v>42125</v>
      </c>
      <c r="B10484" t="s">
        <v>22</v>
      </c>
      <c r="C10484" t="s">
        <v>7</v>
      </c>
      <c r="D10484">
        <v>6</v>
      </c>
      <c r="E10484" s="2">
        <v>1.255787037037037E-2</v>
      </c>
      <c r="F10484">
        <v>18.083333333333332</v>
      </c>
    </row>
    <row r="10485" spans="1:6" x14ac:dyDescent="0.25">
      <c r="A10485" s="1">
        <v>42125</v>
      </c>
      <c r="B10485" t="s">
        <v>22</v>
      </c>
      <c r="C10485" t="s">
        <v>8</v>
      </c>
      <c r="D10485">
        <v>6</v>
      </c>
      <c r="E10485" s="2">
        <v>7.7199074074074071E-3</v>
      </c>
      <c r="F10485">
        <v>11.116666666666667</v>
      </c>
    </row>
    <row r="10486" spans="1:6" x14ac:dyDescent="0.25">
      <c r="A10486" s="1">
        <v>42125</v>
      </c>
      <c r="B10486" t="s">
        <v>22</v>
      </c>
      <c r="C10486" t="s">
        <v>9</v>
      </c>
      <c r="D10486">
        <v>3</v>
      </c>
      <c r="E10486" s="2">
        <v>1.8634259259259259E-3</v>
      </c>
      <c r="F10486">
        <v>2.6833333333333336</v>
      </c>
    </row>
    <row r="10487" spans="1:6" x14ac:dyDescent="0.25">
      <c r="A10487" s="1">
        <v>42125</v>
      </c>
      <c r="B10487" t="s">
        <v>22</v>
      </c>
      <c r="C10487" t="s">
        <v>10</v>
      </c>
      <c r="D10487">
        <v>0</v>
      </c>
      <c r="E10487" s="2">
        <v>0</v>
      </c>
      <c r="F10487">
        <v>0</v>
      </c>
    </row>
    <row r="10488" spans="1:6" x14ac:dyDescent="0.25">
      <c r="A10488" s="1">
        <v>42125</v>
      </c>
      <c r="B10488" t="s">
        <v>22</v>
      </c>
      <c r="C10488" t="s">
        <v>11</v>
      </c>
      <c r="D10488">
        <v>12</v>
      </c>
      <c r="E10488" s="2">
        <v>1.6331018518518519E-2</v>
      </c>
      <c r="F10488">
        <v>23.516666666666666</v>
      </c>
    </row>
    <row r="10489" spans="1:6" x14ac:dyDescent="0.25">
      <c r="A10489" s="1">
        <v>42125</v>
      </c>
      <c r="B10489" t="s">
        <v>23</v>
      </c>
      <c r="C10489" t="s">
        <v>6</v>
      </c>
      <c r="D10489">
        <v>98</v>
      </c>
      <c r="E10489" s="2">
        <v>0.12762731481481482</v>
      </c>
      <c r="F10489">
        <v>183.78333333333333</v>
      </c>
    </row>
    <row r="10490" spans="1:6" x14ac:dyDescent="0.25">
      <c r="A10490" s="1">
        <v>42125</v>
      </c>
      <c r="B10490" t="s">
        <v>23</v>
      </c>
      <c r="C10490" t="s">
        <v>7</v>
      </c>
      <c r="D10490">
        <v>97</v>
      </c>
      <c r="E10490" s="2">
        <v>0.15006944444444445</v>
      </c>
      <c r="F10490">
        <v>216.1</v>
      </c>
    </row>
    <row r="10491" spans="1:6" x14ac:dyDescent="0.25">
      <c r="A10491" s="1">
        <v>42125</v>
      </c>
      <c r="B10491" t="s">
        <v>23</v>
      </c>
      <c r="C10491" t="s">
        <v>8</v>
      </c>
      <c r="D10491">
        <v>54</v>
      </c>
      <c r="E10491" s="2">
        <v>6.4340277777777774E-2</v>
      </c>
      <c r="F10491">
        <v>92.65</v>
      </c>
    </row>
    <row r="10492" spans="1:6" x14ac:dyDescent="0.25">
      <c r="A10492" s="1">
        <v>42125</v>
      </c>
      <c r="B10492" t="s">
        <v>23</v>
      </c>
      <c r="C10492" t="s">
        <v>9</v>
      </c>
      <c r="D10492">
        <v>21</v>
      </c>
      <c r="E10492" s="2">
        <v>1.8124999999999999E-2</v>
      </c>
      <c r="F10492">
        <v>26.1</v>
      </c>
    </row>
    <row r="10493" spans="1:6" x14ac:dyDescent="0.25">
      <c r="A10493" s="1">
        <v>42125</v>
      </c>
      <c r="B10493" t="s">
        <v>23</v>
      </c>
      <c r="C10493" t="s">
        <v>10</v>
      </c>
      <c r="D10493">
        <v>27</v>
      </c>
      <c r="E10493" s="2">
        <v>3.2708333333333332E-2</v>
      </c>
      <c r="F10493">
        <v>47.1</v>
      </c>
    </row>
    <row r="10494" spans="1:6" x14ac:dyDescent="0.25">
      <c r="A10494" s="1">
        <v>42125</v>
      </c>
      <c r="B10494" t="s">
        <v>23</v>
      </c>
      <c r="C10494" t="s">
        <v>11</v>
      </c>
      <c r="D10494">
        <v>81</v>
      </c>
      <c r="E10494" s="2">
        <v>8.3125000000000004E-2</v>
      </c>
      <c r="F10494">
        <v>119.7</v>
      </c>
    </row>
    <row r="10495" spans="1:6" x14ac:dyDescent="0.25">
      <c r="A10495" s="1">
        <v>42125</v>
      </c>
      <c r="B10495" t="s">
        <v>24</v>
      </c>
      <c r="C10495" t="s">
        <v>6</v>
      </c>
      <c r="D10495">
        <v>47</v>
      </c>
      <c r="E10495" s="2">
        <v>5.4444444444444441E-2</v>
      </c>
      <c r="F10495">
        <v>78.400000000000006</v>
      </c>
    </row>
    <row r="10496" spans="1:6" x14ac:dyDescent="0.25">
      <c r="A10496" s="1">
        <v>42125</v>
      </c>
      <c r="B10496" t="s">
        <v>24</v>
      </c>
      <c r="C10496" t="s">
        <v>7</v>
      </c>
      <c r="D10496">
        <v>28</v>
      </c>
      <c r="E10496" s="2">
        <v>1.9120370370370371E-2</v>
      </c>
      <c r="F10496">
        <v>27.533333333333335</v>
      </c>
    </row>
    <row r="10497" spans="1:6" x14ac:dyDescent="0.25">
      <c r="A10497" s="1">
        <v>42125</v>
      </c>
      <c r="B10497" t="s">
        <v>24</v>
      </c>
      <c r="C10497" t="s">
        <v>8</v>
      </c>
      <c r="D10497">
        <v>25</v>
      </c>
      <c r="E10497" s="2">
        <v>2.0902777777777777E-2</v>
      </c>
      <c r="F10497">
        <v>30.1</v>
      </c>
    </row>
    <row r="10498" spans="1:6" x14ac:dyDescent="0.25">
      <c r="A10498" s="1">
        <v>42125</v>
      </c>
      <c r="B10498" t="s">
        <v>24</v>
      </c>
      <c r="C10498" t="s">
        <v>9</v>
      </c>
      <c r="D10498">
        <v>40</v>
      </c>
      <c r="E10498" s="2">
        <v>3.3726851851851855E-2</v>
      </c>
      <c r="F10498">
        <v>48.56666666666667</v>
      </c>
    </row>
    <row r="10499" spans="1:6" x14ac:dyDescent="0.25">
      <c r="A10499" s="1">
        <v>42125</v>
      </c>
      <c r="B10499" t="s">
        <v>24</v>
      </c>
      <c r="C10499" t="s">
        <v>10</v>
      </c>
      <c r="D10499">
        <v>4</v>
      </c>
      <c r="E10499" s="2">
        <v>5.7870370370370367E-3</v>
      </c>
      <c r="F10499">
        <v>8.3333333333333339</v>
      </c>
    </row>
    <row r="10500" spans="1:6" x14ac:dyDescent="0.25">
      <c r="A10500" s="1">
        <v>42125</v>
      </c>
      <c r="B10500" t="s">
        <v>24</v>
      </c>
      <c r="C10500" t="s">
        <v>11</v>
      </c>
      <c r="D10500">
        <v>28</v>
      </c>
      <c r="E10500" s="2">
        <v>2.298611111111111E-2</v>
      </c>
      <c r="F10500">
        <v>33.1</v>
      </c>
    </row>
    <row r="10501" spans="1:6" x14ac:dyDescent="0.25">
      <c r="A10501" s="1">
        <v>42156</v>
      </c>
      <c r="B10501" t="s">
        <v>5</v>
      </c>
      <c r="C10501" t="s">
        <v>6</v>
      </c>
      <c r="D10501">
        <v>32</v>
      </c>
      <c r="E10501" s="2">
        <v>2.9351851851851851E-2</v>
      </c>
      <c r="F10501">
        <v>42.266666666666666</v>
      </c>
    </row>
    <row r="10502" spans="1:6" x14ac:dyDescent="0.25">
      <c r="A10502" s="1">
        <v>42156</v>
      </c>
      <c r="B10502" t="s">
        <v>5</v>
      </c>
      <c r="C10502" t="s">
        <v>7</v>
      </c>
      <c r="D10502">
        <v>26</v>
      </c>
      <c r="E10502" s="2">
        <v>1.7500000000000002E-2</v>
      </c>
      <c r="F10502">
        <v>25.2</v>
      </c>
    </row>
    <row r="10503" spans="1:6" x14ac:dyDescent="0.25">
      <c r="A10503" s="1">
        <v>42156</v>
      </c>
      <c r="B10503" t="s">
        <v>5</v>
      </c>
      <c r="C10503" t="s">
        <v>8</v>
      </c>
      <c r="D10503">
        <v>13</v>
      </c>
      <c r="E10503" s="2">
        <v>1.0833333333333334E-2</v>
      </c>
      <c r="F10503">
        <v>15.6</v>
      </c>
    </row>
    <row r="10504" spans="1:6" x14ac:dyDescent="0.25">
      <c r="A10504" s="1">
        <v>42156</v>
      </c>
      <c r="B10504" t="s">
        <v>5</v>
      </c>
      <c r="C10504" t="s">
        <v>9</v>
      </c>
      <c r="D10504">
        <v>10</v>
      </c>
      <c r="E10504" s="2">
        <v>6.7824074074074071E-3</v>
      </c>
      <c r="F10504">
        <v>9.7666666666666675</v>
      </c>
    </row>
    <row r="10505" spans="1:6" x14ac:dyDescent="0.25">
      <c r="A10505" s="1">
        <v>42156</v>
      </c>
      <c r="B10505" t="s">
        <v>5</v>
      </c>
      <c r="C10505" t="s">
        <v>10</v>
      </c>
      <c r="D10505">
        <v>3</v>
      </c>
      <c r="E10505" s="2">
        <v>2.8935185185185184E-3</v>
      </c>
      <c r="F10505">
        <v>4.166666666666667</v>
      </c>
    </row>
    <row r="10506" spans="1:6" x14ac:dyDescent="0.25">
      <c r="A10506" s="1">
        <v>42156</v>
      </c>
      <c r="B10506" t="s">
        <v>5</v>
      </c>
      <c r="C10506" t="s">
        <v>11</v>
      </c>
      <c r="D10506">
        <v>34</v>
      </c>
      <c r="E10506" s="2">
        <v>2.4236111111111111E-2</v>
      </c>
      <c r="F10506">
        <v>34.9</v>
      </c>
    </row>
    <row r="10507" spans="1:6" x14ac:dyDescent="0.25">
      <c r="A10507" s="1">
        <v>42156</v>
      </c>
      <c r="B10507" t="s">
        <v>12</v>
      </c>
      <c r="C10507" t="s">
        <v>6</v>
      </c>
      <c r="D10507">
        <v>51</v>
      </c>
      <c r="E10507" s="2">
        <v>7.2604166666666664E-2</v>
      </c>
      <c r="F10507">
        <v>104.55</v>
      </c>
    </row>
    <row r="10508" spans="1:6" x14ac:dyDescent="0.25">
      <c r="A10508" s="1">
        <v>42156</v>
      </c>
      <c r="B10508" t="s">
        <v>12</v>
      </c>
      <c r="C10508" t="s">
        <v>7</v>
      </c>
      <c r="D10508">
        <v>40</v>
      </c>
      <c r="E10508" s="2">
        <v>6.4953703703703708E-2</v>
      </c>
      <c r="F10508">
        <v>93.533333333333331</v>
      </c>
    </row>
    <row r="10509" spans="1:6" x14ac:dyDescent="0.25">
      <c r="A10509" s="1">
        <v>42156</v>
      </c>
      <c r="B10509" t="s">
        <v>12</v>
      </c>
      <c r="C10509" t="s">
        <v>8</v>
      </c>
      <c r="D10509">
        <v>24</v>
      </c>
      <c r="E10509" s="2">
        <v>3.1041666666666665E-2</v>
      </c>
      <c r="F10509">
        <v>44.7</v>
      </c>
    </row>
    <row r="10510" spans="1:6" x14ac:dyDescent="0.25">
      <c r="A10510" s="1">
        <v>42156</v>
      </c>
      <c r="B10510" t="s">
        <v>12</v>
      </c>
      <c r="C10510" t="s">
        <v>9</v>
      </c>
      <c r="D10510">
        <v>29</v>
      </c>
      <c r="E10510" s="2">
        <v>2.8645833333333332E-2</v>
      </c>
      <c r="F10510">
        <v>41.25</v>
      </c>
    </row>
    <row r="10511" spans="1:6" x14ac:dyDescent="0.25">
      <c r="A10511" s="1">
        <v>42156</v>
      </c>
      <c r="B10511" t="s">
        <v>12</v>
      </c>
      <c r="C10511" t="s">
        <v>10</v>
      </c>
      <c r="D10511">
        <v>34</v>
      </c>
      <c r="E10511" s="2">
        <v>6.0138888888888888E-2</v>
      </c>
      <c r="F10511">
        <v>86.6</v>
      </c>
    </row>
    <row r="10512" spans="1:6" x14ac:dyDescent="0.25">
      <c r="A10512" s="1">
        <v>42156</v>
      </c>
      <c r="B10512" t="s">
        <v>12</v>
      </c>
      <c r="C10512" t="s">
        <v>11</v>
      </c>
      <c r="D10512">
        <v>60</v>
      </c>
      <c r="E10512" s="2">
        <v>6.3587962962962957E-2</v>
      </c>
      <c r="F10512">
        <v>91.566666666666663</v>
      </c>
    </row>
    <row r="10513" spans="1:6" x14ac:dyDescent="0.25">
      <c r="A10513" s="1">
        <v>42156</v>
      </c>
      <c r="B10513" t="s">
        <v>13</v>
      </c>
      <c r="C10513" t="s">
        <v>6</v>
      </c>
      <c r="D10513">
        <v>77</v>
      </c>
      <c r="E10513" s="2">
        <v>0.10145833333333333</v>
      </c>
      <c r="F10513">
        <v>146.1</v>
      </c>
    </row>
    <row r="10514" spans="1:6" x14ac:dyDescent="0.25">
      <c r="A10514" s="1">
        <v>42156</v>
      </c>
      <c r="B10514" t="s">
        <v>13</v>
      </c>
      <c r="C10514" t="s">
        <v>7</v>
      </c>
      <c r="D10514">
        <v>142</v>
      </c>
      <c r="E10514" s="2">
        <v>0.22092592592592591</v>
      </c>
      <c r="F10514">
        <v>318.13333333333333</v>
      </c>
    </row>
    <row r="10515" spans="1:6" x14ac:dyDescent="0.25">
      <c r="A10515" s="1">
        <v>42156</v>
      </c>
      <c r="B10515" t="s">
        <v>13</v>
      </c>
      <c r="C10515" t="s">
        <v>8</v>
      </c>
      <c r="D10515">
        <v>70</v>
      </c>
      <c r="E10515" s="2">
        <v>8.4097222222222226E-2</v>
      </c>
      <c r="F10515">
        <v>121.1</v>
      </c>
    </row>
    <row r="10516" spans="1:6" x14ac:dyDescent="0.25">
      <c r="A10516" s="1">
        <v>42156</v>
      </c>
      <c r="B10516" t="s">
        <v>13</v>
      </c>
      <c r="C10516" t="s">
        <v>9</v>
      </c>
      <c r="D10516">
        <v>42</v>
      </c>
      <c r="E10516" s="2">
        <v>2.9861111111111113E-2</v>
      </c>
      <c r="F10516">
        <v>43</v>
      </c>
    </row>
    <row r="10517" spans="1:6" x14ac:dyDescent="0.25">
      <c r="A10517" s="1">
        <v>42156</v>
      </c>
      <c r="B10517" t="s">
        <v>13</v>
      </c>
      <c r="C10517" t="s">
        <v>10</v>
      </c>
      <c r="D10517">
        <v>47</v>
      </c>
      <c r="E10517" s="2">
        <v>7.2789351851851855E-2</v>
      </c>
      <c r="F10517">
        <v>104.81666666666666</v>
      </c>
    </row>
    <row r="10518" spans="1:6" x14ac:dyDescent="0.25">
      <c r="A10518" s="1">
        <v>42156</v>
      </c>
      <c r="B10518" t="s">
        <v>13</v>
      </c>
      <c r="C10518" t="s">
        <v>11</v>
      </c>
      <c r="D10518">
        <v>57</v>
      </c>
      <c r="E10518" s="2">
        <v>5.3159722222222219E-2</v>
      </c>
      <c r="F10518">
        <v>76.55</v>
      </c>
    </row>
    <row r="10519" spans="1:6" x14ac:dyDescent="0.25">
      <c r="A10519" s="1">
        <v>42156</v>
      </c>
      <c r="B10519" t="s">
        <v>14</v>
      </c>
      <c r="C10519" t="s">
        <v>6</v>
      </c>
      <c r="D10519">
        <v>21</v>
      </c>
      <c r="E10519" s="2">
        <v>3.048611111111111E-2</v>
      </c>
      <c r="F10519">
        <v>43.9</v>
      </c>
    </row>
    <row r="10520" spans="1:6" x14ac:dyDescent="0.25">
      <c r="A10520" s="1">
        <v>42156</v>
      </c>
      <c r="B10520" t="s">
        <v>14</v>
      </c>
      <c r="C10520" t="s">
        <v>7</v>
      </c>
      <c r="D10520">
        <v>23</v>
      </c>
      <c r="E10520" s="2">
        <v>3.923611111111111E-2</v>
      </c>
      <c r="F10520">
        <v>56.5</v>
      </c>
    </row>
    <row r="10521" spans="1:6" x14ac:dyDescent="0.25">
      <c r="A10521" s="1">
        <v>42156</v>
      </c>
      <c r="B10521" t="s">
        <v>14</v>
      </c>
      <c r="C10521" t="s">
        <v>8</v>
      </c>
      <c r="D10521">
        <v>8</v>
      </c>
      <c r="E10521" s="2">
        <v>1.2604166666666666E-2</v>
      </c>
      <c r="F10521">
        <v>18.149999999999999</v>
      </c>
    </row>
    <row r="10522" spans="1:6" x14ac:dyDescent="0.25">
      <c r="A10522" s="1">
        <v>42156</v>
      </c>
      <c r="B10522" t="s">
        <v>14</v>
      </c>
      <c r="C10522" t="s">
        <v>9</v>
      </c>
      <c r="D10522">
        <v>2</v>
      </c>
      <c r="E10522" s="2">
        <v>1.5509259259259259E-3</v>
      </c>
      <c r="F10522">
        <v>2.2333333333333334</v>
      </c>
    </row>
    <row r="10523" spans="1:6" x14ac:dyDescent="0.25">
      <c r="A10523" s="1">
        <v>42156</v>
      </c>
      <c r="B10523" t="s">
        <v>14</v>
      </c>
      <c r="C10523" t="s">
        <v>10</v>
      </c>
      <c r="D10523">
        <v>0</v>
      </c>
      <c r="E10523" s="2">
        <v>0</v>
      </c>
      <c r="F10523">
        <v>0</v>
      </c>
    </row>
    <row r="10524" spans="1:6" x14ac:dyDescent="0.25">
      <c r="A10524" s="1">
        <v>42156</v>
      </c>
      <c r="B10524" t="s">
        <v>14</v>
      </c>
      <c r="C10524" t="s">
        <v>11</v>
      </c>
      <c r="D10524">
        <v>14</v>
      </c>
      <c r="E10524" s="2">
        <v>1.3530092592592592E-2</v>
      </c>
      <c r="F10524">
        <v>19.483333333333334</v>
      </c>
    </row>
    <row r="10525" spans="1:6" x14ac:dyDescent="0.25">
      <c r="A10525" s="1">
        <v>42156</v>
      </c>
      <c r="B10525" t="s">
        <v>15</v>
      </c>
      <c r="C10525" t="s">
        <v>6</v>
      </c>
      <c r="D10525">
        <v>39</v>
      </c>
      <c r="E10525" s="2">
        <v>4.4502314814814814E-2</v>
      </c>
      <c r="F10525">
        <v>64.083333333333329</v>
      </c>
    </row>
    <row r="10526" spans="1:6" x14ac:dyDescent="0.25">
      <c r="A10526" s="1">
        <v>42156</v>
      </c>
      <c r="B10526" t="s">
        <v>15</v>
      </c>
      <c r="C10526" t="s">
        <v>7</v>
      </c>
      <c r="D10526">
        <v>31</v>
      </c>
      <c r="E10526" s="2">
        <v>4.6875E-2</v>
      </c>
      <c r="F10526">
        <v>67.5</v>
      </c>
    </row>
    <row r="10527" spans="1:6" x14ac:dyDescent="0.25">
      <c r="A10527" s="1">
        <v>42156</v>
      </c>
      <c r="B10527" t="s">
        <v>15</v>
      </c>
      <c r="C10527" t="s">
        <v>8</v>
      </c>
      <c r="D10527">
        <v>27</v>
      </c>
      <c r="E10527" s="2">
        <v>3.2581018518518516E-2</v>
      </c>
      <c r="F10527">
        <v>46.916666666666664</v>
      </c>
    </row>
    <row r="10528" spans="1:6" x14ac:dyDescent="0.25">
      <c r="A10528" s="1">
        <v>42156</v>
      </c>
      <c r="B10528" t="s">
        <v>15</v>
      </c>
      <c r="C10528" t="s">
        <v>9</v>
      </c>
      <c r="D10528">
        <v>4</v>
      </c>
      <c r="E10528" s="2">
        <v>2.9861111111111113E-3</v>
      </c>
      <c r="F10528">
        <v>4.3</v>
      </c>
    </row>
    <row r="10529" spans="1:6" x14ac:dyDescent="0.25">
      <c r="A10529" s="1">
        <v>42156</v>
      </c>
      <c r="B10529" t="s">
        <v>15</v>
      </c>
      <c r="C10529" t="s">
        <v>10</v>
      </c>
      <c r="D10529">
        <v>14</v>
      </c>
      <c r="E10529" s="2">
        <v>1.7812499999999998E-2</v>
      </c>
      <c r="F10529">
        <v>25.65</v>
      </c>
    </row>
    <row r="10530" spans="1:6" x14ac:dyDescent="0.25">
      <c r="A10530" s="1">
        <v>42156</v>
      </c>
      <c r="B10530" t="s">
        <v>15</v>
      </c>
      <c r="C10530" t="s">
        <v>11</v>
      </c>
      <c r="D10530">
        <v>22</v>
      </c>
      <c r="E10530" s="2">
        <v>2.2615740740740742E-2</v>
      </c>
      <c r="F10530">
        <v>32.56666666666667</v>
      </c>
    </row>
    <row r="10531" spans="1:6" x14ac:dyDescent="0.25">
      <c r="A10531" s="1">
        <v>42156</v>
      </c>
      <c r="B10531" t="s">
        <v>16</v>
      </c>
      <c r="C10531" t="s">
        <v>6</v>
      </c>
      <c r="D10531">
        <v>25</v>
      </c>
      <c r="E10531" s="2">
        <v>2.3159722222222224E-2</v>
      </c>
      <c r="F10531">
        <v>33.35</v>
      </c>
    </row>
    <row r="10532" spans="1:6" x14ac:dyDescent="0.25">
      <c r="A10532" s="1">
        <v>42156</v>
      </c>
      <c r="B10532" t="s">
        <v>16</v>
      </c>
      <c r="C10532" t="s">
        <v>7</v>
      </c>
      <c r="D10532">
        <v>18</v>
      </c>
      <c r="E10532" s="2">
        <v>1.7453703703703704E-2</v>
      </c>
      <c r="F10532">
        <v>25.133333333333333</v>
      </c>
    </row>
    <row r="10533" spans="1:6" x14ac:dyDescent="0.25">
      <c r="A10533" s="1">
        <v>42156</v>
      </c>
      <c r="B10533" t="s">
        <v>16</v>
      </c>
      <c r="C10533" t="s">
        <v>8</v>
      </c>
      <c r="D10533">
        <v>27</v>
      </c>
      <c r="E10533" s="2">
        <v>2.1354166666666667E-2</v>
      </c>
      <c r="F10533">
        <v>30.75</v>
      </c>
    </row>
    <row r="10534" spans="1:6" x14ac:dyDescent="0.25">
      <c r="A10534" s="1">
        <v>42156</v>
      </c>
      <c r="B10534" t="s">
        <v>16</v>
      </c>
      <c r="C10534" t="s">
        <v>9</v>
      </c>
      <c r="D10534">
        <v>11</v>
      </c>
      <c r="E10534" s="2">
        <v>6.6898148148148151E-3</v>
      </c>
      <c r="F10534">
        <v>9.6333333333333329</v>
      </c>
    </row>
    <row r="10535" spans="1:6" x14ac:dyDescent="0.25">
      <c r="A10535" s="1">
        <v>42156</v>
      </c>
      <c r="B10535" t="s">
        <v>16</v>
      </c>
      <c r="C10535" t="s">
        <v>10</v>
      </c>
      <c r="D10535">
        <v>6</v>
      </c>
      <c r="E10535" s="2">
        <v>8.1712962962962963E-3</v>
      </c>
      <c r="F10535">
        <v>11.766666666666667</v>
      </c>
    </row>
    <row r="10536" spans="1:6" x14ac:dyDescent="0.25">
      <c r="A10536" s="1">
        <v>42156</v>
      </c>
      <c r="B10536" t="s">
        <v>16</v>
      </c>
      <c r="C10536" t="s">
        <v>11</v>
      </c>
      <c r="D10536">
        <v>42</v>
      </c>
      <c r="E10536" s="2">
        <v>3.771990740740741E-2</v>
      </c>
      <c r="F10536">
        <v>54.31666666666667</v>
      </c>
    </row>
    <row r="10537" spans="1:6" x14ac:dyDescent="0.25">
      <c r="A10537" s="1">
        <v>42156</v>
      </c>
      <c r="B10537" t="s">
        <v>17</v>
      </c>
      <c r="C10537" t="s">
        <v>6</v>
      </c>
      <c r="D10537">
        <v>23</v>
      </c>
      <c r="E10537" s="2">
        <v>2.6342592592592591E-2</v>
      </c>
      <c r="F10537">
        <v>37.93333333333333</v>
      </c>
    </row>
    <row r="10538" spans="1:6" x14ac:dyDescent="0.25">
      <c r="A10538" s="1">
        <v>42156</v>
      </c>
      <c r="B10538" t="s">
        <v>17</v>
      </c>
      <c r="C10538" t="s">
        <v>7</v>
      </c>
      <c r="D10538">
        <v>14</v>
      </c>
      <c r="E10538" s="2">
        <v>7.6157407407407406E-3</v>
      </c>
      <c r="F10538">
        <v>10.966666666666667</v>
      </c>
    </row>
    <row r="10539" spans="1:6" x14ac:dyDescent="0.25">
      <c r="A10539" s="1">
        <v>42156</v>
      </c>
      <c r="B10539" t="s">
        <v>17</v>
      </c>
      <c r="C10539" t="s">
        <v>8</v>
      </c>
      <c r="D10539">
        <v>13</v>
      </c>
      <c r="E10539" s="2">
        <v>9.0277777777777769E-3</v>
      </c>
      <c r="F10539">
        <v>13</v>
      </c>
    </row>
    <row r="10540" spans="1:6" x14ac:dyDescent="0.25">
      <c r="A10540" s="1">
        <v>42156</v>
      </c>
      <c r="B10540" t="s">
        <v>17</v>
      </c>
      <c r="C10540" t="s">
        <v>9</v>
      </c>
      <c r="D10540">
        <v>7</v>
      </c>
      <c r="E10540" s="2">
        <v>3.7847222222222223E-3</v>
      </c>
      <c r="F10540">
        <v>5.45</v>
      </c>
    </row>
    <row r="10541" spans="1:6" x14ac:dyDescent="0.25">
      <c r="A10541" s="1">
        <v>42156</v>
      </c>
      <c r="B10541" t="s">
        <v>17</v>
      </c>
      <c r="C10541" t="s">
        <v>10</v>
      </c>
      <c r="D10541">
        <v>6</v>
      </c>
      <c r="E10541" s="2">
        <v>5.0347222222222225E-3</v>
      </c>
      <c r="F10541">
        <v>7.25</v>
      </c>
    </row>
    <row r="10542" spans="1:6" x14ac:dyDescent="0.25">
      <c r="A10542" s="1">
        <v>42156</v>
      </c>
      <c r="B10542" t="s">
        <v>17</v>
      </c>
      <c r="C10542" t="s">
        <v>11</v>
      </c>
      <c r="D10542">
        <v>14</v>
      </c>
      <c r="E10542" s="2">
        <v>9.9884259259259266E-3</v>
      </c>
      <c r="F10542">
        <v>14.383333333333333</v>
      </c>
    </row>
    <row r="10543" spans="1:6" x14ac:dyDescent="0.25">
      <c r="A10543" s="1">
        <v>42156</v>
      </c>
      <c r="B10543" t="s">
        <v>18</v>
      </c>
      <c r="C10543" t="s">
        <v>6</v>
      </c>
      <c r="D10543">
        <v>89</v>
      </c>
      <c r="E10543" s="2">
        <v>0.10359953703703703</v>
      </c>
      <c r="F10543">
        <v>149.18333333333334</v>
      </c>
    </row>
    <row r="10544" spans="1:6" x14ac:dyDescent="0.25">
      <c r="A10544" s="1">
        <v>42156</v>
      </c>
      <c r="B10544" t="s">
        <v>18</v>
      </c>
      <c r="C10544" t="s">
        <v>7</v>
      </c>
      <c r="D10544">
        <v>117</v>
      </c>
      <c r="E10544" s="2">
        <v>0.11138888888888888</v>
      </c>
      <c r="F10544">
        <v>160.4</v>
      </c>
    </row>
    <row r="10545" spans="1:6" x14ac:dyDescent="0.25">
      <c r="A10545" s="1">
        <v>42156</v>
      </c>
      <c r="B10545" t="s">
        <v>18</v>
      </c>
      <c r="C10545" t="s">
        <v>8</v>
      </c>
      <c r="D10545">
        <v>55</v>
      </c>
      <c r="E10545" s="2">
        <v>5.6678240740740737E-2</v>
      </c>
      <c r="F10545">
        <v>81.61666666666666</v>
      </c>
    </row>
    <row r="10546" spans="1:6" x14ac:dyDescent="0.25">
      <c r="A10546" s="1">
        <v>42156</v>
      </c>
      <c r="B10546" t="s">
        <v>18</v>
      </c>
      <c r="C10546" t="s">
        <v>9</v>
      </c>
      <c r="D10546">
        <v>69</v>
      </c>
      <c r="E10546" s="2">
        <v>4.2326388888888886E-2</v>
      </c>
      <c r="F10546">
        <v>60.95</v>
      </c>
    </row>
    <row r="10547" spans="1:6" x14ac:dyDescent="0.25">
      <c r="A10547" s="1">
        <v>42156</v>
      </c>
      <c r="B10547" t="s">
        <v>18</v>
      </c>
      <c r="C10547" t="s">
        <v>10</v>
      </c>
      <c r="D10547">
        <v>124</v>
      </c>
      <c r="E10547" s="2">
        <v>0.15064814814814814</v>
      </c>
      <c r="F10547">
        <v>216.93333333333334</v>
      </c>
    </row>
    <row r="10548" spans="1:6" x14ac:dyDescent="0.25">
      <c r="A10548" s="1">
        <v>42156</v>
      </c>
      <c r="B10548" t="s">
        <v>18</v>
      </c>
      <c r="C10548" t="s">
        <v>11</v>
      </c>
      <c r="D10548">
        <v>64</v>
      </c>
      <c r="E10548" s="2">
        <v>5.5405092592592596E-2</v>
      </c>
      <c r="F10548">
        <v>79.783333333333331</v>
      </c>
    </row>
    <row r="10549" spans="1:6" x14ac:dyDescent="0.25">
      <c r="A10549" s="1">
        <v>42156</v>
      </c>
      <c r="B10549" t="s">
        <v>19</v>
      </c>
      <c r="C10549" t="s">
        <v>6</v>
      </c>
      <c r="D10549">
        <v>27</v>
      </c>
      <c r="E10549" s="2">
        <v>3.4456018518518518E-2</v>
      </c>
      <c r="F10549">
        <v>49.616666666666667</v>
      </c>
    </row>
    <row r="10550" spans="1:6" x14ac:dyDescent="0.25">
      <c r="A10550" s="1">
        <v>42156</v>
      </c>
      <c r="B10550" t="s">
        <v>19</v>
      </c>
      <c r="C10550" t="s">
        <v>7</v>
      </c>
      <c r="D10550">
        <v>23</v>
      </c>
      <c r="E10550" s="2">
        <v>3.1331018518518522E-2</v>
      </c>
      <c r="F10550">
        <v>45.116666666666667</v>
      </c>
    </row>
    <row r="10551" spans="1:6" x14ac:dyDescent="0.25">
      <c r="A10551" s="1">
        <v>42156</v>
      </c>
      <c r="B10551" t="s">
        <v>19</v>
      </c>
      <c r="C10551" t="s">
        <v>8</v>
      </c>
      <c r="D10551">
        <v>24</v>
      </c>
      <c r="E10551" s="2">
        <v>2.5034722222222222E-2</v>
      </c>
      <c r="F10551">
        <v>36.049999999999997</v>
      </c>
    </row>
    <row r="10552" spans="1:6" x14ac:dyDescent="0.25">
      <c r="A10552" s="1">
        <v>42156</v>
      </c>
      <c r="B10552" t="s">
        <v>19</v>
      </c>
      <c r="C10552" t="s">
        <v>9</v>
      </c>
      <c r="D10552">
        <v>25</v>
      </c>
      <c r="E10552" s="2">
        <v>1.744212962962963E-2</v>
      </c>
      <c r="F10552">
        <v>25.116666666666667</v>
      </c>
    </row>
    <row r="10553" spans="1:6" x14ac:dyDescent="0.25">
      <c r="A10553" s="1">
        <v>42156</v>
      </c>
      <c r="B10553" t="s">
        <v>19</v>
      </c>
      <c r="C10553" t="s">
        <v>10</v>
      </c>
      <c r="D10553">
        <v>17</v>
      </c>
      <c r="E10553" s="2">
        <v>2.2418981481481481E-2</v>
      </c>
      <c r="F10553">
        <v>32.283333333333331</v>
      </c>
    </row>
    <row r="10554" spans="1:6" x14ac:dyDescent="0.25">
      <c r="A10554" s="1">
        <v>42156</v>
      </c>
      <c r="B10554" t="s">
        <v>19</v>
      </c>
      <c r="C10554" t="s">
        <v>11</v>
      </c>
      <c r="D10554">
        <v>33</v>
      </c>
      <c r="E10554" s="2">
        <v>3.1828703703703706E-2</v>
      </c>
      <c r="F10554">
        <v>45.833333333333336</v>
      </c>
    </row>
    <row r="10555" spans="1:6" x14ac:dyDescent="0.25">
      <c r="A10555" s="1">
        <v>42156</v>
      </c>
      <c r="B10555" t="s">
        <v>20</v>
      </c>
      <c r="C10555" t="s">
        <v>6</v>
      </c>
      <c r="D10555">
        <v>79</v>
      </c>
      <c r="E10555" s="2">
        <v>0.10043981481481482</v>
      </c>
      <c r="F10555">
        <v>144.63333333333333</v>
      </c>
    </row>
    <row r="10556" spans="1:6" x14ac:dyDescent="0.25">
      <c r="A10556" s="1">
        <v>42156</v>
      </c>
      <c r="B10556" t="s">
        <v>20</v>
      </c>
      <c r="C10556" t="s">
        <v>7</v>
      </c>
      <c r="D10556">
        <v>84</v>
      </c>
      <c r="E10556" s="2">
        <v>9.3356481481481485E-2</v>
      </c>
      <c r="F10556">
        <v>134.43333333333334</v>
      </c>
    </row>
    <row r="10557" spans="1:6" x14ac:dyDescent="0.25">
      <c r="A10557" s="1">
        <v>42156</v>
      </c>
      <c r="B10557" t="s">
        <v>20</v>
      </c>
      <c r="C10557" t="s">
        <v>8</v>
      </c>
      <c r="D10557">
        <v>68</v>
      </c>
      <c r="E10557" s="2">
        <v>6.475694444444445E-2</v>
      </c>
      <c r="F10557">
        <v>93.25</v>
      </c>
    </row>
    <row r="10558" spans="1:6" x14ac:dyDescent="0.25">
      <c r="A10558" s="1">
        <v>42156</v>
      </c>
      <c r="B10558" t="s">
        <v>20</v>
      </c>
      <c r="C10558" t="s">
        <v>9</v>
      </c>
      <c r="D10558">
        <v>49</v>
      </c>
      <c r="E10558" s="2">
        <v>3.2951388888888891E-2</v>
      </c>
      <c r="F10558">
        <v>47.45</v>
      </c>
    </row>
    <row r="10559" spans="1:6" x14ac:dyDescent="0.25">
      <c r="A10559" s="1">
        <v>42156</v>
      </c>
      <c r="B10559" t="s">
        <v>20</v>
      </c>
      <c r="C10559" t="s">
        <v>10</v>
      </c>
      <c r="D10559">
        <v>11</v>
      </c>
      <c r="E10559" s="2">
        <v>1.3159722222222222E-2</v>
      </c>
      <c r="F10559">
        <v>18.95</v>
      </c>
    </row>
    <row r="10560" spans="1:6" x14ac:dyDescent="0.25">
      <c r="A10560" s="1">
        <v>42156</v>
      </c>
      <c r="B10560" t="s">
        <v>20</v>
      </c>
      <c r="C10560" t="s">
        <v>11</v>
      </c>
      <c r="D10560">
        <v>66</v>
      </c>
      <c r="E10560" s="2">
        <v>6.0405092592592594E-2</v>
      </c>
      <c r="F10560">
        <v>86.983333333333334</v>
      </c>
    </row>
    <row r="10561" spans="1:6" x14ac:dyDescent="0.25">
      <c r="A10561" s="1">
        <v>42156</v>
      </c>
      <c r="B10561" t="s">
        <v>21</v>
      </c>
      <c r="C10561" t="s">
        <v>6</v>
      </c>
      <c r="D10561">
        <v>23</v>
      </c>
      <c r="E10561" s="2">
        <v>3.2893518518518516E-2</v>
      </c>
      <c r="F10561">
        <v>47.366666666666667</v>
      </c>
    </row>
    <row r="10562" spans="1:6" x14ac:dyDescent="0.25">
      <c r="A10562" s="1">
        <v>42156</v>
      </c>
      <c r="B10562" t="s">
        <v>21</v>
      </c>
      <c r="C10562" t="s">
        <v>7</v>
      </c>
      <c r="D10562">
        <v>8</v>
      </c>
      <c r="E10562" s="2">
        <v>1.7083333333333332E-2</v>
      </c>
      <c r="F10562">
        <v>24.6</v>
      </c>
    </row>
    <row r="10563" spans="1:6" x14ac:dyDescent="0.25">
      <c r="A10563" s="1">
        <v>42156</v>
      </c>
      <c r="B10563" t="s">
        <v>21</v>
      </c>
      <c r="C10563" t="s">
        <v>8</v>
      </c>
      <c r="D10563">
        <v>16</v>
      </c>
      <c r="E10563" s="2">
        <v>1.846064814814815E-2</v>
      </c>
      <c r="F10563">
        <v>26.583333333333332</v>
      </c>
    </row>
    <row r="10564" spans="1:6" x14ac:dyDescent="0.25">
      <c r="A10564" s="1">
        <v>42156</v>
      </c>
      <c r="B10564" t="s">
        <v>21</v>
      </c>
      <c r="C10564" t="s">
        <v>9</v>
      </c>
      <c r="D10564">
        <v>8</v>
      </c>
      <c r="E10564" s="2">
        <v>6.8402777777777776E-3</v>
      </c>
      <c r="F10564">
        <v>9.85</v>
      </c>
    </row>
    <row r="10565" spans="1:6" x14ac:dyDescent="0.25">
      <c r="A10565" s="1">
        <v>42156</v>
      </c>
      <c r="B10565" t="s">
        <v>21</v>
      </c>
      <c r="C10565" t="s">
        <v>10</v>
      </c>
      <c r="D10565">
        <v>5</v>
      </c>
      <c r="E10565" s="2">
        <v>5.7754629629629631E-3</v>
      </c>
      <c r="F10565">
        <v>8.3166666666666664</v>
      </c>
    </row>
    <row r="10566" spans="1:6" x14ac:dyDescent="0.25">
      <c r="A10566" s="1">
        <v>42156</v>
      </c>
      <c r="B10566" t="s">
        <v>21</v>
      </c>
      <c r="C10566" t="s">
        <v>11</v>
      </c>
      <c r="D10566">
        <v>32</v>
      </c>
      <c r="E10566" s="2">
        <v>3.2743055555555553E-2</v>
      </c>
      <c r="F10566">
        <v>47.15</v>
      </c>
    </row>
    <row r="10567" spans="1:6" x14ac:dyDescent="0.25">
      <c r="A10567" s="1">
        <v>42156</v>
      </c>
      <c r="B10567" t="s">
        <v>22</v>
      </c>
      <c r="C10567" t="s">
        <v>6</v>
      </c>
      <c r="D10567">
        <v>10</v>
      </c>
      <c r="E10567" s="2">
        <v>1.1875E-2</v>
      </c>
      <c r="F10567">
        <v>17.100000000000001</v>
      </c>
    </row>
    <row r="10568" spans="1:6" x14ac:dyDescent="0.25">
      <c r="A10568" s="1">
        <v>42156</v>
      </c>
      <c r="B10568" t="s">
        <v>22</v>
      </c>
      <c r="C10568" t="s">
        <v>7</v>
      </c>
      <c r="D10568">
        <v>15</v>
      </c>
      <c r="E10568" s="2">
        <v>1.7615740740740741E-2</v>
      </c>
      <c r="F10568">
        <v>25.366666666666667</v>
      </c>
    </row>
    <row r="10569" spans="1:6" x14ac:dyDescent="0.25">
      <c r="A10569" s="1">
        <v>42156</v>
      </c>
      <c r="B10569" t="s">
        <v>22</v>
      </c>
      <c r="C10569" t="s">
        <v>8</v>
      </c>
      <c r="D10569">
        <v>11</v>
      </c>
      <c r="E10569" s="2">
        <v>1.2766203703703703E-2</v>
      </c>
      <c r="F10569">
        <v>18.383333333333333</v>
      </c>
    </row>
    <row r="10570" spans="1:6" x14ac:dyDescent="0.25">
      <c r="A10570" s="1">
        <v>42156</v>
      </c>
      <c r="B10570" t="s">
        <v>22</v>
      </c>
      <c r="C10570" t="s">
        <v>9</v>
      </c>
      <c r="D10570">
        <v>4</v>
      </c>
      <c r="E10570" s="2">
        <v>2.7314814814814814E-3</v>
      </c>
      <c r="F10570">
        <v>3.9333333333333336</v>
      </c>
    </row>
    <row r="10571" spans="1:6" x14ac:dyDescent="0.25">
      <c r="A10571" s="1">
        <v>42156</v>
      </c>
      <c r="B10571" t="s">
        <v>22</v>
      </c>
      <c r="C10571" t="s">
        <v>10</v>
      </c>
      <c r="D10571">
        <v>6</v>
      </c>
      <c r="E10571" s="2">
        <v>6.6435185185185182E-3</v>
      </c>
      <c r="F10571">
        <v>9.5666666666666664</v>
      </c>
    </row>
    <row r="10572" spans="1:6" x14ac:dyDescent="0.25">
      <c r="A10572" s="1">
        <v>42156</v>
      </c>
      <c r="B10572" t="s">
        <v>22</v>
      </c>
      <c r="C10572" t="s">
        <v>11</v>
      </c>
      <c r="D10572">
        <v>16</v>
      </c>
      <c r="E10572" s="2">
        <v>2.0023148148148148E-2</v>
      </c>
      <c r="F10572">
        <v>28.833333333333332</v>
      </c>
    </row>
    <row r="10573" spans="1:6" x14ac:dyDescent="0.25">
      <c r="A10573" s="1">
        <v>42156</v>
      </c>
      <c r="B10573" t="s">
        <v>23</v>
      </c>
      <c r="C10573" t="s">
        <v>6</v>
      </c>
      <c r="D10573">
        <v>89</v>
      </c>
      <c r="E10573" s="2">
        <v>0.12067129629629629</v>
      </c>
      <c r="F10573">
        <v>173.76666666666668</v>
      </c>
    </row>
    <row r="10574" spans="1:6" x14ac:dyDescent="0.25">
      <c r="A10574" s="1">
        <v>42156</v>
      </c>
      <c r="B10574" t="s">
        <v>23</v>
      </c>
      <c r="C10574" t="s">
        <v>7</v>
      </c>
      <c r="D10574">
        <v>106</v>
      </c>
      <c r="E10574" s="2">
        <v>0.1658449074074074</v>
      </c>
      <c r="F10574">
        <v>238.81666666666666</v>
      </c>
    </row>
    <row r="10575" spans="1:6" x14ac:dyDescent="0.25">
      <c r="A10575" s="1">
        <v>42156</v>
      </c>
      <c r="B10575" t="s">
        <v>23</v>
      </c>
      <c r="C10575" t="s">
        <v>8</v>
      </c>
      <c r="D10575">
        <v>83</v>
      </c>
      <c r="E10575" s="2">
        <v>9.9097222222222225E-2</v>
      </c>
      <c r="F10575">
        <v>142.69999999999999</v>
      </c>
    </row>
    <row r="10576" spans="1:6" x14ac:dyDescent="0.25">
      <c r="A10576" s="1">
        <v>42156</v>
      </c>
      <c r="B10576" t="s">
        <v>23</v>
      </c>
      <c r="C10576" t="s">
        <v>9</v>
      </c>
      <c r="D10576">
        <v>46</v>
      </c>
      <c r="E10576" s="2">
        <v>3.3101851851851855E-2</v>
      </c>
      <c r="F10576">
        <v>47.666666666666664</v>
      </c>
    </row>
    <row r="10577" spans="1:6" x14ac:dyDescent="0.25">
      <c r="A10577" s="1">
        <v>42156</v>
      </c>
      <c r="B10577" t="s">
        <v>23</v>
      </c>
      <c r="C10577" t="s">
        <v>10</v>
      </c>
      <c r="D10577">
        <v>29</v>
      </c>
      <c r="E10577" s="2">
        <v>3.6597222222222225E-2</v>
      </c>
      <c r="F10577">
        <v>52.7</v>
      </c>
    </row>
    <row r="10578" spans="1:6" x14ac:dyDescent="0.25">
      <c r="A10578" s="1">
        <v>42156</v>
      </c>
      <c r="B10578" t="s">
        <v>23</v>
      </c>
      <c r="C10578" t="s">
        <v>11</v>
      </c>
      <c r="D10578">
        <v>79</v>
      </c>
      <c r="E10578" s="2">
        <v>7.8796296296296295E-2</v>
      </c>
      <c r="F10578">
        <v>113.46666666666667</v>
      </c>
    </row>
    <row r="10579" spans="1:6" x14ac:dyDescent="0.25">
      <c r="A10579" s="1">
        <v>42156</v>
      </c>
      <c r="B10579" t="s">
        <v>24</v>
      </c>
      <c r="C10579" t="s">
        <v>6</v>
      </c>
      <c r="D10579">
        <v>59</v>
      </c>
      <c r="E10579" s="2">
        <v>6.5347222222222223E-2</v>
      </c>
      <c r="F10579">
        <v>94.1</v>
      </c>
    </row>
    <row r="10580" spans="1:6" x14ac:dyDescent="0.25">
      <c r="A10580" s="1">
        <v>42156</v>
      </c>
      <c r="B10580" t="s">
        <v>24</v>
      </c>
      <c r="C10580" t="s">
        <v>7</v>
      </c>
      <c r="D10580">
        <v>46</v>
      </c>
      <c r="E10580" s="2">
        <v>4.2997685185185187E-2</v>
      </c>
      <c r="F10580">
        <v>61.916666666666664</v>
      </c>
    </row>
    <row r="10581" spans="1:6" x14ac:dyDescent="0.25">
      <c r="A10581" s="1">
        <v>42156</v>
      </c>
      <c r="B10581" t="s">
        <v>24</v>
      </c>
      <c r="C10581" t="s">
        <v>8</v>
      </c>
      <c r="D10581">
        <v>38</v>
      </c>
      <c r="E10581" s="2">
        <v>2.9108796296296296E-2</v>
      </c>
      <c r="F10581">
        <v>41.916666666666664</v>
      </c>
    </row>
    <row r="10582" spans="1:6" x14ac:dyDescent="0.25">
      <c r="A10582" s="1">
        <v>42156</v>
      </c>
      <c r="B10582" t="s">
        <v>24</v>
      </c>
      <c r="C10582" t="s">
        <v>9</v>
      </c>
      <c r="D10582">
        <v>54</v>
      </c>
      <c r="E10582" s="2">
        <v>3.9618055555555552E-2</v>
      </c>
      <c r="F10582">
        <v>57.05</v>
      </c>
    </row>
    <row r="10583" spans="1:6" x14ac:dyDescent="0.25">
      <c r="A10583" s="1">
        <v>42156</v>
      </c>
      <c r="B10583" t="s">
        <v>24</v>
      </c>
      <c r="C10583" t="s">
        <v>10</v>
      </c>
      <c r="D10583">
        <v>4</v>
      </c>
      <c r="E10583" s="2">
        <v>4.6412037037037038E-3</v>
      </c>
      <c r="F10583">
        <v>6.6833333333333336</v>
      </c>
    </row>
    <row r="10584" spans="1:6" x14ac:dyDescent="0.25">
      <c r="A10584" s="1">
        <v>42156</v>
      </c>
      <c r="B10584" t="s">
        <v>24</v>
      </c>
      <c r="C10584" t="s">
        <v>11</v>
      </c>
      <c r="D10584">
        <v>43</v>
      </c>
      <c r="E10584" s="2">
        <v>3.5844907407407409E-2</v>
      </c>
      <c r="F10584">
        <v>51.616666666666667</v>
      </c>
    </row>
    <row r="10585" spans="1:6" x14ac:dyDescent="0.25">
      <c r="A10585" s="1">
        <v>42186</v>
      </c>
      <c r="B10585" t="s">
        <v>5</v>
      </c>
      <c r="C10585" t="s">
        <v>6</v>
      </c>
      <c r="D10585">
        <v>32</v>
      </c>
      <c r="E10585" s="2">
        <v>3.1898148148148148E-2</v>
      </c>
      <c r="F10585">
        <v>45.93333333333333</v>
      </c>
    </row>
    <row r="10586" spans="1:6" x14ac:dyDescent="0.25">
      <c r="A10586" s="1">
        <v>42186</v>
      </c>
      <c r="B10586" t="s">
        <v>5</v>
      </c>
      <c r="C10586" t="s">
        <v>7</v>
      </c>
      <c r="D10586">
        <v>55</v>
      </c>
      <c r="E10586" s="2">
        <v>5.1203703703703703E-2</v>
      </c>
      <c r="F10586">
        <v>73.733333333333334</v>
      </c>
    </row>
    <row r="10587" spans="1:6" x14ac:dyDescent="0.25">
      <c r="A10587" s="1">
        <v>42186</v>
      </c>
      <c r="B10587" t="s">
        <v>5</v>
      </c>
      <c r="C10587" t="s">
        <v>8</v>
      </c>
      <c r="D10587">
        <v>44</v>
      </c>
      <c r="E10587" s="2">
        <v>4.0092592592592589E-2</v>
      </c>
      <c r="F10587">
        <v>57.733333333333334</v>
      </c>
    </row>
    <row r="10588" spans="1:6" x14ac:dyDescent="0.25">
      <c r="A10588" s="1">
        <v>42186</v>
      </c>
      <c r="B10588" t="s">
        <v>5</v>
      </c>
      <c r="C10588" t="s">
        <v>9</v>
      </c>
      <c r="D10588">
        <v>15</v>
      </c>
      <c r="E10588" s="2">
        <v>8.518518518518519E-3</v>
      </c>
      <c r="F10588">
        <v>12.266666666666667</v>
      </c>
    </row>
    <row r="10589" spans="1:6" x14ac:dyDescent="0.25">
      <c r="A10589" s="1">
        <v>42186</v>
      </c>
      <c r="B10589" t="s">
        <v>5</v>
      </c>
      <c r="C10589" t="s">
        <v>10</v>
      </c>
      <c r="D10589">
        <v>4</v>
      </c>
      <c r="E10589" s="2">
        <v>2.3495370370370371E-3</v>
      </c>
      <c r="F10589">
        <v>3.3833333333333333</v>
      </c>
    </row>
    <row r="10590" spans="1:6" x14ac:dyDescent="0.25">
      <c r="A10590" s="1">
        <v>42186</v>
      </c>
      <c r="B10590" t="s">
        <v>5</v>
      </c>
      <c r="C10590" t="s">
        <v>11</v>
      </c>
      <c r="D10590">
        <v>34</v>
      </c>
      <c r="E10590" s="2">
        <v>2.2951388888888889E-2</v>
      </c>
      <c r="F10590">
        <v>33.049999999999997</v>
      </c>
    </row>
    <row r="10591" spans="1:6" x14ac:dyDescent="0.25">
      <c r="A10591" s="1">
        <v>42186</v>
      </c>
      <c r="B10591" t="s">
        <v>12</v>
      </c>
      <c r="C10591" t="s">
        <v>6</v>
      </c>
      <c r="D10591">
        <v>57</v>
      </c>
      <c r="E10591" s="2">
        <v>8.7650462962962958E-2</v>
      </c>
      <c r="F10591">
        <v>126.21666666666667</v>
      </c>
    </row>
    <row r="10592" spans="1:6" x14ac:dyDescent="0.25">
      <c r="A10592" s="1">
        <v>42186</v>
      </c>
      <c r="B10592" t="s">
        <v>12</v>
      </c>
      <c r="C10592" t="s">
        <v>7</v>
      </c>
      <c r="D10592">
        <v>22</v>
      </c>
      <c r="E10592" s="2">
        <v>4.2604166666666665E-2</v>
      </c>
      <c r="F10592">
        <v>61.35</v>
      </c>
    </row>
    <row r="10593" spans="1:6" x14ac:dyDescent="0.25">
      <c r="A10593" s="1">
        <v>42186</v>
      </c>
      <c r="B10593" t="s">
        <v>12</v>
      </c>
      <c r="C10593" t="s">
        <v>8</v>
      </c>
      <c r="D10593">
        <v>30</v>
      </c>
      <c r="E10593" s="2">
        <v>5.0011574074074076E-2</v>
      </c>
      <c r="F10593">
        <v>72.016666666666666</v>
      </c>
    </row>
    <row r="10594" spans="1:6" x14ac:dyDescent="0.25">
      <c r="A10594" s="1">
        <v>42186</v>
      </c>
      <c r="B10594" t="s">
        <v>12</v>
      </c>
      <c r="C10594" t="s">
        <v>9</v>
      </c>
      <c r="D10594">
        <v>36</v>
      </c>
      <c r="E10594" s="2">
        <v>3.0671296296296297E-2</v>
      </c>
      <c r="F10594">
        <v>44.166666666666664</v>
      </c>
    </row>
    <row r="10595" spans="1:6" x14ac:dyDescent="0.25">
      <c r="A10595" s="1">
        <v>42186</v>
      </c>
      <c r="B10595" t="s">
        <v>12</v>
      </c>
      <c r="C10595" t="s">
        <v>10</v>
      </c>
      <c r="D10595">
        <v>28</v>
      </c>
      <c r="E10595" s="2">
        <v>5.3518518518518521E-2</v>
      </c>
      <c r="F10595">
        <v>77.066666666666663</v>
      </c>
    </row>
    <row r="10596" spans="1:6" x14ac:dyDescent="0.25">
      <c r="A10596" s="1">
        <v>42186</v>
      </c>
      <c r="B10596" t="s">
        <v>12</v>
      </c>
      <c r="C10596" t="s">
        <v>11</v>
      </c>
      <c r="D10596">
        <v>50</v>
      </c>
      <c r="E10596" s="2">
        <v>5.2002314814814814E-2</v>
      </c>
      <c r="F10596">
        <v>74.88333333333334</v>
      </c>
    </row>
    <row r="10597" spans="1:6" x14ac:dyDescent="0.25">
      <c r="A10597" s="1">
        <v>42186</v>
      </c>
      <c r="B10597" t="s">
        <v>13</v>
      </c>
      <c r="C10597" t="s">
        <v>6</v>
      </c>
      <c r="D10597">
        <v>126</v>
      </c>
      <c r="E10597" s="2">
        <v>0.16994212962962962</v>
      </c>
      <c r="F10597">
        <v>244.71666666666667</v>
      </c>
    </row>
    <row r="10598" spans="1:6" x14ac:dyDescent="0.25">
      <c r="A10598" s="1">
        <v>42186</v>
      </c>
      <c r="B10598" t="s">
        <v>13</v>
      </c>
      <c r="C10598" t="s">
        <v>7</v>
      </c>
      <c r="D10598">
        <v>154</v>
      </c>
      <c r="E10598" s="2">
        <v>0.20555555555555555</v>
      </c>
      <c r="F10598">
        <v>296</v>
      </c>
    </row>
    <row r="10599" spans="1:6" x14ac:dyDescent="0.25">
      <c r="A10599" s="1">
        <v>42186</v>
      </c>
      <c r="B10599" t="s">
        <v>13</v>
      </c>
      <c r="C10599" t="s">
        <v>8</v>
      </c>
      <c r="D10599">
        <v>90</v>
      </c>
      <c r="E10599" s="2">
        <v>9.5370370370370369E-2</v>
      </c>
      <c r="F10599">
        <v>137.33333333333334</v>
      </c>
    </row>
    <row r="10600" spans="1:6" x14ac:dyDescent="0.25">
      <c r="A10600" s="1">
        <v>42186</v>
      </c>
      <c r="B10600" t="s">
        <v>13</v>
      </c>
      <c r="C10600" t="s">
        <v>9</v>
      </c>
      <c r="D10600">
        <v>56</v>
      </c>
      <c r="E10600" s="2">
        <v>4.4016203703703703E-2</v>
      </c>
      <c r="F10600">
        <v>63.383333333333333</v>
      </c>
    </row>
    <row r="10601" spans="1:6" x14ac:dyDescent="0.25">
      <c r="A10601" s="1">
        <v>42186</v>
      </c>
      <c r="B10601" t="s">
        <v>13</v>
      </c>
      <c r="C10601" t="s">
        <v>10</v>
      </c>
      <c r="D10601">
        <v>56</v>
      </c>
      <c r="E10601" s="2">
        <v>7.7337962962962969E-2</v>
      </c>
      <c r="F10601">
        <v>111.36666666666666</v>
      </c>
    </row>
    <row r="10602" spans="1:6" x14ac:dyDescent="0.25">
      <c r="A10602" s="1">
        <v>42186</v>
      </c>
      <c r="B10602" t="s">
        <v>13</v>
      </c>
      <c r="C10602" t="s">
        <v>11</v>
      </c>
      <c r="D10602">
        <v>78</v>
      </c>
      <c r="E10602" s="2">
        <v>7.059027777777778E-2</v>
      </c>
      <c r="F10602">
        <v>101.65</v>
      </c>
    </row>
    <row r="10603" spans="1:6" x14ac:dyDescent="0.25">
      <c r="A10603" s="1">
        <v>42186</v>
      </c>
      <c r="B10603" t="s">
        <v>14</v>
      </c>
      <c r="C10603" t="s">
        <v>6</v>
      </c>
      <c r="D10603">
        <v>5</v>
      </c>
      <c r="E10603" s="2">
        <v>7.8703703703703696E-3</v>
      </c>
      <c r="F10603">
        <v>11.333333333333334</v>
      </c>
    </row>
    <row r="10604" spans="1:6" x14ac:dyDescent="0.25">
      <c r="A10604" s="1">
        <v>42186</v>
      </c>
      <c r="B10604" t="s">
        <v>14</v>
      </c>
      <c r="C10604" t="s">
        <v>7</v>
      </c>
      <c r="D10604">
        <v>5</v>
      </c>
      <c r="E10604" s="2">
        <v>4.0972222222222226E-3</v>
      </c>
      <c r="F10604">
        <v>5.9</v>
      </c>
    </row>
    <row r="10605" spans="1:6" x14ac:dyDescent="0.25">
      <c r="A10605" s="1">
        <v>42186</v>
      </c>
      <c r="B10605" t="s">
        <v>14</v>
      </c>
      <c r="C10605" t="s">
        <v>8</v>
      </c>
      <c r="D10605">
        <v>3</v>
      </c>
      <c r="E10605" s="2">
        <v>4.4212962962962964E-3</v>
      </c>
      <c r="F10605">
        <v>6.3666666666666663</v>
      </c>
    </row>
    <row r="10606" spans="1:6" x14ac:dyDescent="0.25">
      <c r="A10606" s="1">
        <v>42186</v>
      </c>
      <c r="B10606" t="s">
        <v>14</v>
      </c>
      <c r="C10606" t="s">
        <v>9</v>
      </c>
      <c r="D10606">
        <v>3</v>
      </c>
      <c r="E10606" s="2">
        <v>3.2060185185185186E-3</v>
      </c>
      <c r="F10606">
        <v>4.6166666666666671</v>
      </c>
    </row>
    <row r="10607" spans="1:6" x14ac:dyDescent="0.25">
      <c r="A10607" s="1">
        <v>42186</v>
      </c>
      <c r="B10607" t="s">
        <v>14</v>
      </c>
      <c r="C10607" t="s">
        <v>10</v>
      </c>
      <c r="D10607">
        <v>0</v>
      </c>
      <c r="E10607" s="2">
        <v>0</v>
      </c>
      <c r="F10607">
        <v>0</v>
      </c>
    </row>
    <row r="10608" spans="1:6" x14ac:dyDescent="0.25">
      <c r="A10608" s="1">
        <v>42186</v>
      </c>
      <c r="B10608" t="s">
        <v>14</v>
      </c>
      <c r="C10608" t="s">
        <v>11</v>
      </c>
      <c r="D10608">
        <v>9</v>
      </c>
      <c r="E10608" s="2">
        <v>1.0104166666666666E-2</v>
      </c>
      <c r="F10608">
        <v>14.55</v>
      </c>
    </row>
    <row r="10609" spans="1:6" x14ac:dyDescent="0.25">
      <c r="A10609" s="1">
        <v>42186</v>
      </c>
      <c r="B10609" t="s">
        <v>15</v>
      </c>
      <c r="C10609" t="s">
        <v>6</v>
      </c>
      <c r="D10609">
        <v>28</v>
      </c>
      <c r="E10609" s="2">
        <v>4.1018518518518517E-2</v>
      </c>
      <c r="F10609">
        <v>59.06666666666667</v>
      </c>
    </row>
    <row r="10610" spans="1:6" x14ac:dyDescent="0.25">
      <c r="A10610" s="1">
        <v>42186</v>
      </c>
      <c r="B10610" t="s">
        <v>15</v>
      </c>
      <c r="C10610" t="s">
        <v>7</v>
      </c>
      <c r="D10610">
        <v>32</v>
      </c>
      <c r="E10610" s="2">
        <v>4.6238425925925926E-2</v>
      </c>
      <c r="F10610">
        <v>66.583333333333329</v>
      </c>
    </row>
    <row r="10611" spans="1:6" x14ac:dyDescent="0.25">
      <c r="A10611" s="1">
        <v>42186</v>
      </c>
      <c r="B10611" t="s">
        <v>15</v>
      </c>
      <c r="C10611" t="s">
        <v>8</v>
      </c>
      <c r="D10611">
        <v>25</v>
      </c>
      <c r="E10611" s="2">
        <v>3.1446759259259258E-2</v>
      </c>
      <c r="F10611">
        <v>45.283333333333331</v>
      </c>
    </row>
    <row r="10612" spans="1:6" x14ac:dyDescent="0.25">
      <c r="A10612" s="1">
        <v>42186</v>
      </c>
      <c r="B10612" t="s">
        <v>15</v>
      </c>
      <c r="C10612" t="s">
        <v>9</v>
      </c>
      <c r="D10612">
        <v>8</v>
      </c>
      <c r="E10612" s="2">
        <v>6.6898148148148151E-3</v>
      </c>
      <c r="F10612">
        <v>9.6333333333333329</v>
      </c>
    </row>
    <row r="10613" spans="1:6" x14ac:dyDescent="0.25">
      <c r="A10613" s="1">
        <v>42186</v>
      </c>
      <c r="B10613" t="s">
        <v>15</v>
      </c>
      <c r="C10613" t="s">
        <v>10</v>
      </c>
      <c r="D10613">
        <v>2</v>
      </c>
      <c r="E10613" s="2">
        <v>3.1018518518518517E-3</v>
      </c>
      <c r="F10613">
        <v>4.4666666666666668</v>
      </c>
    </row>
    <row r="10614" spans="1:6" x14ac:dyDescent="0.25">
      <c r="A10614" s="1">
        <v>42186</v>
      </c>
      <c r="B10614" t="s">
        <v>15</v>
      </c>
      <c r="C10614" t="s">
        <v>11</v>
      </c>
      <c r="D10614">
        <v>14</v>
      </c>
      <c r="E10614" s="2">
        <v>1.2002314814814815E-2</v>
      </c>
      <c r="F10614">
        <v>17.283333333333335</v>
      </c>
    </row>
    <row r="10615" spans="1:6" x14ac:dyDescent="0.25">
      <c r="A10615" s="1">
        <v>42186</v>
      </c>
      <c r="B10615" t="s">
        <v>16</v>
      </c>
      <c r="C10615" t="s">
        <v>6</v>
      </c>
      <c r="D10615">
        <v>8</v>
      </c>
      <c r="E10615" s="2">
        <v>9.0740740740740747E-3</v>
      </c>
      <c r="F10615">
        <v>13.066666666666666</v>
      </c>
    </row>
    <row r="10616" spans="1:6" x14ac:dyDescent="0.25">
      <c r="A10616" s="1">
        <v>42186</v>
      </c>
      <c r="B10616" t="s">
        <v>16</v>
      </c>
      <c r="C10616" t="s">
        <v>7</v>
      </c>
      <c r="D10616">
        <v>13</v>
      </c>
      <c r="E10616" s="2">
        <v>1.4548611111111111E-2</v>
      </c>
      <c r="F10616">
        <v>20.95</v>
      </c>
    </row>
    <row r="10617" spans="1:6" x14ac:dyDescent="0.25">
      <c r="A10617" s="1">
        <v>42186</v>
      </c>
      <c r="B10617" t="s">
        <v>16</v>
      </c>
      <c r="C10617" t="s">
        <v>8</v>
      </c>
      <c r="D10617">
        <v>10</v>
      </c>
      <c r="E10617" s="2">
        <v>1.1018518518518518E-2</v>
      </c>
      <c r="F10617">
        <v>15.866666666666667</v>
      </c>
    </row>
    <row r="10618" spans="1:6" x14ac:dyDescent="0.25">
      <c r="A10618" s="1">
        <v>42186</v>
      </c>
      <c r="B10618" t="s">
        <v>16</v>
      </c>
      <c r="C10618" t="s">
        <v>9</v>
      </c>
      <c r="D10618">
        <v>7</v>
      </c>
      <c r="E10618" s="2">
        <v>3.6342592592592594E-3</v>
      </c>
      <c r="F10618">
        <v>5.2333333333333334</v>
      </c>
    </row>
    <row r="10619" spans="1:6" x14ac:dyDescent="0.25">
      <c r="A10619" s="1">
        <v>42186</v>
      </c>
      <c r="B10619" t="s">
        <v>16</v>
      </c>
      <c r="C10619" t="s">
        <v>10</v>
      </c>
      <c r="D10619">
        <v>9</v>
      </c>
      <c r="E10619" s="2">
        <v>9.6064814814814815E-3</v>
      </c>
      <c r="F10619">
        <v>13.833333333333334</v>
      </c>
    </row>
    <row r="10620" spans="1:6" x14ac:dyDescent="0.25">
      <c r="A10620" s="1">
        <v>42186</v>
      </c>
      <c r="B10620" t="s">
        <v>16</v>
      </c>
      <c r="C10620" t="s">
        <v>11</v>
      </c>
      <c r="D10620">
        <v>19</v>
      </c>
      <c r="E10620" s="2">
        <v>1.2638888888888889E-2</v>
      </c>
      <c r="F10620">
        <v>18.2</v>
      </c>
    </row>
    <row r="10621" spans="1:6" x14ac:dyDescent="0.25">
      <c r="A10621" s="1">
        <v>42186</v>
      </c>
      <c r="B10621" t="s">
        <v>17</v>
      </c>
      <c r="C10621" t="s">
        <v>6</v>
      </c>
      <c r="D10621">
        <v>4</v>
      </c>
      <c r="E10621" s="2">
        <v>4.0393518518518521E-3</v>
      </c>
      <c r="F10621">
        <v>5.8166666666666664</v>
      </c>
    </row>
    <row r="10622" spans="1:6" x14ac:dyDescent="0.25">
      <c r="A10622" s="1">
        <v>42186</v>
      </c>
      <c r="B10622" t="s">
        <v>17</v>
      </c>
      <c r="C10622" t="s">
        <v>7</v>
      </c>
      <c r="D10622">
        <v>8</v>
      </c>
      <c r="E10622" s="2">
        <v>1.1944444444444445E-2</v>
      </c>
      <c r="F10622">
        <v>17.2</v>
      </c>
    </row>
    <row r="10623" spans="1:6" x14ac:dyDescent="0.25">
      <c r="A10623" s="1">
        <v>42186</v>
      </c>
      <c r="B10623" t="s">
        <v>17</v>
      </c>
      <c r="C10623" t="s">
        <v>8</v>
      </c>
      <c r="D10623">
        <v>7</v>
      </c>
      <c r="E10623" s="2">
        <v>6.1574074074074074E-3</v>
      </c>
      <c r="F10623">
        <v>8.8666666666666671</v>
      </c>
    </row>
    <row r="10624" spans="1:6" x14ac:dyDescent="0.25">
      <c r="A10624" s="1">
        <v>42186</v>
      </c>
      <c r="B10624" t="s">
        <v>17</v>
      </c>
      <c r="C10624" t="s">
        <v>9</v>
      </c>
      <c r="D10624">
        <v>4</v>
      </c>
      <c r="E10624" s="2">
        <v>2.0138888888888888E-3</v>
      </c>
      <c r="F10624">
        <v>2.9</v>
      </c>
    </row>
    <row r="10625" spans="1:6" x14ac:dyDescent="0.25">
      <c r="A10625" s="1">
        <v>42186</v>
      </c>
      <c r="B10625" t="s">
        <v>17</v>
      </c>
      <c r="C10625" t="s">
        <v>10</v>
      </c>
      <c r="D10625">
        <v>4</v>
      </c>
      <c r="E10625" s="2">
        <v>5.4513888888888893E-3</v>
      </c>
      <c r="F10625">
        <v>7.85</v>
      </c>
    </row>
    <row r="10626" spans="1:6" x14ac:dyDescent="0.25">
      <c r="A10626" s="1">
        <v>42186</v>
      </c>
      <c r="B10626" t="s">
        <v>17</v>
      </c>
      <c r="C10626" t="s">
        <v>11</v>
      </c>
      <c r="D10626">
        <v>4</v>
      </c>
      <c r="E10626" s="2">
        <v>3.2986111111111111E-3</v>
      </c>
      <c r="F10626">
        <v>4.75</v>
      </c>
    </row>
    <row r="10627" spans="1:6" x14ac:dyDescent="0.25">
      <c r="A10627" s="1">
        <v>42186</v>
      </c>
      <c r="B10627" t="s">
        <v>18</v>
      </c>
      <c r="C10627" t="s">
        <v>6</v>
      </c>
      <c r="D10627">
        <v>50</v>
      </c>
      <c r="E10627" s="2">
        <v>5.1157407407407408E-2</v>
      </c>
      <c r="F10627">
        <v>73.666666666666671</v>
      </c>
    </row>
    <row r="10628" spans="1:6" x14ac:dyDescent="0.25">
      <c r="A10628" s="1">
        <v>42186</v>
      </c>
      <c r="B10628" t="s">
        <v>18</v>
      </c>
      <c r="C10628" t="s">
        <v>7</v>
      </c>
      <c r="D10628">
        <v>89</v>
      </c>
      <c r="E10628" s="2">
        <v>8.3194444444444446E-2</v>
      </c>
      <c r="F10628">
        <v>119.8</v>
      </c>
    </row>
    <row r="10629" spans="1:6" x14ac:dyDescent="0.25">
      <c r="A10629" s="1">
        <v>42186</v>
      </c>
      <c r="B10629" t="s">
        <v>18</v>
      </c>
      <c r="C10629" t="s">
        <v>8</v>
      </c>
      <c r="D10629">
        <v>42</v>
      </c>
      <c r="E10629" s="2">
        <v>4.1851851851851848E-2</v>
      </c>
      <c r="F10629">
        <v>60.266666666666666</v>
      </c>
    </row>
    <row r="10630" spans="1:6" x14ac:dyDescent="0.25">
      <c r="A10630" s="1">
        <v>42186</v>
      </c>
      <c r="B10630" t="s">
        <v>18</v>
      </c>
      <c r="C10630" t="s">
        <v>9</v>
      </c>
      <c r="D10630">
        <v>42</v>
      </c>
      <c r="E10630" s="2">
        <v>3.3391203703703701E-2</v>
      </c>
      <c r="F10630">
        <v>48.083333333333336</v>
      </c>
    </row>
    <row r="10631" spans="1:6" x14ac:dyDescent="0.25">
      <c r="A10631" s="1">
        <v>42186</v>
      </c>
      <c r="B10631" t="s">
        <v>18</v>
      </c>
      <c r="C10631" t="s">
        <v>10</v>
      </c>
      <c r="D10631">
        <v>103</v>
      </c>
      <c r="E10631" s="2">
        <v>0.12535879629629629</v>
      </c>
      <c r="F10631">
        <v>180.51666666666668</v>
      </c>
    </row>
    <row r="10632" spans="1:6" x14ac:dyDescent="0.25">
      <c r="A10632" s="1">
        <v>42186</v>
      </c>
      <c r="B10632" t="s">
        <v>18</v>
      </c>
      <c r="C10632" t="s">
        <v>11</v>
      </c>
      <c r="D10632">
        <v>41</v>
      </c>
      <c r="E10632" s="2">
        <v>2.7835648148148148E-2</v>
      </c>
      <c r="F10632">
        <v>40.083333333333336</v>
      </c>
    </row>
    <row r="10633" spans="1:6" x14ac:dyDescent="0.25">
      <c r="A10633" s="1">
        <v>42186</v>
      </c>
      <c r="B10633" t="s">
        <v>19</v>
      </c>
      <c r="C10633" t="s">
        <v>6</v>
      </c>
      <c r="D10633">
        <v>4</v>
      </c>
      <c r="E10633" s="2">
        <v>4.5254629629629629E-3</v>
      </c>
      <c r="F10633">
        <v>6.5166666666666666</v>
      </c>
    </row>
    <row r="10634" spans="1:6" x14ac:dyDescent="0.25">
      <c r="A10634" s="1">
        <v>42186</v>
      </c>
      <c r="B10634" t="s">
        <v>19</v>
      </c>
      <c r="C10634" t="s">
        <v>7</v>
      </c>
      <c r="D10634">
        <v>17</v>
      </c>
      <c r="E10634" s="2">
        <v>2.3043981481481481E-2</v>
      </c>
      <c r="F10634">
        <v>33.18333333333333</v>
      </c>
    </row>
    <row r="10635" spans="1:6" x14ac:dyDescent="0.25">
      <c r="A10635" s="1">
        <v>42186</v>
      </c>
      <c r="B10635" t="s">
        <v>19</v>
      </c>
      <c r="C10635" t="s">
        <v>8</v>
      </c>
      <c r="D10635">
        <v>8</v>
      </c>
      <c r="E10635" s="2">
        <v>6.8055555555555551E-3</v>
      </c>
      <c r="F10635">
        <v>9.8000000000000007</v>
      </c>
    </row>
    <row r="10636" spans="1:6" x14ac:dyDescent="0.25">
      <c r="A10636" s="1">
        <v>42186</v>
      </c>
      <c r="B10636" t="s">
        <v>19</v>
      </c>
      <c r="C10636" t="s">
        <v>9</v>
      </c>
      <c r="D10636">
        <v>8</v>
      </c>
      <c r="E10636" s="2">
        <v>6.1805555555555555E-3</v>
      </c>
      <c r="F10636">
        <v>8.9</v>
      </c>
    </row>
    <row r="10637" spans="1:6" x14ac:dyDescent="0.25">
      <c r="A10637" s="1">
        <v>42186</v>
      </c>
      <c r="B10637" t="s">
        <v>19</v>
      </c>
      <c r="C10637" t="s">
        <v>10</v>
      </c>
      <c r="D10637">
        <v>6</v>
      </c>
      <c r="E10637" s="2">
        <v>7.1064814814814819E-3</v>
      </c>
      <c r="F10637">
        <v>10.233333333333333</v>
      </c>
    </row>
    <row r="10638" spans="1:6" x14ac:dyDescent="0.25">
      <c r="A10638" s="1">
        <v>42186</v>
      </c>
      <c r="B10638" t="s">
        <v>19</v>
      </c>
      <c r="C10638" t="s">
        <v>11</v>
      </c>
      <c r="D10638">
        <v>21</v>
      </c>
      <c r="E10638" s="2">
        <v>2.0821759259259259E-2</v>
      </c>
      <c r="F10638">
        <v>29.983333333333334</v>
      </c>
    </row>
    <row r="10639" spans="1:6" x14ac:dyDescent="0.25">
      <c r="A10639" s="1">
        <v>42186</v>
      </c>
      <c r="B10639" t="s">
        <v>20</v>
      </c>
      <c r="C10639" t="s">
        <v>6</v>
      </c>
      <c r="D10639">
        <v>43</v>
      </c>
      <c r="E10639" s="2">
        <v>5.5671296296296295E-2</v>
      </c>
      <c r="F10639">
        <v>80.166666666666671</v>
      </c>
    </row>
    <row r="10640" spans="1:6" x14ac:dyDescent="0.25">
      <c r="A10640" s="1">
        <v>42186</v>
      </c>
      <c r="B10640" t="s">
        <v>20</v>
      </c>
      <c r="C10640" t="s">
        <v>7</v>
      </c>
      <c r="D10640">
        <v>31</v>
      </c>
      <c r="E10640" s="2">
        <v>4.266203703703704E-2</v>
      </c>
      <c r="F10640">
        <v>61.43333333333333</v>
      </c>
    </row>
    <row r="10641" spans="1:6" x14ac:dyDescent="0.25">
      <c r="A10641" s="1">
        <v>42186</v>
      </c>
      <c r="B10641" t="s">
        <v>20</v>
      </c>
      <c r="C10641" t="s">
        <v>8</v>
      </c>
      <c r="D10641">
        <v>30</v>
      </c>
      <c r="E10641" s="2">
        <v>3.2754629629629627E-2</v>
      </c>
      <c r="F10641">
        <v>47.166666666666664</v>
      </c>
    </row>
    <row r="10642" spans="1:6" x14ac:dyDescent="0.25">
      <c r="A10642" s="1">
        <v>42186</v>
      </c>
      <c r="B10642" t="s">
        <v>20</v>
      </c>
      <c r="C10642" t="s">
        <v>9</v>
      </c>
      <c r="D10642">
        <v>23</v>
      </c>
      <c r="E10642" s="2">
        <v>1.8576388888888889E-2</v>
      </c>
      <c r="F10642">
        <v>26.75</v>
      </c>
    </row>
    <row r="10643" spans="1:6" x14ac:dyDescent="0.25">
      <c r="A10643" s="1">
        <v>42186</v>
      </c>
      <c r="B10643" t="s">
        <v>20</v>
      </c>
      <c r="C10643" t="s">
        <v>10</v>
      </c>
      <c r="D10643">
        <v>5</v>
      </c>
      <c r="E10643" s="2">
        <v>6.3773148148148148E-3</v>
      </c>
      <c r="F10643">
        <v>9.1833333333333336</v>
      </c>
    </row>
    <row r="10644" spans="1:6" x14ac:dyDescent="0.25">
      <c r="A10644" s="1">
        <v>42186</v>
      </c>
      <c r="B10644" t="s">
        <v>20</v>
      </c>
      <c r="C10644" t="s">
        <v>11</v>
      </c>
      <c r="D10644">
        <v>26</v>
      </c>
      <c r="E10644" s="2">
        <v>2.3726851851851853E-2</v>
      </c>
      <c r="F10644">
        <v>34.166666666666664</v>
      </c>
    </row>
    <row r="10645" spans="1:6" x14ac:dyDescent="0.25">
      <c r="A10645" s="1">
        <v>42186</v>
      </c>
      <c r="B10645" t="s">
        <v>21</v>
      </c>
      <c r="C10645" t="s">
        <v>6</v>
      </c>
      <c r="D10645">
        <v>11</v>
      </c>
      <c r="E10645" s="2">
        <v>1.3645833333333333E-2</v>
      </c>
      <c r="F10645">
        <v>19.649999999999999</v>
      </c>
    </row>
    <row r="10646" spans="1:6" x14ac:dyDescent="0.25">
      <c r="A10646" s="1">
        <v>42186</v>
      </c>
      <c r="B10646" t="s">
        <v>21</v>
      </c>
      <c r="C10646" t="s">
        <v>7</v>
      </c>
      <c r="D10646">
        <v>5</v>
      </c>
      <c r="E10646" s="2">
        <v>8.5879629629629622E-3</v>
      </c>
      <c r="F10646">
        <v>12.366666666666667</v>
      </c>
    </row>
    <row r="10647" spans="1:6" x14ac:dyDescent="0.25">
      <c r="A10647" s="1">
        <v>42186</v>
      </c>
      <c r="B10647" t="s">
        <v>21</v>
      </c>
      <c r="C10647" t="s">
        <v>8</v>
      </c>
      <c r="D10647">
        <v>10</v>
      </c>
      <c r="E10647" s="2">
        <v>1.3506944444444445E-2</v>
      </c>
      <c r="F10647">
        <v>19.45</v>
      </c>
    </row>
    <row r="10648" spans="1:6" x14ac:dyDescent="0.25">
      <c r="A10648" s="1">
        <v>42186</v>
      </c>
      <c r="B10648" t="s">
        <v>21</v>
      </c>
      <c r="C10648" t="s">
        <v>9</v>
      </c>
      <c r="D10648">
        <v>9</v>
      </c>
      <c r="E10648" s="2">
        <v>6.875E-3</v>
      </c>
      <c r="F10648">
        <v>9.9</v>
      </c>
    </row>
    <row r="10649" spans="1:6" x14ac:dyDescent="0.25">
      <c r="A10649" s="1">
        <v>42186</v>
      </c>
      <c r="B10649" t="s">
        <v>21</v>
      </c>
      <c r="C10649" t="s">
        <v>10</v>
      </c>
      <c r="D10649">
        <v>2</v>
      </c>
      <c r="E10649" s="2">
        <v>2.0486111111111113E-3</v>
      </c>
      <c r="F10649">
        <v>2.95</v>
      </c>
    </row>
    <row r="10650" spans="1:6" x14ac:dyDescent="0.25">
      <c r="A10650" s="1">
        <v>42186</v>
      </c>
      <c r="B10650" t="s">
        <v>21</v>
      </c>
      <c r="C10650" t="s">
        <v>11</v>
      </c>
      <c r="D10650">
        <v>15</v>
      </c>
      <c r="E10650" s="2">
        <v>1.4976851851851852E-2</v>
      </c>
      <c r="F10650">
        <v>21.566666666666666</v>
      </c>
    </row>
    <row r="10651" spans="1:6" x14ac:dyDescent="0.25">
      <c r="A10651" s="1">
        <v>42186</v>
      </c>
      <c r="B10651" t="s">
        <v>22</v>
      </c>
      <c r="C10651" t="s">
        <v>6</v>
      </c>
      <c r="D10651">
        <v>20</v>
      </c>
      <c r="E10651" s="2">
        <v>2.5069444444444443E-2</v>
      </c>
      <c r="F10651">
        <v>36.1</v>
      </c>
    </row>
    <row r="10652" spans="1:6" x14ac:dyDescent="0.25">
      <c r="A10652" s="1">
        <v>42186</v>
      </c>
      <c r="B10652" t="s">
        <v>22</v>
      </c>
      <c r="C10652" t="s">
        <v>7</v>
      </c>
      <c r="D10652">
        <v>12</v>
      </c>
      <c r="E10652" s="2">
        <v>2.0856481481481483E-2</v>
      </c>
      <c r="F10652">
        <v>30.033333333333335</v>
      </c>
    </row>
    <row r="10653" spans="1:6" x14ac:dyDescent="0.25">
      <c r="A10653" s="1">
        <v>42186</v>
      </c>
      <c r="B10653" t="s">
        <v>22</v>
      </c>
      <c r="C10653" t="s">
        <v>8</v>
      </c>
      <c r="D10653">
        <v>7</v>
      </c>
      <c r="E10653" s="2">
        <v>6.4583333333333333E-3</v>
      </c>
      <c r="F10653">
        <v>9.3000000000000007</v>
      </c>
    </row>
    <row r="10654" spans="1:6" x14ac:dyDescent="0.25">
      <c r="A10654" s="1">
        <v>42186</v>
      </c>
      <c r="B10654" t="s">
        <v>22</v>
      </c>
      <c r="C10654" t="s">
        <v>9</v>
      </c>
      <c r="D10654">
        <v>3</v>
      </c>
      <c r="E10654" s="2">
        <v>3.1597222222222222E-3</v>
      </c>
      <c r="F10654">
        <v>4.55</v>
      </c>
    </row>
    <row r="10655" spans="1:6" x14ac:dyDescent="0.25">
      <c r="A10655" s="1">
        <v>42186</v>
      </c>
      <c r="B10655" t="s">
        <v>22</v>
      </c>
      <c r="C10655" t="s">
        <v>10</v>
      </c>
      <c r="D10655">
        <v>3</v>
      </c>
      <c r="E10655" s="2">
        <v>4.4212962962962964E-3</v>
      </c>
      <c r="F10655">
        <v>6.3666666666666663</v>
      </c>
    </row>
    <row r="10656" spans="1:6" x14ac:dyDescent="0.25">
      <c r="A10656" s="1">
        <v>42186</v>
      </c>
      <c r="B10656" t="s">
        <v>22</v>
      </c>
      <c r="C10656" t="s">
        <v>11</v>
      </c>
      <c r="D10656">
        <v>13</v>
      </c>
      <c r="E10656" s="2">
        <v>1.21875E-2</v>
      </c>
      <c r="F10656">
        <v>17.55</v>
      </c>
    </row>
    <row r="10657" spans="1:6" x14ac:dyDescent="0.25">
      <c r="A10657" s="1">
        <v>42186</v>
      </c>
      <c r="B10657" t="s">
        <v>23</v>
      </c>
      <c r="C10657" t="s">
        <v>6</v>
      </c>
      <c r="D10657">
        <v>79</v>
      </c>
      <c r="E10657" s="2">
        <v>0.10837962962962963</v>
      </c>
      <c r="F10657">
        <v>156.06666666666666</v>
      </c>
    </row>
    <row r="10658" spans="1:6" x14ac:dyDescent="0.25">
      <c r="A10658" s="1">
        <v>42186</v>
      </c>
      <c r="B10658" t="s">
        <v>23</v>
      </c>
      <c r="C10658" t="s">
        <v>7</v>
      </c>
      <c r="D10658">
        <v>90</v>
      </c>
      <c r="E10658" s="2">
        <v>0.14675925925925926</v>
      </c>
      <c r="F10658">
        <v>211.33333333333334</v>
      </c>
    </row>
    <row r="10659" spans="1:6" x14ac:dyDescent="0.25">
      <c r="A10659" s="1">
        <v>42186</v>
      </c>
      <c r="B10659" t="s">
        <v>23</v>
      </c>
      <c r="C10659" t="s">
        <v>8</v>
      </c>
      <c r="D10659">
        <v>50</v>
      </c>
      <c r="E10659" s="2">
        <v>4.809027777777778E-2</v>
      </c>
      <c r="F10659">
        <v>69.25</v>
      </c>
    </row>
    <row r="10660" spans="1:6" x14ac:dyDescent="0.25">
      <c r="A10660" s="1">
        <v>42186</v>
      </c>
      <c r="B10660" t="s">
        <v>23</v>
      </c>
      <c r="C10660" t="s">
        <v>9</v>
      </c>
      <c r="D10660">
        <v>31</v>
      </c>
      <c r="E10660" s="2">
        <v>2.71875E-2</v>
      </c>
      <c r="F10660">
        <v>39.15</v>
      </c>
    </row>
    <row r="10661" spans="1:6" x14ac:dyDescent="0.25">
      <c r="A10661" s="1">
        <v>42186</v>
      </c>
      <c r="B10661" t="s">
        <v>23</v>
      </c>
      <c r="C10661" t="s">
        <v>10</v>
      </c>
      <c r="D10661">
        <v>18</v>
      </c>
      <c r="E10661" s="2">
        <v>2.8032407407407409E-2</v>
      </c>
      <c r="F10661">
        <v>40.366666666666667</v>
      </c>
    </row>
    <row r="10662" spans="1:6" x14ac:dyDescent="0.25">
      <c r="A10662" s="1">
        <v>42186</v>
      </c>
      <c r="B10662" t="s">
        <v>23</v>
      </c>
      <c r="C10662" t="s">
        <v>11</v>
      </c>
      <c r="D10662">
        <v>76</v>
      </c>
      <c r="E10662" s="2">
        <v>6.9560185185185183E-2</v>
      </c>
      <c r="F10662">
        <v>100.16666666666667</v>
      </c>
    </row>
    <row r="10663" spans="1:6" x14ac:dyDescent="0.25">
      <c r="A10663" s="1">
        <v>42186</v>
      </c>
      <c r="B10663" t="s">
        <v>24</v>
      </c>
      <c r="C10663" t="s">
        <v>6</v>
      </c>
      <c r="D10663">
        <v>51</v>
      </c>
      <c r="E10663" s="2">
        <v>5.244212962962963E-2</v>
      </c>
      <c r="F10663">
        <v>75.516666666666666</v>
      </c>
    </row>
    <row r="10664" spans="1:6" x14ac:dyDescent="0.25">
      <c r="A10664" s="1">
        <v>42186</v>
      </c>
      <c r="B10664" t="s">
        <v>24</v>
      </c>
      <c r="C10664" t="s">
        <v>7</v>
      </c>
      <c r="D10664">
        <v>54</v>
      </c>
      <c r="E10664" s="2">
        <v>3.7303240740740741E-2</v>
      </c>
      <c r="F10664">
        <v>53.716666666666669</v>
      </c>
    </row>
    <row r="10665" spans="1:6" x14ac:dyDescent="0.25">
      <c r="A10665" s="1">
        <v>42186</v>
      </c>
      <c r="B10665" t="s">
        <v>24</v>
      </c>
      <c r="C10665" t="s">
        <v>8</v>
      </c>
      <c r="D10665">
        <v>47</v>
      </c>
      <c r="E10665" s="2">
        <v>3.6655092592592593E-2</v>
      </c>
      <c r="F10665">
        <v>52.783333333333331</v>
      </c>
    </row>
    <row r="10666" spans="1:6" x14ac:dyDescent="0.25">
      <c r="A10666" s="1">
        <v>42186</v>
      </c>
      <c r="B10666" t="s">
        <v>24</v>
      </c>
      <c r="C10666" t="s">
        <v>9</v>
      </c>
      <c r="D10666">
        <v>53</v>
      </c>
      <c r="E10666" s="2">
        <v>3.560185185185185E-2</v>
      </c>
      <c r="F10666">
        <v>51.266666666666666</v>
      </c>
    </row>
    <row r="10667" spans="1:6" x14ac:dyDescent="0.25">
      <c r="A10667" s="1">
        <v>42186</v>
      </c>
      <c r="B10667" t="s">
        <v>24</v>
      </c>
      <c r="C10667" t="s">
        <v>10</v>
      </c>
      <c r="D10667">
        <v>4</v>
      </c>
      <c r="E10667" s="2">
        <v>4.5949074074074078E-3</v>
      </c>
      <c r="F10667">
        <v>6.6166666666666671</v>
      </c>
    </row>
    <row r="10668" spans="1:6" x14ac:dyDescent="0.25">
      <c r="A10668" s="1">
        <v>42186</v>
      </c>
      <c r="B10668" t="s">
        <v>24</v>
      </c>
      <c r="C10668" t="s">
        <v>11</v>
      </c>
      <c r="D10668">
        <v>41</v>
      </c>
      <c r="E10668" s="2">
        <v>2.4502314814814814E-2</v>
      </c>
      <c r="F10668">
        <v>35.283333333333331</v>
      </c>
    </row>
    <row r="10669" spans="1:6" x14ac:dyDescent="0.25">
      <c r="A10669" s="1">
        <v>42217</v>
      </c>
      <c r="B10669" t="s">
        <v>5</v>
      </c>
      <c r="C10669" t="s">
        <v>6</v>
      </c>
      <c r="D10669">
        <v>31</v>
      </c>
      <c r="E10669" s="2">
        <v>2.8599537037037038E-2</v>
      </c>
      <c r="F10669">
        <v>41.18333333333333</v>
      </c>
    </row>
    <row r="10670" spans="1:6" x14ac:dyDescent="0.25">
      <c r="A10670" s="1">
        <v>42217</v>
      </c>
      <c r="B10670" t="s">
        <v>5</v>
      </c>
      <c r="C10670" t="s">
        <v>7</v>
      </c>
      <c r="D10670">
        <v>62</v>
      </c>
      <c r="E10670" s="2">
        <v>5.5625000000000001E-2</v>
      </c>
      <c r="F10670">
        <v>80.099999999999994</v>
      </c>
    </row>
    <row r="10671" spans="1:6" x14ac:dyDescent="0.25">
      <c r="A10671" s="1">
        <v>42217</v>
      </c>
      <c r="B10671" t="s">
        <v>5</v>
      </c>
      <c r="C10671" t="s">
        <v>8</v>
      </c>
      <c r="D10671">
        <v>43</v>
      </c>
      <c r="E10671" s="2">
        <v>3.7384259259259256E-2</v>
      </c>
      <c r="F10671">
        <v>53.833333333333336</v>
      </c>
    </row>
    <row r="10672" spans="1:6" x14ac:dyDescent="0.25">
      <c r="A10672" s="1">
        <v>42217</v>
      </c>
      <c r="B10672" t="s">
        <v>5</v>
      </c>
      <c r="C10672" t="s">
        <v>9</v>
      </c>
      <c r="D10672">
        <v>11</v>
      </c>
      <c r="E10672" s="2">
        <v>9.4444444444444445E-3</v>
      </c>
      <c r="F10672">
        <v>13.6</v>
      </c>
    </row>
    <row r="10673" spans="1:6" x14ac:dyDescent="0.25">
      <c r="A10673" s="1">
        <v>42217</v>
      </c>
      <c r="B10673" t="s">
        <v>5</v>
      </c>
      <c r="C10673" t="s">
        <v>10</v>
      </c>
      <c r="D10673">
        <v>18</v>
      </c>
      <c r="E10673" s="2">
        <v>1.3773148148148149E-2</v>
      </c>
      <c r="F10673">
        <v>19.833333333333332</v>
      </c>
    </row>
    <row r="10674" spans="1:6" x14ac:dyDescent="0.25">
      <c r="A10674" s="1">
        <v>42217</v>
      </c>
      <c r="B10674" t="s">
        <v>5</v>
      </c>
      <c r="C10674" t="s">
        <v>11</v>
      </c>
      <c r="D10674">
        <v>51</v>
      </c>
      <c r="E10674" s="2">
        <v>3.2719907407407406E-2</v>
      </c>
      <c r="F10674">
        <v>47.116666666666667</v>
      </c>
    </row>
    <row r="10675" spans="1:6" x14ac:dyDescent="0.25">
      <c r="A10675" s="1">
        <v>42217</v>
      </c>
      <c r="B10675" t="s">
        <v>12</v>
      </c>
      <c r="C10675" t="s">
        <v>6</v>
      </c>
      <c r="D10675">
        <v>54</v>
      </c>
      <c r="E10675" s="2">
        <v>8.1307870370370364E-2</v>
      </c>
      <c r="F10675">
        <v>117.08333333333333</v>
      </c>
    </row>
    <row r="10676" spans="1:6" x14ac:dyDescent="0.25">
      <c r="A10676" s="1">
        <v>42217</v>
      </c>
      <c r="B10676" t="s">
        <v>12</v>
      </c>
      <c r="C10676" t="s">
        <v>7</v>
      </c>
      <c r="D10676">
        <v>33</v>
      </c>
      <c r="E10676" s="2">
        <v>6.5462962962962959E-2</v>
      </c>
      <c r="F10676">
        <v>94.266666666666666</v>
      </c>
    </row>
    <row r="10677" spans="1:6" x14ac:dyDescent="0.25">
      <c r="A10677" s="1">
        <v>42217</v>
      </c>
      <c r="B10677" t="s">
        <v>12</v>
      </c>
      <c r="C10677" t="s">
        <v>8</v>
      </c>
      <c r="D10677">
        <v>19</v>
      </c>
      <c r="E10677" s="2">
        <v>2.4594907407407409E-2</v>
      </c>
      <c r="F10677">
        <v>35.416666666666664</v>
      </c>
    </row>
    <row r="10678" spans="1:6" x14ac:dyDescent="0.25">
      <c r="A10678" s="1">
        <v>42217</v>
      </c>
      <c r="B10678" t="s">
        <v>12</v>
      </c>
      <c r="C10678" t="s">
        <v>9</v>
      </c>
      <c r="D10678">
        <v>25</v>
      </c>
      <c r="E10678" s="2">
        <v>2.417824074074074E-2</v>
      </c>
      <c r="F10678">
        <v>34.81666666666667</v>
      </c>
    </row>
    <row r="10679" spans="1:6" x14ac:dyDescent="0.25">
      <c r="A10679" s="1">
        <v>42217</v>
      </c>
      <c r="B10679" t="s">
        <v>12</v>
      </c>
      <c r="C10679" t="s">
        <v>10</v>
      </c>
      <c r="D10679">
        <v>27</v>
      </c>
      <c r="E10679" s="2">
        <v>4.5462962962962962E-2</v>
      </c>
      <c r="F10679">
        <v>65.466666666666669</v>
      </c>
    </row>
    <row r="10680" spans="1:6" x14ac:dyDescent="0.25">
      <c r="A10680" s="1">
        <v>42217</v>
      </c>
      <c r="B10680" t="s">
        <v>12</v>
      </c>
      <c r="C10680" t="s">
        <v>11</v>
      </c>
      <c r="D10680">
        <v>48</v>
      </c>
      <c r="E10680" s="2">
        <v>5.2627314814814814E-2</v>
      </c>
      <c r="F10680">
        <v>75.783333333333331</v>
      </c>
    </row>
    <row r="10681" spans="1:6" x14ac:dyDescent="0.25">
      <c r="A10681" s="1">
        <v>42217</v>
      </c>
      <c r="B10681" t="s">
        <v>13</v>
      </c>
      <c r="C10681" t="s">
        <v>6</v>
      </c>
      <c r="D10681">
        <v>96</v>
      </c>
      <c r="E10681" s="2">
        <v>0.13473379629629631</v>
      </c>
      <c r="F10681">
        <v>194.01666666666668</v>
      </c>
    </row>
    <row r="10682" spans="1:6" x14ac:dyDescent="0.25">
      <c r="A10682" s="1">
        <v>42217</v>
      </c>
      <c r="B10682" t="s">
        <v>13</v>
      </c>
      <c r="C10682" t="s">
        <v>7</v>
      </c>
      <c r="D10682">
        <v>104</v>
      </c>
      <c r="E10682" s="2">
        <v>0.16457175925925926</v>
      </c>
      <c r="F10682">
        <v>236.98333333333332</v>
      </c>
    </row>
    <row r="10683" spans="1:6" x14ac:dyDescent="0.25">
      <c r="A10683" s="1">
        <v>42217</v>
      </c>
      <c r="B10683" t="s">
        <v>13</v>
      </c>
      <c r="C10683" t="s">
        <v>8</v>
      </c>
      <c r="D10683">
        <v>70</v>
      </c>
      <c r="E10683" s="2">
        <v>7.8425925925925927E-2</v>
      </c>
      <c r="F10683">
        <v>112.93333333333334</v>
      </c>
    </row>
    <row r="10684" spans="1:6" x14ac:dyDescent="0.25">
      <c r="A10684" s="1">
        <v>42217</v>
      </c>
      <c r="B10684" t="s">
        <v>13</v>
      </c>
      <c r="C10684" t="s">
        <v>9</v>
      </c>
      <c r="D10684">
        <v>42</v>
      </c>
      <c r="E10684" s="2">
        <v>3.6354166666666667E-2</v>
      </c>
      <c r="F10684">
        <v>52.35</v>
      </c>
    </row>
    <row r="10685" spans="1:6" x14ac:dyDescent="0.25">
      <c r="A10685" s="1">
        <v>42217</v>
      </c>
      <c r="B10685" t="s">
        <v>13</v>
      </c>
      <c r="C10685" t="s">
        <v>10</v>
      </c>
      <c r="D10685">
        <v>21</v>
      </c>
      <c r="E10685" s="2">
        <v>3.0671296296296297E-2</v>
      </c>
      <c r="F10685">
        <v>44.166666666666664</v>
      </c>
    </row>
    <row r="10686" spans="1:6" x14ac:dyDescent="0.25">
      <c r="A10686" s="1">
        <v>42217</v>
      </c>
      <c r="B10686" t="s">
        <v>13</v>
      </c>
      <c r="C10686" t="s">
        <v>11</v>
      </c>
      <c r="D10686">
        <v>50</v>
      </c>
      <c r="E10686" s="2">
        <v>4.3124999999999997E-2</v>
      </c>
      <c r="F10686">
        <v>62.1</v>
      </c>
    </row>
    <row r="10687" spans="1:6" x14ac:dyDescent="0.25">
      <c r="A10687" s="1">
        <v>42217</v>
      </c>
      <c r="B10687" t="s">
        <v>14</v>
      </c>
      <c r="C10687" t="s">
        <v>6</v>
      </c>
      <c r="D10687">
        <v>13</v>
      </c>
      <c r="E10687" s="2">
        <v>2.2361111111111109E-2</v>
      </c>
      <c r="F10687">
        <v>32.200000000000003</v>
      </c>
    </row>
    <row r="10688" spans="1:6" x14ac:dyDescent="0.25">
      <c r="A10688" s="1">
        <v>42217</v>
      </c>
      <c r="B10688" t="s">
        <v>14</v>
      </c>
      <c r="C10688" t="s">
        <v>7</v>
      </c>
      <c r="D10688">
        <v>5</v>
      </c>
      <c r="E10688" s="2">
        <v>7.6620370370370366E-3</v>
      </c>
      <c r="F10688">
        <v>11.033333333333333</v>
      </c>
    </row>
    <row r="10689" spans="1:6" x14ac:dyDescent="0.25">
      <c r="A10689" s="1">
        <v>42217</v>
      </c>
      <c r="B10689" t="s">
        <v>14</v>
      </c>
      <c r="C10689" t="s">
        <v>8</v>
      </c>
      <c r="D10689">
        <v>7</v>
      </c>
      <c r="E10689" s="2">
        <v>9.2708333333333341E-3</v>
      </c>
      <c r="F10689">
        <v>13.35</v>
      </c>
    </row>
    <row r="10690" spans="1:6" x14ac:dyDescent="0.25">
      <c r="A10690" s="1">
        <v>42217</v>
      </c>
      <c r="B10690" t="s">
        <v>14</v>
      </c>
      <c r="C10690" t="s">
        <v>9</v>
      </c>
      <c r="D10690">
        <v>4</v>
      </c>
      <c r="E10690" s="2">
        <v>3.5763888888888889E-3</v>
      </c>
      <c r="F10690">
        <v>5.15</v>
      </c>
    </row>
    <row r="10691" spans="1:6" x14ac:dyDescent="0.25">
      <c r="A10691" s="1">
        <v>42217</v>
      </c>
      <c r="B10691" t="s">
        <v>14</v>
      </c>
      <c r="C10691" t="s">
        <v>10</v>
      </c>
      <c r="D10691">
        <v>2</v>
      </c>
      <c r="E10691" s="2">
        <v>3.4027777777777776E-3</v>
      </c>
      <c r="F10691">
        <v>4.9000000000000004</v>
      </c>
    </row>
    <row r="10692" spans="1:6" x14ac:dyDescent="0.25">
      <c r="A10692" s="1">
        <v>42217</v>
      </c>
      <c r="B10692" t="s">
        <v>14</v>
      </c>
      <c r="C10692" t="s">
        <v>11</v>
      </c>
      <c r="D10692">
        <v>9</v>
      </c>
      <c r="E10692" s="2">
        <v>1.005787037037037E-2</v>
      </c>
      <c r="F10692">
        <v>14.483333333333333</v>
      </c>
    </row>
    <row r="10693" spans="1:6" x14ac:dyDescent="0.25">
      <c r="A10693" s="1">
        <v>42217</v>
      </c>
      <c r="B10693" t="s">
        <v>15</v>
      </c>
      <c r="C10693" t="s">
        <v>6</v>
      </c>
      <c r="D10693">
        <v>27</v>
      </c>
      <c r="E10693" s="2">
        <v>4.1909722222222223E-2</v>
      </c>
      <c r="F10693">
        <v>60.35</v>
      </c>
    </row>
    <row r="10694" spans="1:6" x14ac:dyDescent="0.25">
      <c r="A10694" s="1">
        <v>42217</v>
      </c>
      <c r="B10694" t="s">
        <v>15</v>
      </c>
      <c r="C10694" t="s">
        <v>7</v>
      </c>
      <c r="D10694">
        <v>37</v>
      </c>
      <c r="E10694" s="2">
        <v>5.9236111111111114E-2</v>
      </c>
      <c r="F10694">
        <v>85.3</v>
      </c>
    </row>
    <row r="10695" spans="1:6" x14ac:dyDescent="0.25">
      <c r="A10695" s="1">
        <v>42217</v>
      </c>
      <c r="B10695" t="s">
        <v>15</v>
      </c>
      <c r="C10695" t="s">
        <v>8</v>
      </c>
      <c r="D10695">
        <v>21</v>
      </c>
      <c r="E10695" s="2">
        <v>2.4837962962962964E-2</v>
      </c>
      <c r="F10695">
        <v>35.766666666666666</v>
      </c>
    </row>
    <row r="10696" spans="1:6" x14ac:dyDescent="0.25">
      <c r="A10696" s="1">
        <v>42217</v>
      </c>
      <c r="B10696" t="s">
        <v>15</v>
      </c>
      <c r="C10696" t="s">
        <v>9</v>
      </c>
      <c r="D10696">
        <v>8</v>
      </c>
      <c r="E10696" s="2">
        <v>6.7592592592592591E-3</v>
      </c>
      <c r="F10696">
        <v>9.7333333333333325</v>
      </c>
    </row>
    <row r="10697" spans="1:6" x14ac:dyDescent="0.25">
      <c r="A10697" s="1">
        <v>42217</v>
      </c>
      <c r="B10697" t="s">
        <v>15</v>
      </c>
      <c r="C10697" t="s">
        <v>10</v>
      </c>
      <c r="D10697">
        <v>7</v>
      </c>
      <c r="E10697" s="2">
        <v>1.037037037037037E-2</v>
      </c>
      <c r="F10697">
        <v>14.933333333333334</v>
      </c>
    </row>
    <row r="10698" spans="1:6" x14ac:dyDescent="0.25">
      <c r="A10698" s="1">
        <v>42217</v>
      </c>
      <c r="B10698" t="s">
        <v>15</v>
      </c>
      <c r="C10698" t="s">
        <v>11</v>
      </c>
      <c r="D10698">
        <v>23</v>
      </c>
      <c r="E10698" s="2">
        <v>2.0034722222222221E-2</v>
      </c>
      <c r="F10698">
        <v>28.85</v>
      </c>
    </row>
    <row r="10699" spans="1:6" x14ac:dyDescent="0.25">
      <c r="A10699" s="1">
        <v>42217</v>
      </c>
      <c r="B10699" t="s">
        <v>16</v>
      </c>
      <c r="C10699" t="s">
        <v>6</v>
      </c>
      <c r="D10699">
        <v>25</v>
      </c>
      <c r="E10699" s="2">
        <v>2.133101851851852E-2</v>
      </c>
      <c r="F10699">
        <v>30.716666666666665</v>
      </c>
    </row>
    <row r="10700" spans="1:6" x14ac:dyDescent="0.25">
      <c r="A10700" s="1">
        <v>42217</v>
      </c>
      <c r="B10700" t="s">
        <v>16</v>
      </c>
      <c r="C10700" t="s">
        <v>7</v>
      </c>
      <c r="D10700">
        <v>22</v>
      </c>
      <c r="E10700" s="2">
        <v>2.2893518518518518E-2</v>
      </c>
      <c r="F10700">
        <v>32.966666666666669</v>
      </c>
    </row>
    <row r="10701" spans="1:6" x14ac:dyDescent="0.25">
      <c r="A10701" s="1">
        <v>42217</v>
      </c>
      <c r="B10701" t="s">
        <v>16</v>
      </c>
      <c r="C10701" t="s">
        <v>8</v>
      </c>
      <c r="D10701">
        <v>22</v>
      </c>
      <c r="E10701" s="2">
        <v>2.1712962962962962E-2</v>
      </c>
      <c r="F10701">
        <v>31.266666666666666</v>
      </c>
    </row>
    <row r="10702" spans="1:6" x14ac:dyDescent="0.25">
      <c r="A10702" s="1">
        <v>42217</v>
      </c>
      <c r="B10702" t="s">
        <v>16</v>
      </c>
      <c r="C10702" t="s">
        <v>9</v>
      </c>
      <c r="D10702">
        <v>15</v>
      </c>
      <c r="E10702" s="2">
        <v>1.2418981481481482E-2</v>
      </c>
      <c r="F10702">
        <v>17.883333333333333</v>
      </c>
    </row>
    <row r="10703" spans="1:6" x14ac:dyDescent="0.25">
      <c r="A10703" s="1">
        <v>42217</v>
      </c>
      <c r="B10703" t="s">
        <v>16</v>
      </c>
      <c r="C10703" t="s">
        <v>10</v>
      </c>
      <c r="D10703">
        <v>3</v>
      </c>
      <c r="E10703" s="2">
        <v>2.1875000000000002E-3</v>
      </c>
      <c r="F10703">
        <v>3.15</v>
      </c>
    </row>
    <row r="10704" spans="1:6" x14ac:dyDescent="0.25">
      <c r="A10704" s="1">
        <v>42217</v>
      </c>
      <c r="B10704" t="s">
        <v>16</v>
      </c>
      <c r="C10704" t="s">
        <v>11</v>
      </c>
      <c r="D10704">
        <v>30</v>
      </c>
      <c r="E10704" s="2">
        <v>2.5775462962962962E-2</v>
      </c>
      <c r="F10704">
        <v>37.116666666666667</v>
      </c>
    </row>
    <row r="10705" spans="1:6" x14ac:dyDescent="0.25">
      <c r="A10705" s="1">
        <v>42217</v>
      </c>
      <c r="B10705" t="s">
        <v>17</v>
      </c>
      <c r="C10705" t="s">
        <v>6</v>
      </c>
      <c r="D10705">
        <v>4</v>
      </c>
      <c r="E10705" s="2">
        <v>3.1481481481481482E-3</v>
      </c>
      <c r="F10705">
        <v>4.5333333333333332</v>
      </c>
    </row>
    <row r="10706" spans="1:6" x14ac:dyDescent="0.25">
      <c r="A10706" s="1">
        <v>42217</v>
      </c>
      <c r="B10706" t="s">
        <v>17</v>
      </c>
      <c r="C10706" t="s">
        <v>7</v>
      </c>
      <c r="D10706">
        <v>9</v>
      </c>
      <c r="E10706" s="2">
        <v>1.5173611111111112E-2</v>
      </c>
      <c r="F10706">
        <v>21.85</v>
      </c>
    </row>
    <row r="10707" spans="1:6" x14ac:dyDescent="0.25">
      <c r="A10707" s="1">
        <v>42217</v>
      </c>
      <c r="B10707" t="s">
        <v>17</v>
      </c>
      <c r="C10707" t="s">
        <v>8</v>
      </c>
      <c r="D10707">
        <v>6</v>
      </c>
      <c r="E10707" s="2">
        <v>4.6527777777777774E-3</v>
      </c>
      <c r="F10707">
        <v>6.7</v>
      </c>
    </row>
    <row r="10708" spans="1:6" x14ac:dyDescent="0.25">
      <c r="A10708" s="1">
        <v>42217</v>
      </c>
      <c r="B10708" t="s">
        <v>17</v>
      </c>
      <c r="C10708" t="s">
        <v>9</v>
      </c>
      <c r="D10708">
        <v>1</v>
      </c>
      <c r="E10708" s="2">
        <v>7.8703703703703705E-4</v>
      </c>
      <c r="F10708">
        <v>1.1333333333333333</v>
      </c>
    </row>
    <row r="10709" spans="1:6" x14ac:dyDescent="0.25">
      <c r="A10709" s="1">
        <v>42217</v>
      </c>
      <c r="B10709" t="s">
        <v>17</v>
      </c>
      <c r="C10709" t="s">
        <v>10</v>
      </c>
      <c r="D10709">
        <v>7</v>
      </c>
      <c r="E10709" s="2">
        <v>9.780092592592592E-3</v>
      </c>
      <c r="F10709">
        <v>14.083333333333334</v>
      </c>
    </row>
    <row r="10710" spans="1:6" x14ac:dyDescent="0.25">
      <c r="A10710" s="1">
        <v>42217</v>
      </c>
      <c r="B10710" t="s">
        <v>17</v>
      </c>
      <c r="C10710" t="s">
        <v>11</v>
      </c>
      <c r="D10710">
        <v>5</v>
      </c>
      <c r="E10710" s="2">
        <v>2.4189814814814816E-3</v>
      </c>
      <c r="F10710">
        <v>3.4833333333333334</v>
      </c>
    </row>
    <row r="10711" spans="1:6" x14ac:dyDescent="0.25">
      <c r="A10711" s="1">
        <v>42217</v>
      </c>
      <c r="B10711" t="s">
        <v>18</v>
      </c>
      <c r="C10711" t="s">
        <v>6</v>
      </c>
      <c r="D10711">
        <v>47</v>
      </c>
      <c r="E10711" s="2">
        <v>5.0902777777777776E-2</v>
      </c>
      <c r="F10711">
        <v>73.3</v>
      </c>
    </row>
    <row r="10712" spans="1:6" x14ac:dyDescent="0.25">
      <c r="A10712" s="1">
        <v>42217</v>
      </c>
      <c r="B10712" t="s">
        <v>18</v>
      </c>
      <c r="C10712" t="s">
        <v>7</v>
      </c>
      <c r="D10712">
        <v>63</v>
      </c>
      <c r="E10712" s="2">
        <v>6.6342592592592592E-2</v>
      </c>
      <c r="F10712">
        <v>95.533333333333331</v>
      </c>
    </row>
    <row r="10713" spans="1:6" x14ac:dyDescent="0.25">
      <c r="A10713" s="1">
        <v>42217</v>
      </c>
      <c r="B10713" t="s">
        <v>18</v>
      </c>
      <c r="C10713" t="s">
        <v>8</v>
      </c>
      <c r="D10713">
        <v>30</v>
      </c>
      <c r="E10713" s="2">
        <v>2.613425925925926E-2</v>
      </c>
      <c r="F10713">
        <v>37.633333333333333</v>
      </c>
    </row>
    <row r="10714" spans="1:6" x14ac:dyDescent="0.25">
      <c r="A10714" s="1">
        <v>42217</v>
      </c>
      <c r="B10714" t="s">
        <v>18</v>
      </c>
      <c r="C10714" t="s">
        <v>9</v>
      </c>
      <c r="D10714">
        <v>39</v>
      </c>
      <c r="E10714" s="2">
        <v>3.8321759259259257E-2</v>
      </c>
      <c r="F10714">
        <v>55.18333333333333</v>
      </c>
    </row>
    <row r="10715" spans="1:6" x14ac:dyDescent="0.25">
      <c r="A10715" s="1">
        <v>42217</v>
      </c>
      <c r="B10715" t="s">
        <v>18</v>
      </c>
      <c r="C10715" t="s">
        <v>10</v>
      </c>
      <c r="D10715">
        <v>118</v>
      </c>
      <c r="E10715" s="2">
        <v>0.13146990740740741</v>
      </c>
      <c r="F10715">
        <v>189.31666666666666</v>
      </c>
    </row>
    <row r="10716" spans="1:6" x14ac:dyDescent="0.25">
      <c r="A10716" s="1">
        <v>42217</v>
      </c>
      <c r="B10716" t="s">
        <v>18</v>
      </c>
      <c r="C10716" t="s">
        <v>11</v>
      </c>
      <c r="D10716">
        <v>37</v>
      </c>
      <c r="E10716" s="2">
        <v>2.6585648148148146E-2</v>
      </c>
      <c r="F10716">
        <v>38.283333333333331</v>
      </c>
    </row>
    <row r="10717" spans="1:6" x14ac:dyDescent="0.25">
      <c r="A10717" s="1">
        <v>42217</v>
      </c>
      <c r="B10717" t="s">
        <v>19</v>
      </c>
      <c r="C10717" t="s">
        <v>6</v>
      </c>
      <c r="D10717">
        <v>7</v>
      </c>
      <c r="E10717" s="2">
        <v>1.0752314814814815E-2</v>
      </c>
      <c r="F10717">
        <v>15.483333333333333</v>
      </c>
    </row>
    <row r="10718" spans="1:6" x14ac:dyDescent="0.25">
      <c r="A10718" s="1">
        <v>42217</v>
      </c>
      <c r="B10718" t="s">
        <v>19</v>
      </c>
      <c r="C10718" t="s">
        <v>7</v>
      </c>
      <c r="D10718">
        <v>13</v>
      </c>
      <c r="E10718" s="2">
        <v>1.6296296296296295E-2</v>
      </c>
      <c r="F10718">
        <v>23.466666666666665</v>
      </c>
    </row>
    <row r="10719" spans="1:6" x14ac:dyDescent="0.25">
      <c r="A10719" s="1">
        <v>42217</v>
      </c>
      <c r="B10719" t="s">
        <v>19</v>
      </c>
      <c r="C10719" t="s">
        <v>8</v>
      </c>
      <c r="D10719">
        <v>13</v>
      </c>
      <c r="E10719" s="2">
        <v>1.1041666666666667E-2</v>
      </c>
      <c r="F10719">
        <v>15.9</v>
      </c>
    </row>
    <row r="10720" spans="1:6" x14ac:dyDescent="0.25">
      <c r="A10720" s="1">
        <v>42217</v>
      </c>
      <c r="B10720" t="s">
        <v>19</v>
      </c>
      <c r="C10720" t="s">
        <v>9</v>
      </c>
      <c r="D10720">
        <v>11</v>
      </c>
      <c r="E10720" s="2">
        <v>9.6412037037037039E-3</v>
      </c>
      <c r="F10720">
        <v>13.883333333333333</v>
      </c>
    </row>
    <row r="10721" spans="1:6" x14ac:dyDescent="0.25">
      <c r="A10721" s="1">
        <v>42217</v>
      </c>
      <c r="B10721" t="s">
        <v>19</v>
      </c>
      <c r="C10721" t="s">
        <v>10</v>
      </c>
      <c r="D10721">
        <v>10</v>
      </c>
      <c r="E10721" s="2">
        <v>1.6770833333333332E-2</v>
      </c>
      <c r="F10721">
        <v>24.15</v>
      </c>
    </row>
    <row r="10722" spans="1:6" x14ac:dyDescent="0.25">
      <c r="A10722" s="1">
        <v>42217</v>
      </c>
      <c r="B10722" t="s">
        <v>19</v>
      </c>
      <c r="C10722" t="s">
        <v>11</v>
      </c>
      <c r="D10722">
        <v>8</v>
      </c>
      <c r="E10722" s="2">
        <v>5.3819444444444444E-3</v>
      </c>
      <c r="F10722">
        <v>7.75</v>
      </c>
    </row>
    <row r="10723" spans="1:6" x14ac:dyDescent="0.25">
      <c r="A10723" s="1">
        <v>42217</v>
      </c>
      <c r="B10723" t="s">
        <v>20</v>
      </c>
      <c r="C10723" t="s">
        <v>6</v>
      </c>
      <c r="D10723">
        <v>55</v>
      </c>
      <c r="E10723" s="2">
        <v>7.4490740740740746E-2</v>
      </c>
      <c r="F10723">
        <v>107.26666666666667</v>
      </c>
    </row>
    <row r="10724" spans="1:6" x14ac:dyDescent="0.25">
      <c r="A10724" s="1">
        <v>42217</v>
      </c>
      <c r="B10724" t="s">
        <v>20</v>
      </c>
      <c r="C10724" t="s">
        <v>7</v>
      </c>
      <c r="D10724">
        <v>52</v>
      </c>
      <c r="E10724" s="2">
        <v>6.6469907407407408E-2</v>
      </c>
      <c r="F10724">
        <v>95.716666666666669</v>
      </c>
    </row>
    <row r="10725" spans="1:6" x14ac:dyDescent="0.25">
      <c r="A10725" s="1">
        <v>42217</v>
      </c>
      <c r="B10725" t="s">
        <v>20</v>
      </c>
      <c r="C10725" t="s">
        <v>8</v>
      </c>
      <c r="D10725">
        <v>49</v>
      </c>
      <c r="E10725" s="2">
        <v>5.1724537037037034E-2</v>
      </c>
      <c r="F10725">
        <v>74.483333333333334</v>
      </c>
    </row>
    <row r="10726" spans="1:6" x14ac:dyDescent="0.25">
      <c r="A10726" s="1">
        <v>42217</v>
      </c>
      <c r="B10726" t="s">
        <v>20</v>
      </c>
      <c r="C10726" t="s">
        <v>9</v>
      </c>
      <c r="D10726">
        <v>28</v>
      </c>
      <c r="E10726" s="2">
        <v>2.4618055555555556E-2</v>
      </c>
      <c r="F10726">
        <v>35.450000000000003</v>
      </c>
    </row>
    <row r="10727" spans="1:6" x14ac:dyDescent="0.25">
      <c r="A10727" s="1">
        <v>42217</v>
      </c>
      <c r="B10727" t="s">
        <v>20</v>
      </c>
      <c r="C10727" t="s">
        <v>10</v>
      </c>
      <c r="D10727">
        <v>14</v>
      </c>
      <c r="E10727" s="2">
        <v>1.7627314814814814E-2</v>
      </c>
      <c r="F10727">
        <v>25.383333333333333</v>
      </c>
    </row>
    <row r="10728" spans="1:6" x14ac:dyDescent="0.25">
      <c r="A10728" s="1">
        <v>42217</v>
      </c>
      <c r="B10728" t="s">
        <v>20</v>
      </c>
      <c r="C10728" t="s">
        <v>11</v>
      </c>
      <c r="D10728">
        <v>45</v>
      </c>
      <c r="E10728" s="2">
        <v>3.784722222222222E-2</v>
      </c>
      <c r="F10728">
        <v>54.5</v>
      </c>
    </row>
    <row r="10729" spans="1:6" x14ac:dyDescent="0.25">
      <c r="A10729" s="1">
        <v>42217</v>
      </c>
      <c r="B10729" t="s">
        <v>21</v>
      </c>
      <c r="C10729" t="s">
        <v>6</v>
      </c>
      <c r="D10729">
        <v>9</v>
      </c>
      <c r="E10729" s="2">
        <v>1.3622685185185186E-2</v>
      </c>
      <c r="F10729">
        <v>19.616666666666667</v>
      </c>
    </row>
    <row r="10730" spans="1:6" x14ac:dyDescent="0.25">
      <c r="A10730" s="1">
        <v>42217</v>
      </c>
      <c r="B10730" t="s">
        <v>21</v>
      </c>
      <c r="C10730" t="s">
        <v>7</v>
      </c>
      <c r="D10730">
        <v>11</v>
      </c>
      <c r="E10730" s="2">
        <v>1.6180555555555556E-2</v>
      </c>
      <c r="F10730">
        <v>23.3</v>
      </c>
    </row>
    <row r="10731" spans="1:6" x14ac:dyDescent="0.25">
      <c r="A10731" s="1">
        <v>42217</v>
      </c>
      <c r="B10731" t="s">
        <v>21</v>
      </c>
      <c r="C10731" t="s">
        <v>8</v>
      </c>
      <c r="D10731">
        <v>4</v>
      </c>
      <c r="E10731" s="2">
        <v>3.8194444444444443E-3</v>
      </c>
      <c r="F10731">
        <v>5.5</v>
      </c>
    </row>
    <row r="10732" spans="1:6" x14ac:dyDescent="0.25">
      <c r="A10732" s="1">
        <v>42217</v>
      </c>
      <c r="B10732" t="s">
        <v>21</v>
      </c>
      <c r="C10732" t="s">
        <v>9</v>
      </c>
      <c r="D10732">
        <v>6</v>
      </c>
      <c r="E10732" s="2">
        <v>5.7175925925925927E-3</v>
      </c>
      <c r="F10732">
        <v>8.2333333333333325</v>
      </c>
    </row>
    <row r="10733" spans="1:6" x14ac:dyDescent="0.25">
      <c r="A10733" s="1">
        <v>42217</v>
      </c>
      <c r="B10733" t="s">
        <v>21</v>
      </c>
      <c r="C10733" t="s">
        <v>10</v>
      </c>
      <c r="D10733">
        <v>2</v>
      </c>
      <c r="E10733" s="2">
        <v>3.3101851851851851E-3</v>
      </c>
      <c r="F10733">
        <v>4.7666666666666666</v>
      </c>
    </row>
    <row r="10734" spans="1:6" x14ac:dyDescent="0.25">
      <c r="A10734" s="1">
        <v>42217</v>
      </c>
      <c r="B10734" t="s">
        <v>21</v>
      </c>
      <c r="C10734" t="s">
        <v>11</v>
      </c>
      <c r="D10734">
        <v>11</v>
      </c>
      <c r="E10734" s="2">
        <v>7.8703703703703696E-3</v>
      </c>
      <c r="F10734">
        <v>11.333333333333334</v>
      </c>
    </row>
    <row r="10735" spans="1:6" x14ac:dyDescent="0.25">
      <c r="A10735" s="1">
        <v>42217</v>
      </c>
      <c r="B10735" t="s">
        <v>22</v>
      </c>
      <c r="C10735" t="s">
        <v>6</v>
      </c>
      <c r="D10735">
        <v>18</v>
      </c>
      <c r="E10735" s="2">
        <v>2.8333333333333332E-2</v>
      </c>
      <c r="F10735">
        <v>40.799999999999997</v>
      </c>
    </row>
    <row r="10736" spans="1:6" x14ac:dyDescent="0.25">
      <c r="A10736" s="1">
        <v>42217</v>
      </c>
      <c r="B10736" t="s">
        <v>22</v>
      </c>
      <c r="C10736" t="s">
        <v>7</v>
      </c>
      <c r="D10736">
        <v>12</v>
      </c>
      <c r="E10736" s="2">
        <v>1.9085648148148147E-2</v>
      </c>
      <c r="F10736">
        <v>27.483333333333334</v>
      </c>
    </row>
    <row r="10737" spans="1:6" x14ac:dyDescent="0.25">
      <c r="A10737" s="1">
        <v>42217</v>
      </c>
      <c r="B10737" t="s">
        <v>22</v>
      </c>
      <c r="C10737" t="s">
        <v>8</v>
      </c>
      <c r="D10737">
        <v>13</v>
      </c>
      <c r="E10737" s="2">
        <v>1.6585648148148148E-2</v>
      </c>
      <c r="F10737">
        <v>23.883333333333333</v>
      </c>
    </row>
    <row r="10738" spans="1:6" x14ac:dyDescent="0.25">
      <c r="A10738" s="1">
        <v>42217</v>
      </c>
      <c r="B10738" t="s">
        <v>22</v>
      </c>
      <c r="C10738" t="s">
        <v>9</v>
      </c>
      <c r="D10738">
        <v>5</v>
      </c>
      <c r="E10738" s="2">
        <v>3.414351851851852E-3</v>
      </c>
      <c r="F10738">
        <v>4.916666666666667</v>
      </c>
    </row>
    <row r="10739" spans="1:6" x14ac:dyDescent="0.25">
      <c r="A10739" s="1">
        <v>42217</v>
      </c>
      <c r="B10739" t="s">
        <v>22</v>
      </c>
      <c r="C10739" t="s">
        <v>10</v>
      </c>
      <c r="D10739">
        <v>3</v>
      </c>
      <c r="E10739" s="2">
        <v>3.414351851851852E-3</v>
      </c>
      <c r="F10739">
        <v>4.916666666666667</v>
      </c>
    </row>
    <row r="10740" spans="1:6" x14ac:dyDescent="0.25">
      <c r="A10740" s="1">
        <v>42217</v>
      </c>
      <c r="B10740" t="s">
        <v>22</v>
      </c>
      <c r="C10740" t="s">
        <v>11</v>
      </c>
      <c r="D10740">
        <v>12</v>
      </c>
      <c r="E10740" s="2">
        <v>1.0555555555555556E-2</v>
      </c>
      <c r="F10740">
        <v>15.2</v>
      </c>
    </row>
    <row r="10741" spans="1:6" x14ac:dyDescent="0.25">
      <c r="A10741" s="1">
        <v>42217</v>
      </c>
      <c r="B10741" t="s">
        <v>23</v>
      </c>
      <c r="C10741" t="s">
        <v>6</v>
      </c>
      <c r="D10741">
        <v>93</v>
      </c>
      <c r="E10741" s="2">
        <v>0.12503472222222223</v>
      </c>
      <c r="F10741">
        <v>180.05</v>
      </c>
    </row>
    <row r="10742" spans="1:6" x14ac:dyDescent="0.25">
      <c r="A10742" s="1">
        <v>42217</v>
      </c>
      <c r="B10742" t="s">
        <v>23</v>
      </c>
      <c r="C10742" t="s">
        <v>7</v>
      </c>
      <c r="D10742">
        <v>87</v>
      </c>
      <c r="E10742" s="2">
        <v>0.13062499999999999</v>
      </c>
      <c r="F10742">
        <v>188.1</v>
      </c>
    </row>
    <row r="10743" spans="1:6" x14ac:dyDescent="0.25">
      <c r="A10743" s="1">
        <v>42217</v>
      </c>
      <c r="B10743" t="s">
        <v>23</v>
      </c>
      <c r="C10743" t="s">
        <v>8</v>
      </c>
      <c r="D10743">
        <v>68</v>
      </c>
      <c r="E10743" s="2">
        <v>7.8495370370370368E-2</v>
      </c>
      <c r="F10743">
        <v>113.03333333333333</v>
      </c>
    </row>
    <row r="10744" spans="1:6" x14ac:dyDescent="0.25">
      <c r="A10744" s="1">
        <v>42217</v>
      </c>
      <c r="B10744" t="s">
        <v>23</v>
      </c>
      <c r="C10744" t="s">
        <v>9</v>
      </c>
      <c r="D10744">
        <v>22</v>
      </c>
      <c r="E10744" s="2">
        <v>1.954861111111111E-2</v>
      </c>
      <c r="F10744">
        <v>28.15</v>
      </c>
    </row>
    <row r="10745" spans="1:6" x14ac:dyDescent="0.25">
      <c r="A10745" s="1">
        <v>42217</v>
      </c>
      <c r="B10745" t="s">
        <v>23</v>
      </c>
      <c r="C10745" t="s">
        <v>10</v>
      </c>
      <c r="D10745">
        <v>23</v>
      </c>
      <c r="E10745" s="2">
        <v>2.6365740740740742E-2</v>
      </c>
      <c r="F10745">
        <v>37.966666666666669</v>
      </c>
    </row>
    <row r="10746" spans="1:6" x14ac:dyDescent="0.25">
      <c r="A10746" s="1">
        <v>42217</v>
      </c>
      <c r="B10746" t="s">
        <v>23</v>
      </c>
      <c r="C10746" t="s">
        <v>11</v>
      </c>
      <c r="D10746">
        <v>72</v>
      </c>
      <c r="E10746" s="2">
        <v>6.4398148148148149E-2</v>
      </c>
      <c r="F10746">
        <v>92.733333333333334</v>
      </c>
    </row>
    <row r="10747" spans="1:6" x14ac:dyDescent="0.25">
      <c r="A10747" s="1">
        <v>42217</v>
      </c>
      <c r="B10747" t="s">
        <v>24</v>
      </c>
      <c r="C10747" t="s">
        <v>6</v>
      </c>
      <c r="D10747">
        <v>41</v>
      </c>
      <c r="E10747" s="2">
        <v>4.6886574074074074E-2</v>
      </c>
      <c r="F10747">
        <v>67.516666666666666</v>
      </c>
    </row>
    <row r="10748" spans="1:6" x14ac:dyDescent="0.25">
      <c r="A10748" s="1">
        <v>42217</v>
      </c>
      <c r="B10748" t="s">
        <v>24</v>
      </c>
      <c r="C10748" t="s">
        <v>7</v>
      </c>
      <c r="D10748">
        <v>39</v>
      </c>
      <c r="E10748" s="2">
        <v>3.6006944444444446E-2</v>
      </c>
      <c r="F10748">
        <v>51.85</v>
      </c>
    </row>
    <row r="10749" spans="1:6" x14ac:dyDescent="0.25">
      <c r="A10749" s="1">
        <v>42217</v>
      </c>
      <c r="B10749" t="s">
        <v>24</v>
      </c>
      <c r="C10749" t="s">
        <v>8</v>
      </c>
      <c r="D10749">
        <v>31</v>
      </c>
      <c r="E10749" s="2">
        <v>2.476851851851852E-2</v>
      </c>
      <c r="F10749">
        <v>35.666666666666664</v>
      </c>
    </row>
    <row r="10750" spans="1:6" x14ac:dyDescent="0.25">
      <c r="A10750" s="1">
        <v>42217</v>
      </c>
      <c r="B10750" t="s">
        <v>24</v>
      </c>
      <c r="C10750" t="s">
        <v>9</v>
      </c>
      <c r="D10750">
        <v>39</v>
      </c>
      <c r="E10750" s="2">
        <v>2.7696759259259258E-2</v>
      </c>
      <c r="F10750">
        <v>39.883333333333333</v>
      </c>
    </row>
    <row r="10751" spans="1:6" x14ac:dyDescent="0.25">
      <c r="A10751" s="1">
        <v>42217</v>
      </c>
      <c r="B10751" t="s">
        <v>24</v>
      </c>
      <c r="C10751" t="s">
        <v>10</v>
      </c>
      <c r="D10751">
        <v>2</v>
      </c>
      <c r="E10751" s="2">
        <v>3.3101851851851851E-3</v>
      </c>
      <c r="F10751">
        <v>4.7666666666666666</v>
      </c>
    </row>
    <row r="10752" spans="1:6" x14ac:dyDescent="0.25">
      <c r="A10752" s="1">
        <v>42217</v>
      </c>
      <c r="B10752" t="s">
        <v>24</v>
      </c>
      <c r="C10752" t="s">
        <v>11</v>
      </c>
      <c r="D10752">
        <v>29</v>
      </c>
      <c r="E10752" s="2">
        <v>2.0231481481481482E-2</v>
      </c>
      <c r="F10752">
        <v>29.133333333333333</v>
      </c>
    </row>
    <row r="10753" spans="1:6" x14ac:dyDescent="0.25">
      <c r="A10753" s="1">
        <v>42248</v>
      </c>
      <c r="B10753" t="s">
        <v>5</v>
      </c>
      <c r="C10753" t="s">
        <v>6</v>
      </c>
      <c r="D10753">
        <v>23</v>
      </c>
      <c r="E10753" s="2">
        <v>2.6087962962962962E-2</v>
      </c>
      <c r="F10753">
        <v>37.56666666666667</v>
      </c>
    </row>
    <row r="10754" spans="1:6" x14ac:dyDescent="0.25">
      <c r="A10754" s="1">
        <v>42248</v>
      </c>
      <c r="B10754" t="s">
        <v>5</v>
      </c>
      <c r="C10754" t="s">
        <v>7</v>
      </c>
      <c r="D10754">
        <v>39</v>
      </c>
      <c r="E10754" s="2">
        <v>3.1342592592592596E-2</v>
      </c>
      <c r="F10754">
        <v>45.133333333333333</v>
      </c>
    </row>
    <row r="10755" spans="1:6" x14ac:dyDescent="0.25">
      <c r="A10755" s="1">
        <v>42248</v>
      </c>
      <c r="B10755" t="s">
        <v>5</v>
      </c>
      <c r="C10755" t="s">
        <v>8</v>
      </c>
      <c r="D10755">
        <v>31</v>
      </c>
      <c r="E10755" s="2">
        <v>2.4965277777777777E-2</v>
      </c>
      <c r="F10755">
        <v>35.950000000000003</v>
      </c>
    </row>
    <row r="10756" spans="1:6" x14ac:dyDescent="0.25">
      <c r="A10756" s="1">
        <v>42248</v>
      </c>
      <c r="B10756" t="s">
        <v>5</v>
      </c>
      <c r="C10756" t="s">
        <v>9</v>
      </c>
      <c r="D10756">
        <v>5</v>
      </c>
      <c r="E10756" s="2">
        <v>2.8240740740740739E-3</v>
      </c>
      <c r="F10756">
        <v>4.0666666666666664</v>
      </c>
    </row>
    <row r="10757" spans="1:6" x14ac:dyDescent="0.25">
      <c r="A10757" s="1">
        <v>42248</v>
      </c>
      <c r="B10757" t="s">
        <v>5</v>
      </c>
      <c r="C10757" t="s">
        <v>10</v>
      </c>
      <c r="D10757">
        <v>1</v>
      </c>
      <c r="E10757" s="2">
        <v>3.1250000000000001E-4</v>
      </c>
      <c r="F10757">
        <v>0.45</v>
      </c>
    </row>
    <row r="10758" spans="1:6" x14ac:dyDescent="0.25">
      <c r="A10758" s="1">
        <v>42248</v>
      </c>
      <c r="B10758" t="s">
        <v>5</v>
      </c>
      <c r="C10758" t="s">
        <v>11</v>
      </c>
      <c r="D10758">
        <v>35</v>
      </c>
      <c r="E10758" s="2">
        <v>2.7453703703703702E-2</v>
      </c>
      <c r="F10758">
        <v>39.533333333333331</v>
      </c>
    </row>
    <row r="10759" spans="1:6" x14ac:dyDescent="0.25">
      <c r="A10759" s="1">
        <v>42248</v>
      </c>
      <c r="B10759" t="s">
        <v>12</v>
      </c>
      <c r="C10759" t="s">
        <v>6</v>
      </c>
      <c r="D10759">
        <v>48</v>
      </c>
      <c r="E10759" s="2">
        <v>6.8472222222222226E-2</v>
      </c>
      <c r="F10759">
        <v>98.6</v>
      </c>
    </row>
    <row r="10760" spans="1:6" x14ac:dyDescent="0.25">
      <c r="A10760" s="1">
        <v>42248</v>
      </c>
      <c r="B10760" t="s">
        <v>12</v>
      </c>
      <c r="C10760" t="s">
        <v>7</v>
      </c>
      <c r="D10760">
        <v>33</v>
      </c>
      <c r="E10760" s="2">
        <v>6.4837962962962958E-2</v>
      </c>
      <c r="F10760">
        <v>93.36666666666666</v>
      </c>
    </row>
    <row r="10761" spans="1:6" x14ac:dyDescent="0.25">
      <c r="A10761" s="1">
        <v>42248</v>
      </c>
      <c r="B10761" t="s">
        <v>12</v>
      </c>
      <c r="C10761" t="s">
        <v>8</v>
      </c>
      <c r="D10761">
        <v>30</v>
      </c>
      <c r="E10761" s="2">
        <v>4.2777777777777776E-2</v>
      </c>
      <c r="F10761">
        <v>61.6</v>
      </c>
    </row>
    <row r="10762" spans="1:6" x14ac:dyDescent="0.25">
      <c r="A10762" s="1">
        <v>42248</v>
      </c>
      <c r="B10762" t="s">
        <v>12</v>
      </c>
      <c r="C10762" t="s">
        <v>9</v>
      </c>
      <c r="D10762">
        <v>11</v>
      </c>
      <c r="E10762" s="2">
        <v>9.5023148148148141E-3</v>
      </c>
      <c r="F10762">
        <v>13.683333333333334</v>
      </c>
    </row>
    <row r="10763" spans="1:6" x14ac:dyDescent="0.25">
      <c r="A10763" s="1">
        <v>42248</v>
      </c>
      <c r="B10763" t="s">
        <v>12</v>
      </c>
      <c r="C10763" t="s">
        <v>10</v>
      </c>
      <c r="D10763">
        <v>26</v>
      </c>
      <c r="E10763" s="2">
        <v>4.4780092592592594E-2</v>
      </c>
      <c r="F10763">
        <v>64.483333333333334</v>
      </c>
    </row>
    <row r="10764" spans="1:6" x14ac:dyDescent="0.25">
      <c r="A10764" s="1">
        <v>42248</v>
      </c>
      <c r="B10764" t="s">
        <v>12</v>
      </c>
      <c r="C10764" t="s">
        <v>11</v>
      </c>
      <c r="D10764">
        <v>54</v>
      </c>
      <c r="E10764" s="2">
        <v>6.5289351851851848E-2</v>
      </c>
      <c r="F10764">
        <v>94.016666666666666</v>
      </c>
    </row>
    <row r="10765" spans="1:6" x14ac:dyDescent="0.25">
      <c r="A10765" s="1">
        <v>42248</v>
      </c>
      <c r="B10765" t="s">
        <v>13</v>
      </c>
      <c r="C10765" t="s">
        <v>6</v>
      </c>
      <c r="D10765">
        <v>65</v>
      </c>
      <c r="E10765" s="2">
        <v>9.4687499999999994E-2</v>
      </c>
      <c r="F10765">
        <v>136.35</v>
      </c>
    </row>
    <row r="10766" spans="1:6" x14ac:dyDescent="0.25">
      <c r="A10766" s="1">
        <v>42248</v>
      </c>
      <c r="B10766" t="s">
        <v>13</v>
      </c>
      <c r="C10766" t="s">
        <v>7</v>
      </c>
      <c r="D10766">
        <v>100</v>
      </c>
      <c r="E10766" s="2">
        <v>0.17420138888888889</v>
      </c>
      <c r="F10766">
        <v>250.85</v>
      </c>
    </row>
    <row r="10767" spans="1:6" x14ac:dyDescent="0.25">
      <c r="A10767" s="1">
        <v>42248</v>
      </c>
      <c r="B10767" t="s">
        <v>13</v>
      </c>
      <c r="C10767" t="s">
        <v>8</v>
      </c>
      <c r="D10767">
        <v>39</v>
      </c>
      <c r="E10767" s="2">
        <v>6.3622685185185185E-2</v>
      </c>
      <c r="F10767">
        <v>91.61666666666666</v>
      </c>
    </row>
    <row r="10768" spans="1:6" x14ac:dyDescent="0.25">
      <c r="A10768" s="1">
        <v>42248</v>
      </c>
      <c r="B10768" t="s">
        <v>13</v>
      </c>
      <c r="C10768" t="s">
        <v>9</v>
      </c>
      <c r="D10768">
        <v>13</v>
      </c>
      <c r="E10768" s="2">
        <v>8.2407407407407412E-3</v>
      </c>
      <c r="F10768">
        <v>11.866666666666667</v>
      </c>
    </row>
    <row r="10769" spans="1:6" x14ac:dyDescent="0.25">
      <c r="A10769" s="1">
        <v>42248</v>
      </c>
      <c r="B10769" t="s">
        <v>13</v>
      </c>
      <c r="C10769" t="s">
        <v>10</v>
      </c>
      <c r="D10769">
        <v>11</v>
      </c>
      <c r="E10769" s="2">
        <v>1.5416666666666667E-2</v>
      </c>
      <c r="F10769">
        <v>22.2</v>
      </c>
    </row>
    <row r="10770" spans="1:6" x14ac:dyDescent="0.25">
      <c r="A10770" s="1">
        <v>42248</v>
      </c>
      <c r="B10770" t="s">
        <v>13</v>
      </c>
      <c r="C10770" t="s">
        <v>11</v>
      </c>
      <c r="D10770">
        <v>37</v>
      </c>
      <c r="E10770" s="2">
        <v>4.2673611111111114E-2</v>
      </c>
      <c r="F10770">
        <v>61.45</v>
      </c>
    </row>
    <row r="10771" spans="1:6" x14ac:dyDescent="0.25">
      <c r="A10771" s="1">
        <v>42248</v>
      </c>
      <c r="B10771" t="s">
        <v>14</v>
      </c>
      <c r="C10771" t="s">
        <v>6</v>
      </c>
      <c r="D10771">
        <v>31</v>
      </c>
      <c r="E10771" s="2">
        <v>4.9780092592592591E-2</v>
      </c>
      <c r="F10771">
        <v>71.683333333333337</v>
      </c>
    </row>
    <row r="10772" spans="1:6" x14ac:dyDescent="0.25">
      <c r="A10772" s="1">
        <v>42248</v>
      </c>
      <c r="B10772" t="s">
        <v>14</v>
      </c>
      <c r="C10772" t="s">
        <v>7</v>
      </c>
      <c r="D10772">
        <v>18</v>
      </c>
      <c r="E10772" s="2">
        <v>3.5428240740740739E-2</v>
      </c>
      <c r="F10772">
        <v>51.016666666666666</v>
      </c>
    </row>
    <row r="10773" spans="1:6" x14ac:dyDescent="0.25">
      <c r="A10773" s="1">
        <v>42248</v>
      </c>
      <c r="B10773" t="s">
        <v>14</v>
      </c>
      <c r="C10773" t="s">
        <v>8</v>
      </c>
      <c r="D10773">
        <v>22</v>
      </c>
      <c r="E10773" s="2">
        <v>3.7499999999999999E-2</v>
      </c>
      <c r="F10773">
        <v>54</v>
      </c>
    </row>
    <row r="10774" spans="1:6" x14ac:dyDescent="0.25">
      <c r="A10774" s="1">
        <v>42248</v>
      </c>
      <c r="B10774" t="s">
        <v>14</v>
      </c>
      <c r="C10774" t="s">
        <v>9</v>
      </c>
      <c r="D10774">
        <v>7</v>
      </c>
      <c r="E10774" s="2">
        <v>5.2893518518518515E-3</v>
      </c>
      <c r="F10774">
        <v>7.6166666666666671</v>
      </c>
    </row>
    <row r="10775" spans="1:6" x14ac:dyDescent="0.25">
      <c r="A10775" s="1">
        <v>42248</v>
      </c>
      <c r="B10775" t="s">
        <v>14</v>
      </c>
      <c r="C10775" t="s">
        <v>10</v>
      </c>
      <c r="D10775">
        <v>0</v>
      </c>
      <c r="E10775" s="2">
        <v>0</v>
      </c>
      <c r="F10775">
        <v>0</v>
      </c>
    </row>
    <row r="10776" spans="1:6" x14ac:dyDescent="0.25">
      <c r="A10776" s="1">
        <v>42248</v>
      </c>
      <c r="B10776" t="s">
        <v>14</v>
      </c>
      <c r="C10776" t="s">
        <v>11</v>
      </c>
      <c r="D10776">
        <v>20</v>
      </c>
      <c r="E10776" s="2">
        <v>2.5069444444444443E-2</v>
      </c>
      <c r="F10776">
        <v>36.1</v>
      </c>
    </row>
    <row r="10777" spans="1:6" x14ac:dyDescent="0.25">
      <c r="A10777" s="1">
        <v>42248</v>
      </c>
      <c r="B10777" t="s">
        <v>15</v>
      </c>
      <c r="C10777" t="s">
        <v>6</v>
      </c>
      <c r="D10777">
        <v>42</v>
      </c>
      <c r="E10777" s="2">
        <v>5.3090277777777778E-2</v>
      </c>
      <c r="F10777">
        <v>76.45</v>
      </c>
    </row>
    <row r="10778" spans="1:6" x14ac:dyDescent="0.25">
      <c r="A10778" s="1">
        <v>42248</v>
      </c>
      <c r="B10778" t="s">
        <v>15</v>
      </c>
      <c r="C10778" t="s">
        <v>7</v>
      </c>
      <c r="D10778">
        <v>56</v>
      </c>
      <c r="E10778" s="2">
        <v>8.4108796296296293E-2</v>
      </c>
      <c r="F10778">
        <v>121.11666666666666</v>
      </c>
    </row>
    <row r="10779" spans="1:6" x14ac:dyDescent="0.25">
      <c r="A10779" s="1">
        <v>42248</v>
      </c>
      <c r="B10779" t="s">
        <v>15</v>
      </c>
      <c r="C10779" t="s">
        <v>8</v>
      </c>
      <c r="D10779">
        <v>33</v>
      </c>
      <c r="E10779" s="2">
        <v>3.3865740740740738E-2</v>
      </c>
      <c r="F10779">
        <v>48.766666666666666</v>
      </c>
    </row>
    <row r="10780" spans="1:6" x14ac:dyDescent="0.25">
      <c r="A10780" s="1">
        <v>42248</v>
      </c>
      <c r="B10780" t="s">
        <v>15</v>
      </c>
      <c r="C10780" t="s">
        <v>9</v>
      </c>
      <c r="D10780">
        <v>19</v>
      </c>
      <c r="E10780" s="2">
        <v>1.0393518518518519E-2</v>
      </c>
      <c r="F10780">
        <v>14.966666666666667</v>
      </c>
    </row>
    <row r="10781" spans="1:6" x14ac:dyDescent="0.25">
      <c r="A10781" s="1">
        <v>42248</v>
      </c>
      <c r="B10781" t="s">
        <v>15</v>
      </c>
      <c r="C10781" t="s">
        <v>10</v>
      </c>
      <c r="D10781">
        <v>19</v>
      </c>
      <c r="E10781" s="2">
        <v>2.5347222222222222E-2</v>
      </c>
      <c r="F10781">
        <v>36.5</v>
      </c>
    </row>
    <row r="10782" spans="1:6" x14ac:dyDescent="0.25">
      <c r="A10782" s="1">
        <v>42248</v>
      </c>
      <c r="B10782" t="s">
        <v>15</v>
      </c>
      <c r="C10782" t="s">
        <v>11</v>
      </c>
      <c r="D10782">
        <v>26</v>
      </c>
      <c r="E10782" s="2">
        <v>3.0092592592592591E-2</v>
      </c>
      <c r="F10782">
        <v>43.333333333333336</v>
      </c>
    </row>
    <row r="10783" spans="1:6" x14ac:dyDescent="0.25">
      <c r="A10783" s="1">
        <v>42248</v>
      </c>
      <c r="B10783" t="s">
        <v>16</v>
      </c>
      <c r="C10783" t="s">
        <v>6</v>
      </c>
      <c r="D10783">
        <v>12</v>
      </c>
      <c r="E10783" s="2">
        <v>1.337962962962963E-2</v>
      </c>
      <c r="F10783">
        <v>19.266666666666666</v>
      </c>
    </row>
    <row r="10784" spans="1:6" x14ac:dyDescent="0.25">
      <c r="A10784" s="1">
        <v>42248</v>
      </c>
      <c r="B10784" t="s">
        <v>16</v>
      </c>
      <c r="C10784" t="s">
        <v>7</v>
      </c>
      <c r="D10784">
        <v>13</v>
      </c>
      <c r="E10784" s="2">
        <v>1.2534722222222221E-2</v>
      </c>
      <c r="F10784">
        <v>18.05</v>
      </c>
    </row>
    <row r="10785" spans="1:6" x14ac:dyDescent="0.25">
      <c r="A10785" s="1">
        <v>42248</v>
      </c>
      <c r="B10785" t="s">
        <v>16</v>
      </c>
      <c r="C10785" t="s">
        <v>8</v>
      </c>
      <c r="D10785">
        <v>19</v>
      </c>
      <c r="E10785" s="2">
        <v>1.425925925925926E-2</v>
      </c>
      <c r="F10785">
        <v>20.533333333333335</v>
      </c>
    </row>
    <row r="10786" spans="1:6" x14ac:dyDescent="0.25">
      <c r="A10786" s="1">
        <v>42248</v>
      </c>
      <c r="B10786" t="s">
        <v>16</v>
      </c>
      <c r="C10786" t="s">
        <v>9</v>
      </c>
      <c r="D10786">
        <v>7</v>
      </c>
      <c r="E10786" s="2">
        <v>3.8310185185185183E-3</v>
      </c>
      <c r="F10786">
        <v>5.5166666666666666</v>
      </c>
    </row>
    <row r="10787" spans="1:6" x14ac:dyDescent="0.25">
      <c r="A10787" s="1">
        <v>42248</v>
      </c>
      <c r="B10787" t="s">
        <v>16</v>
      </c>
      <c r="C10787" t="s">
        <v>10</v>
      </c>
      <c r="D10787">
        <v>3</v>
      </c>
      <c r="E10787" s="2">
        <v>3.9120370370370368E-3</v>
      </c>
      <c r="F10787">
        <v>5.6333333333333329</v>
      </c>
    </row>
    <row r="10788" spans="1:6" x14ac:dyDescent="0.25">
      <c r="A10788" s="1">
        <v>42248</v>
      </c>
      <c r="B10788" t="s">
        <v>16</v>
      </c>
      <c r="C10788" t="s">
        <v>11</v>
      </c>
      <c r="D10788">
        <v>21</v>
      </c>
      <c r="E10788" s="2">
        <v>1.8842592592592591E-2</v>
      </c>
      <c r="F10788">
        <v>27.133333333333333</v>
      </c>
    </row>
    <row r="10789" spans="1:6" x14ac:dyDescent="0.25">
      <c r="A10789" s="1">
        <v>42248</v>
      </c>
      <c r="B10789" t="s">
        <v>17</v>
      </c>
      <c r="C10789" t="s">
        <v>6</v>
      </c>
      <c r="D10789">
        <v>9</v>
      </c>
      <c r="E10789" s="2">
        <v>1.1712962962962963E-2</v>
      </c>
      <c r="F10789">
        <v>16.866666666666667</v>
      </c>
    </row>
    <row r="10790" spans="1:6" x14ac:dyDescent="0.25">
      <c r="A10790" s="1">
        <v>42248</v>
      </c>
      <c r="B10790" t="s">
        <v>17</v>
      </c>
      <c r="C10790" t="s">
        <v>7</v>
      </c>
      <c r="D10790">
        <v>7</v>
      </c>
      <c r="E10790" s="2">
        <v>9.8842592592592593E-3</v>
      </c>
      <c r="F10790">
        <v>14.233333333333333</v>
      </c>
    </row>
    <row r="10791" spans="1:6" x14ac:dyDescent="0.25">
      <c r="A10791" s="1">
        <v>42248</v>
      </c>
      <c r="B10791" t="s">
        <v>17</v>
      </c>
      <c r="C10791" t="s">
        <v>8</v>
      </c>
      <c r="D10791">
        <v>8</v>
      </c>
      <c r="E10791" s="2">
        <v>9.4560185185185181E-3</v>
      </c>
      <c r="F10791">
        <v>13.616666666666667</v>
      </c>
    </row>
    <row r="10792" spans="1:6" x14ac:dyDescent="0.25">
      <c r="A10792" s="1">
        <v>42248</v>
      </c>
      <c r="B10792" t="s">
        <v>17</v>
      </c>
      <c r="C10792" t="s">
        <v>9</v>
      </c>
      <c r="D10792">
        <v>4</v>
      </c>
      <c r="E10792" s="2">
        <v>2.4537037037037036E-3</v>
      </c>
      <c r="F10792">
        <v>3.5333333333333332</v>
      </c>
    </row>
    <row r="10793" spans="1:6" x14ac:dyDescent="0.25">
      <c r="A10793" s="1">
        <v>42248</v>
      </c>
      <c r="B10793" t="s">
        <v>17</v>
      </c>
      <c r="C10793" t="s">
        <v>10</v>
      </c>
      <c r="D10793">
        <v>6</v>
      </c>
      <c r="E10793" s="2">
        <v>6.3425925925925924E-3</v>
      </c>
      <c r="F10793">
        <v>9.1333333333333329</v>
      </c>
    </row>
    <row r="10794" spans="1:6" x14ac:dyDescent="0.25">
      <c r="A10794" s="1">
        <v>42248</v>
      </c>
      <c r="B10794" t="s">
        <v>17</v>
      </c>
      <c r="C10794" t="s">
        <v>11</v>
      </c>
      <c r="D10794">
        <v>5</v>
      </c>
      <c r="E10794" s="2">
        <v>4.0277777777777777E-3</v>
      </c>
      <c r="F10794">
        <v>5.8</v>
      </c>
    </row>
    <row r="10795" spans="1:6" x14ac:dyDescent="0.25">
      <c r="A10795" s="1">
        <v>42248</v>
      </c>
      <c r="B10795" t="s">
        <v>18</v>
      </c>
      <c r="C10795" t="s">
        <v>6</v>
      </c>
      <c r="D10795">
        <v>97</v>
      </c>
      <c r="E10795" s="2">
        <v>9.9976851851851858E-2</v>
      </c>
      <c r="F10795">
        <v>143.96666666666667</v>
      </c>
    </row>
    <row r="10796" spans="1:6" x14ac:dyDescent="0.25">
      <c r="A10796" s="1">
        <v>42248</v>
      </c>
      <c r="B10796" t="s">
        <v>18</v>
      </c>
      <c r="C10796" t="s">
        <v>7</v>
      </c>
      <c r="D10796">
        <v>156</v>
      </c>
      <c r="E10796" s="2">
        <v>0.15702546296296296</v>
      </c>
      <c r="F10796">
        <v>226.11666666666667</v>
      </c>
    </row>
    <row r="10797" spans="1:6" x14ac:dyDescent="0.25">
      <c r="A10797" s="1">
        <v>42248</v>
      </c>
      <c r="B10797" t="s">
        <v>18</v>
      </c>
      <c r="C10797" t="s">
        <v>8</v>
      </c>
      <c r="D10797">
        <v>87</v>
      </c>
      <c r="E10797" s="2">
        <v>8.1041666666666665E-2</v>
      </c>
      <c r="F10797">
        <v>116.7</v>
      </c>
    </row>
    <row r="10798" spans="1:6" x14ac:dyDescent="0.25">
      <c r="A10798" s="1">
        <v>42248</v>
      </c>
      <c r="B10798" t="s">
        <v>18</v>
      </c>
      <c r="C10798" t="s">
        <v>9</v>
      </c>
      <c r="D10798">
        <v>48</v>
      </c>
      <c r="E10798" s="2">
        <v>3.3587962962962965E-2</v>
      </c>
      <c r="F10798">
        <v>48.366666666666667</v>
      </c>
    </row>
    <row r="10799" spans="1:6" x14ac:dyDescent="0.25">
      <c r="A10799" s="1">
        <v>42248</v>
      </c>
      <c r="B10799" t="s">
        <v>18</v>
      </c>
      <c r="C10799" t="s">
        <v>10</v>
      </c>
      <c r="D10799">
        <v>149</v>
      </c>
      <c r="E10799" s="2">
        <v>0.19114583333333332</v>
      </c>
      <c r="F10799">
        <v>275.25</v>
      </c>
    </row>
    <row r="10800" spans="1:6" x14ac:dyDescent="0.25">
      <c r="A10800" s="1">
        <v>42248</v>
      </c>
      <c r="B10800" t="s">
        <v>18</v>
      </c>
      <c r="C10800" t="s">
        <v>11</v>
      </c>
      <c r="D10800">
        <v>83</v>
      </c>
      <c r="E10800" s="2">
        <v>7.0543981481481485E-2</v>
      </c>
      <c r="F10800">
        <v>101.58333333333333</v>
      </c>
    </row>
    <row r="10801" spans="1:6" x14ac:dyDescent="0.25">
      <c r="A10801" s="1">
        <v>42248</v>
      </c>
      <c r="B10801" t="s">
        <v>19</v>
      </c>
      <c r="C10801" t="s">
        <v>6</v>
      </c>
      <c r="D10801">
        <v>19</v>
      </c>
      <c r="E10801" s="2">
        <v>2.5046296296296296E-2</v>
      </c>
      <c r="F10801">
        <v>36.06666666666667</v>
      </c>
    </row>
    <row r="10802" spans="1:6" x14ac:dyDescent="0.25">
      <c r="A10802" s="1">
        <v>42248</v>
      </c>
      <c r="B10802" t="s">
        <v>19</v>
      </c>
      <c r="C10802" t="s">
        <v>7</v>
      </c>
      <c r="D10802">
        <v>18</v>
      </c>
      <c r="E10802" s="2">
        <v>1.9490740740740739E-2</v>
      </c>
      <c r="F10802">
        <v>28.066666666666666</v>
      </c>
    </row>
    <row r="10803" spans="1:6" x14ac:dyDescent="0.25">
      <c r="A10803" s="1">
        <v>42248</v>
      </c>
      <c r="B10803" t="s">
        <v>19</v>
      </c>
      <c r="C10803" t="s">
        <v>8</v>
      </c>
      <c r="D10803">
        <v>16</v>
      </c>
      <c r="E10803" s="2">
        <v>1.7928240740740741E-2</v>
      </c>
      <c r="F10803">
        <v>25.816666666666666</v>
      </c>
    </row>
    <row r="10804" spans="1:6" x14ac:dyDescent="0.25">
      <c r="A10804" s="1">
        <v>42248</v>
      </c>
      <c r="B10804" t="s">
        <v>19</v>
      </c>
      <c r="C10804" t="s">
        <v>9</v>
      </c>
      <c r="D10804">
        <v>14</v>
      </c>
      <c r="E10804" s="2">
        <v>8.4837962962962966E-3</v>
      </c>
      <c r="F10804">
        <v>12.216666666666667</v>
      </c>
    </row>
    <row r="10805" spans="1:6" x14ac:dyDescent="0.25">
      <c r="A10805" s="1">
        <v>42248</v>
      </c>
      <c r="B10805" t="s">
        <v>19</v>
      </c>
      <c r="C10805" t="s">
        <v>10</v>
      </c>
      <c r="D10805">
        <v>8</v>
      </c>
      <c r="E10805" s="2">
        <v>7.2916666666666668E-3</v>
      </c>
      <c r="F10805">
        <v>10.5</v>
      </c>
    </row>
    <row r="10806" spans="1:6" x14ac:dyDescent="0.25">
      <c r="A10806" s="1">
        <v>42248</v>
      </c>
      <c r="B10806" t="s">
        <v>19</v>
      </c>
      <c r="C10806" t="s">
        <v>11</v>
      </c>
      <c r="D10806">
        <v>31</v>
      </c>
      <c r="E10806" s="2">
        <v>2.9780092592592594E-2</v>
      </c>
      <c r="F10806">
        <v>42.883333333333333</v>
      </c>
    </row>
    <row r="10807" spans="1:6" x14ac:dyDescent="0.25">
      <c r="A10807" s="1">
        <v>42248</v>
      </c>
      <c r="B10807" t="s">
        <v>20</v>
      </c>
      <c r="C10807" t="s">
        <v>6</v>
      </c>
      <c r="D10807">
        <v>59</v>
      </c>
      <c r="E10807" s="2">
        <v>9.1377314814814814E-2</v>
      </c>
      <c r="F10807">
        <v>131.58333333333334</v>
      </c>
    </row>
    <row r="10808" spans="1:6" x14ac:dyDescent="0.25">
      <c r="A10808" s="1">
        <v>42248</v>
      </c>
      <c r="B10808" t="s">
        <v>20</v>
      </c>
      <c r="C10808" t="s">
        <v>7</v>
      </c>
      <c r="D10808">
        <v>86</v>
      </c>
      <c r="E10808" s="2">
        <v>0.1057175925925926</v>
      </c>
      <c r="F10808">
        <v>152.23333333333332</v>
      </c>
    </row>
    <row r="10809" spans="1:6" x14ac:dyDescent="0.25">
      <c r="A10809" s="1">
        <v>42248</v>
      </c>
      <c r="B10809" t="s">
        <v>20</v>
      </c>
      <c r="C10809" t="s">
        <v>8</v>
      </c>
      <c r="D10809">
        <v>59</v>
      </c>
      <c r="E10809" s="2">
        <v>6.745370370370371E-2</v>
      </c>
      <c r="F10809">
        <v>97.13333333333334</v>
      </c>
    </row>
    <row r="10810" spans="1:6" x14ac:dyDescent="0.25">
      <c r="A10810" s="1">
        <v>42248</v>
      </c>
      <c r="B10810" t="s">
        <v>20</v>
      </c>
      <c r="C10810" t="s">
        <v>9</v>
      </c>
      <c r="D10810">
        <v>16</v>
      </c>
      <c r="E10810" s="2">
        <v>9.6412037037037039E-3</v>
      </c>
      <c r="F10810">
        <v>13.883333333333333</v>
      </c>
    </row>
    <row r="10811" spans="1:6" x14ac:dyDescent="0.25">
      <c r="A10811" s="1">
        <v>42248</v>
      </c>
      <c r="B10811" t="s">
        <v>20</v>
      </c>
      <c r="C10811" t="s">
        <v>10</v>
      </c>
      <c r="D10811">
        <v>21</v>
      </c>
      <c r="E10811" s="2">
        <v>2.931712962962963E-2</v>
      </c>
      <c r="F10811">
        <v>42.216666666666669</v>
      </c>
    </row>
    <row r="10812" spans="1:6" x14ac:dyDescent="0.25">
      <c r="A10812" s="1">
        <v>42248</v>
      </c>
      <c r="B10812" t="s">
        <v>20</v>
      </c>
      <c r="C10812" t="s">
        <v>11</v>
      </c>
      <c r="D10812">
        <v>45</v>
      </c>
      <c r="E10812" s="2">
        <v>3.7777777777777778E-2</v>
      </c>
      <c r="F10812">
        <v>54.4</v>
      </c>
    </row>
    <row r="10813" spans="1:6" x14ac:dyDescent="0.25">
      <c r="A10813" s="1">
        <v>42248</v>
      </c>
      <c r="B10813" t="s">
        <v>21</v>
      </c>
      <c r="C10813" t="s">
        <v>6</v>
      </c>
      <c r="D10813">
        <v>15</v>
      </c>
      <c r="E10813" s="2">
        <v>2.5023148148148149E-2</v>
      </c>
      <c r="F10813">
        <v>36.033333333333331</v>
      </c>
    </row>
    <row r="10814" spans="1:6" x14ac:dyDescent="0.25">
      <c r="A10814" s="1">
        <v>42248</v>
      </c>
      <c r="B10814" t="s">
        <v>21</v>
      </c>
      <c r="C10814" t="s">
        <v>7</v>
      </c>
      <c r="D10814">
        <v>9</v>
      </c>
      <c r="E10814" s="2">
        <v>2.2835648148148147E-2</v>
      </c>
      <c r="F10814">
        <v>32.883333333333333</v>
      </c>
    </row>
    <row r="10815" spans="1:6" x14ac:dyDescent="0.25">
      <c r="A10815" s="1">
        <v>42248</v>
      </c>
      <c r="B10815" t="s">
        <v>21</v>
      </c>
      <c r="C10815" t="s">
        <v>8</v>
      </c>
      <c r="D10815">
        <v>20</v>
      </c>
      <c r="E10815" s="2">
        <v>2.5289351851851851E-2</v>
      </c>
      <c r="F10815">
        <v>36.416666666666664</v>
      </c>
    </row>
    <row r="10816" spans="1:6" x14ac:dyDescent="0.25">
      <c r="A10816" s="1">
        <v>42248</v>
      </c>
      <c r="B10816" t="s">
        <v>21</v>
      </c>
      <c r="C10816" t="s">
        <v>9</v>
      </c>
      <c r="D10816">
        <v>4</v>
      </c>
      <c r="E10816" s="2">
        <v>2.2106481481481482E-3</v>
      </c>
      <c r="F10816">
        <v>3.1833333333333331</v>
      </c>
    </row>
    <row r="10817" spans="1:6" x14ac:dyDescent="0.25">
      <c r="A10817" s="1">
        <v>42248</v>
      </c>
      <c r="B10817" t="s">
        <v>21</v>
      </c>
      <c r="C10817" t="s">
        <v>10</v>
      </c>
      <c r="D10817">
        <v>1</v>
      </c>
      <c r="E10817" s="2">
        <v>1.736111111111111E-3</v>
      </c>
      <c r="F10817">
        <v>2.5</v>
      </c>
    </row>
    <row r="10818" spans="1:6" x14ac:dyDescent="0.25">
      <c r="A10818" s="1">
        <v>42248</v>
      </c>
      <c r="B10818" t="s">
        <v>21</v>
      </c>
      <c r="C10818" t="s">
        <v>11</v>
      </c>
      <c r="D10818">
        <v>17</v>
      </c>
      <c r="E10818" s="2">
        <v>2.4907407407407406E-2</v>
      </c>
      <c r="F10818">
        <v>35.866666666666667</v>
      </c>
    </row>
    <row r="10819" spans="1:6" x14ac:dyDescent="0.25">
      <c r="A10819" s="1">
        <v>42248</v>
      </c>
      <c r="B10819" t="s">
        <v>22</v>
      </c>
      <c r="C10819" t="s">
        <v>6</v>
      </c>
      <c r="D10819">
        <v>21</v>
      </c>
      <c r="E10819" s="2">
        <v>2.7199074074074073E-2</v>
      </c>
      <c r="F10819">
        <v>39.166666666666664</v>
      </c>
    </row>
    <row r="10820" spans="1:6" x14ac:dyDescent="0.25">
      <c r="A10820" s="1">
        <v>42248</v>
      </c>
      <c r="B10820" t="s">
        <v>22</v>
      </c>
      <c r="C10820" t="s">
        <v>7</v>
      </c>
      <c r="D10820">
        <v>13</v>
      </c>
      <c r="E10820" s="2">
        <v>1.6481481481481482E-2</v>
      </c>
      <c r="F10820">
        <v>23.733333333333334</v>
      </c>
    </row>
    <row r="10821" spans="1:6" x14ac:dyDescent="0.25">
      <c r="A10821" s="1">
        <v>42248</v>
      </c>
      <c r="B10821" t="s">
        <v>22</v>
      </c>
      <c r="C10821" t="s">
        <v>8</v>
      </c>
      <c r="D10821">
        <v>8</v>
      </c>
      <c r="E10821" s="2">
        <v>9.0972222222222218E-3</v>
      </c>
      <c r="F10821">
        <v>13.1</v>
      </c>
    </row>
    <row r="10822" spans="1:6" x14ac:dyDescent="0.25">
      <c r="A10822" s="1">
        <v>42248</v>
      </c>
      <c r="B10822" t="s">
        <v>22</v>
      </c>
      <c r="C10822" t="s">
        <v>9</v>
      </c>
      <c r="D10822">
        <v>3</v>
      </c>
      <c r="E10822" s="2">
        <v>1.3888888888888889E-3</v>
      </c>
      <c r="F10822">
        <v>2</v>
      </c>
    </row>
    <row r="10823" spans="1:6" x14ac:dyDescent="0.25">
      <c r="A10823" s="1">
        <v>42248</v>
      </c>
      <c r="B10823" t="s">
        <v>22</v>
      </c>
      <c r="C10823" t="s">
        <v>10</v>
      </c>
      <c r="D10823">
        <v>7</v>
      </c>
      <c r="E10823" s="2">
        <v>8.4375000000000006E-3</v>
      </c>
      <c r="F10823">
        <v>12.15</v>
      </c>
    </row>
    <row r="10824" spans="1:6" x14ac:dyDescent="0.25">
      <c r="A10824" s="1">
        <v>42248</v>
      </c>
      <c r="B10824" t="s">
        <v>22</v>
      </c>
      <c r="C10824" t="s">
        <v>11</v>
      </c>
      <c r="D10824">
        <v>13</v>
      </c>
      <c r="E10824" s="2">
        <v>1.636574074074074E-2</v>
      </c>
      <c r="F10824">
        <v>23.566666666666666</v>
      </c>
    </row>
    <row r="10825" spans="1:6" x14ac:dyDescent="0.25">
      <c r="A10825" s="1">
        <v>42248</v>
      </c>
      <c r="B10825" t="s">
        <v>23</v>
      </c>
      <c r="C10825" t="s">
        <v>6</v>
      </c>
      <c r="D10825">
        <v>108</v>
      </c>
      <c r="E10825" s="2">
        <v>0.14950231481481482</v>
      </c>
      <c r="F10825">
        <v>215.28333333333333</v>
      </c>
    </row>
    <row r="10826" spans="1:6" x14ac:dyDescent="0.25">
      <c r="A10826" s="1">
        <v>42248</v>
      </c>
      <c r="B10826" t="s">
        <v>23</v>
      </c>
      <c r="C10826" t="s">
        <v>7</v>
      </c>
      <c r="D10826">
        <v>119</v>
      </c>
      <c r="E10826" s="2">
        <v>0.18087962962962964</v>
      </c>
      <c r="F10826">
        <v>260.46666666666664</v>
      </c>
    </row>
    <row r="10827" spans="1:6" x14ac:dyDescent="0.25">
      <c r="A10827" s="1">
        <v>42248</v>
      </c>
      <c r="B10827" t="s">
        <v>23</v>
      </c>
      <c r="C10827" t="s">
        <v>8</v>
      </c>
      <c r="D10827">
        <v>66</v>
      </c>
      <c r="E10827" s="2">
        <v>7.5590277777777784E-2</v>
      </c>
      <c r="F10827">
        <v>108.85</v>
      </c>
    </row>
    <row r="10828" spans="1:6" x14ac:dyDescent="0.25">
      <c r="A10828" s="1">
        <v>42248</v>
      </c>
      <c r="B10828" t="s">
        <v>23</v>
      </c>
      <c r="C10828" t="s">
        <v>9</v>
      </c>
      <c r="D10828">
        <v>27</v>
      </c>
      <c r="E10828" s="2">
        <v>1.9120370370370371E-2</v>
      </c>
      <c r="F10828">
        <v>27.533333333333335</v>
      </c>
    </row>
    <row r="10829" spans="1:6" x14ac:dyDescent="0.25">
      <c r="A10829" s="1">
        <v>42248</v>
      </c>
      <c r="B10829" t="s">
        <v>23</v>
      </c>
      <c r="C10829" t="s">
        <v>10</v>
      </c>
      <c r="D10829">
        <v>36</v>
      </c>
      <c r="E10829" s="2">
        <v>4.1851851851851848E-2</v>
      </c>
      <c r="F10829">
        <v>60.266666666666666</v>
      </c>
    </row>
    <row r="10830" spans="1:6" x14ac:dyDescent="0.25">
      <c r="A10830" s="1">
        <v>42248</v>
      </c>
      <c r="B10830" t="s">
        <v>23</v>
      </c>
      <c r="C10830" t="s">
        <v>11</v>
      </c>
      <c r="D10830">
        <v>94</v>
      </c>
      <c r="E10830" s="2">
        <v>0.10173611111111111</v>
      </c>
      <c r="F10830">
        <v>146.5</v>
      </c>
    </row>
    <row r="10831" spans="1:6" x14ac:dyDescent="0.25">
      <c r="A10831" s="1">
        <v>42248</v>
      </c>
      <c r="B10831" t="s">
        <v>24</v>
      </c>
      <c r="C10831" t="s">
        <v>6</v>
      </c>
      <c r="D10831">
        <v>85</v>
      </c>
      <c r="E10831" s="2">
        <v>0.1305324074074074</v>
      </c>
      <c r="F10831">
        <v>187.96666666666667</v>
      </c>
    </row>
    <row r="10832" spans="1:6" x14ac:dyDescent="0.25">
      <c r="A10832" s="1">
        <v>42248</v>
      </c>
      <c r="B10832" t="s">
        <v>24</v>
      </c>
      <c r="C10832" t="s">
        <v>7</v>
      </c>
      <c r="D10832">
        <v>37</v>
      </c>
      <c r="E10832" s="2">
        <v>1.8414351851851852E-2</v>
      </c>
      <c r="F10832">
        <v>26.516666666666666</v>
      </c>
    </row>
    <row r="10833" spans="1:6" x14ac:dyDescent="0.25">
      <c r="A10833" s="1">
        <v>42248</v>
      </c>
      <c r="B10833" t="s">
        <v>24</v>
      </c>
      <c r="C10833" t="s">
        <v>8</v>
      </c>
      <c r="D10833">
        <v>26</v>
      </c>
      <c r="E10833" s="2">
        <v>1.8564814814814815E-2</v>
      </c>
      <c r="F10833">
        <v>26.733333333333334</v>
      </c>
    </row>
    <row r="10834" spans="1:6" x14ac:dyDescent="0.25">
      <c r="A10834" s="1">
        <v>42248</v>
      </c>
      <c r="B10834" t="s">
        <v>24</v>
      </c>
      <c r="C10834" t="s">
        <v>9</v>
      </c>
      <c r="D10834">
        <v>45</v>
      </c>
      <c r="E10834" s="2">
        <v>3.1898148148148148E-2</v>
      </c>
      <c r="F10834">
        <v>45.93333333333333</v>
      </c>
    </row>
    <row r="10835" spans="1:6" x14ac:dyDescent="0.25">
      <c r="A10835" s="1">
        <v>42248</v>
      </c>
      <c r="B10835" t="s">
        <v>24</v>
      </c>
      <c r="C10835" t="s">
        <v>10</v>
      </c>
      <c r="D10835">
        <v>2</v>
      </c>
      <c r="E10835" s="2">
        <v>2.5347222222222221E-3</v>
      </c>
      <c r="F10835">
        <v>3.65</v>
      </c>
    </row>
    <row r="10836" spans="1:6" x14ac:dyDescent="0.25">
      <c r="A10836" s="1">
        <v>42248</v>
      </c>
      <c r="B10836" t="s">
        <v>24</v>
      </c>
      <c r="C10836" t="s">
        <v>11</v>
      </c>
      <c r="D10836">
        <v>32</v>
      </c>
      <c r="E10836" s="2">
        <v>2.0775462962962964E-2</v>
      </c>
      <c r="F10836">
        <v>29.916666666666668</v>
      </c>
    </row>
    <row r="10837" spans="1:6" x14ac:dyDescent="0.25">
      <c r="A10837" s="1">
        <v>42278</v>
      </c>
      <c r="B10837" t="s">
        <v>5</v>
      </c>
      <c r="C10837" t="s">
        <v>6</v>
      </c>
      <c r="D10837">
        <v>74</v>
      </c>
      <c r="E10837" s="2">
        <v>8.8726851851851848E-2</v>
      </c>
      <c r="F10837">
        <v>127.76666666666667</v>
      </c>
    </row>
    <row r="10838" spans="1:6" x14ac:dyDescent="0.25">
      <c r="A10838" s="1">
        <v>42278</v>
      </c>
      <c r="B10838" t="s">
        <v>5</v>
      </c>
      <c r="C10838" t="s">
        <v>7</v>
      </c>
      <c r="D10838">
        <v>79</v>
      </c>
      <c r="E10838" s="2">
        <v>9.1458333333333336E-2</v>
      </c>
      <c r="F10838">
        <v>131.69999999999999</v>
      </c>
    </row>
    <row r="10839" spans="1:6" x14ac:dyDescent="0.25">
      <c r="A10839" s="1">
        <v>42278</v>
      </c>
      <c r="B10839" t="s">
        <v>5</v>
      </c>
      <c r="C10839" t="s">
        <v>8</v>
      </c>
      <c r="D10839">
        <v>49</v>
      </c>
      <c r="E10839" s="2">
        <v>5.5601851851851854E-2</v>
      </c>
      <c r="F10839">
        <v>80.066666666666663</v>
      </c>
    </row>
    <row r="10840" spans="1:6" x14ac:dyDescent="0.25">
      <c r="A10840" s="1">
        <v>42278</v>
      </c>
      <c r="B10840" t="s">
        <v>5</v>
      </c>
      <c r="C10840" t="s">
        <v>9</v>
      </c>
      <c r="D10840">
        <v>14</v>
      </c>
      <c r="E10840" s="2">
        <v>1.1122685185185185E-2</v>
      </c>
      <c r="F10840">
        <v>16.016666666666666</v>
      </c>
    </row>
    <row r="10841" spans="1:6" x14ac:dyDescent="0.25">
      <c r="A10841" s="1">
        <v>42278</v>
      </c>
      <c r="B10841" t="s">
        <v>5</v>
      </c>
      <c r="C10841" t="s">
        <v>10</v>
      </c>
      <c r="D10841">
        <v>9</v>
      </c>
      <c r="E10841" s="2">
        <v>8.7384259259259255E-3</v>
      </c>
      <c r="F10841">
        <v>12.583333333333334</v>
      </c>
    </row>
    <row r="10842" spans="1:6" x14ac:dyDescent="0.25">
      <c r="A10842" s="1">
        <v>42278</v>
      </c>
      <c r="B10842" t="s">
        <v>5</v>
      </c>
      <c r="C10842" t="s">
        <v>11</v>
      </c>
      <c r="D10842">
        <v>55</v>
      </c>
      <c r="E10842" s="2">
        <v>5.6678240740740737E-2</v>
      </c>
      <c r="F10842">
        <v>81.61666666666666</v>
      </c>
    </row>
    <row r="10843" spans="1:6" x14ac:dyDescent="0.25">
      <c r="A10843" s="1">
        <v>42278</v>
      </c>
      <c r="B10843" t="s">
        <v>12</v>
      </c>
      <c r="C10843" t="s">
        <v>6</v>
      </c>
      <c r="D10843">
        <v>44</v>
      </c>
      <c r="E10843" s="2">
        <v>6.2916666666666662E-2</v>
      </c>
      <c r="F10843">
        <v>90.6</v>
      </c>
    </row>
    <row r="10844" spans="1:6" x14ac:dyDescent="0.25">
      <c r="A10844" s="1">
        <v>42278</v>
      </c>
      <c r="B10844" t="s">
        <v>12</v>
      </c>
      <c r="C10844" t="s">
        <v>7</v>
      </c>
      <c r="D10844">
        <v>33</v>
      </c>
      <c r="E10844" s="2">
        <v>6.1516203703703705E-2</v>
      </c>
      <c r="F10844">
        <v>88.583333333333329</v>
      </c>
    </row>
    <row r="10845" spans="1:6" x14ac:dyDescent="0.25">
      <c r="A10845" s="1">
        <v>42278</v>
      </c>
      <c r="B10845" t="s">
        <v>12</v>
      </c>
      <c r="C10845" t="s">
        <v>8</v>
      </c>
      <c r="D10845">
        <v>22</v>
      </c>
      <c r="E10845" s="2">
        <v>3.6157407407407409E-2</v>
      </c>
      <c r="F10845">
        <v>52.06666666666667</v>
      </c>
    </row>
    <row r="10846" spans="1:6" x14ac:dyDescent="0.25">
      <c r="A10846" s="1">
        <v>42278</v>
      </c>
      <c r="B10846" t="s">
        <v>12</v>
      </c>
      <c r="C10846" t="s">
        <v>9</v>
      </c>
      <c r="D10846">
        <v>10</v>
      </c>
      <c r="E10846" s="2">
        <v>7.083333333333333E-3</v>
      </c>
      <c r="F10846">
        <v>10.199999999999999</v>
      </c>
    </row>
    <row r="10847" spans="1:6" x14ac:dyDescent="0.25">
      <c r="A10847" s="1">
        <v>42278</v>
      </c>
      <c r="B10847" t="s">
        <v>12</v>
      </c>
      <c r="C10847" t="s">
        <v>10</v>
      </c>
      <c r="D10847">
        <v>27</v>
      </c>
      <c r="E10847" s="2">
        <v>4.1793981481481481E-2</v>
      </c>
      <c r="F10847">
        <v>60.18333333333333</v>
      </c>
    </row>
    <row r="10848" spans="1:6" x14ac:dyDescent="0.25">
      <c r="A10848" s="1">
        <v>42278</v>
      </c>
      <c r="B10848" t="s">
        <v>12</v>
      </c>
      <c r="C10848" t="s">
        <v>11</v>
      </c>
      <c r="D10848">
        <v>51</v>
      </c>
      <c r="E10848" s="2">
        <v>6.7314814814814813E-2</v>
      </c>
      <c r="F10848">
        <v>96.933333333333337</v>
      </c>
    </row>
    <row r="10849" spans="1:6" x14ac:dyDescent="0.25">
      <c r="A10849" s="1">
        <v>42278</v>
      </c>
      <c r="B10849" t="s">
        <v>13</v>
      </c>
      <c r="C10849" t="s">
        <v>6</v>
      </c>
      <c r="D10849">
        <v>32</v>
      </c>
      <c r="E10849" s="2">
        <v>4.8993055555555554E-2</v>
      </c>
      <c r="F10849">
        <v>70.55</v>
      </c>
    </row>
    <row r="10850" spans="1:6" x14ac:dyDescent="0.25">
      <c r="A10850" s="1">
        <v>42278</v>
      </c>
      <c r="B10850" t="s">
        <v>13</v>
      </c>
      <c r="C10850" t="s">
        <v>7</v>
      </c>
      <c r="D10850">
        <v>61</v>
      </c>
      <c r="E10850" s="2">
        <v>0.12657407407407406</v>
      </c>
      <c r="F10850">
        <v>182.26666666666668</v>
      </c>
    </row>
    <row r="10851" spans="1:6" x14ac:dyDescent="0.25">
      <c r="A10851" s="1">
        <v>42278</v>
      </c>
      <c r="B10851" t="s">
        <v>13</v>
      </c>
      <c r="C10851" t="s">
        <v>8</v>
      </c>
      <c r="D10851">
        <v>19</v>
      </c>
      <c r="E10851" s="2">
        <v>2.644675925925926E-2</v>
      </c>
      <c r="F10851">
        <v>38.083333333333336</v>
      </c>
    </row>
    <row r="10852" spans="1:6" x14ac:dyDescent="0.25">
      <c r="A10852" s="1">
        <v>42278</v>
      </c>
      <c r="B10852" t="s">
        <v>13</v>
      </c>
      <c r="C10852" t="s">
        <v>9</v>
      </c>
      <c r="D10852">
        <v>9</v>
      </c>
      <c r="E10852" s="2">
        <v>4.6064814814814814E-3</v>
      </c>
      <c r="F10852">
        <v>6.6333333333333329</v>
      </c>
    </row>
    <row r="10853" spans="1:6" x14ac:dyDescent="0.25">
      <c r="A10853" s="1">
        <v>42278</v>
      </c>
      <c r="B10853" t="s">
        <v>13</v>
      </c>
      <c r="C10853" t="s">
        <v>10</v>
      </c>
      <c r="D10853">
        <v>10</v>
      </c>
      <c r="E10853" s="2">
        <v>1.4027777777777778E-2</v>
      </c>
      <c r="F10853">
        <v>20.2</v>
      </c>
    </row>
    <row r="10854" spans="1:6" x14ac:dyDescent="0.25">
      <c r="A10854" s="1">
        <v>42278</v>
      </c>
      <c r="B10854" t="s">
        <v>13</v>
      </c>
      <c r="C10854" t="s">
        <v>11</v>
      </c>
      <c r="D10854">
        <v>17</v>
      </c>
      <c r="E10854" s="2">
        <v>2.5358796296296296E-2</v>
      </c>
      <c r="F10854">
        <v>36.516666666666666</v>
      </c>
    </row>
    <row r="10855" spans="1:6" x14ac:dyDescent="0.25">
      <c r="A10855" s="1">
        <v>42278</v>
      </c>
      <c r="B10855" t="s">
        <v>14</v>
      </c>
      <c r="C10855" t="s">
        <v>6</v>
      </c>
      <c r="D10855">
        <v>8</v>
      </c>
      <c r="E10855" s="2">
        <v>1.087962962962963E-2</v>
      </c>
      <c r="F10855">
        <v>15.666666666666666</v>
      </c>
    </row>
    <row r="10856" spans="1:6" x14ac:dyDescent="0.25">
      <c r="A10856" s="1">
        <v>42278</v>
      </c>
      <c r="B10856" t="s">
        <v>14</v>
      </c>
      <c r="C10856" t="s">
        <v>7</v>
      </c>
      <c r="D10856">
        <v>16</v>
      </c>
      <c r="E10856" s="2">
        <v>2.9363425925925925E-2</v>
      </c>
      <c r="F10856">
        <v>42.283333333333331</v>
      </c>
    </row>
    <row r="10857" spans="1:6" x14ac:dyDescent="0.25">
      <c r="A10857" s="1">
        <v>42278</v>
      </c>
      <c r="B10857" t="s">
        <v>14</v>
      </c>
      <c r="C10857" t="s">
        <v>8</v>
      </c>
      <c r="D10857">
        <v>6</v>
      </c>
      <c r="E10857" s="2">
        <v>9.1666666666666667E-3</v>
      </c>
      <c r="F10857">
        <v>13.2</v>
      </c>
    </row>
    <row r="10858" spans="1:6" x14ac:dyDescent="0.25">
      <c r="A10858" s="1">
        <v>42278</v>
      </c>
      <c r="B10858" t="s">
        <v>14</v>
      </c>
      <c r="C10858" t="s">
        <v>9</v>
      </c>
      <c r="D10858">
        <v>4</v>
      </c>
      <c r="E10858" s="2">
        <v>1.5393518518518519E-3</v>
      </c>
      <c r="F10858">
        <v>2.2166666666666668</v>
      </c>
    </row>
    <row r="10859" spans="1:6" x14ac:dyDescent="0.25">
      <c r="A10859" s="1">
        <v>42278</v>
      </c>
      <c r="B10859" t="s">
        <v>14</v>
      </c>
      <c r="C10859" t="s">
        <v>10</v>
      </c>
      <c r="D10859">
        <v>2</v>
      </c>
      <c r="E10859" s="2">
        <v>1.4004629629629629E-3</v>
      </c>
      <c r="F10859">
        <v>2.0166666666666666</v>
      </c>
    </row>
    <row r="10860" spans="1:6" x14ac:dyDescent="0.25">
      <c r="A10860" s="1">
        <v>42278</v>
      </c>
      <c r="B10860" t="s">
        <v>14</v>
      </c>
      <c r="C10860" t="s">
        <v>11</v>
      </c>
      <c r="D10860">
        <v>6</v>
      </c>
      <c r="E10860" s="2">
        <v>6.2384259259259259E-3</v>
      </c>
      <c r="F10860">
        <v>8.9833333333333325</v>
      </c>
    </row>
    <row r="10861" spans="1:6" x14ac:dyDescent="0.25">
      <c r="A10861" s="1">
        <v>42278</v>
      </c>
      <c r="B10861" t="s">
        <v>15</v>
      </c>
      <c r="C10861" t="s">
        <v>6</v>
      </c>
      <c r="D10861">
        <v>34</v>
      </c>
      <c r="E10861" s="2">
        <v>5.2569444444444446E-2</v>
      </c>
      <c r="F10861">
        <v>75.7</v>
      </c>
    </row>
    <row r="10862" spans="1:6" x14ac:dyDescent="0.25">
      <c r="A10862" s="1">
        <v>42278</v>
      </c>
      <c r="B10862" t="s">
        <v>15</v>
      </c>
      <c r="C10862" t="s">
        <v>7</v>
      </c>
      <c r="D10862">
        <v>19</v>
      </c>
      <c r="E10862" s="2">
        <v>3.1412037037037037E-2</v>
      </c>
      <c r="F10862">
        <v>45.233333333333334</v>
      </c>
    </row>
    <row r="10863" spans="1:6" x14ac:dyDescent="0.25">
      <c r="A10863" s="1">
        <v>42278</v>
      </c>
      <c r="B10863" t="s">
        <v>15</v>
      </c>
      <c r="C10863" t="s">
        <v>8</v>
      </c>
      <c r="D10863">
        <v>25</v>
      </c>
      <c r="E10863" s="2">
        <v>3.1377314814814816E-2</v>
      </c>
      <c r="F10863">
        <v>45.18333333333333</v>
      </c>
    </row>
    <row r="10864" spans="1:6" x14ac:dyDescent="0.25">
      <c r="A10864" s="1">
        <v>42278</v>
      </c>
      <c r="B10864" t="s">
        <v>15</v>
      </c>
      <c r="C10864" t="s">
        <v>9</v>
      </c>
      <c r="D10864">
        <v>5</v>
      </c>
      <c r="E10864" s="2">
        <v>2.5578703703703705E-3</v>
      </c>
      <c r="F10864">
        <v>3.6833333333333336</v>
      </c>
    </row>
    <row r="10865" spans="1:6" x14ac:dyDescent="0.25">
      <c r="A10865" s="1">
        <v>42278</v>
      </c>
      <c r="B10865" t="s">
        <v>15</v>
      </c>
      <c r="C10865" t="s">
        <v>10</v>
      </c>
      <c r="D10865">
        <v>9</v>
      </c>
      <c r="E10865" s="2">
        <v>1.0138888888888888E-2</v>
      </c>
      <c r="F10865">
        <v>14.6</v>
      </c>
    </row>
    <row r="10866" spans="1:6" x14ac:dyDescent="0.25">
      <c r="A10866" s="1">
        <v>42278</v>
      </c>
      <c r="B10866" t="s">
        <v>15</v>
      </c>
      <c r="C10866" t="s">
        <v>11</v>
      </c>
      <c r="D10866">
        <v>19</v>
      </c>
      <c r="E10866" s="2">
        <v>1.9733796296296298E-2</v>
      </c>
      <c r="F10866">
        <v>28.416666666666668</v>
      </c>
    </row>
    <row r="10867" spans="1:6" x14ac:dyDescent="0.25">
      <c r="A10867" s="1">
        <v>42278</v>
      </c>
      <c r="B10867" t="s">
        <v>16</v>
      </c>
      <c r="C10867" t="s">
        <v>6</v>
      </c>
      <c r="D10867">
        <v>19</v>
      </c>
      <c r="E10867" s="2">
        <v>1.9444444444444445E-2</v>
      </c>
      <c r="F10867">
        <v>28</v>
      </c>
    </row>
    <row r="10868" spans="1:6" x14ac:dyDescent="0.25">
      <c r="A10868" s="1">
        <v>42278</v>
      </c>
      <c r="B10868" t="s">
        <v>16</v>
      </c>
      <c r="C10868" t="s">
        <v>7</v>
      </c>
      <c r="D10868">
        <v>26</v>
      </c>
      <c r="E10868" s="2">
        <v>2.7824074074074074E-2</v>
      </c>
      <c r="F10868">
        <v>40.06666666666667</v>
      </c>
    </row>
    <row r="10869" spans="1:6" x14ac:dyDescent="0.25">
      <c r="A10869" s="1">
        <v>42278</v>
      </c>
      <c r="B10869" t="s">
        <v>16</v>
      </c>
      <c r="C10869" t="s">
        <v>8</v>
      </c>
      <c r="D10869">
        <v>22</v>
      </c>
      <c r="E10869" s="2">
        <v>1.7187500000000001E-2</v>
      </c>
      <c r="F10869">
        <v>24.75</v>
      </c>
    </row>
    <row r="10870" spans="1:6" x14ac:dyDescent="0.25">
      <c r="A10870" s="1">
        <v>42278</v>
      </c>
      <c r="B10870" t="s">
        <v>16</v>
      </c>
      <c r="C10870" t="s">
        <v>9</v>
      </c>
      <c r="D10870">
        <v>6</v>
      </c>
      <c r="E10870" s="2">
        <v>3.3333333333333335E-3</v>
      </c>
      <c r="F10870">
        <v>4.8</v>
      </c>
    </row>
    <row r="10871" spans="1:6" x14ac:dyDescent="0.25">
      <c r="A10871" s="1">
        <v>42278</v>
      </c>
      <c r="B10871" t="s">
        <v>16</v>
      </c>
      <c r="C10871" t="s">
        <v>10</v>
      </c>
      <c r="D10871">
        <v>5</v>
      </c>
      <c r="E10871" s="2">
        <v>3.6805555555555554E-3</v>
      </c>
      <c r="F10871">
        <v>5.3</v>
      </c>
    </row>
    <row r="10872" spans="1:6" x14ac:dyDescent="0.25">
      <c r="A10872" s="1">
        <v>42278</v>
      </c>
      <c r="B10872" t="s">
        <v>16</v>
      </c>
      <c r="C10872" t="s">
        <v>11</v>
      </c>
      <c r="D10872">
        <v>30</v>
      </c>
      <c r="E10872" s="2">
        <v>2.9791666666666668E-2</v>
      </c>
      <c r="F10872">
        <v>42.9</v>
      </c>
    </row>
    <row r="10873" spans="1:6" x14ac:dyDescent="0.25">
      <c r="A10873" s="1">
        <v>42278</v>
      </c>
      <c r="B10873" t="s">
        <v>17</v>
      </c>
      <c r="C10873" t="s">
        <v>6</v>
      </c>
      <c r="D10873">
        <v>5</v>
      </c>
      <c r="E10873" s="2">
        <v>8.4259259259259253E-3</v>
      </c>
      <c r="F10873">
        <v>12.133333333333333</v>
      </c>
    </row>
    <row r="10874" spans="1:6" x14ac:dyDescent="0.25">
      <c r="A10874" s="1">
        <v>42278</v>
      </c>
      <c r="B10874" t="s">
        <v>17</v>
      </c>
      <c r="C10874" t="s">
        <v>7</v>
      </c>
      <c r="D10874">
        <v>9</v>
      </c>
      <c r="E10874" s="2">
        <v>1.1550925925925926E-2</v>
      </c>
      <c r="F10874">
        <v>16.633333333333333</v>
      </c>
    </row>
    <row r="10875" spans="1:6" x14ac:dyDescent="0.25">
      <c r="A10875" s="1">
        <v>42278</v>
      </c>
      <c r="B10875" t="s">
        <v>17</v>
      </c>
      <c r="C10875" t="s">
        <v>8</v>
      </c>
      <c r="D10875">
        <v>4</v>
      </c>
      <c r="E10875" s="2">
        <v>2.7546296296296294E-3</v>
      </c>
      <c r="F10875">
        <v>3.9666666666666668</v>
      </c>
    </row>
    <row r="10876" spans="1:6" x14ac:dyDescent="0.25">
      <c r="A10876" s="1">
        <v>42278</v>
      </c>
      <c r="B10876" t="s">
        <v>17</v>
      </c>
      <c r="C10876" t="s">
        <v>9</v>
      </c>
      <c r="D10876">
        <v>2</v>
      </c>
      <c r="E10876" s="2">
        <v>1.3541666666666667E-3</v>
      </c>
      <c r="F10876">
        <v>1.95</v>
      </c>
    </row>
    <row r="10877" spans="1:6" x14ac:dyDescent="0.25">
      <c r="A10877" s="1">
        <v>42278</v>
      </c>
      <c r="B10877" t="s">
        <v>17</v>
      </c>
      <c r="C10877" t="s">
        <v>10</v>
      </c>
      <c r="D10877">
        <v>3</v>
      </c>
      <c r="E10877" s="2">
        <v>2.2453703703703702E-3</v>
      </c>
      <c r="F10877">
        <v>3.2333333333333334</v>
      </c>
    </row>
    <row r="10878" spans="1:6" x14ac:dyDescent="0.25">
      <c r="A10878" s="1">
        <v>42278</v>
      </c>
      <c r="B10878" t="s">
        <v>17</v>
      </c>
      <c r="C10878" t="s">
        <v>11</v>
      </c>
      <c r="D10878">
        <v>4</v>
      </c>
      <c r="E10878" s="2">
        <v>2.5347222222222221E-3</v>
      </c>
      <c r="F10878">
        <v>3.65</v>
      </c>
    </row>
    <row r="10879" spans="1:6" x14ac:dyDescent="0.25">
      <c r="A10879" s="1">
        <v>42278</v>
      </c>
      <c r="B10879" t="s">
        <v>18</v>
      </c>
      <c r="C10879" t="s">
        <v>6</v>
      </c>
      <c r="D10879">
        <v>53</v>
      </c>
      <c r="E10879" s="2">
        <v>5.8182870370370371E-2</v>
      </c>
      <c r="F10879">
        <v>83.783333333333331</v>
      </c>
    </row>
    <row r="10880" spans="1:6" x14ac:dyDescent="0.25">
      <c r="A10880" s="1">
        <v>42278</v>
      </c>
      <c r="B10880" t="s">
        <v>18</v>
      </c>
      <c r="C10880" t="s">
        <v>7</v>
      </c>
      <c r="D10880">
        <v>91</v>
      </c>
      <c r="E10880" s="2">
        <v>8.5590277777777779E-2</v>
      </c>
      <c r="F10880">
        <v>123.25</v>
      </c>
    </row>
    <row r="10881" spans="1:6" x14ac:dyDescent="0.25">
      <c r="A10881" s="1">
        <v>42278</v>
      </c>
      <c r="B10881" t="s">
        <v>18</v>
      </c>
      <c r="C10881" t="s">
        <v>8</v>
      </c>
      <c r="D10881">
        <v>41</v>
      </c>
      <c r="E10881" s="2">
        <v>4.0694444444444443E-2</v>
      </c>
      <c r="F10881">
        <v>58.6</v>
      </c>
    </row>
    <row r="10882" spans="1:6" x14ac:dyDescent="0.25">
      <c r="A10882" s="1">
        <v>42278</v>
      </c>
      <c r="B10882" t="s">
        <v>18</v>
      </c>
      <c r="C10882" t="s">
        <v>9</v>
      </c>
      <c r="D10882">
        <v>43</v>
      </c>
      <c r="E10882" s="2">
        <v>2.7407407407407408E-2</v>
      </c>
      <c r="F10882">
        <v>39.466666666666669</v>
      </c>
    </row>
    <row r="10883" spans="1:6" x14ac:dyDescent="0.25">
      <c r="A10883" s="1">
        <v>42278</v>
      </c>
      <c r="B10883" t="s">
        <v>18</v>
      </c>
      <c r="C10883" t="s">
        <v>10</v>
      </c>
      <c r="D10883">
        <v>152</v>
      </c>
      <c r="E10883" s="2">
        <v>0.17386574074074074</v>
      </c>
      <c r="F10883">
        <v>250.36666666666667</v>
      </c>
    </row>
    <row r="10884" spans="1:6" x14ac:dyDescent="0.25">
      <c r="A10884" s="1">
        <v>42278</v>
      </c>
      <c r="B10884" t="s">
        <v>18</v>
      </c>
      <c r="C10884" t="s">
        <v>11</v>
      </c>
      <c r="D10884">
        <v>53</v>
      </c>
      <c r="E10884" s="2">
        <v>4.3611111111111114E-2</v>
      </c>
      <c r="F10884">
        <v>62.8</v>
      </c>
    </row>
    <row r="10885" spans="1:6" x14ac:dyDescent="0.25">
      <c r="A10885" s="1">
        <v>42278</v>
      </c>
      <c r="B10885" t="s">
        <v>19</v>
      </c>
      <c r="C10885" t="s">
        <v>6</v>
      </c>
      <c r="D10885">
        <v>22</v>
      </c>
      <c r="E10885" s="2">
        <v>2.6655092592592591E-2</v>
      </c>
      <c r="F10885">
        <v>38.383333333333333</v>
      </c>
    </row>
    <row r="10886" spans="1:6" x14ac:dyDescent="0.25">
      <c r="A10886" s="1">
        <v>42278</v>
      </c>
      <c r="B10886" t="s">
        <v>19</v>
      </c>
      <c r="C10886" t="s">
        <v>7</v>
      </c>
      <c r="D10886">
        <v>25</v>
      </c>
      <c r="E10886" s="2">
        <v>3.0763888888888889E-2</v>
      </c>
      <c r="F10886">
        <v>44.3</v>
      </c>
    </row>
    <row r="10887" spans="1:6" x14ac:dyDescent="0.25">
      <c r="A10887" s="1">
        <v>42278</v>
      </c>
      <c r="B10887" t="s">
        <v>19</v>
      </c>
      <c r="C10887" t="s">
        <v>8</v>
      </c>
      <c r="D10887">
        <v>28</v>
      </c>
      <c r="E10887" s="2">
        <v>2.6203703703703705E-2</v>
      </c>
      <c r="F10887">
        <v>37.733333333333334</v>
      </c>
    </row>
    <row r="10888" spans="1:6" x14ac:dyDescent="0.25">
      <c r="A10888" s="1">
        <v>42278</v>
      </c>
      <c r="B10888" t="s">
        <v>19</v>
      </c>
      <c r="C10888" t="s">
        <v>9</v>
      </c>
      <c r="D10888">
        <v>23</v>
      </c>
      <c r="E10888" s="2">
        <v>1.2800925925925926E-2</v>
      </c>
      <c r="F10888">
        <v>18.433333333333334</v>
      </c>
    </row>
    <row r="10889" spans="1:6" x14ac:dyDescent="0.25">
      <c r="A10889" s="1">
        <v>42278</v>
      </c>
      <c r="B10889" t="s">
        <v>19</v>
      </c>
      <c r="C10889" t="s">
        <v>10</v>
      </c>
      <c r="D10889">
        <v>6</v>
      </c>
      <c r="E10889" s="2">
        <v>8.518518518518519E-3</v>
      </c>
      <c r="F10889">
        <v>12.266666666666667</v>
      </c>
    </row>
    <row r="10890" spans="1:6" x14ac:dyDescent="0.25">
      <c r="A10890" s="1">
        <v>42278</v>
      </c>
      <c r="B10890" t="s">
        <v>19</v>
      </c>
      <c r="C10890" t="s">
        <v>11</v>
      </c>
      <c r="D10890">
        <v>35</v>
      </c>
      <c r="E10890" s="2">
        <v>3.3009259259259259E-2</v>
      </c>
      <c r="F10890">
        <v>47.533333333333331</v>
      </c>
    </row>
    <row r="10891" spans="1:6" x14ac:dyDescent="0.25">
      <c r="A10891" s="1">
        <v>42278</v>
      </c>
      <c r="B10891" t="s">
        <v>20</v>
      </c>
      <c r="C10891" t="s">
        <v>6</v>
      </c>
      <c r="D10891">
        <v>34</v>
      </c>
      <c r="E10891" s="2">
        <v>4.0729166666666664E-2</v>
      </c>
      <c r="F10891">
        <v>58.65</v>
      </c>
    </row>
    <row r="10892" spans="1:6" x14ac:dyDescent="0.25">
      <c r="A10892" s="1">
        <v>42278</v>
      </c>
      <c r="B10892" t="s">
        <v>20</v>
      </c>
      <c r="C10892" t="s">
        <v>7</v>
      </c>
      <c r="D10892">
        <v>35</v>
      </c>
      <c r="E10892" s="2">
        <v>4.6481481481481485E-2</v>
      </c>
      <c r="F10892">
        <v>66.933333333333337</v>
      </c>
    </row>
    <row r="10893" spans="1:6" x14ac:dyDescent="0.25">
      <c r="A10893" s="1">
        <v>42278</v>
      </c>
      <c r="B10893" t="s">
        <v>20</v>
      </c>
      <c r="C10893" t="s">
        <v>8</v>
      </c>
      <c r="D10893">
        <v>32</v>
      </c>
      <c r="E10893" s="2">
        <v>2.7604166666666666E-2</v>
      </c>
      <c r="F10893">
        <v>39.75</v>
      </c>
    </row>
    <row r="10894" spans="1:6" x14ac:dyDescent="0.25">
      <c r="A10894" s="1">
        <v>42278</v>
      </c>
      <c r="B10894" t="s">
        <v>20</v>
      </c>
      <c r="C10894" t="s">
        <v>9</v>
      </c>
      <c r="D10894">
        <v>10</v>
      </c>
      <c r="E10894" s="2">
        <v>6.4351851851851853E-3</v>
      </c>
      <c r="F10894">
        <v>9.2666666666666675</v>
      </c>
    </row>
    <row r="10895" spans="1:6" x14ac:dyDescent="0.25">
      <c r="A10895" s="1">
        <v>42278</v>
      </c>
      <c r="B10895" t="s">
        <v>20</v>
      </c>
      <c r="C10895" t="s">
        <v>10</v>
      </c>
      <c r="D10895">
        <v>13</v>
      </c>
      <c r="E10895" s="2">
        <v>1.3460648148148149E-2</v>
      </c>
      <c r="F10895">
        <v>19.383333333333333</v>
      </c>
    </row>
    <row r="10896" spans="1:6" x14ac:dyDescent="0.25">
      <c r="A10896" s="1">
        <v>42278</v>
      </c>
      <c r="B10896" t="s">
        <v>20</v>
      </c>
      <c r="C10896" t="s">
        <v>11</v>
      </c>
      <c r="D10896">
        <v>23</v>
      </c>
      <c r="E10896" s="2">
        <v>2.0104166666666666E-2</v>
      </c>
      <c r="F10896">
        <v>28.95</v>
      </c>
    </row>
    <row r="10897" spans="1:6" x14ac:dyDescent="0.25">
      <c r="A10897" s="1">
        <v>42278</v>
      </c>
      <c r="B10897" t="s">
        <v>21</v>
      </c>
      <c r="C10897" t="s">
        <v>6</v>
      </c>
      <c r="D10897">
        <v>17</v>
      </c>
      <c r="E10897" s="2">
        <v>2.4097222222222221E-2</v>
      </c>
      <c r="F10897">
        <v>34.700000000000003</v>
      </c>
    </row>
    <row r="10898" spans="1:6" x14ac:dyDescent="0.25">
      <c r="A10898" s="1">
        <v>42278</v>
      </c>
      <c r="B10898" t="s">
        <v>21</v>
      </c>
      <c r="C10898" t="s">
        <v>7</v>
      </c>
      <c r="D10898">
        <v>15</v>
      </c>
      <c r="E10898" s="2">
        <v>3.8530092592592595E-2</v>
      </c>
      <c r="F10898">
        <v>55.483333333333334</v>
      </c>
    </row>
    <row r="10899" spans="1:6" x14ac:dyDescent="0.25">
      <c r="A10899" s="1">
        <v>42278</v>
      </c>
      <c r="B10899" t="s">
        <v>21</v>
      </c>
      <c r="C10899" t="s">
        <v>8</v>
      </c>
      <c r="D10899">
        <v>14</v>
      </c>
      <c r="E10899" s="2">
        <v>2.1250000000000002E-2</v>
      </c>
      <c r="F10899">
        <v>30.6</v>
      </c>
    </row>
    <row r="10900" spans="1:6" x14ac:dyDescent="0.25">
      <c r="A10900" s="1">
        <v>42278</v>
      </c>
      <c r="B10900" t="s">
        <v>21</v>
      </c>
      <c r="C10900" t="s">
        <v>9</v>
      </c>
      <c r="D10900">
        <v>5</v>
      </c>
      <c r="E10900" s="2">
        <v>2.7083333333333334E-3</v>
      </c>
      <c r="F10900">
        <v>3.9</v>
      </c>
    </row>
    <row r="10901" spans="1:6" x14ac:dyDescent="0.25">
      <c r="A10901" s="1">
        <v>42278</v>
      </c>
      <c r="B10901" t="s">
        <v>21</v>
      </c>
      <c r="C10901" t="s">
        <v>10</v>
      </c>
      <c r="D10901">
        <v>2</v>
      </c>
      <c r="E10901" s="2">
        <v>1.3194444444444445E-3</v>
      </c>
      <c r="F10901">
        <v>1.9</v>
      </c>
    </row>
    <row r="10902" spans="1:6" x14ac:dyDescent="0.25">
      <c r="A10902" s="1">
        <v>42278</v>
      </c>
      <c r="B10902" t="s">
        <v>21</v>
      </c>
      <c r="C10902" t="s">
        <v>11</v>
      </c>
      <c r="D10902">
        <v>15</v>
      </c>
      <c r="E10902" s="2">
        <v>1.7372685185185185E-2</v>
      </c>
      <c r="F10902">
        <v>25.016666666666666</v>
      </c>
    </row>
    <row r="10903" spans="1:6" x14ac:dyDescent="0.25">
      <c r="A10903" s="1">
        <v>42278</v>
      </c>
      <c r="B10903" t="s">
        <v>22</v>
      </c>
      <c r="C10903" t="s">
        <v>6</v>
      </c>
      <c r="D10903">
        <v>3</v>
      </c>
      <c r="E10903" s="2">
        <v>6.2962962962962964E-3</v>
      </c>
      <c r="F10903">
        <v>9.0666666666666664</v>
      </c>
    </row>
    <row r="10904" spans="1:6" x14ac:dyDescent="0.25">
      <c r="A10904" s="1">
        <v>42278</v>
      </c>
      <c r="B10904" t="s">
        <v>22</v>
      </c>
      <c r="C10904" t="s">
        <v>7</v>
      </c>
      <c r="D10904">
        <v>8</v>
      </c>
      <c r="E10904" s="2">
        <v>1.1400462962962963E-2</v>
      </c>
      <c r="F10904">
        <v>16.416666666666668</v>
      </c>
    </row>
    <row r="10905" spans="1:6" x14ac:dyDescent="0.25">
      <c r="A10905" s="1">
        <v>42278</v>
      </c>
      <c r="B10905" t="s">
        <v>22</v>
      </c>
      <c r="C10905" t="s">
        <v>8</v>
      </c>
      <c r="D10905">
        <v>7</v>
      </c>
      <c r="E10905" s="2">
        <v>1.0949074074074075E-2</v>
      </c>
      <c r="F10905">
        <v>15.766666666666667</v>
      </c>
    </row>
    <row r="10906" spans="1:6" x14ac:dyDescent="0.25">
      <c r="A10906" s="1">
        <v>42278</v>
      </c>
      <c r="B10906" t="s">
        <v>22</v>
      </c>
      <c r="C10906" t="s">
        <v>9</v>
      </c>
      <c r="D10906">
        <v>2</v>
      </c>
      <c r="E10906" s="2">
        <v>6.7129629629629625E-4</v>
      </c>
      <c r="F10906">
        <v>0.96666666666666667</v>
      </c>
    </row>
    <row r="10907" spans="1:6" x14ac:dyDescent="0.25">
      <c r="A10907" s="1">
        <v>42278</v>
      </c>
      <c r="B10907" t="s">
        <v>22</v>
      </c>
      <c r="C10907" t="s">
        <v>10</v>
      </c>
      <c r="D10907">
        <v>3</v>
      </c>
      <c r="E10907" s="2">
        <v>5.8680555555555552E-3</v>
      </c>
      <c r="F10907">
        <v>8.4499999999999993</v>
      </c>
    </row>
    <row r="10908" spans="1:6" x14ac:dyDescent="0.25">
      <c r="A10908" s="1">
        <v>42278</v>
      </c>
      <c r="B10908" t="s">
        <v>22</v>
      </c>
      <c r="C10908" t="s">
        <v>11</v>
      </c>
      <c r="D10908">
        <v>9</v>
      </c>
      <c r="E10908" s="2">
        <v>1.0115740740740741E-2</v>
      </c>
      <c r="F10908">
        <v>14.566666666666666</v>
      </c>
    </row>
    <row r="10909" spans="1:6" x14ac:dyDescent="0.25">
      <c r="A10909" s="1">
        <v>42278</v>
      </c>
      <c r="B10909" t="s">
        <v>23</v>
      </c>
      <c r="C10909" t="s">
        <v>6</v>
      </c>
      <c r="D10909">
        <v>94</v>
      </c>
      <c r="E10909" s="2">
        <v>0.13040509259259259</v>
      </c>
      <c r="F10909">
        <v>187.78333333333333</v>
      </c>
    </row>
    <row r="10910" spans="1:6" x14ac:dyDescent="0.25">
      <c r="A10910" s="1">
        <v>42278</v>
      </c>
      <c r="B10910" t="s">
        <v>23</v>
      </c>
      <c r="C10910" t="s">
        <v>7</v>
      </c>
      <c r="D10910">
        <v>100</v>
      </c>
      <c r="E10910" s="2">
        <v>0.14280092592592591</v>
      </c>
      <c r="F10910">
        <v>205.63333333333333</v>
      </c>
    </row>
    <row r="10911" spans="1:6" x14ac:dyDescent="0.25">
      <c r="A10911" s="1">
        <v>42278</v>
      </c>
      <c r="B10911" t="s">
        <v>23</v>
      </c>
      <c r="C10911" t="s">
        <v>8</v>
      </c>
      <c r="D10911">
        <v>73</v>
      </c>
      <c r="E10911" s="2">
        <v>8.0127314814814818E-2</v>
      </c>
      <c r="F10911">
        <v>115.38333333333334</v>
      </c>
    </row>
    <row r="10912" spans="1:6" x14ac:dyDescent="0.25">
      <c r="A10912" s="1">
        <v>42278</v>
      </c>
      <c r="B10912" t="s">
        <v>23</v>
      </c>
      <c r="C10912" t="s">
        <v>9</v>
      </c>
      <c r="D10912">
        <v>35</v>
      </c>
      <c r="E10912" s="2">
        <v>2.1458333333333333E-2</v>
      </c>
      <c r="F10912">
        <v>30.9</v>
      </c>
    </row>
    <row r="10913" spans="1:6" x14ac:dyDescent="0.25">
      <c r="A10913" s="1">
        <v>42278</v>
      </c>
      <c r="B10913" t="s">
        <v>23</v>
      </c>
      <c r="C10913" t="s">
        <v>10</v>
      </c>
      <c r="D10913">
        <v>23</v>
      </c>
      <c r="E10913" s="2">
        <v>3.2222222222222222E-2</v>
      </c>
      <c r="F10913">
        <v>46.4</v>
      </c>
    </row>
    <row r="10914" spans="1:6" x14ac:dyDescent="0.25">
      <c r="A10914" s="1">
        <v>42278</v>
      </c>
      <c r="B10914" t="s">
        <v>23</v>
      </c>
      <c r="C10914" t="s">
        <v>11</v>
      </c>
      <c r="D10914">
        <v>77</v>
      </c>
      <c r="E10914" s="2">
        <v>9.2175925925925925E-2</v>
      </c>
      <c r="F10914">
        <v>132.73333333333332</v>
      </c>
    </row>
    <row r="10915" spans="1:6" x14ac:dyDescent="0.25">
      <c r="A10915" s="1">
        <v>42278</v>
      </c>
      <c r="B10915" t="s">
        <v>24</v>
      </c>
      <c r="C10915" t="s">
        <v>6</v>
      </c>
      <c r="D10915">
        <v>65</v>
      </c>
      <c r="E10915" s="2">
        <v>5.9293981481481482E-2</v>
      </c>
      <c r="F10915">
        <v>85.38333333333334</v>
      </c>
    </row>
    <row r="10916" spans="1:6" x14ac:dyDescent="0.25">
      <c r="A10916" s="1">
        <v>42278</v>
      </c>
      <c r="B10916" t="s">
        <v>24</v>
      </c>
      <c r="C10916" t="s">
        <v>7</v>
      </c>
      <c r="D10916">
        <v>22</v>
      </c>
      <c r="E10916" s="2">
        <v>1.4236111111111111E-2</v>
      </c>
      <c r="F10916">
        <v>20.5</v>
      </c>
    </row>
    <row r="10917" spans="1:6" x14ac:dyDescent="0.25">
      <c r="A10917" s="1">
        <v>42278</v>
      </c>
      <c r="B10917" t="s">
        <v>24</v>
      </c>
      <c r="C10917" t="s">
        <v>8</v>
      </c>
      <c r="D10917">
        <v>23</v>
      </c>
      <c r="E10917" s="2">
        <v>2.1828703703703704E-2</v>
      </c>
      <c r="F10917">
        <v>31.433333333333334</v>
      </c>
    </row>
    <row r="10918" spans="1:6" x14ac:dyDescent="0.25">
      <c r="A10918" s="1">
        <v>42278</v>
      </c>
      <c r="B10918" t="s">
        <v>24</v>
      </c>
      <c r="C10918" t="s">
        <v>9</v>
      </c>
      <c r="D10918">
        <v>35</v>
      </c>
      <c r="E10918" s="2">
        <v>2.5486111111111112E-2</v>
      </c>
      <c r="F10918">
        <v>36.700000000000003</v>
      </c>
    </row>
    <row r="10919" spans="1:6" x14ac:dyDescent="0.25">
      <c r="A10919" s="1">
        <v>42278</v>
      </c>
      <c r="B10919" t="s">
        <v>24</v>
      </c>
      <c r="C10919" t="s">
        <v>10</v>
      </c>
      <c r="D10919">
        <v>2</v>
      </c>
      <c r="E10919" s="2">
        <v>1.2731481481481483E-3</v>
      </c>
      <c r="F10919">
        <v>1.8333333333333335</v>
      </c>
    </row>
    <row r="10920" spans="1:6" x14ac:dyDescent="0.25">
      <c r="A10920" s="1">
        <v>42278</v>
      </c>
      <c r="B10920" t="s">
        <v>24</v>
      </c>
      <c r="C10920" t="s">
        <v>11</v>
      </c>
      <c r="D10920">
        <v>16</v>
      </c>
      <c r="E10920" s="2">
        <v>1.1759259259259259E-2</v>
      </c>
      <c r="F10920">
        <v>16.933333333333334</v>
      </c>
    </row>
    <row r="10921" spans="1:6" x14ac:dyDescent="0.25">
      <c r="A10921" s="1">
        <v>42309</v>
      </c>
      <c r="B10921" t="s">
        <v>5</v>
      </c>
      <c r="C10921" t="s">
        <v>6</v>
      </c>
      <c r="D10921">
        <v>43</v>
      </c>
      <c r="E10921" s="2">
        <v>4.2743055555555555E-2</v>
      </c>
      <c r="F10921">
        <v>61.55</v>
      </c>
    </row>
    <row r="10922" spans="1:6" x14ac:dyDescent="0.25">
      <c r="A10922" s="1">
        <v>42309</v>
      </c>
      <c r="B10922" t="s">
        <v>5</v>
      </c>
      <c r="C10922" t="s">
        <v>7</v>
      </c>
      <c r="D10922">
        <v>40</v>
      </c>
      <c r="E10922" s="2">
        <v>3.5451388888888886E-2</v>
      </c>
      <c r="F10922">
        <v>51.05</v>
      </c>
    </row>
    <row r="10923" spans="1:6" x14ac:dyDescent="0.25">
      <c r="A10923" s="1">
        <v>42309</v>
      </c>
      <c r="B10923" t="s">
        <v>5</v>
      </c>
      <c r="C10923" t="s">
        <v>8</v>
      </c>
      <c r="D10923">
        <v>33</v>
      </c>
      <c r="E10923" s="2">
        <v>2.883101851851852E-2</v>
      </c>
      <c r="F10923">
        <v>41.516666666666666</v>
      </c>
    </row>
    <row r="10924" spans="1:6" x14ac:dyDescent="0.25">
      <c r="A10924" s="1">
        <v>42309</v>
      </c>
      <c r="B10924" t="s">
        <v>5</v>
      </c>
      <c r="C10924" t="s">
        <v>9</v>
      </c>
      <c r="D10924">
        <v>10</v>
      </c>
      <c r="E10924" s="2">
        <v>7.083333333333333E-3</v>
      </c>
      <c r="F10924">
        <v>10.199999999999999</v>
      </c>
    </row>
    <row r="10925" spans="1:6" x14ac:dyDescent="0.25">
      <c r="A10925" s="1">
        <v>42309</v>
      </c>
      <c r="B10925" t="s">
        <v>5</v>
      </c>
      <c r="C10925" t="s">
        <v>10</v>
      </c>
      <c r="D10925">
        <v>6</v>
      </c>
      <c r="E10925" s="2">
        <v>6.3194444444444444E-3</v>
      </c>
      <c r="F10925">
        <v>9.1</v>
      </c>
    </row>
    <row r="10926" spans="1:6" x14ac:dyDescent="0.25">
      <c r="A10926" s="1">
        <v>42309</v>
      </c>
      <c r="B10926" t="s">
        <v>5</v>
      </c>
      <c r="C10926" t="s">
        <v>11</v>
      </c>
      <c r="D10926">
        <v>38</v>
      </c>
      <c r="E10926" s="2">
        <v>2.8321759259259258E-2</v>
      </c>
      <c r="F10926">
        <v>40.783333333333331</v>
      </c>
    </row>
    <row r="10927" spans="1:6" x14ac:dyDescent="0.25">
      <c r="A10927" s="1">
        <v>42309</v>
      </c>
      <c r="B10927" t="s">
        <v>12</v>
      </c>
      <c r="C10927" t="s">
        <v>6</v>
      </c>
      <c r="D10927">
        <v>33</v>
      </c>
      <c r="E10927" s="2">
        <v>4.400462962962963E-2</v>
      </c>
      <c r="F10927">
        <v>63.366666666666667</v>
      </c>
    </row>
    <row r="10928" spans="1:6" x14ac:dyDescent="0.25">
      <c r="A10928" s="1">
        <v>42309</v>
      </c>
      <c r="B10928" t="s">
        <v>12</v>
      </c>
      <c r="C10928" t="s">
        <v>7</v>
      </c>
      <c r="D10928">
        <v>22</v>
      </c>
      <c r="E10928" s="2">
        <v>4.4398148148148145E-2</v>
      </c>
      <c r="F10928">
        <v>63.93333333333333</v>
      </c>
    </row>
    <row r="10929" spans="1:6" x14ac:dyDescent="0.25">
      <c r="A10929" s="1">
        <v>42309</v>
      </c>
      <c r="B10929" t="s">
        <v>12</v>
      </c>
      <c r="C10929" t="s">
        <v>8</v>
      </c>
      <c r="D10929">
        <v>8</v>
      </c>
      <c r="E10929" s="2">
        <v>9.3634259259259261E-3</v>
      </c>
      <c r="F10929">
        <v>13.483333333333333</v>
      </c>
    </row>
    <row r="10930" spans="1:6" x14ac:dyDescent="0.25">
      <c r="A10930" s="1">
        <v>42309</v>
      </c>
      <c r="B10930" t="s">
        <v>12</v>
      </c>
      <c r="C10930" t="s">
        <v>9</v>
      </c>
      <c r="D10930">
        <v>6</v>
      </c>
      <c r="E10930" s="2">
        <v>5.0578703703703706E-3</v>
      </c>
      <c r="F10930">
        <v>7.2833333333333332</v>
      </c>
    </row>
    <row r="10931" spans="1:6" x14ac:dyDescent="0.25">
      <c r="A10931" s="1">
        <v>42309</v>
      </c>
      <c r="B10931" t="s">
        <v>12</v>
      </c>
      <c r="C10931" t="s">
        <v>10</v>
      </c>
      <c r="D10931">
        <v>22</v>
      </c>
      <c r="E10931" s="2">
        <v>3.9108796296296294E-2</v>
      </c>
      <c r="F10931">
        <v>56.31666666666667</v>
      </c>
    </row>
    <row r="10932" spans="1:6" x14ac:dyDescent="0.25">
      <c r="A10932" s="1">
        <v>42309</v>
      </c>
      <c r="B10932" t="s">
        <v>12</v>
      </c>
      <c r="C10932" t="s">
        <v>11</v>
      </c>
      <c r="D10932">
        <v>40</v>
      </c>
      <c r="E10932" s="2">
        <v>4.9618055555555554E-2</v>
      </c>
      <c r="F10932">
        <v>71.45</v>
      </c>
    </row>
    <row r="10933" spans="1:6" x14ac:dyDescent="0.25">
      <c r="A10933" s="1">
        <v>42309</v>
      </c>
      <c r="B10933" t="s">
        <v>13</v>
      </c>
      <c r="C10933" t="s">
        <v>6</v>
      </c>
      <c r="D10933">
        <v>34</v>
      </c>
      <c r="E10933" s="2">
        <v>4.3298611111111114E-2</v>
      </c>
      <c r="F10933">
        <v>62.35</v>
      </c>
    </row>
    <row r="10934" spans="1:6" x14ac:dyDescent="0.25">
      <c r="A10934" s="1">
        <v>42309</v>
      </c>
      <c r="B10934" t="s">
        <v>13</v>
      </c>
      <c r="C10934" t="s">
        <v>7</v>
      </c>
      <c r="D10934">
        <v>53</v>
      </c>
      <c r="E10934" s="2">
        <v>9.9282407407407403E-2</v>
      </c>
      <c r="F10934">
        <v>142.96666666666667</v>
      </c>
    </row>
    <row r="10935" spans="1:6" x14ac:dyDescent="0.25">
      <c r="A10935" s="1">
        <v>42309</v>
      </c>
      <c r="B10935" t="s">
        <v>13</v>
      </c>
      <c r="C10935" t="s">
        <v>8</v>
      </c>
      <c r="D10935">
        <v>33</v>
      </c>
      <c r="E10935" s="2">
        <v>4.0474537037037038E-2</v>
      </c>
      <c r="F10935">
        <v>58.283333333333331</v>
      </c>
    </row>
    <row r="10936" spans="1:6" x14ac:dyDescent="0.25">
      <c r="A10936" s="1">
        <v>42309</v>
      </c>
      <c r="B10936" t="s">
        <v>13</v>
      </c>
      <c r="C10936" t="s">
        <v>9</v>
      </c>
      <c r="D10936">
        <v>3</v>
      </c>
      <c r="E10936" s="2">
        <v>2.7662037037037039E-3</v>
      </c>
      <c r="F10936">
        <v>3.9833333333333334</v>
      </c>
    </row>
    <row r="10937" spans="1:6" x14ac:dyDescent="0.25">
      <c r="A10937" s="1">
        <v>42309</v>
      </c>
      <c r="B10937" t="s">
        <v>13</v>
      </c>
      <c r="C10937" t="s">
        <v>10</v>
      </c>
      <c r="D10937">
        <v>3</v>
      </c>
      <c r="E10937" s="2">
        <v>4.2824074074074075E-3</v>
      </c>
      <c r="F10937">
        <v>6.166666666666667</v>
      </c>
    </row>
    <row r="10938" spans="1:6" x14ac:dyDescent="0.25">
      <c r="A10938" s="1">
        <v>42309</v>
      </c>
      <c r="B10938" t="s">
        <v>13</v>
      </c>
      <c r="C10938" t="s">
        <v>11</v>
      </c>
      <c r="D10938">
        <v>19</v>
      </c>
      <c r="E10938" s="2">
        <v>2.119212962962963E-2</v>
      </c>
      <c r="F10938">
        <v>30.516666666666666</v>
      </c>
    </row>
    <row r="10939" spans="1:6" x14ac:dyDescent="0.25">
      <c r="A10939" s="1">
        <v>42309</v>
      </c>
      <c r="B10939" t="s">
        <v>14</v>
      </c>
      <c r="C10939" t="s">
        <v>6</v>
      </c>
      <c r="D10939">
        <v>5</v>
      </c>
      <c r="E10939" s="2">
        <v>7.4305555555555557E-3</v>
      </c>
      <c r="F10939">
        <v>10.7</v>
      </c>
    </row>
    <row r="10940" spans="1:6" x14ac:dyDescent="0.25">
      <c r="A10940" s="1">
        <v>42309</v>
      </c>
      <c r="B10940" t="s">
        <v>14</v>
      </c>
      <c r="C10940" t="s">
        <v>7</v>
      </c>
      <c r="D10940">
        <v>2</v>
      </c>
      <c r="E10940" s="2">
        <v>2.5231481481481481E-3</v>
      </c>
      <c r="F10940">
        <v>3.6333333333333333</v>
      </c>
    </row>
    <row r="10941" spans="1:6" x14ac:dyDescent="0.25">
      <c r="A10941" s="1">
        <v>42309</v>
      </c>
      <c r="B10941" t="s">
        <v>14</v>
      </c>
      <c r="C10941" t="s">
        <v>8</v>
      </c>
      <c r="D10941">
        <v>4</v>
      </c>
      <c r="E10941" s="2">
        <v>8.86574074074074E-3</v>
      </c>
      <c r="F10941">
        <v>12.766666666666667</v>
      </c>
    </row>
    <row r="10942" spans="1:6" x14ac:dyDescent="0.25">
      <c r="A10942" s="1">
        <v>42309</v>
      </c>
      <c r="B10942" t="s">
        <v>14</v>
      </c>
      <c r="C10942" t="s">
        <v>9</v>
      </c>
      <c r="D10942">
        <v>1</v>
      </c>
      <c r="E10942" s="2">
        <v>8.9120370370370373E-4</v>
      </c>
      <c r="F10942">
        <v>1.2833333333333332</v>
      </c>
    </row>
    <row r="10943" spans="1:6" x14ac:dyDescent="0.25">
      <c r="A10943" s="1">
        <v>42309</v>
      </c>
      <c r="B10943" t="s">
        <v>14</v>
      </c>
      <c r="C10943" t="s">
        <v>10</v>
      </c>
      <c r="D10943">
        <v>1</v>
      </c>
      <c r="E10943" s="2">
        <v>2.2916666666666667E-3</v>
      </c>
      <c r="F10943">
        <v>3.3</v>
      </c>
    </row>
    <row r="10944" spans="1:6" x14ac:dyDescent="0.25">
      <c r="A10944" s="1">
        <v>42309</v>
      </c>
      <c r="B10944" t="s">
        <v>14</v>
      </c>
      <c r="C10944" t="s">
        <v>11</v>
      </c>
      <c r="D10944">
        <v>3</v>
      </c>
      <c r="E10944" s="2">
        <v>3.5300925925925925E-3</v>
      </c>
      <c r="F10944">
        <v>5.083333333333333</v>
      </c>
    </row>
    <row r="10945" spans="1:6" x14ac:dyDescent="0.25">
      <c r="A10945" s="1">
        <v>42309</v>
      </c>
      <c r="B10945" t="s">
        <v>15</v>
      </c>
      <c r="C10945" t="s">
        <v>6</v>
      </c>
      <c r="D10945">
        <v>52</v>
      </c>
      <c r="E10945" s="2">
        <v>7.3020833333333326E-2</v>
      </c>
      <c r="F10945">
        <v>105.15</v>
      </c>
    </row>
    <row r="10946" spans="1:6" x14ac:dyDescent="0.25">
      <c r="A10946" s="1">
        <v>42309</v>
      </c>
      <c r="B10946" t="s">
        <v>15</v>
      </c>
      <c r="C10946" t="s">
        <v>7</v>
      </c>
      <c r="D10946">
        <v>37</v>
      </c>
      <c r="E10946" s="2">
        <v>5.1354166666666666E-2</v>
      </c>
      <c r="F10946">
        <v>73.95</v>
      </c>
    </row>
    <row r="10947" spans="1:6" x14ac:dyDescent="0.25">
      <c r="A10947" s="1">
        <v>42309</v>
      </c>
      <c r="B10947" t="s">
        <v>15</v>
      </c>
      <c r="C10947" t="s">
        <v>8</v>
      </c>
      <c r="D10947">
        <v>32</v>
      </c>
      <c r="E10947" s="2">
        <v>3.6944444444444446E-2</v>
      </c>
      <c r="F10947">
        <v>53.2</v>
      </c>
    </row>
    <row r="10948" spans="1:6" x14ac:dyDescent="0.25">
      <c r="A10948" s="1">
        <v>42309</v>
      </c>
      <c r="B10948" t="s">
        <v>15</v>
      </c>
      <c r="C10948" t="s">
        <v>9</v>
      </c>
      <c r="D10948">
        <v>15</v>
      </c>
      <c r="E10948" s="2">
        <v>8.4953703703703701E-3</v>
      </c>
      <c r="F10948">
        <v>12.233333333333333</v>
      </c>
    </row>
    <row r="10949" spans="1:6" x14ac:dyDescent="0.25">
      <c r="A10949" s="1">
        <v>42309</v>
      </c>
      <c r="B10949" t="s">
        <v>15</v>
      </c>
      <c r="C10949" t="s">
        <v>10</v>
      </c>
      <c r="D10949">
        <v>7</v>
      </c>
      <c r="E10949" s="2">
        <v>1.03125E-2</v>
      </c>
      <c r="F10949">
        <v>14.85</v>
      </c>
    </row>
    <row r="10950" spans="1:6" x14ac:dyDescent="0.25">
      <c r="A10950" s="1">
        <v>42309</v>
      </c>
      <c r="B10950" t="s">
        <v>15</v>
      </c>
      <c r="C10950" t="s">
        <v>11</v>
      </c>
      <c r="D10950">
        <v>18</v>
      </c>
      <c r="E10950" s="2">
        <v>1.4027777777777778E-2</v>
      </c>
      <c r="F10950">
        <v>20.2</v>
      </c>
    </row>
    <row r="10951" spans="1:6" x14ac:dyDescent="0.25">
      <c r="A10951" s="1">
        <v>42309</v>
      </c>
      <c r="B10951" t="s">
        <v>16</v>
      </c>
      <c r="C10951" t="s">
        <v>6</v>
      </c>
      <c r="D10951">
        <v>12</v>
      </c>
      <c r="E10951" s="2">
        <v>1.2002314814814815E-2</v>
      </c>
      <c r="F10951">
        <v>17.283333333333335</v>
      </c>
    </row>
    <row r="10952" spans="1:6" x14ac:dyDescent="0.25">
      <c r="A10952" s="1">
        <v>42309</v>
      </c>
      <c r="B10952" t="s">
        <v>16</v>
      </c>
      <c r="C10952" t="s">
        <v>7</v>
      </c>
      <c r="D10952">
        <v>7</v>
      </c>
      <c r="E10952" s="2">
        <v>4.8842592592592592E-3</v>
      </c>
      <c r="F10952">
        <v>7.0333333333333332</v>
      </c>
    </row>
    <row r="10953" spans="1:6" x14ac:dyDescent="0.25">
      <c r="A10953" s="1">
        <v>42309</v>
      </c>
      <c r="B10953" t="s">
        <v>16</v>
      </c>
      <c r="C10953" t="s">
        <v>8</v>
      </c>
      <c r="D10953">
        <v>7</v>
      </c>
      <c r="E10953" s="2">
        <v>6.7592592592592591E-3</v>
      </c>
      <c r="F10953">
        <v>9.7333333333333325</v>
      </c>
    </row>
    <row r="10954" spans="1:6" x14ac:dyDescent="0.25">
      <c r="A10954" s="1">
        <v>42309</v>
      </c>
      <c r="B10954" t="s">
        <v>16</v>
      </c>
      <c r="C10954" t="s">
        <v>9</v>
      </c>
      <c r="D10954">
        <v>5</v>
      </c>
      <c r="E10954" s="2">
        <v>2.2222222222222222E-3</v>
      </c>
      <c r="F10954">
        <v>3.2</v>
      </c>
    </row>
    <row r="10955" spans="1:6" x14ac:dyDescent="0.25">
      <c r="A10955" s="1">
        <v>42309</v>
      </c>
      <c r="B10955" t="s">
        <v>16</v>
      </c>
      <c r="C10955" t="s">
        <v>10</v>
      </c>
      <c r="D10955">
        <v>1</v>
      </c>
      <c r="E10955" s="2">
        <v>2.4305555555555555E-4</v>
      </c>
      <c r="F10955">
        <v>0.35</v>
      </c>
    </row>
    <row r="10956" spans="1:6" x14ac:dyDescent="0.25">
      <c r="A10956" s="1">
        <v>42309</v>
      </c>
      <c r="B10956" t="s">
        <v>16</v>
      </c>
      <c r="C10956" t="s">
        <v>11</v>
      </c>
      <c r="D10956">
        <v>13</v>
      </c>
      <c r="E10956" s="2">
        <v>1.1180555555555555E-2</v>
      </c>
      <c r="F10956">
        <v>16.100000000000001</v>
      </c>
    </row>
    <row r="10957" spans="1:6" x14ac:dyDescent="0.25">
      <c r="A10957" s="1">
        <v>42309</v>
      </c>
      <c r="B10957" t="s">
        <v>17</v>
      </c>
      <c r="C10957" t="s">
        <v>6</v>
      </c>
      <c r="D10957">
        <v>6</v>
      </c>
      <c r="E10957" s="2">
        <v>1.0949074074074075E-2</v>
      </c>
      <c r="F10957">
        <v>15.766666666666667</v>
      </c>
    </row>
    <row r="10958" spans="1:6" x14ac:dyDescent="0.25">
      <c r="A10958" s="1">
        <v>42309</v>
      </c>
      <c r="B10958" t="s">
        <v>17</v>
      </c>
      <c r="C10958" t="s">
        <v>7</v>
      </c>
      <c r="D10958">
        <v>7</v>
      </c>
      <c r="E10958" s="2">
        <v>7.2916666666666668E-3</v>
      </c>
      <c r="F10958">
        <v>10.5</v>
      </c>
    </row>
    <row r="10959" spans="1:6" x14ac:dyDescent="0.25">
      <c r="A10959" s="1">
        <v>42309</v>
      </c>
      <c r="B10959" t="s">
        <v>17</v>
      </c>
      <c r="C10959" t="s">
        <v>8</v>
      </c>
      <c r="D10959">
        <v>4</v>
      </c>
      <c r="E10959" s="2">
        <v>7.5231481481481477E-3</v>
      </c>
      <c r="F10959">
        <v>10.833333333333334</v>
      </c>
    </row>
    <row r="10960" spans="1:6" x14ac:dyDescent="0.25">
      <c r="A10960" s="1">
        <v>42309</v>
      </c>
      <c r="B10960" t="s">
        <v>17</v>
      </c>
      <c r="C10960" t="s">
        <v>9</v>
      </c>
      <c r="D10960">
        <v>5</v>
      </c>
      <c r="E10960" s="2">
        <v>1.8518518518518519E-3</v>
      </c>
      <c r="F10960">
        <v>2.6666666666666665</v>
      </c>
    </row>
    <row r="10961" spans="1:6" x14ac:dyDescent="0.25">
      <c r="A10961" s="1">
        <v>42309</v>
      </c>
      <c r="B10961" t="s">
        <v>17</v>
      </c>
      <c r="C10961" t="s">
        <v>10</v>
      </c>
      <c r="D10961">
        <v>10</v>
      </c>
      <c r="E10961" s="2">
        <v>1.324074074074074E-2</v>
      </c>
      <c r="F10961">
        <v>19.066666666666666</v>
      </c>
    </row>
    <row r="10962" spans="1:6" x14ac:dyDescent="0.25">
      <c r="A10962" s="1">
        <v>42309</v>
      </c>
      <c r="B10962" t="s">
        <v>17</v>
      </c>
      <c r="C10962" t="s">
        <v>11</v>
      </c>
      <c r="D10962">
        <v>6</v>
      </c>
      <c r="E10962" s="2">
        <v>4.8842592592592592E-3</v>
      </c>
      <c r="F10962">
        <v>7.0333333333333332</v>
      </c>
    </row>
    <row r="10963" spans="1:6" x14ac:dyDescent="0.25">
      <c r="A10963" s="1">
        <v>42309</v>
      </c>
      <c r="B10963" t="s">
        <v>18</v>
      </c>
      <c r="C10963" t="s">
        <v>6</v>
      </c>
      <c r="D10963">
        <v>99</v>
      </c>
      <c r="E10963" s="2">
        <v>0.13320601851851852</v>
      </c>
      <c r="F10963">
        <v>191.81666666666666</v>
      </c>
    </row>
    <row r="10964" spans="1:6" x14ac:dyDescent="0.25">
      <c r="A10964" s="1">
        <v>42309</v>
      </c>
      <c r="B10964" t="s">
        <v>18</v>
      </c>
      <c r="C10964" t="s">
        <v>7</v>
      </c>
      <c r="D10964">
        <v>133</v>
      </c>
      <c r="E10964" s="2">
        <v>0.14707175925925925</v>
      </c>
      <c r="F10964">
        <v>211.78333333333333</v>
      </c>
    </row>
    <row r="10965" spans="1:6" x14ac:dyDescent="0.25">
      <c r="A10965" s="1">
        <v>42309</v>
      </c>
      <c r="B10965" t="s">
        <v>18</v>
      </c>
      <c r="C10965" t="s">
        <v>8</v>
      </c>
      <c r="D10965">
        <v>57</v>
      </c>
      <c r="E10965" s="2">
        <v>5.5381944444444442E-2</v>
      </c>
      <c r="F10965">
        <v>79.75</v>
      </c>
    </row>
    <row r="10966" spans="1:6" x14ac:dyDescent="0.25">
      <c r="A10966" s="1">
        <v>42309</v>
      </c>
      <c r="B10966" t="s">
        <v>18</v>
      </c>
      <c r="C10966" t="s">
        <v>9</v>
      </c>
      <c r="D10966">
        <v>64</v>
      </c>
      <c r="E10966" s="2">
        <v>4.6412037037037036E-2</v>
      </c>
      <c r="F10966">
        <v>66.833333333333329</v>
      </c>
    </row>
    <row r="10967" spans="1:6" x14ac:dyDescent="0.25">
      <c r="A10967" s="1">
        <v>42309</v>
      </c>
      <c r="B10967" t="s">
        <v>18</v>
      </c>
      <c r="C10967" t="s">
        <v>10</v>
      </c>
      <c r="D10967">
        <v>117</v>
      </c>
      <c r="E10967" s="2">
        <v>0.15457175925925926</v>
      </c>
      <c r="F10967">
        <v>222.58333333333334</v>
      </c>
    </row>
    <row r="10968" spans="1:6" x14ac:dyDescent="0.25">
      <c r="A10968" s="1">
        <v>42309</v>
      </c>
      <c r="B10968" t="s">
        <v>18</v>
      </c>
      <c r="C10968" t="s">
        <v>11</v>
      </c>
      <c r="D10968">
        <v>90</v>
      </c>
      <c r="E10968" s="2">
        <v>9.6701388888888892E-2</v>
      </c>
      <c r="F10968">
        <v>139.25</v>
      </c>
    </row>
    <row r="10969" spans="1:6" x14ac:dyDescent="0.25">
      <c r="A10969" s="1">
        <v>42309</v>
      </c>
      <c r="B10969" t="s">
        <v>19</v>
      </c>
      <c r="C10969" t="s">
        <v>6</v>
      </c>
      <c r="D10969">
        <v>16</v>
      </c>
      <c r="E10969" s="2">
        <v>1.6608796296296295E-2</v>
      </c>
      <c r="F10969">
        <v>23.916666666666668</v>
      </c>
    </row>
    <row r="10970" spans="1:6" x14ac:dyDescent="0.25">
      <c r="A10970" s="1">
        <v>42309</v>
      </c>
      <c r="B10970" t="s">
        <v>19</v>
      </c>
      <c r="C10970" t="s">
        <v>7</v>
      </c>
      <c r="D10970">
        <v>11</v>
      </c>
      <c r="E10970" s="2">
        <v>1.3136574074074075E-2</v>
      </c>
      <c r="F10970">
        <v>18.916666666666668</v>
      </c>
    </row>
    <row r="10971" spans="1:6" x14ac:dyDescent="0.25">
      <c r="A10971" s="1">
        <v>42309</v>
      </c>
      <c r="B10971" t="s">
        <v>19</v>
      </c>
      <c r="C10971" t="s">
        <v>8</v>
      </c>
      <c r="D10971">
        <v>14</v>
      </c>
      <c r="E10971" s="2">
        <v>1.7210648148148149E-2</v>
      </c>
      <c r="F10971">
        <v>24.783333333333335</v>
      </c>
    </row>
    <row r="10972" spans="1:6" x14ac:dyDescent="0.25">
      <c r="A10972" s="1">
        <v>42309</v>
      </c>
      <c r="B10972" t="s">
        <v>19</v>
      </c>
      <c r="C10972" t="s">
        <v>9</v>
      </c>
      <c r="D10972">
        <v>16</v>
      </c>
      <c r="E10972" s="2">
        <v>8.6921296296296295E-3</v>
      </c>
      <c r="F10972">
        <v>12.516666666666667</v>
      </c>
    </row>
    <row r="10973" spans="1:6" x14ac:dyDescent="0.25">
      <c r="A10973" s="1">
        <v>42309</v>
      </c>
      <c r="B10973" t="s">
        <v>19</v>
      </c>
      <c r="C10973" t="s">
        <v>10</v>
      </c>
      <c r="D10973">
        <v>1</v>
      </c>
      <c r="E10973" s="2">
        <v>1.4120370370370369E-3</v>
      </c>
      <c r="F10973">
        <v>2.0333333333333332</v>
      </c>
    </row>
    <row r="10974" spans="1:6" x14ac:dyDescent="0.25">
      <c r="A10974" s="1">
        <v>42309</v>
      </c>
      <c r="B10974" t="s">
        <v>19</v>
      </c>
      <c r="C10974" t="s">
        <v>11</v>
      </c>
      <c r="D10974">
        <v>20</v>
      </c>
      <c r="E10974" s="2">
        <v>1.8668981481481481E-2</v>
      </c>
      <c r="F10974">
        <v>26.883333333333333</v>
      </c>
    </row>
    <row r="10975" spans="1:6" x14ac:dyDescent="0.25">
      <c r="A10975" s="1">
        <v>42309</v>
      </c>
      <c r="B10975" t="s">
        <v>20</v>
      </c>
      <c r="C10975" t="s">
        <v>6</v>
      </c>
      <c r="D10975">
        <v>169</v>
      </c>
      <c r="E10975" s="2">
        <v>0.25829861111111113</v>
      </c>
      <c r="F10975">
        <v>371.95</v>
      </c>
    </row>
    <row r="10976" spans="1:6" x14ac:dyDescent="0.25">
      <c r="A10976" s="1">
        <v>42309</v>
      </c>
      <c r="B10976" t="s">
        <v>20</v>
      </c>
      <c r="C10976" t="s">
        <v>7</v>
      </c>
      <c r="D10976">
        <v>215</v>
      </c>
      <c r="E10976" s="2">
        <v>0.30918981481481483</v>
      </c>
      <c r="F10976">
        <v>445.23333333333335</v>
      </c>
    </row>
    <row r="10977" spans="1:6" x14ac:dyDescent="0.25">
      <c r="A10977" s="1">
        <v>42309</v>
      </c>
      <c r="B10977" t="s">
        <v>20</v>
      </c>
      <c r="C10977" t="s">
        <v>8</v>
      </c>
      <c r="D10977">
        <v>149</v>
      </c>
      <c r="E10977" s="2">
        <v>0.17496527777777779</v>
      </c>
      <c r="F10977">
        <v>251.95</v>
      </c>
    </row>
    <row r="10978" spans="1:6" x14ac:dyDescent="0.25">
      <c r="A10978" s="1">
        <v>42309</v>
      </c>
      <c r="B10978" t="s">
        <v>20</v>
      </c>
      <c r="C10978" t="s">
        <v>9</v>
      </c>
      <c r="D10978">
        <v>85</v>
      </c>
      <c r="E10978" s="2">
        <v>6.6793981481481482E-2</v>
      </c>
      <c r="F10978">
        <v>96.183333333333337</v>
      </c>
    </row>
    <row r="10979" spans="1:6" x14ac:dyDescent="0.25">
      <c r="A10979" s="1">
        <v>42309</v>
      </c>
      <c r="B10979" t="s">
        <v>20</v>
      </c>
      <c r="C10979" t="s">
        <v>10</v>
      </c>
      <c r="D10979">
        <v>49</v>
      </c>
      <c r="E10979" s="2">
        <v>7.4918981481481475E-2</v>
      </c>
      <c r="F10979">
        <v>107.88333333333334</v>
      </c>
    </row>
    <row r="10980" spans="1:6" x14ac:dyDescent="0.25">
      <c r="A10980" s="1">
        <v>42309</v>
      </c>
      <c r="B10980" t="s">
        <v>20</v>
      </c>
      <c r="C10980" t="s">
        <v>11</v>
      </c>
      <c r="D10980">
        <v>152</v>
      </c>
      <c r="E10980" s="2">
        <v>0.20929398148148148</v>
      </c>
      <c r="F10980">
        <v>301.38333333333333</v>
      </c>
    </row>
    <row r="10981" spans="1:6" x14ac:dyDescent="0.25">
      <c r="A10981" s="1">
        <v>42309</v>
      </c>
      <c r="B10981" t="s">
        <v>21</v>
      </c>
      <c r="C10981" t="s">
        <v>6</v>
      </c>
      <c r="D10981">
        <v>10</v>
      </c>
      <c r="E10981" s="2">
        <v>1.4594907407407407E-2</v>
      </c>
      <c r="F10981">
        <v>21.016666666666666</v>
      </c>
    </row>
    <row r="10982" spans="1:6" x14ac:dyDescent="0.25">
      <c r="A10982" s="1">
        <v>42309</v>
      </c>
      <c r="B10982" t="s">
        <v>21</v>
      </c>
      <c r="C10982" t="s">
        <v>7</v>
      </c>
      <c r="D10982">
        <v>8</v>
      </c>
      <c r="E10982" s="2">
        <v>1.0729166666666666E-2</v>
      </c>
      <c r="F10982">
        <v>15.45</v>
      </c>
    </row>
    <row r="10983" spans="1:6" x14ac:dyDescent="0.25">
      <c r="A10983" s="1">
        <v>42309</v>
      </c>
      <c r="B10983" t="s">
        <v>21</v>
      </c>
      <c r="C10983" t="s">
        <v>8</v>
      </c>
      <c r="D10983">
        <v>9</v>
      </c>
      <c r="E10983" s="2">
        <v>1.3842592592592592E-2</v>
      </c>
      <c r="F10983">
        <v>19.933333333333334</v>
      </c>
    </row>
    <row r="10984" spans="1:6" x14ac:dyDescent="0.25">
      <c r="A10984" s="1">
        <v>42309</v>
      </c>
      <c r="B10984" t="s">
        <v>21</v>
      </c>
      <c r="C10984" t="s">
        <v>9</v>
      </c>
      <c r="D10984">
        <v>5</v>
      </c>
      <c r="E10984" s="2">
        <v>2.7777777777777779E-3</v>
      </c>
      <c r="F10984">
        <v>4</v>
      </c>
    </row>
    <row r="10985" spans="1:6" x14ac:dyDescent="0.25">
      <c r="A10985" s="1">
        <v>42309</v>
      </c>
      <c r="B10985" t="s">
        <v>21</v>
      </c>
      <c r="C10985" t="s">
        <v>10</v>
      </c>
      <c r="D10985">
        <v>1</v>
      </c>
      <c r="E10985" s="2">
        <v>7.291666666666667E-4</v>
      </c>
      <c r="F10985">
        <v>1.05</v>
      </c>
    </row>
    <row r="10986" spans="1:6" x14ac:dyDescent="0.25">
      <c r="A10986" s="1">
        <v>42309</v>
      </c>
      <c r="B10986" t="s">
        <v>21</v>
      </c>
      <c r="C10986" t="s">
        <v>11</v>
      </c>
      <c r="D10986">
        <v>16</v>
      </c>
      <c r="E10986" s="2">
        <v>1.7905092592592594E-2</v>
      </c>
      <c r="F10986">
        <v>25.783333333333335</v>
      </c>
    </row>
    <row r="10987" spans="1:6" x14ac:dyDescent="0.25">
      <c r="A10987" s="1">
        <v>42309</v>
      </c>
      <c r="B10987" t="s">
        <v>22</v>
      </c>
      <c r="C10987" t="s">
        <v>6</v>
      </c>
      <c r="D10987">
        <v>10</v>
      </c>
      <c r="E10987" s="2">
        <v>2.119212962962963E-2</v>
      </c>
      <c r="F10987">
        <v>30.516666666666666</v>
      </c>
    </row>
    <row r="10988" spans="1:6" x14ac:dyDescent="0.25">
      <c r="A10988" s="1">
        <v>42309</v>
      </c>
      <c r="B10988" t="s">
        <v>22</v>
      </c>
      <c r="C10988" t="s">
        <v>7</v>
      </c>
      <c r="D10988">
        <v>7</v>
      </c>
      <c r="E10988" s="2">
        <v>1.4872685185185185E-2</v>
      </c>
      <c r="F10988">
        <v>21.416666666666668</v>
      </c>
    </row>
    <row r="10989" spans="1:6" x14ac:dyDescent="0.25">
      <c r="A10989" s="1">
        <v>42309</v>
      </c>
      <c r="B10989" t="s">
        <v>22</v>
      </c>
      <c r="C10989" t="s">
        <v>8</v>
      </c>
      <c r="D10989">
        <v>4</v>
      </c>
      <c r="E10989" s="2">
        <v>3.3101851851851851E-3</v>
      </c>
      <c r="F10989">
        <v>4.7666666666666666</v>
      </c>
    </row>
    <row r="10990" spans="1:6" x14ac:dyDescent="0.25">
      <c r="A10990" s="1">
        <v>42309</v>
      </c>
      <c r="B10990" t="s">
        <v>22</v>
      </c>
      <c r="C10990" t="s">
        <v>9</v>
      </c>
      <c r="D10990">
        <v>3</v>
      </c>
      <c r="E10990" s="2">
        <v>1.8402777777777777E-3</v>
      </c>
      <c r="F10990">
        <v>2.65</v>
      </c>
    </row>
    <row r="10991" spans="1:6" x14ac:dyDescent="0.25">
      <c r="A10991" s="1">
        <v>42309</v>
      </c>
      <c r="B10991" t="s">
        <v>22</v>
      </c>
      <c r="C10991" t="s">
        <v>10</v>
      </c>
      <c r="D10991">
        <v>4</v>
      </c>
      <c r="E10991" s="2">
        <v>3.2986111111111111E-3</v>
      </c>
      <c r="F10991">
        <v>4.75</v>
      </c>
    </row>
    <row r="10992" spans="1:6" x14ac:dyDescent="0.25">
      <c r="A10992" s="1">
        <v>42309</v>
      </c>
      <c r="B10992" t="s">
        <v>22</v>
      </c>
      <c r="C10992" t="s">
        <v>11</v>
      </c>
      <c r="D10992">
        <v>11</v>
      </c>
      <c r="E10992" s="2">
        <v>1.5023148148148148E-2</v>
      </c>
      <c r="F10992">
        <v>21.633333333333333</v>
      </c>
    </row>
    <row r="10993" spans="1:6" x14ac:dyDescent="0.25">
      <c r="A10993" s="1">
        <v>42309</v>
      </c>
      <c r="B10993" t="s">
        <v>23</v>
      </c>
      <c r="C10993" t="s">
        <v>6</v>
      </c>
      <c r="D10993">
        <v>42</v>
      </c>
      <c r="E10993" s="2">
        <v>6.0266203703703704E-2</v>
      </c>
      <c r="F10993">
        <v>86.783333333333331</v>
      </c>
    </row>
    <row r="10994" spans="1:6" x14ac:dyDescent="0.25">
      <c r="A10994" s="1">
        <v>42309</v>
      </c>
      <c r="B10994" t="s">
        <v>23</v>
      </c>
      <c r="C10994" t="s">
        <v>7</v>
      </c>
      <c r="D10994">
        <v>39</v>
      </c>
      <c r="E10994" s="2">
        <v>5.7881944444444444E-2</v>
      </c>
      <c r="F10994">
        <v>83.35</v>
      </c>
    </row>
    <row r="10995" spans="1:6" x14ac:dyDescent="0.25">
      <c r="A10995" s="1">
        <v>42309</v>
      </c>
      <c r="B10995" t="s">
        <v>23</v>
      </c>
      <c r="C10995" t="s">
        <v>8</v>
      </c>
      <c r="D10995">
        <v>24</v>
      </c>
      <c r="E10995" s="2">
        <v>2.7893518518518519E-2</v>
      </c>
      <c r="F10995">
        <v>40.166666666666664</v>
      </c>
    </row>
    <row r="10996" spans="1:6" x14ac:dyDescent="0.25">
      <c r="A10996" s="1">
        <v>42309</v>
      </c>
      <c r="B10996" t="s">
        <v>23</v>
      </c>
      <c r="C10996" t="s">
        <v>9</v>
      </c>
      <c r="D10996">
        <v>20</v>
      </c>
      <c r="E10996" s="2">
        <v>1.3668981481481482E-2</v>
      </c>
      <c r="F10996">
        <v>19.683333333333334</v>
      </c>
    </row>
    <row r="10997" spans="1:6" x14ac:dyDescent="0.25">
      <c r="A10997" s="1">
        <v>42309</v>
      </c>
      <c r="B10997" t="s">
        <v>23</v>
      </c>
      <c r="C10997" t="s">
        <v>10</v>
      </c>
      <c r="D10997">
        <v>14</v>
      </c>
      <c r="E10997" s="2">
        <v>2.0057870370370372E-2</v>
      </c>
      <c r="F10997">
        <v>28.883333333333333</v>
      </c>
    </row>
    <row r="10998" spans="1:6" x14ac:dyDescent="0.25">
      <c r="A10998" s="1">
        <v>42309</v>
      </c>
      <c r="B10998" t="s">
        <v>23</v>
      </c>
      <c r="C10998" t="s">
        <v>11</v>
      </c>
      <c r="D10998">
        <v>46</v>
      </c>
      <c r="E10998" s="2">
        <v>4.5243055555555557E-2</v>
      </c>
      <c r="F10998">
        <v>65.150000000000006</v>
      </c>
    </row>
    <row r="10999" spans="1:6" x14ac:dyDescent="0.25">
      <c r="A10999" s="1">
        <v>42309</v>
      </c>
      <c r="B10999" t="s">
        <v>24</v>
      </c>
      <c r="C10999" t="s">
        <v>6</v>
      </c>
      <c r="D10999">
        <v>17</v>
      </c>
      <c r="E10999" s="2">
        <v>1.8368055555555554E-2</v>
      </c>
      <c r="F10999">
        <v>26.45</v>
      </c>
    </row>
    <row r="11000" spans="1:6" x14ac:dyDescent="0.25">
      <c r="A11000" s="1">
        <v>42309</v>
      </c>
      <c r="B11000" t="s">
        <v>24</v>
      </c>
      <c r="C11000" t="s">
        <v>7</v>
      </c>
      <c r="D11000">
        <v>13</v>
      </c>
      <c r="E11000" s="2">
        <v>7.858796296296296E-3</v>
      </c>
      <c r="F11000">
        <v>11.316666666666666</v>
      </c>
    </row>
    <row r="11001" spans="1:6" x14ac:dyDescent="0.25">
      <c r="A11001" s="1">
        <v>42309</v>
      </c>
      <c r="B11001" t="s">
        <v>24</v>
      </c>
      <c r="C11001" t="s">
        <v>8</v>
      </c>
      <c r="D11001">
        <v>10</v>
      </c>
      <c r="E11001" s="2">
        <v>7.789351851851852E-3</v>
      </c>
      <c r="F11001">
        <v>11.216666666666667</v>
      </c>
    </row>
    <row r="11002" spans="1:6" x14ac:dyDescent="0.25">
      <c r="A11002" s="1">
        <v>42309</v>
      </c>
      <c r="B11002" t="s">
        <v>24</v>
      </c>
      <c r="C11002" t="s">
        <v>9</v>
      </c>
      <c r="D11002">
        <v>27</v>
      </c>
      <c r="E11002" s="2">
        <v>1.7094907407407406E-2</v>
      </c>
      <c r="F11002">
        <v>24.616666666666667</v>
      </c>
    </row>
    <row r="11003" spans="1:6" x14ac:dyDescent="0.25">
      <c r="A11003" s="1">
        <v>42309</v>
      </c>
      <c r="B11003" t="s">
        <v>24</v>
      </c>
      <c r="C11003" t="s">
        <v>10</v>
      </c>
      <c r="D11003">
        <v>4</v>
      </c>
      <c r="E11003" s="2">
        <v>3.0787037037037037E-3</v>
      </c>
      <c r="F11003">
        <v>4.4333333333333336</v>
      </c>
    </row>
    <row r="11004" spans="1:6" x14ac:dyDescent="0.25">
      <c r="A11004" s="1">
        <v>42309</v>
      </c>
      <c r="B11004" t="s">
        <v>24</v>
      </c>
      <c r="C11004" t="s">
        <v>11</v>
      </c>
      <c r="D11004">
        <v>18</v>
      </c>
      <c r="E11004" s="2">
        <v>1.2476851851851852E-2</v>
      </c>
      <c r="F11004">
        <v>17.966666666666665</v>
      </c>
    </row>
    <row r="11005" spans="1:6" x14ac:dyDescent="0.25">
      <c r="A11005" s="1">
        <v>42339</v>
      </c>
      <c r="B11005" t="s">
        <v>5</v>
      </c>
      <c r="C11005" t="s">
        <v>6</v>
      </c>
      <c r="D11005">
        <v>6</v>
      </c>
      <c r="E11005" s="2">
        <v>4.2245370370370371E-3</v>
      </c>
      <c r="F11005">
        <v>6.083333333333333</v>
      </c>
    </row>
    <row r="11006" spans="1:6" x14ac:dyDescent="0.25">
      <c r="A11006" s="1">
        <v>42339</v>
      </c>
      <c r="B11006" t="s">
        <v>5</v>
      </c>
      <c r="C11006" t="s">
        <v>7</v>
      </c>
      <c r="D11006">
        <v>19</v>
      </c>
      <c r="E11006" s="2">
        <v>1.2152777777777778E-2</v>
      </c>
      <c r="F11006">
        <v>17.5</v>
      </c>
    </row>
    <row r="11007" spans="1:6" x14ac:dyDescent="0.25">
      <c r="A11007" s="1">
        <v>42339</v>
      </c>
      <c r="B11007" t="s">
        <v>5</v>
      </c>
      <c r="C11007" t="s">
        <v>8</v>
      </c>
      <c r="D11007">
        <v>10</v>
      </c>
      <c r="E11007" s="2">
        <v>8.0555555555555554E-3</v>
      </c>
      <c r="F11007">
        <v>11.6</v>
      </c>
    </row>
    <row r="11008" spans="1:6" x14ac:dyDescent="0.25">
      <c r="A11008" s="1">
        <v>42339</v>
      </c>
      <c r="B11008" t="s">
        <v>5</v>
      </c>
      <c r="C11008" t="s">
        <v>9</v>
      </c>
      <c r="D11008">
        <v>6</v>
      </c>
      <c r="E11008" s="2">
        <v>1.7708333333333332E-3</v>
      </c>
      <c r="F11008">
        <v>2.5499999999999998</v>
      </c>
    </row>
    <row r="11009" spans="1:6" x14ac:dyDescent="0.25">
      <c r="A11009" s="1">
        <v>42339</v>
      </c>
      <c r="B11009" t="s">
        <v>5</v>
      </c>
      <c r="C11009" t="s">
        <v>10</v>
      </c>
      <c r="D11009">
        <v>2</v>
      </c>
      <c r="E11009" s="2">
        <v>2.1759259259259258E-3</v>
      </c>
      <c r="F11009">
        <v>3.1333333333333333</v>
      </c>
    </row>
    <row r="11010" spans="1:6" x14ac:dyDescent="0.25">
      <c r="A11010" s="1">
        <v>42339</v>
      </c>
      <c r="B11010" t="s">
        <v>5</v>
      </c>
      <c r="C11010" t="s">
        <v>11</v>
      </c>
      <c r="D11010">
        <v>18</v>
      </c>
      <c r="E11010" s="2">
        <v>2.3414351851851853E-2</v>
      </c>
      <c r="F11010">
        <v>33.716666666666669</v>
      </c>
    </row>
    <row r="11011" spans="1:6" x14ac:dyDescent="0.25">
      <c r="A11011" s="1">
        <v>42339</v>
      </c>
      <c r="B11011" t="s">
        <v>12</v>
      </c>
      <c r="C11011" t="s">
        <v>6</v>
      </c>
      <c r="D11011">
        <v>75</v>
      </c>
      <c r="E11011" s="2">
        <v>0.10568287037037037</v>
      </c>
      <c r="F11011">
        <v>152.18333333333334</v>
      </c>
    </row>
    <row r="11012" spans="1:6" x14ac:dyDescent="0.25">
      <c r="A11012" s="1">
        <v>42339</v>
      </c>
      <c r="B11012" t="s">
        <v>12</v>
      </c>
      <c r="C11012" t="s">
        <v>7</v>
      </c>
      <c r="D11012">
        <v>40</v>
      </c>
      <c r="E11012" s="2">
        <v>8.1805555555555562E-2</v>
      </c>
      <c r="F11012">
        <v>117.8</v>
      </c>
    </row>
    <row r="11013" spans="1:6" x14ac:dyDescent="0.25">
      <c r="A11013" s="1">
        <v>42339</v>
      </c>
      <c r="B11013" t="s">
        <v>12</v>
      </c>
      <c r="C11013" t="s">
        <v>8</v>
      </c>
      <c r="D11013">
        <v>29</v>
      </c>
      <c r="E11013" s="2">
        <v>3.8854166666666669E-2</v>
      </c>
      <c r="F11013">
        <v>55.95</v>
      </c>
    </row>
    <row r="11014" spans="1:6" x14ac:dyDescent="0.25">
      <c r="A11014" s="1">
        <v>42339</v>
      </c>
      <c r="B11014" t="s">
        <v>12</v>
      </c>
      <c r="C11014" t="s">
        <v>9</v>
      </c>
      <c r="D11014">
        <v>21</v>
      </c>
      <c r="E11014" s="2">
        <v>1.6724537037037038E-2</v>
      </c>
      <c r="F11014">
        <v>24.083333333333332</v>
      </c>
    </row>
    <row r="11015" spans="1:6" x14ac:dyDescent="0.25">
      <c r="A11015" s="1">
        <v>42339</v>
      </c>
      <c r="B11015" t="s">
        <v>12</v>
      </c>
      <c r="C11015" t="s">
        <v>10</v>
      </c>
      <c r="D11015">
        <v>30</v>
      </c>
      <c r="E11015" s="2">
        <v>5.1284722222222225E-2</v>
      </c>
      <c r="F11015">
        <v>73.849999999999994</v>
      </c>
    </row>
    <row r="11016" spans="1:6" x14ac:dyDescent="0.25">
      <c r="A11016" s="1">
        <v>42339</v>
      </c>
      <c r="B11016" t="s">
        <v>12</v>
      </c>
      <c r="C11016" t="s">
        <v>11</v>
      </c>
      <c r="D11016">
        <v>63</v>
      </c>
      <c r="E11016" s="2">
        <v>8.655092592592592E-2</v>
      </c>
      <c r="F11016">
        <v>124.63333333333334</v>
      </c>
    </row>
    <row r="11017" spans="1:6" x14ac:dyDescent="0.25">
      <c r="A11017" s="1">
        <v>42339</v>
      </c>
      <c r="B11017" t="s">
        <v>13</v>
      </c>
      <c r="C11017" t="s">
        <v>6</v>
      </c>
      <c r="D11017">
        <v>54</v>
      </c>
      <c r="E11017" s="2">
        <v>8.5902777777777772E-2</v>
      </c>
      <c r="F11017">
        <v>123.7</v>
      </c>
    </row>
    <row r="11018" spans="1:6" x14ac:dyDescent="0.25">
      <c r="A11018" s="1">
        <v>42339</v>
      </c>
      <c r="B11018" t="s">
        <v>13</v>
      </c>
      <c r="C11018" t="s">
        <v>7</v>
      </c>
      <c r="D11018">
        <v>60</v>
      </c>
      <c r="E11018" s="2">
        <v>0.10344907407407407</v>
      </c>
      <c r="F11018">
        <v>148.96666666666667</v>
      </c>
    </row>
    <row r="11019" spans="1:6" x14ac:dyDescent="0.25">
      <c r="A11019" s="1">
        <v>42339</v>
      </c>
      <c r="B11019" t="s">
        <v>13</v>
      </c>
      <c r="C11019" t="s">
        <v>8</v>
      </c>
      <c r="D11019">
        <v>38</v>
      </c>
      <c r="E11019" s="2">
        <v>5.5821759259259258E-2</v>
      </c>
      <c r="F11019">
        <v>80.38333333333334</v>
      </c>
    </row>
    <row r="11020" spans="1:6" x14ac:dyDescent="0.25">
      <c r="A11020" s="1">
        <v>42339</v>
      </c>
      <c r="B11020" t="s">
        <v>13</v>
      </c>
      <c r="C11020" t="s">
        <v>9</v>
      </c>
      <c r="D11020">
        <v>10</v>
      </c>
      <c r="E11020" s="2">
        <v>9.0509259259259258E-3</v>
      </c>
      <c r="F11020">
        <v>13.033333333333333</v>
      </c>
    </row>
    <row r="11021" spans="1:6" x14ac:dyDescent="0.25">
      <c r="A11021" s="1">
        <v>42339</v>
      </c>
      <c r="B11021" t="s">
        <v>13</v>
      </c>
      <c r="C11021" t="s">
        <v>10</v>
      </c>
      <c r="D11021">
        <v>6</v>
      </c>
      <c r="E11021" s="2">
        <v>9.8032407407407408E-3</v>
      </c>
      <c r="F11021">
        <v>14.116666666666667</v>
      </c>
    </row>
    <row r="11022" spans="1:6" x14ac:dyDescent="0.25">
      <c r="A11022" s="1">
        <v>42339</v>
      </c>
      <c r="B11022" t="s">
        <v>13</v>
      </c>
      <c r="C11022" t="s">
        <v>11</v>
      </c>
      <c r="D11022">
        <v>35</v>
      </c>
      <c r="E11022" s="2">
        <v>4.1921296296296297E-2</v>
      </c>
      <c r="F11022">
        <v>60.366666666666667</v>
      </c>
    </row>
    <row r="11023" spans="1:6" x14ac:dyDescent="0.25">
      <c r="A11023" s="1">
        <v>42339</v>
      </c>
      <c r="B11023" t="s">
        <v>14</v>
      </c>
      <c r="C11023" t="s">
        <v>6</v>
      </c>
      <c r="D11023">
        <v>5</v>
      </c>
      <c r="E11023" s="2">
        <v>7.9282407407407409E-3</v>
      </c>
      <c r="F11023">
        <v>11.416666666666666</v>
      </c>
    </row>
    <row r="11024" spans="1:6" x14ac:dyDescent="0.25">
      <c r="A11024" s="1">
        <v>42339</v>
      </c>
      <c r="B11024" t="s">
        <v>14</v>
      </c>
      <c r="C11024" t="s">
        <v>7</v>
      </c>
      <c r="D11024">
        <v>7</v>
      </c>
      <c r="E11024" s="2">
        <v>7.8703703703703696E-3</v>
      </c>
      <c r="F11024">
        <v>11.333333333333334</v>
      </c>
    </row>
    <row r="11025" spans="1:6" x14ac:dyDescent="0.25">
      <c r="A11025" s="1">
        <v>42339</v>
      </c>
      <c r="B11025" t="s">
        <v>14</v>
      </c>
      <c r="C11025" t="s">
        <v>8</v>
      </c>
      <c r="D11025">
        <v>3</v>
      </c>
      <c r="E11025" s="2">
        <v>5.8449074074074072E-3</v>
      </c>
      <c r="F11025">
        <v>8.4166666666666661</v>
      </c>
    </row>
    <row r="11026" spans="1:6" x14ac:dyDescent="0.25">
      <c r="A11026" s="1">
        <v>42339</v>
      </c>
      <c r="B11026" t="s">
        <v>14</v>
      </c>
      <c r="C11026" t="s">
        <v>9</v>
      </c>
      <c r="D11026">
        <v>1</v>
      </c>
      <c r="E11026" s="2">
        <v>7.9861111111111116E-4</v>
      </c>
      <c r="F11026">
        <v>1.1499999999999999</v>
      </c>
    </row>
    <row r="11027" spans="1:6" x14ac:dyDescent="0.25">
      <c r="A11027" s="1">
        <v>42339</v>
      </c>
      <c r="B11027" t="s">
        <v>14</v>
      </c>
      <c r="C11027" t="s">
        <v>10</v>
      </c>
      <c r="D11027">
        <v>2</v>
      </c>
      <c r="E11027" s="2">
        <v>3.8773148148148148E-3</v>
      </c>
      <c r="F11027">
        <v>5.583333333333333</v>
      </c>
    </row>
    <row r="11028" spans="1:6" x14ac:dyDescent="0.25">
      <c r="A11028" s="1">
        <v>42339</v>
      </c>
      <c r="B11028" t="s">
        <v>14</v>
      </c>
      <c r="C11028" t="s">
        <v>11</v>
      </c>
      <c r="D11028">
        <v>6</v>
      </c>
      <c r="E11028" s="2">
        <v>5.9027777777777776E-3</v>
      </c>
      <c r="F11028">
        <v>8.5</v>
      </c>
    </row>
    <row r="11029" spans="1:6" x14ac:dyDescent="0.25">
      <c r="A11029" s="1">
        <v>42339</v>
      </c>
      <c r="B11029" t="s">
        <v>15</v>
      </c>
      <c r="C11029" t="s">
        <v>6</v>
      </c>
      <c r="D11029">
        <v>87</v>
      </c>
      <c r="E11029" s="2">
        <v>0.10216435185185185</v>
      </c>
      <c r="F11029">
        <v>147.11666666666667</v>
      </c>
    </row>
    <row r="11030" spans="1:6" x14ac:dyDescent="0.25">
      <c r="A11030" s="1">
        <v>42339</v>
      </c>
      <c r="B11030" t="s">
        <v>15</v>
      </c>
      <c r="C11030" t="s">
        <v>7</v>
      </c>
      <c r="D11030">
        <v>84</v>
      </c>
      <c r="E11030" s="2">
        <v>0.10170138888888888</v>
      </c>
      <c r="F11030">
        <v>146.44999999999999</v>
      </c>
    </row>
    <row r="11031" spans="1:6" x14ac:dyDescent="0.25">
      <c r="A11031" s="1">
        <v>42339</v>
      </c>
      <c r="B11031" t="s">
        <v>15</v>
      </c>
      <c r="C11031" t="s">
        <v>8</v>
      </c>
      <c r="D11031">
        <v>69</v>
      </c>
      <c r="E11031" s="2">
        <v>7.8587962962962957E-2</v>
      </c>
      <c r="F11031">
        <v>113.16666666666667</v>
      </c>
    </row>
    <row r="11032" spans="1:6" x14ac:dyDescent="0.25">
      <c r="A11032" s="1">
        <v>42339</v>
      </c>
      <c r="B11032" t="s">
        <v>15</v>
      </c>
      <c r="C11032" t="s">
        <v>9</v>
      </c>
      <c r="D11032">
        <v>25</v>
      </c>
      <c r="E11032" s="2">
        <v>1.5844907407407408E-2</v>
      </c>
      <c r="F11032">
        <v>22.816666666666666</v>
      </c>
    </row>
    <row r="11033" spans="1:6" x14ac:dyDescent="0.25">
      <c r="A11033" s="1">
        <v>42339</v>
      </c>
      <c r="B11033" t="s">
        <v>15</v>
      </c>
      <c r="C11033" t="s">
        <v>10</v>
      </c>
      <c r="D11033">
        <v>48</v>
      </c>
      <c r="E11033" s="2">
        <v>7.2523148148148142E-2</v>
      </c>
      <c r="F11033">
        <v>104.43333333333334</v>
      </c>
    </row>
    <row r="11034" spans="1:6" x14ac:dyDescent="0.25">
      <c r="A11034" s="1">
        <v>42339</v>
      </c>
      <c r="B11034" t="s">
        <v>15</v>
      </c>
      <c r="C11034" t="s">
        <v>11</v>
      </c>
      <c r="D11034">
        <v>52</v>
      </c>
      <c r="E11034" s="2">
        <v>5.4293981481481485E-2</v>
      </c>
      <c r="F11034">
        <v>78.183333333333337</v>
      </c>
    </row>
    <row r="11035" spans="1:6" x14ac:dyDescent="0.25">
      <c r="A11035" s="1">
        <v>42339</v>
      </c>
      <c r="B11035" t="s">
        <v>16</v>
      </c>
      <c r="C11035" t="s">
        <v>6</v>
      </c>
      <c r="D11035">
        <v>18</v>
      </c>
      <c r="E11035" s="2">
        <v>1.7256944444444443E-2</v>
      </c>
      <c r="F11035">
        <v>24.85</v>
      </c>
    </row>
    <row r="11036" spans="1:6" x14ac:dyDescent="0.25">
      <c r="A11036" s="1">
        <v>42339</v>
      </c>
      <c r="B11036" t="s">
        <v>16</v>
      </c>
      <c r="C11036" t="s">
        <v>7</v>
      </c>
      <c r="D11036">
        <v>22</v>
      </c>
      <c r="E11036" s="2">
        <v>2.3877314814814816E-2</v>
      </c>
      <c r="F11036">
        <v>34.383333333333333</v>
      </c>
    </row>
    <row r="11037" spans="1:6" x14ac:dyDescent="0.25">
      <c r="A11037" s="1">
        <v>42339</v>
      </c>
      <c r="B11037" t="s">
        <v>16</v>
      </c>
      <c r="C11037" t="s">
        <v>8</v>
      </c>
      <c r="D11037">
        <v>28</v>
      </c>
      <c r="E11037" s="2">
        <v>2.5879629629629631E-2</v>
      </c>
      <c r="F11037">
        <v>37.266666666666666</v>
      </c>
    </row>
    <row r="11038" spans="1:6" x14ac:dyDescent="0.25">
      <c r="A11038" s="1">
        <v>42339</v>
      </c>
      <c r="B11038" t="s">
        <v>16</v>
      </c>
      <c r="C11038" t="s">
        <v>9</v>
      </c>
      <c r="D11038">
        <v>7</v>
      </c>
      <c r="E11038" s="2">
        <v>5.6249999999999998E-3</v>
      </c>
      <c r="F11038">
        <v>8.1</v>
      </c>
    </row>
    <row r="11039" spans="1:6" x14ac:dyDescent="0.25">
      <c r="A11039" s="1">
        <v>42339</v>
      </c>
      <c r="B11039" t="s">
        <v>16</v>
      </c>
      <c r="C11039" t="s">
        <v>10</v>
      </c>
      <c r="D11039">
        <v>5</v>
      </c>
      <c r="E11039" s="2">
        <v>3.7152777777777778E-3</v>
      </c>
      <c r="F11039">
        <v>5.35</v>
      </c>
    </row>
    <row r="11040" spans="1:6" x14ac:dyDescent="0.25">
      <c r="A11040" s="1">
        <v>42339</v>
      </c>
      <c r="B11040" t="s">
        <v>16</v>
      </c>
      <c r="C11040" t="s">
        <v>11</v>
      </c>
      <c r="D11040">
        <v>24</v>
      </c>
      <c r="E11040" s="2">
        <v>2.1712962962962962E-2</v>
      </c>
      <c r="F11040">
        <v>31.266666666666666</v>
      </c>
    </row>
    <row r="11041" spans="1:6" x14ac:dyDescent="0.25">
      <c r="A11041" s="1">
        <v>42339</v>
      </c>
      <c r="B11041" t="s">
        <v>17</v>
      </c>
      <c r="C11041" t="s">
        <v>6</v>
      </c>
      <c r="D11041">
        <v>8</v>
      </c>
      <c r="E11041" s="2">
        <v>7.6967592592592591E-3</v>
      </c>
      <c r="F11041">
        <v>11.083333333333334</v>
      </c>
    </row>
    <row r="11042" spans="1:6" x14ac:dyDescent="0.25">
      <c r="A11042" s="1">
        <v>42339</v>
      </c>
      <c r="B11042" t="s">
        <v>17</v>
      </c>
      <c r="C11042" t="s">
        <v>7</v>
      </c>
      <c r="D11042">
        <v>9</v>
      </c>
      <c r="E11042" s="2">
        <v>1.1423611111111112E-2</v>
      </c>
      <c r="F11042">
        <v>16.45</v>
      </c>
    </row>
    <row r="11043" spans="1:6" x14ac:dyDescent="0.25">
      <c r="A11043" s="1">
        <v>42339</v>
      </c>
      <c r="B11043" t="s">
        <v>17</v>
      </c>
      <c r="C11043" t="s">
        <v>8</v>
      </c>
      <c r="D11043">
        <v>4</v>
      </c>
      <c r="E11043" s="2">
        <v>4.5254629629629629E-3</v>
      </c>
      <c r="F11043">
        <v>6.5166666666666666</v>
      </c>
    </row>
    <row r="11044" spans="1:6" x14ac:dyDescent="0.25">
      <c r="A11044" s="1">
        <v>42339</v>
      </c>
      <c r="B11044" t="s">
        <v>17</v>
      </c>
      <c r="C11044" t="s">
        <v>9</v>
      </c>
      <c r="D11044">
        <v>2</v>
      </c>
      <c r="E11044" s="2">
        <v>1.0995370370370371E-3</v>
      </c>
      <c r="F11044">
        <v>1.5833333333333335</v>
      </c>
    </row>
    <row r="11045" spans="1:6" x14ac:dyDescent="0.25">
      <c r="A11045" s="1">
        <v>42339</v>
      </c>
      <c r="B11045" t="s">
        <v>17</v>
      </c>
      <c r="C11045" t="s">
        <v>10</v>
      </c>
      <c r="D11045">
        <v>4</v>
      </c>
      <c r="E11045" s="2">
        <v>5.8796296296296296E-3</v>
      </c>
      <c r="F11045">
        <v>8.4666666666666668</v>
      </c>
    </row>
    <row r="11046" spans="1:6" x14ac:dyDescent="0.25">
      <c r="A11046" s="1">
        <v>42339</v>
      </c>
      <c r="B11046" t="s">
        <v>17</v>
      </c>
      <c r="C11046" t="s">
        <v>11</v>
      </c>
      <c r="D11046">
        <v>1</v>
      </c>
      <c r="E11046" s="2">
        <v>5.2083333333333333E-4</v>
      </c>
      <c r="F11046">
        <v>0.75</v>
      </c>
    </row>
    <row r="11047" spans="1:6" x14ac:dyDescent="0.25">
      <c r="A11047" s="1">
        <v>42339</v>
      </c>
      <c r="B11047" t="s">
        <v>18</v>
      </c>
      <c r="C11047" t="s">
        <v>6</v>
      </c>
      <c r="D11047">
        <v>53</v>
      </c>
      <c r="E11047" s="2">
        <v>6.1180555555555557E-2</v>
      </c>
      <c r="F11047">
        <v>88.1</v>
      </c>
    </row>
    <row r="11048" spans="1:6" x14ac:dyDescent="0.25">
      <c r="A11048" s="1">
        <v>42339</v>
      </c>
      <c r="B11048" t="s">
        <v>18</v>
      </c>
      <c r="C11048" t="s">
        <v>7</v>
      </c>
      <c r="D11048">
        <v>112</v>
      </c>
      <c r="E11048" s="2">
        <v>0.11197916666666667</v>
      </c>
      <c r="F11048">
        <v>161.25</v>
      </c>
    </row>
    <row r="11049" spans="1:6" x14ac:dyDescent="0.25">
      <c r="A11049" s="1">
        <v>42339</v>
      </c>
      <c r="B11049" t="s">
        <v>18</v>
      </c>
      <c r="C11049" t="s">
        <v>8</v>
      </c>
      <c r="D11049">
        <v>56</v>
      </c>
      <c r="E11049" s="2">
        <v>4.5775462962962962E-2</v>
      </c>
      <c r="F11049">
        <v>65.916666666666671</v>
      </c>
    </row>
    <row r="11050" spans="1:6" x14ac:dyDescent="0.25">
      <c r="A11050" s="1">
        <v>42339</v>
      </c>
      <c r="B11050" t="s">
        <v>18</v>
      </c>
      <c r="C11050" t="s">
        <v>9</v>
      </c>
      <c r="D11050">
        <v>44</v>
      </c>
      <c r="E11050" s="2">
        <v>2.9166666666666667E-2</v>
      </c>
      <c r="F11050">
        <v>42</v>
      </c>
    </row>
    <row r="11051" spans="1:6" x14ac:dyDescent="0.25">
      <c r="A11051" s="1">
        <v>42339</v>
      </c>
      <c r="B11051" t="s">
        <v>18</v>
      </c>
      <c r="C11051" t="s">
        <v>10</v>
      </c>
      <c r="D11051">
        <v>122</v>
      </c>
      <c r="E11051" s="2">
        <v>0.13913194444444443</v>
      </c>
      <c r="F11051">
        <v>200.35</v>
      </c>
    </row>
    <row r="11052" spans="1:6" x14ac:dyDescent="0.25">
      <c r="A11052" s="1">
        <v>42339</v>
      </c>
      <c r="B11052" t="s">
        <v>18</v>
      </c>
      <c r="C11052" t="s">
        <v>11</v>
      </c>
      <c r="D11052">
        <v>42</v>
      </c>
      <c r="E11052" s="2">
        <v>3.0474537037037036E-2</v>
      </c>
      <c r="F11052">
        <v>43.883333333333333</v>
      </c>
    </row>
    <row r="11053" spans="1:6" x14ac:dyDescent="0.25">
      <c r="A11053" s="1">
        <v>42339</v>
      </c>
      <c r="B11053" t="s">
        <v>19</v>
      </c>
      <c r="C11053" t="s">
        <v>6</v>
      </c>
      <c r="D11053">
        <v>16</v>
      </c>
      <c r="E11053" s="2">
        <v>2.162037037037037E-2</v>
      </c>
      <c r="F11053">
        <v>31.133333333333333</v>
      </c>
    </row>
    <row r="11054" spans="1:6" x14ac:dyDescent="0.25">
      <c r="A11054" s="1">
        <v>42339</v>
      </c>
      <c r="B11054" t="s">
        <v>19</v>
      </c>
      <c r="C11054" t="s">
        <v>7</v>
      </c>
      <c r="D11054">
        <v>13</v>
      </c>
      <c r="E11054" s="2">
        <v>2.3078703703703702E-2</v>
      </c>
      <c r="F11054">
        <v>33.233333333333334</v>
      </c>
    </row>
    <row r="11055" spans="1:6" x14ac:dyDescent="0.25">
      <c r="A11055" s="1">
        <v>42339</v>
      </c>
      <c r="B11055" t="s">
        <v>19</v>
      </c>
      <c r="C11055" t="s">
        <v>8</v>
      </c>
      <c r="D11055">
        <v>15</v>
      </c>
      <c r="E11055" s="2">
        <v>1.5069444444444444E-2</v>
      </c>
      <c r="F11055">
        <v>21.7</v>
      </c>
    </row>
    <row r="11056" spans="1:6" x14ac:dyDescent="0.25">
      <c r="A11056" s="1">
        <v>42339</v>
      </c>
      <c r="B11056" t="s">
        <v>19</v>
      </c>
      <c r="C11056" t="s">
        <v>9</v>
      </c>
      <c r="D11056">
        <v>13</v>
      </c>
      <c r="E11056" s="2">
        <v>6.4467592592592588E-3</v>
      </c>
      <c r="F11056">
        <v>9.2833333333333332</v>
      </c>
    </row>
    <row r="11057" spans="1:6" x14ac:dyDescent="0.25">
      <c r="A11057" s="1">
        <v>42339</v>
      </c>
      <c r="B11057" t="s">
        <v>19</v>
      </c>
      <c r="C11057" t="s">
        <v>10</v>
      </c>
      <c r="D11057">
        <v>11</v>
      </c>
      <c r="E11057" s="2">
        <v>1.6585648148148148E-2</v>
      </c>
      <c r="F11057">
        <v>23.883333333333333</v>
      </c>
    </row>
    <row r="11058" spans="1:6" x14ac:dyDescent="0.25">
      <c r="A11058" s="1">
        <v>42339</v>
      </c>
      <c r="B11058" t="s">
        <v>19</v>
      </c>
      <c r="C11058" t="s">
        <v>11</v>
      </c>
      <c r="D11058">
        <v>17</v>
      </c>
      <c r="E11058" s="2">
        <v>1.511574074074074E-2</v>
      </c>
      <c r="F11058">
        <v>21.766666666666666</v>
      </c>
    </row>
    <row r="11059" spans="1:6" x14ac:dyDescent="0.25">
      <c r="A11059" s="1">
        <v>42339</v>
      </c>
      <c r="B11059" t="s">
        <v>20</v>
      </c>
      <c r="C11059" t="s">
        <v>6</v>
      </c>
      <c r="D11059">
        <v>128</v>
      </c>
      <c r="E11059" s="2">
        <v>0.17887731481481481</v>
      </c>
      <c r="F11059">
        <v>257.58333333333331</v>
      </c>
    </row>
    <row r="11060" spans="1:6" x14ac:dyDescent="0.25">
      <c r="A11060" s="1">
        <v>42339</v>
      </c>
      <c r="B11060" t="s">
        <v>20</v>
      </c>
      <c r="C11060" t="s">
        <v>7</v>
      </c>
      <c r="D11060">
        <v>125</v>
      </c>
      <c r="E11060" s="2">
        <v>0.20267361111111112</v>
      </c>
      <c r="F11060">
        <v>291.85000000000002</v>
      </c>
    </row>
    <row r="11061" spans="1:6" x14ac:dyDescent="0.25">
      <c r="A11061" s="1">
        <v>42339</v>
      </c>
      <c r="B11061" t="s">
        <v>20</v>
      </c>
      <c r="C11061" t="s">
        <v>8</v>
      </c>
      <c r="D11061">
        <v>99</v>
      </c>
      <c r="E11061" s="2">
        <v>0.12534722222222222</v>
      </c>
      <c r="F11061">
        <v>180.5</v>
      </c>
    </row>
    <row r="11062" spans="1:6" x14ac:dyDescent="0.25">
      <c r="A11062" s="1">
        <v>42339</v>
      </c>
      <c r="B11062" t="s">
        <v>20</v>
      </c>
      <c r="C11062" t="s">
        <v>9</v>
      </c>
      <c r="D11062">
        <v>54</v>
      </c>
      <c r="E11062" s="2">
        <v>3.5578703703703703E-2</v>
      </c>
      <c r="F11062">
        <v>51.233333333333334</v>
      </c>
    </row>
    <row r="11063" spans="1:6" x14ac:dyDescent="0.25">
      <c r="A11063" s="1">
        <v>42339</v>
      </c>
      <c r="B11063" t="s">
        <v>20</v>
      </c>
      <c r="C11063" t="s">
        <v>10</v>
      </c>
      <c r="D11063">
        <v>37</v>
      </c>
      <c r="E11063" s="2">
        <v>5.1168981481481482E-2</v>
      </c>
      <c r="F11063">
        <v>73.683333333333337</v>
      </c>
    </row>
    <row r="11064" spans="1:6" x14ac:dyDescent="0.25">
      <c r="A11064" s="1">
        <v>42339</v>
      </c>
      <c r="B11064" t="s">
        <v>20</v>
      </c>
      <c r="C11064" t="s">
        <v>11</v>
      </c>
      <c r="D11064">
        <v>145</v>
      </c>
      <c r="E11064" s="2">
        <v>0.15574074074074074</v>
      </c>
      <c r="F11064">
        <v>224.26666666666668</v>
      </c>
    </row>
    <row r="11065" spans="1:6" x14ac:dyDescent="0.25">
      <c r="A11065" s="1">
        <v>42339</v>
      </c>
      <c r="B11065" t="s">
        <v>21</v>
      </c>
      <c r="C11065" t="s">
        <v>6</v>
      </c>
      <c r="D11065">
        <v>19</v>
      </c>
      <c r="E11065" s="2">
        <v>2.6840277777777779E-2</v>
      </c>
      <c r="F11065">
        <v>38.65</v>
      </c>
    </row>
    <row r="11066" spans="1:6" x14ac:dyDescent="0.25">
      <c r="A11066" s="1">
        <v>42339</v>
      </c>
      <c r="B11066" t="s">
        <v>21</v>
      </c>
      <c r="C11066" t="s">
        <v>7</v>
      </c>
      <c r="D11066">
        <v>11</v>
      </c>
      <c r="E11066" s="2">
        <v>2.417824074074074E-2</v>
      </c>
      <c r="F11066">
        <v>34.81666666666667</v>
      </c>
    </row>
    <row r="11067" spans="1:6" x14ac:dyDescent="0.25">
      <c r="A11067" s="1">
        <v>42339</v>
      </c>
      <c r="B11067" t="s">
        <v>21</v>
      </c>
      <c r="C11067" t="s">
        <v>8</v>
      </c>
      <c r="D11067">
        <v>21</v>
      </c>
      <c r="E11067" s="2">
        <v>2.2731481481481481E-2</v>
      </c>
      <c r="F11067">
        <v>32.733333333333334</v>
      </c>
    </row>
    <row r="11068" spans="1:6" x14ac:dyDescent="0.25">
      <c r="A11068" s="1">
        <v>42339</v>
      </c>
      <c r="B11068" t="s">
        <v>21</v>
      </c>
      <c r="C11068" t="s">
        <v>9</v>
      </c>
      <c r="D11068">
        <v>4</v>
      </c>
      <c r="E11068" s="2">
        <v>2.5810185185185185E-3</v>
      </c>
      <c r="F11068">
        <v>3.7166666666666668</v>
      </c>
    </row>
    <row r="11069" spans="1:6" x14ac:dyDescent="0.25">
      <c r="A11069" s="1">
        <v>42339</v>
      </c>
      <c r="B11069" t="s">
        <v>21</v>
      </c>
      <c r="C11069" t="s">
        <v>10</v>
      </c>
      <c r="D11069">
        <v>3</v>
      </c>
      <c r="E11069" s="2">
        <v>4.0856481481481481E-3</v>
      </c>
      <c r="F11069">
        <v>5.8833333333333329</v>
      </c>
    </row>
    <row r="11070" spans="1:6" x14ac:dyDescent="0.25">
      <c r="A11070" s="1">
        <v>42339</v>
      </c>
      <c r="B11070" t="s">
        <v>21</v>
      </c>
      <c r="C11070" t="s">
        <v>11</v>
      </c>
      <c r="D11070">
        <v>15</v>
      </c>
      <c r="E11070" s="2">
        <v>1.8657407407407407E-2</v>
      </c>
      <c r="F11070">
        <v>26.866666666666667</v>
      </c>
    </row>
    <row r="11071" spans="1:6" x14ac:dyDescent="0.25">
      <c r="A11071" s="1">
        <v>42339</v>
      </c>
      <c r="B11071" t="s">
        <v>22</v>
      </c>
      <c r="C11071" t="s">
        <v>6</v>
      </c>
      <c r="D11071">
        <v>12</v>
      </c>
      <c r="E11071" s="2">
        <v>1.5370370370370371E-2</v>
      </c>
      <c r="F11071">
        <v>22.133333333333333</v>
      </c>
    </row>
    <row r="11072" spans="1:6" x14ac:dyDescent="0.25">
      <c r="A11072" s="1">
        <v>42339</v>
      </c>
      <c r="B11072" t="s">
        <v>22</v>
      </c>
      <c r="C11072" t="s">
        <v>7</v>
      </c>
      <c r="D11072">
        <v>9</v>
      </c>
      <c r="E11072" s="2">
        <v>9.8263888888888897E-3</v>
      </c>
      <c r="F11072">
        <v>14.15</v>
      </c>
    </row>
    <row r="11073" spans="1:6" x14ac:dyDescent="0.25">
      <c r="A11073" s="1">
        <v>42339</v>
      </c>
      <c r="B11073" t="s">
        <v>22</v>
      </c>
      <c r="C11073" t="s">
        <v>8</v>
      </c>
      <c r="D11073">
        <v>4</v>
      </c>
      <c r="E11073" s="2">
        <v>3.4837962962962965E-3</v>
      </c>
      <c r="F11073">
        <v>5.0166666666666666</v>
      </c>
    </row>
    <row r="11074" spans="1:6" x14ac:dyDescent="0.25">
      <c r="A11074" s="1">
        <v>42339</v>
      </c>
      <c r="B11074" t="s">
        <v>22</v>
      </c>
      <c r="C11074" t="s">
        <v>9</v>
      </c>
      <c r="D11074">
        <v>1</v>
      </c>
      <c r="E11074" s="2">
        <v>1.0069444444444444E-3</v>
      </c>
      <c r="F11074">
        <v>1.45</v>
      </c>
    </row>
    <row r="11075" spans="1:6" x14ac:dyDescent="0.25">
      <c r="A11075" s="1">
        <v>42339</v>
      </c>
      <c r="B11075" t="s">
        <v>22</v>
      </c>
      <c r="C11075" t="s">
        <v>10</v>
      </c>
      <c r="D11075">
        <v>3</v>
      </c>
      <c r="E11075" s="2">
        <v>1.0532407407407407E-3</v>
      </c>
      <c r="F11075">
        <v>1.5166666666666666</v>
      </c>
    </row>
    <row r="11076" spans="1:6" x14ac:dyDescent="0.25">
      <c r="A11076" s="1">
        <v>42339</v>
      </c>
      <c r="B11076" t="s">
        <v>22</v>
      </c>
      <c r="C11076" t="s">
        <v>11</v>
      </c>
      <c r="D11076">
        <v>3</v>
      </c>
      <c r="E11076" s="2">
        <v>4.2708333333333331E-3</v>
      </c>
      <c r="F11076">
        <v>6.15</v>
      </c>
    </row>
    <row r="11077" spans="1:6" x14ac:dyDescent="0.25">
      <c r="A11077" s="1">
        <v>42339</v>
      </c>
      <c r="B11077" t="s">
        <v>23</v>
      </c>
      <c r="C11077" t="s">
        <v>6</v>
      </c>
      <c r="D11077">
        <v>95</v>
      </c>
      <c r="E11077" s="2">
        <v>0.12144675925925925</v>
      </c>
      <c r="F11077">
        <v>174.88333333333333</v>
      </c>
    </row>
    <row r="11078" spans="1:6" x14ac:dyDescent="0.25">
      <c r="A11078" s="1">
        <v>42339</v>
      </c>
      <c r="B11078" t="s">
        <v>23</v>
      </c>
      <c r="C11078" t="s">
        <v>7</v>
      </c>
      <c r="D11078">
        <v>97</v>
      </c>
      <c r="E11078" s="2">
        <v>0.17571759259259259</v>
      </c>
      <c r="F11078">
        <v>253.03333333333333</v>
      </c>
    </row>
    <row r="11079" spans="1:6" x14ac:dyDescent="0.25">
      <c r="A11079" s="1">
        <v>42339</v>
      </c>
      <c r="B11079" t="s">
        <v>23</v>
      </c>
      <c r="C11079" t="s">
        <v>8</v>
      </c>
      <c r="D11079">
        <v>62</v>
      </c>
      <c r="E11079" s="2">
        <v>7.7118055555555551E-2</v>
      </c>
      <c r="F11079">
        <v>111.05</v>
      </c>
    </row>
    <row r="11080" spans="1:6" x14ac:dyDescent="0.25">
      <c r="A11080" s="1">
        <v>42339</v>
      </c>
      <c r="B11080" t="s">
        <v>23</v>
      </c>
      <c r="C11080" t="s">
        <v>9</v>
      </c>
      <c r="D11080">
        <v>24</v>
      </c>
      <c r="E11080" s="2">
        <v>1.5752314814814816E-2</v>
      </c>
      <c r="F11080">
        <v>22.683333333333334</v>
      </c>
    </row>
    <row r="11081" spans="1:6" x14ac:dyDescent="0.25">
      <c r="A11081" s="1">
        <v>42339</v>
      </c>
      <c r="B11081" t="s">
        <v>23</v>
      </c>
      <c r="C11081" t="s">
        <v>10</v>
      </c>
      <c r="D11081">
        <v>21</v>
      </c>
      <c r="E11081" s="2">
        <v>3.4722222222222224E-2</v>
      </c>
      <c r="F11081">
        <v>50</v>
      </c>
    </row>
    <row r="11082" spans="1:6" x14ac:dyDescent="0.25">
      <c r="A11082" s="1">
        <v>42339</v>
      </c>
      <c r="B11082" t="s">
        <v>23</v>
      </c>
      <c r="C11082" t="s">
        <v>11</v>
      </c>
      <c r="D11082">
        <v>77</v>
      </c>
      <c r="E11082" s="2">
        <v>7.8912037037037031E-2</v>
      </c>
      <c r="F11082">
        <v>113.63333333333334</v>
      </c>
    </row>
    <row r="11083" spans="1:6" x14ac:dyDescent="0.25">
      <c r="A11083" s="1">
        <v>42339</v>
      </c>
      <c r="B11083" t="s">
        <v>24</v>
      </c>
      <c r="C11083" t="s">
        <v>6</v>
      </c>
      <c r="D11083">
        <v>27</v>
      </c>
      <c r="E11083" s="2">
        <v>3.1666666666666669E-2</v>
      </c>
      <c r="F11083">
        <v>45.6</v>
      </c>
    </row>
    <row r="11084" spans="1:6" x14ac:dyDescent="0.25">
      <c r="A11084" s="1">
        <v>42339</v>
      </c>
      <c r="B11084" t="s">
        <v>24</v>
      </c>
      <c r="C11084" t="s">
        <v>7</v>
      </c>
      <c r="D11084">
        <v>14</v>
      </c>
      <c r="E11084" s="2">
        <v>1.2094907407407407E-2</v>
      </c>
      <c r="F11084">
        <v>17.416666666666668</v>
      </c>
    </row>
    <row r="11085" spans="1:6" x14ac:dyDescent="0.25">
      <c r="A11085" s="1">
        <v>42339</v>
      </c>
      <c r="B11085" t="s">
        <v>24</v>
      </c>
      <c r="C11085" t="s">
        <v>8</v>
      </c>
      <c r="D11085">
        <v>12</v>
      </c>
      <c r="E11085" s="2">
        <v>9.8148148148148144E-3</v>
      </c>
      <c r="F11085">
        <v>14.133333333333333</v>
      </c>
    </row>
    <row r="11086" spans="1:6" x14ac:dyDescent="0.25">
      <c r="A11086" s="1">
        <v>42339</v>
      </c>
      <c r="B11086" t="s">
        <v>24</v>
      </c>
      <c r="C11086" t="s">
        <v>9</v>
      </c>
      <c r="D11086">
        <v>35</v>
      </c>
      <c r="E11086" s="2">
        <v>1.9097222222222224E-2</v>
      </c>
      <c r="F11086">
        <v>27.5</v>
      </c>
    </row>
    <row r="11087" spans="1:6" x14ac:dyDescent="0.25">
      <c r="A11087" s="1">
        <v>42339</v>
      </c>
      <c r="B11087" t="s">
        <v>24</v>
      </c>
      <c r="C11087" t="s">
        <v>10</v>
      </c>
      <c r="D11087">
        <v>2</v>
      </c>
      <c r="E11087" s="2">
        <v>2.9050925925925928E-3</v>
      </c>
      <c r="F11087">
        <v>4.1833333333333336</v>
      </c>
    </row>
    <row r="11088" spans="1:6" x14ac:dyDescent="0.25">
      <c r="A11088" s="1">
        <v>42339</v>
      </c>
      <c r="B11088" t="s">
        <v>24</v>
      </c>
      <c r="C11088" t="s">
        <v>11</v>
      </c>
      <c r="D11088">
        <v>25</v>
      </c>
      <c r="E11088" s="2">
        <v>2.150462962962963E-2</v>
      </c>
      <c r="F11088">
        <v>30.966666666666665</v>
      </c>
    </row>
    <row r="11089" spans="1:6" x14ac:dyDescent="0.25">
      <c r="A11089" s="1">
        <v>42370</v>
      </c>
      <c r="B11089" t="s">
        <v>5</v>
      </c>
      <c r="C11089" t="s">
        <v>6</v>
      </c>
      <c r="D11089">
        <v>24</v>
      </c>
      <c r="E11089" s="2">
        <v>2.4780092592592593E-2</v>
      </c>
      <c r="F11089">
        <v>35.68333333333333</v>
      </c>
    </row>
    <row r="11090" spans="1:6" x14ac:dyDescent="0.25">
      <c r="A11090" s="1">
        <v>42370</v>
      </c>
      <c r="B11090" t="s">
        <v>5</v>
      </c>
      <c r="C11090" t="s">
        <v>7</v>
      </c>
      <c r="D11090">
        <v>32</v>
      </c>
      <c r="E11090" s="2">
        <v>2.5960648148148149E-2</v>
      </c>
      <c r="F11090">
        <v>37.383333333333333</v>
      </c>
    </row>
    <row r="11091" spans="1:6" x14ac:dyDescent="0.25">
      <c r="A11091" s="1">
        <v>42370</v>
      </c>
      <c r="B11091" t="s">
        <v>5</v>
      </c>
      <c r="C11091" t="s">
        <v>8</v>
      </c>
      <c r="D11091">
        <v>29</v>
      </c>
      <c r="E11091" s="2">
        <v>2.6354166666666668E-2</v>
      </c>
      <c r="F11091">
        <v>37.950000000000003</v>
      </c>
    </row>
    <row r="11092" spans="1:6" x14ac:dyDescent="0.25">
      <c r="A11092" s="1">
        <v>42370</v>
      </c>
      <c r="B11092" t="s">
        <v>5</v>
      </c>
      <c r="C11092" t="s">
        <v>9</v>
      </c>
      <c r="D11092">
        <v>6</v>
      </c>
      <c r="E11092" s="2">
        <v>3.6921296296296298E-3</v>
      </c>
      <c r="F11092">
        <v>5.3166666666666664</v>
      </c>
    </row>
    <row r="11093" spans="1:6" x14ac:dyDescent="0.25">
      <c r="A11093" s="1">
        <v>42370</v>
      </c>
      <c r="B11093" t="s">
        <v>5</v>
      </c>
      <c r="C11093" t="s">
        <v>10</v>
      </c>
      <c r="D11093">
        <v>2</v>
      </c>
      <c r="E11093" s="2">
        <v>4.6296296296296298E-4</v>
      </c>
      <c r="F11093">
        <v>0.66666666666666663</v>
      </c>
    </row>
    <row r="11094" spans="1:6" x14ac:dyDescent="0.25">
      <c r="A11094" s="1">
        <v>42370</v>
      </c>
      <c r="B11094" t="s">
        <v>5</v>
      </c>
      <c r="C11094" t="s">
        <v>11</v>
      </c>
      <c r="D11094">
        <v>30</v>
      </c>
      <c r="E11094" s="2">
        <v>3.7928240740740742E-2</v>
      </c>
      <c r="F11094">
        <v>54.616666666666667</v>
      </c>
    </row>
    <row r="11095" spans="1:6" x14ac:dyDescent="0.25">
      <c r="A11095" s="1">
        <v>42370</v>
      </c>
      <c r="B11095" t="s">
        <v>12</v>
      </c>
      <c r="C11095" t="s">
        <v>6</v>
      </c>
      <c r="D11095">
        <v>47</v>
      </c>
      <c r="E11095" s="2">
        <v>7.5011574074074078E-2</v>
      </c>
      <c r="F11095">
        <v>108.01666666666667</v>
      </c>
    </row>
    <row r="11096" spans="1:6" x14ac:dyDescent="0.25">
      <c r="A11096" s="1">
        <v>42370</v>
      </c>
      <c r="B11096" t="s">
        <v>12</v>
      </c>
      <c r="C11096" t="s">
        <v>7</v>
      </c>
      <c r="D11096">
        <v>41</v>
      </c>
      <c r="E11096" s="2">
        <v>8.2361111111111107E-2</v>
      </c>
      <c r="F11096">
        <v>118.6</v>
      </c>
    </row>
    <row r="11097" spans="1:6" x14ac:dyDescent="0.25">
      <c r="A11097" s="1">
        <v>42370</v>
      </c>
      <c r="B11097" t="s">
        <v>12</v>
      </c>
      <c r="C11097" t="s">
        <v>8</v>
      </c>
      <c r="D11097">
        <v>15</v>
      </c>
      <c r="E11097" s="2">
        <v>2.4363425925925927E-2</v>
      </c>
      <c r="F11097">
        <v>35.083333333333336</v>
      </c>
    </row>
    <row r="11098" spans="1:6" x14ac:dyDescent="0.25">
      <c r="A11098" s="1">
        <v>42370</v>
      </c>
      <c r="B11098" t="s">
        <v>12</v>
      </c>
      <c r="C11098" t="s">
        <v>9</v>
      </c>
      <c r="D11098">
        <v>11</v>
      </c>
      <c r="E11098" s="2">
        <v>9.8263888888888897E-3</v>
      </c>
      <c r="F11098">
        <v>14.15</v>
      </c>
    </row>
    <row r="11099" spans="1:6" x14ac:dyDescent="0.25">
      <c r="A11099" s="1">
        <v>42370</v>
      </c>
      <c r="B11099" t="s">
        <v>12</v>
      </c>
      <c r="C11099" t="s">
        <v>10</v>
      </c>
      <c r="D11099">
        <v>23</v>
      </c>
      <c r="E11099" s="2">
        <v>3.920138888888889E-2</v>
      </c>
      <c r="F11099">
        <v>56.45</v>
      </c>
    </row>
    <row r="11100" spans="1:6" x14ac:dyDescent="0.25">
      <c r="A11100" s="1">
        <v>42370</v>
      </c>
      <c r="B11100" t="s">
        <v>12</v>
      </c>
      <c r="C11100" t="s">
        <v>11</v>
      </c>
      <c r="D11100">
        <v>42</v>
      </c>
      <c r="E11100" s="2">
        <v>5.8402777777777776E-2</v>
      </c>
      <c r="F11100">
        <v>84.1</v>
      </c>
    </row>
    <row r="11101" spans="1:6" x14ac:dyDescent="0.25">
      <c r="A11101" s="1">
        <v>42370</v>
      </c>
      <c r="B11101" t="s">
        <v>13</v>
      </c>
      <c r="C11101" t="s">
        <v>6</v>
      </c>
      <c r="D11101">
        <v>53</v>
      </c>
      <c r="E11101" s="2">
        <v>7.4791666666666673E-2</v>
      </c>
      <c r="F11101">
        <v>107.7</v>
      </c>
    </row>
    <row r="11102" spans="1:6" x14ac:dyDescent="0.25">
      <c r="A11102" s="1">
        <v>42370</v>
      </c>
      <c r="B11102" t="s">
        <v>13</v>
      </c>
      <c r="C11102" t="s">
        <v>7</v>
      </c>
      <c r="D11102">
        <v>56</v>
      </c>
      <c r="E11102" s="2">
        <v>8.245370370370371E-2</v>
      </c>
      <c r="F11102">
        <v>118.73333333333333</v>
      </c>
    </row>
    <row r="11103" spans="1:6" x14ac:dyDescent="0.25">
      <c r="A11103" s="1">
        <v>42370</v>
      </c>
      <c r="B11103" t="s">
        <v>13</v>
      </c>
      <c r="C11103" t="s">
        <v>8</v>
      </c>
      <c r="D11103">
        <v>32</v>
      </c>
      <c r="E11103" s="2">
        <v>3.3877314814814811E-2</v>
      </c>
      <c r="F11103">
        <v>48.783333333333331</v>
      </c>
    </row>
    <row r="11104" spans="1:6" x14ac:dyDescent="0.25">
      <c r="A11104" s="1">
        <v>42370</v>
      </c>
      <c r="B11104" t="s">
        <v>13</v>
      </c>
      <c r="C11104" t="s">
        <v>9</v>
      </c>
      <c r="D11104">
        <v>13</v>
      </c>
      <c r="E11104" s="2">
        <v>7.1296296296296299E-3</v>
      </c>
      <c r="F11104">
        <v>10.266666666666667</v>
      </c>
    </row>
    <row r="11105" spans="1:6" x14ac:dyDescent="0.25">
      <c r="A11105" s="1">
        <v>42370</v>
      </c>
      <c r="B11105" t="s">
        <v>13</v>
      </c>
      <c r="C11105" t="s">
        <v>10</v>
      </c>
      <c r="D11105">
        <v>7</v>
      </c>
      <c r="E11105" s="2">
        <v>1.0601851851851852E-2</v>
      </c>
      <c r="F11105">
        <v>15.266666666666667</v>
      </c>
    </row>
    <row r="11106" spans="1:6" x14ac:dyDescent="0.25">
      <c r="A11106" s="1">
        <v>42370</v>
      </c>
      <c r="B11106" t="s">
        <v>13</v>
      </c>
      <c r="C11106" t="s">
        <v>11</v>
      </c>
      <c r="D11106">
        <v>26</v>
      </c>
      <c r="E11106" s="2">
        <v>2.8750000000000001E-2</v>
      </c>
      <c r="F11106">
        <v>41.4</v>
      </c>
    </row>
    <row r="11107" spans="1:6" x14ac:dyDescent="0.25">
      <c r="A11107" s="1">
        <v>42370</v>
      </c>
      <c r="B11107" t="s">
        <v>14</v>
      </c>
      <c r="C11107" t="s">
        <v>6</v>
      </c>
      <c r="D11107">
        <v>16</v>
      </c>
      <c r="E11107" s="2">
        <v>2.7824074074074074E-2</v>
      </c>
      <c r="F11107">
        <v>40.06666666666667</v>
      </c>
    </row>
    <row r="11108" spans="1:6" x14ac:dyDescent="0.25">
      <c r="A11108" s="1">
        <v>42370</v>
      </c>
      <c r="B11108" t="s">
        <v>14</v>
      </c>
      <c r="C11108" t="s">
        <v>7</v>
      </c>
      <c r="D11108">
        <v>5</v>
      </c>
      <c r="E11108" s="2">
        <v>1.9675925925925927E-2</v>
      </c>
      <c r="F11108">
        <v>28.333333333333332</v>
      </c>
    </row>
    <row r="11109" spans="1:6" x14ac:dyDescent="0.25">
      <c r="A11109" s="1">
        <v>42370</v>
      </c>
      <c r="B11109" t="s">
        <v>14</v>
      </c>
      <c r="C11109" t="s">
        <v>8</v>
      </c>
      <c r="D11109">
        <v>6</v>
      </c>
      <c r="E11109" s="2">
        <v>1.0925925925925926E-2</v>
      </c>
      <c r="F11109">
        <v>15.733333333333333</v>
      </c>
    </row>
    <row r="11110" spans="1:6" x14ac:dyDescent="0.25">
      <c r="A11110" s="1">
        <v>42370</v>
      </c>
      <c r="B11110" t="s">
        <v>14</v>
      </c>
      <c r="C11110" t="s">
        <v>9</v>
      </c>
      <c r="D11110">
        <v>0</v>
      </c>
      <c r="E11110" s="2">
        <v>0</v>
      </c>
      <c r="F11110">
        <v>0</v>
      </c>
    </row>
    <row r="11111" spans="1:6" x14ac:dyDescent="0.25">
      <c r="A11111" s="1">
        <v>42370</v>
      </c>
      <c r="B11111" t="s">
        <v>14</v>
      </c>
      <c r="C11111" t="s">
        <v>10</v>
      </c>
      <c r="D11111">
        <v>4</v>
      </c>
      <c r="E11111" s="2">
        <v>7.2453703703703708E-3</v>
      </c>
      <c r="F11111">
        <v>10.433333333333334</v>
      </c>
    </row>
    <row r="11112" spans="1:6" x14ac:dyDescent="0.25">
      <c r="A11112" s="1">
        <v>42370</v>
      </c>
      <c r="B11112" t="s">
        <v>14</v>
      </c>
      <c r="C11112" t="s">
        <v>11</v>
      </c>
      <c r="D11112">
        <v>12</v>
      </c>
      <c r="E11112" s="2">
        <v>1.3587962962962963E-2</v>
      </c>
      <c r="F11112">
        <v>19.566666666666666</v>
      </c>
    </row>
    <row r="11113" spans="1:6" x14ac:dyDescent="0.25">
      <c r="A11113" s="1">
        <v>42370</v>
      </c>
      <c r="B11113" t="s">
        <v>15</v>
      </c>
      <c r="C11113" t="s">
        <v>6</v>
      </c>
      <c r="D11113">
        <v>40</v>
      </c>
      <c r="E11113" s="2">
        <v>5.1134259259259261E-2</v>
      </c>
      <c r="F11113">
        <v>73.63333333333334</v>
      </c>
    </row>
    <row r="11114" spans="1:6" x14ac:dyDescent="0.25">
      <c r="A11114" s="1">
        <v>42370</v>
      </c>
      <c r="B11114" t="s">
        <v>15</v>
      </c>
      <c r="C11114" t="s">
        <v>7</v>
      </c>
      <c r="D11114">
        <v>31</v>
      </c>
      <c r="E11114" s="2">
        <v>3.7037037037037035E-2</v>
      </c>
      <c r="F11114">
        <v>53.333333333333336</v>
      </c>
    </row>
    <row r="11115" spans="1:6" x14ac:dyDescent="0.25">
      <c r="A11115" s="1">
        <v>42370</v>
      </c>
      <c r="B11115" t="s">
        <v>15</v>
      </c>
      <c r="C11115" t="s">
        <v>8</v>
      </c>
      <c r="D11115">
        <v>29</v>
      </c>
      <c r="E11115" s="2">
        <v>2.7731481481481482E-2</v>
      </c>
      <c r="F11115">
        <v>39.93333333333333</v>
      </c>
    </row>
    <row r="11116" spans="1:6" x14ac:dyDescent="0.25">
      <c r="A11116" s="1">
        <v>42370</v>
      </c>
      <c r="B11116" t="s">
        <v>15</v>
      </c>
      <c r="C11116" t="s">
        <v>9</v>
      </c>
      <c r="D11116">
        <v>6</v>
      </c>
      <c r="E11116" s="2">
        <v>4.6759259259259263E-3</v>
      </c>
      <c r="F11116">
        <v>6.7333333333333334</v>
      </c>
    </row>
    <row r="11117" spans="1:6" x14ac:dyDescent="0.25">
      <c r="A11117" s="1">
        <v>42370</v>
      </c>
      <c r="B11117" t="s">
        <v>15</v>
      </c>
      <c r="C11117" t="s">
        <v>10</v>
      </c>
      <c r="D11117">
        <v>6</v>
      </c>
      <c r="E11117" s="2">
        <v>5.6828703703703702E-3</v>
      </c>
      <c r="F11117">
        <v>8.1833333333333336</v>
      </c>
    </row>
    <row r="11118" spans="1:6" x14ac:dyDescent="0.25">
      <c r="A11118" s="1">
        <v>42370</v>
      </c>
      <c r="B11118" t="s">
        <v>15</v>
      </c>
      <c r="C11118" t="s">
        <v>11</v>
      </c>
      <c r="D11118">
        <v>16</v>
      </c>
      <c r="E11118" s="2">
        <v>1.1342592592592593E-2</v>
      </c>
      <c r="F11118">
        <v>16.333333333333332</v>
      </c>
    </row>
    <row r="11119" spans="1:6" x14ac:dyDescent="0.25">
      <c r="A11119" s="1">
        <v>42370</v>
      </c>
      <c r="B11119" t="s">
        <v>16</v>
      </c>
      <c r="C11119" t="s">
        <v>6</v>
      </c>
      <c r="D11119">
        <v>15</v>
      </c>
      <c r="E11119" s="2">
        <v>1.425925925925926E-2</v>
      </c>
      <c r="F11119">
        <v>20.533333333333335</v>
      </c>
    </row>
    <row r="11120" spans="1:6" x14ac:dyDescent="0.25">
      <c r="A11120" s="1">
        <v>42370</v>
      </c>
      <c r="B11120" t="s">
        <v>16</v>
      </c>
      <c r="C11120" t="s">
        <v>7</v>
      </c>
      <c r="D11120">
        <v>24</v>
      </c>
      <c r="E11120" s="2">
        <v>2.2476851851851852E-2</v>
      </c>
      <c r="F11120">
        <v>32.366666666666667</v>
      </c>
    </row>
    <row r="11121" spans="1:6" x14ac:dyDescent="0.25">
      <c r="A11121" s="1">
        <v>42370</v>
      </c>
      <c r="B11121" t="s">
        <v>16</v>
      </c>
      <c r="C11121" t="s">
        <v>8</v>
      </c>
      <c r="D11121">
        <v>23</v>
      </c>
      <c r="E11121" s="2">
        <v>1.6712962962962964E-2</v>
      </c>
      <c r="F11121">
        <v>24.066666666666666</v>
      </c>
    </row>
    <row r="11122" spans="1:6" x14ac:dyDescent="0.25">
      <c r="A11122" s="1">
        <v>42370</v>
      </c>
      <c r="B11122" t="s">
        <v>16</v>
      </c>
      <c r="C11122" t="s">
        <v>9</v>
      </c>
      <c r="D11122">
        <v>11</v>
      </c>
      <c r="E11122" s="2">
        <v>6.8171296296296296E-3</v>
      </c>
      <c r="F11122">
        <v>9.8166666666666664</v>
      </c>
    </row>
    <row r="11123" spans="1:6" x14ac:dyDescent="0.25">
      <c r="A11123" s="1">
        <v>42370</v>
      </c>
      <c r="B11123" t="s">
        <v>16</v>
      </c>
      <c r="C11123" t="s">
        <v>10</v>
      </c>
      <c r="D11123">
        <v>20</v>
      </c>
      <c r="E11123" s="2">
        <v>2.642361111111111E-2</v>
      </c>
      <c r="F11123">
        <v>38.049999999999997</v>
      </c>
    </row>
    <row r="11124" spans="1:6" x14ac:dyDescent="0.25">
      <c r="A11124" s="1">
        <v>42370</v>
      </c>
      <c r="B11124" t="s">
        <v>16</v>
      </c>
      <c r="C11124" t="s">
        <v>11</v>
      </c>
      <c r="D11124">
        <v>33</v>
      </c>
      <c r="E11124" s="2">
        <v>2.4027777777777776E-2</v>
      </c>
      <c r="F11124">
        <v>34.6</v>
      </c>
    </row>
    <row r="11125" spans="1:6" x14ac:dyDescent="0.25">
      <c r="A11125" s="1">
        <v>42370</v>
      </c>
      <c r="B11125" t="s">
        <v>17</v>
      </c>
      <c r="C11125" t="s">
        <v>6</v>
      </c>
      <c r="D11125">
        <v>22</v>
      </c>
      <c r="E11125" s="2">
        <v>2.8634259259259259E-2</v>
      </c>
      <c r="F11125">
        <v>41.233333333333334</v>
      </c>
    </row>
    <row r="11126" spans="1:6" x14ac:dyDescent="0.25">
      <c r="A11126" s="1">
        <v>42370</v>
      </c>
      <c r="B11126" t="s">
        <v>17</v>
      </c>
      <c r="C11126" t="s">
        <v>7</v>
      </c>
      <c r="D11126">
        <v>27</v>
      </c>
      <c r="E11126" s="2">
        <v>3.3020833333333333E-2</v>
      </c>
      <c r="F11126">
        <v>47.55</v>
      </c>
    </row>
    <row r="11127" spans="1:6" x14ac:dyDescent="0.25">
      <c r="A11127" s="1">
        <v>42370</v>
      </c>
      <c r="B11127" t="s">
        <v>17</v>
      </c>
      <c r="C11127" t="s">
        <v>8</v>
      </c>
      <c r="D11127">
        <v>21</v>
      </c>
      <c r="E11127" s="2">
        <v>2.9583333333333333E-2</v>
      </c>
      <c r="F11127">
        <v>42.6</v>
      </c>
    </row>
    <row r="11128" spans="1:6" x14ac:dyDescent="0.25">
      <c r="A11128" s="1">
        <v>42370</v>
      </c>
      <c r="B11128" t="s">
        <v>17</v>
      </c>
      <c r="C11128" t="s">
        <v>9</v>
      </c>
      <c r="D11128">
        <v>18</v>
      </c>
      <c r="E11128" s="2">
        <v>1.457175925925926E-2</v>
      </c>
      <c r="F11128">
        <v>20.983333333333334</v>
      </c>
    </row>
    <row r="11129" spans="1:6" x14ac:dyDescent="0.25">
      <c r="A11129" s="1">
        <v>42370</v>
      </c>
      <c r="B11129" t="s">
        <v>17</v>
      </c>
      <c r="C11129" t="s">
        <v>10</v>
      </c>
      <c r="D11129">
        <v>16</v>
      </c>
      <c r="E11129" s="2">
        <v>2.329861111111111E-2</v>
      </c>
      <c r="F11129">
        <v>33.549999999999997</v>
      </c>
    </row>
    <row r="11130" spans="1:6" x14ac:dyDescent="0.25">
      <c r="A11130" s="1">
        <v>42370</v>
      </c>
      <c r="B11130" t="s">
        <v>17</v>
      </c>
      <c r="C11130" t="s">
        <v>11</v>
      </c>
      <c r="D11130">
        <v>22</v>
      </c>
      <c r="E11130" s="2">
        <v>2.4664351851851851E-2</v>
      </c>
      <c r="F11130">
        <v>35.516666666666666</v>
      </c>
    </row>
    <row r="11131" spans="1:6" x14ac:dyDescent="0.25">
      <c r="A11131" s="1">
        <v>42370</v>
      </c>
      <c r="B11131" t="s">
        <v>18</v>
      </c>
      <c r="C11131" t="s">
        <v>6</v>
      </c>
      <c r="D11131">
        <v>45</v>
      </c>
      <c r="E11131" s="2">
        <v>5.5821759259259258E-2</v>
      </c>
      <c r="F11131">
        <v>80.38333333333334</v>
      </c>
    </row>
    <row r="11132" spans="1:6" x14ac:dyDescent="0.25">
      <c r="A11132" s="1">
        <v>42370</v>
      </c>
      <c r="B11132" t="s">
        <v>18</v>
      </c>
      <c r="C11132" t="s">
        <v>7</v>
      </c>
      <c r="D11132">
        <v>76</v>
      </c>
      <c r="E11132" s="2">
        <v>7.6631944444444447E-2</v>
      </c>
      <c r="F11132">
        <v>110.35</v>
      </c>
    </row>
    <row r="11133" spans="1:6" x14ac:dyDescent="0.25">
      <c r="A11133" s="1">
        <v>42370</v>
      </c>
      <c r="B11133" t="s">
        <v>18</v>
      </c>
      <c r="C11133" t="s">
        <v>8</v>
      </c>
      <c r="D11133">
        <v>26</v>
      </c>
      <c r="E11133" s="2">
        <v>2.0763888888888887E-2</v>
      </c>
      <c r="F11133">
        <v>29.9</v>
      </c>
    </row>
    <row r="11134" spans="1:6" x14ac:dyDescent="0.25">
      <c r="A11134" s="1">
        <v>42370</v>
      </c>
      <c r="B11134" t="s">
        <v>18</v>
      </c>
      <c r="C11134" t="s">
        <v>9</v>
      </c>
      <c r="D11134">
        <v>48</v>
      </c>
      <c r="E11134" s="2">
        <v>3.439814814814815E-2</v>
      </c>
      <c r="F11134">
        <v>49.533333333333331</v>
      </c>
    </row>
    <row r="11135" spans="1:6" x14ac:dyDescent="0.25">
      <c r="A11135" s="1">
        <v>42370</v>
      </c>
      <c r="B11135" t="s">
        <v>18</v>
      </c>
      <c r="C11135" t="s">
        <v>10</v>
      </c>
      <c r="D11135">
        <v>92</v>
      </c>
      <c r="E11135" s="2">
        <v>0.11078703703703703</v>
      </c>
      <c r="F11135">
        <v>159.53333333333333</v>
      </c>
    </row>
    <row r="11136" spans="1:6" x14ac:dyDescent="0.25">
      <c r="A11136" s="1">
        <v>42370</v>
      </c>
      <c r="B11136" t="s">
        <v>18</v>
      </c>
      <c r="C11136" t="s">
        <v>11</v>
      </c>
      <c r="D11136">
        <v>39</v>
      </c>
      <c r="E11136" s="2">
        <v>3.1597222222222221E-2</v>
      </c>
      <c r="F11136">
        <v>45.5</v>
      </c>
    </row>
    <row r="11137" spans="1:6" x14ac:dyDescent="0.25">
      <c r="A11137" s="1">
        <v>42370</v>
      </c>
      <c r="B11137" t="s">
        <v>19</v>
      </c>
      <c r="C11137" t="s">
        <v>6</v>
      </c>
      <c r="D11137">
        <v>20</v>
      </c>
      <c r="E11137" s="2">
        <v>2.4467592592592593E-2</v>
      </c>
      <c r="F11137">
        <v>35.233333333333334</v>
      </c>
    </row>
    <row r="11138" spans="1:6" x14ac:dyDescent="0.25">
      <c r="A11138" s="1">
        <v>42370</v>
      </c>
      <c r="B11138" t="s">
        <v>19</v>
      </c>
      <c r="C11138" t="s">
        <v>7</v>
      </c>
      <c r="D11138">
        <v>16</v>
      </c>
      <c r="E11138" s="2">
        <v>1.5416666666666667E-2</v>
      </c>
      <c r="F11138">
        <v>22.2</v>
      </c>
    </row>
    <row r="11139" spans="1:6" x14ac:dyDescent="0.25">
      <c r="A11139" s="1">
        <v>42370</v>
      </c>
      <c r="B11139" t="s">
        <v>19</v>
      </c>
      <c r="C11139" t="s">
        <v>8</v>
      </c>
      <c r="D11139">
        <v>22</v>
      </c>
      <c r="E11139" s="2">
        <v>2.1874999999999999E-2</v>
      </c>
      <c r="F11139">
        <v>31.5</v>
      </c>
    </row>
    <row r="11140" spans="1:6" x14ac:dyDescent="0.25">
      <c r="A11140" s="1">
        <v>42370</v>
      </c>
      <c r="B11140" t="s">
        <v>19</v>
      </c>
      <c r="C11140" t="s">
        <v>9</v>
      </c>
      <c r="D11140">
        <v>11</v>
      </c>
      <c r="E11140" s="2">
        <v>8.9467592592592585E-3</v>
      </c>
      <c r="F11140">
        <v>12.883333333333333</v>
      </c>
    </row>
    <row r="11141" spans="1:6" x14ac:dyDescent="0.25">
      <c r="A11141" s="1">
        <v>42370</v>
      </c>
      <c r="B11141" t="s">
        <v>19</v>
      </c>
      <c r="C11141" t="s">
        <v>10</v>
      </c>
      <c r="D11141">
        <v>12</v>
      </c>
      <c r="E11141" s="2">
        <v>1.6655092592592593E-2</v>
      </c>
      <c r="F11141">
        <v>23.983333333333334</v>
      </c>
    </row>
    <row r="11142" spans="1:6" x14ac:dyDescent="0.25">
      <c r="A11142" s="1">
        <v>42370</v>
      </c>
      <c r="B11142" t="s">
        <v>19</v>
      </c>
      <c r="C11142" t="s">
        <v>11</v>
      </c>
      <c r="D11142">
        <v>26</v>
      </c>
      <c r="E11142" s="2">
        <v>2.4583333333333332E-2</v>
      </c>
      <c r="F11142">
        <v>35.4</v>
      </c>
    </row>
    <row r="11143" spans="1:6" x14ac:dyDescent="0.25">
      <c r="A11143" s="1">
        <v>42370</v>
      </c>
      <c r="B11143" t="s">
        <v>20</v>
      </c>
      <c r="C11143" t="s">
        <v>6</v>
      </c>
      <c r="D11143">
        <v>79</v>
      </c>
      <c r="E11143" s="2">
        <v>0.11168981481481481</v>
      </c>
      <c r="F11143">
        <v>160.83333333333334</v>
      </c>
    </row>
    <row r="11144" spans="1:6" x14ac:dyDescent="0.25">
      <c r="A11144" s="1">
        <v>42370</v>
      </c>
      <c r="B11144" t="s">
        <v>20</v>
      </c>
      <c r="C11144" t="s">
        <v>7</v>
      </c>
      <c r="D11144">
        <v>95</v>
      </c>
      <c r="E11144" s="2">
        <v>0.12256944444444444</v>
      </c>
      <c r="F11144">
        <v>176.5</v>
      </c>
    </row>
    <row r="11145" spans="1:6" x14ac:dyDescent="0.25">
      <c r="A11145" s="1">
        <v>42370</v>
      </c>
      <c r="B11145" t="s">
        <v>20</v>
      </c>
      <c r="C11145" t="s">
        <v>8</v>
      </c>
      <c r="D11145">
        <v>68</v>
      </c>
      <c r="E11145" s="2">
        <v>7.90162037037037E-2</v>
      </c>
      <c r="F11145">
        <v>113.78333333333333</v>
      </c>
    </row>
    <row r="11146" spans="1:6" x14ac:dyDescent="0.25">
      <c r="A11146" s="1">
        <v>42370</v>
      </c>
      <c r="B11146" t="s">
        <v>20</v>
      </c>
      <c r="C11146" t="s">
        <v>9</v>
      </c>
      <c r="D11146">
        <v>42</v>
      </c>
      <c r="E11146" s="2">
        <v>2.9953703703703705E-2</v>
      </c>
      <c r="F11146">
        <v>43.133333333333333</v>
      </c>
    </row>
    <row r="11147" spans="1:6" x14ac:dyDescent="0.25">
      <c r="A11147" s="1">
        <v>42370</v>
      </c>
      <c r="B11147" t="s">
        <v>20</v>
      </c>
      <c r="C11147" t="s">
        <v>10</v>
      </c>
      <c r="D11147">
        <v>24</v>
      </c>
      <c r="E11147" s="2">
        <v>2.7488425925925927E-2</v>
      </c>
      <c r="F11147">
        <v>39.583333333333336</v>
      </c>
    </row>
    <row r="11148" spans="1:6" x14ac:dyDescent="0.25">
      <c r="A11148" s="1">
        <v>42370</v>
      </c>
      <c r="B11148" t="s">
        <v>20</v>
      </c>
      <c r="C11148" t="s">
        <v>11</v>
      </c>
      <c r="D11148">
        <v>57</v>
      </c>
      <c r="E11148" s="2">
        <v>5.4895833333333331E-2</v>
      </c>
      <c r="F11148">
        <v>79.05</v>
      </c>
    </row>
    <row r="11149" spans="1:6" x14ac:dyDescent="0.25">
      <c r="A11149" s="1">
        <v>42370</v>
      </c>
      <c r="B11149" t="s">
        <v>21</v>
      </c>
      <c r="C11149" t="s">
        <v>6</v>
      </c>
      <c r="D11149">
        <v>23</v>
      </c>
      <c r="E11149" s="2">
        <v>3.2708333333333332E-2</v>
      </c>
      <c r="F11149">
        <v>47.1</v>
      </c>
    </row>
    <row r="11150" spans="1:6" x14ac:dyDescent="0.25">
      <c r="A11150" s="1">
        <v>42370</v>
      </c>
      <c r="B11150" t="s">
        <v>21</v>
      </c>
      <c r="C11150" t="s">
        <v>7</v>
      </c>
      <c r="D11150">
        <v>24</v>
      </c>
      <c r="E11150" s="2">
        <v>2.5578703703703704E-2</v>
      </c>
      <c r="F11150">
        <v>36.833333333333336</v>
      </c>
    </row>
    <row r="11151" spans="1:6" x14ac:dyDescent="0.25">
      <c r="A11151" s="1">
        <v>42370</v>
      </c>
      <c r="B11151" t="s">
        <v>21</v>
      </c>
      <c r="C11151" t="s">
        <v>8</v>
      </c>
      <c r="D11151">
        <v>23</v>
      </c>
      <c r="E11151" s="2">
        <v>2.7175925925925926E-2</v>
      </c>
      <c r="F11151">
        <v>39.133333333333333</v>
      </c>
    </row>
    <row r="11152" spans="1:6" x14ac:dyDescent="0.25">
      <c r="A11152" s="1">
        <v>42370</v>
      </c>
      <c r="B11152" t="s">
        <v>21</v>
      </c>
      <c r="C11152" t="s">
        <v>9</v>
      </c>
      <c r="D11152">
        <v>7</v>
      </c>
      <c r="E11152" s="2">
        <v>3.5416666666666665E-3</v>
      </c>
      <c r="F11152">
        <v>5.0999999999999996</v>
      </c>
    </row>
    <row r="11153" spans="1:6" x14ac:dyDescent="0.25">
      <c r="A11153" s="1">
        <v>42370</v>
      </c>
      <c r="B11153" t="s">
        <v>21</v>
      </c>
      <c r="C11153" t="s">
        <v>10</v>
      </c>
      <c r="D11153">
        <v>6</v>
      </c>
      <c r="E11153" s="2">
        <v>1.0069444444444445E-2</v>
      </c>
      <c r="F11153">
        <v>14.5</v>
      </c>
    </row>
    <row r="11154" spans="1:6" x14ac:dyDescent="0.25">
      <c r="A11154" s="1">
        <v>42370</v>
      </c>
      <c r="B11154" t="s">
        <v>21</v>
      </c>
      <c r="C11154" t="s">
        <v>11</v>
      </c>
      <c r="D11154">
        <v>18</v>
      </c>
      <c r="E11154" s="2">
        <v>1.9456018518518518E-2</v>
      </c>
      <c r="F11154">
        <v>28.016666666666666</v>
      </c>
    </row>
    <row r="11155" spans="1:6" x14ac:dyDescent="0.25">
      <c r="A11155" s="1">
        <v>42370</v>
      </c>
      <c r="B11155" t="s">
        <v>22</v>
      </c>
      <c r="C11155" t="s">
        <v>6</v>
      </c>
      <c r="D11155">
        <v>12</v>
      </c>
      <c r="E11155" s="2">
        <v>1.7685185185185186E-2</v>
      </c>
      <c r="F11155">
        <v>25.466666666666665</v>
      </c>
    </row>
    <row r="11156" spans="1:6" x14ac:dyDescent="0.25">
      <c r="A11156" s="1">
        <v>42370</v>
      </c>
      <c r="B11156" t="s">
        <v>22</v>
      </c>
      <c r="C11156" t="s">
        <v>7</v>
      </c>
      <c r="D11156">
        <v>7</v>
      </c>
      <c r="E11156" s="2">
        <v>1.1157407407407408E-2</v>
      </c>
      <c r="F11156">
        <v>16.066666666666666</v>
      </c>
    </row>
    <row r="11157" spans="1:6" x14ac:dyDescent="0.25">
      <c r="A11157" s="1">
        <v>42370</v>
      </c>
      <c r="B11157" t="s">
        <v>22</v>
      </c>
      <c r="C11157" t="s">
        <v>8</v>
      </c>
      <c r="D11157">
        <v>7</v>
      </c>
      <c r="E11157" s="2">
        <v>6.9675925925925929E-3</v>
      </c>
      <c r="F11157">
        <v>10.033333333333333</v>
      </c>
    </row>
    <row r="11158" spans="1:6" x14ac:dyDescent="0.25">
      <c r="A11158" s="1">
        <v>42370</v>
      </c>
      <c r="B11158" t="s">
        <v>22</v>
      </c>
      <c r="C11158" t="s">
        <v>9</v>
      </c>
      <c r="D11158">
        <v>5</v>
      </c>
      <c r="E11158" s="2">
        <v>4.9768518518518521E-3</v>
      </c>
      <c r="F11158">
        <v>7.166666666666667</v>
      </c>
    </row>
    <row r="11159" spans="1:6" x14ac:dyDescent="0.25">
      <c r="A11159" s="1">
        <v>42370</v>
      </c>
      <c r="B11159" t="s">
        <v>22</v>
      </c>
      <c r="C11159" t="s">
        <v>10</v>
      </c>
      <c r="D11159">
        <v>1</v>
      </c>
      <c r="E11159" s="2">
        <v>1.3888888888888889E-3</v>
      </c>
      <c r="F11159">
        <v>2</v>
      </c>
    </row>
    <row r="11160" spans="1:6" x14ac:dyDescent="0.25">
      <c r="A11160" s="1">
        <v>42370</v>
      </c>
      <c r="B11160" t="s">
        <v>22</v>
      </c>
      <c r="C11160" t="s">
        <v>11</v>
      </c>
      <c r="D11160">
        <v>10</v>
      </c>
      <c r="E11160" s="2">
        <v>1.0034722222222223E-2</v>
      </c>
      <c r="F11160">
        <v>14.45</v>
      </c>
    </row>
    <row r="11161" spans="1:6" x14ac:dyDescent="0.25">
      <c r="A11161" s="1">
        <v>42370</v>
      </c>
      <c r="B11161" t="s">
        <v>23</v>
      </c>
      <c r="C11161" t="s">
        <v>6</v>
      </c>
      <c r="D11161">
        <v>84</v>
      </c>
      <c r="E11161" s="2">
        <v>0.11871527777777778</v>
      </c>
      <c r="F11161">
        <v>170.95</v>
      </c>
    </row>
    <row r="11162" spans="1:6" x14ac:dyDescent="0.25">
      <c r="A11162" s="1">
        <v>42370</v>
      </c>
      <c r="B11162" t="s">
        <v>23</v>
      </c>
      <c r="C11162" t="s">
        <v>7</v>
      </c>
      <c r="D11162">
        <v>102</v>
      </c>
      <c r="E11162" s="2">
        <v>0.15366898148148148</v>
      </c>
      <c r="F11162">
        <v>221.28333333333333</v>
      </c>
    </row>
    <row r="11163" spans="1:6" x14ac:dyDescent="0.25">
      <c r="A11163" s="1">
        <v>42370</v>
      </c>
      <c r="B11163" t="s">
        <v>23</v>
      </c>
      <c r="C11163" t="s">
        <v>8</v>
      </c>
      <c r="D11163">
        <v>75</v>
      </c>
      <c r="E11163" s="2">
        <v>8.5277777777777772E-2</v>
      </c>
      <c r="F11163">
        <v>122.8</v>
      </c>
    </row>
    <row r="11164" spans="1:6" x14ac:dyDescent="0.25">
      <c r="A11164" s="1">
        <v>42370</v>
      </c>
      <c r="B11164" t="s">
        <v>23</v>
      </c>
      <c r="C11164" t="s">
        <v>9</v>
      </c>
      <c r="D11164">
        <v>22</v>
      </c>
      <c r="E11164" s="2">
        <v>1.474537037037037E-2</v>
      </c>
      <c r="F11164">
        <v>21.233333333333334</v>
      </c>
    </row>
    <row r="11165" spans="1:6" x14ac:dyDescent="0.25">
      <c r="A11165" s="1">
        <v>42370</v>
      </c>
      <c r="B11165" t="s">
        <v>23</v>
      </c>
      <c r="C11165" t="s">
        <v>10</v>
      </c>
      <c r="D11165">
        <v>22</v>
      </c>
      <c r="E11165" s="2">
        <v>3.4618055555555555E-2</v>
      </c>
      <c r="F11165">
        <v>49.85</v>
      </c>
    </row>
    <row r="11166" spans="1:6" x14ac:dyDescent="0.25">
      <c r="A11166" s="1">
        <v>42370</v>
      </c>
      <c r="B11166" t="s">
        <v>23</v>
      </c>
      <c r="C11166" t="s">
        <v>11</v>
      </c>
      <c r="D11166">
        <v>97</v>
      </c>
      <c r="E11166" s="2">
        <v>0.10444444444444445</v>
      </c>
      <c r="F11166">
        <v>150.4</v>
      </c>
    </row>
    <row r="11167" spans="1:6" x14ac:dyDescent="0.25">
      <c r="A11167" s="1">
        <v>42370</v>
      </c>
      <c r="B11167" t="s">
        <v>24</v>
      </c>
      <c r="C11167" t="s">
        <v>6</v>
      </c>
      <c r="D11167">
        <v>27</v>
      </c>
      <c r="E11167" s="2">
        <v>2.7314814814814816E-2</v>
      </c>
      <c r="F11167">
        <v>39.333333333333336</v>
      </c>
    </row>
    <row r="11168" spans="1:6" x14ac:dyDescent="0.25">
      <c r="A11168" s="1">
        <v>42370</v>
      </c>
      <c r="B11168" t="s">
        <v>24</v>
      </c>
      <c r="C11168" t="s">
        <v>7</v>
      </c>
      <c r="D11168">
        <v>20</v>
      </c>
      <c r="E11168" s="2">
        <v>1.4953703703703703E-2</v>
      </c>
      <c r="F11168">
        <v>21.533333333333335</v>
      </c>
    </row>
    <row r="11169" spans="1:6" x14ac:dyDescent="0.25">
      <c r="A11169" s="1">
        <v>42370</v>
      </c>
      <c r="B11169" t="s">
        <v>24</v>
      </c>
      <c r="C11169" t="s">
        <v>8</v>
      </c>
      <c r="D11169">
        <v>15</v>
      </c>
      <c r="E11169" s="2">
        <v>6.6319444444444446E-3</v>
      </c>
      <c r="F11169">
        <v>9.5500000000000007</v>
      </c>
    </row>
    <row r="11170" spans="1:6" x14ac:dyDescent="0.25">
      <c r="A11170" s="1">
        <v>42370</v>
      </c>
      <c r="B11170" t="s">
        <v>24</v>
      </c>
      <c r="C11170" t="s">
        <v>9</v>
      </c>
      <c r="D11170">
        <v>10</v>
      </c>
      <c r="E11170" s="2">
        <v>7.1643518518518514E-3</v>
      </c>
      <c r="F11170">
        <v>10.316666666666666</v>
      </c>
    </row>
    <row r="11171" spans="1:6" x14ac:dyDescent="0.25">
      <c r="A11171" s="1">
        <v>42370</v>
      </c>
      <c r="B11171" t="s">
        <v>24</v>
      </c>
      <c r="C11171" t="s">
        <v>10</v>
      </c>
      <c r="D11171">
        <v>0</v>
      </c>
      <c r="E11171" s="2">
        <v>0</v>
      </c>
      <c r="F11171">
        <v>0</v>
      </c>
    </row>
    <row r="11172" spans="1:6" x14ac:dyDescent="0.25">
      <c r="A11172" s="1">
        <v>42370</v>
      </c>
      <c r="B11172" t="s">
        <v>24</v>
      </c>
      <c r="C11172" t="s">
        <v>11</v>
      </c>
      <c r="D11172">
        <v>14</v>
      </c>
      <c r="E11172" s="2">
        <v>1.0416666666666666E-2</v>
      </c>
      <c r="F11172">
        <v>15</v>
      </c>
    </row>
    <row r="11173" spans="1:6" x14ac:dyDescent="0.25">
      <c r="A11173" s="1">
        <v>42401</v>
      </c>
      <c r="B11173" t="s">
        <v>5</v>
      </c>
      <c r="C11173" t="s">
        <v>6</v>
      </c>
      <c r="D11173">
        <v>41</v>
      </c>
      <c r="E11173" s="2">
        <v>3.8831018518518522E-2</v>
      </c>
      <c r="F11173">
        <v>55.916666666666664</v>
      </c>
    </row>
    <row r="11174" spans="1:6" x14ac:dyDescent="0.25">
      <c r="A11174" s="1">
        <v>42401</v>
      </c>
      <c r="B11174" t="s">
        <v>5</v>
      </c>
      <c r="C11174" t="s">
        <v>7</v>
      </c>
      <c r="D11174">
        <v>49</v>
      </c>
      <c r="E11174" s="2">
        <v>3.9097222222222221E-2</v>
      </c>
      <c r="F11174">
        <v>56.3</v>
      </c>
    </row>
    <row r="11175" spans="1:6" x14ac:dyDescent="0.25">
      <c r="A11175" s="1">
        <v>42401</v>
      </c>
      <c r="B11175" t="s">
        <v>5</v>
      </c>
      <c r="C11175" t="s">
        <v>8</v>
      </c>
      <c r="D11175">
        <v>42</v>
      </c>
      <c r="E11175" s="2">
        <v>3.8530092592592595E-2</v>
      </c>
      <c r="F11175">
        <v>55.483333333333334</v>
      </c>
    </row>
    <row r="11176" spans="1:6" x14ac:dyDescent="0.25">
      <c r="A11176" s="1">
        <v>42401</v>
      </c>
      <c r="B11176" t="s">
        <v>5</v>
      </c>
      <c r="C11176" t="s">
        <v>9</v>
      </c>
      <c r="D11176">
        <v>8</v>
      </c>
      <c r="E11176" s="2">
        <v>7.1643518518518514E-3</v>
      </c>
      <c r="F11176">
        <v>10.316666666666666</v>
      </c>
    </row>
    <row r="11177" spans="1:6" x14ac:dyDescent="0.25">
      <c r="A11177" s="1">
        <v>42401</v>
      </c>
      <c r="B11177" t="s">
        <v>5</v>
      </c>
      <c r="C11177" t="s">
        <v>10</v>
      </c>
      <c r="D11177">
        <v>5</v>
      </c>
      <c r="E11177" s="2">
        <v>4.1898148148148146E-3</v>
      </c>
      <c r="F11177">
        <v>6.0333333333333332</v>
      </c>
    </row>
    <row r="11178" spans="1:6" x14ac:dyDescent="0.25">
      <c r="A11178" s="1">
        <v>42401</v>
      </c>
      <c r="B11178" t="s">
        <v>5</v>
      </c>
      <c r="C11178" t="s">
        <v>11</v>
      </c>
      <c r="D11178">
        <v>47</v>
      </c>
      <c r="E11178" s="2">
        <v>3.4074074074074076E-2</v>
      </c>
      <c r="F11178">
        <v>49.06666666666667</v>
      </c>
    </row>
    <row r="11179" spans="1:6" x14ac:dyDescent="0.25">
      <c r="A11179" s="1">
        <v>42401</v>
      </c>
      <c r="B11179" t="s">
        <v>12</v>
      </c>
      <c r="C11179" t="s">
        <v>6</v>
      </c>
      <c r="D11179">
        <v>43</v>
      </c>
      <c r="E11179" s="2">
        <v>7.0694444444444449E-2</v>
      </c>
      <c r="F11179">
        <v>101.8</v>
      </c>
    </row>
    <row r="11180" spans="1:6" x14ac:dyDescent="0.25">
      <c r="A11180" s="1">
        <v>42401</v>
      </c>
      <c r="B11180" t="s">
        <v>12</v>
      </c>
      <c r="C11180" t="s">
        <v>7</v>
      </c>
      <c r="D11180">
        <v>33</v>
      </c>
      <c r="E11180" s="2">
        <v>6.6608796296296291E-2</v>
      </c>
      <c r="F11180">
        <v>95.916666666666671</v>
      </c>
    </row>
    <row r="11181" spans="1:6" x14ac:dyDescent="0.25">
      <c r="A11181" s="1">
        <v>42401</v>
      </c>
      <c r="B11181" t="s">
        <v>12</v>
      </c>
      <c r="C11181" t="s">
        <v>8</v>
      </c>
      <c r="D11181">
        <v>21</v>
      </c>
      <c r="E11181" s="2">
        <v>2.9039351851851851E-2</v>
      </c>
      <c r="F11181">
        <v>41.81666666666667</v>
      </c>
    </row>
    <row r="11182" spans="1:6" x14ac:dyDescent="0.25">
      <c r="A11182" s="1">
        <v>42401</v>
      </c>
      <c r="B11182" t="s">
        <v>12</v>
      </c>
      <c r="C11182" t="s">
        <v>9</v>
      </c>
      <c r="D11182">
        <v>8</v>
      </c>
      <c r="E11182" s="2">
        <v>7.0254629629629634E-3</v>
      </c>
      <c r="F11182">
        <v>10.116666666666667</v>
      </c>
    </row>
    <row r="11183" spans="1:6" x14ac:dyDescent="0.25">
      <c r="A11183" s="1">
        <v>42401</v>
      </c>
      <c r="B11183" t="s">
        <v>12</v>
      </c>
      <c r="C11183" t="s">
        <v>10</v>
      </c>
      <c r="D11183">
        <v>31</v>
      </c>
      <c r="E11183" s="2">
        <v>5.6562500000000002E-2</v>
      </c>
      <c r="F11183">
        <v>81.45</v>
      </c>
    </row>
    <row r="11184" spans="1:6" x14ac:dyDescent="0.25">
      <c r="A11184" s="1">
        <v>42401</v>
      </c>
      <c r="B11184" t="s">
        <v>12</v>
      </c>
      <c r="C11184" t="s">
        <v>11</v>
      </c>
      <c r="D11184">
        <v>54</v>
      </c>
      <c r="E11184" s="2">
        <v>6.9594907407407411E-2</v>
      </c>
      <c r="F11184">
        <v>100.21666666666667</v>
      </c>
    </row>
    <row r="11185" spans="1:6" x14ac:dyDescent="0.25">
      <c r="A11185" s="1">
        <v>42401</v>
      </c>
      <c r="B11185" t="s">
        <v>13</v>
      </c>
      <c r="C11185" t="s">
        <v>6</v>
      </c>
      <c r="D11185">
        <v>75</v>
      </c>
      <c r="E11185" s="2">
        <v>0.10815972222222223</v>
      </c>
      <c r="F11185">
        <v>155.75</v>
      </c>
    </row>
    <row r="11186" spans="1:6" x14ac:dyDescent="0.25">
      <c r="A11186" s="1">
        <v>42401</v>
      </c>
      <c r="B11186" t="s">
        <v>13</v>
      </c>
      <c r="C11186" t="s">
        <v>7</v>
      </c>
      <c r="D11186">
        <v>86</v>
      </c>
      <c r="E11186" s="2">
        <v>0.13891203703703703</v>
      </c>
      <c r="F11186">
        <v>200.03333333333333</v>
      </c>
    </row>
    <row r="11187" spans="1:6" x14ac:dyDescent="0.25">
      <c r="A11187" s="1">
        <v>42401</v>
      </c>
      <c r="B11187" t="s">
        <v>13</v>
      </c>
      <c r="C11187" t="s">
        <v>8</v>
      </c>
      <c r="D11187">
        <v>58</v>
      </c>
      <c r="E11187" s="2">
        <v>7.7152777777777778E-2</v>
      </c>
      <c r="F11187">
        <v>111.1</v>
      </c>
    </row>
    <row r="11188" spans="1:6" x14ac:dyDescent="0.25">
      <c r="A11188" s="1">
        <v>42401</v>
      </c>
      <c r="B11188" t="s">
        <v>13</v>
      </c>
      <c r="C11188" t="s">
        <v>9</v>
      </c>
      <c r="D11188">
        <v>10</v>
      </c>
      <c r="E11188" s="2">
        <v>6.4814814814814813E-3</v>
      </c>
      <c r="F11188">
        <v>9.3333333333333339</v>
      </c>
    </row>
    <row r="11189" spans="1:6" x14ac:dyDescent="0.25">
      <c r="A11189" s="1">
        <v>42401</v>
      </c>
      <c r="B11189" t="s">
        <v>13</v>
      </c>
      <c r="C11189" t="s">
        <v>10</v>
      </c>
      <c r="D11189">
        <v>12</v>
      </c>
      <c r="E11189" s="2">
        <v>1.5150462962962963E-2</v>
      </c>
      <c r="F11189">
        <v>21.816666666666666</v>
      </c>
    </row>
    <row r="11190" spans="1:6" x14ac:dyDescent="0.25">
      <c r="A11190" s="1">
        <v>42401</v>
      </c>
      <c r="B11190" t="s">
        <v>13</v>
      </c>
      <c r="C11190" t="s">
        <v>11</v>
      </c>
      <c r="D11190">
        <v>47</v>
      </c>
      <c r="E11190" s="2">
        <v>5.4444444444444441E-2</v>
      </c>
      <c r="F11190">
        <v>78.400000000000006</v>
      </c>
    </row>
    <row r="11191" spans="1:6" x14ac:dyDescent="0.25">
      <c r="A11191" s="1">
        <v>42401</v>
      </c>
      <c r="B11191" t="s">
        <v>14</v>
      </c>
      <c r="C11191" t="s">
        <v>6</v>
      </c>
      <c r="D11191">
        <v>10</v>
      </c>
      <c r="E11191" s="2">
        <v>1.6712962962962964E-2</v>
      </c>
      <c r="F11191">
        <v>24.066666666666666</v>
      </c>
    </row>
    <row r="11192" spans="1:6" x14ac:dyDescent="0.25">
      <c r="A11192" s="1">
        <v>42401</v>
      </c>
      <c r="B11192" t="s">
        <v>14</v>
      </c>
      <c r="C11192" t="s">
        <v>7</v>
      </c>
      <c r="D11192">
        <v>3</v>
      </c>
      <c r="E11192" s="2">
        <v>6.6666666666666671E-3</v>
      </c>
      <c r="F11192">
        <v>9.6</v>
      </c>
    </row>
    <row r="11193" spans="1:6" x14ac:dyDescent="0.25">
      <c r="A11193" s="1">
        <v>42401</v>
      </c>
      <c r="B11193" t="s">
        <v>14</v>
      </c>
      <c r="C11193" t="s">
        <v>8</v>
      </c>
      <c r="D11193">
        <v>2</v>
      </c>
      <c r="E11193" s="2">
        <v>2.8472222222222223E-3</v>
      </c>
      <c r="F11193">
        <v>4.0999999999999996</v>
      </c>
    </row>
    <row r="11194" spans="1:6" x14ac:dyDescent="0.25">
      <c r="A11194" s="1">
        <v>42401</v>
      </c>
      <c r="B11194" t="s">
        <v>14</v>
      </c>
      <c r="C11194" t="s">
        <v>9</v>
      </c>
      <c r="D11194">
        <v>1</v>
      </c>
      <c r="E11194" s="2">
        <v>1.1574074074074073E-3</v>
      </c>
      <c r="F11194">
        <v>1.6666666666666665</v>
      </c>
    </row>
    <row r="11195" spans="1:6" x14ac:dyDescent="0.25">
      <c r="A11195" s="1">
        <v>42401</v>
      </c>
      <c r="B11195" t="s">
        <v>14</v>
      </c>
      <c r="C11195" t="s">
        <v>10</v>
      </c>
      <c r="D11195">
        <v>0</v>
      </c>
      <c r="E11195" s="2">
        <v>0</v>
      </c>
      <c r="F11195">
        <v>0</v>
      </c>
    </row>
    <row r="11196" spans="1:6" x14ac:dyDescent="0.25">
      <c r="A11196" s="1">
        <v>42401</v>
      </c>
      <c r="B11196" t="s">
        <v>14</v>
      </c>
      <c r="C11196" t="s">
        <v>11</v>
      </c>
      <c r="D11196">
        <v>6</v>
      </c>
      <c r="E11196" s="2">
        <v>7.5694444444444446E-3</v>
      </c>
      <c r="F11196">
        <v>10.9</v>
      </c>
    </row>
    <row r="11197" spans="1:6" x14ac:dyDescent="0.25">
      <c r="A11197" s="1">
        <v>42401</v>
      </c>
      <c r="B11197" t="s">
        <v>15</v>
      </c>
      <c r="C11197" t="s">
        <v>6</v>
      </c>
      <c r="D11197">
        <v>14</v>
      </c>
      <c r="E11197" s="2">
        <v>1.7812499999999998E-2</v>
      </c>
      <c r="F11197">
        <v>25.65</v>
      </c>
    </row>
    <row r="11198" spans="1:6" x14ac:dyDescent="0.25">
      <c r="A11198" s="1">
        <v>42401</v>
      </c>
      <c r="B11198" t="s">
        <v>15</v>
      </c>
      <c r="C11198" t="s">
        <v>7</v>
      </c>
      <c r="D11198">
        <v>20</v>
      </c>
      <c r="E11198" s="2">
        <v>3.0879629629629628E-2</v>
      </c>
      <c r="F11198">
        <v>44.466666666666669</v>
      </c>
    </row>
    <row r="11199" spans="1:6" x14ac:dyDescent="0.25">
      <c r="A11199" s="1">
        <v>42401</v>
      </c>
      <c r="B11199" t="s">
        <v>15</v>
      </c>
      <c r="C11199" t="s">
        <v>8</v>
      </c>
      <c r="D11199">
        <v>9</v>
      </c>
      <c r="E11199" s="2">
        <v>1.03125E-2</v>
      </c>
      <c r="F11199">
        <v>14.85</v>
      </c>
    </row>
    <row r="11200" spans="1:6" x14ac:dyDescent="0.25">
      <c r="A11200" s="1">
        <v>42401</v>
      </c>
      <c r="B11200" t="s">
        <v>15</v>
      </c>
      <c r="C11200" t="s">
        <v>9</v>
      </c>
      <c r="D11200">
        <v>0</v>
      </c>
      <c r="E11200" s="2">
        <v>0</v>
      </c>
      <c r="F11200">
        <v>0</v>
      </c>
    </row>
    <row r="11201" spans="1:6" x14ac:dyDescent="0.25">
      <c r="A11201" s="1">
        <v>42401</v>
      </c>
      <c r="B11201" t="s">
        <v>15</v>
      </c>
      <c r="C11201" t="s">
        <v>10</v>
      </c>
      <c r="D11201">
        <v>3</v>
      </c>
      <c r="E11201" s="2">
        <v>3.8657407407407408E-3</v>
      </c>
      <c r="F11201">
        <v>5.5666666666666664</v>
      </c>
    </row>
    <row r="11202" spans="1:6" x14ac:dyDescent="0.25">
      <c r="A11202" s="1">
        <v>42401</v>
      </c>
      <c r="B11202" t="s">
        <v>15</v>
      </c>
      <c r="C11202" t="s">
        <v>11</v>
      </c>
      <c r="D11202">
        <v>9</v>
      </c>
      <c r="E11202" s="2">
        <v>9.780092592592592E-3</v>
      </c>
      <c r="F11202">
        <v>14.083333333333334</v>
      </c>
    </row>
    <row r="11203" spans="1:6" x14ac:dyDescent="0.25">
      <c r="A11203" s="1">
        <v>42401</v>
      </c>
      <c r="B11203" t="s">
        <v>16</v>
      </c>
      <c r="C11203" t="s">
        <v>6</v>
      </c>
      <c r="D11203">
        <v>12</v>
      </c>
      <c r="E11203" s="2">
        <v>1.2233796296296296E-2</v>
      </c>
      <c r="F11203">
        <v>17.616666666666667</v>
      </c>
    </row>
    <row r="11204" spans="1:6" x14ac:dyDescent="0.25">
      <c r="A11204" s="1">
        <v>42401</v>
      </c>
      <c r="B11204" t="s">
        <v>16</v>
      </c>
      <c r="C11204" t="s">
        <v>7</v>
      </c>
      <c r="D11204">
        <v>14</v>
      </c>
      <c r="E11204" s="2">
        <v>1.5613425925925926E-2</v>
      </c>
      <c r="F11204">
        <v>22.483333333333334</v>
      </c>
    </row>
    <row r="11205" spans="1:6" x14ac:dyDescent="0.25">
      <c r="A11205" s="1">
        <v>42401</v>
      </c>
      <c r="B11205" t="s">
        <v>16</v>
      </c>
      <c r="C11205" t="s">
        <v>8</v>
      </c>
      <c r="D11205">
        <v>16</v>
      </c>
      <c r="E11205" s="2">
        <v>1.6446759259259258E-2</v>
      </c>
      <c r="F11205">
        <v>23.683333333333334</v>
      </c>
    </row>
    <row r="11206" spans="1:6" x14ac:dyDescent="0.25">
      <c r="A11206" s="1">
        <v>42401</v>
      </c>
      <c r="B11206" t="s">
        <v>16</v>
      </c>
      <c r="C11206" t="s">
        <v>9</v>
      </c>
      <c r="D11206">
        <v>3</v>
      </c>
      <c r="E11206" s="2">
        <v>1.5162037037037036E-3</v>
      </c>
      <c r="F11206">
        <v>2.1833333333333331</v>
      </c>
    </row>
    <row r="11207" spans="1:6" x14ac:dyDescent="0.25">
      <c r="A11207" s="1">
        <v>42401</v>
      </c>
      <c r="B11207" t="s">
        <v>16</v>
      </c>
      <c r="C11207" t="s">
        <v>10</v>
      </c>
      <c r="D11207">
        <v>6</v>
      </c>
      <c r="E11207" s="2">
        <v>6.8865740740740745E-3</v>
      </c>
      <c r="F11207">
        <v>9.9166666666666661</v>
      </c>
    </row>
    <row r="11208" spans="1:6" x14ac:dyDescent="0.25">
      <c r="A11208" s="1">
        <v>42401</v>
      </c>
      <c r="B11208" t="s">
        <v>16</v>
      </c>
      <c r="C11208" t="s">
        <v>11</v>
      </c>
      <c r="D11208">
        <v>27</v>
      </c>
      <c r="E11208" s="2">
        <v>2.4756944444444446E-2</v>
      </c>
      <c r="F11208">
        <v>35.65</v>
      </c>
    </row>
    <row r="11209" spans="1:6" x14ac:dyDescent="0.25">
      <c r="A11209" s="1">
        <v>42401</v>
      </c>
      <c r="B11209" t="s">
        <v>17</v>
      </c>
      <c r="C11209" t="s">
        <v>6</v>
      </c>
      <c r="D11209">
        <v>8</v>
      </c>
      <c r="E11209" s="2">
        <v>1.3148148148148148E-2</v>
      </c>
      <c r="F11209">
        <v>18.933333333333334</v>
      </c>
    </row>
    <row r="11210" spans="1:6" x14ac:dyDescent="0.25">
      <c r="A11210" s="1">
        <v>42401</v>
      </c>
      <c r="B11210" t="s">
        <v>17</v>
      </c>
      <c r="C11210" t="s">
        <v>7</v>
      </c>
      <c r="D11210">
        <v>9</v>
      </c>
      <c r="E11210" s="2">
        <v>1.1018518518518518E-2</v>
      </c>
      <c r="F11210">
        <v>15.866666666666667</v>
      </c>
    </row>
    <row r="11211" spans="1:6" x14ac:dyDescent="0.25">
      <c r="A11211" s="1">
        <v>42401</v>
      </c>
      <c r="B11211" t="s">
        <v>17</v>
      </c>
      <c r="C11211" t="s">
        <v>8</v>
      </c>
      <c r="D11211">
        <v>6</v>
      </c>
      <c r="E11211" s="2">
        <v>7.8935185185185185E-3</v>
      </c>
      <c r="F11211">
        <v>11.366666666666667</v>
      </c>
    </row>
    <row r="11212" spans="1:6" x14ac:dyDescent="0.25">
      <c r="A11212" s="1">
        <v>42401</v>
      </c>
      <c r="B11212" t="s">
        <v>17</v>
      </c>
      <c r="C11212" t="s">
        <v>9</v>
      </c>
      <c r="D11212">
        <v>5</v>
      </c>
      <c r="E11212" s="2">
        <v>2.1296296296296298E-3</v>
      </c>
      <c r="F11212">
        <v>3.0666666666666669</v>
      </c>
    </row>
    <row r="11213" spans="1:6" x14ac:dyDescent="0.25">
      <c r="A11213" s="1">
        <v>42401</v>
      </c>
      <c r="B11213" t="s">
        <v>17</v>
      </c>
      <c r="C11213" t="s">
        <v>10</v>
      </c>
      <c r="D11213">
        <v>7</v>
      </c>
      <c r="E11213" s="2">
        <v>5.5555555555555558E-3</v>
      </c>
      <c r="F11213">
        <v>8</v>
      </c>
    </row>
    <row r="11214" spans="1:6" x14ac:dyDescent="0.25">
      <c r="A11214" s="1">
        <v>42401</v>
      </c>
      <c r="B11214" t="s">
        <v>17</v>
      </c>
      <c r="C11214" t="s">
        <v>11</v>
      </c>
      <c r="D11214">
        <v>3</v>
      </c>
      <c r="E11214" s="2">
        <v>2.9629629629629628E-3</v>
      </c>
      <c r="F11214">
        <v>4.2666666666666666</v>
      </c>
    </row>
    <row r="11215" spans="1:6" x14ac:dyDescent="0.25">
      <c r="A11215" s="1">
        <v>42401</v>
      </c>
      <c r="B11215" t="s">
        <v>18</v>
      </c>
      <c r="C11215" t="s">
        <v>6</v>
      </c>
      <c r="D11215">
        <v>63</v>
      </c>
      <c r="E11215" s="2">
        <v>7.4143518518518525E-2</v>
      </c>
      <c r="F11215">
        <v>106.76666666666667</v>
      </c>
    </row>
    <row r="11216" spans="1:6" x14ac:dyDescent="0.25">
      <c r="A11216" s="1">
        <v>42401</v>
      </c>
      <c r="B11216" t="s">
        <v>18</v>
      </c>
      <c r="C11216" t="s">
        <v>7</v>
      </c>
      <c r="D11216">
        <v>113</v>
      </c>
      <c r="E11216" s="2">
        <v>0.10449074074074075</v>
      </c>
      <c r="F11216">
        <v>150.46666666666667</v>
      </c>
    </row>
    <row r="11217" spans="1:6" x14ac:dyDescent="0.25">
      <c r="A11217" s="1">
        <v>42401</v>
      </c>
      <c r="B11217" t="s">
        <v>18</v>
      </c>
      <c r="C11217" t="s">
        <v>8</v>
      </c>
      <c r="D11217">
        <v>34</v>
      </c>
      <c r="E11217" s="2">
        <v>3.6840277777777777E-2</v>
      </c>
      <c r="F11217">
        <v>53.05</v>
      </c>
    </row>
    <row r="11218" spans="1:6" x14ac:dyDescent="0.25">
      <c r="A11218" s="1">
        <v>42401</v>
      </c>
      <c r="B11218" t="s">
        <v>18</v>
      </c>
      <c r="C11218" t="s">
        <v>9</v>
      </c>
      <c r="D11218">
        <v>50</v>
      </c>
      <c r="E11218" s="2">
        <v>3.7708333333333337E-2</v>
      </c>
      <c r="F11218">
        <v>54.3</v>
      </c>
    </row>
    <row r="11219" spans="1:6" x14ac:dyDescent="0.25">
      <c r="A11219" s="1">
        <v>42401</v>
      </c>
      <c r="B11219" t="s">
        <v>18</v>
      </c>
      <c r="C11219" t="s">
        <v>10</v>
      </c>
      <c r="D11219">
        <v>122</v>
      </c>
      <c r="E11219" s="2">
        <v>0.14831018518518518</v>
      </c>
      <c r="F11219">
        <v>213.56666666666666</v>
      </c>
    </row>
    <row r="11220" spans="1:6" x14ac:dyDescent="0.25">
      <c r="A11220" s="1">
        <v>42401</v>
      </c>
      <c r="B11220" t="s">
        <v>18</v>
      </c>
      <c r="C11220" t="s">
        <v>11</v>
      </c>
      <c r="D11220">
        <v>50</v>
      </c>
      <c r="E11220" s="2">
        <v>4.0625000000000001E-2</v>
      </c>
      <c r="F11220">
        <v>58.5</v>
      </c>
    </row>
    <row r="11221" spans="1:6" x14ac:dyDescent="0.25">
      <c r="A11221" s="1">
        <v>42401</v>
      </c>
      <c r="B11221" t="s">
        <v>19</v>
      </c>
      <c r="C11221" t="s">
        <v>6</v>
      </c>
      <c r="D11221">
        <v>16</v>
      </c>
      <c r="E11221" s="2">
        <v>1.6620370370370369E-2</v>
      </c>
      <c r="F11221">
        <v>23.933333333333334</v>
      </c>
    </row>
    <row r="11222" spans="1:6" x14ac:dyDescent="0.25">
      <c r="A11222" s="1">
        <v>42401</v>
      </c>
      <c r="B11222" t="s">
        <v>19</v>
      </c>
      <c r="C11222" t="s">
        <v>7</v>
      </c>
      <c r="D11222">
        <v>23</v>
      </c>
      <c r="E11222" s="2">
        <v>2.0196759259259258E-2</v>
      </c>
      <c r="F11222">
        <v>29.083333333333332</v>
      </c>
    </row>
    <row r="11223" spans="1:6" x14ac:dyDescent="0.25">
      <c r="A11223" s="1">
        <v>42401</v>
      </c>
      <c r="B11223" t="s">
        <v>19</v>
      </c>
      <c r="C11223" t="s">
        <v>8</v>
      </c>
      <c r="D11223">
        <v>23</v>
      </c>
      <c r="E11223" s="2">
        <v>2.435185185185185E-2</v>
      </c>
      <c r="F11223">
        <v>35.06666666666667</v>
      </c>
    </row>
    <row r="11224" spans="1:6" x14ac:dyDescent="0.25">
      <c r="A11224" s="1">
        <v>42401</v>
      </c>
      <c r="B11224" t="s">
        <v>19</v>
      </c>
      <c r="C11224" t="s">
        <v>9</v>
      </c>
      <c r="D11224">
        <v>15</v>
      </c>
      <c r="E11224" s="2">
        <v>7.743055555555556E-3</v>
      </c>
      <c r="F11224">
        <v>11.15</v>
      </c>
    </row>
    <row r="11225" spans="1:6" x14ac:dyDescent="0.25">
      <c r="A11225" s="1">
        <v>42401</v>
      </c>
      <c r="B11225" t="s">
        <v>19</v>
      </c>
      <c r="C11225" t="s">
        <v>10</v>
      </c>
      <c r="D11225">
        <v>5</v>
      </c>
      <c r="E11225" s="2">
        <v>8.7500000000000008E-3</v>
      </c>
      <c r="F11225">
        <v>12.6</v>
      </c>
    </row>
    <row r="11226" spans="1:6" x14ac:dyDescent="0.25">
      <c r="A11226" s="1">
        <v>42401</v>
      </c>
      <c r="B11226" t="s">
        <v>19</v>
      </c>
      <c r="C11226" t="s">
        <v>11</v>
      </c>
      <c r="D11226">
        <v>26</v>
      </c>
      <c r="E11226" s="2">
        <v>2.3900462962962964E-2</v>
      </c>
      <c r="F11226">
        <v>34.416666666666664</v>
      </c>
    </row>
    <row r="11227" spans="1:6" x14ac:dyDescent="0.25">
      <c r="A11227" s="1">
        <v>42401</v>
      </c>
      <c r="B11227" t="s">
        <v>20</v>
      </c>
      <c r="C11227" t="s">
        <v>6</v>
      </c>
      <c r="D11227">
        <v>66</v>
      </c>
      <c r="E11227" s="2">
        <v>9.8171296296296298E-2</v>
      </c>
      <c r="F11227">
        <v>141.36666666666667</v>
      </c>
    </row>
    <row r="11228" spans="1:6" x14ac:dyDescent="0.25">
      <c r="A11228" s="1">
        <v>42401</v>
      </c>
      <c r="B11228" t="s">
        <v>20</v>
      </c>
      <c r="C11228" t="s">
        <v>7</v>
      </c>
      <c r="D11228">
        <v>68</v>
      </c>
      <c r="E11228" s="2">
        <v>0.10065972222222222</v>
      </c>
      <c r="F11228">
        <v>144.94999999999999</v>
      </c>
    </row>
    <row r="11229" spans="1:6" x14ac:dyDescent="0.25">
      <c r="A11229" s="1">
        <v>42401</v>
      </c>
      <c r="B11229" t="s">
        <v>20</v>
      </c>
      <c r="C11229" t="s">
        <v>8</v>
      </c>
      <c r="D11229">
        <v>57</v>
      </c>
      <c r="E11229" s="2">
        <v>5.7048611111111112E-2</v>
      </c>
      <c r="F11229">
        <v>82.15</v>
      </c>
    </row>
    <row r="11230" spans="1:6" x14ac:dyDescent="0.25">
      <c r="A11230" s="1">
        <v>42401</v>
      </c>
      <c r="B11230" t="s">
        <v>20</v>
      </c>
      <c r="C11230" t="s">
        <v>9</v>
      </c>
      <c r="D11230">
        <v>41</v>
      </c>
      <c r="E11230" s="2">
        <v>3.1041666666666665E-2</v>
      </c>
      <c r="F11230">
        <v>44.7</v>
      </c>
    </row>
    <row r="11231" spans="1:6" x14ac:dyDescent="0.25">
      <c r="A11231" s="1">
        <v>42401</v>
      </c>
      <c r="B11231" t="s">
        <v>20</v>
      </c>
      <c r="C11231" t="s">
        <v>10</v>
      </c>
      <c r="D11231">
        <v>15</v>
      </c>
      <c r="E11231" s="2">
        <v>1.8344907407407407E-2</v>
      </c>
      <c r="F11231">
        <v>26.416666666666668</v>
      </c>
    </row>
    <row r="11232" spans="1:6" x14ac:dyDescent="0.25">
      <c r="A11232" s="1">
        <v>42401</v>
      </c>
      <c r="B11232" t="s">
        <v>20</v>
      </c>
      <c r="C11232" t="s">
        <v>11</v>
      </c>
      <c r="D11232">
        <v>46</v>
      </c>
      <c r="E11232" s="2">
        <v>3.9629629629629633E-2</v>
      </c>
      <c r="F11232">
        <v>57.06666666666667</v>
      </c>
    </row>
    <row r="11233" spans="1:6" x14ac:dyDescent="0.25">
      <c r="A11233" s="1">
        <v>42401</v>
      </c>
      <c r="B11233" t="s">
        <v>21</v>
      </c>
      <c r="C11233" t="s">
        <v>6</v>
      </c>
      <c r="D11233">
        <v>20</v>
      </c>
      <c r="E11233" s="2">
        <v>3.2326388888888891E-2</v>
      </c>
      <c r="F11233">
        <v>46.55</v>
      </c>
    </row>
    <row r="11234" spans="1:6" x14ac:dyDescent="0.25">
      <c r="A11234" s="1">
        <v>42401</v>
      </c>
      <c r="B11234" t="s">
        <v>21</v>
      </c>
      <c r="C11234" t="s">
        <v>7</v>
      </c>
      <c r="D11234">
        <v>9</v>
      </c>
      <c r="E11234" s="2">
        <v>1.6041666666666666E-2</v>
      </c>
      <c r="F11234">
        <v>23.1</v>
      </c>
    </row>
    <row r="11235" spans="1:6" x14ac:dyDescent="0.25">
      <c r="A11235" s="1">
        <v>42401</v>
      </c>
      <c r="B11235" t="s">
        <v>21</v>
      </c>
      <c r="C11235" t="s">
        <v>8</v>
      </c>
      <c r="D11235">
        <v>8</v>
      </c>
      <c r="E11235" s="2">
        <v>8.8310185185185193E-3</v>
      </c>
      <c r="F11235">
        <v>12.716666666666667</v>
      </c>
    </row>
    <row r="11236" spans="1:6" x14ac:dyDescent="0.25">
      <c r="A11236" s="1">
        <v>42401</v>
      </c>
      <c r="B11236" t="s">
        <v>21</v>
      </c>
      <c r="C11236" t="s">
        <v>9</v>
      </c>
      <c r="D11236">
        <v>7</v>
      </c>
      <c r="E11236" s="2">
        <v>4.2708333333333331E-3</v>
      </c>
      <c r="F11236">
        <v>6.15</v>
      </c>
    </row>
    <row r="11237" spans="1:6" x14ac:dyDescent="0.25">
      <c r="A11237" s="1">
        <v>42401</v>
      </c>
      <c r="B11237" t="s">
        <v>21</v>
      </c>
      <c r="C11237" t="s">
        <v>10</v>
      </c>
      <c r="D11237">
        <v>4</v>
      </c>
      <c r="E11237" s="2">
        <v>6.1689814814814819E-3</v>
      </c>
      <c r="F11237">
        <v>8.8833333333333329</v>
      </c>
    </row>
    <row r="11238" spans="1:6" x14ac:dyDescent="0.25">
      <c r="A11238" s="1">
        <v>42401</v>
      </c>
      <c r="B11238" t="s">
        <v>21</v>
      </c>
      <c r="C11238" t="s">
        <v>11</v>
      </c>
      <c r="D11238">
        <v>18</v>
      </c>
      <c r="E11238" s="2">
        <v>2.1631944444444443E-2</v>
      </c>
      <c r="F11238">
        <v>31.15</v>
      </c>
    </row>
    <row r="11239" spans="1:6" x14ac:dyDescent="0.25">
      <c r="A11239" s="1">
        <v>42401</v>
      </c>
      <c r="B11239" t="s">
        <v>22</v>
      </c>
      <c r="C11239" t="s">
        <v>6</v>
      </c>
      <c r="D11239">
        <v>12</v>
      </c>
      <c r="E11239" s="2">
        <v>1.6828703703703703E-2</v>
      </c>
      <c r="F11239">
        <v>24.233333333333334</v>
      </c>
    </row>
    <row r="11240" spans="1:6" x14ac:dyDescent="0.25">
      <c r="A11240" s="1">
        <v>42401</v>
      </c>
      <c r="B11240" t="s">
        <v>22</v>
      </c>
      <c r="C11240" t="s">
        <v>7</v>
      </c>
      <c r="D11240">
        <v>8</v>
      </c>
      <c r="E11240" s="2">
        <v>1.5752314814814816E-2</v>
      </c>
      <c r="F11240">
        <v>22.683333333333334</v>
      </c>
    </row>
    <row r="11241" spans="1:6" x14ac:dyDescent="0.25">
      <c r="A11241" s="1">
        <v>42401</v>
      </c>
      <c r="B11241" t="s">
        <v>22</v>
      </c>
      <c r="C11241" t="s">
        <v>8</v>
      </c>
      <c r="D11241">
        <v>4</v>
      </c>
      <c r="E11241" s="2">
        <v>5.5555555555555558E-3</v>
      </c>
      <c r="F11241">
        <v>8</v>
      </c>
    </row>
    <row r="11242" spans="1:6" x14ac:dyDescent="0.25">
      <c r="A11242" s="1">
        <v>42401</v>
      </c>
      <c r="B11242" t="s">
        <v>22</v>
      </c>
      <c r="C11242" t="s">
        <v>9</v>
      </c>
      <c r="D11242">
        <v>2</v>
      </c>
      <c r="E11242" s="2">
        <v>1.1226851851851851E-3</v>
      </c>
      <c r="F11242">
        <v>1.6166666666666667</v>
      </c>
    </row>
    <row r="11243" spans="1:6" x14ac:dyDescent="0.25">
      <c r="A11243" s="1">
        <v>42401</v>
      </c>
      <c r="B11243" t="s">
        <v>22</v>
      </c>
      <c r="C11243" t="s">
        <v>10</v>
      </c>
      <c r="D11243">
        <v>2</v>
      </c>
      <c r="E11243" s="2">
        <v>3.4837962962962965E-3</v>
      </c>
      <c r="F11243">
        <v>5.0166666666666666</v>
      </c>
    </row>
    <row r="11244" spans="1:6" x14ac:dyDescent="0.25">
      <c r="A11244" s="1">
        <v>42401</v>
      </c>
      <c r="B11244" t="s">
        <v>22</v>
      </c>
      <c r="C11244" t="s">
        <v>11</v>
      </c>
      <c r="D11244">
        <v>4</v>
      </c>
      <c r="E11244" s="2">
        <v>6.3425925925925924E-3</v>
      </c>
      <c r="F11244">
        <v>9.1333333333333329</v>
      </c>
    </row>
    <row r="11245" spans="1:6" x14ac:dyDescent="0.25">
      <c r="A11245" s="1">
        <v>42401</v>
      </c>
      <c r="B11245" t="s">
        <v>23</v>
      </c>
      <c r="C11245" t="s">
        <v>6</v>
      </c>
      <c r="D11245">
        <v>83</v>
      </c>
      <c r="E11245" s="2">
        <v>0.11765046296296296</v>
      </c>
      <c r="F11245">
        <v>169.41666666666666</v>
      </c>
    </row>
    <row r="11246" spans="1:6" x14ac:dyDescent="0.25">
      <c r="A11246" s="1">
        <v>42401</v>
      </c>
      <c r="B11246" t="s">
        <v>23</v>
      </c>
      <c r="C11246" t="s">
        <v>7</v>
      </c>
      <c r="D11246">
        <v>84</v>
      </c>
      <c r="E11246" s="2">
        <v>0.13364583333333332</v>
      </c>
      <c r="F11246">
        <v>192.45</v>
      </c>
    </row>
    <row r="11247" spans="1:6" x14ac:dyDescent="0.25">
      <c r="A11247" s="1">
        <v>42401</v>
      </c>
      <c r="B11247" t="s">
        <v>23</v>
      </c>
      <c r="C11247" t="s">
        <v>8</v>
      </c>
      <c r="D11247">
        <v>70</v>
      </c>
      <c r="E11247" s="2">
        <v>0.10107638888888888</v>
      </c>
      <c r="F11247">
        <v>145.55000000000001</v>
      </c>
    </row>
    <row r="11248" spans="1:6" x14ac:dyDescent="0.25">
      <c r="A11248" s="1">
        <v>42401</v>
      </c>
      <c r="B11248" t="s">
        <v>23</v>
      </c>
      <c r="C11248" t="s">
        <v>9</v>
      </c>
      <c r="D11248">
        <v>27</v>
      </c>
      <c r="E11248" s="2">
        <v>1.8124999999999999E-2</v>
      </c>
      <c r="F11248">
        <v>26.1</v>
      </c>
    </row>
    <row r="11249" spans="1:6" x14ac:dyDescent="0.25">
      <c r="A11249" s="1">
        <v>42401</v>
      </c>
      <c r="B11249" t="s">
        <v>23</v>
      </c>
      <c r="C11249" t="s">
        <v>10</v>
      </c>
      <c r="D11249">
        <v>22</v>
      </c>
      <c r="E11249" s="2">
        <v>3.8703703703703705E-2</v>
      </c>
      <c r="F11249">
        <v>55.733333333333334</v>
      </c>
    </row>
    <row r="11250" spans="1:6" x14ac:dyDescent="0.25">
      <c r="A11250" s="1">
        <v>42401</v>
      </c>
      <c r="B11250" t="s">
        <v>23</v>
      </c>
      <c r="C11250" t="s">
        <v>11</v>
      </c>
      <c r="D11250">
        <v>82</v>
      </c>
      <c r="E11250" s="2">
        <v>8.1053240740740745E-2</v>
      </c>
      <c r="F11250">
        <v>116.71666666666667</v>
      </c>
    </row>
    <row r="11251" spans="1:6" x14ac:dyDescent="0.25">
      <c r="A11251" s="1">
        <v>42401</v>
      </c>
      <c r="B11251" t="s">
        <v>24</v>
      </c>
      <c r="C11251" t="s">
        <v>6</v>
      </c>
      <c r="D11251">
        <v>32</v>
      </c>
      <c r="E11251" s="2">
        <v>3.515046296296296E-2</v>
      </c>
      <c r="F11251">
        <v>50.616666666666667</v>
      </c>
    </row>
    <row r="11252" spans="1:6" x14ac:dyDescent="0.25">
      <c r="A11252" s="1">
        <v>42401</v>
      </c>
      <c r="B11252" t="s">
        <v>24</v>
      </c>
      <c r="C11252" t="s">
        <v>7</v>
      </c>
      <c r="D11252">
        <v>15</v>
      </c>
      <c r="E11252" s="2">
        <v>1.3460648148148149E-2</v>
      </c>
      <c r="F11252">
        <v>19.383333333333333</v>
      </c>
    </row>
    <row r="11253" spans="1:6" x14ac:dyDescent="0.25">
      <c r="A11253" s="1">
        <v>42401</v>
      </c>
      <c r="B11253" t="s">
        <v>24</v>
      </c>
      <c r="C11253" t="s">
        <v>8</v>
      </c>
      <c r="D11253">
        <v>15</v>
      </c>
      <c r="E11253" s="2">
        <v>0.01</v>
      </c>
      <c r="F11253">
        <v>14.4</v>
      </c>
    </row>
    <row r="11254" spans="1:6" x14ac:dyDescent="0.25">
      <c r="A11254" s="1">
        <v>42401</v>
      </c>
      <c r="B11254" t="s">
        <v>24</v>
      </c>
      <c r="C11254" t="s">
        <v>9</v>
      </c>
      <c r="D11254">
        <v>21</v>
      </c>
      <c r="E11254" s="2">
        <v>1.2002314814814815E-2</v>
      </c>
      <c r="F11254">
        <v>17.283333333333335</v>
      </c>
    </row>
    <row r="11255" spans="1:6" x14ac:dyDescent="0.25">
      <c r="A11255" s="1">
        <v>42401</v>
      </c>
      <c r="B11255" t="s">
        <v>24</v>
      </c>
      <c r="C11255" t="s">
        <v>10</v>
      </c>
      <c r="D11255">
        <v>3</v>
      </c>
      <c r="E11255" s="2">
        <v>4.3518518518518515E-3</v>
      </c>
      <c r="F11255">
        <v>6.2666666666666666</v>
      </c>
    </row>
    <row r="11256" spans="1:6" x14ac:dyDescent="0.25">
      <c r="A11256" s="1">
        <v>42401</v>
      </c>
      <c r="B11256" t="s">
        <v>24</v>
      </c>
      <c r="C11256" t="s">
        <v>11</v>
      </c>
      <c r="D11256">
        <v>29</v>
      </c>
      <c r="E11256" s="2">
        <v>2.3761574074074074E-2</v>
      </c>
      <c r="F11256">
        <v>34.216666666666669</v>
      </c>
    </row>
    <row r="11257" spans="1:6" x14ac:dyDescent="0.25">
      <c r="A11257" s="1">
        <v>42430</v>
      </c>
      <c r="B11257" t="s">
        <v>5</v>
      </c>
      <c r="C11257" t="s">
        <v>6</v>
      </c>
      <c r="D11257">
        <v>17</v>
      </c>
      <c r="E11257" s="2">
        <v>1.758101851851852E-2</v>
      </c>
      <c r="F11257">
        <v>25.316666666666666</v>
      </c>
    </row>
    <row r="11258" spans="1:6" x14ac:dyDescent="0.25">
      <c r="A11258" s="1">
        <v>42430</v>
      </c>
      <c r="B11258" t="s">
        <v>5</v>
      </c>
      <c r="C11258" t="s">
        <v>7</v>
      </c>
      <c r="D11258">
        <v>18</v>
      </c>
      <c r="E11258" s="2">
        <v>1.4016203703703704E-2</v>
      </c>
      <c r="F11258">
        <v>20.183333333333334</v>
      </c>
    </row>
    <row r="11259" spans="1:6" x14ac:dyDescent="0.25">
      <c r="A11259" s="1">
        <v>42430</v>
      </c>
      <c r="B11259" t="s">
        <v>5</v>
      </c>
      <c r="C11259" t="s">
        <v>8</v>
      </c>
      <c r="D11259">
        <v>32</v>
      </c>
      <c r="E11259" s="2">
        <v>2.2326388888888889E-2</v>
      </c>
      <c r="F11259">
        <v>32.15</v>
      </c>
    </row>
    <row r="11260" spans="1:6" x14ac:dyDescent="0.25">
      <c r="A11260" s="1">
        <v>42430</v>
      </c>
      <c r="B11260" t="s">
        <v>5</v>
      </c>
      <c r="C11260" t="s">
        <v>9</v>
      </c>
      <c r="D11260">
        <v>6</v>
      </c>
      <c r="E11260" s="2">
        <v>3.8194444444444443E-3</v>
      </c>
      <c r="F11260">
        <v>5.5</v>
      </c>
    </row>
    <row r="11261" spans="1:6" x14ac:dyDescent="0.25">
      <c r="A11261" s="1">
        <v>42430</v>
      </c>
      <c r="B11261" t="s">
        <v>5</v>
      </c>
      <c r="C11261" t="s">
        <v>10</v>
      </c>
      <c r="D11261">
        <v>1</v>
      </c>
      <c r="E11261" s="2">
        <v>2.6620370370370372E-4</v>
      </c>
      <c r="F11261">
        <v>0.38333333333333336</v>
      </c>
    </row>
    <row r="11262" spans="1:6" x14ac:dyDescent="0.25">
      <c r="A11262" s="1">
        <v>42430</v>
      </c>
      <c r="B11262" t="s">
        <v>5</v>
      </c>
      <c r="C11262" t="s">
        <v>11</v>
      </c>
      <c r="D11262">
        <v>21</v>
      </c>
      <c r="E11262" s="2">
        <v>1.7175925925925924E-2</v>
      </c>
      <c r="F11262">
        <v>24.733333333333334</v>
      </c>
    </row>
    <row r="11263" spans="1:6" x14ac:dyDescent="0.25">
      <c r="A11263" s="1">
        <v>42430</v>
      </c>
      <c r="B11263" t="s">
        <v>12</v>
      </c>
      <c r="C11263" t="s">
        <v>6</v>
      </c>
      <c r="D11263">
        <v>58</v>
      </c>
      <c r="E11263" s="2">
        <v>9.4062499999999993E-2</v>
      </c>
      <c r="F11263">
        <v>135.44999999999999</v>
      </c>
    </row>
    <row r="11264" spans="1:6" x14ac:dyDescent="0.25">
      <c r="A11264" s="1">
        <v>42430</v>
      </c>
      <c r="B11264" t="s">
        <v>12</v>
      </c>
      <c r="C11264" t="s">
        <v>7</v>
      </c>
      <c r="D11264">
        <v>49</v>
      </c>
      <c r="E11264" s="2">
        <v>8.3564814814814814E-2</v>
      </c>
      <c r="F11264">
        <v>120.33333333333333</v>
      </c>
    </row>
    <row r="11265" spans="1:6" x14ac:dyDescent="0.25">
      <c r="A11265" s="1">
        <v>42430</v>
      </c>
      <c r="B11265" t="s">
        <v>12</v>
      </c>
      <c r="C11265" t="s">
        <v>8</v>
      </c>
      <c r="D11265">
        <v>22</v>
      </c>
      <c r="E11265" s="2">
        <v>3.5138888888888886E-2</v>
      </c>
      <c r="F11265">
        <v>50.6</v>
      </c>
    </row>
    <row r="11266" spans="1:6" x14ac:dyDescent="0.25">
      <c r="A11266" s="1">
        <v>42430</v>
      </c>
      <c r="B11266" t="s">
        <v>12</v>
      </c>
      <c r="C11266" t="s">
        <v>9</v>
      </c>
      <c r="D11266">
        <v>9</v>
      </c>
      <c r="E11266" s="2">
        <v>7.9976851851851858E-3</v>
      </c>
      <c r="F11266">
        <v>11.516666666666667</v>
      </c>
    </row>
    <row r="11267" spans="1:6" x14ac:dyDescent="0.25">
      <c r="A11267" s="1">
        <v>42430</v>
      </c>
      <c r="B11267" t="s">
        <v>12</v>
      </c>
      <c r="C11267" t="s">
        <v>10</v>
      </c>
      <c r="D11267">
        <v>34</v>
      </c>
      <c r="E11267" s="2">
        <v>6.2025462962962963E-2</v>
      </c>
      <c r="F11267">
        <v>89.316666666666663</v>
      </c>
    </row>
    <row r="11268" spans="1:6" x14ac:dyDescent="0.25">
      <c r="A11268" s="1">
        <v>42430</v>
      </c>
      <c r="B11268" t="s">
        <v>12</v>
      </c>
      <c r="C11268" t="s">
        <v>11</v>
      </c>
      <c r="D11268">
        <v>49</v>
      </c>
      <c r="E11268" s="2">
        <v>6.6631944444444438E-2</v>
      </c>
      <c r="F11268">
        <v>95.95</v>
      </c>
    </row>
    <row r="11269" spans="1:6" x14ac:dyDescent="0.25">
      <c r="A11269" s="1">
        <v>42430</v>
      </c>
      <c r="B11269" t="s">
        <v>13</v>
      </c>
      <c r="C11269" t="s">
        <v>6</v>
      </c>
      <c r="D11269">
        <v>65</v>
      </c>
      <c r="E11269" s="2">
        <v>9.9270833333333336E-2</v>
      </c>
      <c r="F11269">
        <v>142.94999999999999</v>
      </c>
    </row>
    <row r="11270" spans="1:6" x14ac:dyDescent="0.25">
      <c r="A11270" s="1">
        <v>42430</v>
      </c>
      <c r="B11270" t="s">
        <v>13</v>
      </c>
      <c r="C11270" t="s">
        <v>7</v>
      </c>
      <c r="D11270">
        <v>75</v>
      </c>
      <c r="E11270" s="2">
        <v>0.1247337962962963</v>
      </c>
      <c r="F11270">
        <v>179.61666666666667</v>
      </c>
    </row>
    <row r="11271" spans="1:6" x14ac:dyDescent="0.25">
      <c r="A11271" s="1">
        <v>42430</v>
      </c>
      <c r="B11271" t="s">
        <v>13</v>
      </c>
      <c r="C11271" t="s">
        <v>8</v>
      </c>
      <c r="D11271">
        <v>60</v>
      </c>
      <c r="E11271" s="2">
        <v>8.413194444444444E-2</v>
      </c>
      <c r="F11271">
        <v>121.15</v>
      </c>
    </row>
    <row r="11272" spans="1:6" x14ac:dyDescent="0.25">
      <c r="A11272" s="1">
        <v>42430</v>
      </c>
      <c r="B11272" t="s">
        <v>13</v>
      </c>
      <c r="C11272" t="s">
        <v>9</v>
      </c>
      <c r="D11272">
        <v>12</v>
      </c>
      <c r="E11272" s="2">
        <v>8.8425925925925929E-3</v>
      </c>
      <c r="F11272">
        <v>12.733333333333333</v>
      </c>
    </row>
    <row r="11273" spans="1:6" x14ac:dyDescent="0.25">
      <c r="A11273" s="1">
        <v>42430</v>
      </c>
      <c r="B11273" t="s">
        <v>13</v>
      </c>
      <c r="C11273" t="s">
        <v>10</v>
      </c>
      <c r="D11273">
        <v>4</v>
      </c>
      <c r="E11273" s="2">
        <v>6.3194444444444444E-3</v>
      </c>
      <c r="F11273">
        <v>9.1</v>
      </c>
    </row>
    <row r="11274" spans="1:6" x14ac:dyDescent="0.25">
      <c r="A11274" s="1">
        <v>42430</v>
      </c>
      <c r="B11274" t="s">
        <v>13</v>
      </c>
      <c r="C11274" t="s">
        <v>11</v>
      </c>
      <c r="D11274">
        <v>44</v>
      </c>
      <c r="E11274" s="2">
        <v>4.9062500000000002E-2</v>
      </c>
      <c r="F11274">
        <v>70.650000000000006</v>
      </c>
    </row>
    <row r="11275" spans="1:6" x14ac:dyDescent="0.25">
      <c r="A11275" s="1">
        <v>42430</v>
      </c>
      <c r="B11275" t="s">
        <v>14</v>
      </c>
      <c r="C11275" t="s">
        <v>6</v>
      </c>
      <c r="D11275">
        <v>7</v>
      </c>
      <c r="E11275" s="2">
        <v>1.3668981481481482E-2</v>
      </c>
      <c r="F11275">
        <v>19.683333333333334</v>
      </c>
    </row>
    <row r="11276" spans="1:6" x14ac:dyDescent="0.25">
      <c r="A11276" s="1">
        <v>42430</v>
      </c>
      <c r="B11276" t="s">
        <v>14</v>
      </c>
      <c r="C11276" t="s">
        <v>7</v>
      </c>
      <c r="D11276">
        <v>4</v>
      </c>
      <c r="E11276" s="2">
        <v>1.1273148148148148E-2</v>
      </c>
      <c r="F11276">
        <v>16.233333333333334</v>
      </c>
    </row>
    <row r="11277" spans="1:6" x14ac:dyDescent="0.25">
      <c r="A11277" s="1">
        <v>42430</v>
      </c>
      <c r="B11277" t="s">
        <v>14</v>
      </c>
      <c r="C11277" t="s">
        <v>8</v>
      </c>
      <c r="D11277">
        <v>4</v>
      </c>
      <c r="E11277" s="2">
        <v>7.5810185185185182E-3</v>
      </c>
      <c r="F11277">
        <v>10.916666666666666</v>
      </c>
    </row>
    <row r="11278" spans="1:6" x14ac:dyDescent="0.25">
      <c r="A11278" s="1">
        <v>42430</v>
      </c>
      <c r="B11278" t="s">
        <v>14</v>
      </c>
      <c r="C11278" t="s">
        <v>9</v>
      </c>
      <c r="D11278">
        <v>1</v>
      </c>
      <c r="E11278" s="2">
        <v>1.25E-3</v>
      </c>
      <c r="F11278">
        <v>1.8</v>
      </c>
    </row>
    <row r="11279" spans="1:6" x14ac:dyDescent="0.25">
      <c r="A11279" s="1">
        <v>42430</v>
      </c>
      <c r="B11279" t="s">
        <v>14</v>
      </c>
      <c r="C11279" t="s">
        <v>10</v>
      </c>
      <c r="D11279">
        <v>2</v>
      </c>
      <c r="E11279" s="2">
        <v>3.9930555555555552E-3</v>
      </c>
      <c r="F11279">
        <v>5.75</v>
      </c>
    </row>
    <row r="11280" spans="1:6" x14ac:dyDescent="0.25">
      <c r="A11280" s="1">
        <v>42430</v>
      </c>
      <c r="B11280" t="s">
        <v>14</v>
      </c>
      <c r="C11280" t="s">
        <v>11</v>
      </c>
      <c r="D11280">
        <v>9</v>
      </c>
      <c r="E11280" s="2">
        <v>1.1400462962962963E-2</v>
      </c>
      <c r="F11280">
        <v>16.416666666666668</v>
      </c>
    </row>
    <row r="11281" spans="1:6" x14ac:dyDescent="0.25">
      <c r="A11281" s="1">
        <v>42430</v>
      </c>
      <c r="B11281" t="s">
        <v>15</v>
      </c>
      <c r="C11281" t="s">
        <v>6</v>
      </c>
      <c r="D11281">
        <v>18</v>
      </c>
      <c r="E11281" s="2">
        <v>3.1770833333333331E-2</v>
      </c>
      <c r="F11281">
        <v>45.75</v>
      </c>
    </row>
    <row r="11282" spans="1:6" x14ac:dyDescent="0.25">
      <c r="A11282" s="1">
        <v>42430</v>
      </c>
      <c r="B11282" t="s">
        <v>15</v>
      </c>
      <c r="C11282" t="s">
        <v>7</v>
      </c>
      <c r="D11282">
        <v>17</v>
      </c>
      <c r="E11282" s="2">
        <v>3.30787037037037E-2</v>
      </c>
      <c r="F11282">
        <v>47.633333333333333</v>
      </c>
    </row>
    <row r="11283" spans="1:6" x14ac:dyDescent="0.25">
      <c r="A11283" s="1">
        <v>42430</v>
      </c>
      <c r="B11283" t="s">
        <v>15</v>
      </c>
      <c r="C11283" t="s">
        <v>8</v>
      </c>
      <c r="D11283">
        <v>15</v>
      </c>
      <c r="E11283" s="2">
        <v>1.4375000000000001E-2</v>
      </c>
      <c r="F11283">
        <v>20.7</v>
      </c>
    </row>
    <row r="11284" spans="1:6" x14ac:dyDescent="0.25">
      <c r="A11284" s="1">
        <v>42430</v>
      </c>
      <c r="B11284" t="s">
        <v>15</v>
      </c>
      <c r="C11284" t="s">
        <v>9</v>
      </c>
      <c r="D11284">
        <v>5</v>
      </c>
      <c r="E11284" s="2">
        <v>2.488425925925926E-3</v>
      </c>
      <c r="F11284">
        <v>3.5833333333333335</v>
      </c>
    </row>
    <row r="11285" spans="1:6" x14ac:dyDescent="0.25">
      <c r="A11285" s="1">
        <v>42430</v>
      </c>
      <c r="B11285" t="s">
        <v>15</v>
      </c>
      <c r="C11285" t="s">
        <v>10</v>
      </c>
      <c r="D11285">
        <v>10</v>
      </c>
      <c r="E11285" s="2">
        <v>1.2974537037037038E-2</v>
      </c>
      <c r="F11285">
        <v>18.683333333333334</v>
      </c>
    </row>
    <row r="11286" spans="1:6" x14ac:dyDescent="0.25">
      <c r="A11286" s="1">
        <v>42430</v>
      </c>
      <c r="B11286" t="s">
        <v>15</v>
      </c>
      <c r="C11286" t="s">
        <v>11</v>
      </c>
      <c r="D11286">
        <v>15</v>
      </c>
      <c r="E11286" s="2">
        <v>1.2164351851851852E-2</v>
      </c>
      <c r="F11286">
        <v>17.516666666666666</v>
      </c>
    </row>
    <row r="11287" spans="1:6" x14ac:dyDescent="0.25">
      <c r="A11287" s="1">
        <v>42430</v>
      </c>
      <c r="B11287" t="s">
        <v>16</v>
      </c>
      <c r="C11287" t="s">
        <v>6</v>
      </c>
      <c r="D11287">
        <v>14</v>
      </c>
      <c r="E11287" s="2">
        <v>1.306712962962963E-2</v>
      </c>
      <c r="F11287">
        <v>18.816666666666666</v>
      </c>
    </row>
    <row r="11288" spans="1:6" x14ac:dyDescent="0.25">
      <c r="A11288" s="1">
        <v>42430</v>
      </c>
      <c r="B11288" t="s">
        <v>16</v>
      </c>
      <c r="C11288" t="s">
        <v>7</v>
      </c>
      <c r="D11288">
        <v>18</v>
      </c>
      <c r="E11288" s="2">
        <v>1.8692129629629628E-2</v>
      </c>
      <c r="F11288">
        <v>26.916666666666668</v>
      </c>
    </row>
    <row r="11289" spans="1:6" x14ac:dyDescent="0.25">
      <c r="A11289" s="1">
        <v>42430</v>
      </c>
      <c r="B11289" t="s">
        <v>16</v>
      </c>
      <c r="C11289" t="s">
        <v>8</v>
      </c>
      <c r="D11289">
        <v>17</v>
      </c>
      <c r="E11289" s="2">
        <v>1.7280092592592593E-2</v>
      </c>
      <c r="F11289">
        <v>24.883333333333333</v>
      </c>
    </row>
    <row r="11290" spans="1:6" x14ac:dyDescent="0.25">
      <c r="A11290" s="1">
        <v>42430</v>
      </c>
      <c r="B11290" t="s">
        <v>16</v>
      </c>
      <c r="C11290" t="s">
        <v>9</v>
      </c>
      <c r="D11290">
        <v>7</v>
      </c>
      <c r="E11290" s="2">
        <v>3.8541666666666668E-3</v>
      </c>
      <c r="F11290">
        <v>5.55</v>
      </c>
    </row>
    <row r="11291" spans="1:6" x14ac:dyDescent="0.25">
      <c r="A11291" s="1">
        <v>42430</v>
      </c>
      <c r="B11291" t="s">
        <v>16</v>
      </c>
      <c r="C11291" t="s">
        <v>10</v>
      </c>
      <c r="D11291">
        <v>2</v>
      </c>
      <c r="E11291" s="2">
        <v>2.5578703703703705E-3</v>
      </c>
      <c r="F11291">
        <v>3.6833333333333336</v>
      </c>
    </row>
    <row r="11292" spans="1:6" x14ac:dyDescent="0.25">
      <c r="A11292" s="1">
        <v>42430</v>
      </c>
      <c r="B11292" t="s">
        <v>16</v>
      </c>
      <c r="C11292" t="s">
        <v>11</v>
      </c>
      <c r="D11292">
        <v>27</v>
      </c>
      <c r="E11292" s="2">
        <v>2.4074074074074074E-2</v>
      </c>
      <c r="F11292">
        <v>34.666666666666664</v>
      </c>
    </row>
    <row r="11293" spans="1:6" x14ac:dyDescent="0.25">
      <c r="A11293" s="1">
        <v>42430</v>
      </c>
      <c r="B11293" t="s">
        <v>17</v>
      </c>
      <c r="C11293" t="s">
        <v>6</v>
      </c>
      <c r="D11293">
        <v>21</v>
      </c>
      <c r="E11293" s="2">
        <v>2.4293981481481482E-2</v>
      </c>
      <c r="F11293">
        <v>34.983333333333334</v>
      </c>
    </row>
    <row r="11294" spans="1:6" x14ac:dyDescent="0.25">
      <c r="A11294" s="1">
        <v>42430</v>
      </c>
      <c r="B11294" t="s">
        <v>17</v>
      </c>
      <c r="C11294" t="s">
        <v>7</v>
      </c>
      <c r="D11294">
        <v>18</v>
      </c>
      <c r="E11294" s="2">
        <v>1.9699074074074074E-2</v>
      </c>
      <c r="F11294">
        <v>28.366666666666667</v>
      </c>
    </row>
    <row r="11295" spans="1:6" x14ac:dyDescent="0.25">
      <c r="A11295" s="1">
        <v>42430</v>
      </c>
      <c r="B11295" t="s">
        <v>17</v>
      </c>
      <c r="C11295" t="s">
        <v>8</v>
      </c>
      <c r="D11295">
        <v>11</v>
      </c>
      <c r="E11295" s="2">
        <v>1.2881944444444444E-2</v>
      </c>
      <c r="F11295">
        <v>18.55</v>
      </c>
    </row>
    <row r="11296" spans="1:6" x14ac:dyDescent="0.25">
      <c r="A11296" s="1">
        <v>42430</v>
      </c>
      <c r="B11296" t="s">
        <v>17</v>
      </c>
      <c r="C11296" t="s">
        <v>9</v>
      </c>
      <c r="D11296">
        <v>7</v>
      </c>
      <c r="E11296" s="2">
        <v>6.5277777777777782E-3</v>
      </c>
      <c r="F11296">
        <v>9.4</v>
      </c>
    </row>
    <row r="11297" spans="1:6" x14ac:dyDescent="0.25">
      <c r="A11297" s="1">
        <v>42430</v>
      </c>
      <c r="B11297" t="s">
        <v>17</v>
      </c>
      <c r="C11297" t="s">
        <v>10</v>
      </c>
      <c r="D11297">
        <v>9</v>
      </c>
      <c r="E11297" s="2">
        <v>1.3703703703703704E-2</v>
      </c>
      <c r="F11297">
        <v>19.733333333333334</v>
      </c>
    </row>
    <row r="11298" spans="1:6" x14ac:dyDescent="0.25">
      <c r="A11298" s="1">
        <v>42430</v>
      </c>
      <c r="B11298" t="s">
        <v>17</v>
      </c>
      <c r="C11298" t="s">
        <v>11</v>
      </c>
      <c r="D11298">
        <v>12</v>
      </c>
      <c r="E11298" s="2">
        <v>1.21875E-2</v>
      </c>
      <c r="F11298">
        <v>17.55</v>
      </c>
    </row>
    <row r="11299" spans="1:6" x14ac:dyDescent="0.25">
      <c r="A11299" s="1">
        <v>42430</v>
      </c>
      <c r="B11299" t="s">
        <v>18</v>
      </c>
      <c r="C11299" t="s">
        <v>6</v>
      </c>
      <c r="D11299">
        <v>158</v>
      </c>
      <c r="E11299" s="2">
        <v>0.19734953703703703</v>
      </c>
      <c r="F11299">
        <v>284.18333333333334</v>
      </c>
    </row>
    <row r="11300" spans="1:6" x14ac:dyDescent="0.25">
      <c r="A11300" s="1">
        <v>42430</v>
      </c>
      <c r="B11300" t="s">
        <v>18</v>
      </c>
      <c r="C11300" t="s">
        <v>7</v>
      </c>
      <c r="D11300">
        <v>214</v>
      </c>
      <c r="E11300" s="2">
        <v>0.23142361111111112</v>
      </c>
      <c r="F11300">
        <v>333.25</v>
      </c>
    </row>
    <row r="11301" spans="1:6" x14ac:dyDescent="0.25">
      <c r="A11301" s="1">
        <v>42430</v>
      </c>
      <c r="B11301" t="s">
        <v>18</v>
      </c>
      <c r="C11301" t="s">
        <v>8</v>
      </c>
      <c r="D11301">
        <v>128</v>
      </c>
      <c r="E11301" s="2">
        <v>0.12212962962962963</v>
      </c>
      <c r="F11301">
        <v>175.86666666666667</v>
      </c>
    </row>
    <row r="11302" spans="1:6" x14ac:dyDescent="0.25">
      <c r="A11302" s="1">
        <v>42430</v>
      </c>
      <c r="B11302" t="s">
        <v>18</v>
      </c>
      <c r="C11302" t="s">
        <v>9</v>
      </c>
      <c r="D11302">
        <v>103</v>
      </c>
      <c r="E11302" s="2">
        <v>8.1145833333333334E-2</v>
      </c>
      <c r="F11302">
        <v>116.85</v>
      </c>
    </row>
    <row r="11303" spans="1:6" x14ac:dyDescent="0.25">
      <c r="A11303" s="1">
        <v>42430</v>
      </c>
      <c r="B11303" t="s">
        <v>18</v>
      </c>
      <c r="C11303" t="s">
        <v>10</v>
      </c>
      <c r="D11303">
        <v>180</v>
      </c>
      <c r="E11303" s="2">
        <v>0.22679398148148147</v>
      </c>
      <c r="F11303">
        <v>326.58333333333331</v>
      </c>
    </row>
    <row r="11304" spans="1:6" x14ac:dyDescent="0.25">
      <c r="A11304" s="1">
        <v>42430</v>
      </c>
      <c r="B11304" t="s">
        <v>18</v>
      </c>
      <c r="C11304" t="s">
        <v>11</v>
      </c>
      <c r="D11304">
        <v>158</v>
      </c>
      <c r="E11304" s="2">
        <v>0.14840277777777777</v>
      </c>
      <c r="F11304">
        <v>213.7</v>
      </c>
    </row>
    <row r="11305" spans="1:6" x14ac:dyDescent="0.25">
      <c r="A11305" s="1">
        <v>42430</v>
      </c>
      <c r="B11305" t="s">
        <v>19</v>
      </c>
      <c r="C11305" t="s">
        <v>6</v>
      </c>
      <c r="D11305">
        <v>12</v>
      </c>
      <c r="E11305" s="2">
        <v>1.119212962962963E-2</v>
      </c>
      <c r="F11305">
        <v>16.116666666666667</v>
      </c>
    </row>
    <row r="11306" spans="1:6" x14ac:dyDescent="0.25">
      <c r="A11306" s="1">
        <v>42430</v>
      </c>
      <c r="B11306" t="s">
        <v>19</v>
      </c>
      <c r="C11306" t="s">
        <v>7</v>
      </c>
      <c r="D11306">
        <v>12</v>
      </c>
      <c r="E11306" s="2">
        <v>1.6782407407407409E-2</v>
      </c>
      <c r="F11306">
        <v>24.166666666666668</v>
      </c>
    </row>
    <row r="11307" spans="1:6" x14ac:dyDescent="0.25">
      <c r="A11307" s="1">
        <v>42430</v>
      </c>
      <c r="B11307" t="s">
        <v>19</v>
      </c>
      <c r="C11307" t="s">
        <v>8</v>
      </c>
      <c r="D11307">
        <v>14</v>
      </c>
      <c r="E11307" s="2">
        <v>1.7800925925925925E-2</v>
      </c>
      <c r="F11307">
        <v>25.633333333333333</v>
      </c>
    </row>
    <row r="11308" spans="1:6" x14ac:dyDescent="0.25">
      <c r="A11308" s="1">
        <v>42430</v>
      </c>
      <c r="B11308" t="s">
        <v>19</v>
      </c>
      <c r="C11308" t="s">
        <v>9</v>
      </c>
      <c r="D11308">
        <v>5</v>
      </c>
      <c r="E11308" s="2">
        <v>4.2476851851851851E-3</v>
      </c>
      <c r="F11308">
        <v>6.1166666666666663</v>
      </c>
    </row>
    <row r="11309" spans="1:6" x14ac:dyDescent="0.25">
      <c r="A11309" s="1">
        <v>42430</v>
      </c>
      <c r="B11309" t="s">
        <v>19</v>
      </c>
      <c r="C11309" t="s">
        <v>10</v>
      </c>
      <c r="D11309">
        <v>6</v>
      </c>
      <c r="E11309" s="2">
        <v>8.7962962962962968E-3</v>
      </c>
      <c r="F11309">
        <v>12.666666666666666</v>
      </c>
    </row>
    <row r="11310" spans="1:6" x14ac:dyDescent="0.25">
      <c r="A11310" s="1">
        <v>42430</v>
      </c>
      <c r="B11310" t="s">
        <v>19</v>
      </c>
      <c r="C11310" t="s">
        <v>11</v>
      </c>
      <c r="D11310">
        <v>18</v>
      </c>
      <c r="E11310" s="2">
        <v>1.4178240740740741E-2</v>
      </c>
      <c r="F11310">
        <v>20.416666666666668</v>
      </c>
    </row>
    <row r="11311" spans="1:6" x14ac:dyDescent="0.25">
      <c r="A11311" s="1">
        <v>42430</v>
      </c>
      <c r="B11311" t="s">
        <v>20</v>
      </c>
      <c r="C11311" t="s">
        <v>6</v>
      </c>
      <c r="D11311">
        <v>53</v>
      </c>
      <c r="E11311" s="2">
        <v>6.5277777777777782E-2</v>
      </c>
      <c r="F11311">
        <v>94</v>
      </c>
    </row>
    <row r="11312" spans="1:6" x14ac:dyDescent="0.25">
      <c r="A11312" s="1">
        <v>42430</v>
      </c>
      <c r="B11312" t="s">
        <v>20</v>
      </c>
      <c r="C11312" t="s">
        <v>7</v>
      </c>
      <c r="D11312">
        <v>73</v>
      </c>
      <c r="E11312" s="2">
        <v>8.50462962962963E-2</v>
      </c>
      <c r="F11312">
        <v>122.46666666666667</v>
      </c>
    </row>
    <row r="11313" spans="1:6" x14ac:dyDescent="0.25">
      <c r="A11313" s="1">
        <v>42430</v>
      </c>
      <c r="B11313" t="s">
        <v>20</v>
      </c>
      <c r="C11313" t="s">
        <v>8</v>
      </c>
      <c r="D11313">
        <v>50</v>
      </c>
      <c r="E11313" s="2">
        <v>4.2500000000000003E-2</v>
      </c>
      <c r="F11313">
        <v>61.2</v>
      </c>
    </row>
    <row r="11314" spans="1:6" x14ac:dyDescent="0.25">
      <c r="A11314" s="1">
        <v>42430</v>
      </c>
      <c r="B11314" t="s">
        <v>20</v>
      </c>
      <c r="C11314" t="s">
        <v>9</v>
      </c>
      <c r="D11314">
        <v>30</v>
      </c>
      <c r="E11314" s="2">
        <v>2.5694444444444443E-2</v>
      </c>
      <c r="F11314">
        <v>37</v>
      </c>
    </row>
    <row r="11315" spans="1:6" x14ac:dyDescent="0.25">
      <c r="A11315" s="1">
        <v>42430</v>
      </c>
      <c r="B11315" t="s">
        <v>20</v>
      </c>
      <c r="C11315" t="s">
        <v>10</v>
      </c>
      <c r="D11315">
        <v>8</v>
      </c>
      <c r="E11315" s="2">
        <v>1.5891203703703703E-2</v>
      </c>
      <c r="F11315">
        <v>22.883333333333333</v>
      </c>
    </row>
    <row r="11316" spans="1:6" x14ac:dyDescent="0.25">
      <c r="A11316" s="1">
        <v>42430</v>
      </c>
      <c r="B11316" t="s">
        <v>20</v>
      </c>
      <c r="C11316" t="s">
        <v>11</v>
      </c>
      <c r="D11316">
        <v>49</v>
      </c>
      <c r="E11316" s="2">
        <v>4.5451388888888888E-2</v>
      </c>
      <c r="F11316">
        <v>65.45</v>
      </c>
    </row>
    <row r="11317" spans="1:6" x14ac:dyDescent="0.25">
      <c r="A11317" s="1">
        <v>42430</v>
      </c>
      <c r="B11317" t="s">
        <v>21</v>
      </c>
      <c r="C11317" t="s">
        <v>6</v>
      </c>
      <c r="D11317">
        <v>18</v>
      </c>
      <c r="E11317" s="2">
        <v>3.0891203703703702E-2</v>
      </c>
      <c r="F11317">
        <v>44.483333333333334</v>
      </c>
    </row>
    <row r="11318" spans="1:6" x14ac:dyDescent="0.25">
      <c r="A11318" s="1">
        <v>42430</v>
      </c>
      <c r="B11318" t="s">
        <v>21</v>
      </c>
      <c r="C11318" t="s">
        <v>7</v>
      </c>
      <c r="D11318">
        <v>12</v>
      </c>
      <c r="E11318" s="2">
        <v>2.3553240740740739E-2</v>
      </c>
      <c r="F11318">
        <v>33.916666666666664</v>
      </c>
    </row>
    <row r="11319" spans="1:6" x14ac:dyDescent="0.25">
      <c r="A11319" s="1">
        <v>42430</v>
      </c>
      <c r="B11319" t="s">
        <v>21</v>
      </c>
      <c r="C11319" t="s">
        <v>8</v>
      </c>
      <c r="D11319">
        <v>12</v>
      </c>
      <c r="E11319" s="2">
        <v>1.8483796296296297E-2</v>
      </c>
      <c r="F11319">
        <v>26.616666666666667</v>
      </c>
    </row>
    <row r="11320" spans="1:6" x14ac:dyDescent="0.25">
      <c r="A11320" s="1">
        <v>42430</v>
      </c>
      <c r="B11320" t="s">
        <v>21</v>
      </c>
      <c r="C11320" t="s">
        <v>9</v>
      </c>
      <c r="D11320">
        <v>7</v>
      </c>
      <c r="E11320" s="2">
        <v>5.0347222222222225E-3</v>
      </c>
      <c r="F11320">
        <v>7.25</v>
      </c>
    </row>
    <row r="11321" spans="1:6" x14ac:dyDescent="0.25">
      <c r="A11321" s="1">
        <v>42430</v>
      </c>
      <c r="B11321" t="s">
        <v>21</v>
      </c>
      <c r="C11321" t="s">
        <v>10</v>
      </c>
      <c r="D11321">
        <v>2</v>
      </c>
      <c r="E11321" s="2">
        <v>2.7199074074074074E-3</v>
      </c>
      <c r="F11321">
        <v>3.9166666666666665</v>
      </c>
    </row>
    <row r="11322" spans="1:6" x14ac:dyDescent="0.25">
      <c r="A11322" s="1">
        <v>42430</v>
      </c>
      <c r="B11322" t="s">
        <v>21</v>
      </c>
      <c r="C11322" t="s">
        <v>11</v>
      </c>
      <c r="D11322">
        <v>23</v>
      </c>
      <c r="E11322" s="2">
        <v>2.5937499999999999E-2</v>
      </c>
      <c r="F11322">
        <v>37.35</v>
      </c>
    </row>
    <row r="11323" spans="1:6" x14ac:dyDescent="0.25">
      <c r="A11323" s="1">
        <v>42430</v>
      </c>
      <c r="B11323" t="s">
        <v>22</v>
      </c>
      <c r="C11323" t="s">
        <v>6</v>
      </c>
      <c r="D11323">
        <v>17</v>
      </c>
      <c r="E11323" s="2">
        <v>2.6215277777777778E-2</v>
      </c>
      <c r="F11323">
        <v>37.75</v>
      </c>
    </row>
    <row r="11324" spans="1:6" x14ac:dyDescent="0.25">
      <c r="A11324" s="1">
        <v>42430</v>
      </c>
      <c r="B11324" t="s">
        <v>22</v>
      </c>
      <c r="C11324" t="s">
        <v>7</v>
      </c>
      <c r="D11324">
        <v>19</v>
      </c>
      <c r="E11324" s="2">
        <v>2.7905092592592592E-2</v>
      </c>
      <c r="F11324">
        <v>40.18333333333333</v>
      </c>
    </row>
    <row r="11325" spans="1:6" x14ac:dyDescent="0.25">
      <c r="A11325" s="1">
        <v>42430</v>
      </c>
      <c r="B11325" t="s">
        <v>22</v>
      </c>
      <c r="C11325" t="s">
        <v>8</v>
      </c>
      <c r="D11325">
        <v>10</v>
      </c>
      <c r="E11325" s="2">
        <v>1.1631944444444445E-2</v>
      </c>
      <c r="F11325">
        <v>16.75</v>
      </c>
    </row>
    <row r="11326" spans="1:6" x14ac:dyDescent="0.25">
      <c r="A11326" s="1">
        <v>42430</v>
      </c>
      <c r="B11326" t="s">
        <v>22</v>
      </c>
      <c r="C11326" t="s">
        <v>9</v>
      </c>
      <c r="D11326">
        <v>3</v>
      </c>
      <c r="E11326" s="2">
        <v>1.6435185185185185E-3</v>
      </c>
      <c r="F11326">
        <v>2.3666666666666667</v>
      </c>
    </row>
    <row r="11327" spans="1:6" x14ac:dyDescent="0.25">
      <c r="A11327" s="1">
        <v>42430</v>
      </c>
      <c r="B11327" t="s">
        <v>22</v>
      </c>
      <c r="C11327" t="s">
        <v>10</v>
      </c>
      <c r="D11327">
        <v>7</v>
      </c>
      <c r="E11327" s="2">
        <v>7.4768518518518517E-3</v>
      </c>
      <c r="F11327">
        <v>10.766666666666667</v>
      </c>
    </row>
    <row r="11328" spans="1:6" x14ac:dyDescent="0.25">
      <c r="A11328" s="1">
        <v>42430</v>
      </c>
      <c r="B11328" t="s">
        <v>22</v>
      </c>
      <c r="C11328" t="s">
        <v>11</v>
      </c>
      <c r="D11328">
        <v>14</v>
      </c>
      <c r="E11328" s="2">
        <v>1.7430555555555557E-2</v>
      </c>
      <c r="F11328">
        <v>25.1</v>
      </c>
    </row>
    <row r="11329" spans="1:6" x14ac:dyDescent="0.25">
      <c r="A11329" s="1">
        <v>42430</v>
      </c>
      <c r="B11329" t="s">
        <v>23</v>
      </c>
      <c r="C11329" t="s">
        <v>6</v>
      </c>
      <c r="D11329">
        <v>122</v>
      </c>
      <c r="E11329" s="2">
        <v>0.17146990740740742</v>
      </c>
      <c r="F11329">
        <v>246.91666666666666</v>
      </c>
    </row>
    <row r="11330" spans="1:6" x14ac:dyDescent="0.25">
      <c r="A11330" s="1">
        <v>42430</v>
      </c>
      <c r="B11330" t="s">
        <v>23</v>
      </c>
      <c r="C11330" t="s">
        <v>7</v>
      </c>
      <c r="D11330">
        <v>135</v>
      </c>
      <c r="E11330" s="2">
        <v>0.21464120370370371</v>
      </c>
      <c r="F11330">
        <v>309.08333333333331</v>
      </c>
    </row>
    <row r="11331" spans="1:6" x14ac:dyDescent="0.25">
      <c r="A11331" s="1">
        <v>42430</v>
      </c>
      <c r="B11331" t="s">
        <v>23</v>
      </c>
      <c r="C11331" t="s">
        <v>8</v>
      </c>
      <c r="D11331">
        <v>96</v>
      </c>
      <c r="E11331" s="2">
        <v>9.752314814814815E-2</v>
      </c>
      <c r="F11331">
        <v>140.43333333333334</v>
      </c>
    </row>
    <row r="11332" spans="1:6" x14ac:dyDescent="0.25">
      <c r="A11332" s="1">
        <v>42430</v>
      </c>
      <c r="B11332" t="s">
        <v>23</v>
      </c>
      <c r="C11332" t="s">
        <v>9</v>
      </c>
      <c r="D11332">
        <v>50</v>
      </c>
      <c r="E11332" s="2">
        <v>3.170138888888889E-2</v>
      </c>
      <c r="F11332">
        <v>45.65</v>
      </c>
    </row>
    <row r="11333" spans="1:6" x14ac:dyDescent="0.25">
      <c r="A11333" s="1">
        <v>42430</v>
      </c>
      <c r="B11333" t="s">
        <v>23</v>
      </c>
      <c r="C11333" t="s">
        <v>10</v>
      </c>
      <c r="D11333">
        <v>20</v>
      </c>
      <c r="E11333" s="2">
        <v>2.7731481481481482E-2</v>
      </c>
      <c r="F11333">
        <v>39.93333333333333</v>
      </c>
    </row>
    <row r="11334" spans="1:6" x14ac:dyDescent="0.25">
      <c r="A11334" s="1">
        <v>42430</v>
      </c>
      <c r="B11334" t="s">
        <v>23</v>
      </c>
      <c r="C11334" t="s">
        <v>11</v>
      </c>
      <c r="D11334">
        <v>108</v>
      </c>
      <c r="E11334" s="2">
        <v>0.11431712962962963</v>
      </c>
      <c r="F11334">
        <v>164.61666666666667</v>
      </c>
    </row>
    <row r="11335" spans="1:6" x14ac:dyDescent="0.25">
      <c r="A11335" s="1">
        <v>42430</v>
      </c>
      <c r="B11335" t="s">
        <v>24</v>
      </c>
      <c r="C11335" t="s">
        <v>6</v>
      </c>
      <c r="D11335">
        <v>45</v>
      </c>
      <c r="E11335" s="2">
        <v>5.3553240740740742E-2</v>
      </c>
      <c r="F11335">
        <v>77.11666666666666</v>
      </c>
    </row>
    <row r="11336" spans="1:6" x14ac:dyDescent="0.25">
      <c r="A11336" s="1">
        <v>42430</v>
      </c>
      <c r="B11336" t="s">
        <v>24</v>
      </c>
      <c r="C11336" t="s">
        <v>7</v>
      </c>
      <c r="D11336">
        <v>22</v>
      </c>
      <c r="E11336" s="2">
        <v>1.8749999999999999E-2</v>
      </c>
      <c r="F11336">
        <v>27</v>
      </c>
    </row>
    <row r="11337" spans="1:6" x14ac:dyDescent="0.25">
      <c r="A11337" s="1">
        <v>42430</v>
      </c>
      <c r="B11337" t="s">
        <v>24</v>
      </c>
      <c r="C11337" t="s">
        <v>8</v>
      </c>
      <c r="D11337">
        <v>18</v>
      </c>
      <c r="E11337" s="2">
        <v>1.4270833333333333E-2</v>
      </c>
      <c r="F11337">
        <v>20.55</v>
      </c>
    </row>
    <row r="11338" spans="1:6" x14ac:dyDescent="0.25">
      <c r="A11338" s="1">
        <v>42430</v>
      </c>
      <c r="B11338" t="s">
        <v>24</v>
      </c>
      <c r="C11338" t="s">
        <v>9</v>
      </c>
      <c r="D11338">
        <v>29</v>
      </c>
      <c r="E11338" s="2">
        <v>2.2152777777777778E-2</v>
      </c>
      <c r="F11338">
        <v>31.9</v>
      </c>
    </row>
    <row r="11339" spans="1:6" x14ac:dyDescent="0.25">
      <c r="A11339" s="1">
        <v>42430</v>
      </c>
      <c r="B11339" t="s">
        <v>24</v>
      </c>
      <c r="C11339" t="s">
        <v>10</v>
      </c>
      <c r="D11339">
        <v>0</v>
      </c>
      <c r="E11339" s="2">
        <v>0</v>
      </c>
      <c r="F11339">
        <v>0</v>
      </c>
    </row>
    <row r="11340" spans="1:6" x14ac:dyDescent="0.25">
      <c r="A11340" s="1">
        <v>42430</v>
      </c>
      <c r="B11340" t="s">
        <v>24</v>
      </c>
      <c r="C11340" t="s">
        <v>11</v>
      </c>
      <c r="D11340">
        <v>25</v>
      </c>
      <c r="E11340" s="2">
        <v>2.1215277777777777E-2</v>
      </c>
      <c r="F11340">
        <v>30.55</v>
      </c>
    </row>
    <row r="11341" spans="1:6" x14ac:dyDescent="0.25">
      <c r="A11341" s="1">
        <v>42461</v>
      </c>
      <c r="B11341" t="s">
        <v>5</v>
      </c>
      <c r="C11341" t="s">
        <v>6</v>
      </c>
      <c r="D11341">
        <v>16</v>
      </c>
      <c r="E11341" s="2">
        <v>1.6944444444444446E-2</v>
      </c>
      <c r="F11341">
        <v>24.4</v>
      </c>
    </row>
    <row r="11342" spans="1:6" x14ac:dyDescent="0.25">
      <c r="A11342" s="1">
        <v>42461</v>
      </c>
      <c r="B11342" t="s">
        <v>5</v>
      </c>
      <c r="C11342" t="s">
        <v>7</v>
      </c>
      <c r="D11342">
        <v>15</v>
      </c>
      <c r="E11342" s="2">
        <v>1.6550925925925927E-2</v>
      </c>
      <c r="F11342">
        <v>23.833333333333332</v>
      </c>
    </row>
    <row r="11343" spans="1:6" x14ac:dyDescent="0.25">
      <c r="A11343" s="1">
        <v>42461</v>
      </c>
      <c r="B11343" t="s">
        <v>5</v>
      </c>
      <c r="C11343" t="s">
        <v>8</v>
      </c>
      <c r="D11343">
        <v>19</v>
      </c>
      <c r="E11343" s="2">
        <v>1.4652777777777778E-2</v>
      </c>
      <c r="F11343">
        <v>21.1</v>
      </c>
    </row>
    <row r="11344" spans="1:6" x14ac:dyDescent="0.25">
      <c r="A11344" s="1">
        <v>42461</v>
      </c>
      <c r="B11344" t="s">
        <v>5</v>
      </c>
      <c r="C11344" t="s">
        <v>9</v>
      </c>
      <c r="D11344">
        <v>3</v>
      </c>
      <c r="E11344" s="2">
        <v>2.2337962962962962E-3</v>
      </c>
      <c r="F11344">
        <v>3.2166666666666668</v>
      </c>
    </row>
    <row r="11345" spans="1:6" x14ac:dyDescent="0.25">
      <c r="A11345" s="1">
        <v>42461</v>
      </c>
      <c r="B11345" t="s">
        <v>5</v>
      </c>
      <c r="C11345" t="s">
        <v>10</v>
      </c>
      <c r="D11345">
        <v>8</v>
      </c>
      <c r="E11345" s="2">
        <v>1.0439814814814815E-2</v>
      </c>
      <c r="F11345">
        <v>15.033333333333333</v>
      </c>
    </row>
    <row r="11346" spans="1:6" x14ac:dyDescent="0.25">
      <c r="A11346" s="1">
        <v>42461</v>
      </c>
      <c r="B11346" t="s">
        <v>5</v>
      </c>
      <c r="C11346" t="s">
        <v>11</v>
      </c>
      <c r="D11346">
        <v>18</v>
      </c>
      <c r="E11346" s="2">
        <v>1.4305555555555556E-2</v>
      </c>
      <c r="F11346">
        <v>20.6</v>
      </c>
    </row>
    <row r="11347" spans="1:6" x14ac:dyDescent="0.25">
      <c r="A11347" s="1">
        <v>42461</v>
      </c>
      <c r="B11347" t="s">
        <v>12</v>
      </c>
      <c r="C11347" t="s">
        <v>6</v>
      </c>
      <c r="D11347">
        <v>47</v>
      </c>
      <c r="E11347" s="2">
        <v>8.0474537037037039E-2</v>
      </c>
      <c r="F11347">
        <v>115.88333333333334</v>
      </c>
    </row>
    <row r="11348" spans="1:6" x14ac:dyDescent="0.25">
      <c r="A11348" s="1">
        <v>42461</v>
      </c>
      <c r="B11348" t="s">
        <v>12</v>
      </c>
      <c r="C11348" t="s">
        <v>7</v>
      </c>
      <c r="D11348">
        <v>20</v>
      </c>
      <c r="E11348" s="2">
        <v>4.2222222222222223E-2</v>
      </c>
      <c r="F11348">
        <v>60.8</v>
      </c>
    </row>
    <row r="11349" spans="1:6" x14ac:dyDescent="0.25">
      <c r="A11349" s="1">
        <v>42461</v>
      </c>
      <c r="B11349" t="s">
        <v>12</v>
      </c>
      <c r="C11349" t="s">
        <v>8</v>
      </c>
      <c r="D11349">
        <v>18</v>
      </c>
      <c r="E11349" s="2">
        <v>2.7650462962962963E-2</v>
      </c>
      <c r="F11349">
        <v>39.81666666666667</v>
      </c>
    </row>
    <row r="11350" spans="1:6" x14ac:dyDescent="0.25">
      <c r="A11350" s="1">
        <v>42461</v>
      </c>
      <c r="B11350" t="s">
        <v>12</v>
      </c>
      <c r="C11350" t="s">
        <v>9</v>
      </c>
      <c r="D11350">
        <v>6</v>
      </c>
      <c r="E11350" s="2">
        <v>4.5023148148148149E-3</v>
      </c>
      <c r="F11350">
        <v>6.4833333333333334</v>
      </c>
    </row>
    <row r="11351" spans="1:6" x14ac:dyDescent="0.25">
      <c r="A11351" s="1">
        <v>42461</v>
      </c>
      <c r="B11351" t="s">
        <v>12</v>
      </c>
      <c r="C11351" t="s">
        <v>10</v>
      </c>
      <c r="D11351">
        <v>29</v>
      </c>
      <c r="E11351" s="2">
        <v>5.4988425925925927E-2</v>
      </c>
      <c r="F11351">
        <v>79.183333333333337</v>
      </c>
    </row>
    <row r="11352" spans="1:6" x14ac:dyDescent="0.25">
      <c r="A11352" s="1">
        <v>42461</v>
      </c>
      <c r="B11352" t="s">
        <v>12</v>
      </c>
      <c r="C11352" t="s">
        <v>11</v>
      </c>
      <c r="D11352">
        <v>43</v>
      </c>
      <c r="E11352" s="2">
        <v>5.7615740740740738E-2</v>
      </c>
      <c r="F11352">
        <v>82.966666666666669</v>
      </c>
    </row>
    <row r="11353" spans="1:6" x14ac:dyDescent="0.25">
      <c r="A11353" s="1">
        <v>42461</v>
      </c>
      <c r="B11353" t="s">
        <v>13</v>
      </c>
      <c r="C11353" t="s">
        <v>6</v>
      </c>
      <c r="D11353">
        <v>66</v>
      </c>
      <c r="E11353" s="2">
        <v>0.10427083333333333</v>
      </c>
      <c r="F11353">
        <v>150.15</v>
      </c>
    </row>
    <row r="11354" spans="1:6" x14ac:dyDescent="0.25">
      <c r="A11354" s="1">
        <v>42461</v>
      </c>
      <c r="B11354" t="s">
        <v>13</v>
      </c>
      <c r="C11354" t="s">
        <v>7</v>
      </c>
      <c r="D11354">
        <v>64</v>
      </c>
      <c r="E11354" s="2">
        <v>0.10989583333333333</v>
      </c>
      <c r="F11354">
        <v>158.25</v>
      </c>
    </row>
    <row r="11355" spans="1:6" x14ac:dyDescent="0.25">
      <c r="A11355" s="1">
        <v>42461</v>
      </c>
      <c r="B11355" t="s">
        <v>13</v>
      </c>
      <c r="C11355" t="s">
        <v>8</v>
      </c>
      <c r="D11355">
        <v>41</v>
      </c>
      <c r="E11355" s="2">
        <v>5.8761574074074077E-2</v>
      </c>
      <c r="F11355">
        <v>84.61666666666666</v>
      </c>
    </row>
    <row r="11356" spans="1:6" x14ac:dyDescent="0.25">
      <c r="A11356" s="1">
        <v>42461</v>
      </c>
      <c r="B11356" t="s">
        <v>13</v>
      </c>
      <c r="C11356" t="s">
        <v>9</v>
      </c>
      <c r="D11356">
        <v>13</v>
      </c>
      <c r="E11356" s="2">
        <v>1.1921296296296296E-2</v>
      </c>
      <c r="F11356">
        <v>17.166666666666668</v>
      </c>
    </row>
    <row r="11357" spans="1:6" x14ac:dyDescent="0.25">
      <c r="A11357" s="1">
        <v>42461</v>
      </c>
      <c r="B11357" t="s">
        <v>13</v>
      </c>
      <c r="C11357" t="s">
        <v>10</v>
      </c>
      <c r="D11357">
        <v>8</v>
      </c>
      <c r="E11357" s="2">
        <v>8.7384259259259255E-3</v>
      </c>
      <c r="F11357">
        <v>12.583333333333334</v>
      </c>
    </row>
    <row r="11358" spans="1:6" x14ac:dyDescent="0.25">
      <c r="A11358" s="1">
        <v>42461</v>
      </c>
      <c r="B11358" t="s">
        <v>13</v>
      </c>
      <c r="C11358" t="s">
        <v>11</v>
      </c>
      <c r="D11358">
        <v>30</v>
      </c>
      <c r="E11358" s="2">
        <v>3.9988425925925927E-2</v>
      </c>
      <c r="F11358">
        <v>57.583333333333336</v>
      </c>
    </row>
    <row r="11359" spans="1:6" x14ac:dyDescent="0.25">
      <c r="A11359" s="1">
        <v>42461</v>
      </c>
      <c r="B11359" t="s">
        <v>14</v>
      </c>
      <c r="C11359" t="s">
        <v>6</v>
      </c>
      <c r="D11359">
        <v>14</v>
      </c>
      <c r="E11359" s="2">
        <v>2.1377314814814814E-2</v>
      </c>
      <c r="F11359">
        <v>30.783333333333335</v>
      </c>
    </row>
    <row r="11360" spans="1:6" x14ac:dyDescent="0.25">
      <c r="A11360" s="1">
        <v>42461</v>
      </c>
      <c r="B11360" t="s">
        <v>14</v>
      </c>
      <c r="C11360" t="s">
        <v>7</v>
      </c>
      <c r="D11360">
        <v>5</v>
      </c>
      <c r="E11360" s="2">
        <v>8.2638888888888883E-3</v>
      </c>
      <c r="F11360">
        <v>11.9</v>
      </c>
    </row>
    <row r="11361" spans="1:6" x14ac:dyDescent="0.25">
      <c r="A11361" s="1">
        <v>42461</v>
      </c>
      <c r="B11361" t="s">
        <v>14</v>
      </c>
      <c r="C11361" t="s">
        <v>8</v>
      </c>
      <c r="D11361">
        <v>8</v>
      </c>
      <c r="E11361" s="2">
        <v>1.1967592592592592E-2</v>
      </c>
      <c r="F11361">
        <v>17.233333333333334</v>
      </c>
    </row>
    <row r="11362" spans="1:6" x14ac:dyDescent="0.25">
      <c r="A11362" s="1">
        <v>42461</v>
      </c>
      <c r="B11362" t="s">
        <v>14</v>
      </c>
      <c r="C11362" t="s">
        <v>9</v>
      </c>
      <c r="D11362">
        <v>0</v>
      </c>
      <c r="E11362" s="2">
        <v>0</v>
      </c>
      <c r="F11362">
        <v>0</v>
      </c>
    </row>
    <row r="11363" spans="1:6" x14ac:dyDescent="0.25">
      <c r="A11363" s="1">
        <v>42461</v>
      </c>
      <c r="B11363" t="s">
        <v>14</v>
      </c>
      <c r="C11363" t="s">
        <v>10</v>
      </c>
      <c r="D11363">
        <v>1</v>
      </c>
      <c r="E11363" s="2">
        <v>1.736111111111111E-3</v>
      </c>
      <c r="F11363">
        <v>2.5</v>
      </c>
    </row>
    <row r="11364" spans="1:6" x14ac:dyDescent="0.25">
      <c r="A11364" s="1">
        <v>42461</v>
      </c>
      <c r="B11364" t="s">
        <v>14</v>
      </c>
      <c r="C11364" t="s">
        <v>11</v>
      </c>
      <c r="D11364">
        <v>8</v>
      </c>
      <c r="E11364" s="2">
        <v>8.773148148148148E-3</v>
      </c>
      <c r="F11364">
        <v>12.633333333333333</v>
      </c>
    </row>
    <row r="11365" spans="1:6" x14ac:dyDescent="0.25">
      <c r="A11365" s="1">
        <v>42461</v>
      </c>
      <c r="B11365" t="s">
        <v>15</v>
      </c>
      <c r="C11365" t="s">
        <v>6</v>
      </c>
      <c r="D11365">
        <v>21</v>
      </c>
      <c r="E11365" s="2">
        <v>2.7870370370370372E-2</v>
      </c>
      <c r="F11365">
        <v>40.133333333333333</v>
      </c>
    </row>
    <row r="11366" spans="1:6" x14ac:dyDescent="0.25">
      <c r="A11366" s="1">
        <v>42461</v>
      </c>
      <c r="B11366" t="s">
        <v>15</v>
      </c>
      <c r="C11366" t="s">
        <v>7</v>
      </c>
      <c r="D11366">
        <v>16</v>
      </c>
      <c r="E11366" s="2">
        <v>2.2025462962962962E-2</v>
      </c>
      <c r="F11366">
        <v>31.716666666666665</v>
      </c>
    </row>
    <row r="11367" spans="1:6" x14ac:dyDescent="0.25">
      <c r="A11367" s="1">
        <v>42461</v>
      </c>
      <c r="B11367" t="s">
        <v>15</v>
      </c>
      <c r="C11367" t="s">
        <v>8</v>
      </c>
      <c r="D11367">
        <v>21</v>
      </c>
      <c r="E11367" s="2">
        <v>2.462962962962963E-2</v>
      </c>
      <c r="F11367">
        <v>35.466666666666669</v>
      </c>
    </row>
    <row r="11368" spans="1:6" x14ac:dyDescent="0.25">
      <c r="A11368" s="1">
        <v>42461</v>
      </c>
      <c r="B11368" t="s">
        <v>15</v>
      </c>
      <c r="C11368" t="s">
        <v>9</v>
      </c>
      <c r="D11368">
        <v>3</v>
      </c>
      <c r="E11368" s="2">
        <v>2.2337962962962962E-3</v>
      </c>
      <c r="F11368">
        <v>3.2166666666666668</v>
      </c>
    </row>
    <row r="11369" spans="1:6" x14ac:dyDescent="0.25">
      <c r="A11369" s="1">
        <v>42461</v>
      </c>
      <c r="B11369" t="s">
        <v>15</v>
      </c>
      <c r="C11369" t="s">
        <v>10</v>
      </c>
      <c r="D11369">
        <v>17</v>
      </c>
      <c r="E11369" s="2">
        <v>2.5335648148148149E-2</v>
      </c>
      <c r="F11369">
        <v>36.483333333333334</v>
      </c>
    </row>
    <row r="11370" spans="1:6" x14ac:dyDescent="0.25">
      <c r="A11370" s="1">
        <v>42461</v>
      </c>
      <c r="B11370" t="s">
        <v>15</v>
      </c>
      <c r="C11370" t="s">
        <v>11</v>
      </c>
      <c r="D11370">
        <v>15</v>
      </c>
      <c r="E11370" s="2">
        <v>1.2847222222222222E-2</v>
      </c>
      <c r="F11370">
        <v>18.5</v>
      </c>
    </row>
    <row r="11371" spans="1:6" x14ac:dyDescent="0.25">
      <c r="A11371" s="1">
        <v>42461</v>
      </c>
      <c r="B11371" t="s">
        <v>16</v>
      </c>
      <c r="C11371" t="s">
        <v>6</v>
      </c>
      <c r="D11371">
        <v>12</v>
      </c>
      <c r="E11371" s="2">
        <v>0.01</v>
      </c>
      <c r="F11371">
        <v>14.4</v>
      </c>
    </row>
    <row r="11372" spans="1:6" x14ac:dyDescent="0.25">
      <c r="A11372" s="1">
        <v>42461</v>
      </c>
      <c r="B11372" t="s">
        <v>16</v>
      </c>
      <c r="C11372" t="s">
        <v>7</v>
      </c>
      <c r="D11372">
        <v>11</v>
      </c>
      <c r="E11372" s="2">
        <v>1.3842592592592592E-2</v>
      </c>
      <c r="F11372">
        <v>19.933333333333334</v>
      </c>
    </row>
    <row r="11373" spans="1:6" x14ac:dyDescent="0.25">
      <c r="A11373" s="1">
        <v>42461</v>
      </c>
      <c r="B11373" t="s">
        <v>16</v>
      </c>
      <c r="C11373" t="s">
        <v>8</v>
      </c>
      <c r="D11373">
        <v>12</v>
      </c>
      <c r="E11373" s="2">
        <v>1.0405092592592593E-2</v>
      </c>
      <c r="F11373">
        <v>14.983333333333333</v>
      </c>
    </row>
    <row r="11374" spans="1:6" x14ac:dyDescent="0.25">
      <c r="A11374" s="1">
        <v>42461</v>
      </c>
      <c r="B11374" t="s">
        <v>16</v>
      </c>
      <c r="C11374" t="s">
        <v>9</v>
      </c>
      <c r="D11374">
        <v>9</v>
      </c>
      <c r="E11374" s="2">
        <v>6.3773148148148148E-3</v>
      </c>
      <c r="F11374">
        <v>9.1833333333333336</v>
      </c>
    </row>
    <row r="11375" spans="1:6" x14ac:dyDescent="0.25">
      <c r="A11375" s="1">
        <v>42461</v>
      </c>
      <c r="B11375" t="s">
        <v>16</v>
      </c>
      <c r="C11375" t="s">
        <v>10</v>
      </c>
      <c r="D11375">
        <v>1</v>
      </c>
      <c r="E11375" s="2">
        <v>5.9027777777777778E-4</v>
      </c>
      <c r="F11375">
        <v>0.85</v>
      </c>
    </row>
    <row r="11376" spans="1:6" x14ac:dyDescent="0.25">
      <c r="A11376" s="1">
        <v>42461</v>
      </c>
      <c r="B11376" t="s">
        <v>16</v>
      </c>
      <c r="C11376" t="s">
        <v>11</v>
      </c>
      <c r="D11376">
        <v>29</v>
      </c>
      <c r="E11376" s="2">
        <v>2.2615740740740742E-2</v>
      </c>
      <c r="F11376">
        <v>32.56666666666667</v>
      </c>
    </row>
    <row r="11377" spans="1:6" x14ac:dyDescent="0.25">
      <c r="A11377" s="1">
        <v>42461</v>
      </c>
      <c r="B11377" t="s">
        <v>17</v>
      </c>
      <c r="C11377" t="s">
        <v>6</v>
      </c>
      <c r="D11377">
        <v>13</v>
      </c>
      <c r="E11377" s="2">
        <v>1.3518518518518518E-2</v>
      </c>
      <c r="F11377">
        <v>19.466666666666665</v>
      </c>
    </row>
    <row r="11378" spans="1:6" x14ac:dyDescent="0.25">
      <c r="A11378" s="1">
        <v>42461</v>
      </c>
      <c r="B11378" t="s">
        <v>17</v>
      </c>
      <c r="C11378" t="s">
        <v>7</v>
      </c>
      <c r="D11378">
        <v>16</v>
      </c>
      <c r="E11378" s="2">
        <v>1.6180555555555556E-2</v>
      </c>
      <c r="F11378">
        <v>23.3</v>
      </c>
    </row>
    <row r="11379" spans="1:6" x14ac:dyDescent="0.25">
      <c r="A11379" s="1">
        <v>42461</v>
      </c>
      <c r="B11379" t="s">
        <v>17</v>
      </c>
      <c r="C11379" t="s">
        <v>8</v>
      </c>
      <c r="D11379">
        <v>14</v>
      </c>
      <c r="E11379" s="2">
        <v>1.8773148148148146E-2</v>
      </c>
      <c r="F11379">
        <v>27.033333333333335</v>
      </c>
    </row>
    <row r="11380" spans="1:6" x14ac:dyDescent="0.25">
      <c r="A11380" s="1">
        <v>42461</v>
      </c>
      <c r="B11380" t="s">
        <v>17</v>
      </c>
      <c r="C11380" t="s">
        <v>9</v>
      </c>
      <c r="D11380">
        <v>3</v>
      </c>
      <c r="E11380" s="2">
        <v>2.9976851851851853E-3</v>
      </c>
      <c r="F11380">
        <v>4.3166666666666664</v>
      </c>
    </row>
    <row r="11381" spans="1:6" x14ac:dyDescent="0.25">
      <c r="A11381" s="1">
        <v>42461</v>
      </c>
      <c r="B11381" t="s">
        <v>17</v>
      </c>
      <c r="C11381" t="s">
        <v>10</v>
      </c>
      <c r="D11381">
        <v>6</v>
      </c>
      <c r="E11381" s="2">
        <v>4.5949074074074078E-3</v>
      </c>
      <c r="F11381">
        <v>6.6166666666666671</v>
      </c>
    </row>
    <row r="11382" spans="1:6" x14ac:dyDescent="0.25">
      <c r="A11382" s="1">
        <v>42461</v>
      </c>
      <c r="B11382" t="s">
        <v>17</v>
      </c>
      <c r="C11382" t="s">
        <v>11</v>
      </c>
      <c r="D11382">
        <v>11</v>
      </c>
      <c r="E11382" s="2">
        <v>8.9004629629629625E-3</v>
      </c>
      <c r="F11382">
        <v>12.816666666666666</v>
      </c>
    </row>
    <row r="11383" spans="1:6" x14ac:dyDescent="0.25">
      <c r="A11383" s="1">
        <v>42461</v>
      </c>
      <c r="B11383" t="s">
        <v>18</v>
      </c>
      <c r="C11383" t="s">
        <v>6</v>
      </c>
      <c r="D11383">
        <v>67</v>
      </c>
      <c r="E11383" s="2">
        <v>7.4479166666666666E-2</v>
      </c>
      <c r="F11383">
        <v>107.25</v>
      </c>
    </row>
    <row r="11384" spans="1:6" x14ac:dyDescent="0.25">
      <c r="A11384" s="1">
        <v>42461</v>
      </c>
      <c r="B11384" t="s">
        <v>18</v>
      </c>
      <c r="C11384" t="s">
        <v>7</v>
      </c>
      <c r="D11384">
        <v>98</v>
      </c>
      <c r="E11384" s="2">
        <v>0.10793981481481481</v>
      </c>
      <c r="F11384">
        <v>155.43333333333334</v>
      </c>
    </row>
    <row r="11385" spans="1:6" x14ac:dyDescent="0.25">
      <c r="A11385" s="1">
        <v>42461</v>
      </c>
      <c r="B11385" t="s">
        <v>18</v>
      </c>
      <c r="C11385" t="s">
        <v>8</v>
      </c>
      <c r="D11385">
        <v>39</v>
      </c>
      <c r="E11385" s="2">
        <v>2.9398148148148149E-2</v>
      </c>
      <c r="F11385">
        <v>42.333333333333336</v>
      </c>
    </row>
    <row r="11386" spans="1:6" x14ac:dyDescent="0.25">
      <c r="A11386" s="1">
        <v>42461</v>
      </c>
      <c r="B11386" t="s">
        <v>18</v>
      </c>
      <c r="C11386" t="s">
        <v>9</v>
      </c>
      <c r="D11386">
        <v>49</v>
      </c>
      <c r="E11386" s="2">
        <v>3.528935185185185E-2</v>
      </c>
      <c r="F11386">
        <v>50.81666666666667</v>
      </c>
    </row>
    <row r="11387" spans="1:6" x14ac:dyDescent="0.25">
      <c r="A11387" s="1">
        <v>42461</v>
      </c>
      <c r="B11387" t="s">
        <v>18</v>
      </c>
      <c r="C11387" t="s">
        <v>10</v>
      </c>
      <c r="D11387">
        <v>106</v>
      </c>
      <c r="E11387" s="2">
        <v>0.12231481481481482</v>
      </c>
      <c r="F11387">
        <v>176.13333333333333</v>
      </c>
    </row>
    <row r="11388" spans="1:6" x14ac:dyDescent="0.25">
      <c r="A11388" s="1">
        <v>42461</v>
      </c>
      <c r="B11388" t="s">
        <v>18</v>
      </c>
      <c r="C11388" t="s">
        <v>11</v>
      </c>
      <c r="D11388">
        <v>59</v>
      </c>
      <c r="E11388" s="2">
        <v>4.0949074074074075E-2</v>
      </c>
      <c r="F11388">
        <v>58.966666666666669</v>
      </c>
    </row>
    <row r="11389" spans="1:6" x14ac:dyDescent="0.25">
      <c r="A11389" s="1">
        <v>42461</v>
      </c>
      <c r="B11389" t="s">
        <v>19</v>
      </c>
      <c r="C11389" t="s">
        <v>6</v>
      </c>
      <c r="D11389">
        <v>21</v>
      </c>
      <c r="E11389" s="2">
        <v>2.2627314814814815E-2</v>
      </c>
      <c r="F11389">
        <v>32.583333333333336</v>
      </c>
    </row>
    <row r="11390" spans="1:6" x14ac:dyDescent="0.25">
      <c r="A11390" s="1">
        <v>42461</v>
      </c>
      <c r="B11390" t="s">
        <v>19</v>
      </c>
      <c r="C11390" t="s">
        <v>7</v>
      </c>
      <c r="D11390">
        <v>39</v>
      </c>
      <c r="E11390" s="2">
        <v>3.5243055555555555E-2</v>
      </c>
      <c r="F11390">
        <v>50.75</v>
      </c>
    </row>
    <row r="11391" spans="1:6" x14ac:dyDescent="0.25">
      <c r="A11391" s="1">
        <v>42461</v>
      </c>
      <c r="B11391" t="s">
        <v>19</v>
      </c>
      <c r="C11391" t="s">
        <v>8</v>
      </c>
      <c r="D11391">
        <v>26</v>
      </c>
      <c r="E11391" s="2">
        <v>2.6354166666666668E-2</v>
      </c>
      <c r="F11391">
        <v>37.950000000000003</v>
      </c>
    </row>
    <row r="11392" spans="1:6" x14ac:dyDescent="0.25">
      <c r="A11392" s="1">
        <v>42461</v>
      </c>
      <c r="B11392" t="s">
        <v>19</v>
      </c>
      <c r="C11392" t="s">
        <v>9</v>
      </c>
      <c r="D11392">
        <v>19</v>
      </c>
      <c r="E11392" s="2">
        <v>1.8842592592592591E-2</v>
      </c>
      <c r="F11392">
        <v>27.133333333333333</v>
      </c>
    </row>
    <row r="11393" spans="1:6" x14ac:dyDescent="0.25">
      <c r="A11393" s="1">
        <v>42461</v>
      </c>
      <c r="B11393" t="s">
        <v>19</v>
      </c>
      <c r="C11393" t="s">
        <v>10</v>
      </c>
      <c r="D11393">
        <v>19</v>
      </c>
      <c r="E11393" s="2">
        <v>2.4236111111111111E-2</v>
      </c>
      <c r="F11393">
        <v>34.9</v>
      </c>
    </row>
    <row r="11394" spans="1:6" x14ac:dyDescent="0.25">
      <c r="A11394" s="1">
        <v>42461</v>
      </c>
      <c r="B11394" t="s">
        <v>19</v>
      </c>
      <c r="C11394" t="s">
        <v>11</v>
      </c>
      <c r="D11394">
        <v>32</v>
      </c>
      <c r="E11394" s="2">
        <v>2.6145833333333333E-2</v>
      </c>
      <c r="F11394">
        <v>37.65</v>
      </c>
    </row>
    <row r="11395" spans="1:6" x14ac:dyDescent="0.25">
      <c r="A11395" s="1">
        <v>42461</v>
      </c>
      <c r="B11395" t="s">
        <v>20</v>
      </c>
      <c r="C11395" t="s">
        <v>6</v>
      </c>
      <c r="D11395">
        <v>39</v>
      </c>
      <c r="E11395" s="2">
        <v>5.2916666666666667E-2</v>
      </c>
      <c r="F11395">
        <v>76.2</v>
      </c>
    </row>
    <row r="11396" spans="1:6" x14ac:dyDescent="0.25">
      <c r="A11396" s="1">
        <v>42461</v>
      </c>
      <c r="B11396" t="s">
        <v>20</v>
      </c>
      <c r="C11396" t="s">
        <v>7</v>
      </c>
      <c r="D11396">
        <v>48</v>
      </c>
      <c r="E11396" s="2">
        <v>5.6990740740740738E-2</v>
      </c>
      <c r="F11396">
        <v>82.066666666666663</v>
      </c>
    </row>
    <row r="11397" spans="1:6" x14ac:dyDescent="0.25">
      <c r="A11397" s="1">
        <v>42461</v>
      </c>
      <c r="B11397" t="s">
        <v>20</v>
      </c>
      <c r="C11397" t="s">
        <v>8</v>
      </c>
      <c r="D11397">
        <v>37</v>
      </c>
      <c r="E11397" s="2">
        <v>4.1724537037037039E-2</v>
      </c>
      <c r="F11397">
        <v>60.083333333333336</v>
      </c>
    </row>
    <row r="11398" spans="1:6" x14ac:dyDescent="0.25">
      <c r="A11398" s="1">
        <v>42461</v>
      </c>
      <c r="B11398" t="s">
        <v>20</v>
      </c>
      <c r="C11398" t="s">
        <v>9</v>
      </c>
      <c r="D11398">
        <v>17</v>
      </c>
      <c r="E11398" s="2">
        <v>1.2453703703703703E-2</v>
      </c>
      <c r="F11398">
        <v>17.933333333333334</v>
      </c>
    </row>
    <row r="11399" spans="1:6" x14ac:dyDescent="0.25">
      <c r="A11399" s="1">
        <v>42461</v>
      </c>
      <c r="B11399" t="s">
        <v>20</v>
      </c>
      <c r="C11399" t="s">
        <v>10</v>
      </c>
      <c r="D11399">
        <v>6</v>
      </c>
      <c r="E11399" s="2">
        <v>1.0173611111111111E-2</v>
      </c>
      <c r="F11399">
        <v>14.65</v>
      </c>
    </row>
    <row r="11400" spans="1:6" x14ac:dyDescent="0.25">
      <c r="A11400" s="1">
        <v>42461</v>
      </c>
      <c r="B11400" t="s">
        <v>20</v>
      </c>
      <c r="C11400" t="s">
        <v>11</v>
      </c>
      <c r="D11400">
        <v>32</v>
      </c>
      <c r="E11400" s="2">
        <v>2.8217592592592593E-2</v>
      </c>
      <c r="F11400">
        <v>40.633333333333333</v>
      </c>
    </row>
    <row r="11401" spans="1:6" x14ac:dyDescent="0.25">
      <c r="A11401" s="1">
        <v>42461</v>
      </c>
      <c r="B11401" t="s">
        <v>21</v>
      </c>
      <c r="C11401" t="s">
        <v>6</v>
      </c>
      <c r="D11401">
        <v>20</v>
      </c>
      <c r="E11401" s="2">
        <v>2.9351851851851851E-2</v>
      </c>
      <c r="F11401">
        <v>42.266666666666666</v>
      </c>
    </row>
    <row r="11402" spans="1:6" x14ac:dyDescent="0.25">
      <c r="A11402" s="1">
        <v>42461</v>
      </c>
      <c r="B11402" t="s">
        <v>21</v>
      </c>
      <c r="C11402" t="s">
        <v>7</v>
      </c>
      <c r="D11402">
        <v>11</v>
      </c>
      <c r="E11402" s="2">
        <v>2.4224537037037037E-2</v>
      </c>
      <c r="F11402">
        <v>34.883333333333333</v>
      </c>
    </row>
    <row r="11403" spans="1:6" x14ac:dyDescent="0.25">
      <c r="A11403" s="1">
        <v>42461</v>
      </c>
      <c r="B11403" t="s">
        <v>21</v>
      </c>
      <c r="C11403" t="s">
        <v>8</v>
      </c>
      <c r="D11403">
        <v>9</v>
      </c>
      <c r="E11403" s="2">
        <v>1.4710648148148148E-2</v>
      </c>
      <c r="F11403">
        <v>21.183333333333334</v>
      </c>
    </row>
    <row r="11404" spans="1:6" x14ac:dyDescent="0.25">
      <c r="A11404" s="1">
        <v>42461</v>
      </c>
      <c r="B11404" t="s">
        <v>21</v>
      </c>
      <c r="C11404" t="s">
        <v>9</v>
      </c>
      <c r="D11404">
        <v>0</v>
      </c>
      <c r="E11404" s="2">
        <v>0</v>
      </c>
      <c r="F11404">
        <v>0</v>
      </c>
    </row>
    <row r="11405" spans="1:6" x14ac:dyDescent="0.25">
      <c r="A11405" s="1">
        <v>42461</v>
      </c>
      <c r="B11405" t="s">
        <v>21</v>
      </c>
      <c r="C11405" t="s">
        <v>10</v>
      </c>
      <c r="D11405">
        <v>4</v>
      </c>
      <c r="E11405" s="2">
        <v>5.138888888888889E-3</v>
      </c>
      <c r="F11405">
        <v>7.4</v>
      </c>
    </row>
    <row r="11406" spans="1:6" x14ac:dyDescent="0.25">
      <c r="A11406" s="1">
        <v>42461</v>
      </c>
      <c r="B11406" t="s">
        <v>21</v>
      </c>
      <c r="C11406" t="s">
        <v>11</v>
      </c>
      <c r="D11406">
        <v>16</v>
      </c>
      <c r="E11406" s="2">
        <v>1.9363425925925926E-2</v>
      </c>
      <c r="F11406">
        <v>27.883333333333333</v>
      </c>
    </row>
    <row r="11407" spans="1:6" x14ac:dyDescent="0.25">
      <c r="A11407" s="1">
        <v>42461</v>
      </c>
      <c r="B11407" t="s">
        <v>22</v>
      </c>
      <c r="C11407" t="s">
        <v>6</v>
      </c>
      <c r="D11407">
        <v>18</v>
      </c>
      <c r="E11407" s="2">
        <v>3.3136574074074075E-2</v>
      </c>
      <c r="F11407">
        <v>47.716666666666669</v>
      </c>
    </row>
    <row r="11408" spans="1:6" x14ac:dyDescent="0.25">
      <c r="A11408" s="1">
        <v>42461</v>
      </c>
      <c r="B11408" t="s">
        <v>22</v>
      </c>
      <c r="C11408" t="s">
        <v>7</v>
      </c>
      <c r="D11408">
        <v>18</v>
      </c>
      <c r="E11408" s="2">
        <v>2.9930555555555554E-2</v>
      </c>
      <c r="F11408">
        <v>43.1</v>
      </c>
    </row>
    <row r="11409" spans="1:6" x14ac:dyDescent="0.25">
      <c r="A11409" s="1">
        <v>42461</v>
      </c>
      <c r="B11409" t="s">
        <v>22</v>
      </c>
      <c r="C11409" t="s">
        <v>8</v>
      </c>
      <c r="D11409">
        <v>12</v>
      </c>
      <c r="E11409" s="2">
        <v>1.4039351851851851E-2</v>
      </c>
      <c r="F11409">
        <v>20.216666666666665</v>
      </c>
    </row>
    <row r="11410" spans="1:6" x14ac:dyDescent="0.25">
      <c r="A11410" s="1">
        <v>42461</v>
      </c>
      <c r="B11410" t="s">
        <v>22</v>
      </c>
      <c r="C11410" t="s">
        <v>9</v>
      </c>
      <c r="D11410">
        <v>1</v>
      </c>
      <c r="E11410" s="2">
        <v>1.8749999999999999E-3</v>
      </c>
      <c r="F11410">
        <v>2.7</v>
      </c>
    </row>
    <row r="11411" spans="1:6" x14ac:dyDescent="0.25">
      <c r="A11411" s="1">
        <v>42461</v>
      </c>
      <c r="B11411" t="s">
        <v>22</v>
      </c>
      <c r="C11411" t="s">
        <v>10</v>
      </c>
      <c r="D11411">
        <v>3</v>
      </c>
      <c r="E11411" s="2">
        <v>2.2800925925925927E-3</v>
      </c>
      <c r="F11411">
        <v>3.2833333333333332</v>
      </c>
    </row>
    <row r="11412" spans="1:6" x14ac:dyDescent="0.25">
      <c r="A11412" s="1">
        <v>42461</v>
      </c>
      <c r="B11412" t="s">
        <v>22</v>
      </c>
      <c r="C11412" t="s">
        <v>11</v>
      </c>
      <c r="D11412">
        <v>16</v>
      </c>
      <c r="E11412" s="2">
        <v>1.6620370370370369E-2</v>
      </c>
      <c r="F11412">
        <v>23.933333333333334</v>
      </c>
    </row>
    <row r="11413" spans="1:6" x14ac:dyDescent="0.25">
      <c r="A11413" s="1">
        <v>42461</v>
      </c>
      <c r="B11413" t="s">
        <v>23</v>
      </c>
      <c r="C11413" t="s">
        <v>6</v>
      </c>
      <c r="D11413">
        <v>105</v>
      </c>
      <c r="E11413" s="2">
        <v>0.15429398148148149</v>
      </c>
      <c r="F11413">
        <v>222.18333333333334</v>
      </c>
    </row>
    <row r="11414" spans="1:6" x14ac:dyDescent="0.25">
      <c r="A11414" s="1">
        <v>42461</v>
      </c>
      <c r="B11414" t="s">
        <v>23</v>
      </c>
      <c r="C11414" t="s">
        <v>7</v>
      </c>
      <c r="D11414">
        <v>122</v>
      </c>
      <c r="E11414" s="2">
        <v>0.18199074074074073</v>
      </c>
      <c r="F11414">
        <v>262.06666666666666</v>
      </c>
    </row>
    <row r="11415" spans="1:6" x14ac:dyDescent="0.25">
      <c r="A11415" s="1">
        <v>42461</v>
      </c>
      <c r="B11415" t="s">
        <v>23</v>
      </c>
      <c r="C11415" t="s">
        <v>8</v>
      </c>
      <c r="D11415">
        <v>100</v>
      </c>
      <c r="E11415" s="2">
        <v>0.11011574074074074</v>
      </c>
      <c r="F11415">
        <v>158.56666666666666</v>
      </c>
    </row>
    <row r="11416" spans="1:6" x14ac:dyDescent="0.25">
      <c r="A11416" s="1">
        <v>42461</v>
      </c>
      <c r="B11416" t="s">
        <v>23</v>
      </c>
      <c r="C11416" t="s">
        <v>9</v>
      </c>
      <c r="D11416">
        <v>50</v>
      </c>
      <c r="E11416" s="2">
        <v>4.116898148148148E-2</v>
      </c>
      <c r="F11416">
        <v>59.283333333333331</v>
      </c>
    </row>
    <row r="11417" spans="1:6" x14ac:dyDescent="0.25">
      <c r="A11417" s="1">
        <v>42461</v>
      </c>
      <c r="B11417" t="s">
        <v>23</v>
      </c>
      <c r="C11417" t="s">
        <v>10</v>
      </c>
      <c r="D11417">
        <v>34</v>
      </c>
      <c r="E11417" s="2">
        <v>4.3194444444444445E-2</v>
      </c>
      <c r="F11417">
        <v>62.2</v>
      </c>
    </row>
    <row r="11418" spans="1:6" x14ac:dyDescent="0.25">
      <c r="A11418" s="1">
        <v>42461</v>
      </c>
      <c r="B11418" t="s">
        <v>23</v>
      </c>
      <c r="C11418" t="s">
        <v>11</v>
      </c>
      <c r="D11418">
        <v>122</v>
      </c>
      <c r="E11418" s="2">
        <v>0.12261574074074075</v>
      </c>
      <c r="F11418">
        <v>176.56666666666666</v>
      </c>
    </row>
    <row r="11419" spans="1:6" x14ac:dyDescent="0.25">
      <c r="A11419" s="1">
        <v>42461</v>
      </c>
      <c r="B11419" t="s">
        <v>24</v>
      </c>
      <c r="C11419" t="s">
        <v>6</v>
      </c>
      <c r="D11419">
        <v>35</v>
      </c>
      <c r="E11419" s="2">
        <v>3.8854166666666669E-2</v>
      </c>
      <c r="F11419">
        <v>55.95</v>
      </c>
    </row>
    <row r="11420" spans="1:6" x14ac:dyDescent="0.25">
      <c r="A11420" s="1">
        <v>42461</v>
      </c>
      <c r="B11420" t="s">
        <v>24</v>
      </c>
      <c r="C11420" t="s">
        <v>7</v>
      </c>
      <c r="D11420">
        <v>26</v>
      </c>
      <c r="E11420" s="2">
        <v>2.7430555555555555E-2</v>
      </c>
      <c r="F11420">
        <v>39.5</v>
      </c>
    </row>
    <row r="11421" spans="1:6" x14ac:dyDescent="0.25">
      <c r="A11421" s="1">
        <v>42461</v>
      </c>
      <c r="B11421" t="s">
        <v>24</v>
      </c>
      <c r="C11421" t="s">
        <v>8</v>
      </c>
      <c r="D11421">
        <v>27</v>
      </c>
      <c r="E11421" s="2">
        <v>1.8784722222222223E-2</v>
      </c>
      <c r="F11421">
        <v>27.05</v>
      </c>
    </row>
    <row r="11422" spans="1:6" x14ac:dyDescent="0.25">
      <c r="A11422" s="1">
        <v>42461</v>
      </c>
      <c r="B11422" t="s">
        <v>24</v>
      </c>
      <c r="C11422" t="s">
        <v>9</v>
      </c>
      <c r="D11422">
        <v>31</v>
      </c>
      <c r="E11422" s="2">
        <v>2.4432870370370369E-2</v>
      </c>
      <c r="F11422">
        <v>35.18333333333333</v>
      </c>
    </row>
    <row r="11423" spans="1:6" x14ac:dyDescent="0.25">
      <c r="A11423" s="1">
        <v>42461</v>
      </c>
      <c r="B11423" t="s">
        <v>24</v>
      </c>
      <c r="C11423" t="s">
        <v>10</v>
      </c>
      <c r="D11423">
        <v>0</v>
      </c>
      <c r="E11423" s="2">
        <v>0</v>
      </c>
      <c r="F11423">
        <v>0</v>
      </c>
    </row>
    <row r="11424" spans="1:6" x14ac:dyDescent="0.25">
      <c r="A11424" s="1">
        <v>42461</v>
      </c>
      <c r="B11424" t="s">
        <v>24</v>
      </c>
      <c r="C11424" t="s">
        <v>11</v>
      </c>
      <c r="D11424">
        <v>28</v>
      </c>
      <c r="E11424" s="2">
        <v>2.1157407407407406E-2</v>
      </c>
      <c r="F11424">
        <v>30.466666666666665</v>
      </c>
    </row>
    <row r="11425" spans="1:6" x14ac:dyDescent="0.25">
      <c r="A11425" s="1">
        <v>42491</v>
      </c>
      <c r="B11425" t="s">
        <v>5</v>
      </c>
      <c r="C11425" t="s">
        <v>6</v>
      </c>
      <c r="D11425">
        <v>97</v>
      </c>
      <c r="E11425" s="2">
        <v>0.10363425925925926</v>
      </c>
      <c r="F11425">
        <v>149.23333333333332</v>
      </c>
    </row>
    <row r="11426" spans="1:6" x14ac:dyDescent="0.25">
      <c r="A11426" s="1">
        <v>42491</v>
      </c>
      <c r="B11426" t="s">
        <v>5</v>
      </c>
      <c r="C11426" t="s">
        <v>7</v>
      </c>
      <c r="D11426">
        <v>125</v>
      </c>
      <c r="E11426" s="2">
        <v>0.1215625</v>
      </c>
      <c r="F11426">
        <v>175.05</v>
      </c>
    </row>
    <row r="11427" spans="1:6" x14ac:dyDescent="0.25">
      <c r="A11427" s="1">
        <v>42491</v>
      </c>
      <c r="B11427" t="s">
        <v>5</v>
      </c>
      <c r="C11427" t="s">
        <v>8</v>
      </c>
      <c r="D11427">
        <v>96</v>
      </c>
      <c r="E11427" s="2">
        <v>8.1296296296296297E-2</v>
      </c>
      <c r="F11427">
        <v>117.06666666666666</v>
      </c>
    </row>
    <row r="11428" spans="1:6" x14ac:dyDescent="0.25">
      <c r="A11428" s="1">
        <v>42491</v>
      </c>
      <c r="B11428" t="s">
        <v>5</v>
      </c>
      <c r="C11428" t="s">
        <v>9</v>
      </c>
      <c r="D11428">
        <v>40</v>
      </c>
      <c r="E11428" s="2">
        <v>3.3680555555555554E-2</v>
      </c>
      <c r="F11428">
        <v>48.5</v>
      </c>
    </row>
    <row r="11429" spans="1:6" x14ac:dyDescent="0.25">
      <c r="A11429" s="1">
        <v>42491</v>
      </c>
      <c r="B11429" t="s">
        <v>5</v>
      </c>
      <c r="C11429" t="s">
        <v>10</v>
      </c>
      <c r="D11429">
        <v>7</v>
      </c>
      <c r="E11429" s="2">
        <v>5.7407407407407407E-3</v>
      </c>
      <c r="F11429">
        <v>8.2666666666666675</v>
      </c>
    </row>
    <row r="11430" spans="1:6" x14ac:dyDescent="0.25">
      <c r="A11430" s="1">
        <v>42491</v>
      </c>
      <c r="B11430" t="s">
        <v>5</v>
      </c>
      <c r="C11430" t="s">
        <v>11</v>
      </c>
      <c r="D11430">
        <v>66</v>
      </c>
      <c r="E11430" s="2">
        <v>6.5451388888888892E-2</v>
      </c>
      <c r="F11430">
        <v>94.25</v>
      </c>
    </row>
    <row r="11431" spans="1:6" x14ac:dyDescent="0.25">
      <c r="A11431" s="1">
        <v>42491</v>
      </c>
      <c r="B11431" t="s">
        <v>12</v>
      </c>
      <c r="C11431" t="s">
        <v>6</v>
      </c>
      <c r="D11431">
        <v>59</v>
      </c>
      <c r="E11431" s="2">
        <v>0.10077546296296297</v>
      </c>
      <c r="F11431">
        <v>145.11666666666667</v>
      </c>
    </row>
    <row r="11432" spans="1:6" x14ac:dyDescent="0.25">
      <c r="A11432" s="1">
        <v>42491</v>
      </c>
      <c r="B11432" t="s">
        <v>12</v>
      </c>
      <c r="C11432" t="s">
        <v>7</v>
      </c>
      <c r="D11432">
        <v>49</v>
      </c>
      <c r="E11432" s="2">
        <v>7.615740740740741E-2</v>
      </c>
      <c r="F11432">
        <v>109.66666666666667</v>
      </c>
    </row>
    <row r="11433" spans="1:6" x14ac:dyDescent="0.25">
      <c r="A11433" s="1">
        <v>42491</v>
      </c>
      <c r="B11433" t="s">
        <v>12</v>
      </c>
      <c r="C11433" t="s">
        <v>8</v>
      </c>
      <c r="D11433">
        <v>42</v>
      </c>
      <c r="E11433" s="2">
        <v>5.303240740740741E-2</v>
      </c>
      <c r="F11433">
        <v>76.36666666666666</v>
      </c>
    </row>
    <row r="11434" spans="1:6" x14ac:dyDescent="0.25">
      <c r="A11434" s="1">
        <v>42491</v>
      </c>
      <c r="B11434" t="s">
        <v>12</v>
      </c>
      <c r="C11434" t="s">
        <v>9</v>
      </c>
      <c r="D11434">
        <v>15</v>
      </c>
      <c r="E11434" s="2">
        <v>1.5335648148148149E-2</v>
      </c>
      <c r="F11434">
        <v>22.083333333333332</v>
      </c>
    </row>
    <row r="11435" spans="1:6" x14ac:dyDescent="0.25">
      <c r="A11435" s="1">
        <v>42491</v>
      </c>
      <c r="B11435" t="s">
        <v>12</v>
      </c>
      <c r="C11435" t="s">
        <v>10</v>
      </c>
      <c r="D11435">
        <v>36</v>
      </c>
      <c r="E11435" s="2">
        <v>6.6562499999999997E-2</v>
      </c>
      <c r="F11435">
        <v>95.85</v>
      </c>
    </row>
    <row r="11436" spans="1:6" x14ac:dyDescent="0.25">
      <c r="A11436" s="1">
        <v>42491</v>
      </c>
      <c r="B11436" t="s">
        <v>12</v>
      </c>
      <c r="C11436" t="s">
        <v>11</v>
      </c>
      <c r="D11436">
        <v>64</v>
      </c>
      <c r="E11436" s="2">
        <v>7.3576388888888886E-2</v>
      </c>
      <c r="F11436">
        <v>105.95</v>
      </c>
    </row>
    <row r="11437" spans="1:6" x14ac:dyDescent="0.25">
      <c r="A11437" s="1">
        <v>42491</v>
      </c>
      <c r="B11437" t="s">
        <v>13</v>
      </c>
      <c r="C11437" t="s">
        <v>6</v>
      </c>
      <c r="D11437">
        <v>42</v>
      </c>
      <c r="E11437" s="2">
        <v>6.7500000000000004E-2</v>
      </c>
      <c r="F11437">
        <v>97.2</v>
      </c>
    </row>
    <row r="11438" spans="1:6" x14ac:dyDescent="0.25">
      <c r="A11438" s="1">
        <v>42491</v>
      </c>
      <c r="B11438" t="s">
        <v>13</v>
      </c>
      <c r="C11438" t="s">
        <v>7</v>
      </c>
      <c r="D11438">
        <v>69</v>
      </c>
      <c r="E11438" s="2">
        <v>0.12002314814814814</v>
      </c>
      <c r="F11438">
        <v>172.83333333333334</v>
      </c>
    </row>
    <row r="11439" spans="1:6" x14ac:dyDescent="0.25">
      <c r="A11439" s="1">
        <v>42491</v>
      </c>
      <c r="B11439" t="s">
        <v>13</v>
      </c>
      <c r="C11439" t="s">
        <v>8</v>
      </c>
      <c r="D11439">
        <v>27</v>
      </c>
      <c r="E11439" s="2">
        <v>4.099537037037037E-2</v>
      </c>
      <c r="F11439">
        <v>59.033333333333331</v>
      </c>
    </row>
    <row r="11440" spans="1:6" x14ac:dyDescent="0.25">
      <c r="A11440" s="1">
        <v>42491</v>
      </c>
      <c r="B11440" t="s">
        <v>13</v>
      </c>
      <c r="C11440" t="s">
        <v>9</v>
      </c>
      <c r="D11440">
        <v>6</v>
      </c>
      <c r="E11440" s="2">
        <v>3.8310185185185183E-3</v>
      </c>
      <c r="F11440">
        <v>5.5166666666666666</v>
      </c>
    </row>
    <row r="11441" spans="1:6" x14ac:dyDescent="0.25">
      <c r="A11441" s="1">
        <v>42491</v>
      </c>
      <c r="B11441" t="s">
        <v>13</v>
      </c>
      <c r="C11441" t="s">
        <v>10</v>
      </c>
      <c r="D11441">
        <v>18</v>
      </c>
      <c r="E11441" s="2">
        <v>2.2731481481481481E-2</v>
      </c>
      <c r="F11441">
        <v>32.733333333333334</v>
      </c>
    </row>
    <row r="11442" spans="1:6" x14ac:dyDescent="0.25">
      <c r="A11442" s="1">
        <v>42491</v>
      </c>
      <c r="B11442" t="s">
        <v>13</v>
      </c>
      <c r="C11442" t="s">
        <v>11</v>
      </c>
      <c r="D11442">
        <v>38</v>
      </c>
      <c r="E11442" s="2">
        <v>4.5729166666666668E-2</v>
      </c>
      <c r="F11442">
        <v>65.849999999999994</v>
      </c>
    </row>
    <row r="11443" spans="1:6" x14ac:dyDescent="0.25">
      <c r="A11443" s="1">
        <v>42491</v>
      </c>
      <c r="B11443" t="s">
        <v>14</v>
      </c>
      <c r="C11443" t="s">
        <v>6</v>
      </c>
      <c r="D11443">
        <v>15</v>
      </c>
      <c r="E11443" s="2">
        <v>2.2731481481481481E-2</v>
      </c>
      <c r="F11443">
        <v>32.733333333333334</v>
      </c>
    </row>
    <row r="11444" spans="1:6" x14ac:dyDescent="0.25">
      <c r="A11444" s="1">
        <v>42491</v>
      </c>
      <c r="B11444" t="s">
        <v>14</v>
      </c>
      <c r="C11444" t="s">
        <v>7</v>
      </c>
      <c r="D11444">
        <v>12</v>
      </c>
      <c r="E11444" s="2">
        <v>2.1851851851851851E-2</v>
      </c>
      <c r="F11444">
        <v>31.466666666666665</v>
      </c>
    </row>
    <row r="11445" spans="1:6" x14ac:dyDescent="0.25">
      <c r="A11445" s="1">
        <v>42491</v>
      </c>
      <c r="B11445" t="s">
        <v>14</v>
      </c>
      <c r="C11445" t="s">
        <v>8</v>
      </c>
      <c r="D11445">
        <v>12</v>
      </c>
      <c r="E11445" s="2">
        <v>1.6840277777777777E-2</v>
      </c>
      <c r="F11445">
        <v>24.25</v>
      </c>
    </row>
    <row r="11446" spans="1:6" x14ac:dyDescent="0.25">
      <c r="A11446" s="1">
        <v>42491</v>
      </c>
      <c r="B11446" t="s">
        <v>14</v>
      </c>
      <c r="C11446" t="s">
        <v>9</v>
      </c>
      <c r="D11446">
        <v>1</v>
      </c>
      <c r="E11446" s="2">
        <v>8.9120370370370373E-4</v>
      </c>
      <c r="F11446">
        <v>1.2833333333333332</v>
      </c>
    </row>
    <row r="11447" spans="1:6" x14ac:dyDescent="0.25">
      <c r="A11447" s="1">
        <v>42491</v>
      </c>
      <c r="B11447" t="s">
        <v>14</v>
      </c>
      <c r="C11447" t="s">
        <v>10</v>
      </c>
      <c r="D11447">
        <v>2</v>
      </c>
      <c r="E11447" s="2">
        <v>3.9004629629629628E-3</v>
      </c>
      <c r="F11447">
        <v>5.6166666666666671</v>
      </c>
    </row>
    <row r="11448" spans="1:6" x14ac:dyDescent="0.25">
      <c r="A11448" s="1">
        <v>42491</v>
      </c>
      <c r="B11448" t="s">
        <v>14</v>
      </c>
      <c r="C11448" t="s">
        <v>11</v>
      </c>
      <c r="D11448">
        <v>12</v>
      </c>
      <c r="E11448" s="2">
        <v>1.6319444444444445E-2</v>
      </c>
      <c r="F11448">
        <v>23.5</v>
      </c>
    </row>
    <row r="11449" spans="1:6" x14ac:dyDescent="0.25">
      <c r="A11449" s="1">
        <v>42491</v>
      </c>
      <c r="B11449" t="s">
        <v>15</v>
      </c>
      <c r="C11449" t="s">
        <v>6</v>
      </c>
      <c r="D11449">
        <v>19</v>
      </c>
      <c r="E11449" s="2">
        <v>2.2094907407407407E-2</v>
      </c>
      <c r="F11449">
        <v>31.816666666666666</v>
      </c>
    </row>
    <row r="11450" spans="1:6" x14ac:dyDescent="0.25">
      <c r="A11450" s="1">
        <v>42491</v>
      </c>
      <c r="B11450" t="s">
        <v>15</v>
      </c>
      <c r="C11450" t="s">
        <v>7</v>
      </c>
      <c r="D11450">
        <v>22</v>
      </c>
      <c r="E11450" s="2">
        <v>3.5231481481481482E-2</v>
      </c>
      <c r="F11450">
        <v>50.733333333333334</v>
      </c>
    </row>
    <row r="11451" spans="1:6" x14ac:dyDescent="0.25">
      <c r="A11451" s="1">
        <v>42491</v>
      </c>
      <c r="B11451" t="s">
        <v>15</v>
      </c>
      <c r="C11451" t="s">
        <v>8</v>
      </c>
      <c r="D11451">
        <v>14</v>
      </c>
      <c r="E11451" s="2">
        <v>1.3229166666666667E-2</v>
      </c>
      <c r="F11451">
        <v>19.05</v>
      </c>
    </row>
    <row r="11452" spans="1:6" x14ac:dyDescent="0.25">
      <c r="A11452" s="1">
        <v>42491</v>
      </c>
      <c r="B11452" t="s">
        <v>15</v>
      </c>
      <c r="C11452" t="s">
        <v>9</v>
      </c>
      <c r="D11452">
        <v>4</v>
      </c>
      <c r="E11452" s="2">
        <v>3.2291666666666666E-3</v>
      </c>
      <c r="F11452">
        <v>4.6500000000000004</v>
      </c>
    </row>
    <row r="11453" spans="1:6" x14ac:dyDescent="0.25">
      <c r="A11453" s="1">
        <v>42491</v>
      </c>
      <c r="B11453" t="s">
        <v>15</v>
      </c>
      <c r="C11453" t="s">
        <v>10</v>
      </c>
      <c r="D11453">
        <v>8</v>
      </c>
      <c r="E11453" s="2">
        <v>1.4166666666666666E-2</v>
      </c>
      <c r="F11453">
        <v>20.399999999999999</v>
      </c>
    </row>
    <row r="11454" spans="1:6" x14ac:dyDescent="0.25">
      <c r="A11454" s="1">
        <v>42491</v>
      </c>
      <c r="B11454" t="s">
        <v>15</v>
      </c>
      <c r="C11454" t="s">
        <v>11</v>
      </c>
      <c r="D11454">
        <v>8</v>
      </c>
      <c r="E11454" s="2">
        <v>8.3101851851851843E-3</v>
      </c>
      <c r="F11454">
        <v>11.966666666666667</v>
      </c>
    </row>
    <row r="11455" spans="1:6" x14ac:dyDescent="0.25">
      <c r="A11455" s="1">
        <v>42491</v>
      </c>
      <c r="B11455" t="s">
        <v>16</v>
      </c>
      <c r="C11455" t="s">
        <v>6</v>
      </c>
      <c r="D11455">
        <v>18</v>
      </c>
      <c r="E11455" s="2">
        <v>2.2604166666666668E-2</v>
      </c>
      <c r="F11455">
        <v>32.549999999999997</v>
      </c>
    </row>
    <row r="11456" spans="1:6" x14ac:dyDescent="0.25">
      <c r="A11456" s="1">
        <v>42491</v>
      </c>
      <c r="B11456" t="s">
        <v>16</v>
      </c>
      <c r="C11456" t="s">
        <v>7</v>
      </c>
      <c r="D11456">
        <v>21</v>
      </c>
      <c r="E11456" s="2">
        <v>1.6967592592592593E-2</v>
      </c>
      <c r="F11456">
        <v>24.433333333333334</v>
      </c>
    </row>
    <row r="11457" spans="1:6" x14ac:dyDescent="0.25">
      <c r="A11457" s="1">
        <v>42491</v>
      </c>
      <c r="B11457" t="s">
        <v>16</v>
      </c>
      <c r="C11457" t="s">
        <v>8</v>
      </c>
      <c r="D11457">
        <v>23</v>
      </c>
      <c r="E11457" s="2">
        <v>1.6655092592592593E-2</v>
      </c>
      <c r="F11457">
        <v>23.983333333333334</v>
      </c>
    </row>
    <row r="11458" spans="1:6" x14ac:dyDescent="0.25">
      <c r="A11458" s="1">
        <v>42491</v>
      </c>
      <c r="B11458" t="s">
        <v>16</v>
      </c>
      <c r="C11458" t="s">
        <v>9</v>
      </c>
      <c r="D11458">
        <v>12</v>
      </c>
      <c r="E11458" s="2">
        <v>7.6504629629629631E-3</v>
      </c>
      <c r="F11458">
        <v>11.016666666666667</v>
      </c>
    </row>
    <row r="11459" spans="1:6" x14ac:dyDescent="0.25">
      <c r="A11459" s="1">
        <v>42491</v>
      </c>
      <c r="B11459" t="s">
        <v>16</v>
      </c>
      <c r="C11459" t="s">
        <v>10</v>
      </c>
      <c r="D11459">
        <v>4</v>
      </c>
      <c r="E11459" s="2">
        <v>2.5347222222222221E-3</v>
      </c>
      <c r="F11459">
        <v>3.65</v>
      </c>
    </row>
    <row r="11460" spans="1:6" x14ac:dyDescent="0.25">
      <c r="A11460" s="1">
        <v>42491</v>
      </c>
      <c r="B11460" t="s">
        <v>16</v>
      </c>
      <c r="C11460" t="s">
        <v>11</v>
      </c>
      <c r="D11460">
        <v>39</v>
      </c>
      <c r="E11460" s="2">
        <v>2.8287037037037038E-2</v>
      </c>
      <c r="F11460">
        <v>40.733333333333334</v>
      </c>
    </row>
    <row r="11461" spans="1:6" x14ac:dyDescent="0.25">
      <c r="A11461" s="1">
        <v>42491</v>
      </c>
      <c r="B11461" t="s">
        <v>17</v>
      </c>
      <c r="C11461" t="s">
        <v>6</v>
      </c>
      <c r="D11461">
        <v>15</v>
      </c>
      <c r="E11461" s="2">
        <v>1.6932870370370369E-2</v>
      </c>
      <c r="F11461">
        <v>24.383333333333333</v>
      </c>
    </row>
    <row r="11462" spans="1:6" x14ac:dyDescent="0.25">
      <c r="A11462" s="1">
        <v>42491</v>
      </c>
      <c r="B11462" t="s">
        <v>17</v>
      </c>
      <c r="C11462" t="s">
        <v>7</v>
      </c>
      <c r="D11462">
        <v>20</v>
      </c>
      <c r="E11462" s="2">
        <v>2.2812499999999999E-2</v>
      </c>
      <c r="F11462">
        <v>32.85</v>
      </c>
    </row>
    <row r="11463" spans="1:6" x14ac:dyDescent="0.25">
      <c r="A11463" s="1">
        <v>42491</v>
      </c>
      <c r="B11463" t="s">
        <v>17</v>
      </c>
      <c r="C11463" t="s">
        <v>8</v>
      </c>
      <c r="D11463">
        <v>12</v>
      </c>
      <c r="E11463" s="2">
        <v>2.0219907407407409E-2</v>
      </c>
      <c r="F11463">
        <v>29.116666666666667</v>
      </c>
    </row>
    <row r="11464" spans="1:6" x14ac:dyDescent="0.25">
      <c r="A11464" s="1">
        <v>42491</v>
      </c>
      <c r="B11464" t="s">
        <v>17</v>
      </c>
      <c r="C11464" t="s">
        <v>9</v>
      </c>
      <c r="D11464">
        <v>8</v>
      </c>
      <c r="E11464" s="2">
        <v>6.2847222222222219E-3</v>
      </c>
      <c r="F11464">
        <v>9.0500000000000007</v>
      </c>
    </row>
    <row r="11465" spans="1:6" x14ac:dyDescent="0.25">
      <c r="A11465" s="1">
        <v>42491</v>
      </c>
      <c r="B11465" t="s">
        <v>17</v>
      </c>
      <c r="C11465" t="s">
        <v>10</v>
      </c>
      <c r="D11465">
        <v>14</v>
      </c>
      <c r="E11465" s="2">
        <v>1.7106481481481483E-2</v>
      </c>
      <c r="F11465">
        <v>24.633333333333333</v>
      </c>
    </row>
    <row r="11466" spans="1:6" x14ac:dyDescent="0.25">
      <c r="A11466" s="1">
        <v>42491</v>
      </c>
      <c r="B11466" t="s">
        <v>17</v>
      </c>
      <c r="C11466" t="s">
        <v>11</v>
      </c>
      <c r="D11466">
        <v>16</v>
      </c>
      <c r="E11466" s="2">
        <v>1.207175925925926E-2</v>
      </c>
      <c r="F11466">
        <v>17.383333333333333</v>
      </c>
    </row>
    <row r="11467" spans="1:6" x14ac:dyDescent="0.25">
      <c r="A11467" s="1">
        <v>42491</v>
      </c>
      <c r="B11467" t="s">
        <v>18</v>
      </c>
      <c r="C11467" t="s">
        <v>6</v>
      </c>
      <c r="D11467">
        <v>37</v>
      </c>
      <c r="E11467" s="2">
        <v>3.7662037037037036E-2</v>
      </c>
      <c r="F11467">
        <v>54.233333333333334</v>
      </c>
    </row>
    <row r="11468" spans="1:6" x14ac:dyDescent="0.25">
      <c r="A11468" s="1">
        <v>42491</v>
      </c>
      <c r="B11468" t="s">
        <v>18</v>
      </c>
      <c r="C11468" t="s">
        <v>7</v>
      </c>
      <c r="D11468">
        <v>82</v>
      </c>
      <c r="E11468" s="2">
        <v>7.3923611111111107E-2</v>
      </c>
      <c r="F11468">
        <v>106.45</v>
      </c>
    </row>
    <row r="11469" spans="1:6" x14ac:dyDescent="0.25">
      <c r="A11469" s="1">
        <v>42491</v>
      </c>
      <c r="B11469" t="s">
        <v>18</v>
      </c>
      <c r="C11469" t="s">
        <v>8</v>
      </c>
      <c r="D11469">
        <v>31</v>
      </c>
      <c r="E11469" s="2">
        <v>1.6863425925925928E-2</v>
      </c>
      <c r="F11469">
        <v>24.283333333333335</v>
      </c>
    </row>
    <row r="11470" spans="1:6" x14ac:dyDescent="0.25">
      <c r="A11470" s="1">
        <v>42491</v>
      </c>
      <c r="B11470" t="s">
        <v>18</v>
      </c>
      <c r="C11470" t="s">
        <v>9</v>
      </c>
      <c r="D11470">
        <v>43</v>
      </c>
      <c r="E11470" s="2">
        <v>3.453703703703704E-2</v>
      </c>
      <c r="F11470">
        <v>49.733333333333334</v>
      </c>
    </row>
    <row r="11471" spans="1:6" x14ac:dyDescent="0.25">
      <c r="A11471" s="1">
        <v>42491</v>
      </c>
      <c r="B11471" t="s">
        <v>18</v>
      </c>
      <c r="C11471" t="s">
        <v>10</v>
      </c>
      <c r="D11471">
        <v>140</v>
      </c>
      <c r="E11471" s="2">
        <v>0.16457175925925926</v>
      </c>
      <c r="F11471">
        <v>236.98333333333332</v>
      </c>
    </row>
    <row r="11472" spans="1:6" x14ac:dyDescent="0.25">
      <c r="A11472" s="1">
        <v>42491</v>
      </c>
      <c r="B11472" t="s">
        <v>18</v>
      </c>
      <c r="C11472" t="s">
        <v>11</v>
      </c>
      <c r="D11472">
        <v>46</v>
      </c>
      <c r="E11472" s="2">
        <v>2.599537037037037E-2</v>
      </c>
      <c r="F11472">
        <v>37.43333333333333</v>
      </c>
    </row>
    <row r="11473" spans="1:6" x14ac:dyDescent="0.25">
      <c r="A11473" s="1">
        <v>42491</v>
      </c>
      <c r="B11473" t="s">
        <v>19</v>
      </c>
      <c r="C11473" t="s">
        <v>6</v>
      </c>
      <c r="D11473">
        <v>17</v>
      </c>
      <c r="E11473" s="2">
        <v>1.9375E-2</v>
      </c>
      <c r="F11473">
        <v>27.9</v>
      </c>
    </row>
    <row r="11474" spans="1:6" x14ac:dyDescent="0.25">
      <c r="A11474" s="1">
        <v>42491</v>
      </c>
      <c r="B11474" t="s">
        <v>19</v>
      </c>
      <c r="C11474" t="s">
        <v>7</v>
      </c>
      <c r="D11474">
        <v>19</v>
      </c>
      <c r="E11474" s="2">
        <v>2.3275462962962963E-2</v>
      </c>
      <c r="F11474">
        <v>33.516666666666666</v>
      </c>
    </row>
    <row r="11475" spans="1:6" x14ac:dyDescent="0.25">
      <c r="A11475" s="1">
        <v>42491</v>
      </c>
      <c r="B11475" t="s">
        <v>19</v>
      </c>
      <c r="C11475" t="s">
        <v>8</v>
      </c>
      <c r="D11475">
        <v>20</v>
      </c>
      <c r="E11475" s="2">
        <v>2.162037037037037E-2</v>
      </c>
      <c r="F11475">
        <v>31.133333333333333</v>
      </c>
    </row>
    <row r="11476" spans="1:6" x14ac:dyDescent="0.25">
      <c r="A11476" s="1">
        <v>42491</v>
      </c>
      <c r="B11476" t="s">
        <v>19</v>
      </c>
      <c r="C11476" t="s">
        <v>9</v>
      </c>
      <c r="D11476">
        <v>18</v>
      </c>
      <c r="E11476" s="2">
        <v>1.3657407407407408E-2</v>
      </c>
      <c r="F11476">
        <v>19.666666666666668</v>
      </c>
    </row>
    <row r="11477" spans="1:6" x14ac:dyDescent="0.25">
      <c r="A11477" s="1">
        <v>42491</v>
      </c>
      <c r="B11477" t="s">
        <v>19</v>
      </c>
      <c r="C11477" t="s">
        <v>10</v>
      </c>
      <c r="D11477">
        <v>9</v>
      </c>
      <c r="E11477" s="2">
        <v>1.3263888888888889E-2</v>
      </c>
      <c r="F11477">
        <v>19.100000000000001</v>
      </c>
    </row>
    <row r="11478" spans="1:6" x14ac:dyDescent="0.25">
      <c r="A11478" s="1">
        <v>42491</v>
      </c>
      <c r="B11478" t="s">
        <v>19</v>
      </c>
      <c r="C11478" t="s">
        <v>11</v>
      </c>
      <c r="D11478">
        <v>26</v>
      </c>
      <c r="E11478" s="2">
        <v>2.2592592592592591E-2</v>
      </c>
      <c r="F11478">
        <v>32.533333333333331</v>
      </c>
    </row>
    <row r="11479" spans="1:6" x14ac:dyDescent="0.25">
      <c r="A11479" s="1">
        <v>42491</v>
      </c>
      <c r="B11479" t="s">
        <v>20</v>
      </c>
      <c r="C11479" t="s">
        <v>6</v>
      </c>
      <c r="D11479">
        <v>42</v>
      </c>
      <c r="E11479" s="2">
        <v>6.3009259259259265E-2</v>
      </c>
      <c r="F11479">
        <v>90.733333333333334</v>
      </c>
    </row>
    <row r="11480" spans="1:6" x14ac:dyDescent="0.25">
      <c r="A11480" s="1">
        <v>42491</v>
      </c>
      <c r="B11480" t="s">
        <v>20</v>
      </c>
      <c r="C11480" t="s">
        <v>7</v>
      </c>
      <c r="D11480">
        <v>56</v>
      </c>
      <c r="E11480" s="2">
        <v>6.6770833333333335E-2</v>
      </c>
      <c r="F11480">
        <v>96.15</v>
      </c>
    </row>
    <row r="11481" spans="1:6" x14ac:dyDescent="0.25">
      <c r="A11481" s="1">
        <v>42491</v>
      </c>
      <c r="B11481" t="s">
        <v>20</v>
      </c>
      <c r="C11481" t="s">
        <v>8</v>
      </c>
      <c r="D11481">
        <v>34</v>
      </c>
      <c r="E11481" s="2">
        <v>3.8101851851851852E-2</v>
      </c>
      <c r="F11481">
        <v>54.866666666666667</v>
      </c>
    </row>
    <row r="11482" spans="1:6" x14ac:dyDescent="0.25">
      <c r="A11482" s="1">
        <v>42491</v>
      </c>
      <c r="B11482" t="s">
        <v>20</v>
      </c>
      <c r="C11482" t="s">
        <v>9</v>
      </c>
      <c r="D11482">
        <v>22</v>
      </c>
      <c r="E11482" s="2">
        <v>2.0381944444444446E-2</v>
      </c>
      <c r="F11482">
        <v>29.35</v>
      </c>
    </row>
    <row r="11483" spans="1:6" x14ac:dyDescent="0.25">
      <c r="A11483" s="1">
        <v>42491</v>
      </c>
      <c r="B11483" t="s">
        <v>20</v>
      </c>
      <c r="C11483" t="s">
        <v>10</v>
      </c>
      <c r="D11483">
        <v>14</v>
      </c>
      <c r="E11483" s="2">
        <v>2.0439814814814813E-2</v>
      </c>
      <c r="F11483">
        <v>29.433333333333334</v>
      </c>
    </row>
    <row r="11484" spans="1:6" x14ac:dyDescent="0.25">
      <c r="A11484" s="1">
        <v>42491</v>
      </c>
      <c r="B11484" t="s">
        <v>20</v>
      </c>
      <c r="C11484" t="s">
        <v>11</v>
      </c>
      <c r="D11484">
        <v>35</v>
      </c>
      <c r="E11484" s="2">
        <v>3.4004629629629628E-2</v>
      </c>
      <c r="F11484">
        <v>48.966666666666669</v>
      </c>
    </row>
    <row r="11485" spans="1:6" x14ac:dyDescent="0.25">
      <c r="A11485" s="1">
        <v>42491</v>
      </c>
      <c r="B11485" t="s">
        <v>21</v>
      </c>
      <c r="C11485" t="s">
        <v>6</v>
      </c>
      <c r="D11485">
        <v>13</v>
      </c>
      <c r="E11485" s="2">
        <v>2.2546296296296297E-2</v>
      </c>
      <c r="F11485">
        <v>32.466666666666669</v>
      </c>
    </row>
    <row r="11486" spans="1:6" x14ac:dyDescent="0.25">
      <c r="A11486" s="1">
        <v>42491</v>
      </c>
      <c r="B11486" t="s">
        <v>21</v>
      </c>
      <c r="C11486" t="s">
        <v>7</v>
      </c>
      <c r="D11486">
        <v>10</v>
      </c>
      <c r="E11486" s="2">
        <v>2.1701388888888888E-2</v>
      </c>
      <c r="F11486">
        <v>31.25</v>
      </c>
    </row>
    <row r="11487" spans="1:6" x14ac:dyDescent="0.25">
      <c r="A11487" s="1">
        <v>42491</v>
      </c>
      <c r="B11487" t="s">
        <v>21</v>
      </c>
      <c r="C11487" t="s">
        <v>8</v>
      </c>
      <c r="D11487">
        <v>6</v>
      </c>
      <c r="E11487" s="2">
        <v>8.5763888888888886E-3</v>
      </c>
      <c r="F11487">
        <v>12.35</v>
      </c>
    </row>
    <row r="11488" spans="1:6" x14ac:dyDescent="0.25">
      <c r="A11488" s="1">
        <v>42491</v>
      </c>
      <c r="B11488" t="s">
        <v>21</v>
      </c>
      <c r="C11488" t="s">
        <v>9</v>
      </c>
      <c r="D11488">
        <v>1</v>
      </c>
      <c r="E11488" s="2">
        <v>1.2037037037037038E-3</v>
      </c>
      <c r="F11488">
        <v>1.7333333333333334</v>
      </c>
    </row>
    <row r="11489" spans="1:6" x14ac:dyDescent="0.25">
      <c r="A11489" s="1">
        <v>42491</v>
      </c>
      <c r="B11489" t="s">
        <v>21</v>
      </c>
      <c r="C11489" t="s">
        <v>10</v>
      </c>
      <c r="D11489">
        <v>1</v>
      </c>
      <c r="E11489" s="2">
        <v>2.3148148148148149E-4</v>
      </c>
      <c r="F11489">
        <v>0.33333333333333331</v>
      </c>
    </row>
    <row r="11490" spans="1:6" x14ac:dyDescent="0.25">
      <c r="A11490" s="1">
        <v>42491</v>
      </c>
      <c r="B11490" t="s">
        <v>21</v>
      </c>
      <c r="C11490" t="s">
        <v>11</v>
      </c>
      <c r="D11490">
        <v>21</v>
      </c>
      <c r="E11490" s="2">
        <v>2.5462962962962962E-2</v>
      </c>
      <c r="F11490">
        <v>36.666666666666664</v>
      </c>
    </row>
    <row r="11491" spans="1:6" x14ac:dyDescent="0.25">
      <c r="A11491" s="1">
        <v>42491</v>
      </c>
      <c r="B11491" t="s">
        <v>22</v>
      </c>
      <c r="C11491" t="s">
        <v>6</v>
      </c>
      <c r="D11491">
        <v>19</v>
      </c>
      <c r="E11491" s="2">
        <v>2.6712962962962963E-2</v>
      </c>
      <c r="F11491">
        <v>38.466666666666669</v>
      </c>
    </row>
    <row r="11492" spans="1:6" x14ac:dyDescent="0.25">
      <c r="A11492" s="1">
        <v>42491</v>
      </c>
      <c r="B11492" t="s">
        <v>22</v>
      </c>
      <c r="C11492" t="s">
        <v>7</v>
      </c>
      <c r="D11492">
        <v>9</v>
      </c>
      <c r="E11492" s="2">
        <v>1.2916666666666667E-2</v>
      </c>
      <c r="F11492">
        <v>18.600000000000001</v>
      </c>
    </row>
    <row r="11493" spans="1:6" x14ac:dyDescent="0.25">
      <c r="A11493" s="1">
        <v>42491</v>
      </c>
      <c r="B11493" t="s">
        <v>22</v>
      </c>
      <c r="C11493" t="s">
        <v>8</v>
      </c>
      <c r="D11493">
        <v>10</v>
      </c>
      <c r="E11493" s="2">
        <v>2.105324074074074E-2</v>
      </c>
      <c r="F11493">
        <v>30.316666666666666</v>
      </c>
    </row>
    <row r="11494" spans="1:6" x14ac:dyDescent="0.25">
      <c r="A11494" s="1">
        <v>42491</v>
      </c>
      <c r="B11494" t="s">
        <v>22</v>
      </c>
      <c r="C11494" t="s">
        <v>9</v>
      </c>
      <c r="D11494">
        <v>2</v>
      </c>
      <c r="E11494" s="2">
        <v>1.1226851851851851E-3</v>
      </c>
      <c r="F11494">
        <v>1.6166666666666667</v>
      </c>
    </row>
    <row r="11495" spans="1:6" x14ac:dyDescent="0.25">
      <c r="A11495" s="1">
        <v>42491</v>
      </c>
      <c r="B11495" t="s">
        <v>22</v>
      </c>
      <c r="C11495" t="s">
        <v>10</v>
      </c>
      <c r="D11495">
        <v>6</v>
      </c>
      <c r="E11495" s="2">
        <v>5.3125000000000004E-3</v>
      </c>
      <c r="F11495">
        <v>7.65</v>
      </c>
    </row>
    <row r="11496" spans="1:6" x14ac:dyDescent="0.25">
      <c r="A11496" s="1">
        <v>42491</v>
      </c>
      <c r="B11496" t="s">
        <v>22</v>
      </c>
      <c r="C11496" t="s">
        <v>11</v>
      </c>
      <c r="D11496">
        <v>11</v>
      </c>
      <c r="E11496" s="2">
        <v>1.3344907407407408E-2</v>
      </c>
      <c r="F11496">
        <v>19.216666666666665</v>
      </c>
    </row>
    <row r="11497" spans="1:6" x14ac:dyDescent="0.25">
      <c r="A11497" s="1">
        <v>42491</v>
      </c>
      <c r="B11497" t="s">
        <v>23</v>
      </c>
      <c r="C11497" t="s">
        <v>6</v>
      </c>
      <c r="D11497">
        <v>156</v>
      </c>
      <c r="E11497" s="2">
        <v>0.19994212962962962</v>
      </c>
      <c r="F11497">
        <v>287.91666666666669</v>
      </c>
    </row>
    <row r="11498" spans="1:6" x14ac:dyDescent="0.25">
      <c r="A11498" s="1">
        <v>42491</v>
      </c>
      <c r="B11498" t="s">
        <v>23</v>
      </c>
      <c r="C11498" t="s">
        <v>7</v>
      </c>
      <c r="D11498">
        <v>196</v>
      </c>
      <c r="E11498" s="2">
        <v>0.25657407407407407</v>
      </c>
      <c r="F11498">
        <v>369.46666666666664</v>
      </c>
    </row>
    <row r="11499" spans="1:6" x14ac:dyDescent="0.25">
      <c r="A11499" s="1">
        <v>42491</v>
      </c>
      <c r="B11499" t="s">
        <v>23</v>
      </c>
      <c r="C11499" t="s">
        <v>8</v>
      </c>
      <c r="D11499">
        <v>126</v>
      </c>
      <c r="E11499" s="2">
        <v>0.11887731481481481</v>
      </c>
      <c r="F11499">
        <v>171.18333333333334</v>
      </c>
    </row>
    <row r="11500" spans="1:6" x14ac:dyDescent="0.25">
      <c r="A11500" s="1">
        <v>42491</v>
      </c>
      <c r="B11500" t="s">
        <v>23</v>
      </c>
      <c r="C11500" t="s">
        <v>9</v>
      </c>
      <c r="D11500">
        <v>43</v>
      </c>
      <c r="E11500" s="2">
        <v>3.5196759259259261E-2</v>
      </c>
      <c r="F11500">
        <v>50.68333333333333</v>
      </c>
    </row>
    <row r="11501" spans="1:6" x14ac:dyDescent="0.25">
      <c r="A11501" s="1">
        <v>42491</v>
      </c>
      <c r="B11501" t="s">
        <v>23</v>
      </c>
      <c r="C11501" t="s">
        <v>10</v>
      </c>
      <c r="D11501">
        <v>37</v>
      </c>
      <c r="E11501" s="2">
        <v>5.3553240740740742E-2</v>
      </c>
      <c r="F11501">
        <v>77.11666666666666</v>
      </c>
    </row>
    <row r="11502" spans="1:6" x14ac:dyDescent="0.25">
      <c r="A11502" s="1">
        <v>42491</v>
      </c>
      <c r="B11502" t="s">
        <v>23</v>
      </c>
      <c r="C11502" t="s">
        <v>11</v>
      </c>
      <c r="D11502">
        <v>136</v>
      </c>
      <c r="E11502" s="2">
        <v>0.1315625</v>
      </c>
      <c r="F11502">
        <v>189.45</v>
      </c>
    </row>
    <row r="11503" spans="1:6" x14ac:dyDescent="0.25">
      <c r="A11503" s="1">
        <v>42491</v>
      </c>
      <c r="B11503" t="s">
        <v>24</v>
      </c>
      <c r="C11503" t="s">
        <v>6</v>
      </c>
      <c r="D11503">
        <v>62</v>
      </c>
      <c r="E11503" s="2">
        <v>6.6365740740740739E-2</v>
      </c>
      <c r="F11503">
        <v>95.566666666666663</v>
      </c>
    </row>
    <row r="11504" spans="1:6" x14ac:dyDescent="0.25">
      <c r="A11504" s="1">
        <v>42491</v>
      </c>
      <c r="B11504" t="s">
        <v>24</v>
      </c>
      <c r="C11504" t="s">
        <v>7</v>
      </c>
      <c r="D11504">
        <v>44</v>
      </c>
      <c r="E11504" s="2">
        <v>3.6122685185185188E-2</v>
      </c>
      <c r="F11504">
        <v>52.016666666666666</v>
      </c>
    </row>
    <row r="11505" spans="1:6" x14ac:dyDescent="0.25">
      <c r="A11505" s="1">
        <v>42491</v>
      </c>
      <c r="B11505" t="s">
        <v>24</v>
      </c>
      <c r="C11505" t="s">
        <v>8</v>
      </c>
      <c r="D11505">
        <v>28</v>
      </c>
      <c r="E11505" s="2">
        <v>1.9571759259259261E-2</v>
      </c>
      <c r="F11505">
        <v>28.183333333333334</v>
      </c>
    </row>
    <row r="11506" spans="1:6" x14ac:dyDescent="0.25">
      <c r="A11506" s="1">
        <v>42491</v>
      </c>
      <c r="B11506" t="s">
        <v>24</v>
      </c>
      <c r="C11506" t="s">
        <v>9</v>
      </c>
      <c r="D11506">
        <v>41</v>
      </c>
      <c r="E11506" s="2">
        <v>3.111111111111111E-2</v>
      </c>
      <c r="F11506">
        <v>44.8</v>
      </c>
    </row>
    <row r="11507" spans="1:6" x14ac:dyDescent="0.25">
      <c r="A11507" s="1">
        <v>42491</v>
      </c>
      <c r="B11507" t="s">
        <v>24</v>
      </c>
      <c r="C11507" t="s">
        <v>10</v>
      </c>
      <c r="D11507">
        <v>4</v>
      </c>
      <c r="E11507" s="2">
        <v>4.6990740740740743E-3</v>
      </c>
      <c r="F11507">
        <v>6.7666666666666666</v>
      </c>
    </row>
    <row r="11508" spans="1:6" x14ac:dyDescent="0.25">
      <c r="A11508" s="1">
        <v>42491</v>
      </c>
      <c r="B11508" t="s">
        <v>24</v>
      </c>
      <c r="C11508" t="s">
        <v>11</v>
      </c>
      <c r="D11508">
        <v>62</v>
      </c>
      <c r="E11508" s="2">
        <v>5.2499999999999998E-2</v>
      </c>
      <c r="F11508">
        <v>75.599999999999994</v>
      </c>
    </row>
    <row r="11509" spans="1:6" x14ac:dyDescent="0.25">
      <c r="A11509" s="1">
        <v>42522</v>
      </c>
      <c r="B11509" t="s">
        <v>5</v>
      </c>
      <c r="C11509" t="s">
        <v>6</v>
      </c>
      <c r="D11509">
        <v>49</v>
      </c>
      <c r="E11509" s="2">
        <v>5.2280092592592593E-2</v>
      </c>
      <c r="F11509">
        <v>75.283333333333331</v>
      </c>
    </row>
    <row r="11510" spans="1:6" x14ac:dyDescent="0.25">
      <c r="A11510" s="1">
        <v>42522</v>
      </c>
      <c r="B11510" t="s">
        <v>5</v>
      </c>
      <c r="C11510" t="s">
        <v>7</v>
      </c>
      <c r="D11510">
        <v>54</v>
      </c>
      <c r="E11510" s="2">
        <v>5.5173611111111111E-2</v>
      </c>
      <c r="F11510">
        <v>79.45</v>
      </c>
    </row>
    <row r="11511" spans="1:6" x14ac:dyDescent="0.25">
      <c r="A11511" s="1">
        <v>42522</v>
      </c>
      <c r="B11511" t="s">
        <v>5</v>
      </c>
      <c r="C11511" t="s">
        <v>8</v>
      </c>
      <c r="D11511">
        <v>59</v>
      </c>
      <c r="E11511" s="2">
        <v>5.6365740740740744E-2</v>
      </c>
      <c r="F11511">
        <v>81.166666666666671</v>
      </c>
    </row>
    <row r="11512" spans="1:6" x14ac:dyDescent="0.25">
      <c r="A11512" s="1">
        <v>42522</v>
      </c>
      <c r="B11512" t="s">
        <v>5</v>
      </c>
      <c r="C11512" t="s">
        <v>9</v>
      </c>
      <c r="D11512">
        <v>8</v>
      </c>
      <c r="E11512" s="2">
        <v>3.6458333333333334E-3</v>
      </c>
      <c r="F11512">
        <v>5.25</v>
      </c>
    </row>
    <row r="11513" spans="1:6" x14ac:dyDescent="0.25">
      <c r="A11513" s="1">
        <v>42522</v>
      </c>
      <c r="B11513" t="s">
        <v>5</v>
      </c>
      <c r="C11513" t="s">
        <v>10</v>
      </c>
      <c r="D11513">
        <v>5</v>
      </c>
      <c r="E11513" s="2">
        <v>1.9212962962962964E-3</v>
      </c>
      <c r="F11513">
        <v>2.7666666666666666</v>
      </c>
    </row>
    <row r="11514" spans="1:6" x14ac:dyDescent="0.25">
      <c r="A11514" s="1">
        <v>42522</v>
      </c>
      <c r="B11514" t="s">
        <v>5</v>
      </c>
      <c r="C11514" t="s">
        <v>11</v>
      </c>
      <c r="D11514">
        <v>40</v>
      </c>
      <c r="E11514" s="2">
        <v>3.0763888888888889E-2</v>
      </c>
      <c r="F11514">
        <v>44.3</v>
      </c>
    </row>
    <row r="11515" spans="1:6" x14ac:dyDescent="0.25">
      <c r="A11515" s="1">
        <v>42522</v>
      </c>
      <c r="B11515" t="s">
        <v>12</v>
      </c>
      <c r="C11515" t="s">
        <v>6</v>
      </c>
      <c r="D11515">
        <v>23</v>
      </c>
      <c r="E11515" s="2">
        <v>2.9409722222222223E-2</v>
      </c>
      <c r="F11515">
        <v>42.35</v>
      </c>
    </row>
    <row r="11516" spans="1:6" x14ac:dyDescent="0.25">
      <c r="A11516" s="1">
        <v>42522</v>
      </c>
      <c r="B11516" t="s">
        <v>12</v>
      </c>
      <c r="C11516" t="s">
        <v>7</v>
      </c>
      <c r="D11516">
        <v>20</v>
      </c>
      <c r="E11516" s="2">
        <v>4.400462962962963E-2</v>
      </c>
      <c r="F11516">
        <v>63.366666666666667</v>
      </c>
    </row>
    <row r="11517" spans="1:6" x14ac:dyDescent="0.25">
      <c r="A11517" s="1">
        <v>42522</v>
      </c>
      <c r="B11517" t="s">
        <v>12</v>
      </c>
      <c r="C11517" t="s">
        <v>8</v>
      </c>
      <c r="D11517">
        <v>15</v>
      </c>
      <c r="E11517" s="2">
        <v>2.3425925925925926E-2</v>
      </c>
      <c r="F11517">
        <v>33.733333333333334</v>
      </c>
    </row>
    <row r="11518" spans="1:6" x14ac:dyDescent="0.25">
      <c r="A11518" s="1">
        <v>42522</v>
      </c>
      <c r="B11518" t="s">
        <v>12</v>
      </c>
      <c r="C11518" t="s">
        <v>9</v>
      </c>
      <c r="D11518">
        <v>3</v>
      </c>
      <c r="E11518" s="2">
        <v>2.638888888888889E-3</v>
      </c>
      <c r="F11518">
        <v>3.8</v>
      </c>
    </row>
    <row r="11519" spans="1:6" x14ac:dyDescent="0.25">
      <c r="A11519" s="1">
        <v>42522</v>
      </c>
      <c r="B11519" t="s">
        <v>12</v>
      </c>
      <c r="C11519" t="s">
        <v>10</v>
      </c>
      <c r="D11519">
        <v>17</v>
      </c>
      <c r="E11519" s="2">
        <v>3.1342592592592596E-2</v>
      </c>
      <c r="F11519">
        <v>45.133333333333333</v>
      </c>
    </row>
    <row r="11520" spans="1:6" x14ac:dyDescent="0.25">
      <c r="A11520" s="1">
        <v>42522</v>
      </c>
      <c r="B11520" t="s">
        <v>12</v>
      </c>
      <c r="C11520" t="s">
        <v>11</v>
      </c>
      <c r="D11520">
        <v>32</v>
      </c>
      <c r="E11520" s="2">
        <v>3.4004629629629628E-2</v>
      </c>
      <c r="F11520">
        <v>48.966666666666669</v>
      </c>
    </row>
    <row r="11521" spans="1:6" x14ac:dyDescent="0.25">
      <c r="A11521" s="1">
        <v>42522</v>
      </c>
      <c r="B11521" t="s">
        <v>13</v>
      </c>
      <c r="C11521" t="s">
        <v>6</v>
      </c>
      <c r="D11521">
        <v>21</v>
      </c>
      <c r="E11521" s="2">
        <v>2.9236111111111112E-2</v>
      </c>
      <c r="F11521">
        <v>42.1</v>
      </c>
    </row>
    <row r="11522" spans="1:6" x14ac:dyDescent="0.25">
      <c r="A11522" s="1">
        <v>42522</v>
      </c>
      <c r="B11522" t="s">
        <v>13</v>
      </c>
      <c r="C11522" t="s">
        <v>7</v>
      </c>
      <c r="D11522">
        <v>28</v>
      </c>
      <c r="E11522" s="2">
        <v>5.7048611111111112E-2</v>
      </c>
      <c r="F11522">
        <v>82.15</v>
      </c>
    </row>
    <row r="11523" spans="1:6" x14ac:dyDescent="0.25">
      <c r="A11523" s="1">
        <v>42522</v>
      </c>
      <c r="B11523" t="s">
        <v>13</v>
      </c>
      <c r="C11523" t="s">
        <v>8</v>
      </c>
      <c r="D11523">
        <v>14</v>
      </c>
      <c r="E11523" s="2">
        <v>2.1111111111111112E-2</v>
      </c>
      <c r="F11523">
        <v>30.4</v>
      </c>
    </row>
    <row r="11524" spans="1:6" x14ac:dyDescent="0.25">
      <c r="A11524" s="1">
        <v>42522</v>
      </c>
      <c r="B11524" t="s">
        <v>13</v>
      </c>
      <c r="C11524" t="s">
        <v>9</v>
      </c>
      <c r="D11524">
        <v>2</v>
      </c>
      <c r="E11524" s="2">
        <v>1.8981481481481482E-3</v>
      </c>
      <c r="F11524">
        <v>2.7333333333333334</v>
      </c>
    </row>
    <row r="11525" spans="1:6" x14ac:dyDescent="0.25">
      <c r="A11525" s="1">
        <v>42522</v>
      </c>
      <c r="B11525" t="s">
        <v>13</v>
      </c>
      <c r="C11525" t="s">
        <v>10</v>
      </c>
      <c r="D11525">
        <v>9</v>
      </c>
      <c r="E11525" s="2">
        <v>1.6296296296296295E-2</v>
      </c>
      <c r="F11525">
        <v>23.466666666666665</v>
      </c>
    </row>
    <row r="11526" spans="1:6" x14ac:dyDescent="0.25">
      <c r="A11526" s="1">
        <v>42522</v>
      </c>
      <c r="B11526" t="s">
        <v>13</v>
      </c>
      <c r="C11526" t="s">
        <v>11</v>
      </c>
      <c r="D11526">
        <v>15</v>
      </c>
      <c r="E11526" s="2">
        <v>1.6238425925925927E-2</v>
      </c>
      <c r="F11526">
        <v>23.383333333333333</v>
      </c>
    </row>
    <row r="11527" spans="1:6" x14ac:dyDescent="0.25">
      <c r="A11527" s="1">
        <v>42522</v>
      </c>
      <c r="B11527" t="s">
        <v>14</v>
      </c>
      <c r="C11527" t="s">
        <v>6</v>
      </c>
      <c r="D11527">
        <v>15</v>
      </c>
      <c r="E11527" s="2">
        <v>2.5497685185185186E-2</v>
      </c>
      <c r="F11527">
        <v>36.716666666666669</v>
      </c>
    </row>
    <row r="11528" spans="1:6" x14ac:dyDescent="0.25">
      <c r="A11528" s="1">
        <v>42522</v>
      </c>
      <c r="B11528" t="s">
        <v>14</v>
      </c>
      <c r="C11528" t="s">
        <v>7</v>
      </c>
      <c r="D11528">
        <v>4</v>
      </c>
      <c r="E11528" s="2">
        <v>7.766203703703704E-3</v>
      </c>
      <c r="F11528">
        <v>11.183333333333334</v>
      </c>
    </row>
    <row r="11529" spans="1:6" x14ac:dyDescent="0.25">
      <c r="A11529" s="1">
        <v>42522</v>
      </c>
      <c r="B11529" t="s">
        <v>14</v>
      </c>
      <c r="C11529" t="s">
        <v>8</v>
      </c>
      <c r="D11529">
        <v>7</v>
      </c>
      <c r="E11529" s="2">
        <v>1.0891203703703703E-2</v>
      </c>
      <c r="F11529">
        <v>15.683333333333334</v>
      </c>
    </row>
    <row r="11530" spans="1:6" x14ac:dyDescent="0.25">
      <c r="A11530" s="1">
        <v>42522</v>
      </c>
      <c r="B11530" t="s">
        <v>14</v>
      </c>
      <c r="C11530" t="s">
        <v>9</v>
      </c>
      <c r="D11530">
        <v>1</v>
      </c>
      <c r="E11530" s="2">
        <v>6.018518518518519E-4</v>
      </c>
      <c r="F11530">
        <v>0.8666666666666667</v>
      </c>
    </row>
    <row r="11531" spans="1:6" x14ac:dyDescent="0.25">
      <c r="A11531" s="1">
        <v>42522</v>
      </c>
      <c r="B11531" t="s">
        <v>14</v>
      </c>
      <c r="C11531" t="s">
        <v>10</v>
      </c>
      <c r="D11531">
        <v>1</v>
      </c>
      <c r="E11531" s="2">
        <v>2.2106481481481482E-3</v>
      </c>
      <c r="F11531">
        <v>3.1833333333333331</v>
      </c>
    </row>
    <row r="11532" spans="1:6" x14ac:dyDescent="0.25">
      <c r="A11532" s="1">
        <v>42522</v>
      </c>
      <c r="B11532" t="s">
        <v>14</v>
      </c>
      <c r="C11532" t="s">
        <v>11</v>
      </c>
      <c r="D11532">
        <v>11</v>
      </c>
      <c r="E11532" s="2">
        <v>1.2951388888888889E-2</v>
      </c>
      <c r="F11532">
        <v>18.649999999999999</v>
      </c>
    </row>
    <row r="11533" spans="1:6" x14ac:dyDescent="0.25">
      <c r="A11533" s="1">
        <v>42522</v>
      </c>
      <c r="B11533" t="s">
        <v>15</v>
      </c>
      <c r="C11533" t="s">
        <v>6</v>
      </c>
      <c r="D11533">
        <v>12</v>
      </c>
      <c r="E11533" s="2">
        <v>1.7986111111111112E-2</v>
      </c>
      <c r="F11533">
        <v>25.9</v>
      </c>
    </row>
    <row r="11534" spans="1:6" x14ac:dyDescent="0.25">
      <c r="A11534" s="1">
        <v>42522</v>
      </c>
      <c r="B11534" t="s">
        <v>15</v>
      </c>
      <c r="C11534" t="s">
        <v>7</v>
      </c>
      <c r="D11534">
        <v>18</v>
      </c>
      <c r="E11534" s="2">
        <v>3.622685185185185E-2</v>
      </c>
      <c r="F11534">
        <v>52.166666666666664</v>
      </c>
    </row>
    <row r="11535" spans="1:6" x14ac:dyDescent="0.25">
      <c r="A11535" s="1">
        <v>42522</v>
      </c>
      <c r="B11535" t="s">
        <v>15</v>
      </c>
      <c r="C11535" t="s">
        <v>8</v>
      </c>
      <c r="D11535">
        <v>11</v>
      </c>
      <c r="E11535" s="2">
        <v>8.4259259259259253E-3</v>
      </c>
      <c r="F11535">
        <v>12.133333333333333</v>
      </c>
    </row>
    <row r="11536" spans="1:6" x14ac:dyDescent="0.25">
      <c r="A11536" s="1">
        <v>42522</v>
      </c>
      <c r="B11536" t="s">
        <v>15</v>
      </c>
      <c r="C11536" t="s">
        <v>9</v>
      </c>
      <c r="D11536">
        <v>2</v>
      </c>
      <c r="E11536" s="2">
        <v>1.9907407407407408E-3</v>
      </c>
      <c r="F11536">
        <v>2.8666666666666667</v>
      </c>
    </row>
    <row r="11537" spans="1:6" x14ac:dyDescent="0.25">
      <c r="A11537" s="1">
        <v>42522</v>
      </c>
      <c r="B11537" t="s">
        <v>15</v>
      </c>
      <c r="C11537" t="s">
        <v>10</v>
      </c>
      <c r="D11537">
        <v>5</v>
      </c>
      <c r="E11537" s="2">
        <v>6.4814814814814813E-3</v>
      </c>
      <c r="F11537">
        <v>9.3333333333333339</v>
      </c>
    </row>
    <row r="11538" spans="1:6" x14ac:dyDescent="0.25">
      <c r="A11538" s="1">
        <v>42522</v>
      </c>
      <c r="B11538" t="s">
        <v>15</v>
      </c>
      <c r="C11538" t="s">
        <v>11</v>
      </c>
      <c r="D11538">
        <v>10</v>
      </c>
      <c r="E11538" s="2">
        <v>7.8009259259259256E-3</v>
      </c>
      <c r="F11538">
        <v>11.233333333333333</v>
      </c>
    </row>
    <row r="11539" spans="1:6" x14ac:dyDescent="0.25">
      <c r="A11539" s="1">
        <v>42522</v>
      </c>
      <c r="B11539" t="s">
        <v>16</v>
      </c>
      <c r="C11539" t="s">
        <v>6</v>
      </c>
      <c r="D11539">
        <v>12</v>
      </c>
      <c r="E11539" s="2">
        <v>1.136574074074074E-2</v>
      </c>
      <c r="F11539">
        <v>16.366666666666667</v>
      </c>
    </row>
    <row r="11540" spans="1:6" x14ac:dyDescent="0.25">
      <c r="A11540" s="1">
        <v>42522</v>
      </c>
      <c r="B11540" t="s">
        <v>16</v>
      </c>
      <c r="C11540" t="s">
        <v>7</v>
      </c>
      <c r="D11540">
        <v>13</v>
      </c>
      <c r="E11540" s="2">
        <v>1.2789351851851852E-2</v>
      </c>
      <c r="F11540">
        <v>18.416666666666668</v>
      </c>
    </row>
    <row r="11541" spans="1:6" x14ac:dyDescent="0.25">
      <c r="A11541" s="1">
        <v>42522</v>
      </c>
      <c r="B11541" t="s">
        <v>16</v>
      </c>
      <c r="C11541" t="s">
        <v>8</v>
      </c>
      <c r="D11541">
        <v>11</v>
      </c>
      <c r="E11541" s="2">
        <v>5.8564814814814816E-3</v>
      </c>
      <c r="F11541">
        <v>8.4333333333333336</v>
      </c>
    </row>
    <row r="11542" spans="1:6" x14ac:dyDescent="0.25">
      <c r="A11542" s="1">
        <v>42522</v>
      </c>
      <c r="B11542" t="s">
        <v>16</v>
      </c>
      <c r="C11542" t="s">
        <v>9</v>
      </c>
      <c r="D11542">
        <v>4</v>
      </c>
      <c r="E11542" s="2">
        <v>2.1296296296296298E-3</v>
      </c>
      <c r="F11542">
        <v>3.0666666666666669</v>
      </c>
    </row>
    <row r="11543" spans="1:6" x14ac:dyDescent="0.25">
      <c r="A11543" s="1">
        <v>42522</v>
      </c>
      <c r="B11543" t="s">
        <v>16</v>
      </c>
      <c r="C11543" t="s">
        <v>10</v>
      </c>
      <c r="D11543">
        <v>3</v>
      </c>
      <c r="E11543" s="2">
        <v>2.7314814814814814E-3</v>
      </c>
      <c r="F11543">
        <v>3.9333333333333336</v>
      </c>
    </row>
    <row r="11544" spans="1:6" x14ac:dyDescent="0.25">
      <c r="A11544" s="1">
        <v>42522</v>
      </c>
      <c r="B11544" t="s">
        <v>16</v>
      </c>
      <c r="C11544" t="s">
        <v>11</v>
      </c>
      <c r="D11544">
        <v>14</v>
      </c>
      <c r="E11544" s="2">
        <v>9.7569444444444448E-3</v>
      </c>
      <c r="F11544">
        <v>14.05</v>
      </c>
    </row>
    <row r="11545" spans="1:6" x14ac:dyDescent="0.25">
      <c r="A11545" s="1">
        <v>42522</v>
      </c>
      <c r="B11545" t="s">
        <v>17</v>
      </c>
      <c r="C11545" t="s">
        <v>6</v>
      </c>
      <c r="D11545">
        <v>11</v>
      </c>
      <c r="E11545" s="2">
        <v>9.1782407407407403E-3</v>
      </c>
      <c r="F11545">
        <v>13.216666666666667</v>
      </c>
    </row>
    <row r="11546" spans="1:6" x14ac:dyDescent="0.25">
      <c r="A11546" s="1">
        <v>42522</v>
      </c>
      <c r="B11546" t="s">
        <v>17</v>
      </c>
      <c r="C11546" t="s">
        <v>7</v>
      </c>
      <c r="D11546">
        <v>12</v>
      </c>
      <c r="E11546" s="2">
        <v>2.0185185185185184E-2</v>
      </c>
      <c r="F11546">
        <v>29.066666666666666</v>
      </c>
    </row>
    <row r="11547" spans="1:6" x14ac:dyDescent="0.25">
      <c r="A11547" s="1">
        <v>42522</v>
      </c>
      <c r="B11547" t="s">
        <v>17</v>
      </c>
      <c r="C11547" t="s">
        <v>8</v>
      </c>
      <c r="D11547">
        <v>11</v>
      </c>
      <c r="E11547" s="2">
        <v>1.0648148148148148E-2</v>
      </c>
      <c r="F11547">
        <v>15.333333333333334</v>
      </c>
    </row>
    <row r="11548" spans="1:6" x14ac:dyDescent="0.25">
      <c r="A11548" s="1">
        <v>42522</v>
      </c>
      <c r="B11548" t="s">
        <v>17</v>
      </c>
      <c r="C11548" t="s">
        <v>9</v>
      </c>
      <c r="D11548">
        <v>5</v>
      </c>
      <c r="E11548" s="2">
        <v>3.1828703703703702E-3</v>
      </c>
      <c r="F11548">
        <v>4.583333333333333</v>
      </c>
    </row>
    <row r="11549" spans="1:6" x14ac:dyDescent="0.25">
      <c r="A11549" s="1">
        <v>42522</v>
      </c>
      <c r="B11549" t="s">
        <v>17</v>
      </c>
      <c r="C11549" t="s">
        <v>10</v>
      </c>
      <c r="D11549">
        <v>11</v>
      </c>
      <c r="E11549" s="2">
        <v>1.0752314814814815E-2</v>
      </c>
      <c r="F11549">
        <v>15.483333333333333</v>
      </c>
    </row>
    <row r="11550" spans="1:6" x14ac:dyDescent="0.25">
      <c r="A11550" s="1">
        <v>42522</v>
      </c>
      <c r="B11550" t="s">
        <v>17</v>
      </c>
      <c r="C11550" t="s">
        <v>11</v>
      </c>
      <c r="D11550">
        <v>10</v>
      </c>
      <c r="E11550" s="2">
        <v>7.9166666666666673E-3</v>
      </c>
      <c r="F11550">
        <v>11.4</v>
      </c>
    </row>
    <row r="11551" spans="1:6" x14ac:dyDescent="0.25">
      <c r="A11551" s="1">
        <v>42522</v>
      </c>
      <c r="B11551" t="s">
        <v>18</v>
      </c>
      <c r="C11551" t="s">
        <v>6</v>
      </c>
      <c r="D11551">
        <v>107</v>
      </c>
      <c r="E11551" s="2">
        <v>0.1395949074074074</v>
      </c>
      <c r="F11551">
        <v>201.01666666666668</v>
      </c>
    </row>
    <row r="11552" spans="1:6" x14ac:dyDescent="0.25">
      <c r="A11552" s="1">
        <v>42522</v>
      </c>
      <c r="B11552" t="s">
        <v>18</v>
      </c>
      <c r="C11552" t="s">
        <v>7</v>
      </c>
      <c r="D11552">
        <v>144</v>
      </c>
      <c r="E11552" s="2">
        <v>0.15556712962962962</v>
      </c>
      <c r="F11552">
        <v>224.01666666666668</v>
      </c>
    </row>
    <row r="11553" spans="1:6" x14ac:dyDescent="0.25">
      <c r="A11553" s="1">
        <v>42522</v>
      </c>
      <c r="B11553" t="s">
        <v>18</v>
      </c>
      <c r="C11553" t="s">
        <v>8</v>
      </c>
      <c r="D11553">
        <v>88</v>
      </c>
      <c r="E11553" s="2">
        <v>9.060185185185185E-2</v>
      </c>
      <c r="F11553">
        <v>130.46666666666667</v>
      </c>
    </row>
    <row r="11554" spans="1:6" x14ac:dyDescent="0.25">
      <c r="A11554" s="1">
        <v>42522</v>
      </c>
      <c r="B11554" t="s">
        <v>18</v>
      </c>
      <c r="C11554" t="s">
        <v>9</v>
      </c>
      <c r="D11554">
        <v>45</v>
      </c>
      <c r="E11554" s="2">
        <v>3.5081018518518518E-2</v>
      </c>
      <c r="F11554">
        <v>50.516666666666666</v>
      </c>
    </row>
    <row r="11555" spans="1:6" x14ac:dyDescent="0.25">
      <c r="A11555" s="1">
        <v>42522</v>
      </c>
      <c r="B11555" t="s">
        <v>18</v>
      </c>
      <c r="C11555" t="s">
        <v>10</v>
      </c>
      <c r="D11555">
        <v>138</v>
      </c>
      <c r="E11555" s="2">
        <v>0.16886574074074073</v>
      </c>
      <c r="F11555">
        <v>243.16666666666666</v>
      </c>
    </row>
    <row r="11556" spans="1:6" x14ac:dyDescent="0.25">
      <c r="A11556" s="1">
        <v>42522</v>
      </c>
      <c r="B11556" t="s">
        <v>18</v>
      </c>
      <c r="C11556" t="s">
        <v>11</v>
      </c>
      <c r="D11556">
        <v>88</v>
      </c>
      <c r="E11556" s="2">
        <v>7.4513888888888893E-2</v>
      </c>
      <c r="F11556">
        <v>107.3</v>
      </c>
    </row>
    <row r="11557" spans="1:6" x14ac:dyDescent="0.25">
      <c r="A11557" s="1">
        <v>42522</v>
      </c>
      <c r="B11557" t="s">
        <v>19</v>
      </c>
      <c r="C11557" t="s">
        <v>6</v>
      </c>
      <c r="D11557">
        <v>5</v>
      </c>
      <c r="E11557" s="2">
        <v>7.3032407407407404E-3</v>
      </c>
      <c r="F11557">
        <v>10.516666666666667</v>
      </c>
    </row>
    <row r="11558" spans="1:6" x14ac:dyDescent="0.25">
      <c r="A11558" s="1">
        <v>42522</v>
      </c>
      <c r="B11558" t="s">
        <v>19</v>
      </c>
      <c r="C11558" t="s">
        <v>7</v>
      </c>
      <c r="D11558">
        <v>8</v>
      </c>
      <c r="E11558" s="2">
        <v>1.3333333333333334E-2</v>
      </c>
      <c r="F11558">
        <v>19.2</v>
      </c>
    </row>
    <row r="11559" spans="1:6" x14ac:dyDescent="0.25">
      <c r="A11559" s="1">
        <v>42522</v>
      </c>
      <c r="B11559" t="s">
        <v>19</v>
      </c>
      <c r="C11559" t="s">
        <v>8</v>
      </c>
      <c r="D11559">
        <v>10</v>
      </c>
      <c r="E11559" s="2">
        <v>6.5277777777777782E-3</v>
      </c>
      <c r="F11559">
        <v>9.4</v>
      </c>
    </row>
    <row r="11560" spans="1:6" x14ac:dyDescent="0.25">
      <c r="A11560" s="1">
        <v>42522</v>
      </c>
      <c r="B11560" t="s">
        <v>19</v>
      </c>
      <c r="C11560" t="s">
        <v>9</v>
      </c>
      <c r="D11560">
        <v>5</v>
      </c>
      <c r="E11560" s="2">
        <v>2.8009259259259259E-3</v>
      </c>
      <c r="F11560">
        <v>4.0333333333333332</v>
      </c>
    </row>
    <row r="11561" spans="1:6" x14ac:dyDescent="0.25">
      <c r="A11561" s="1">
        <v>42522</v>
      </c>
      <c r="B11561" t="s">
        <v>19</v>
      </c>
      <c r="C11561" t="s">
        <v>10</v>
      </c>
      <c r="D11561">
        <v>6</v>
      </c>
      <c r="E11561" s="2">
        <v>5.0231481481481481E-3</v>
      </c>
      <c r="F11561">
        <v>7.2333333333333334</v>
      </c>
    </row>
    <row r="11562" spans="1:6" x14ac:dyDescent="0.25">
      <c r="A11562" s="1">
        <v>42522</v>
      </c>
      <c r="B11562" t="s">
        <v>19</v>
      </c>
      <c r="C11562" t="s">
        <v>11</v>
      </c>
      <c r="D11562">
        <v>8</v>
      </c>
      <c r="E11562" s="2">
        <v>6.1574074074074074E-3</v>
      </c>
      <c r="F11562">
        <v>8.8666666666666671</v>
      </c>
    </row>
    <row r="11563" spans="1:6" x14ac:dyDescent="0.25">
      <c r="A11563" s="1">
        <v>42522</v>
      </c>
      <c r="B11563" t="s">
        <v>20</v>
      </c>
      <c r="C11563" t="s">
        <v>6</v>
      </c>
      <c r="D11563">
        <v>69</v>
      </c>
      <c r="E11563" s="2">
        <v>7.6226851851851851E-2</v>
      </c>
      <c r="F11563">
        <v>109.76666666666667</v>
      </c>
    </row>
    <row r="11564" spans="1:6" x14ac:dyDescent="0.25">
      <c r="A11564" s="1">
        <v>42522</v>
      </c>
      <c r="B11564" t="s">
        <v>20</v>
      </c>
      <c r="C11564" t="s">
        <v>7</v>
      </c>
      <c r="D11564">
        <v>81</v>
      </c>
      <c r="E11564" s="2">
        <v>0.10363425925925926</v>
      </c>
      <c r="F11564">
        <v>149.23333333333332</v>
      </c>
    </row>
    <row r="11565" spans="1:6" x14ac:dyDescent="0.25">
      <c r="A11565" s="1">
        <v>42522</v>
      </c>
      <c r="B11565" t="s">
        <v>20</v>
      </c>
      <c r="C11565" t="s">
        <v>8</v>
      </c>
      <c r="D11565">
        <v>45</v>
      </c>
      <c r="E11565" s="2">
        <v>4.5347222222222219E-2</v>
      </c>
      <c r="F11565">
        <v>65.3</v>
      </c>
    </row>
    <row r="11566" spans="1:6" x14ac:dyDescent="0.25">
      <c r="A11566" s="1">
        <v>42522</v>
      </c>
      <c r="B11566" t="s">
        <v>20</v>
      </c>
      <c r="C11566" t="s">
        <v>9</v>
      </c>
      <c r="D11566">
        <v>30</v>
      </c>
      <c r="E11566" s="2">
        <v>2.6701388888888889E-2</v>
      </c>
      <c r="F11566">
        <v>38.450000000000003</v>
      </c>
    </row>
    <row r="11567" spans="1:6" x14ac:dyDescent="0.25">
      <c r="A11567" s="1">
        <v>42522</v>
      </c>
      <c r="B11567" t="s">
        <v>20</v>
      </c>
      <c r="C11567" t="s">
        <v>10</v>
      </c>
      <c r="D11567">
        <v>13</v>
      </c>
      <c r="E11567" s="2">
        <v>1.9293981481481481E-2</v>
      </c>
      <c r="F11567">
        <v>27.783333333333335</v>
      </c>
    </row>
    <row r="11568" spans="1:6" x14ac:dyDescent="0.25">
      <c r="A11568" s="1">
        <v>42522</v>
      </c>
      <c r="B11568" t="s">
        <v>20</v>
      </c>
      <c r="C11568" t="s">
        <v>11</v>
      </c>
      <c r="D11568">
        <v>47</v>
      </c>
      <c r="E11568" s="2">
        <v>4.6006944444444448E-2</v>
      </c>
      <c r="F11568">
        <v>66.25</v>
      </c>
    </row>
    <row r="11569" spans="1:6" x14ac:dyDescent="0.25">
      <c r="A11569" s="1">
        <v>42522</v>
      </c>
      <c r="B11569" t="s">
        <v>21</v>
      </c>
      <c r="C11569" t="s">
        <v>6</v>
      </c>
      <c r="D11569">
        <v>6</v>
      </c>
      <c r="E11569" s="2">
        <v>7.4652777777777781E-3</v>
      </c>
      <c r="F11569">
        <v>10.75</v>
      </c>
    </row>
    <row r="11570" spans="1:6" x14ac:dyDescent="0.25">
      <c r="A11570" s="1">
        <v>42522</v>
      </c>
      <c r="B11570" t="s">
        <v>21</v>
      </c>
      <c r="C11570" t="s">
        <v>7</v>
      </c>
      <c r="D11570">
        <v>4</v>
      </c>
      <c r="E11570" s="2">
        <v>1.2476851851851852E-2</v>
      </c>
      <c r="F11570">
        <v>17.966666666666665</v>
      </c>
    </row>
    <row r="11571" spans="1:6" x14ac:dyDescent="0.25">
      <c r="A11571" s="1">
        <v>42522</v>
      </c>
      <c r="B11571" t="s">
        <v>21</v>
      </c>
      <c r="C11571" t="s">
        <v>8</v>
      </c>
      <c r="D11571">
        <v>3</v>
      </c>
      <c r="E11571" s="2">
        <v>6.2152777777777779E-3</v>
      </c>
      <c r="F11571">
        <v>8.9499999999999993</v>
      </c>
    </row>
    <row r="11572" spans="1:6" x14ac:dyDescent="0.25">
      <c r="A11572" s="1">
        <v>42522</v>
      </c>
      <c r="B11572" t="s">
        <v>21</v>
      </c>
      <c r="C11572" t="s">
        <v>9</v>
      </c>
      <c r="D11572">
        <v>1</v>
      </c>
      <c r="E11572" s="2">
        <v>1.1111111111111111E-3</v>
      </c>
      <c r="F11572">
        <v>1.6</v>
      </c>
    </row>
    <row r="11573" spans="1:6" x14ac:dyDescent="0.25">
      <c r="A11573" s="1">
        <v>42522</v>
      </c>
      <c r="B11573" t="s">
        <v>21</v>
      </c>
      <c r="C11573" t="s">
        <v>10</v>
      </c>
      <c r="D11573">
        <v>0</v>
      </c>
      <c r="E11573" s="2">
        <v>0</v>
      </c>
      <c r="F11573">
        <v>0</v>
      </c>
    </row>
    <row r="11574" spans="1:6" x14ac:dyDescent="0.25">
      <c r="A11574" s="1">
        <v>42522</v>
      </c>
      <c r="B11574" t="s">
        <v>21</v>
      </c>
      <c r="C11574" t="s">
        <v>11</v>
      </c>
      <c r="D11574">
        <v>8</v>
      </c>
      <c r="E11574" s="2">
        <v>9.8263888888888897E-3</v>
      </c>
      <c r="F11574">
        <v>14.15</v>
      </c>
    </row>
    <row r="11575" spans="1:6" x14ac:dyDescent="0.25">
      <c r="A11575" s="1">
        <v>42522</v>
      </c>
      <c r="B11575" t="s">
        <v>22</v>
      </c>
      <c r="C11575" t="s">
        <v>6</v>
      </c>
      <c r="D11575">
        <v>10</v>
      </c>
      <c r="E11575" s="2">
        <v>1.2592592592592593E-2</v>
      </c>
      <c r="F11575">
        <v>18.133333333333333</v>
      </c>
    </row>
    <row r="11576" spans="1:6" x14ac:dyDescent="0.25">
      <c r="A11576" s="1">
        <v>42522</v>
      </c>
      <c r="B11576" t="s">
        <v>22</v>
      </c>
      <c r="C11576" t="s">
        <v>7</v>
      </c>
      <c r="D11576">
        <v>7</v>
      </c>
      <c r="E11576" s="2">
        <v>2.1608796296296296E-2</v>
      </c>
      <c r="F11576">
        <v>31.116666666666667</v>
      </c>
    </row>
    <row r="11577" spans="1:6" x14ac:dyDescent="0.25">
      <c r="A11577" s="1">
        <v>42522</v>
      </c>
      <c r="B11577" t="s">
        <v>22</v>
      </c>
      <c r="C11577" t="s">
        <v>8</v>
      </c>
      <c r="D11577">
        <v>3</v>
      </c>
      <c r="E11577" s="2">
        <v>4.2592592592592595E-3</v>
      </c>
      <c r="F11577">
        <v>6.1333333333333337</v>
      </c>
    </row>
    <row r="11578" spans="1:6" x14ac:dyDescent="0.25">
      <c r="A11578" s="1">
        <v>42522</v>
      </c>
      <c r="B11578" t="s">
        <v>22</v>
      </c>
      <c r="C11578" t="s">
        <v>9</v>
      </c>
      <c r="D11578">
        <v>2</v>
      </c>
      <c r="E11578" s="2">
        <v>1.5046296296296296E-3</v>
      </c>
      <c r="F11578">
        <v>2.1666666666666665</v>
      </c>
    </row>
    <row r="11579" spans="1:6" x14ac:dyDescent="0.25">
      <c r="A11579" s="1">
        <v>42522</v>
      </c>
      <c r="B11579" t="s">
        <v>22</v>
      </c>
      <c r="C11579" t="s">
        <v>10</v>
      </c>
      <c r="D11579">
        <v>2</v>
      </c>
      <c r="E11579" s="2">
        <v>8.1018518518518516E-4</v>
      </c>
      <c r="F11579">
        <v>1.1666666666666667</v>
      </c>
    </row>
    <row r="11580" spans="1:6" x14ac:dyDescent="0.25">
      <c r="A11580" s="1">
        <v>42522</v>
      </c>
      <c r="B11580" t="s">
        <v>22</v>
      </c>
      <c r="C11580" t="s">
        <v>11</v>
      </c>
      <c r="D11580">
        <v>2</v>
      </c>
      <c r="E11580" s="2">
        <v>3.2523148148148147E-3</v>
      </c>
      <c r="F11580">
        <v>4.6833333333333336</v>
      </c>
    </row>
    <row r="11581" spans="1:6" x14ac:dyDescent="0.25">
      <c r="A11581" s="1">
        <v>42522</v>
      </c>
      <c r="B11581" t="s">
        <v>23</v>
      </c>
      <c r="C11581" t="s">
        <v>6</v>
      </c>
      <c r="D11581">
        <v>64</v>
      </c>
      <c r="E11581" s="2">
        <v>8.3807870370370366E-2</v>
      </c>
      <c r="F11581">
        <v>120.68333333333334</v>
      </c>
    </row>
    <row r="11582" spans="1:6" x14ac:dyDescent="0.25">
      <c r="A11582" s="1">
        <v>42522</v>
      </c>
      <c r="B11582" t="s">
        <v>23</v>
      </c>
      <c r="C11582" t="s">
        <v>7</v>
      </c>
      <c r="D11582">
        <v>87</v>
      </c>
      <c r="E11582" s="2">
        <v>0.11328703703703703</v>
      </c>
      <c r="F11582">
        <v>163.13333333333333</v>
      </c>
    </row>
    <row r="11583" spans="1:6" x14ac:dyDescent="0.25">
      <c r="A11583" s="1">
        <v>42522</v>
      </c>
      <c r="B11583" t="s">
        <v>23</v>
      </c>
      <c r="C11583" t="s">
        <v>8</v>
      </c>
      <c r="D11583">
        <v>58</v>
      </c>
      <c r="E11583" s="2">
        <v>5.4120370370370367E-2</v>
      </c>
      <c r="F11583">
        <v>77.933333333333337</v>
      </c>
    </row>
    <row r="11584" spans="1:6" x14ac:dyDescent="0.25">
      <c r="A11584" s="1">
        <v>42522</v>
      </c>
      <c r="B11584" t="s">
        <v>23</v>
      </c>
      <c r="C11584" t="s">
        <v>9</v>
      </c>
      <c r="D11584">
        <v>27</v>
      </c>
      <c r="E11584" s="2">
        <v>1.2893518518518518E-2</v>
      </c>
      <c r="F11584">
        <v>18.566666666666666</v>
      </c>
    </row>
    <row r="11585" spans="1:6" x14ac:dyDescent="0.25">
      <c r="A11585" s="1">
        <v>42522</v>
      </c>
      <c r="B11585" t="s">
        <v>23</v>
      </c>
      <c r="C11585" t="s">
        <v>10</v>
      </c>
      <c r="D11585">
        <v>27</v>
      </c>
      <c r="E11585" s="2">
        <v>3.6608796296296299E-2</v>
      </c>
      <c r="F11585">
        <v>52.716666666666669</v>
      </c>
    </row>
    <row r="11586" spans="1:6" x14ac:dyDescent="0.25">
      <c r="A11586" s="1">
        <v>42522</v>
      </c>
      <c r="B11586" t="s">
        <v>23</v>
      </c>
      <c r="C11586" t="s">
        <v>11</v>
      </c>
      <c r="D11586">
        <v>60</v>
      </c>
      <c r="E11586" s="2">
        <v>5.5474537037037037E-2</v>
      </c>
      <c r="F11586">
        <v>79.88333333333334</v>
      </c>
    </row>
    <row r="11587" spans="1:6" x14ac:dyDescent="0.25">
      <c r="A11587" s="1">
        <v>42522</v>
      </c>
      <c r="B11587" t="s">
        <v>24</v>
      </c>
      <c r="C11587" t="s">
        <v>6</v>
      </c>
      <c r="D11587">
        <v>129</v>
      </c>
      <c r="E11587" s="2">
        <v>0.14030092592592591</v>
      </c>
      <c r="F11587">
        <v>202.03333333333333</v>
      </c>
    </row>
    <row r="11588" spans="1:6" x14ac:dyDescent="0.25">
      <c r="A11588" s="1">
        <v>42522</v>
      </c>
      <c r="B11588" t="s">
        <v>24</v>
      </c>
      <c r="C11588" t="s">
        <v>7</v>
      </c>
      <c r="D11588">
        <v>55</v>
      </c>
      <c r="E11588" s="2">
        <v>4.866898148148148E-2</v>
      </c>
      <c r="F11588">
        <v>70.083333333333329</v>
      </c>
    </row>
    <row r="11589" spans="1:6" x14ac:dyDescent="0.25">
      <c r="A11589" s="1">
        <v>42522</v>
      </c>
      <c r="B11589" t="s">
        <v>24</v>
      </c>
      <c r="C11589" t="s">
        <v>8</v>
      </c>
      <c r="D11589">
        <v>80</v>
      </c>
      <c r="E11589" s="2">
        <v>6.7523148148148152E-2</v>
      </c>
      <c r="F11589">
        <v>97.233333333333334</v>
      </c>
    </row>
    <row r="11590" spans="1:6" x14ac:dyDescent="0.25">
      <c r="A11590" s="1">
        <v>42522</v>
      </c>
      <c r="B11590" t="s">
        <v>24</v>
      </c>
      <c r="C11590" t="s">
        <v>9</v>
      </c>
      <c r="D11590">
        <v>43</v>
      </c>
      <c r="E11590" s="2">
        <v>2.8020833333333332E-2</v>
      </c>
      <c r="F11590">
        <v>40.35</v>
      </c>
    </row>
    <row r="11591" spans="1:6" x14ac:dyDescent="0.25">
      <c r="A11591" s="1">
        <v>42522</v>
      </c>
      <c r="B11591" t="s">
        <v>24</v>
      </c>
      <c r="C11591" t="s">
        <v>10</v>
      </c>
      <c r="D11591">
        <v>9</v>
      </c>
      <c r="E11591" s="2">
        <v>1.1516203703703704E-2</v>
      </c>
      <c r="F11591">
        <v>16.583333333333332</v>
      </c>
    </row>
    <row r="11592" spans="1:6" x14ac:dyDescent="0.25">
      <c r="A11592" s="1">
        <v>42522</v>
      </c>
      <c r="B11592" t="s">
        <v>24</v>
      </c>
      <c r="C11592" t="s">
        <v>11</v>
      </c>
      <c r="D11592">
        <v>214</v>
      </c>
      <c r="E11592" s="2">
        <v>0.1882638888888889</v>
      </c>
      <c r="F11592">
        <v>271.10000000000002</v>
      </c>
    </row>
    <row r="11593" spans="1:6" x14ac:dyDescent="0.25">
      <c r="A11593" s="1">
        <v>42552</v>
      </c>
      <c r="B11593" t="s">
        <v>5</v>
      </c>
      <c r="C11593" t="s">
        <v>6</v>
      </c>
      <c r="D11593">
        <v>20</v>
      </c>
      <c r="E11593" s="2">
        <v>1.9270833333333334E-2</v>
      </c>
      <c r="F11593">
        <v>27.75</v>
      </c>
    </row>
    <row r="11594" spans="1:6" x14ac:dyDescent="0.25">
      <c r="A11594" s="1">
        <v>42552</v>
      </c>
      <c r="B11594" t="s">
        <v>5</v>
      </c>
      <c r="C11594" t="s">
        <v>7</v>
      </c>
      <c r="D11594">
        <v>22</v>
      </c>
      <c r="E11594" s="2">
        <v>1.6354166666666666E-2</v>
      </c>
      <c r="F11594">
        <v>23.55</v>
      </c>
    </row>
    <row r="11595" spans="1:6" x14ac:dyDescent="0.25">
      <c r="A11595" s="1">
        <v>42552</v>
      </c>
      <c r="B11595" t="s">
        <v>5</v>
      </c>
      <c r="C11595" t="s">
        <v>8</v>
      </c>
      <c r="D11595">
        <v>16</v>
      </c>
      <c r="E11595" s="2">
        <v>1.068287037037037E-2</v>
      </c>
      <c r="F11595">
        <v>15.383333333333333</v>
      </c>
    </row>
    <row r="11596" spans="1:6" x14ac:dyDescent="0.25">
      <c r="A11596" s="1">
        <v>42552</v>
      </c>
      <c r="B11596" t="s">
        <v>5</v>
      </c>
      <c r="C11596" t="s">
        <v>9</v>
      </c>
      <c r="D11596">
        <v>0</v>
      </c>
      <c r="E11596" s="2">
        <v>0</v>
      </c>
      <c r="F11596">
        <v>0</v>
      </c>
    </row>
    <row r="11597" spans="1:6" x14ac:dyDescent="0.25">
      <c r="A11597" s="1">
        <v>42552</v>
      </c>
      <c r="B11597" t="s">
        <v>5</v>
      </c>
      <c r="C11597" t="s">
        <v>10</v>
      </c>
      <c r="D11597">
        <v>2</v>
      </c>
      <c r="E11597" s="2">
        <v>1.4004629629629629E-3</v>
      </c>
      <c r="F11597">
        <v>2.0166666666666666</v>
      </c>
    </row>
    <row r="11598" spans="1:6" x14ac:dyDescent="0.25">
      <c r="A11598" s="1">
        <v>42552</v>
      </c>
      <c r="B11598" t="s">
        <v>5</v>
      </c>
      <c r="C11598" t="s">
        <v>11</v>
      </c>
      <c r="D11598">
        <v>23</v>
      </c>
      <c r="E11598" s="2">
        <v>1.380787037037037E-2</v>
      </c>
      <c r="F11598">
        <v>19.883333333333333</v>
      </c>
    </row>
    <row r="11599" spans="1:6" x14ac:dyDescent="0.25">
      <c r="A11599" s="1">
        <v>42552</v>
      </c>
      <c r="B11599" t="s">
        <v>12</v>
      </c>
      <c r="C11599" t="s">
        <v>6</v>
      </c>
      <c r="D11599">
        <v>38</v>
      </c>
      <c r="E11599" s="2">
        <v>6.3599537037037038E-2</v>
      </c>
      <c r="F11599">
        <v>91.583333333333329</v>
      </c>
    </row>
    <row r="11600" spans="1:6" x14ac:dyDescent="0.25">
      <c r="A11600" s="1">
        <v>42552</v>
      </c>
      <c r="B11600" t="s">
        <v>12</v>
      </c>
      <c r="C11600" t="s">
        <v>7</v>
      </c>
      <c r="D11600">
        <v>27</v>
      </c>
      <c r="E11600" s="2">
        <v>4.3564814814814813E-2</v>
      </c>
      <c r="F11600">
        <v>62.733333333333334</v>
      </c>
    </row>
    <row r="11601" spans="1:6" x14ac:dyDescent="0.25">
      <c r="A11601" s="1">
        <v>42552</v>
      </c>
      <c r="B11601" t="s">
        <v>12</v>
      </c>
      <c r="C11601" t="s">
        <v>8</v>
      </c>
      <c r="D11601">
        <v>19</v>
      </c>
      <c r="E11601" s="2">
        <v>2.8680555555555556E-2</v>
      </c>
      <c r="F11601">
        <v>41.3</v>
      </c>
    </row>
    <row r="11602" spans="1:6" x14ac:dyDescent="0.25">
      <c r="A11602" s="1">
        <v>42552</v>
      </c>
      <c r="B11602" t="s">
        <v>12</v>
      </c>
      <c r="C11602" t="s">
        <v>9</v>
      </c>
      <c r="D11602">
        <v>0</v>
      </c>
      <c r="E11602" s="2">
        <v>0</v>
      </c>
      <c r="F11602">
        <v>0</v>
      </c>
    </row>
    <row r="11603" spans="1:6" x14ac:dyDescent="0.25">
      <c r="A11603" s="1">
        <v>42552</v>
      </c>
      <c r="B11603" t="s">
        <v>12</v>
      </c>
      <c r="C11603" t="s">
        <v>10</v>
      </c>
      <c r="D11603">
        <v>26</v>
      </c>
      <c r="E11603" s="2">
        <v>4.355324074074074E-2</v>
      </c>
      <c r="F11603">
        <v>62.716666666666669</v>
      </c>
    </row>
    <row r="11604" spans="1:6" x14ac:dyDescent="0.25">
      <c r="A11604" s="1">
        <v>42552</v>
      </c>
      <c r="B11604" t="s">
        <v>12</v>
      </c>
      <c r="C11604" t="s">
        <v>11</v>
      </c>
      <c r="D11604">
        <v>26</v>
      </c>
      <c r="E11604" s="2">
        <v>2.6724537037037036E-2</v>
      </c>
      <c r="F11604">
        <v>38.483333333333334</v>
      </c>
    </row>
    <row r="11605" spans="1:6" x14ac:dyDescent="0.25">
      <c r="A11605" s="1">
        <v>42552</v>
      </c>
      <c r="B11605" t="s">
        <v>13</v>
      </c>
      <c r="C11605" t="s">
        <v>6</v>
      </c>
      <c r="D11605">
        <v>34</v>
      </c>
      <c r="E11605" s="2">
        <v>5.4467592592592595E-2</v>
      </c>
      <c r="F11605">
        <v>78.433333333333337</v>
      </c>
    </row>
    <row r="11606" spans="1:6" x14ac:dyDescent="0.25">
      <c r="A11606" s="1">
        <v>42552</v>
      </c>
      <c r="B11606" t="s">
        <v>13</v>
      </c>
      <c r="C11606" t="s">
        <v>7</v>
      </c>
      <c r="D11606">
        <v>37</v>
      </c>
      <c r="E11606" s="2">
        <v>7.4733796296296298E-2</v>
      </c>
      <c r="F11606">
        <v>107.61666666666666</v>
      </c>
    </row>
    <row r="11607" spans="1:6" x14ac:dyDescent="0.25">
      <c r="A11607" s="1">
        <v>42552</v>
      </c>
      <c r="B11607" t="s">
        <v>13</v>
      </c>
      <c r="C11607" t="s">
        <v>8</v>
      </c>
      <c r="D11607">
        <v>22</v>
      </c>
      <c r="E11607" s="2">
        <v>3.5578703703703703E-2</v>
      </c>
      <c r="F11607">
        <v>51.233333333333334</v>
      </c>
    </row>
    <row r="11608" spans="1:6" x14ac:dyDescent="0.25">
      <c r="A11608" s="1">
        <v>42552</v>
      </c>
      <c r="B11608" t="s">
        <v>13</v>
      </c>
      <c r="C11608" t="s">
        <v>9</v>
      </c>
      <c r="D11608">
        <v>0</v>
      </c>
      <c r="E11608" s="2">
        <v>0</v>
      </c>
      <c r="F11608">
        <v>0</v>
      </c>
    </row>
    <row r="11609" spans="1:6" x14ac:dyDescent="0.25">
      <c r="A11609" s="1">
        <v>42552</v>
      </c>
      <c r="B11609" t="s">
        <v>13</v>
      </c>
      <c r="C11609" t="s">
        <v>10</v>
      </c>
      <c r="D11609">
        <v>7</v>
      </c>
      <c r="E11609" s="2">
        <v>1.361111111111111E-2</v>
      </c>
      <c r="F11609">
        <v>19.600000000000001</v>
      </c>
    </row>
    <row r="11610" spans="1:6" x14ac:dyDescent="0.25">
      <c r="A11610" s="1">
        <v>42552</v>
      </c>
      <c r="B11610" t="s">
        <v>13</v>
      </c>
      <c r="C11610" t="s">
        <v>11</v>
      </c>
      <c r="D11610">
        <v>12</v>
      </c>
      <c r="E11610" s="2">
        <v>1.1990740740740741E-2</v>
      </c>
      <c r="F11610">
        <v>17.266666666666666</v>
      </c>
    </row>
    <row r="11611" spans="1:6" x14ac:dyDescent="0.25">
      <c r="A11611" s="1">
        <v>42552</v>
      </c>
      <c r="B11611" t="s">
        <v>14</v>
      </c>
      <c r="C11611" t="s">
        <v>6</v>
      </c>
      <c r="D11611">
        <v>4</v>
      </c>
      <c r="E11611" s="2">
        <v>5.4282407407407404E-3</v>
      </c>
      <c r="F11611">
        <v>7.8166666666666664</v>
      </c>
    </row>
    <row r="11612" spans="1:6" x14ac:dyDescent="0.25">
      <c r="A11612" s="1">
        <v>42552</v>
      </c>
      <c r="B11612" t="s">
        <v>14</v>
      </c>
      <c r="C11612" t="s">
        <v>7</v>
      </c>
      <c r="D11612">
        <v>5</v>
      </c>
      <c r="E11612" s="2">
        <v>1.3344907407407408E-2</v>
      </c>
      <c r="F11612">
        <v>19.216666666666665</v>
      </c>
    </row>
    <row r="11613" spans="1:6" x14ac:dyDescent="0.25">
      <c r="A11613" s="1">
        <v>42552</v>
      </c>
      <c r="B11613" t="s">
        <v>14</v>
      </c>
      <c r="C11613" t="s">
        <v>8</v>
      </c>
      <c r="D11613">
        <v>3</v>
      </c>
      <c r="E11613" s="2">
        <v>5.3819444444444444E-3</v>
      </c>
      <c r="F11613">
        <v>7.75</v>
      </c>
    </row>
    <row r="11614" spans="1:6" x14ac:dyDescent="0.25">
      <c r="A11614" s="1">
        <v>42552</v>
      </c>
      <c r="B11614" t="s">
        <v>14</v>
      </c>
      <c r="C11614" t="s">
        <v>9</v>
      </c>
      <c r="D11614">
        <v>0</v>
      </c>
      <c r="E11614" s="2">
        <v>0</v>
      </c>
      <c r="F11614">
        <v>0</v>
      </c>
    </row>
    <row r="11615" spans="1:6" x14ac:dyDescent="0.25">
      <c r="A11615" s="1">
        <v>42552</v>
      </c>
      <c r="B11615" t="s">
        <v>14</v>
      </c>
      <c r="C11615" t="s">
        <v>10</v>
      </c>
      <c r="D11615">
        <v>0</v>
      </c>
      <c r="E11615" s="2">
        <v>0</v>
      </c>
      <c r="F11615">
        <v>0</v>
      </c>
    </row>
    <row r="11616" spans="1:6" x14ac:dyDescent="0.25">
      <c r="A11616" s="1">
        <v>42552</v>
      </c>
      <c r="B11616" t="s">
        <v>14</v>
      </c>
      <c r="C11616" t="s">
        <v>11</v>
      </c>
      <c r="D11616">
        <v>9</v>
      </c>
      <c r="E11616" s="2">
        <v>4.6180555555555558E-3</v>
      </c>
      <c r="F11616">
        <v>6.65</v>
      </c>
    </row>
    <row r="11617" spans="1:6" x14ac:dyDescent="0.25">
      <c r="A11617" s="1">
        <v>42552</v>
      </c>
      <c r="B11617" t="s">
        <v>15</v>
      </c>
      <c r="C11617" t="s">
        <v>6</v>
      </c>
      <c r="D11617">
        <v>17</v>
      </c>
      <c r="E11617" s="2">
        <v>3.2893518518518516E-2</v>
      </c>
      <c r="F11617">
        <v>47.366666666666667</v>
      </c>
    </row>
    <row r="11618" spans="1:6" x14ac:dyDescent="0.25">
      <c r="A11618" s="1">
        <v>42552</v>
      </c>
      <c r="B11618" t="s">
        <v>15</v>
      </c>
      <c r="C11618" t="s">
        <v>7</v>
      </c>
      <c r="D11618">
        <v>7</v>
      </c>
      <c r="E11618" s="2">
        <v>1.0069444444444445E-2</v>
      </c>
      <c r="F11618">
        <v>14.5</v>
      </c>
    </row>
    <row r="11619" spans="1:6" x14ac:dyDescent="0.25">
      <c r="A11619" s="1">
        <v>42552</v>
      </c>
      <c r="B11619" t="s">
        <v>15</v>
      </c>
      <c r="C11619" t="s">
        <v>8</v>
      </c>
      <c r="D11619">
        <v>2</v>
      </c>
      <c r="E11619" s="2">
        <v>4.0277777777777777E-3</v>
      </c>
      <c r="F11619">
        <v>5.8</v>
      </c>
    </row>
    <row r="11620" spans="1:6" x14ac:dyDescent="0.25">
      <c r="A11620" s="1">
        <v>42552</v>
      </c>
      <c r="B11620" t="s">
        <v>15</v>
      </c>
      <c r="C11620" t="s">
        <v>9</v>
      </c>
      <c r="D11620">
        <v>0</v>
      </c>
      <c r="E11620" s="2">
        <v>0</v>
      </c>
      <c r="F11620">
        <v>0</v>
      </c>
    </row>
    <row r="11621" spans="1:6" x14ac:dyDescent="0.25">
      <c r="A11621" s="1">
        <v>42552</v>
      </c>
      <c r="B11621" t="s">
        <v>15</v>
      </c>
      <c r="C11621" t="s">
        <v>10</v>
      </c>
      <c r="D11621">
        <v>3</v>
      </c>
      <c r="E11621" s="2">
        <v>3.0208333333333333E-3</v>
      </c>
      <c r="F11621">
        <v>4.3499999999999996</v>
      </c>
    </row>
    <row r="11622" spans="1:6" x14ac:dyDescent="0.25">
      <c r="A11622" s="1">
        <v>42552</v>
      </c>
      <c r="B11622" t="s">
        <v>15</v>
      </c>
      <c r="C11622" t="s">
        <v>11</v>
      </c>
      <c r="D11622">
        <v>3</v>
      </c>
      <c r="E11622" s="2">
        <v>3.6458333333333334E-3</v>
      </c>
      <c r="F11622">
        <v>5.25</v>
      </c>
    </row>
    <row r="11623" spans="1:6" x14ac:dyDescent="0.25">
      <c r="A11623" s="1">
        <v>42552</v>
      </c>
      <c r="B11623" t="s">
        <v>16</v>
      </c>
      <c r="C11623" t="s">
        <v>6</v>
      </c>
      <c r="D11623">
        <v>12</v>
      </c>
      <c r="E11623" s="2">
        <v>9.3402777777777772E-3</v>
      </c>
      <c r="F11623">
        <v>13.45</v>
      </c>
    </row>
    <row r="11624" spans="1:6" x14ac:dyDescent="0.25">
      <c r="A11624" s="1">
        <v>42552</v>
      </c>
      <c r="B11624" t="s">
        <v>16</v>
      </c>
      <c r="C11624" t="s">
        <v>7</v>
      </c>
      <c r="D11624">
        <v>11</v>
      </c>
      <c r="E11624" s="2">
        <v>9.2013888888888892E-3</v>
      </c>
      <c r="F11624">
        <v>13.25</v>
      </c>
    </row>
    <row r="11625" spans="1:6" x14ac:dyDescent="0.25">
      <c r="A11625" s="1">
        <v>42552</v>
      </c>
      <c r="B11625" t="s">
        <v>16</v>
      </c>
      <c r="C11625" t="s">
        <v>8</v>
      </c>
      <c r="D11625">
        <v>10</v>
      </c>
      <c r="E11625" s="2">
        <v>6.7129629629629631E-3</v>
      </c>
      <c r="F11625">
        <v>9.6666666666666661</v>
      </c>
    </row>
    <row r="11626" spans="1:6" x14ac:dyDescent="0.25">
      <c r="A11626" s="1">
        <v>42552</v>
      </c>
      <c r="B11626" t="s">
        <v>16</v>
      </c>
      <c r="C11626" t="s">
        <v>9</v>
      </c>
      <c r="D11626">
        <v>0</v>
      </c>
      <c r="E11626" s="2">
        <v>0</v>
      </c>
      <c r="F11626">
        <v>0</v>
      </c>
    </row>
    <row r="11627" spans="1:6" x14ac:dyDescent="0.25">
      <c r="A11627" s="1">
        <v>42552</v>
      </c>
      <c r="B11627" t="s">
        <v>16</v>
      </c>
      <c r="C11627" t="s">
        <v>10</v>
      </c>
      <c r="D11627">
        <v>4</v>
      </c>
      <c r="E11627" s="2">
        <v>4.43287037037037E-3</v>
      </c>
      <c r="F11627">
        <v>6.3833333333333337</v>
      </c>
    </row>
    <row r="11628" spans="1:6" x14ac:dyDescent="0.25">
      <c r="A11628" s="1">
        <v>42552</v>
      </c>
      <c r="B11628" t="s">
        <v>16</v>
      </c>
      <c r="C11628" t="s">
        <v>11</v>
      </c>
      <c r="D11628">
        <v>15</v>
      </c>
      <c r="E11628" s="2">
        <v>1.1689814814814814E-2</v>
      </c>
      <c r="F11628">
        <v>16.833333333333332</v>
      </c>
    </row>
    <row r="11629" spans="1:6" x14ac:dyDescent="0.25">
      <c r="A11629" s="1">
        <v>42552</v>
      </c>
      <c r="B11629" t="s">
        <v>17</v>
      </c>
      <c r="C11629" t="s">
        <v>6</v>
      </c>
      <c r="D11629">
        <v>21</v>
      </c>
      <c r="E11629" s="2">
        <v>3.2523148148148148E-2</v>
      </c>
      <c r="F11629">
        <v>46.833333333333336</v>
      </c>
    </row>
    <row r="11630" spans="1:6" x14ac:dyDescent="0.25">
      <c r="A11630" s="1">
        <v>42552</v>
      </c>
      <c r="B11630" t="s">
        <v>17</v>
      </c>
      <c r="C11630" t="s">
        <v>7</v>
      </c>
      <c r="D11630">
        <v>19</v>
      </c>
      <c r="E11630" s="2">
        <v>2.3217592592592592E-2</v>
      </c>
      <c r="F11630">
        <v>33.43333333333333</v>
      </c>
    </row>
    <row r="11631" spans="1:6" x14ac:dyDescent="0.25">
      <c r="A11631" s="1">
        <v>42552</v>
      </c>
      <c r="B11631" t="s">
        <v>17</v>
      </c>
      <c r="C11631" t="s">
        <v>8</v>
      </c>
      <c r="D11631">
        <v>11</v>
      </c>
      <c r="E11631" s="2">
        <v>1.2337962962962964E-2</v>
      </c>
      <c r="F11631">
        <v>17.766666666666666</v>
      </c>
    </row>
    <row r="11632" spans="1:6" x14ac:dyDescent="0.25">
      <c r="A11632" s="1">
        <v>42552</v>
      </c>
      <c r="B11632" t="s">
        <v>17</v>
      </c>
      <c r="C11632" t="s">
        <v>9</v>
      </c>
      <c r="D11632">
        <v>0</v>
      </c>
      <c r="E11632" s="2">
        <v>0</v>
      </c>
      <c r="F11632">
        <v>0</v>
      </c>
    </row>
    <row r="11633" spans="1:6" x14ac:dyDescent="0.25">
      <c r="A11633" s="1">
        <v>42552</v>
      </c>
      <c r="B11633" t="s">
        <v>17</v>
      </c>
      <c r="C11633" t="s">
        <v>10</v>
      </c>
      <c r="D11633">
        <v>4</v>
      </c>
      <c r="E11633" s="2">
        <v>4.5138888888888885E-3</v>
      </c>
      <c r="F11633">
        <v>6.5</v>
      </c>
    </row>
    <row r="11634" spans="1:6" x14ac:dyDescent="0.25">
      <c r="A11634" s="1">
        <v>42552</v>
      </c>
      <c r="B11634" t="s">
        <v>17</v>
      </c>
      <c r="C11634" t="s">
        <v>11</v>
      </c>
      <c r="D11634">
        <v>5</v>
      </c>
      <c r="E11634" s="2">
        <v>4.31712962962963E-3</v>
      </c>
      <c r="F11634">
        <v>6.2166666666666668</v>
      </c>
    </row>
    <row r="11635" spans="1:6" x14ac:dyDescent="0.25">
      <c r="A11635" s="1">
        <v>42552</v>
      </c>
      <c r="B11635" t="s">
        <v>18</v>
      </c>
      <c r="C11635" t="s">
        <v>6</v>
      </c>
      <c r="D11635">
        <v>53</v>
      </c>
      <c r="E11635" s="2">
        <v>5.1412037037037034E-2</v>
      </c>
      <c r="F11635">
        <v>74.033333333333331</v>
      </c>
    </row>
    <row r="11636" spans="1:6" x14ac:dyDescent="0.25">
      <c r="A11636" s="1">
        <v>42552</v>
      </c>
      <c r="B11636" t="s">
        <v>18</v>
      </c>
      <c r="C11636" t="s">
        <v>7</v>
      </c>
      <c r="D11636">
        <v>95</v>
      </c>
      <c r="E11636" s="2">
        <v>8.6226851851851846E-2</v>
      </c>
      <c r="F11636">
        <v>124.16666666666667</v>
      </c>
    </row>
    <row r="11637" spans="1:6" x14ac:dyDescent="0.25">
      <c r="A11637" s="1">
        <v>42552</v>
      </c>
      <c r="B11637" t="s">
        <v>18</v>
      </c>
      <c r="C11637" t="s">
        <v>8</v>
      </c>
      <c r="D11637">
        <v>39</v>
      </c>
      <c r="E11637" s="2">
        <v>3.0960648148148147E-2</v>
      </c>
      <c r="F11637">
        <v>44.583333333333336</v>
      </c>
    </row>
    <row r="11638" spans="1:6" x14ac:dyDescent="0.25">
      <c r="A11638" s="1">
        <v>42552</v>
      </c>
      <c r="B11638" t="s">
        <v>18</v>
      </c>
      <c r="C11638" t="s">
        <v>9</v>
      </c>
      <c r="D11638">
        <v>0</v>
      </c>
      <c r="E11638" s="2">
        <v>0</v>
      </c>
      <c r="F11638">
        <v>0</v>
      </c>
    </row>
    <row r="11639" spans="1:6" x14ac:dyDescent="0.25">
      <c r="A11639" s="1">
        <v>42552</v>
      </c>
      <c r="B11639" t="s">
        <v>18</v>
      </c>
      <c r="C11639" t="s">
        <v>10</v>
      </c>
      <c r="D11639">
        <v>111</v>
      </c>
      <c r="E11639" s="2">
        <v>0.13538194444444446</v>
      </c>
      <c r="F11639">
        <v>194.95</v>
      </c>
    </row>
    <row r="11640" spans="1:6" x14ac:dyDescent="0.25">
      <c r="A11640" s="1">
        <v>42552</v>
      </c>
      <c r="B11640" t="s">
        <v>18</v>
      </c>
      <c r="C11640" t="s">
        <v>11</v>
      </c>
      <c r="D11640">
        <v>50</v>
      </c>
      <c r="E11640" s="2">
        <v>3.7766203703703705E-2</v>
      </c>
      <c r="F11640">
        <v>54.383333333333333</v>
      </c>
    </row>
    <row r="11641" spans="1:6" x14ac:dyDescent="0.25">
      <c r="A11641" s="1">
        <v>42552</v>
      </c>
      <c r="B11641" t="s">
        <v>19</v>
      </c>
      <c r="C11641" t="s">
        <v>6</v>
      </c>
      <c r="D11641">
        <v>8</v>
      </c>
      <c r="E11641" s="2">
        <v>9.2939814814814812E-3</v>
      </c>
      <c r="F11641">
        <v>13.383333333333333</v>
      </c>
    </row>
    <row r="11642" spans="1:6" x14ac:dyDescent="0.25">
      <c r="A11642" s="1">
        <v>42552</v>
      </c>
      <c r="B11642" t="s">
        <v>19</v>
      </c>
      <c r="C11642" t="s">
        <v>7</v>
      </c>
      <c r="D11642">
        <v>7</v>
      </c>
      <c r="E11642" s="2">
        <v>7.4305555555555557E-3</v>
      </c>
      <c r="F11642">
        <v>10.7</v>
      </c>
    </row>
    <row r="11643" spans="1:6" x14ac:dyDescent="0.25">
      <c r="A11643" s="1">
        <v>42552</v>
      </c>
      <c r="B11643" t="s">
        <v>19</v>
      </c>
      <c r="C11643" t="s">
        <v>8</v>
      </c>
      <c r="D11643">
        <v>5</v>
      </c>
      <c r="E11643" s="2">
        <v>3.7962962962962963E-3</v>
      </c>
      <c r="F11643">
        <v>5.4666666666666668</v>
      </c>
    </row>
    <row r="11644" spans="1:6" x14ac:dyDescent="0.25">
      <c r="A11644" s="1">
        <v>42552</v>
      </c>
      <c r="B11644" t="s">
        <v>19</v>
      </c>
      <c r="C11644" t="s">
        <v>9</v>
      </c>
      <c r="D11644">
        <v>0</v>
      </c>
      <c r="E11644" s="2">
        <v>0</v>
      </c>
      <c r="F11644">
        <v>0</v>
      </c>
    </row>
    <row r="11645" spans="1:6" x14ac:dyDescent="0.25">
      <c r="A11645" s="1">
        <v>42552</v>
      </c>
      <c r="B11645" t="s">
        <v>19</v>
      </c>
      <c r="C11645" t="s">
        <v>10</v>
      </c>
      <c r="D11645">
        <v>8</v>
      </c>
      <c r="E11645" s="2">
        <v>6.2962962962962964E-3</v>
      </c>
      <c r="F11645">
        <v>9.0666666666666664</v>
      </c>
    </row>
    <row r="11646" spans="1:6" x14ac:dyDescent="0.25">
      <c r="A11646" s="1">
        <v>42552</v>
      </c>
      <c r="B11646" t="s">
        <v>19</v>
      </c>
      <c r="C11646" t="s">
        <v>11</v>
      </c>
      <c r="D11646">
        <v>11</v>
      </c>
      <c r="E11646" s="2">
        <v>5.7060185185185183E-3</v>
      </c>
      <c r="F11646">
        <v>8.2166666666666668</v>
      </c>
    </row>
    <row r="11647" spans="1:6" x14ac:dyDescent="0.25">
      <c r="A11647" s="1">
        <v>42552</v>
      </c>
      <c r="B11647" t="s">
        <v>20</v>
      </c>
      <c r="C11647" t="s">
        <v>6</v>
      </c>
      <c r="D11647">
        <v>162</v>
      </c>
      <c r="E11647" s="2">
        <v>0.20973379629629629</v>
      </c>
      <c r="F11647">
        <v>302.01666666666665</v>
      </c>
    </row>
    <row r="11648" spans="1:6" x14ac:dyDescent="0.25">
      <c r="A11648" s="1">
        <v>42552</v>
      </c>
      <c r="B11648" t="s">
        <v>20</v>
      </c>
      <c r="C11648" t="s">
        <v>7</v>
      </c>
      <c r="D11648">
        <v>171</v>
      </c>
      <c r="E11648" s="2">
        <v>0.20145833333333332</v>
      </c>
      <c r="F11648">
        <v>290.10000000000002</v>
      </c>
    </row>
    <row r="11649" spans="1:6" x14ac:dyDescent="0.25">
      <c r="A11649" s="1">
        <v>42552</v>
      </c>
      <c r="B11649" t="s">
        <v>20</v>
      </c>
      <c r="C11649" t="s">
        <v>8</v>
      </c>
      <c r="D11649">
        <v>120</v>
      </c>
      <c r="E11649" s="2">
        <v>0.13078703703703703</v>
      </c>
      <c r="F11649">
        <v>188.33333333333334</v>
      </c>
    </row>
    <row r="11650" spans="1:6" x14ac:dyDescent="0.25">
      <c r="A11650" s="1">
        <v>42552</v>
      </c>
      <c r="B11650" t="s">
        <v>20</v>
      </c>
      <c r="C11650" t="s">
        <v>9</v>
      </c>
      <c r="D11650">
        <v>0</v>
      </c>
      <c r="E11650" s="2">
        <v>0</v>
      </c>
      <c r="F11650">
        <v>0</v>
      </c>
    </row>
    <row r="11651" spans="1:6" x14ac:dyDescent="0.25">
      <c r="A11651" s="1">
        <v>42552</v>
      </c>
      <c r="B11651" t="s">
        <v>20</v>
      </c>
      <c r="C11651" t="s">
        <v>10</v>
      </c>
      <c r="D11651">
        <v>33</v>
      </c>
      <c r="E11651" s="2">
        <v>3.8240740740740742E-2</v>
      </c>
      <c r="F11651">
        <v>55.06666666666667</v>
      </c>
    </row>
    <row r="11652" spans="1:6" x14ac:dyDescent="0.25">
      <c r="A11652" s="1">
        <v>42552</v>
      </c>
      <c r="B11652" t="s">
        <v>20</v>
      </c>
      <c r="C11652" t="s">
        <v>11</v>
      </c>
      <c r="D11652">
        <v>157</v>
      </c>
      <c r="E11652" s="2">
        <v>0.16122685185185184</v>
      </c>
      <c r="F11652">
        <v>232.16666666666666</v>
      </c>
    </row>
    <row r="11653" spans="1:6" x14ac:dyDescent="0.25">
      <c r="A11653" s="1">
        <v>42552</v>
      </c>
      <c r="B11653" t="s">
        <v>21</v>
      </c>
      <c r="C11653" t="s">
        <v>6</v>
      </c>
      <c r="D11653">
        <v>10</v>
      </c>
      <c r="E11653" s="2">
        <v>1.207175925925926E-2</v>
      </c>
      <c r="F11653">
        <v>17.383333333333333</v>
      </c>
    </row>
    <row r="11654" spans="1:6" x14ac:dyDescent="0.25">
      <c r="A11654" s="1">
        <v>42552</v>
      </c>
      <c r="B11654" t="s">
        <v>21</v>
      </c>
      <c r="C11654" t="s">
        <v>7</v>
      </c>
      <c r="D11654">
        <v>3</v>
      </c>
      <c r="E11654" s="2">
        <v>3.5532407407407409E-3</v>
      </c>
      <c r="F11654">
        <v>5.1166666666666663</v>
      </c>
    </row>
    <row r="11655" spans="1:6" x14ac:dyDescent="0.25">
      <c r="A11655" s="1">
        <v>42552</v>
      </c>
      <c r="B11655" t="s">
        <v>21</v>
      </c>
      <c r="C11655" t="s">
        <v>8</v>
      </c>
      <c r="D11655">
        <v>5</v>
      </c>
      <c r="E11655" s="2">
        <v>5.0578703703703706E-3</v>
      </c>
      <c r="F11655">
        <v>7.2833333333333332</v>
      </c>
    </row>
    <row r="11656" spans="1:6" x14ac:dyDescent="0.25">
      <c r="A11656" s="1">
        <v>42552</v>
      </c>
      <c r="B11656" t="s">
        <v>21</v>
      </c>
      <c r="C11656" t="s">
        <v>9</v>
      </c>
      <c r="D11656">
        <v>0</v>
      </c>
      <c r="E11656" s="2">
        <v>0</v>
      </c>
      <c r="F11656">
        <v>0</v>
      </c>
    </row>
    <row r="11657" spans="1:6" x14ac:dyDescent="0.25">
      <c r="A11657" s="1">
        <v>42552</v>
      </c>
      <c r="B11657" t="s">
        <v>21</v>
      </c>
      <c r="C11657" t="s">
        <v>10</v>
      </c>
      <c r="D11657">
        <v>3</v>
      </c>
      <c r="E11657" s="2">
        <v>8.6458333333333335E-3</v>
      </c>
      <c r="F11657">
        <v>12.45</v>
      </c>
    </row>
    <row r="11658" spans="1:6" x14ac:dyDescent="0.25">
      <c r="A11658" s="1">
        <v>42552</v>
      </c>
      <c r="B11658" t="s">
        <v>21</v>
      </c>
      <c r="C11658" t="s">
        <v>11</v>
      </c>
      <c r="D11658">
        <v>2</v>
      </c>
      <c r="E11658" s="2">
        <v>1.6550925925925926E-3</v>
      </c>
      <c r="F11658">
        <v>2.3833333333333333</v>
      </c>
    </row>
    <row r="11659" spans="1:6" x14ac:dyDescent="0.25">
      <c r="A11659" s="1">
        <v>42552</v>
      </c>
      <c r="B11659" t="s">
        <v>22</v>
      </c>
      <c r="C11659" t="s">
        <v>6</v>
      </c>
      <c r="D11659">
        <v>17</v>
      </c>
      <c r="E11659" s="2">
        <v>2.5462962962962962E-2</v>
      </c>
      <c r="F11659">
        <v>36.666666666666664</v>
      </c>
    </row>
    <row r="11660" spans="1:6" x14ac:dyDescent="0.25">
      <c r="A11660" s="1">
        <v>42552</v>
      </c>
      <c r="B11660" t="s">
        <v>22</v>
      </c>
      <c r="C11660" t="s">
        <v>7</v>
      </c>
      <c r="D11660">
        <v>10</v>
      </c>
      <c r="E11660" s="2">
        <v>2.1493055555555557E-2</v>
      </c>
      <c r="F11660">
        <v>30.95</v>
      </c>
    </row>
    <row r="11661" spans="1:6" x14ac:dyDescent="0.25">
      <c r="A11661" s="1">
        <v>42552</v>
      </c>
      <c r="B11661" t="s">
        <v>22</v>
      </c>
      <c r="C11661" t="s">
        <v>8</v>
      </c>
      <c r="D11661">
        <v>2</v>
      </c>
      <c r="E11661" s="2">
        <v>2.9513888888888888E-3</v>
      </c>
      <c r="F11661">
        <v>4.25</v>
      </c>
    </row>
    <row r="11662" spans="1:6" x14ac:dyDescent="0.25">
      <c r="A11662" s="1">
        <v>42552</v>
      </c>
      <c r="B11662" t="s">
        <v>22</v>
      </c>
      <c r="C11662" t="s">
        <v>9</v>
      </c>
      <c r="D11662">
        <v>0</v>
      </c>
      <c r="E11662" s="2">
        <v>0</v>
      </c>
      <c r="F11662">
        <v>0</v>
      </c>
    </row>
    <row r="11663" spans="1:6" x14ac:dyDescent="0.25">
      <c r="A11663" s="1">
        <v>42552</v>
      </c>
      <c r="B11663" t="s">
        <v>22</v>
      </c>
      <c r="C11663" t="s">
        <v>10</v>
      </c>
      <c r="D11663">
        <v>4</v>
      </c>
      <c r="E11663" s="2">
        <v>6.053240740740741E-3</v>
      </c>
      <c r="F11663">
        <v>8.7166666666666668</v>
      </c>
    </row>
    <row r="11664" spans="1:6" x14ac:dyDescent="0.25">
      <c r="A11664" s="1">
        <v>42552</v>
      </c>
      <c r="B11664" t="s">
        <v>22</v>
      </c>
      <c r="C11664" t="s">
        <v>11</v>
      </c>
      <c r="D11664">
        <v>4</v>
      </c>
      <c r="E11664" s="2">
        <v>6.0648148148148145E-3</v>
      </c>
      <c r="F11664">
        <v>8.7333333333333325</v>
      </c>
    </row>
    <row r="11665" spans="1:6" x14ac:dyDescent="0.25">
      <c r="A11665" s="1">
        <v>42552</v>
      </c>
      <c r="B11665" t="s">
        <v>23</v>
      </c>
      <c r="C11665" t="s">
        <v>6</v>
      </c>
      <c r="D11665">
        <v>53</v>
      </c>
      <c r="E11665" s="2">
        <v>7.1736111111111112E-2</v>
      </c>
      <c r="F11665">
        <v>103.3</v>
      </c>
    </row>
    <row r="11666" spans="1:6" x14ac:dyDescent="0.25">
      <c r="A11666" s="1">
        <v>42552</v>
      </c>
      <c r="B11666" t="s">
        <v>23</v>
      </c>
      <c r="C11666" t="s">
        <v>7</v>
      </c>
      <c r="D11666">
        <v>44</v>
      </c>
      <c r="E11666" s="2">
        <v>6.655092592592593E-2</v>
      </c>
      <c r="F11666">
        <v>95.833333333333329</v>
      </c>
    </row>
    <row r="11667" spans="1:6" x14ac:dyDescent="0.25">
      <c r="A11667" s="1">
        <v>42552</v>
      </c>
      <c r="B11667" t="s">
        <v>23</v>
      </c>
      <c r="C11667" t="s">
        <v>8</v>
      </c>
      <c r="D11667">
        <v>41</v>
      </c>
      <c r="E11667" s="2">
        <v>4.7442129629629633E-2</v>
      </c>
      <c r="F11667">
        <v>68.316666666666663</v>
      </c>
    </row>
    <row r="11668" spans="1:6" x14ac:dyDescent="0.25">
      <c r="A11668" s="1">
        <v>42552</v>
      </c>
      <c r="B11668" t="s">
        <v>23</v>
      </c>
      <c r="C11668" t="s">
        <v>9</v>
      </c>
      <c r="D11668">
        <v>0</v>
      </c>
      <c r="E11668" s="2">
        <v>0</v>
      </c>
      <c r="F11668">
        <v>0</v>
      </c>
    </row>
    <row r="11669" spans="1:6" x14ac:dyDescent="0.25">
      <c r="A11669" s="1">
        <v>42552</v>
      </c>
      <c r="B11669" t="s">
        <v>23</v>
      </c>
      <c r="C11669" t="s">
        <v>10</v>
      </c>
      <c r="D11669">
        <v>22</v>
      </c>
      <c r="E11669" s="2">
        <v>3.1342592592592596E-2</v>
      </c>
      <c r="F11669">
        <v>45.133333333333333</v>
      </c>
    </row>
    <row r="11670" spans="1:6" x14ac:dyDescent="0.25">
      <c r="A11670" s="1">
        <v>42552</v>
      </c>
      <c r="B11670" t="s">
        <v>23</v>
      </c>
      <c r="C11670" t="s">
        <v>11</v>
      </c>
      <c r="D11670">
        <v>48</v>
      </c>
      <c r="E11670" s="2">
        <v>4.0162037037037038E-2</v>
      </c>
      <c r="F11670">
        <v>57.833333333333336</v>
      </c>
    </row>
    <row r="11671" spans="1:6" x14ac:dyDescent="0.25">
      <c r="A11671" s="1">
        <v>42552</v>
      </c>
      <c r="B11671" t="s">
        <v>24</v>
      </c>
      <c r="C11671" t="s">
        <v>6</v>
      </c>
      <c r="D11671">
        <v>131</v>
      </c>
      <c r="E11671" s="2">
        <v>0.14146990740740742</v>
      </c>
      <c r="F11671">
        <v>203.71666666666667</v>
      </c>
    </row>
    <row r="11672" spans="1:6" x14ac:dyDescent="0.25">
      <c r="A11672" s="1">
        <v>42552</v>
      </c>
      <c r="B11672" t="s">
        <v>24</v>
      </c>
      <c r="C11672" t="s">
        <v>7</v>
      </c>
      <c r="D11672">
        <v>99</v>
      </c>
      <c r="E11672" s="2">
        <v>0.10449074074074075</v>
      </c>
      <c r="F11672">
        <v>150.46666666666667</v>
      </c>
    </row>
    <row r="11673" spans="1:6" x14ac:dyDescent="0.25">
      <c r="A11673" s="1">
        <v>42552</v>
      </c>
      <c r="B11673" t="s">
        <v>24</v>
      </c>
      <c r="C11673" t="s">
        <v>8</v>
      </c>
      <c r="D11673">
        <v>85</v>
      </c>
      <c r="E11673" s="2">
        <v>8.4571759259259263E-2</v>
      </c>
      <c r="F11673">
        <v>121.78333333333333</v>
      </c>
    </row>
    <row r="11674" spans="1:6" x14ac:dyDescent="0.25">
      <c r="A11674" s="1">
        <v>42552</v>
      </c>
      <c r="B11674" t="s">
        <v>24</v>
      </c>
      <c r="C11674" t="s">
        <v>9</v>
      </c>
      <c r="D11674">
        <v>0</v>
      </c>
      <c r="E11674" s="2">
        <v>0</v>
      </c>
      <c r="F11674">
        <v>0</v>
      </c>
    </row>
    <row r="11675" spans="1:6" x14ac:dyDescent="0.25">
      <c r="A11675" s="1">
        <v>42552</v>
      </c>
      <c r="B11675" t="s">
        <v>24</v>
      </c>
      <c r="C11675" t="s">
        <v>10</v>
      </c>
      <c r="D11675">
        <v>9</v>
      </c>
      <c r="E11675" s="2">
        <v>1.3078703703703703E-2</v>
      </c>
      <c r="F11675">
        <v>18.833333333333332</v>
      </c>
    </row>
    <row r="11676" spans="1:6" x14ac:dyDescent="0.25">
      <c r="A11676" s="1">
        <v>42552</v>
      </c>
      <c r="B11676" t="s">
        <v>24</v>
      </c>
      <c r="C11676" t="s">
        <v>11</v>
      </c>
      <c r="D11676">
        <v>151</v>
      </c>
      <c r="E11676" s="2">
        <v>0.12222222222222222</v>
      </c>
      <c r="F11676">
        <v>176</v>
      </c>
    </row>
    <row r="11677" spans="1:6" x14ac:dyDescent="0.25">
      <c r="A11677" s="1">
        <v>42583</v>
      </c>
      <c r="B11677" t="s">
        <v>5</v>
      </c>
      <c r="C11677" t="s">
        <v>6</v>
      </c>
      <c r="D11677">
        <v>56</v>
      </c>
      <c r="E11677" s="2">
        <v>5.9074074074074077E-2</v>
      </c>
      <c r="F11677">
        <v>85.066666666666663</v>
      </c>
    </row>
    <row r="11678" spans="1:6" x14ac:dyDescent="0.25">
      <c r="A11678" s="1">
        <v>42583</v>
      </c>
      <c r="B11678" t="s">
        <v>5</v>
      </c>
      <c r="C11678" t="s">
        <v>7</v>
      </c>
      <c r="D11678">
        <v>64</v>
      </c>
      <c r="E11678" s="2">
        <v>6.0520833333333336E-2</v>
      </c>
      <c r="F11678">
        <v>87.15</v>
      </c>
    </row>
    <row r="11679" spans="1:6" x14ac:dyDescent="0.25">
      <c r="A11679" s="1">
        <v>42583</v>
      </c>
      <c r="B11679" t="s">
        <v>5</v>
      </c>
      <c r="C11679" t="s">
        <v>8</v>
      </c>
      <c r="D11679">
        <v>57</v>
      </c>
      <c r="E11679" s="2">
        <v>4.9282407407407407E-2</v>
      </c>
      <c r="F11679">
        <v>70.966666666666669</v>
      </c>
    </row>
    <row r="11680" spans="1:6" x14ac:dyDescent="0.25">
      <c r="A11680" s="1">
        <v>42583</v>
      </c>
      <c r="B11680" t="s">
        <v>5</v>
      </c>
      <c r="C11680" t="s">
        <v>9</v>
      </c>
      <c r="D11680">
        <v>0</v>
      </c>
      <c r="E11680" s="2">
        <v>0</v>
      </c>
      <c r="F11680">
        <v>0</v>
      </c>
    </row>
    <row r="11681" spans="1:6" x14ac:dyDescent="0.25">
      <c r="A11681" s="1">
        <v>42583</v>
      </c>
      <c r="B11681" t="s">
        <v>5</v>
      </c>
      <c r="C11681" t="s">
        <v>10</v>
      </c>
      <c r="D11681">
        <v>5</v>
      </c>
      <c r="E11681" s="2">
        <v>4.7916666666666663E-3</v>
      </c>
      <c r="F11681">
        <v>6.9</v>
      </c>
    </row>
    <row r="11682" spans="1:6" x14ac:dyDescent="0.25">
      <c r="A11682" s="1">
        <v>42583</v>
      </c>
      <c r="B11682" t="s">
        <v>5</v>
      </c>
      <c r="C11682" t="s">
        <v>11</v>
      </c>
      <c r="D11682">
        <v>54</v>
      </c>
      <c r="E11682" s="2">
        <v>4.1747685185185186E-2</v>
      </c>
      <c r="F11682">
        <v>60.116666666666667</v>
      </c>
    </row>
    <row r="11683" spans="1:6" x14ac:dyDescent="0.25">
      <c r="A11683" s="1">
        <v>42583</v>
      </c>
      <c r="B11683" t="s">
        <v>12</v>
      </c>
      <c r="C11683" t="s">
        <v>6</v>
      </c>
      <c r="D11683">
        <v>60</v>
      </c>
      <c r="E11683" s="2">
        <v>9.6944444444444444E-2</v>
      </c>
      <c r="F11683">
        <v>139.6</v>
      </c>
    </row>
    <row r="11684" spans="1:6" x14ac:dyDescent="0.25">
      <c r="A11684" s="1">
        <v>42583</v>
      </c>
      <c r="B11684" t="s">
        <v>12</v>
      </c>
      <c r="C11684" t="s">
        <v>7</v>
      </c>
      <c r="D11684">
        <v>28</v>
      </c>
      <c r="E11684" s="2">
        <v>5.3298611111111109E-2</v>
      </c>
      <c r="F11684">
        <v>76.75</v>
      </c>
    </row>
    <row r="11685" spans="1:6" x14ac:dyDescent="0.25">
      <c r="A11685" s="1">
        <v>42583</v>
      </c>
      <c r="B11685" t="s">
        <v>12</v>
      </c>
      <c r="C11685" t="s">
        <v>8</v>
      </c>
      <c r="D11685">
        <v>23</v>
      </c>
      <c r="E11685" s="2">
        <v>3.7060185185185182E-2</v>
      </c>
      <c r="F11685">
        <v>53.366666666666667</v>
      </c>
    </row>
    <row r="11686" spans="1:6" x14ac:dyDescent="0.25">
      <c r="A11686" s="1">
        <v>42583</v>
      </c>
      <c r="B11686" t="s">
        <v>12</v>
      </c>
      <c r="C11686" t="s">
        <v>9</v>
      </c>
      <c r="D11686">
        <v>0</v>
      </c>
      <c r="E11686" s="2">
        <v>0</v>
      </c>
      <c r="F11686">
        <v>0</v>
      </c>
    </row>
    <row r="11687" spans="1:6" x14ac:dyDescent="0.25">
      <c r="A11687" s="1">
        <v>42583</v>
      </c>
      <c r="B11687" t="s">
        <v>12</v>
      </c>
      <c r="C11687" t="s">
        <v>10</v>
      </c>
      <c r="D11687">
        <v>35</v>
      </c>
      <c r="E11687" s="2">
        <v>6.6574074074074077E-2</v>
      </c>
      <c r="F11687">
        <v>95.86666666666666</v>
      </c>
    </row>
    <row r="11688" spans="1:6" x14ac:dyDescent="0.25">
      <c r="A11688" s="1">
        <v>42583</v>
      </c>
      <c r="B11688" t="s">
        <v>12</v>
      </c>
      <c r="C11688" t="s">
        <v>11</v>
      </c>
      <c r="D11688">
        <v>54</v>
      </c>
      <c r="E11688" s="2">
        <v>7.4108796296296298E-2</v>
      </c>
      <c r="F11688">
        <v>106.71666666666667</v>
      </c>
    </row>
    <row r="11689" spans="1:6" x14ac:dyDescent="0.25">
      <c r="A11689" s="1">
        <v>42583</v>
      </c>
      <c r="B11689" t="s">
        <v>13</v>
      </c>
      <c r="C11689" t="s">
        <v>6</v>
      </c>
      <c r="D11689">
        <v>89</v>
      </c>
      <c r="E11689" s="2">
        <v>0.1275</v>
      </c>
      <c r="F11689">
        <v>183.6</v>
      </c>
    </row>
    <row r="11690" spans="1:6" x14ac:dyDescent="0.25">
      <c r="A11690" s="1">
        <v>42583</v>
      </c>
      <c r="B11690" t="s">
        <v>13</v>
      </c>
      <c r="C11690" t="s">
        <v>7</v>
      </c>
      <c r="D11690">
        <v>73</v>
      </c>
      <c r="E11690" s="2">
        <v>0.12503472222222223</v>
      </c>
      <c r="F11690">
        <v>180.05</v>
      </c>
    </row>
    <row r="11691" spans="1:6" x14ac:dyDescent="0.25">
      <c r="A11691" s="1">
        <v>42583</v>
      </c>
      <c r="B11691" t="s">
        <v>13</v>
      </c>
      <c r="C11691" t="s">
        <v>8</v>
      </c>
      <c r="D11691">
        <v>48</v>
      </c>
      <c r="E11691" s="2">
        <v>6.0162037037037035E-2</v>
      </c>
      <c r="F11691">
        <v>86.63333333333334</v>
      </c>
    </row>
    <row r="11692" spans="1:6" x14ac:dyDescent="0.25">
      <c r="A11692" s="1">
        <v>42583</v>
      </c>
      <c r="B11692" t="s">
        <v>13</v>
      </c>
      <c r="C11692" t="s">
        <v>9</v>
      </c>
      <c r="D11692">
        <v>0</v>
      </c>
      <c r="E11692" s="2">
        <v>0</v>
      </c>
      <c r="F11692">
        <v>0</v>
      </c>
    </row>
    <row r="11693" spans="1:6" x14ac:dyDescent="0.25">
      <c r="A11693" s="1">
        <v>42583</v>
      </c>
      <c r="B11693" t="s">
        <v>13</v>
      </c>
      <c r="C11693" t="s">
        <v>10</v>
      </c>
      <c r="D11693">
        <v>13</v>
      </c>
      <c r="E11693" s="2">
        <v>1.3518518518518518E-2</v>
      </c>
      <c r="F11693">
        <v>19.466666666666665</v>
      </c>
    </row>
    <row r="11694" spans="1:6" x14ac:dyDescent="0.25">
      <c r="A11694" s="1">
        <v>42583</v>
      </c>
      <c r="B11694" t="s">
        <v>13</v>
      </c>
      <c r="C11694" t="s">
        <v>11</v>
      </c>
      <c r="D11694">
        <v>36</v>
      </c>
      <c r="E11694" s="2">
        <v>3.7384259259259256E-2</v>
      </c>
      <c r="F11694">
        <v>53.833333333333336</v>
      </c>
    </row>
    <row r="11695" spans="1:6" x14ac:dyDescent="0.25">
      <c r="A11695" s="1">
        <v>42583</v>
      </c>
      <c r="B11695" t="s">
        <v>14</v>
      </c>
      <c r="C11695" t="s">
        <v>6</v>
      </c>
      <c r="D11695">
        <v>26</v>
      </c>
      <c r="E11695" s="2">
        <v>3.6655092592592593E-2</v>
      </c>
      <c r="F11695">
        <v>52.783333333333331</v>
      </c>
    </row>
    <row r="11696" spans="1:6" x14ac:dyDescent="0.25">
      <c r="A11696" s="1">
        <v>42583</v>
      </c>
      <c r="B11696" t="s">
        <v>14</v>
      </c>
      <c r="C11696" t="s">
        <v>7</v>
      </c>
      <c r="D11696">
        <v>8</v>
      </c>
      <c r="E11696" s="2">
        <v>1.0266203703703704E-2</v>
      </c>
      <c r="F11696">
        <v>14.783333333333333</v>
      </c>
    </row>
    <row r="11697" spans="1:6" x14ac:dyDescent="0.25">
      <c r="A11697" s="1">
        <v>42583</v>
      </c>
      <c r="B11697" t="s">
        <v>14</v>
      </c>
      <c r="C11697" t="s">
        <v>8</v>
      </c>
      <c r="D11697">
        <v>9</v>
      </c>
      <c r="E11697" s="2">
        <v>1.1493055555555555E-2</v>
      </c>
      <c r="F11697">
        <v>16.55</v>
      </c>
    </row>
    <row r="11698" spans="1:6" x14ac:dyDescent="0.25">
      <c r="A11698" s="1">
        <v>42583</v>
      </c>
      <c r="B11698" t="s">
        <v>14</v>
      </c>
      <c r="C11698" t="s">
        <v>9</v>
      </c>
      <c r="D11698">
        <v>0</v>
      </c>
      <c r="E11698" s="2">
        <v>0</v>
      </c>
      <c r="F11698">
        <v>0</v>
      </c>
    </row>
    <row r="11699" spans="1:6" x14ac:dyDescent="0.25">
      <c r="A11699" s="1">
        <v>42583</v>
      </c>
      <c r="B11699" t="s">
        <v>14</v>
      </c>
      <c r="C11699" t="s">
        <v>10</v>
      </c>
      <c r="D11699">
        <v>0</v>
      </c>
      <c r="E11699" s="2">
        <v>0</v>
      </c>
      <c r="F11699">
        <v>0</v>
      </c>
    </row>
    <row r="11700" spans="1:6" x14ac:dyDescent="0.25">
      <c r="A11700" s="1">
        <v>42583</v>
      </c>
      <c r="B11700" t="s">
        <v>14</v>
      </c>
      <c r="C11700" t="s">
        <v>11</v>
      </c>
      <c r="D11700">
        <v>17</v>
      </c>
      <c r="E11700" s="2">
        <v>2.1805555555555557E-2</v>
      </c>
      <c r="F11700">
        <v>31.4</v>
      </c>
    </row>
    <row r="11701" spans="1:6" x14ac:dyDescent="0.25">
      <c r="A11701" s="1">
        <v>42583</v>
      </c>
      <c r="B11701" t="s">
        <v>15</v>
      </c>
      <c r="C11701" t="s">
        <v>6</v>
      </c>
      <c r="D11701">
        <v>33</v>
      </c>
      <c r="E11701" s="2">
        <v>4.8043981481481479E-2</v>
      </c>
      <c r="F11701">
        <v>69.183333333333337</v>
      </c>
    </row>
    <row r="11702" spans="1:6" x14ac:dyDescent="0.25">
      <c r="A11702" s="1">
        <v>42583</v>
      </c>
      <c r="B11702" t="s">
        <v>15</v>
      </c>
      <c r="C11702" t="s">
        <v>7</v>
      </c>
      <c r="D11702">
        <v>25</v>
      </c>
      <c r="E11702" s="2">
        <v>4.4826388888888888E-2</v>
      </c>
      <c r="F11702">
        <v>64.55</v>
      </c>
    </row>
    <row r="11703" spans="1:6" x14ac:dyDescent="0.25">
      <c r="A11703" s="1">
        <v>42583</v>
      </c>
      <c r="B11703" t="s">
        <v>15</v>
      </c>
      <c r="C11703" t="s">
        <v>8</v>
      </c>
      <c r="D11703">
        <v>16</v>
      </c>
      <c r="E11703" s="2">
        <v>1.8541666666666668E-2</v>
      </c>
      <c r="F11703">
        <v>26.7</v>
      </c>
    </row>
    <row r="11704" spans="1:6" x14ac:dyDescent="0.25">
      <c r="A11704" s="1">
        <v>42583</v>
      </c>
      <c r="B11704" t="s">
        <v>15</v>
      </c>
      <c r="C11704" t="s">
        <v>9</v>
      </c>
      <c r="D11704">
        <v>0</v>
      </c>
      <c r="E11704" s="2">
        <v>0</v>
      </c>
      <c r="F11704">
        <v>0</v>
      </c>
    </row>
    <row r="11705" spans="1:6" x14ac:dyDescent="0.25">
      <c r="A11705" s="1">
        <v>42583</v>
      </c>
      <c r="B11705" t="s">
        <v>15</v>
      </c>
      <c r="C11705" t="s">
        <v>10</v>
      </c>
      <c r="D11705">
        <v>4</v>
      </c>
      <c r="E11705" s="2">
        <v>5.8333333333333336E-3</v>
      </c>
      <c r="F11705">
        <v>8.4</v>
      </c>
    </row>
    <row r="11706" spans="1:6" x14ac:dyDescent="0.25">
      <c r="A11706" s="1">
        <v>42583</v>
      </c>
      <c r="B11706" t="s">
        <v>15</v>
      </c>
      <c r="C11706" t="s">
        <v>11</v>
      </c>
      <c r="D11706">
        <v>11</v>
      </c>
      <c r="E11706" s="2">
        <v>1.1608796296296296E-2</v>
      </c>
      <c r="F11706">
        <v>16.716666666666665</v>
      </c>
    </row>
    <row r="11707" spans="1:6" x14ac:dyDescent="0.25">
      <c r="A11707" s="1">
        <v>42583</v>
      </c>
      <c r="B11707" t="s">
        <v>16</v>
      </c>
      <c r="C11707" t="s">
        <v>6</v>
      </c>
      <c r="D11707">
        <v>25</v>
      </c>
      <c r="E11707" s="2">
        <v>2.1805555555555557E-2</v>
      </c>
      <c r="F11707">
        <v>31.4</v>
      </c>
    </row>
    <row r="11708" spans="1:6" x14ac:dyDescent="0.25">
      <c r="A11708" s="1">
        <v>42583</v>
      </c>
      <c r="B11708" t="s">
        <v>16</v>
      </c>
      <c r="C11708" t="s">
        <v>7</v>
      </c>
      <c r="D11708">
        <v>21</v>
      </c>
      <c r="E11708" s="2">
        <v>1.8344907407407407E-2</v>
      </c>
      <c r="F11708">
        <v>26.416666666666668</v>
      </c>
    </row>
    <row r="11709" spans="1:6" x14ac:dyDescent="0.25">
      <c r="A11709" s="1">
        <v>42583</v>
      </c>
      <c r="B11709" t="s">
        <v>16</v>
      </c>
      <c r="C11709" t="s">
        <v>8</v>
      </c>
      <c r="D11709">
        <v>23</v>
      </c>
      <c r="E11709" s="2">
        <v>1.9560185185185184E-2</v>
      </c>
      <c r="F11709">
        <v>28.166666666666668</v>
      </c>
    </row>
    <row r="11710" spans="1:6" x14ac:dyDescent="0.25">
      <c r="A11710" s="1">
        <v>42583</v>
      </c>
      <c r="B11710" t="s">
        <v>16</v>
      </c>
      <c r="C11710" t="s">
        <v>9</v>
      </c>
      <c r="D11710">
        <v>0</v>
      </c>
      <c r="E11710" s="2">
        <v>0</v>
      </c>
      <c r="F11710">
        <v>0</v>
      </c>
    </row>
    <row r="11711" spans="1:6" x14ac:dyDescent="0.25">
      <c r="A11711" s="1">
        <v>42583</v>
      </c>
      <c r="B11711" t="s">
        <v>16</v>
      </c>
      <c r="C11711" t="s">
        <v>10</v>
      </c>
      <c r="D11711">
        <v>3</v>
      </c>
      <c r="E11711" s="2">
        <v>1.0763888888888889E-3</v>
      </c>
      <c r="F11711">
        <v>1.55</v>
      </c>
    </row>
    <row r="11712" spans="1:6" x14ac:dyDescent="0.25">
      <c r="A11712" s="1">
        <v>42583</v>
      </c>
      <c r="B11712" t="s">
        <v>16</v>
      </c>
      <c r="C11712" t="s">
        <v>11</v>
      </c>
      <c r="D11712">
        <v>36</v>
      </c>
      <c r="E11712" s="2">
        <v>2.644675925925926E-2</v>
      </c>
      <c r="F11712">
        <v>38.083333333333336</v>
      </c>
    </row>
    <row r="11713" spans="1:6" x14ac:dyDescent="0.25">
      <c r="A11713" s="1">
        <v>42583</v>
      </c>
      <c r="B11713" t="s">
        <v>17</v>
      </c>
      <c r="C11713" t="s">
        <v>6</v>
      </c>
      <c r="D11713">
        <v>7</v>
      </c>
      <c r="E11713" s="2">
        <v>5.4976851851851853E-3</v>
      </c>
      <c r="F11713">
        <v>7.916666666666667</v>
      </c>
    </row>
    <row r="11714" spans="1:6" x14ac:dyDescent="0.25">
      <c r="A11714" s="1">
        <v>42583</v>
      </c>
      <c r="B11714" t="s">
        <v>17</v>
      </c>
      <c r="C11714" t="s">
        <v>7</v>
      </c>
      <c r="D11714">
        <v>8</v>
      </c>
      <c r="E11714" s="2">
        <v>1.2060185185185186E-2</v>
      </c>
      <c r="F11714">
        <v>17.366666666666667</v>
      </c>
    </row>
    <row r="11715" spans="1:6" x14ac:dyDescent="0.25">
      <c r="A11715" s="1">
        <v>42583</v>
      </c>
      <c r="B11715" t="s">
        <v>17</v>
      </c>
      <c r="C11715" t="s">
        <v>8</v>
      </c>
      <c r="D11715">
        <v>5</v>
      </c>
      <c r="E11715" s="2">
        <v>5.0231481481481481E-3</v>
      </c>
      <c r="F11715">
        <v>7.2333333333333334</v>
      </c>
    </row>
    <row r="11716" spans="1:6" x14ac:dyDescent="0.25">
      <c r="A11716" s="1">
        <v>42583</v>
      </c>
      <c r="B11716" t="s">
        <v>17</v>
      </c>
      <c r="C11716" t="s">
        <v>9</v>
      </c>
      <c r="D11716">
        <v>0</v>
      </c>
      <c r="E11716" s="2">
        <v>0</v>
      </c>
      <c r="F11716">
        <v>0</v>
      </c>
    </row>
    <row r="11717" spans="1:6" x14ac:dyDescent="0.25">
      <c r="A11717" s="1">
        <v>42583</v>
      </c>
      <c r="B11717" t="s">
        <v>17</v>
      </c>
      <c r="C11717" t="s">
        <v>10</v>
      </c>
      <c r="D11717">
        <v>9</v>
      </c>
      <c r="E11717" s="2">
        <v>1.1620370370370371E-2</v>
      </c>
      <c r="F11717">
        <v>16.733333333333334</v>
      </c>
    </row>
    <row r="11718" spans="1:6" x14ac:dyDescent="0.25">
      <c r="A11718" s="1">
        <v>42583</v>
      </c>
      <c r="B11718" t="s">
        <v>17</v>
      </c>
      <c r="C11718" t="s">
        <v>11</v>
      </c>
      <c r="D11718">
        <v>3</v>
      </c>
      <c r="E11718" s="2">
        <v>3.0902777777777777E-3</v>
      </c>
      <c r="F11718">
        <v>4.45</v>
      </c>
    </row>
    <row r="11719" spans="1:6" x14ac:dyDescent="0.25">
      <c r="A11719" s="1">
        <v>42583</v>
      </c>
      <c r="B11719" t="s">
        <v>18</v>
      </c>
      <c r="C11719" t="s">
        <v>6</v>
      </c>
      <c r="D11719">
        <v>37</v>
      </c>
      <c r="E11719" s="2">
        <v>3.6215277777777777E-2</v>
      </c>
      <c r="F11719">
        <v>52.15</v>
      </c>
    </row>
    <row r="11720" spans="1:6" x14ac:dyDescent="0.25">
      <c r="A11720" s="1">
        <v>42583</v>
      </c>
      <c r="B11720" t="s">
        <v>18</v>
      </c>
      <c r="C11720" t="s">
        <v>7</v>
      </c>
      <c r="D11720">
        <v>72</v>
      </c>
      <c r="E11720" s="2">
        <v>5.738425925925926E-2</v>
      </c>
      <c r="F11720">
        <v>82.63333333333334</v>
      </c>
    </row>
    <row r="11721" spans="1:6" x14ac:dyDescent="0.25">
      <c r="A11721" s="1">
        <v>42583</v>
      </c>
      <c r="B11721" t="s">
        <v>18</v>
      </c>
      <c r="C11721" t="s">
        <v>8</v>
      </c>
      <c r="D11721">
        <v>31</v>
      </c>
      <c r="E11721" s="2">
        <v>2.3495370370370371E-2</v>
      </c>
      <c r="F11721">
        <v>33.833333333333336</v>
      </c>
    </row>
    <row r="11722" spans="1:6" x14ac:dyDescent="0.25">
      <c r="A11722" s="1">
        <v>42583</v>
      </c>
      <c r="B11722" t="s">
        <v>18</v>
      </c>
      <c r="C11722" t="s">
        <v>9</v>
      </c>
      <c r="D11722">
        <v>0</v>
      </c>
      <c r="E11722" s="2">
        <v>0</v>
      </c>
      <c r="F11722">
        <v>0</v>
      </c>
    </row>
    <row r="11723" spans="1:6" x14ac:dyDescent="0.25">
      <c r="A11723" s="1">
        <v>42583</v>
      </c>
      <c r="B11723" t="s">
        <v>18</v>
      </c>
      <c r="C11723" t="s">
        <v>10</v>
      </c>
      <c r="D11723">
        <v>166</v>
      </c>
      <c r="E11723" s="2">
        <v>0.19974537037037038</v>
      </c>
      <c r="F11723">
        <v>287.63333333333333</v>
      </c>
    </row>
    <row r="11724" spans="1:6" x14ac:dyDescent="0.25">
      <c r="A11724" s="1">
        <v>42583</v>
      </c>
      <c r="B11724" t="s">
        <v>18</v>
      </c>
      <c r="C11724" t="s">
        <v>11</v>
      </c>
      <c r="D11724">
        <v>52</v>
      </c>
      <c r="E11724" s="2">
        <v>3.1724537037037037E-2</v>
      </c>
      <c r="F11724">
        <v>45.68333333333333</v>
      </c>
    </row>
    <row r="11725" spans="1:6" x14ac:dyDescent="0.25">
      <c r="A11725" s="1">
        <v>42583</v>
      </c>
      <c r="B11725" t="s">
        <v>19</v>
      </c>
      <c r="C11725" t="s">
        <v>6</v>
      </c>
      <c r="D11725">
        <v>17</v>
      </c>
      <c r="E11725" s="2">
        <v>1.8391203703703705E-2</v>
      </c>
      <c r="F11725">
        <v>26.483333333333334</v>
      </c>
    </row>
    <row r="11726" spans="1:6" x14ac:dyDescent="0.25">
      <c r="A11726" s="1">
        <v>42583</v>
      </c>
      <c r="B11726" t="s">
        <v>19</v>
      </c>
      <c r="C11726" t="s">
        <v>7</v>
      </c>
      <c r="D11726">
        <v>13</v>
      </c>
      <c r="E11726" s="2">
        <v>1.337962962962963E-2</v>
      </c>
      <c r="F11726">
        <v>19.266666666666666</v>
      </c>
    </row>
    <row r="11727" spans="1:6" x14ac:dyDescent="0.25">
      <c r="A11727" s="1">
        <v>42583</v>
      </c>
      <c r="B11727" t="s">
        <v>19</v>
      </c>
      <c r="C11727" t="s">
        <v>8</v>
      </c>
      <c r="D11727">
        <v>10</v>
      </c>
      <c r="E11727" s="2">
        <v>1.03125E-2</v>
      </c>
      <c r="F11727">
        <v>14.85</v>
      </c>
    </row>
    <row r="11728" spans="1:6" x14ac:dyDescent="0.25">
      <c r="A11728" s="1">
        <v>42583</v>
      </c>
      <c r="B11728" t="s">
        <v>19</v>
      </c>
      <c r="C11728" t="s">
        <v>9</v>
      </c>
      <c r="D11728">
        <v>0</v>
      </c>
      <c r="E11728" s="2">
        <v>0</v>
      </c>
      <c r="F11728">
        <v>0</v>
      </c>
    </row>
    <row r="11729" spans="1:6" x14ac:dyDescent="0.25">
      <c r="A11729" s="1">
        <v>42583</v>
      </c>
      <c r="B11729" t="s">
        <v>19</v>
      </c>
      <c r="C11729" t="s">
        <v>10</v>
      </c>
      <c r="D11729">
        <v>11</v>
      </c>
      <c r="E11729" s="2">
        <v>1.5208333333333334E-2</v>
      </c>
      <c r="F11729">
        <v>21.9</v>
      </c>
    </row>
    <row r="11730" spans="1:6" x14ac:dyDescent="0.25">
      <c r="A11730" s="1">
        <v>42583</v>
      </c>
      <c r="B11730" t="s">
        <v>19</v>
      </c>
      <c r="C11730" t="s">
        <v>11</v>
      </c>
      <c r="D11730">
        <v>18</v>
      </c>
      <c r="E11730" s="2">
        <v>1.5949074074074074E-2</v>
      </c>
      <c r="F11730">
        <v>22.966666666666665</v>
      </c>
    </row>
    <row r="11731" spans="1:6" x14ac:dyDescent="0.25">
      <c r="A11731" s="1">
        <v>42583</v>
      </c>
      <c r="B11731" t="s">
        <v>20</v>
      </c>
      <c r="C11731" t="s">
        <v>6</v>
      </c>
      <c r="D11731">
        <v>70</v>
      </c>
      <c r="E11731" s="2">
        <v>9.9467592592592594E-2</v>
      </c>
      <c r="F11731">
        <v>143.23333333333332</v>
      </c>
    </row>
    <row r="11732" spans="1:6" x14ac:dyDescent="0.25">
      <c r="A11732" s="1">
        <v>42583</v>
      </c>
      <c r="B11732" t="s">
        <v>20</v>
      </c>
      <c r="C11732" t="s">
        <v>7</v>
      </c>
      <c r="D11732">
        <v>83</v>
      </c>
      <c r="E11732" s="2">
        <v>0.10508101851851852</v>
      </c>
      <c r="F11732">
        <v>151.31666666666666</v>
      </c>
    </row>
    <row r="11733" spans="1:6" x14ac:dyDescent="0.25">
      <c r="A11733" s="1">
        <v>42583</v>
      </c>
      <c r="B11733" t="s">
        <v>20</v>
      </c>
      <c r="C11733" t="s">
        <v>8</v>
      </c>
      <c r="D11733">
        <v>66</v>
      </c>
      <c r="E11733" s="2">
        <v>7.2025462962962958E-2</v>
      </c>
      <c r="F11733">
        <v>103.71666666666667</v>
      </c>
    </row>
    <row r="11734" spans="1:6" x14ac:dyDescent="0.25">
      <c r="A11734" s="1">
        <v>42583</v>
      </c>
      <c r="B11734" t="s">
        <v>20</v>
      </c>
      <c r="C11734" t="s">
        <v>9</v>
      </c>
      <c r="D11734">
        <v>0</v>
      </c>
      <c r="E11734" s="2">
        <v>0</v>
      </c>
      <c r="F11734">
        <v>0</v>
      </c>
    </row>
    <row r="11735" spans="1:6" x14ac:dyDescent="0.25">
      <c r="A11735" s="1">
        <v>42583</v>
      </c>
      <c r="B11735" t="s">
        <v>20</v>
      </c>
      <c r="C11735" t="s">
        <v>10</v>
      </c>
      <c r="D11735">
        <v>15</v>
      </c>
      <c r="E11735" s="2">
        <v>1.8703703703703705E-2</v>
      </c>
      <c r="F11735">
        <v>26.933333333333334</v>
      </c>
    </row>
    <row r="11736" spans="1:6" x14ac:dyDescent="0.25">
      <c r="A11736" s="1">
        <v>42583</v>
      </c>
      <c r="B11736" t="s">
        <v>20</v>
      </c>
      <c r="C11736" t="s">
        <v>11</v>
      </c>
      <c r="D11736">
        <v>55</v>
      </c>
      <c r="E11736" s="2">
        <v>5.4594907407407404E-2</v>
      </c>
      <c r="F11736">
        <v>78.61666666666666</v>
      </c>
    </row>
    <row r="11737" spans="1:6" x14ac:dyDescent="0.25">
      <c r="A11737" s="1">
        <v>42583</v>
      </c>
      <c r="B11737" t="s">
        <v>21</v>
      </c>
      <c r="C11737" t="s">
        <v>6</v>
      </c>
      <c r="D11737">
        <v>11</v>
      </c>
      <c r="E11737" s="2">
        <v>1.4722222222222222E-2</v>
      </c>
      <c r="F11737">
        <v>21.2</v>
      </c>
    </row>
    <row r="11738" spans="1:6" x14ac:dyDescent="0.25">
      <c r="A11738" s="1">
        <v>42583</v>
      </c>
      <c r="B11738" t="s">
        <v>21</v>
      </c>
      <c r="C11738" t="s">
        <v>7</v>
      </c>
      <c r="D11738">
        <v>7</v>
      </c>
      <c r="E11738" s="2">
        <v>1.0381944444444444E-2</v>
      </c>
      <c r="F11738">
        <v>14.95</v>
      </c>
    </row>
    <row r="11739" spans="1:6" x14ac:dyDescent="0.25">
      <c r="A11739" s="1">
        <v>42583</v>
      </c>
      <c r="B11739" t="s">
        <v>21</v>
      </c>
      <c r="C11739" t="s">
        <v>8</v>
      </c>
      <c r="D11739">
        <v>7</v>
      </c>
      <c r="E11739" s="2">
        <v>1.0763888888888889E-2</v>
      </c>
      <c r="F11739">
        <v>15.5</v>
      </c>
    </row>
    <row r="11740" spans="1:6" x14ac:dyDescent="0.25">
      <c r="A11740" s="1">
        <v>42583</v>
      </c>
      <c r="B11740" t="s">
        <v>21</v>
      </c>
      <c r="C11740" t="s">
        <v>9</v>
      </c>
      <c r="D11740">
        <v>0</v>
      </c>
      <c r="E11740" s="2">
        <v>0</v>
      </c>
      <c r="F11740">
        <v>0</v>
      </c>
    </row>
    <row r="11741" spans="1:6" x14ac:dyDescent="0.25">
      <c r="A11741" s="1">
        <v>42583</v>
      </c>
      <c r="B11741" t="s">
        <v>21</v>
      </c>
      <c r="C11741" t="s">
        <v>10</v>
      </c>
      <c r="D11741">
        <v>4</v>
      </c>
      <c r="E11741" s="2">
        <v>4.7569444444444447E-3</v>
      </c>
      <c r="F11741">
        <v>6.85</v>
      </c>
    </row>
    <row r="11742" spans="1:6" x14ac:dyDescent="0.25">
      <c r="A11742" s="1">
        <v>42583</v>
      </c>
      <c r="B11742" t="s">
        <v>21</v>
      </c>
      <c r="C11742" t="s">
        <v>11</v>
      </c>
      <c r="D11742">
        <v>10</v>
      </c>
      <c r="E11742" s="2">
        <v>1.4826388888888889E-2</v>
      </c>
      <c r="F11742">
        <v>21.35</v>
      </c>
    </row>
    <row r="11743" spans="1:6" x14ac:dyDescent="0.25">
      <c r="A11743" s="1">
        <v>42583</v>
      </c>
      <c r="B11743" t="s">
        <v>22</v>
      </c>
      <c r="C11743" t="s">
        <v>6</v>
      </c>
      <c r="D11743">
        <v>10</v>
      </c>
      <c r="E11743" s="2">
        <v>1.7488425925925925E-2</v>
      </c>
      <c r="F11743">
        <v>25.183333333333334</v>
      </c>
    </row>
    <row r="11744" spans="1:6" x14ac:dyDescent="0.25">
      <c r="A11744" s="1">
        <v>42583</v>
      </c>
      <c r="B11744" t="s">
        <v>22</v>
      </c>
      <c r="C11744" t="s">
        <v>7</v>
      </c>
      <c r="D11744">
        <v>9</v>
      </c>
      <c r="E11744" s="2">
        <v>2.0729166666666667E-2</v>
      </c>
      <c r="F11744">
        <v>29.85</v>
      </c>
    </row>
    <row r="11745" spans="1:6" x14ac:dyDescent="0.25">
      <c r="A11745" s="1">
        <v>42583</v>
      </c>
      <c r="B11745" t="s">
        <v>22</v>
      </c>
      <c r="C11745" t="s">
        <v>8</v>
      </c>
      <c r="D11745">
        <v>4</v>
      </c>
      <c r="E11745" s="2">
        <v>4.5601851851851853E-3</v>
      </c>
      <c r="F11745">
        <v>6.5666666666666664</v>
      </c>
    </row>
    <row r="11746" spans="1:6" x14ac:dyDescent="0.25">
      <c r="A11746" s="1">
        <v>42583</v>
      </c>
      <c r="B11746" t="s">
        <v>22</v>
      </c>
      <c r="C11746" t="s">
        <v>9</v>
      </c>
      <c r="D11746">
        <v>0</v>
      </c>
      <c r="E11746" s="2">
        <v>0</v>
      </c>
      <c r="F11746">
        <v>0</v>
      </c>
    </row>
    <row r="11747" spans="1:6" x14ac:dyDescent="0.25">
      <c r="A11747" s="1">
        <v>42583</v>
      </c>
      <c r="B11747" t="s">
        <v>22</v>
      </c>
      <c r="C11747" t="s">
        <v>10</v>
      </c>
      <c r="D11747">
        <v>6</v>
      </c>
      <c r="E11747" s="2">
        <v>9.2939814814814812E-3</v>
      </c>
      <c r="F11747">
        <v>13.383333333333333</v>
      </c>
    </row>
    <row r="11748" spans="1:6" x14ac:dyDescent="0.25">
      <c r="A11748" s="1">
        <v>42583</v>
      </c>
      <c r="B11748" t="s">
        <v>22</v>
      </c>
      <c r="C11748" t="s">
        <v>11</v>
      </c>
      <c r="D11748">
        <v>13</v>
      </c>
      <c r="E11748" s="2">
        <v>1.21875E-2</v>
      </c>
      <c r="F11748">
        <v>17.55</v>
      </c>
    </row>
    <row r="11749" spans="1:6" x14ac:dyDescent="0.25">
      <c r="A11749" s="1">
        <v>42583</v>
      </c>
      <c r="B11749" t="s">
        <v>23</v>
      </c>
      <c r="C11749" t="s">
        <v>6</v>
      </c>
      <c r="D11749">
        <v>96</v>
      </c>
      <c r="E11749" s="2">
        <v>0.14229166666666668</v>
      </c>
      <c r="F11749">
        <v>204.9</v>
      </c>
    </row>
    <row r="11750" spans="1:6" x14ac:dyDescent="0.25">
      <c r="A11750" s="1">
        <v>42583</v>
      </c>
      <c r="B11750" t="s">
        <v>23</v>
      </c>
      <c r="C11750" t="s">
        <v>7</v>
      </c>
      <c r="D11750">
        <v>78</v>
      </c>
      <c r="E11750" s="2">
        <v>0.11690972222222222</v>
      </c>
      <c r="F11750">
        <v>168.35</v>
      </c>
    </row>
    <row r="11751" spans="1:6" x14ac:dyDescent="0.25">
      <c r="A11751" s="1">
        <v>42583</v>
      </c>
      <c r="B11751" t="s">
        <v>23</v>
      </c>
      <c r="C11751" t="s">
        <v>8</v>
      </c>
      <c r="D11751">
        <v>49</v>
      </c>
      <c r="E11751" s="2">
        <v>5.693287037037037E-2</v>
      </c>
      <c r="F11751">
        <v>81.983333333333334</v>
      </c>
    </row>
    <row r="11752" spans="1:6" x14ac:dyDescent="0.25">
      <c r="A11752" s="1">
        <v>42583</v>
      </c>
      <c r="B11752" t="s">
        <v>23</v>
      </c>
      <c r="C11752" t="s">
        <v>9</v>
      </c>
      <c r="D11752">
        <v>0</v>
      </c>
      <c r="E11752" s="2">
        <v>0</v>
      </c>
      <c r="F11752">
        <v>0</v>
      </c>
    </row>
    <row r="11753" spans="1:6" x14ac:dyDescent="0.25">
      <c r="A11753" s="1">
        <v>42583</v>
      </c>
      <c r="B11753" t="s">
        <v>23</v>
      </c>
      <c r="C11753" t="s">
        <v>10</v>
      </c>
      <c r="D11753">
        <v>26</v>
      </c>
      <c r="E11753" s="2">
        <v>4.1041666666666664E-2</v>
      </c>
      <c r="F11753">
        <v>59.1</v>
      </c>
    </row>
    <row r="11754" spans="1:6" x14ac:dyDescent="0.25">
      <c r="A11754" s="1">
        <v>42583</v>
      </c>
      <c r="B11754" t="s">
        <v>23</v>
      </c>
      <c r="C11754" t="s">
        <v>11</v>
      </c>
      <c r="D11754">
        <v>71</v>
      </c>
      <c r="E11754" s="2">
        <v>7.0613425925925927E-2</v>
      </c>
      <c r="F11754">
        <v>101.68333333333334</v>
      </c>
    </row>
    <row r="11755" spans="1:6" x14ac:dyDescent="0.25">
      <c r="A11755" s="1">
        <v>42583</v>
      </c>
      <c r="B11755" t="s">
        <v>24</v>
      </c>
      <c r="C11755" t="s">
        <v>6</v>
      </c>
      <c r="D11755">
        <v>118</v>
      </c>
      <c r="E11755" s="2">
        <v>0.1461574074074074</v>
      </c>
      <c r="F11755">
        <v>210.46666666666667</v>
      </c>
    </row>
    <row r="11756" spans="1:6" x14ac:dyDescent="0.25">
      <c r="A11756" s="1">
        <v>42583</v>
      </c>
      <c r="B11756" t="s">
        <v>24</v>
      </c>
      <c r="C11756" t="s">
        <v>7</v>
      </c>
      <c r="D11756">
        <v>166</v>
      </c>
      <c r="E11756" s="2">
        <v>0.19796296296296295</v>
      </c>
      <c r="F11756">
        <v>285.06666666666666</v>
      </c>
    </row>
    <row r="11757" spans="1:6" x14ac:dyDescent="0.25">
      <c r="A11757" s="1">
        <v>42583</v>
      </c>
      <c r="B11757" t="s">
        <v>24</v>
      </c>
      <c r="C11757" t="s">
        <v>8</v>
      </c>
      <c r="D11757">
        <v>90</v>
      </c>
      <c r="E11757" s="2">
        <v>9.3900462962962963E-2</v>
      </c>
      <c r="F11757">
        <v>135.21666666666667</v>
      </c>
    </row>
    <row r="11758" spans="1:6" x14ac:dyDescent="0.25">
      <c r="A11758" s="1">
        <v>42583</v>
      </c>
      <c r="B11758" t="s">
        <v>24</v>
      </c>
      <c r="C11758" t="s">
        <v>9</v>
      </c>
      <c r="D11758">
        <v>0</v>
      </c>
      <c r="E11758" s="2">
        <v>0</v>
      </c>
      <c r="F11758">
        <v>0</v>
      </c>
    </row>
    <row r="11759" spans="1:6" x14ac:dyDescent="0.25">
      <c r="A11759" s="1">
        <v>42583</v>
      </c>
      <c r="B11759" t="s">
        <v>24</v>
      </c>
      <c r="C11759" t="s">
        <v>10</v>
      </c>
      <c r="D11759">
        <v>9</v>
      </c>
      <c r="E11759" s="2">
        <v>1.1585648148148149E-2</v>
      </c>
      <c r="F11759">
        <v>16.683333333333334</v>
      </c>
    </row>
    <row r="11760" spans="1:6" x14ac:dyDescent="0.25">
      <c r="A11760" s="1">
        <v>42583</v>
      </c>
      <c r="B11760" t="s">
        <v>24</v>
      </c>
      <c r="C11760" t="s">
        <v>11</v>
      </c>
      <c r="D11760">
        <v>60</v>
      </c>
      <c r="E11760" s="2">
        <v>5.8495370370370371E-2</v>
      </c>
      <c r="F11760">
        <v>84.233333333333334</v>
      </c>
    </row>
    <row r="11761" spans="1:6" x14ac:dyDescent="0.25">
      <c r="A11761" s="1">
        <v>42614</v>
      </c>
      <c r="B11761" t="s">
        <v>5</v>
      </c>
      <c r="C11761" t="s">
        <v>6</v>
      </c>
      <c r="D11761">
        <v>18</v>
      </c>
      <c r="E11761" s="2">
        <v>1.5324074074074073E-2</v>
      </c>
      <c r="F11761">
        <v>22.066666666666666</v>
      </c>
    </row>
    <row r="11762" spans="1:6" x14ac:dyDescent="0.25">
      <c r="A11762" s="1">
        <v>42614</v>
      </c>
      <c r="B11762" t="s">
        <v>5</v>
      </c>
      <c r="C11762" t="s">
        <v>7</v>
      </c>
      <c r="D11762">
        <v>17</v>
      </c>
      <c r="E11762" s="2">
        <v>9.1666666666666667E-3</v>
      </c>
      <c r="F11762">
        <v>13.2</v>
      </c>
    </row>
    <row r="11763" spans="1:6" x14ac:dyDescent="0.25">
      <c r="A11763" s="1">
        <v>42614</v>
      </c>
      <c r="B11763" t="s">
        <v>5</v>
      </c>
      <c r="C11763" t="s">
        <v>8</v>
      </c>
      <c r="D11763">
        <v>21</v>
      </c>
      <c r="E11763" s="2">
        <v>1.4189814814814815E-2</v>
      </c>
      <c r="F11763">
        <v>20.433333333333334</v>
      </c>
    </row>
    <row r="11764" spans="1:6" x14ac:dyDescent="0.25">
      <c r="A11764" s="1">
        <v>42614</v>
      </c>
      <c r="B11764" t="s">
        <v>5</v>
      </c>
      <c r="C11764" t="s">
        <v>9</v>
      </c>
      <c r="D11764">
        <v>0</v>
      </c>
      <c r="E11764" s="2">
        <v>0</v>
      </c>
      <c r="F11764">
        <v>0</v>
      </c>
    </row>
    <row r="11765" spans="1:6" x14ac:dyDescent="0.25">
      <c r="A11765" s="1">
        <v>42614</v>
      </c>
      <c r="B11765" t="s">
        <v>5</v>
      </c>
      <c r="C11765" t="s">
        <v>10</v>
      </c>
      <c r="D11765">
        <v>3</v>
      </c>
      <c r="E11765" s="2">
        <v>3.7847222222222223E-3</v>
      </c>
      <c r="F11765">
        <v>5.45</v>
      </c>
    </row>
    <row r="11766" spans="1:6" x14ac:dyDescent="0.25">
      <c r="A11766" s="1">
        <v>42614</v>
      </c>
      <c r="B11766" t="s">
        <v>5</v>
      </c>
      <c r="C11766" t="s">
        <v>11</v>
      </c>
      <c r="D11766">
        <v>15</v>
      </c>
      <c r="E11766" s="2">
        <v>1.0949074074074075E-2</v>
      </c>
      <c r="F11766">
        <v>15.766666666666667</v>
      </c>
    </row>
    <row r="11767" spans="1:6" x14ac:dyDescent="0.25">
      <c r="A11767" s="1">
        <v>42614</v>
      </c>
      <c r="B11767" t="s">
        <v>12</v>
      </c>
      <c r="C11767" t="s">
        <v>6</v>
      </c>
      <c r="D11767">
        <v>40</v>
      </c>
      <c r="E11767" s="2">
        <v>6.4976851851851855E-2</v>
      </c>
      <c r="F11767">
        <v>93.566666666666663</v>
      </c>
    </row>
    <row r="11768" spans="1:6" x14ac:dyDescent="0.25">
      <c r="A11768" s="1">
        <v>42614</v>
      </c>
      <c r="B11768" t="s">
        <v>12</v>
      </c>
      <c r="C11768" t="s">
        <v>7</v>
      </c>
      <c r="D11768">
        <v>34</v>
      </c>
      <c r="E11768" s="2">
        <v>6.5115740740740738E-2</v>
      </c>
      <c r="F11768">
        <v>93.766666666666666</v>
      </c>
    </row>
    <row r="11769" spans="1:6" x14ac:dyDescent="0.25">
      <c r="A11769" s="1">
        <v>42614</v>
      </c>
      <c r="B11769" t="s">
        <v>12</v>
      </c>
      <c r="C11769" t="s">
        <v>8</v>
      </c>
      <c r="D11769">
        <v>20</v>
      </c>
      <c r="E11769" s="2">
        <v>3.712962962962963E-2</v>
      </c>
      <c r="F11769">
        <v>53.466666666666669</v>
      </c>
    </row>
    <row r="11770" spans="1:6" x14ac:dyDescent="0.25">
      <c r="A11770" s="1">
        <v>42614</v>
      </c>
      <c r="B11770" t="s">
        <v>12</v>
      </c>
      <c r="C11770" t="s">
        <v>9</v>
      </c>
      <c r="D11770">
        <v>0</v>
      </c>
      <c r="E11770" s="2">
        <v>0</v>
      </c>
      <c r="F11770">
        <v>0</v>
      </c>
    </row>
    <row r="11771" spans="1:6" x14ac:dyDescent="0.25">
      <c r="A11771" s="1">
        <v>42614</v>
      </c>
      <c r="B11771" t="s">
        <v>12</v>
      </c>
      <c r="C11771" t="s">
        <v>10</v>
      </c>
      <c r="D11771">
        <v>28</v>
      </c>
      <c r="E11771" s="2">
        <v>4.5868055555555558E-2</v>
      </c>
      <c r="F11771">
        <v>66.05</v>
      </c>
    </row>
    <row r="11772" spans="1:6" x14ac:dyDescent="0.25">
      <c r="A11772" s="1">
        <v>42614</v>
      </c>
      <c r="B11772" t="s">
        <v>12</v>
      </c>
      <c r="C11772" t="s">
        <v>11</v>
      </c>
      <c r="D11772">
        <v>45</v>
      </c>
      <c r="E11772" s="2">
        <v>6.2094907407407404E-2</v>
      </c>
      <c r="F11772">
        <v>89.416666666666671</v>
      </c>
    </row>
    <row r="11773" spans="1:6" x14ac:dyDescent="0.25">
      <c r="A11773" s="1">
        <v>42614</v>
      </c>
      <c r="B11773" t="s">
        <v>13</v>
      </c>
      <c r="C11773" t="s">
        <v>6</v>
      </c>
      <c r="D11773">
        <v>75</v>
      </c>
      <c r="E11773" s="2">
        <v>0.10274305555555556</v>
      </c>
      <c r="F11773">
        <v>147.94999999999999</v>
      </c>
    </row>
    <row r="11774" spans="1:6" x14ac:dyDescent="0.25">
      <c r="A11774" s="1">
        <v>42614</v>
      </c>
      <c r="B11774" t="s">
        <v>13</v>
      </c>
      <c r="C11774" t="s">
        <v>7</v>
      </c>
      <c r="D11774">
        <v>61</v>
      </c>
      <c r="E11774" s="2">
        <v>9.0254629629629629E-2</v>
      </c>
      <c r="F11774">
        <v>129.96666666666667</v>
      </c>
    </row>
    <row r="11775" spans="1:6" x14ac:dyDescent="0.25">
      <c r="A11775" s="1">
        <v>42614</v>
      </c>
      <c r="B11775" t="s">
        <v>13</v>
      </c>
      <c r="C11775" t="s">
        <v>8</v>
      </c>
      <c r="D11775">
        <v>48</v>
      </c>
      <c r="E11775" s="2">
        <v>5.212962962962963E-2</v>
      </c>
      <c r="F11775">
        <v>75.066666666666663</v>
      </c>
    </row>
    <row r="11776" spans="1:6" x14ac:dyDescent="0.25">
      <c r="A11776" s="1">
        <v>42614</v>
      </c>
      <c r="B11776" t="s">
        <v>13</v>
      </c>
      <c r="C11776" t="s">
        <v>9</v>
      </c>
      <c r="D11776">
        <v>0</v>
      </c>
      <c r="E11776" s="2">
        <v>0</v>
      </c>
      <c r="F11776">
        <v>0</v>
      </c>
    </row>
    <row r="11777" spans="1:6" x14ac:dyDescent="0.25">
      <c r="A11777" s="1">
        <v>42614</v>
      </c>
      <c r="B11777" t="s">
        <v>13</v>
      </c>
      <c r="C11777" t="s">
        <v>10</v>
      </c>
      <c r="D11777">
        <v>17</v>
      </c>
      <c r="E11777" s="2">
        <v>1.9340277777777779E-2</v>
      </c>
      <c r="F11777">
        <v>27.85</v>
      </c>
    </row>
    <row r="11778" spans="1:6" x14ac:dyDescent="0.25">
      <c r="A11778" s="1">
        <v>42614</v>
      </c>
      <c r="B11778" t="s">
        <v>13</v>
      </c>
      <c r="C11778" t="s">
        <v>11</v>
      </c>
      <c r="D11778">
        <v>36</v>
      </c>
      <c r="E11778" s="2">
        <v>4.085648148148148E-2</v>
      </c>
      <c r="F11778">
        <v>58.833333333333336</v>
      </c>
    </row>
    <row r="11779" spans="1:6" x14ac:dyDescent="0.25">
      <c r="A11779" s="1">
        <v>42614</v>
      </c>
      <c r="B11779" t="s">
        <v>14</v>
      </c>
      <c r="C11779" t="s">
        <v>6</v>
      </c>
      <c r="D11779">
        <v>12</v>
      </c>
      <c r="E11779" s="2">
        <v>1.6759259259259258E-2</v>
      </c>
      <c r="F11779">
        <v>24.133333333333333</v>
      </c>
    </row>
    <row r="11780" spans="1:6" x14ac:dyDescent="0.25">
      <c r="A11780" s="1">
        <v>42614</v>
      </c>
      <c r="B11780" t="s">
        <v>14</v>
      </c>
      <c r="C11780" t="s">
        <v>7</v>
      </c>
      <c r="D11780">
        <v>7</v>
      </c>
      <c r="E11780" s="2">
        <v>1.0729166666666666E-2</v>
      </c>
      <c r="F11780">
        <v>15.45</v>
      </c>
    </row>
    <row r="11781" spans="1:6" x14ac:dyDescent="0.25">
      <c r="A11781" s="1">
        <v>42614</v>
      </c>
      <c r="B11781" t="s">
        <v>14</v>
      </c>
      <c r="C11781" t="s">
        <v>8</v>
      </c>
      <c r="D11781">
        <v>4</v>
      </c>
      <c r="E11781" s="2">
        <v>4.6527777777777774E-3</v>
      </c>
      <c r="F11781">
        <v>6.7</v>
      </c>
    </row>
    <row r="11782" spans="1:6" x14ac:dyDescent="0.25">
      <c r="A11782" s="1">
        <v>42614</v>
      </c>
      <c r="B11782" t="s">
        <v>14</v>
      </c>
      <c r="C11782" t="s">
        <v>9</v>
      </c>
      <c r="D11782">
        <v>0</v>
      </c>
      <c r="E11782" s="2">
        <v>0</v>
      </c>
      <c r="F11782">
        <v>0</v>
      </c>
    </row>
    <row r="11783" spans="1:6" x14ac:dyDescent="0.25">
      <c r="A11783" s="1">
        <v>42614</v>
      </c>
      <c r="B11783" t="s">
        <v>14</v>
      </c>
      <c r="C11783" t="s">
        <v>10</v>
      </c>
      <c r="D11783">
        <v>0</v>
      </c>
      <c r="E11783" s="2">
        <v>0</v>
      </c>
      <c r="F11783">
        <v>0</v>
      </c>
    </row>
    <row r="11784" spans="1:6" x14ac:dyDescent="0.25">
      <c r="A11784" s="1">
        <v>42614</v>
      </c>
      <c r="B11784" t="s">
        <v>14</v>
      </c>
      <c r="C11784" t="s">
        <v>11</v>
      </c>
      <c r="D11784">
        <v>13</v>
      </c>
      <c r="E11784" s="2">
        <v>1.818287037037037E-2</v>
      </c>
      <c r="F11784">
        <v>26.183333333333334</v>
      </c>
    </row>
    <row r="11785" spans="1:6" x14ac:dyDescent="0.25">
      <c r="A11785" s="1">
        <v>42614</v>
      </c>
      <c r="B11785" t="s">
        <v>15</v>
      </c>
      <c r="C11785" t="s">
        <v>6</v>
      </c>
      <c r="D11785">
        <v>18</v>
      </c>
      <c r="E11785" s="2">
        <v>2.883101851851852E-2</v>
      </c>
      <c r="F11785">
        <v>41.516666666666666</v>
      </c>
    </row>
    <row r="11786" spans="1:6" x14ac:dyDescent="0.25">
      <c r="A11786" s="1">
        <v>42614</v>
      </c>
      <c r="B11786" t="s">
        <v>15</v>
      </c>
      <c r="C11786" t="s">
        <v>7</v>
      </c>
      <c r="D11786">
        <v>25</v>
      </c>
      <c r="E11786" s="2">
        <v>3.8148148148148146E-2</v>
      </c>
      <c r="F11786">
        <v>54.93333333333333</v>
      </c>
    </row>
    <row r="11787" spans="1:6" x14ac:dyDescent="0.25">
      <c r="A11787" s="1">
        <v>42614</v>
      </c>
      <c r="B11787" t="s">
        <v>15</v>
      </c>
      <c r="C11787" t="s">
        <v>8</v>
      </c>
      <c r="D11787">
        <v>20</v>
      </c>
      <c r="E11787" s="2">
        <v>2.8819444444444446E-2</v>
      </c>
      <c r="F11787">
        <v>41.5</v>
      </c>
    </row>
    <row r="11788" spans="1:6" x14ac:dyDescent="0.25">
      <c r="A11788" s="1">
        <v>42614</v>
      </c>
      <c r="B11788" t="s">
        <v>15</v>
      </c>
      <c r="C11788" t="s">
        <v>9</v>
      </c>
      <c r="D11788">
        <v>0</v>
      </c>
      <c r="E11788" s="2">
        <v>0</v>
      </c>
      <c r="F11788">
        <v>0</v>
      </c>
    </row>
    <row r="11789" spans="1:6" x14ac:dyDescent="0.25">
      <c r="A11789" s="1">
        <v>42614</v>
      </c>
      <c r="B11789" t="s">
        <v>15</v>
      </c>
      <c r="C11789" t="s">
        <v>10</v>
      </c>
      <c r="D11789">
        <v>3</v>
      </c>
      <c r="E11789" s="2">
        <v>2.9166666666666668E-3</v>
      </c>
      <c r="F11789">
        <v>4.2</v>
      </c>
    </row>
    <row r="11790" spans="1:6" x14ac:dyDescent="0.25">
      <c r="A11790" s="1">
        <v>42614</v>
      </c>
      <c r="B11790" t="s">
        <v>15</v>
      </c>
      <c r="C11790" t="s">
        <v>11</v>
      </c>
      <c r="D11790">
        <v>10</v>
      </c>
      <c r="E11790" s="2">
        <v>9.7453703703703695E-3</v>
      </c>
      <c r="F11790">
        <v>14.033333333333333</v>
      </c>
    </row>
    <row r="11791" spans="1:6" x14ac:dyDescent="0.25">
      <c r="A11791" s="1">
        <v>42614</v>
      </c>
      <c r="B11791" t="s">
        <v>16</v>
      </c>
      <c r="C11791" t="s">
        <v>6</v>
      </c>
      <c r="D11791">
        <v>12</v>
      </c>
      <c r="E11791" s="2">
        <v>1.0844907407407407E-2</v>
      </c>
      <c r="F11791">
        <v>15.616666666666667</v>
      </c>
    </row>
    <row r="11792" spans="1:6" x14ac:dyDescent="0.25">
      <c r="A11792" s="1">
        <v>42614</v>
      </c>
      <c r="B11792" t="s">
        <v>16</v>
      </c>
      <c r="C11792" t="s">
        <v>7</v>
      </c>
      <c r="D11792">
        <v>16</v>
      </c>
      <c r="E11792" s="2">
        <v>1.6585648148148148E-2</v>
      </c>
      <c r="F11792">
        <v>23.883333333333333</v>
      </c>
    </row>
    <row r="11793" spans="1:6" x14ac:dyDescent="0.25">
      <c r="A11793" s="1">
        <v>42614</v>
      </c>
      <c r="B11793" t="s">
        <v>16</v>
      </c>
      <c r="C11793" t="s">
        <v>8</v>
      </c>
      <c r="D11793">
        <v>14</v>
      </c>
      <c r="E11793" s="2">
        <v>1.357638888888889E-2</v>
      </c>
      <c r="F11793">
        <v>19.55</v>
      </c>
    </row>
    <row r="11794" spans="1:6" x14ac:dyDescent="0.25">
      <c r="A11794" s="1">
        <v>42614</v>
      </c>
      <c r="B11794" t="s">
        <v>16</v>
      </c>
      <c r="C11794" t="s">
        <v>9</v>
      </c>
      <c r="D11794">
        <v>0</v>
      </c>
      <c r="E11794" s="2">
        <v>0</v>
      </c>
      <c r="F11794">
        <v>0</v>
      </c>
    </row>
    <row r="11795" spans="1:6" x14ac:dyDescent="0.25">
      <c r="A11795" s="1">
        <v>42614</v>
      </c>
      <c r="B11795" t="s">
        <v>16</v>
      </c>
      <c r="C11795" t="s">
        <v>10</v>
      </c>
      <c r="D11795">
        <v>2</v>
      </c>
      <c r="E11795" s="2">
        <v>1.4351851851851852E-3</v>
      </c>
      <c r="F11795">
        <v>2.0666666666666669</v>
      </c>
    </row>
    <row r="11796" spans="1:6" x14ac:dyDescent="0.25">
      <c r="A11796" s="1">
        <v>42614</v>
      </c>
      <c r="B11796" t="s">
        <v>16</v>
      </c>
      <c r="C11796" t="s">
        <v>11</v>
      </c>
      <c r="D11796">
        <v>21</v>
      </c>
      <c r="E11796" s="2">
        <v>1.9247685185185184E-2</v>
      </c>
      <c r="F11796">
        <v>27.716666666666665</v>
      </c>
    </row>
    <row r="11797" spans="1:6" x14ac:dyDescent="0.25">
      <c r="A11797" s="1">
        <v>42614</v>
      </c>
      <c r="B11797" t="s">
        <v>17</v>
      </c>
      <c r="C11797" t="s">
        <v>6</v>
      </c>
      <c r="D11797">
        <v>12</v>
      </c>
      <c r="E11797" s="2">
        <v>1.9143518518518518E-2</v>
      </c>
      <c r="F11797">
        <v>27.566666666666666</v>
      </c>
    </row>
    <row r="11798" spans="1:6" x14ac:dyDescent="0.25">
      <c r="A11798" s="1">
        <v>42614</v>
      </c>
      <c r="B11798" t="s">
        <v>17</v>
      </c>
      <c r="C11798" t="s">
        <v>7</v>
      </c>
      <c r="D11798">
        <v>12</v>
      </c>
      <c r="E11798" s="2">
        <v>1.5462962962962963E-2</v>
      </c>
      <c r="F11798">
        <v>22.266666666666666</v>
      </c>
    </row>
    <row r="11799" spans="1:6" x14ac:dyDescent="0.25">
      <c r="A11799" s="1">
        <v>42614</v>
      </c>
      <c r="B11799" t="s">
        <v>17</v>
      </c>
      <c r="C11799" t="s">
        <v>8</v>
      </c>
      <c r="D11799">
        <v>13</v>
      </c>
      <c r="E11799" s="2">
        <v>1.4756944444444444E-2</v>
      </c>
      <c r="F11799">
        <v>21.25</v>
      </c>
    </row>
    <row r="11800" spans="1:6" x14ac:dyDescent="0.25">
      <c r="A11800" s="1">
        <v>42614</v>
      </c>
      <c r="B11800" t="s">
        <v>17</v>
      </c>
      <c r="C11800" t="s">
        <v>9</v>
      </c>
      <c r="D11800">
        <v>0</v>
      </c>
      <c r="E11800" s="2">
        <v>0</v>
      </c>
      <c r="F11800">
        <v>0</v>
      </c>
    </row>
    <row r="11801" spans="1:6" x14ac:dyDescent="0.25">
      <c r="A11801" s="1">
        <v>42614</v>
      </c>
      <c r="B11801" t="s">
        <v>17</v>
      </c>
      <c r="C11801" t="s">
        <v>10</v>
      </c>
      <c r="D11801">
        <v>13</v>
      </c>
      <c r="E11801" s="2">
        <v>1.6423611111111111E-2</v>
      </c>
      <c r="F11801">
        <v>23.65</v>
      </c>
    </row>
    <row r="11802" spans="1:6" x14ac:dyDescent="0.25">
      <c r="A11802" s="1">
        <v>42614</v>
      </c>
      <c r="B11802" t="s">
        <v>17</v>
      </c>
      <c r="C11802" t="s">
        <v>11</v>
      </c>
      <c r="D11802">
        <v>11</v>
      </c>
      <c r="E11802" s="2">
        <v>9.0162037037037034E-3</v>
      </c>
      <c r="F11802">
        <v>12.983333333333333</v>
      </c>
    </row>
    <row r="11803" spans="1:6" x14ac:dyDescent="0.25">
      <c r="A11803" s="1">
        <v>42614</v>
      </c>
      <c r="B11803" t="s">
        <v>18</v>
      </c>
      <c r="C11803" t="s">
        <v>6</v>
      </c>
      <c r="D11803">
        <v>56</v>
      </c>
      <c r="E11803" s="2">
        <v>6.8692129629629631E-2</v>
      </c>
      <c r="F11803">
        <v>98.916666666666671</v>
      </c>
    </row>
    <row r="11804" spans="1:6" x14ac:dyDescent="0.25">
      <c r="A11804" s="1">
        <v>42614</v>
      </c>
      <c r="B11804" t="s">
        <v>18</v>
      </c>
      <c r="C11804" t="s">
        <v>7</v>
      </c>
      <c r="D11804">
        <v>84</v>
      </c>
      <c r="E11804" s="2">
        <v>9.9826388888888895E-2</v>
      </c>
      <c r="F11804">
        <v>143.75</v>
      </c>
    </row>
    <row r="11805" spans="1:6" x14ac:dyDescent="0.25">
      <c r="A11805" s="1">
        <v>42614</v>
      </c>
      <c r="B11805" t="s">
        <v>18</v>
      </c>
      <c r="C11805" t="s">
        <v>8</v>
      </c>
      <c r="D11805">
        <v>37</v>
      </c>
      <c r="E11805" s="2">
        <v>3.0717592592592591E-2</v>
      </c>
      <c r="F11805">
        <v>44.233333333333334</v>
      </c>
    </row>
    <row r="11806" spans="1:6" x14ac:dyDescent="0.25">
      <c r="A11806" s="1">
        <v>42614</v>
      </c>
      <c r="B11806" t="s">
        <v>18</v>
      </c>
      <c r="C11806" t="s">
        <v>9</v>
      </c>
      <c r="D11806">
        <v>0</v>
      </c>
      <c r="E11806" s="2">
        <v>0</v>
      </c>
      <c r="F11806">
        <v>0</v>
      </c>
    </row>
    <row r="11807" spans="1:6" x14ac:dyDescent="0.25">
      <c r="A11807" s="1">
        <v>42614</v>
      </c>
      <c r="B11807" t="s">
        <v>18</v>
      </c>
      <c r="C11807" t="s">
        <v>10</v>
      </c>
      <c r="D11807">
        <v>122</v>
      </c>
      <c r="E11807" s="2">
        <v>0.14957175925925925</v>
      </c>
      <c r="F11807">
        <v>215.38333333333333</v>
      </c>
    </row>
    <row r="11808" spans="1:6" x14ac:dyDescent="0.25">
      <c r="A11808" s="1">
        <v>42614</v>
      </c>
      <c r="B11808" t="s">
        <v>18</v>
      </c>
      <c r="C11808" t="s">
        <v>11</v>
      </c>
      <c r="D11808">
        <v>55</v>
      </c>
      <c r="E11808" s="2">
        <v>3.650462962962963E-2</v>
      </c>
      <c r="F11808">
        <v>52.56666666666667</v>
      </c>
    </row>
    <row r="11809" spans="1:6" x14ac:dyDescent="0.25">
      <c r="A11809" s="1">
        <v>42614</v>
      </c>
      <c r="B11809" t="s">
        <v>19</v>
      </c>
      <c r="C11809" t="s">
        <v>6</v>
      </c>
      <c r="D11809">
        <v>27</v>
      </c>
      <c r="E11809" s="2">
        <v>2.7743055555555556E-2</v>
      </c>
      <c r="F11809">
        <v>39.950000000000003</v>
      </c>
    </row>
    <row r="11810" spans="1:6" x14ac:dyDescent="0.25">
      <c r="A11810" s="1">
        <v>42614</v>
      </c>
      <c r="B11810" t="s">
        <v>19</v>
      </c>
      <c r="C11810" t="s">
        <v>7</v>
      </c>
      <c r="D11810">
        <v>28</v>
      </c>
      <c r="E11810" s="2">
        <v>3.304398148148148E-2</v>
      </c>
      <c r="F11810">
        <v>47.583333333333336</v>
      </c>
    </row>
    <row r="11811" spans="1:6" x14ac:dyDescent="0.25">
      <c r="A11811" s="1">
        <v>42614</v>
      </c>
      <c r="B11811" t="s">
        <v>19</v>
      </c>
      <c r="C11811" t="s">
        <v>8</v>
      </c>
      <c r="D11811">
        <v>20</v>
      </c>
      <c r="E11811" s="2">
        <v>1.9976851851851853E-2</v>
      </c>
      <c r="F11811">
        <v>28.766666666666666</v>
      </c>
    </row>
    <row r="11812" spans="1:6" x14ac:dyDescent="0.25">
      <c r="A11812" s="1">
        <v>42614</v>
      </c>
      <c r="B11812" t="s">
        <v>19</v>
      </c>
      <c r="C11812" t="s">
        <v>9</v>
      </c>
      <c r="D11812">
        <v>0</v>
      </c>
      <c r="E11812" s="2">
        <v>0</v>
      </c>
      <c r="F11812">
        <v>0</v>
      </c>
    </row>
    <row r="11813" spans="1:6" x14ac:dyDescent="0.25">
      <c r="A11813" s="1">
        <v>42614</v>
      </c>
      <c r="B11813" t="s">
        <v>19</v>
      </c>
      <c r="C11813" t="s">
        <v>10</v>
      </c>
      <c r="D11813">
        <v>11</v>
      </c>
      <c r="E11813" s="2">
        <v>1.6898148148148148E-2</v>
      </c>
      <c r="F11813">
        <v>24.333333333333332</v>
      </c>
    </row>
    <row r="11814" spans="1:6" x14ac:dyDescent="0.25">
      <c r="A11814" s="1">
        <v>42614</v>
      </c>
      <c r="B11814" t="s">
        <v>19</v>
      </c>
      <c r="C11814" t="s">
        <v>11</v>
      </c>
      <c r="D11814">
        <v>25</v>
      </c>
      <c r="E11814" s="2">
        <v>2.3425925925925926E-2</v>
      </c>
      <c r="F11814">
        <v>33.733333333333334</v>
      </c>
    </row>
    <row r="11815" spans="1:6" x14ac:dyDescent="0.25">
      <c r="A11815" s="1">
        <v>42614</v>
      </c>
      <c r="B11815" t="s">
        <v>20</v>
      </c>
      <c r="C11815" t="s">
        <v>6</v>
      </c>
      <c r="D11815">
        <v>76</v>
      </c>
      <c r="E11815" s="2">
        <v>9.7476851851851856E-2</v>
      </c>
      <c r="F11815">
        <v>140.36666666666667</v>
      </c>
    </row>
    <row r="11816" spans="1:6" x14ac:dyDescent="0.25">
      <c r="A11816" s="1">
        <v>42614</v>
      </c>
      <c r="B11816" t="s">
        <v>20</v>
      </c>
      <c r="C11816" t="s">
        <v>7</v>
      </c>
      <c r="D11816">
        <v>107</v>
      </c>
      <c r="E11816" s="2">
        <v>0.14004629629629631</v>
      </c>
      <c r="F11816">
        <v>201.66666666666666</v>
      </c>
    </row>
    <row r="11817" spans="1:6" x14ac:dyDescent="0.25">
      <c r="A11817" s="1">
        <v>42614</v>
      </c>
      <c r="B11817" t="s">
        <v>20</v>
      </c>
      <c r="C11817" t="s">
        <v>8</v>
      </c>
      <c r="D11817">
        <v>74</v>
      </c>
      <c r="E11817" s="2">
        <v>7.2245370370370376E-2</v>
      </c>
      <c r="F11817">
        <v>104.03333333333333</v>
      </c>
    </row>
    <row r="11818" spans="1:6" x14ac:dyDescent="0.25">
      <c r="A11818" s="1">
        <v>42614</v>
      </c>
      <c r="B11818" t="s">
        <v>20</v>
      </c>
      <c r="C11818" t="s">
        <v>9</v>
      </c>
      <c r="D11818">
        <v>0</v>
      </c>
      <c r="E11818" s="2">
        <v>0</v>
      </c>
      <c r="F11818">
        <v>0</v>
      </c>
    </row>
    <row r="11819" spans="1:6" x14ac:dyDescent="0.25">
      <c r="A11819" s="1">
        <v>42614</v>
      </c>
      <c r="B11819" t="s">
        <v>20</v>
      </c>
      <c r="C11819" t="s">
        <v>10</v>
      </c>
      <c r="D11819">
        <v>14</v>
      </c>
      <c r="E11819" s="2">
        <v>1.59375E-2</v>
      </c>
      <c r="F11819">
        <v>22.95</v>
      </c>
    </row>
    <row r="11820" spans="1:6" x14ac:dyDescent="0.25">
      <c r="A11820" s="1">
        <v>42614</v>
      </c>
      <c r="B11820" t="s">
        <v>20</v>
      </c>
      <c r="C11820" t="s">
        <v>11</v>
      </c>
      <c r="D11820">
        <v>65</v>
      </c>
      <c r="E11820" s="2">
        <v>7.3842592592592599E-2</v>
      </c>
      <c r="F11820">
        <v>106.33333333333333</v>
      </c>
    </row>
    <row r="11821" spans="1:6" x14ac:dyDescent="0.25">
      <c r="A11821" s="1">
        <v>42614</v>
      </c>
      <c r="B11821" t="s">
        <v>21</v>
      </c>
      <c r="C11821" t="s">
        <v>6</v>
      </c>
      <c r="D11821">
        <v>21</v>
      </c>
      <c r="E11821" s="2">
        <v>3.6666666666666667E-2</v>
      </c>
      <c r="F11821">
        <v>52.8</v>
      </c>
    </row>
    <row r="11822" spans="1:6" x14ac:dyDescent="0.25">
      <c r="A11822" s="1">
        <v>42614</v>
      </c>
      <c r="B11822" t="s">
        <v>21</v>
      </c>
      <c r="C11822" t="s">
        <v>7</v>
      </c>
      <c r="D11822">
        <v>10</v>
      </c>
      <c r="E11822" s="2">
        <v>1.4247685185185184E-2</v>
      </c>
      <c r="F11822">
        <v>20.516666666666666</v>
      </c>
    </row>
    <row r="11823" spans="1:6" x14ac:dyDescent="0.25">
      <c r="A11823" s="1">
        <v>42614</v>
      </c>
      <c r="B11823" t="s">
        <v>21</v>
      </c>
      <c r="C11823" t="s">
        <v>8</v>
      </c>
      <c r="D11823">
        <v>17</v>
      </c>
      <c r="E11823" s="2">
        <v>2.5416666666666667E-2</v>
      </c>
      <c r="F11823">
        <v>36.6</v>
      </c>
    </row>
    <row r="11824" spans="1:6" x14ac:dyDescent="0.25">
      <c r="A11824" s="1">
        <v>42614</v>
      </c>
      <c r="B11824" t="s">
        <v>21</v>
      </c>
      <c r="C11824" t="s">
        <v>9</v>
      </c>
      <c r="D11824">
        <v>0</v>
      </c>
      <c r="E11824" s="2">
        <v>0</v>
      </c>
      <c r="F11824">
        <v>0</v>
      </c>
    </row>
    <row r="11825" spans="1:6" x14ac:dyDescent="0.25">
      <c r="A11825" s="1">
        <v>42614</v>
      </c>
      <c r="B11825" t="s">
        <v>21</v>
      </c>
      <c r="C11825" t="s">
        <v>10</v>
      </c>
      <c r="D11825">
        <v>3</v>
      </c>
      <c r="E11825" s="2">
        <v>6.8171296296296296E-3</v>
      </c>
      <c r="F11825">
        <v>9.8166666666666664</v>
      </c>
    </row>
    <row r="11826" spans="1:6" x14ac:dyDescent="0.25">
      <c r="A11826" s="1">
        <v>42614</v>
      </c>
      <c r="B11826" t="s">
        <v>21</v>
      </c>
      <c r="C11826" t="s">
        <v>11</v>
      </c>
      <c r="D11826">
        <v>17</v>
      </c>
      <c r="E11826" s="2">
        <v>1.6608796296296295E-2</v>
      </c>
      <c r="F11826">
        <v>23.916666666666668</v>
      </c>
    </row>
    <row r="11827" spans="1:6" x14ac:dyDescent="0.25">
      <c r="A11827" s="1">
        <v>42614</v>
      </c>
      <c r="B11827" t="s">
        <v>22</v>
      </c>
      <c r="C11827" t="s">
        <v>6</v>
      </c>
      <c r="D11827">
        <v>19</v>
      </c>
      <c r="E11827" s="2">
        <v>3.5787037037037034E-2</v>
      </c>
      <c r="F11827">
        <v>51.533333333333331</v>
      </c>
    </row>
    <row r="11828" spans="1:6" x14ac:dyDescent="0.25">
      <c r="A11828" s="1">
        <v>42614</v>
      </c>
      <c r="B11828" t="s">
        <v>22</v>
      </c>
      <c r="C11828" t="s">
        <v>7</v>
      </c>
      <c r="D11828">
        <v>14</v>
      </c>
      <c r="E11828" s="2">
        <v>2.2939814814814816E-2</v>
      </c>
      <c r="F11828">
        <v>33.033333333333331</v>
      </c>
    </row>
    <row r="11829" spans="1:6" x14ac:dyDescent="0.25">
      <c r="A11829" s="1">
        <v>42614</v>
      </c>
      <c r="B11829" t="s">
        <v>22</v>
      </c>
      <c r="C11829" t="s">
        <v>8</v>
      </c>
      <c r="D11829">
        <v>6</v>
      </c>
      <c r="E11829" s="2">
        <v>8.0787037037037043E-3</v>
      </c>
      <c r="F11829">
        <v>11.633333333333333</v>
      </c>
    </row>
    <row r="11830" spans="1:6" x14ac:dyDescent="0.25">
      <c r="A11830" s="1">
        <v>42614</v>
      </c>
      <c r="B11830" t="s">
        <v>22</v>
      </c>
      <c r="C11830" t="s">
        <v>9</v>
      </c>
      <c r="D11830">
        <v>0</v>
      </c>
      <c r="E11830" s="2">
        <v>0</v>
      </c>
      <c r="F11830">
        <v>0</v>
      </c>
    </row>
    <row r="11831" spans="1:6" x14ac:dyDescent="0.25">
      <c r="A11831" s="1">
        <v>42614</v>
      </c>
      <c r="B11831" t="s">
        <v>22</v>
      </c>
      <c r="C11831" t="s">
        <v>10</v>
      </c>
      <c r="D11831">
        <v>6</v>
      </c>
      <c r="E11831" s="2">
        <v>5.4166666666666669E-3</v>
      </c>
      <c r="F11831">
        <v>7.8</v>
      </c>
    </row>
    <row r="11832" spans="1:6" x14ac:dyDescent="0.25">
      <c r="A11832" s="1">
        <v>42614</v>
      </c>
      <c r="B11832" t="s">
        <v>22</v>
      </c>
      <c r="C11832" t="s">
        <v>11</v>
      </c>
      <c r="D11832">
        <v>7</v>
      </c>
      <c r="E11832" s="2">
        <v>1.173611111111111E-2</v>
      </c>
      <c r="F11832">
        <v>16.899999999999999</v>
      </c>
    </row>
    <row r="11833" spans="1:6" x14ac:dyDescent="0.25">
      <c r="A11833" s="1">
        <v>42614</v>
      </c>
      <c r="B11833" t="s">
        <v>23</v>
      </c>
      <c r="C11833" t="s">
        <v>6</v>
      </c>
      <c r="D11833">
        <v>71</v>
      </c>
      <c r="E11833" s="2">
        <v>0.10063657407407407</v>
      </c>
      <c r="F11833">
        <v>144.91666666666666</v>
      </c>
    </row>
    <row r="11834" spans="1:6" x14ac:dyDescent="0.25">
      <c r="A11834" s="1">
        <v>42614</v>
      </c>
      <c r="B11834" t="s">
        <v>23</v>
      </c>
      <c r="C11834" t="s">
        <v>7</v>
      </c>
      <c r="D11834">
        <v>57</v>
      </c>
      <c r="E11834" s="2">
        <v>0.10150462962962963</v>
      </c>
      <c r="F11834">
        <v>146.16666666666666</v>
      </c>
    </row>
    <row r="11835" spans="1:6" x14ac:dyDescent="0.25">
      <c r="A11835" s="1">
        <v>42614</v>
      </c>
      <c r="B11835" t="s">
        <v>23</v>
      </c>
      <c r="C11835" t="s">
        <v>8</v>
      </c>
      <c r="D11835">
        <v>61</v>
      </c>
      <c r="E11835" s="2">
        <v>8.0914351851851848E-2</v>
      </c>
      <c r="F11835">
        <v>116.51666666666667</v>
      </c>
    </row>
    <row r="11836" spans="1:6" x14ac:dyDescent="0.25">
      <c r="A11836" s="1">
        <v>42614</v>
      </c>
      <c r="B11836" t="s">
        <v>23</v>
      </c>
      <c r="C11836" t="s">
        <v>9</v>
      </c>
      <c r="D11836">
        <v>0</v>
      </c>
      <c r="E11836" s="2">
        <v>0</v>
      </c>
      <c r="F11836">
        <v>0</v>
      </c>
    </row>
    <row r="11837" spans="1:6" x14ac:dyDescent="0.25">
      <c r="A11837" s="1">
        <v>42614</v>
      </c>
      <c r="B11837" t="s">
        <v>23</v>
      </c>
      <c r="C11837" t="s">
        <v>10</v>
      </c>
      <c r="D11837">
        <v>25</v>
      </c>
      <c r="E11837" s="2">
        <v>3.453703703703704E-2</v>
      </c>
      <c r="F11837">
        <v>49.733333333333334</v>
      </c>
    </row>
    <row r="11838" spans="1:6" x14ac:dyDescent="0.25">
      <c r="A11838" s="1">
        <v>42614</v>
      </c>
      <c r="B11838" t="s">
        <v>23</v>
      </c>
      <c r="C11838" t="s">
        <v>11</v>
      </c>
      <c r="D11838">
        <v>75</v>
      </c>
      <c r="E11838" s="2">
        <v>8.7210648148148148E-2</v>
      </c>
      <c r="F11838">
        <v>125.58333333333333</v>
      </c>
    </row>
    <row r="11839" spans="1:6" x14ac:dyDescent="0.25">
      <c r="A11839" s="1">
        <v>42614</v>
      </c>
      <c r="B11839" t="s">
        <v>24</v>
      </c>
      <c r="C11839" t="s">
        <v>6</v>
      </c>
      <c r="D11839">
        <v>34</v>
      </c>
      <c r="E11839" s="2">
        <v>3.3900462962962966E-2</v>
      </c>
      <c r="F11839">
        <v>48.81666666666667</v>
      </c>
    </row>
    <row r="11840" spans="1:6" x14ac:dyDescent="0.25">
      <c r="A11840" s="1">
        <v>42614</v>
      </c>
      <c r="B11840" t="s">
        <v>24</v>
      </c>
      <c r="C11840" t="s">
        <v>7</v>
      </c>
      <c r="D11840">
        <v>28</v>
      </c>
      <c r="E11840" s="2">
        <v>3.1192129629629629E-2</v>
      </c>
      <c r="F11840">
        <v>44.916666666666664</v>
      </c>
    </row>
    <row r="11841" spans="1:6" x14ac:dyDescent="0.25">
      <c r="A11841" s="1">
        <v>42614</v>
      </c>
      <c r="B11841" t="s">
        <v>24</v>
      </c>
      <c r="C11841" t="s">
        <v>8</v>
      </c>
      <c r="D11841">
        <v>21</v>
      </c>
      <c r="E11841" s="2">
        <v>1.5266203703703704E-2</v>
      </c>
      <c r="F11841">
        <v>21.983333333333334</v>
      </c>
    </row>
    <row r="11842" spans="1:6" x14ac:dyDescent="0.25">
      <c r="A11842" s="1">
        <v>42614</v>
      </c>
      <c r="B11842" t="s">
        <v>24</v>
      </c>
      <c r="C11842" t="s">
        <v>9</v>
      </c>
      <c r="D11842">
        <v>0</v>
      </c>
      <c r="E11842" s="2">
        <v>0</v>
      </c>
      <c r="F11842">
        <v>0</v>
      </c>
    </row>
    <row r="11843" spans="1:6" x14ac:dyDescent="0.25">
      <c r="A11843" s="1">
        <v>42614</v>
      </c>
      <c r="B11843" t="s">
        <v>24</v>
      </c>
      <c r="C11843" t="s">
        <v>10</v>
      </c>
      <c r="D11843">
        <v>2</v>
      </c>
      <c r="E11843" s="2">
        <v>1.8981481481481482E-3</v>
      </c>
      <c r="F11843">
        <v>2.7333333333333334</v>
      </c>
    </row>
    <row r="11844" spans="1:6" x14ac:dyDescent="0.25">
      <c r="A11844" s="1">
        <v>42614</v>
      </c>
      <c r="B11844" t="s">
        <v>24</v>
      </c>
      <c r="C11844" t="s">
        <v>11</v>
      </c>
      <c r="D11844">
        <v>24</v>
      </c>
      <c r="E11844" s="2">
        <v>2.1597222222222223E-2</v>
      </c>
      <c r="F11844">
        <v>31.1</v>
      </c>
    </row>
    <row r="11845" spans="1:6" x14ac:dyDescent="0.25">
      <c r="A11845" s="1">
        <v>42644</v>
      </c>
      <c r="B11845" t="s">
        <v>5</v>
      </c>
      <c r="C11845" t="s">
        <v>6</v>
      </c>
      <c r="D11845">
        <v>31</v>
      </c>
      <c r="E11845" s="2">
        <v>2.9803240740740741E-2</v>
      </c>
      <c r="F11845">
        <v>42.916666666666664</v>
      </c>
    </row>
    <row r="11846" spans="1:6" x14ac:dyDescent="0.25">
      <c r="A11846" s="1">
        <v>42644</v>
      </c>
      <c r="B11846" t="s">
        <v>5</v>
      </c>
      <c r="C11846" t="s">
        <v>7</v>
      </c>
      <c r="D11846">
        <v>31</v>
      </c>
      <c r="E11846" s="2">
        <v>2.7245370370370371E-2</v>
      </c>
      <c r="F11846">
        <v>39.233333333333334</v>
      </c>
    </row>
    <row r="11847" spans="1:6" x14ac:dyDescent="0.25">
      <c r="A11847" s="1">
        <v>42644</v>
      </c>
      <c r="B11847" t="s">
        <v>5</v>
      </c>
      <c r="C11847" t="s">
        <v>8</v>
      </c>
      <c r="D11847">
        <v>25</v>
      </c>
      <c r="E11847" s="2">
        <v>1.9629629629629629E-2</v>
      </c>
      <c r="F11847">
        <v>28.266666666666666</v>
      </c>
    </row>
    <row r="11848" spans="1:6" x14ac:dyDescent="0.25">
      <c r="A11848" s="1">
        <v>42644</v>
      </c>
      <c r="B11848" t="s">
        <v>5</v>
      </c>
      <c r="C11848" t="s">
        <v>9</v>
      </c>
      <c r="D11848">
        <v>0</v>
      </c>
      <c r="E11848" s="2">
        <v>0</v>
      </c>
      <c r="F11848">
        <v>0</v>
      </c>
    </row>
    <row r="11849" spans="1:6" x14ac:dyDescent="0.25">
      <c r="A11849" s="1">
        <v>42644</v>
      </c>
      <c r="B11849" t="s">
        <v>5</v>
      </c>
      <c r="C11849" t="s">
        <v>10</v>
      </c>
      <c r="D11849">
        <v>8</v>
      </c>
      <c r="E11849" s="2">
        <v>5.5671296296296293E-3</v>
      </c>
      <c r="F11849">
        <v>8.0166666666666675</v>
      </c>
    </row>
    <row r="11850" spans="1:6" x14ac:dyDescent="0.25">
      <c r="A11850" s="1">
        <v>42644</v>
      </c>
      <c r="B11850" t="s">
        <v>5</v>
      </c>
      <c r="C11850" t="s">
        <v>11</v>
      </c>
      <c r="D11850">
        <v>36</v>
      </c>
      <c r="E11850" s="2">
        <v>2.8078703703703703E-2</v>
      </c>
      <c r="F11850">
        <v>40.43333333333333</v>
      </c>
    </row>
    <row r="11851" spans="1:6" x14ac:dyDescent="0.25">
      <c r="A11851" s="1">
        <v>42644</v>
      </c>
      <c r="B11851" t="s">
        <v>12</v>
      </c>
      <c r="C11851" t="s">
        <v>6</v>
      </c>
      <c r="D11851">
        <v>40</v>
      </c>
      <c r="E11851" s="2">
        <v>7.2719907407407414E-2</v>
      </c>
      <c r="F11851">
        <v>104.71666666666667</v>
      </c>
    </row>
    <row r="11852" spans="1:6" x14ac:dyDescent="0.25">
      <c r="A11852" s="1">
        <v>42644</v>
      </c>
      <c r="B11852" t="s">
        <v>12</v>
      </c>
      <c r="C11852" t="s">
        <v>7</v>
      </c>
      <c r="D11852">
        <v>22</v>
      </c>
      <c r="E11852" s="2">
        <v>5.0613425925925923E-2</v>
      </c>
      <c r="F11852">
        <v>72.88333333333334</v>
      </c>
    </row>
    <row r="11853" spans="1:6" x14ac:dyDescent="0.25">
      <c r="A11853" s="1">
        <v>42644</v>
      </c>
      <c r="B11853" t="s">
        <v>12</v>
      </c>
      <c r="C11853" t="s">
        <v>8</v>
      </c>
      <c r="D11853">
        <v>23</v>
      </c>
      <c r="E11853" s="2">
        <v>3.8877314814814816E-2</v>
      </c>
      <c r="F11853">
        <v>55.983333333333334</v>
      </c>
    </row>
    <row r="11854" spans="1:6" x14ac:dyDescent="0.25">
      <c r="A11854" s="1">
        <v>42644</v>
      </c>
      <c r="B11854" t="s">
        <v>12</v>
      </c>
      <c r="C11854" t="s">
        <v>9</v>
      </c>
      <c r="D11854">
        <v>0</v>
      </c>
      <c r="E11854" s="2">
        <v>0</v>
      </c>
      <c r="F11854">
        <v>0</v>
      </c>
    </row>
    <row r="11855" spans="1:6" x14ac:dyDescent="0.25">
      <c r="A11855" s="1">
        <v>42644</v>
      </c>
      <c r="B11855" t="s">
        <v>12</v>
      </c>
      <c r="C11855" t="s">
        <v>10</v>
      </c>
      <c r="D11855">
        <v>23</v>
      </c>
      <c r="E11855" s="2">
        <v>4.027777777777778E-2</v>
      </c>
      <c r="F11855">
        <v>58</v>
      </c>
    </row>
    <row r="11856" spans="1:6" x14ac:dyDescent="0.25">
      <c r="A11856" s="1">
        <v>42644</v>
      </c>
      <c r="B11856" t="s">
        <v>12</v>
      </c>
      <c r="C11856" t="s">
        <v>11</v>
      </c>
      <c r="D11856">
        <v>42</v>
      </c>
      <c r="E11856" s="2">
        <v>6.8750000000000006E-2</v>
      </c>
      <c r="F11856">
        <v>99</v>
      </c>
    </row>
    <row r="11857" spans="1:6" x14ac:dyDescent="0.25">
      <c r="A11857" s="1">
        <v>42644</v>
      </c>
      <c r="B11857" t="s">
        <v>13</v>
      </c>
      <c r="C11857" t="s">
        <v>6</v>
      </c>
      <c r="D11857">
        <v>39</v>
      </c>
      <c r="E11857" s="2">
        <v>5.710648148148148E-2</v>
      </c>
      <c r="F11857">
        <v>82.233333333333334</v>
      </c>
    </row>
    <row r="11858" spans="1:6" x14ac:dyDescent="0.25">
      <c r="A11858" s="1">
        <v>42644</v>
      </c>
      <c r="B11858" t="s">
        <v>13</v>
      </c>
      <c r="C11858" t="s">
        <v>7</v>
      </c>
      <c r="D11858">
        <v>62</v>
      </c>
      <c r="E11858" s="2">
        <v>0.10902777777777778</v>
      </c>
      <c r="F11858">
        <v>157</v>
      </c>
    </row>
    <row r="11859" spans="1:6" x14ac:dyDescent="0.25">
      <c r="A11859" s="1">
        <v>42644</v>
      </c>
      <c r="B11859" t="s">
        <v>13</v>
      </c>
      <c r="C11859" t="s">
        <v>8</v>
      </c>
      <c r="D11859">
        <v>47</v>
      </c>
      <c r="E11859" s="2">
        <v>6.0821759259259256E-2</v>
      </c>
      <c r="F11859">
        <v>87.583333333333329</v>
      </c>
    </row>
    <row r="11860" spans="1:6" x14ac:dyDescent="0.25">
      <c r="A11860" s="1">
        <v>42644</v>
      </c>
      <c r="B11860" t="s">
        <v>13</v>
      </c>
      <c r="C11860" t="s">
        <v>9</v>
      </c>
      <c r="D11860">
        <v>0</v>
      </c>
      <c r="E11860" s="2">
        <v>0</v>
      </c>
      <c r="F11860">
        <v>0</v>
      </c>
    </row>
    <row r="11861" spans="1:6" x14ac:dyDescent="0.25">
      <c r="A11861" s="1">
        <v>42644</v>
      </c>
      <c r="B11861" t="s">
        <v>13</v>
      </c>
      <c r="C11861" t="s">
        <v>10</v>
      </c>
      <c r="D11861">
        <v>9</v>
      </c>
      <c r="E11861" s="2">
        <v>1.4594907407407407E-2</v>
      </c>
      <c r="F11861">
        <v>21.016666666666666</v>
      </c>
    </row>
    <row r="11862" spans="1:6" x14ac:dyDescent="0.25">
      <c r="A11862" s="1">
        <v>42644</v>
      </c>
      <c r="B11862" t="s">
        <v>13</v>
      </c>
      <c r="C11862" t="s">
        <v>11</v>
      </c>
      <c r="D11862">
        <v>32</v>
      </c>
      <c r="E11862" s="2">
        <v>4.0358796296296295E-2</v>
      </c>
      <c r="F11862">
        <v>58.116666666666667</v>
      </c>
    </row>
    <row r="11863" spans="1:6" x14ac:dyDescent="0.25">
      <c r="A11863" s="1">
        <v>42644</v>
      </c>
      <c r="B11863" t="s">
        <v>14</v>
      </c>
      <c r="C11863" t="s">
        <v>6</v>
      </c>
      <c r="D11863">
        <v>7</v>
      </c>
      <c r="E11863" s="2">
        <v>1.0671296296296297E-2</v>
      </c>
      <c r="F11863">
        <v>15.366666666666667</v>
      </c>
    </row>
    <row r="11864" spans="1:6" x14ac:dyDescent="0.25">
      <c r="A11864" s="1">
        <v>42644</v>
      </c>
      <c r="B11864" t="s">
        <v>14</v>
      </c>
      <c r="C11864" t="s">
        <v>7</v>
      </c>
      <c r="D11864">
        <v>6</v>
      </c>
      <c r="E11864" s="2">
        <v>1.1944444444444445E-2</v>
      </c>
      <c r="F11864">
        <v>17.2</v>
      </c>
    </row>
    <row r="11865" spans="1:6" x14ac:dyDescent="0.25">
      <c r="A11865" s="1">
        <v>42644</v>
      </c>
      <c r="B11865" t="s">
        <v>14</v>
      </c>
      <c r="C11865" t="s">
        <v>8</v>
      </c>
      <c r="D11865">
        <v>3</v>
      </c>
      <c r="E11865" s="2">
        <v>6.030092592592593E-3</v>
      </c>
      <c r="F11865">
        <v>8.6833333333333336</v>
      </c>
    </row>
    <row r="11866" spans="1:6" x14ac:dyDescent="0.25">
      <c r="A11866" s="1">
        <v>42644</v>
      </c>
      <c r="B11866" t="s">
        <v>14</v>
      </c>
      <c r="C11866" t="s">
        <v>9</v>
      </c>
      <c r="D11866">
        <v>0</v>
      </c>
      <c r="E11866" s="2">
        <v>0</v>
      </c>
      <c r="F11866">
        <v>0</v>
      </c>
    </row>
    <row r="11867" spans="1:6" x14ac:dyDescent="0.25">
      <c r="A11867" s="1">
        <v>42644</v>
      </c>
      <c r="B11867" t="s">
        <v>14</v>
      </c>
      <c r="C11867" t="s">
        <v>10</v>
      </c>
      <c r="D11867">
        <v>2</v>
      </c>
      <c r="E11867" s="2">
        <v>4.1550925925925922E-3</v>
      </c>
      <c r="F11867">
        <v>5.9833333333333334</v>
      </c>
    </row>
    <row r="11868" spans="1:6" x14ac:dyDescent="0.25">
      <c r="A11868" s="1">
        <v>42644</v>
      </c>
      <c r="B11868" t="s">
        <v>14</v>
      </c>
      <c r="C11868" t="s">
        <v>11</v>
      </c>
      <c r="D11868">
        <v>16</v>
      </c>
      <c r="E11868" s="2">
        <v>2.1770833333333333E-2</v>
      </c>
      <c r="F11868">
        <v>31.35</v>
      </c>
    </row>
    <row r="11869" spans="1:6" x14ac:dyDescent="0.25">
      <c r="A11869" s="1">
        <v>42644</v>
      </c>
      <c r="B11869" t="s">
        <v>15</v>
      </c>
      <c r="C11869" t="s">
        <v>6</v>
      </c>
      <c r="D11869">
        <v>12</v>
      </c>
      <c r="E11869" s="2">
        <v>1.8761574074074073E-2</v>
      </c>
      <c r="F11869">
        <v>27.016666666666666</v>
      </c>
    </row>
    <row r="11870" spans="1:6" x14ac:dyDescent="0.25">
      <c r="A11870" s="1">
        <v>42644</v>
      </c>
      <c r="B11870" t="s">
        <v>15</v>
      </c>
      <c r="C11870" t="s">
        <v>7</v>
      </c>
      <c r="D11870">
        <v>17</v>
      </c>
      <c r="E11870" s="2">
        <v>2.042824074074074E-2</v>
      </c>
      <c r="F11870">
        <v>29.416666666666668</v>
      </c>
    </row>
    <row r="11871" spans="1:6" x14ac:dyDescent="0.25">
      <c r="A11871" s="1">
        <v>42644</v>
      </c>
      <c r="B11871" t="s">
        <v>15</v>
      </c>
      <c r="C11871" t="s">
        <v>8</v>
      </c>
      <c r="D11871">
        <v>11</v>
      </c>
      <c r="E11871" s="2">
        <v>1.2094907407407407E-2</v>
      </c>
      <c r="F11871">
        <v>17.416666666666668</v>
      </c>
    </row>
    <row r="11872" spans="1:6" x14ac:dyDescent="0.25">
      <c r="A11872" s="1">
        <v>42644</v>
      </c>
      <c r="B11872" t="s">
        <v>15</v>
      </c>
      <c r="C11872" t="s">
        <v>9</v>
      </c>
      <c r="D11872">
        <v>0</v>
      </c>
      <c r="E11872" s="2">
        <v>0</v>
      </c>
      <c r="F11872">
        <v>0</v>
      </c>
    </row>
    <row r="11873" spans="1:6" x14ac:dyDescent="0.25">
      <c r="A11873" s="1">
        <v>42644</v>
      </c>
      <c r="B11873" t="s">
        <v>15</v>
      </c>
      <c r="C11873" t="s">
        <v>10</v>
      </c>
      <c r="D11873">
        <v>4</v>
      </c>
      <c r="E11873" s="2">
        <v>5.2314814814814811E-3</v>
      </c>
      <c r="F11873">
        <v>7.5333333333333332</v>
      </c>
    </row>
    <row r="11874" spans="1:6" x14ac:dyDescent="0.25">
      <c r="A11874" s="1">
        <v>42644</v>
      </c>
      <c r="B11874" t="s">
        <v>15</v>
      </c>
      <c r="C11874" t="s">
        <v>11</v>
      </c>
      <c r="D11874">
        <v>11</v>
      </c>
      <c r="E11874" s="2">
        <v>1.0324074074074074E-2</v>
      </c>
      <c r="F11874">
        <v>14.866666666666667</v>
      </c>
    </row>
    <row r="11875" spans="1:6" x14ac:dyDescent="0.25">
      <c r="A11875" s="1">
        <v>42644</v>
      </c>
      <c r="B11875" t="s">
        <v>16</v>
      </c>
      <c r="C11875" t="s">
        <v>6</v>
      </c>
      <c r="D11875">
        <v>21</v>
      </c>
      <c r="E11875" s="2">
        <v>2.5868055555555554E-2</v>
      </c>
      <c r="F11875">
        <v>37.25</v>
      </c>
    </row>
    <row r="11876" spans="1:6" x14ac:dyDescent="0.25">
      <c r="A11876" s="1">
        <v>42644</v>
      </c>
      <c r="B11876" t="s">
        <v>16</v>
      </c>
      <c r="C11876" t="s">
        <v>7</v>
      </c>
      <c r="D11876">
        <v>32</v>
      </c>
      <c r="E11876" s="2">
        <v>3.4016203703703701E-2</v>
      </c>
      <c r="F11876">
        <v>48.983333333333334</v>
      </c>
    </row>
    <row r="11877" spans="1:6" x14ac:dyDescent="0.25">
      <c r="A11877" s="1">
        <v>42644</v>
      </c>
      <c r="B11877" t="s">
        <v>16</v>
      </c>
      <c r="C11877" t="s">
        <v>8</v>
      </c>
      <c r="D11877">
        <v>28</v>
      </c>
      <c r="E11877" s="2">
        <v>2.6689814814814816E-2</v>
      </c>
      <c r="F11877">
        <v>38.43333333333333</v>
      </c>
    </row>
    <row r="11878" spans="1:6" x14ac:dyDescent="0.25">
      <c r="A11878" s="1">
        <v>42644</v>
      </c>
      <c r="B11878" t="s">
        <v>16</v>
      </c>
      <c r="C11878" t="s">
        <v>9</v>
      </c>
      <c r="D11878">
        <v>0</v>
      </c>
      <c r="E11878" s="2">
        <v>0</v>
      </c>
      <c r="F11878">
        <v>0</v>
      </c>
    </row>
    <row r="11879" spans="1:6" x14ac:dyDescent="0.25">
      <c r="A11879" s="1">
        <v>42644</v>
      </c>
      <c r="B11879" t="s">
        <v>16</v>
      </c>
      <c r="C11879" t="s">
        <v>10</v>
      </c>
      <c r="D11879">
        <v>7</v>
      </c>
      <c r="E11879" s="2">
        <v>7.905092592592592E-3</v>
      </c>
      <c r="F11879">
        <v>11.383333333333333</v>
      </c>
    </row>
    <row r="11880" spans="1:6" x14ac:dyDescent="0.25">
      <c r="A11880" s="1">
        <v>42644</v>
      </c>
      <c r="B11880" t="s">
        <v>16</v>
      </c>
      <c r="C11880" t="s">
        <v>11</v>
      </c>
      <c r="D11880">
        <v>35</v>
      </c>
      <c r="E11880" s="2">
        <v>3.5393518518518519E-2</v>
      </c>
      <c r="F11880">
        <v>50.966666666666669</v>
      </c>
    </row>
    <row r="11881" spans="1:6" x14ac:dyDescent="0.25">
      <c r="A11881" s="1">
        <v>42644</v>
      </c>
      <c r="B11881" t="s">
        <v>17</v>
      </c>
      <c r="C11881" t="s">
        <v>6</v>
      </c>
      <c r="D11881">
        <v>8</v>
      </c>
      <c r="E11881" s="2">
        <v>8.0787037037037043E-3</v>
      </c>
      <c r="F11881">
        <v>11.633333333333333</v>
      </c>
    </row>
    <row r="11882" spans="1:6" x14ac:dyDescent="0.25">
      <c r="A11882" s="1">
        <v>42644</v>
      </c>
      <c r="B11882" t="s">
        <v>17</v>
      </c>
      <c r="C11882" t="s">
        <v>7</v>
      </c>
      <c r="D11882">
        <v>8</v>
      </c>
      <c r="E11882" s="2">
        <v>1.6446759259259258E-2</v>
      </c>
      <c r="F11882">
        <v>23.683333333333334</v>
      </c>
    </row>
    <row r="11883" spans="1:6" x14ac:dyDescent="0.25">
      <c r="A11883" s="1">
        <v>42644</v>
      </c>
      <c r="B11883" t="s">
        <v>17</v>
      </c>
      <c r="C11883" t="s">
        <v>8</v>
      </c>
      <c r="D11883">
        <v>10</v>
      </c>
      <c r="E11883" s="2">
        <v>1.3900462962962963E-2</v>
      </c>
      <c r="F11883">
        <v>20.016666666666666</v>
      </c>
    </row>
    <row r="11884" spans="1:6" x14ac:dyDescent="0.25">
      <c r="A11884" s="1">
        <v>42644</v>
      </c>
      <c r="B11884" t="s">
        <v>17</v>
      </c>
      <c r="C11884" t="s">
        <v>9</v>
      </c>
      <c r="D11884">
        <v>0</v>
      </c>
      <c r="E11884" s="2">
        <v>0</v>
      </c>
      <c r="F11884">
        <v>0</v>
      </c>
    </row>
    <row r="11885" spans="1:6" x14ac:dyDescent="0.25">
      <c r="A11885" s="1">
        <v>42644</v>
      </c>
      <c r="B11885" t="s">
        <v>17</v>
      </c>
      <c r="C11885" t="s">
        <v>10</v>
      </c>
      <c r="D11885">
        <v>3</v>
      </c>
      <c r="E11885" s="2">
        <v>5.9027777777777776E-3</v>
      </c>
      <c r="F11885">
        <v>8.5</v>
      </c>
    </row>
    <row r="11886" spans="1:6" x14ac:dyDescent="0.25">
      <c r="A11886" s="1">
        <v>42644</v>
      </c>
      <c r="B11886" t="s">
        <v>17</v>
      </c>
      <c r="C11886" t="s">
        <v>11</v>
      </c>
      <c r="D11886">
        <v>4</v>
      </c>
      <c r="E11886" s="2">
        <v>2.8703703703703703E-3</v>
      </c>
      <c r="F11886">
        <v>4.1333333333333337</v>
      </c>
    </row>
    <row r="11887" spans="1:6" x14ac:dyDescent="0.25">
      <c r="A11887" s="1">
        <v>42644</v>
      </c>
      <c r="B11887" t="s">
        <v>18</v>
      </c>
      <c r="C11887" t="s">
        <v>6</v>
      </c>
      <c r="D11887">
        <v>77</v>
      </c>
      <c r="E11887" s="2">
        <v>0.10590277777777778</v>
      </c>
      <c r="F11887">
        <v>152.5</v>
      </c>
    </row>
    <row r="11888" spans="1:6" x14ac:dyDescent="0.25">
      <c r="A11888" s="1">
        <v>42644</v>
      </c>
      <c r="B11888" t="s">
        <v>18</v>
      </c>
      <c r="C11888" t="s">
        <v>7</v>
      </c>
      <c r="D11888">
        <v>112</v>
      </c>
      <c r="E11888" s="2">
        <v>0.12699074074074074</v>
      </c>
      <c r="F11888">
        <v>182.86666666666667</v>
      </c>
    </row>
    <row r="11889" spans="1:6" x14ac:dyDescent="0.25">
      <c r="A11889" s="1">
        <v>42644</v>
      </c>
      <c r="B11889" t="s">
        <v>18</v>
      </c>
      <c r="C11889" t="s">
        <v>8</v>
      </c>
      <c r="D11889">
        <v>50</v>
      </c>
      <c r="E11889" s="2">
        <v>4.6956018518518522E-2</v>
      </c>
      <c r="F11889">
        <v>67.61666666666666</v>
      </c>
    </row>
    <row r="11890" spans="1:6" x14ac:dyDescent="0.25">
      <c r="A11890" s="1">
        <v>42644</v>
      </c>
      <c r="B11890" t="s">
        <v>18</v>
      </c>
      <c r="C11890" t="s">
        <v>9</v>
      </c>
      <c r="D11890">
        <v>0</v>
      </c>
      <c r="E11890" s="2">
        <v>0</v>
      </c>
      <c r="F11890">
        <v>0</v>
      </c>
    </row>
    <row r="11891" spans="1:6" x14ac:dyDescent="0.25">
      <c r="A11891" s="1">
        <v>42644</v>
      </c>
      <c r="B11891" t="s">
        <v>18</v>
      </c>
      <c r="C11891" t="s">
        <v>10</v>
      </c>
      <c r="D11891">
        <v>123</v>
      </c>
      <c r="E11891" s="2">
        <v>0.14696759259259259</v>
      </c>
      <c r="F11891">
        <v>211.63333333333333</v>
      </c>
    </row>
    <row r="11892" spans="1:6" x14ac:dyDescent="0.25">
      <c r="A11892" s="1">
        <v>42644</v>
      </c>
      <c r="B11892" t="s">
        <v>18</v>
      </c>
      <c r="C11892" t="s">
        <v>11</v>
      </c>
      <c r="D11892">
        <v>50</v>
      </c>
      <c r="E11892" s="2">
        <v>3.6238425925925924E-2</v>
      </c>
      <c r="F11892">
        <v>52.18333333333333</v>
      </c>
    </row>
    <row r="11893" spans="1:6" x14ac:dyDescent="0.25">
      <c r="A11893" s="1">
        <v>42644</v>
      </c>
      <c r="B11893" t="s">
        <v>19</v>
      </c>
      <c r="C11893" t="s">
        <v>6</v>
      </c>
      <c r="D11893">
        <v>9</v>
      </c>
      <c r="E11893" s="2">
        <v>1.0208333333333333E-2</v>
      </c>
      <c r="F11893">
        <v>14.7</v>
      </c>
    </row>
    <row r="11894" spans="1:6" x14ac:dyDescent="0.25">
      <c r="A11894" s="1">
        <v>42644</v>
      </c>
      <c r="B11894" t="s">
        <v>19</v>
      </c>
      <c r="C11894" t="s">
        <v>7</v>
      </c>
      <c r="D11894">
        <v>9</v>
      </c>
      <c r="E11894" s="2">
        <v>1.238425925925926E-2</v>
      </c>
      <c r="F11894">
        <v>17.833333333333332</v>
      </c>
    </row>
    <row r="11895" spans="1:6" x14ac:dyDescent="0.25">
      <c r="A11895" s="1">
        <v>42644</v>
      </c>
      <c r="B11895" t="s">
        <v>19</v>
      </c>
      <c r="C11895" t="s">
        <v>8</v>
      </c>
      <c r="D11895">
        <v>10</v>
      </c>
      <c r="E11895" s="2">
        <v>1.3101851851851852E-2</v>
      </c>
      <c r="F11895">
        <v>18.866666666666667</v>
      </c>
    </row>
    <row r="11896" spans="1:6" x14ac:dyDescent="0.25">
      <c r="A11896" s="1">
        <v>42644</v>
      </c>
      <c r="B11896" t="s">
        <v>19</v>
      </c>
      <c r="C11896" t="s">
        <v>9</v>
      </c>
      <c r="D11896">
        <v>0</v>
      </c>
      <c r="E11896" s="2">
        <v>0</v>
      </c>
      <c r="F11896">
        <v>0</v>
      </c>
    </row>
    <row r="11897" spans="1:6" x14ac:dyDescent="0.25">
      <c r="A11897" s="1">
        <v>42644</v>
      </c>
      <c r="B11897" t="s">
        <v>19</v>
      </c>
      <c r="C11897" t="s">
        <v>10</v>
      </c>
      <c r="D11897">
        <v>2</v>
      </c>
      <c r="E11897" s="2">
        <v>7.291666666666667E-4</v>
      </c>
      <c r="F11897">
        <v>1.05</v>
      </c>
    </row>
    <row r="11898" spans="1:6" x14ac:dyDescent="0.25">
      <c r="A11898" s="1">
        <v>42644</v>
      </c>
      <c r="B11898" t="s">
        <v>19</v>
      </c>
      <c r="C11898" t="s">
        <v>11</v>
      </c>
      <c r="D11898">
        <v>12</v>
      </c>
      <c r="E11898" s="2">
        <v>1.0138888888888888E-2</v>
      </c>
      <c r="F11898">
        <v>14.6</v>
      </c>
    </row>
    <row r="11899" spans="1:6" x14ac:dyDescent="0.25">
      <c r="A11899" s="1">
        <v>42644</v>
      </c>
      <c r="B11899" t="s">
        <v>20</v>
      </c>
      <c r="C11899" t="s">
        <v>6</v>
      </c>
      <c r="D11899">
        <v>92</v>
      </c>
      <c r="E11899" s="2">
        <v>0.12482638888888889</v>
      </c>
      <c r="F11899">
        <v>179.75</v>
      </c>
    </row>
    <row r="11900" spans="1:6" x14ac:dyDescent="0.25">
      <c r="A11900" s="1">
        <v>42644</v>
      </c>
      <c r="B11900" t="s">
        <v>20</v>
      </c>
      <c r="C11900" t="s">
        <v>7</v>
      </c>
      <c r="D11900">
        <v>92</v>
      </c>
      <c r="E11900" s="2">
        <v>0.11833333333333333</v>
      </c>
      <c r="F11900">
        <v>170.4</v>
      </c>
    </row>
    <row r="11901" spans="1:6" x14ac:dyDescent="0.25">
      <c r="A11901" s="1">
        <v>42644</v>
      </c>
      <c r="B11901" t="s">
        <v>20</v>
      </c>
      <c r="C11901" t="s">
        <v>8</v>
      </c>
      <c r="D11901">
        <v>85</v>
      </c>
      <c r="E11901" s="2">
        <v>8.6724537037037031E-2</v>
      </c>
      <c r="F11901">
        <v>124.88333333333334</v>
      </c>
    </row>
    <row r="11902" spans="1:6" x14ac:dyDescent="0.25">
      <c r="A11902" s="1">
        <v>42644</v>
      </c>
      <c r="B11902" t="s">
        <v>20</v>
      </c>
      <c r="C11902" t="s">
        <v>9</v>
      </c>
      <c r="D11902">
        <v>0</v>
      </c>
      <c r="E11902" s="2">
        <v>0</v>
      </c>
      <c r="F11902">
        <v>0</v>
      </c>
    </row>
    <row r="11903" spans="1:6" x14ac:dyDescent="0.25">
      <c r="A11903" s="1">
        <v>42644</v>
      </c>
      <c r="B11903" t="s">
        <v>20</v>
      </c>
      <c r="C11903" t="s">
        <v>10</v>
      </c>
      <c r="D11903">
        <v>26</v>
      </c>
      <c r="E11903" s="2">
        <v>3.7835648148148146E-2</v>
      </c>
      <c r="F11903">
        <v>54.483333333333334</v>
      </c>
    </row>
    <row r="11904" spans="1:6" x14ac:dyDescent="0.25">
      <c r="A11904" s="1">
        <v>42644</v>
      </c>
      <c r="B11904" t="s">
        <v>20</v>
      </c>
      <c r="C11904" t="s">
        <v>11</v>
      </c>
      <c r="D11904">
        <v>62</v>
      </c>
      <c r="E11904" s="2">
        <v>6.3761574074074068E-2</v>
      </c>
      <c r="F11904">
        <v>91.816666666666663</v>
      </c>
    </row>
    <row r="11905" spans="1:6" x14ac:dyDescent="0.25">
      <c r="A11905" s="1">
        <v>42644</v>
      </c>
      <c r="B11905" t="s">
        <v>21</v>
      </c>
      <c r="C11905" t="s">
        <v>6</v>
      </c>
      <c r="D11905">
        <v>13</v>
      </c>
      <c r="E11905" s="2">
        <v>1.7754629629629631E-2</v>
      </c>
      <c r="F11905">
        <v>25.566666666666666</v>
      </c>
    </row>
    <row r="11906" spans="1:6" x14ac:dyDescent="0.25">
      <c r="A11906" s="1">
        <v>42644</v>
      </c>
      <c r="B11906" t="s">
        <v>21</v>
      </c>
      <c r="C11906" t="s">
        <v>7</v>
      </c>
      <c r="D11906">
        <v>7</v>
      </c>
      <c r="E11906" s="2">
        <v>1.1631944444444445E-2</v>
      </c>
      <c r="F11906">
        <v>16.75</v>
      </c>
    </row>
    <row r="11907" spans="1:6" x14ac:dyDescent="0.25">
      <c r="A11907" s="1">
        <v>42644</v>
      </c>
      <c r="B11907" t="s">
        <v>21</v>
      </c>
      <c r="C11907" t="s">
        <v>8</v>
      </c>
      <c r="D11907">
        <v>11</v>
      </c>
      <c r="E11907" s="2">
        <v>1.6932870370370369E-2</v>
      </c>
      <c r="F11907">
        <v>24.383333333333333</v>
      </c>
    </row>
    <row r="11908" spans="1:6" x14ac:dyDescent="0.25">
      <c r="A11908" s="1">
        <v>42644</v>
      </c>
      <c r="B11908" t="s">
        <v>21</v>
      </c>
      <c r="C11908" t="s">
        <v>9</v>
      </c>
      <c r="D11908">
        <v>0</v>
      </c>
      <c r="E11908" s="2">
        <v>0</v>
      </c>
      <c r="F11908">
        <v>0</v>
      </c>
    </row>
    <row r="11909" spans="1:6" x14ac:dyDescent="0.25">
      <c r="A11909" s="1">
        <v>42644</v>
      </c>
      <c r="B11909" t="s">
        <v>21</v>
      </c>
      <c r="C11909" t="s">
        <v>10</v>
      </c>
      <c r="D11909">
        <v>2</v>
      </c>
      <c r="E11909" s="2">
        <v>4.5370370370370373E-3</v>
      </c>
      <c r="F11909">
        <v>6.5333333333333332</v>
      </c>
    </row>
    <row r="11910" spans="1:6" x14ac:dyDescent="0.25">
      <c r="A11910" s="1">
        <v>42644</v>
      </c>
      <c r="B11910" t="s">
        <v>21</v>
      </c>
      <c r="C11910" t="s">
        <v>11</v>
      </c>
      <c r="D11910">
        <v>15</v>
      </c>
      <c r="E11910" s="2">
        <v>2.045138888888889E-2</v>
      </c>
      <c r="F11910">
        <v>29.45</v>
      </c>
    </row>
    <row r="11911" spans="1:6" x14ac:dyDescent="0.25">
      <c r="A11911" s="1">
        <v>42644</v>
      </c>
      <c r="B11911" t="s">
        <v>22</v>
      </c>
      <c r="C11911" t="s">
        <v>6</v>
      </c>
      <c r="D11911">
        <v>16</v>
      </c>
      <c r="E11911" s="2">
        <v>2.1712962962962962E-2</v>
      </c>
      <c r="F11911">
        <v>31.266666666666666</v>
      </c>
    </row>
    <row r="11912" spans="1:6" x14ac:dyDescent="0.25">
      <c r="A11912" s="1">
        <v>42644</v>
      </c>
      <c r="B11912" t="s">
        <v>22</v>
      </c>
      <c r="C11912" t="s">
        <v>7</v>
      </c>
      <c r="D11912">
        <v>8</v>
      </c>
      <c r="E11912" s="2">
        <v>8.472222222222223E-3</v>
      </c>
      <c r="F11912">
        <v>12.2</v>
      </c>
    </row>
    <row r="11913" spans="1:6" x14ac:dyDescent="0.25">
      <c r="A11913" s="1">
        <v>42644</v>
      </c>
      <c r="B11913" t="s">
        <v>22</v>
      </c>
      <c r="C11913" t="s">
        <v>8</v>
      </c>
      <c r="D11913">
        <v>5</v>
      </c>
      <c r="E11913" s="2">
        <v>3.9467592592592592E-3</v>
      </c>
      <c r="F11913">
        <v>5.6833333333333336</v>
      </c>
    </row>
    <row r="11914" spans="1:6" x14ac:dyDescent="0.25">
      <c r="A11914" s="1">
        <v>42644</v>
      </c>
      <c r="B11914" t="s">
        <v>22</v>
      </c>
      <c r="C11914" t="s">
        <v>9</v>
      </c>
      <c r="D11914">
        <v>0</v>
      </c>
      <c r="E11914" s="2">
        <v>0</v>
      </c>
      <c r="F11914">
        <v>0</v>
      </c>
    </row>
    <row r="11915" spans="1:6" x14ac:dyDescent="0.25">
      <c r="A11915" s="1">
        <v>42644</v>
      </c>
      <c r="B11915" t="s">
        <v>22</v>
      </c>
      <c r="C11915" t="s">
        <v>10</v>
      </c>
      <c r="D11915">
        <v>8</v>
      </c>
      <c r="E11915" s="2">
        <v>7.5578703703703702E-3</v>
      </c>
      <c r="F11915">
        <v>10.883333333333333</v>
      </c>
    </row>
    <row r="11916" spans="1:6" x14ac:dyDescent="0.25">
      <c r="A11916" s="1">
        <v>42644</v>
      </c>
      <c r="B11916" t="s">
        <v>22</v>
      </c>
      <c r="C11916" t="s">
        <v>11</v>
      </c>
      <c r="D11916">
        <v>9</v>
      </c>
      <c r="E11916" s="2">
        <v>8.6226851851851846E-3</v>
      </c>
      <c r="F11916">
        <v>12.416666666666666</v>
      </c>
    </row>
    <row r="11917" spans="1:6" x14ac:dyDescent="0.25">
      <c r="A11917" s="1">
        <v>42644</v>
      </c>
      <c r="B11917" t="s">
        <v>23</v>
      </c>
      <c r="C11917" t="s">
        <v>6</v>
      </c>
      <c r="D11917">
        <v>58</v>
      </c>
      <c r="E11917" s="2">
        <v>8.7523148148148142E-2</v>
      </c>
      <c r="F11917">
        <v>126.03333333333333</v>
      </c>
    </row>
    <row r="11918" spans="1:6" x14ac:dyDescent="0.25">
      <c r="A11918" s="1">
        <v>42644</v>
      </c>
      <c r="B11918" t="s">
        <v>23</v>
      </c>
      <c r="C11918" t="s">
        <v>7</v>
      </c>
      <c r="D11918">
        <v>63</v>
      </c>
      <c r="E11918" s="2">
        <v>0.11377314814814815</v>
      </c>
      <c r="F11918">
        <v>163.83333333333334</v>
      </c>
    </row>
    <row r="11919" spans="1:6" x14ac:dyDescent="0.25">
      <c r="A11919" s="1">
        <v>42644</v>
      </c>
      <c r="B11919" t="s">
        <v>23</v>
      </c>
      <c r="C11919" t="s">
        <v>8</v>
      </c>
      <c r="D11919">
        <v>46</v>
      </c>
      <c r="E11919" s="2">
        <v>6.3981481481481486E-2</v>
      </c>
      <c r="F11919">
        <v>92.13333333333334</v>
      </c>
    </row>
    <row r="11920" spans="1:6" x14ac:dyDescent="0.25">
      <c r="A11920" s="1">
        <v>42644</v>
      </c>
      <c r="B11920" t="s">
        <v>23</v>
      </c>
      <c r="C11920" t="s">
        <v>9</v>
      </c>
      <c r="D11920">
        <v>0</v>
      </c>
      <c r="E11920" s="2">
        <v>0</v>
      </c>
      <c r="F11920">
        <v>0</v>
      </c>
    </row>
    <row r="11921" spans="1:6" x14ac:dyDescent="0.25">
      <c r="A11921" s="1">
        <v>42644</v>
      </c>
      <c r="B11921" t="s">
        <v>23</v>
      </c>
      <c r="C11921" t="s">
        <v>10</v>
      </c>
      <c r="D11921">
        <v>27</v>
      </c>
      <c r="E11921" s="2">
        <v>3.9363425925925927E-2</v>
      </c>
      <c r="F11921">
        <v>56.68333333333333</v>
      </c>
    </row>
    <row r="11922" spans="1:6" x14ac:dyDescent="0.25">
      <c r="A11922" s="1">
        <v>42644</v>
      </c>
      <c r="B11922" t="s">
        <v>23</v>
      </c>
      <c r="C11922" t="s">
        <v>11</v>
      </c>
      <c r="D11922">
        <v>65</v>
      </c>
      <c r="E11922" s="2">
        <v>7.6678240740740741E-2</v>
      </c>
      <c r="F11922">
        <v>110.41666666666667</v>
      </c>
    </row>
    <row r="11923" spans="1:6" x14ac:dyDescent="0.25">
      <c r="A11923" s="1">
        <v>42644</v>
      </c>
      <c r="B11923" t="s">
        <v>24</v>
      </c>
      <c r="C11923" t="s">
        <v>6</v>
      </c>
      <c r="D11923">
        <v>21</v>
      </c>
      <c r="E11923" s="2">
        <v>2.6643518518518518E-2</v>
      </c>
      <c r="F11923">
        <v>38.366666666666667</v>
      </c>
    </row>
    <row r="11924" spans="1:6" x14ac:dyDescent="0.25">
      <c r="A11924" s="1">
        <v>42644</v>
      </c>
      <c r="B11924" t="s">
        <v>24</v>
      </c>
      <c r="C11924" t="s">
        <v>7</v>
      </c>
      <c r="D11924">
        <v>11</v>
      </c>
      <c r="E11924" s="2">
        <v>1.0787037037037038E-2</v>
      </c>
      <c r="F11924">
        <v>15.533333333333333</v>
      </c>
    </row>
    <row r="11925" spans="1:6" x14ac:dyDescent="0.25">
      <c r="A11925" s="1">
        <v>42644</v>
      </c>
      <c r="B11925" t="s">
        <v>24</v>
      </c>
      <c r="C11925" t="s">
        <v>8</v>
      </c>
      <c r="D11925">
        <v>12</v>
      </c>
      <c r="E11925" s="2">
        <v>6.2384259259259259E-3</v>
      </c>
      <c r="F11925">
        <v>8.9833333333333325</v>
      </c>
    </row>
    <row r="11926" spans="1:6" x14ac:dyDescent="0.25">
      <c r="A11926" s="1">
        <v>42644</v>
      </c>
      <c r="B11926" t="s">
        <v>24</v>
      </c>
      <c r="C11926" t="s">
        <v>9</v>
      </c>
      <c r="D11926">
        <v>0</v>
      </c>
      <c r="E11926" s="2">
        <v>0</v>
      </c>
      <c r="F11926">
        <v>0</v>
      </c>
    </row>
    <row r="11927" spans="1:6" x14ac:dyDescent="0.25">
      <c r="A11927" s="1">
        <v>42644</v>
      </c>
      <c r="B11927" t="s">
        <v>24</v>
      </c>
      <c r="C11927" t="s">
        <v>10</v>
      </c>
      <c r="D11927">
        <v>0</v>
      </c>
      <c r="E11927" s="2">
        <v>0</v>
      </c>
      <c r="F11927">
        <v>0</v>
      </c>
    </row>
    <row r="11928" spans="1:6" x14ac:dyDescent="0.25">
      <c r="A11928" s="1">
        <v>42644</v>
      </c>
      <c r="B11928" t="s">
        <v>24</v>
      </c>
      <c r="C11928" t="s">
        <v>11</v>
      </c>
      <c r="D11928">
        <v>15</v>
      </c>
      <c r="E11928" s="2">
        <v>1.2094907407407407E-2</v>
      </c>
      <c r="F11928">
        <v>17.416666666666668</v>
      </c>
    </row>
    <row r="11929" spans="1:6" x14ac:dyDescent="0.25">
      <c r="A11929" s="1">
        <v>42675</v>
      </c>
      <c r="B11929" t="s">
        <v>5</v>
      </c>
      <c r="C11929" t="s">
        <v>6</v>
      </c>
      <c r="D11929">
        <v>24</v>
      </c>
      <c r="E11929" s="2">
        <v>2.2511574074074073E-2</v>
      </c>
      <c r="F11929">
        <v>32.416666666666664</v>
      </c>
    </row>
    <row r="11930" spans="1:6" x14ac:dyDescent="0.25">
      <c r="A11930" s="1">
        <v>42675</v>
      </c>
      <c r="B11930" t="s">
        <v>5</v>
      </c>
      <c r="C11930" t="s">
        <v>7</v>
      </c>
      <c r="D11930">
        <v>28</v>
      </c>
      <c r="E11930" s="2">
        <v>2.5717592592592594E-2</v>
      </c>
      <c r="F11930">
        <v>37.033333333333331</v>
      </c>
    </row>
    <row r="11931" spans="1:6" x14ac:dyDescent="0.25">
      <c r="A11931" s="1">
        <v>42675</v>
      </c>
      <c r="B11931" t="s">
        <v>5</v>
      </c>
      <c r="C11931" t="s">
        <v>8</v>
      </c>
      <c r="D11931">
        <v>26</v>
      </c>
      <c r="E11931" s="2">
        <v>2.3321759259259261E-2</v>
      </c>
      <c r="F11931">
        <v>33.583333333333336</v>
      </c>
    </row>
    <row r="11932" spans="1:6" x14ac:dyDescent="0.25">
      <c r="A11932" s="1">
        <v>42675</v>
      </c>
      <c r="B11932" t="s">
        <v>5</v>
      </c>
      <c r="C11932" t="s">
        <v>9</v>
      </c>
      <c r="D11932">
        <v>0</v>
      </c>
      <c r="E11932" s="2">
        <v>0</v>
      </c>
      <c r="F11932">
        <v>0</v>
      </c>
    </row>
    <row r="11933" spans="1:6" x14ac:dyDescent="0.25">
      <c r="A11933" s="1">
        <v>42675</v>
      </c>
      <c r="B11933" t="s">
        <v>5</v>
      </c>
      <c r="C11933" t="s">
        <v>10</v>
      </c>
      <c r="D11933">
        <v>7</v>
      </c>
      <c r="E11933" s="2">
        <v>8.2175925925925923E-3</v>
      </c>
      <c r="F11933">
        <v>11.833333333333334</v>
      </c>
    </row>
    <row r="11934" spans="1:6" x14ac:dyDescent="0.25">
      <c r="A11934" s="1">
        <v>42675</v>
      </c>
      <c r="B11934" t="s">
        <v>5</v>
      </c>
      <c r="C11934" t="s">
        <v>11</v>
      </c>
      <c r="D11934">
        <v>33</v>
      </c>
      <c r="E11934" s="2">
        <v>2.7847222222222221E-2</v>
      </c>
      <c r="F11934">
        <v>40.1</v>
      </c>
    </row>
    <row r="11935" spans="1:6" x14ac:dyDescent="0.25">
      <c r="A11935" s="1">
        <v>42675</v>
      </c>
      <c r="B11935" t="s">
        <v>12</v>
      </c>
      <c r="C11935" t="s">
        <v>6</v>
      </c>
      <c r="D11935">
        <v>40</v>
      </c>
      <c r="E11935" s="2">
        <v>6.0092592592592593E-2</v>
      </c>
      <c r="F11935">
        <v>86.533333333333331</v>
      </c>
    </row>
    <row r="11936" spans="1:6" x14ac:dyDescent="0.25">
      <c r="A11936" s="1">
        <v>42675</v>
      </c>
      <c r="B11936" t="s">
        <v>12</v>
      </c>
      <c r="C11936" t="s">
        <v>7</v>
      </c>
      <c r="D11936">
        <v>17</v>
      </c>
      <c r="E11936" s="2">
        <v>5.3287037037037036E-2</v>
      </c>
      <c r="F11936">
        <v>76.733333333333334</v>
      </c>
    </row>
    <row r="11937" spans="1:6" x14ac:dyDescent="0.25">
      <c r="A11937" s="1">
        <v>42675</v>
      </c>
      <c r="B11937" t="s">
        <v>12</v>
      </c>
      <c r="C11937" t="s">
        <v>8</v>
      </c>
      <c r="D11937">
        <v>14</v>
      </c>
      <c r="E11937" s="2">
        <v>2.3310185185185184E-2</v>
      </c>
      <c r="F11937">
        <v>33.56666666666667</v>
      </c>
    </row>
    <row r="11938" spans="1:6" x14ac:dyDescent="0.25">
      <c r="A11938" s="1">
        <v>42675</v>
      </c>
      <c r="B11938" t="s">
        <v>12</v>
      </c>
      <c r="C11938" t="s">
        <v>9</v>
      </c>
      <c r="D11938">
        <v>0</v>
      </c>
      <c r="E11938" s="2">
        <v>0</v>
      </c>
      <c r="F11938">
        <v>0</v>
      </c>
    </row>
    <row r="11939" spans="1:6" x14ac:dyDescent="0.25">
      <c r="A11939" s="1">
        <v>42675</v>
      </c>
      <c r="B11939" t="s">
        <v>12</v>
      </c>
      <c r="C11939" t="s">
        <v>10</v>
      </c>
      <c r="D11939">
        <v>21</v>
      </c>
      <c r="E11939" s="2">
        <v>3.9421296296296295E-2</v>
      </c>
      <c r="F11939">
        <v>56.766666666666666</v>
      </c>
    </row>
    <row r="11940" spans="1:6" x14ac:dyDescent="0.25">
      <c r="A11940" s="1">
        <v>42675</v>
      </c>
      <c r="B11940" t="s">
        <v>12</v>
      </c>
      <c r="C11940" t="s">
        <v>11</v>
      </c>
      <c r="D11940">
        <v>54</v>
      </c>
      <c r="E11940" s="2">
        <v>6.7511574074074071E-2</v>
      </c>
      <c r="F11940">
        <v>97.216666666666669</v>
      </c>
    </row>
    <row r="11941" spans="1:6" x14ac:dyDescent="0.25">
      <c r="A11941" s="1">
        <v>42675</v>
      </c>
      <c r="B11941" t="s">
        <v>13</v>
      </c>
      <c r="C11941" t="s">
        <v>6</v>
      </c>
      <c r="D11941">
        <v>34</v>
      </c>
      <c r="E11941" s="2">
        <v>4.9166666666666664E-2</v>
      </c>
      <c r="F11941">
        <v>70.8</v>
      </c>
    </row>
    <row r="11942" spans="1:6" x14ac:dyDescent="0.25">
      <c r="A11942" s="1">
        <v>42675</v>
      </c>
      <c r="B11942" t="s">
        <v>13</v>
      </c>
      <c r="C11942" t="s">
        <v>7</v>
      </c>
      <c r="D11942">
        <v>53</v>
      </c>
      <c r="E11942" s="2">
        <v>8.6712962962962964E-2</v>
      </c>
      <c r="F11942">
        <v>124.86666666666666</v>
      </c>
    </row>
    <row r="11943" spans="1:6" x14ac:dyDescent="0.25">
      <c r="A11943" s="1">
        <v>42675</v>
      </c>
      <c r="B11943" t="s">
        <v>13</v>
      </c>
      <c r="C11943" t="s">
        <v>8</v>
      </c>
      <c r="D11943">
        <v>43</v>
      </c>
      <c r="E11943" s="2">
        <v>5.8993055555555556E-2</v>
      </c>
      <c r="F11943">
        <v>84.95</v>
      </c>
    </row>
    <row r="11944" spans="1:6" x14ac:dyDescent="0.25">
      <c r="A11944" s="1">
        <v>42675</v>
      </c>
      <c r="B11944" t="s">
        <v>13</v>
      </c>
      <c r="C11944" t="s">
        <v>9</v>
      </c>
      <c r="D11944">
        <v>0</v>
      </c>
      <c r="E11944" s="2">
        <v>0</v>
      </c>
      <c r="F11944">
        <v>0</v>
      </c>
    </row>
    <row r="11945" spans="1:6" x14ac:dyDescent="0.25">
      <c r="A11945" s="1">
        <v>42675</v>
      </c>
      <c r="B11945" t="s">
        <v>13</v>
      </c>
      <c r="C11945" t="s">
        <v>10</v>
      </c>
      <c r="D11945">
        <v>9</v>
      </c>
      <c r="E11945" s="2">
        <v>1.0358796296296297E-2</v>
      </c>
      <c r="F11945">
        <v>14.916666666666666</v>
      </c>
    </row>
    <row r="11946" spans="1:6" x14ac:dyDescent="0.25">
      <c r="A11946" s="1">
        <v>42675</v>
      </c>
      <c r="B11946" t="s">
        <v>13</v>
      </c>
      <c r="C11946" t="s">
        <v>11</v>
      </c>
      <c r="D11946">
        <v>32</v>
      </c>
      <c r="E11946" s="2">
        <v>3.8645833333333331E-2</v>
      </c>
      <c r="F11946">
        <v>55.65</v>
      </c>
    </row>
    <row r="11947" spans="1:6" x14ac:dyDescent="0.25">
      <c r="A11947" s="1">
        <v>42675</v>
      </c>
      <c r="B11947" t="s">
        <v>14</v>
      </c>
      <c r="C11947" t="s">
        <v>6</v>
      </c>
      <c r="D11947">
        <v>9</v>
      </c>
      <c r="E11947" s="2">
        <v>1.59375E-2</v>
      </c>
      <c r="F11947">
        <v>22.95</v>
      </c>
    </row>
    <row r="11948" spans="1:6" x14ac:dyDescent="0.25">
      <c r="A11948" s="1">
        <v>42675</v>
      </c>
      <c r="B11948" t="s">
        <v>14</v>
      </c>
      <c r="C11948" t="s">
        <v>7</v>
      </c>
      <c r="D11948">
        <v>12</v>
      </c>
      <c r="E11948" s="2">
        <v>2.6793981481481481E-2</v>
      </c>
      <c r="F11948">
        <v>38.583333333333336</v>
      </c>
    </row>
    <row r="11949" spans="1:6" x14ac:dyDescent="0.25">
      <c r="A11949" s="1">
        <v>42675</v>
      </c>
      <c r="B11949" t="s">
        <v>14</v>
      </c>
      <c r="C11949" t="s">
        <v>8</v>
      </c>
      <c r="D11949">
        <v>3</v>
      </c>
      <c r="E11949" s="2">
        <v>3.7499999999999999E-3</v>
      </c>
      <c r="F11949">
        <v>5.4</v>
      </c>
    </row>
    <row r="11950" spans="1:6" x14ac:dyDescent="0.25">
      <c r="A11950" s="1">
        <v>42675</v>
      </c>
      <c r="B11950" t="s">
        <v>14</v>
      </c>
      <c r="C11950" t="s">
        <v>9</v>
      </c>
      <c r="D11950">
        <v>0</v>
      </c>
      <c r="E11950" s="2">
        <v>0</v>
      </c>
      <c r="F11950">
        <v>0</v>
      </c>
    </row>
    <row r="11951" spans="1:6" x14ac:dyDescent="0.25">
      <c r="A11951" s="1">
        <v>42675</v>
      </c>
      <c r="B11951" t="s">
        <v>14</v>
      </c>
      <c r="C11951" t="s">
        <v>10</v>
      </c>
      <c r="D11951">
        <v>1</v>
      </c>
      <c r="E11951" s="2">
        <v>1.8055555555555555E-3</v>
      </c>
      <c r="F11951">
        <v>2.6</v>
      </c>
    </row>
    <row r="11952" spans="1:6" x14ac:dyDescent="0.25">
      <c r="A11952" s="1">
        <v>42675</v>
      </c>
      <c r="B11952" t="s">
        <v>14</v>
      </c>
      <c r="C11952" t="s">
        <v>11</v>
      </c>
      <c r="D11952">
        <v>10</v>
      </c>
      <c r="E11952" s="2">
        <v>1.3136574074074075E-2</v>
      </c>
      <c r="F11952">
        <v>18.916666666666668</v>
      </c>
    </row>
    <row r="11953" spans="1:6" x14ac:dyDescent="0.25">
      <c r="A11953" s="1">
        <v>42675</v>
      </c>
      <c r="B11953" t="s">
        <v>15</v>
      </c>
      <c r="C11953" t="s">
        <v>6</v>
      </c>
      <c r="D11953">
        <v>17</v>
      </c>
      <c r="E11953" s="2">
        <v>2.4826388888888887E-2</v>
      </c>
      <c r="F11953">
        <v>35.75</v>
      </c>
    </row>
    <row r="11954" spans="1:6" x14ac:dyDescent="0.25">
      <c r="A11954" s="1">
        <v>42675</v>
      </c>
      <c r="B11954" t="s">
        <v>15</v>
      </c>
      <c r="C11954" t="s">
        <v>7</v>
      </c>
      <c r="D11954">
        <v>12</v>
      </c>
      <c r="E11954" s="2">
        <v>1.2175925925925925E-2</v>
      </c>
      <c r="F11954">
        <v>17.533333333333335</v>
      </c>
    </row>
    <row r="11955" spans="1:6" x14ac:dyDescent="0.25">
      <c r="A11955" s="1">
        <v>42675</v>
      </c>
      <c r="B11955" t="s">
        <v>15</v>
      </c>
      <c r="C11955" t="s">
        <v>8</v>
      </c>
      <c r="D11955">
        <v>22</v>
      </c>
      <c r="E11955" s="2">
        <v>2.326388888888889E-2</v>
      </c>
      <c r="F11955">
        <v>33.5</v>
      </c>
    </row>
    <row r="11956" spans="1:6" x14ac:dyDescent="0.25">
      <c r="A11956" s="1">
        <v>42675</v>
      </c>
      <c r="B11956" t="s">
        <v>15</v>
      </c>
      <c r="C11956" t="s">
        <v>9</v>
      </c>
      <c r="D11956">
        <v>0</v>
      </c>
      <c r="E11956" s="2">
        <v>0</v>
      </c>
      <c r="F11956">
        <v>0</v>
      </c>
    </row>
    <row r="11957" spans="1:6" x14ac:dyDescent="0.25">
      <c r="A11957" s="1">
        <v>42675</v>
      </c>
      <c r="B11957" t="s">
        <v>15</v>
      </c>
      <c r="C11957" t="s">
        <v>10</v>
      </c>
      <c r="D11957">
        <v>12</v>
      </c>
      <c r="E11957" s="2">
        <v>1.545138888888889E-2</v>
      </c>
      <c r="F11957">
        <v>22.25</v>
      </c>
    </row>
    <row r="11958" spans="1:6" x14ac:dyDescent="0.25">
      <c r="A11958" s="1">
        <v>42675</v>
      </c>
      <c r="B11958" t="s">
        <v>15</v>
      </c>
      <c r="C11958" t="s">
        <v>11</v>
      </c>
      <c r="D11958">
        <v>10</v>
      </c>
      <c r="E11958" s="2">
        <v>1.0833333333333334E-2</v>
      </c>
      <c r="F11958">
        <v>15.6</v>
      </c>
    </row>
    <row r="11959" spans="1:6" x14ac:dyDescent="0.25">
      <c r="A11959" s="1">
        <v>42675</v>
      </c>
      <c r="B11959" t="s">
        <v>16</v>
      </c>
      <c r="C11959" t="s">
        <v>6</v>
      </c>
      <c r="D11959">
        <v>12</v>
      </c>
      <c r="E11959" s="2">
        <v>9.5370370370370366E-3</v>
      </c>
      <c r="F11959">
        <v>13.733333333333333</v>
      </c>
    </row>
    <row r="11960" spans="1:6" x14ac:dyDescent="0.25">
      <c r="A11960" s="1">
        <v>42675</v>
      </c>
      <c r="B11960" t="s">
        <v>16</v>
      </c>
      <c r="C11960" t="s">
        <v>7</v>
      </c>
      <c r="D11960">
        <v>12</v>
      </c>
      <c r="E11960" s="2">
        <v>7.6504629629629631E-3</v>
      </c>
      <c r="F11960">
        <v>11.016666666666667</v>
      </c>
    </row>
    <row r="11961" spans="1:6" x14ac:dyDescent="0.25">
      <c r="A11961" s="1">
        <v>42675</v>
      </c>
      <c r="B11961" t="s">
        <v>16</v>
      </c>
      <c r="C11961" t="s">
        <v>8</v>
      </c>
      <c r="D11961">
        <v>21</v>
      </c>
      <c r="E11961" s="2">
        <v>2.0011574074074074E-2</v>
      </c>
      <c r="F11961">
        <v>28.816666666666666</v>
      </c>
    </row>
    <row r="11962" spans="1:6" x14ac:dyDescent="0.25">
      <c r="A11962" s="1">
        <v>42675</v>
      </c>
      <c r="B11962" t="s">
        <v>16</v>
      </c>
      <c r="C11962" t="s">
        <v>9</v>
      </c>
      <c r="D11962">
        <v>0</v>
      </c>
      <c r="E11962" s="2">
        <v>0</v>
      </c>
      <c r="F11962">
        <v>0</v>
      </c>
    </row>
    <row r="11963" spans="1:6" x14ac:dyDescent="0.25">
      <c r="A11963" s="1">
        <v>42675</v>
      </c>
      <c r="B11963" t="s">
        <v>16</v>
      </c>
      <c r="C11963" t="s">
        <v>10</v>
      </c>
      <c r="D11963">
        <v>1</v>
      </c>
      <c r="E11963" s="2">
        <v>1.4467592592592592E-3</v>
      </c>
      <c r="F11963">
        <v>2.0833333333333335</v>
      </c>
    </row>
    <row r="11964" spans="1:6" x14ac:dyDescent="0.25">
      <c r="A11964" s="1">
        <v>42675</v>
      </c>
      <c r="B11964" t="s">
        <v>16</v>
      </c>
      <c r="C11964" t="s">
        <v>11</v>
      </c>
      <c r="D11964">
        <v>29</v>
      </c>
      <c r="E11964" s="2">
        <v>2.7175925925925926E-2</v>
      </c>
      <c r="F11964">
        <v>39.133333333333333</v>
      </c>
    </row>
    <row r="11965" spans="1:6" x14ac:dyDescent="0.25">
      <c r="A11965" s="1">
        <v>42675</v>
      </c>
      <c r="B11965" t="s">
        <v>17</v>
      </c>
      <c r="C11965" t="s">
        <v>6</v>
      </c>
      <c r="D11965">
        <v>19</v>
      </c>
      <c r="E11965" s="2">
        <v>2.207175925925926E-2</v>
      </c>
      <c r="F11965">
        <v>31.783333333333335</v>
      </c>
    </row>
    <row r="11966" spans="1:6" x14ac:dyDescent="0.25">
      <c r="A11966" s="1">
        <v>42675</v>
      </c>
      <c r="B11966" t="s">
        <v>17</v>
      </c>
      <c r="C11966" t="s">
        <v>7</v>
      </c>
      <c r="D11966">
        <v>18</v>
      </c>
      <c r="E11966" s="2">
        <v>2.0868055555555556E-2</v>
      </c>
      <c r="F11966">
        <v>30.05</v>
      </c>
    </row>
    <row r="11967" spans="1:6" x14ac:dyDescent="0.25">
      <c r="A11967" s="1">
        <v>42675</v>
      </c>
      <c r="B11967" t="s">
        <v>17</v>
      </c>
      <c r="C11967" t="s">
        <v>8</v>
      </c>
      <c r="D11967">
        <v>17</v>
      </c>
      <c r="E11967" s="2">
        <v>1.9409722222222221E-2</v>
      </c>
      <c r="F11967">
        <v>27.95</v>
      </c>
    </row>
    <row r="11968" spans="1:6" x14ac:dyDescent="0.25">
      <c r="A11968" s="1">
        <v>42675</v>
      </c>
      <c r="B11968" t="s">
        <v>17</v>
      </c>
      <c r="C11968" t="s">
        <v>9</v>
      </c>
      <c r="D11968">
        <v>0</v>
      </c>
      <c r="E11968" s="2">
        <v>0</v>
      </c>
      <c r="F11968">
        <v>0</v>
      </c>
    </row>
    <row r="11969" spans="1:6" x14ac:dyDescent="0.25">
      <c r="A11969" s="1">
        <v>42675</v>
      </c>
      <c r="B11969" t="s">
        <v>17</v>
      </c>
      <c r="C11969" t="s">
        <v>10</v>
      </c>
      <c r="D11969">
        <v>11</v>
      </c>
      <c r="E11969" s="2">
        <v>1.6377314814814813E-2</v>
      </c>
      <c r="F11969">
        <v>23.583333333333332</v>
      </c>
    </row>
    <row r="11970" spans="1:6" x14ac:dyDescent="0.25">
      <c r="A11970" s="1">
        <v>42675</v>
      </c>
      <c r="B11970" t="s">
        <v>17</v>
      </c>
      <c r="C11970" t="s">
        <v>11</v>
      </c>
      <c r="D11970">
        <v>18</v>
      </c>
      <c r="E11970" s="2">
        <v>1.9814814814814816E-2</v>
      </c>
      <c r="F11970">
        <v>28.533333333333335</v>
      </c>
    </row>
    <row r="11971" spans="1:6" x14ac:dyDescent="0.25">
      <c r="A11971" s="1">
        <v>42675</v>
      </c>
      <c r="B11971" t="s">
        <v>18</v>
      </c>
      <c r="C11971" t="s">
        <v>6</v>
      </c>
      <c r="D11971">
        <v>110</v>
      </c>
      <c r="E11971" s="2">
        <v>0.13078703703703703</v>
      </c>
      <c r="F11971">
        <v>188.33333333333334</v>
      </c>
    </row>
    <row r="11972" spans="1:6" x14ac:dyDescent="0.25">
      <c r="A11972" s="1">
        <v>42675</v>
      </c>
      <c r="B11972" t="s">
        <v>18</v>
      </c>
      <c r="C11972" t="s">
        <v>7</v>
      </c>
      <c r="D11972">
        <v>150</v>
      </c>
      <c r="E11972" s="2">
        <v>0.15462962962962962</v>
      </c>
      <c r="F11972">
        <v>222.66666666666666</v>
      </c>
    </row>
    <row r="11973" spans="1:6" x14ac:dyDescent="0.25">
      <c r="A11973" s="1">
        <v>42675</v>
      </c>
      <c r="B11973" t="s">
        <v>18</v>
      </c>
      <c r="C11973" t="s">
        <v>8</v>
      </c>
      <c r="D11973">
        <v>62</v>
      </c>
      <c r="E11973" s="2">
        <v>6.2025462962962963E-2</v>
      </c>
      <c r="F11973">
        <v>89.316666666666663</v>
      </c>
    </row>
    <row r="11974" spans="1:6" x14ac:dyDescent="0.25">
      <c r="A11974" s="1">
        <v>42675</v>
      </c>
      <c r="B11974" t="s">
        <v>18</v>
      </c>
      <c r="C11974" t="s">
        <v>9</v>
      </c>
      <c r="D11974">
        <v>0</v>
      </c>
      <c r="E11974" s="2">
        <v>0</v>
      </c>
      <c r="F11974">
        <v>0</v>
      </c>
    </row>
    <row r="11975" spans="1:6" x14ac:dyDescent="0.25">
      <c r="A11975" s="1">
        <v>42675</v>
      </c>
      <c r="B11975" t="s">
        <v>18</v>
      </c>
      <c r="C11975" t="s">
        <v>10</v>
      </c>
      <c r="D11975">
        <v>162</v>
      </c>
      <c r="E11975" s="2">
        <v>0.2142361111111111</v>
      </c>
      <c r="F11975">
        <v>308.5</v>
      </c>
    </row>
    <row r="11976" spans="1:6" x14ac:dyDescent="0.25">
      <c r="A11976" s="1">
        <v>42675</v>
      </c>
      <c r="B11976" t="s">
        <v>18</v>
      </c>
      <c r="C11976" t="s">
        <v>11</v>
      </c>
      <c r="D11976">
        <v>92</v>
      </c>
      <c r="E11976" s="2">
        <v>7.649305555555555E-2</v>
      </c>
      <c r="F11976">
        <v>110.15</v>
      </c>
    </row>
    <row r="11977" spans="1:6" x14ac:dyDescent="0.25">
      <c r="A11977" s="1">
        <v>42675</v>
      </c>
      <c r="B11977" t="s">
        <v>19</v>
      </c>
      <c r="C11977" t="s">
        <v>6</v>
      </c>
      <c r="D11977">
        <v>10</v>
      </c>
      <c r="E11977" s="2">
        <v>1.1076388888888889E-2</v>
      </c>
      <c r="F11977">
        <v>15.95</v>
      </c>
    </row>
    <row r="11978" spans="1:6" x14ac:dyDescent="0.25">
      <c r="A11978" s="1">
        <v>42675</v>
      </c>
      <c r="B11978" t="s">
        <v>19</v>
      </c>
      <c r="C11978" t="s">
        <v>7</v>
      </c>
      <c r="D11978">
        <v>11</v>
      </c>
      <c r="E11978" s="2">
        <v>9.4907407407407406E-3</v>
      </c>
      <c r="F11978">
        <v>13.666666666666666</v>
      </c>
    </row>
    <row r="11979" spans="1:6" x14ac:dyDescent="0.25">
      <c r="A11979" s="1">
        <v>42675</v>
      </c>
      <c r="B11979" t="s">
        <v>19</v>
      </c>
      <c r="C11979" t="s">
        <v>8</v>
      </c>
      <c r="D11979">
        <v>14</v>
      </c>
      <c r="E11979" s="2">
        <v>1.1064814814814816E-2</v>
      </c>
      <c r="F11979">
        <v>15.933333333333334</v>
      </c>
    </row>
    <row r="11980" spans="1:6" x14ac:dyDescent="0.25">
      <c r="A11980" s="1">
        <v>42675</v>
      </c>
      <c r="B11980" t="s">
        <v>19</v>
      </c>
      <c r="C11980" t="s">
        <v>9</v>
      </c>
      <c r="D11980">
        <v>0</v>
      </c>
      <c r="E11980" s="2">
        <v>0</v>
      </c>
      <c r="F11980">
        <v>0</v>
      </c>
    </row>
    <row r="11981" spans="1:6" x14ac:dyDescent="0.25">
      <c r="A11981" s="1">
        <v>42675</v>
      </c>
      <c r="B11981" t="s">
        <v>19</v>
      </c>
      <c r="C11981" t="s">
        <v>10</v>
      </c>
      <c r="D11981">
        <v>4</v>
      </c>
      <c r="E11981" s="2">
        <v>1.6550925925925926E-3</v>
      </c>
      <c r="F11981">
        <v>2.3833333333333333</v>
      </c>
    </row>
    <row r="11982" spans="1:6" x14ac:dyDescent="0.25">
      <c r="A11982" s="1">
        <v>42675</v>
      </c>
      <c r="B11982" t="s">
        <v>19</v>
      </c>
      <c r="C11982" t="s">
        <v>11</v>
      </c>
      <c r="D11982">
        <v>24</v>
      </c>
      <c r="E11982" s="2">
        <v>2.1238425925925924E-2</v>
      </c>
      <c r="F11982">
        <v>30.583333333333332</v>
      </c>
    </row>
    <row r="11983" spans="1:6" x14ac:dyDescent="0.25">
      <c r="A11983" s="1">
        <v>42675</v>
      </c>
      <c r="B11983" t="s">
        <v>20</v>
      </c>
      <c r="C11983" t="s">
        <v>6</v>
      </c>
      <c r="D11983">
        <v>179</v>
      </c>
      <c r="E11983" s="2">
        <v>0.26500000000000001</v>
      </c>
      <c r="F11983">
        <v>381.6</v>
      </c>
    </row>
    <row r="11984" spans="1:6" x14ac:dyDescent="0.25">
      <c r="A11984" s="1">
        <v>42675</v>
      </c>
      <c r="B11984" t="s">
        <v>20</v>
      </c>
      <c r="C11984" t="s">
        <v>7</v>
      </c>
      <c r="D11984">
        <v>207</v>
      </c>
      <c r="E11984" s="2">
        <v>0.25399305555555557</v>
      </c>
      <c r="F11984">
        <v>365.75</v>
      </c>
    </row>
    <row r="11985" spans="1:6" x14ac:dyDescent="0.25">
      <c r="A11985" s="1">
        <v>42675</v>
      </c>
      <c r="B11985" t="s">
        <v>20</v>
      </c>
      <c r="C11985" t="s">
        <v>8</v>
      </c>
      <c r="D11985">
        <v>153</v>
      </c>
      <c r="E11985" s="2">
        <v>0.15896990740740741</v>
      </c>
      <c r="F11985">
        <v>228.91666666666666</v>
      </c>
    </row>
    <row r="11986" spans="1:6" x14ac:dyDescent="0.25">
      <c r="A11986" s="1">
        <v>42675</v>
      </c>
      <c r="B11986" t="s">
        <v>20</v>
      </c>
      <c r="C11986" t="s">
        <v>9</v>
      </c>
      <c r="D11986">
        <v>0</v>
      </c>
      <c r="E11986" s="2">
        <v>0</v>
      </c>
      <c r="F11986">
        <v>0</v>
      </c>
    </row>
    <row r="11987" spans="1:6" x14ac:dyDescent="0.25">
      <c r="A11987" s="1">
        <v>42675</v>
      </c>
      <c r="B11987" t="s">
        <v>20</v>
      </c>
      <c r="C11987" t="s">
        <v>10</v>
      </c>
      <c r="D11987">
        <v>23</v>
      </c>
      <c r="E11987" s="2">
        <v>3.0092592592592591E-2</v>
      </c>
      <c r="F11987">
        <v>43.333333333333336</v>
      </c>
    </row>
    <row r="11988" spans="1:6" x14ac:dyDescent="0.25">
      <c r="A11988" s="1">
        <v>42675</v>
      </c>
      <c r="B11988" t="s">
        <v>20</v>
      </c>
      <c r="C11988" t="s">
        <v>11</v>
      </c>
      <c r="D11988">
        <v>134</v>
      </c>
      <c r="E11988" s="2">
        <v>0.13165509259259259</v>
      </c>
      <c r="F11988">
        <v>189.58333333333334</v>
      </c>
    </row>
    <row r="11989" spans="1:6" x14ac:dyDescent="0.25">
      <c r="A11989" s="1">
        <v>42675</v>
      </c>
      <c r="B11989" t="s">
        <v>21</v>
      </c>
      <c r="C11989" t="s">
        <v>6</v>
      </c>
      <c r="D11989">
        <v>21</v>
      </c>
      <c r="E11989" s="2">
        <v>2.8043981481481482E-2</v>
      </c>
      <c r="F11989">
        <v>40.383333333333333</v>
      </c>
    </row>
    <row r="11990" spans="1:6" x14ac:dyDescent="0.25">
      <c r="A11990" s="1">
        <v>42675</v>
      </c>
      <c r="B11990" t="s">
        <v>21</v>
      </c>
      <c r="C11990" t="s">
        <v>7</v>
      </c>
      <c r="D11990">
        <v>8</v>
      </c>
      <c r="E11990" s="2">
        <v>1.0254629629629629E-2</v>
      </c>
      <c r="F11990">
        <v>14.766666666666667</v>
      </c>
    </row>
    <row r="11991" spans="1:6" x14ac:dyDescent="0.25">
      <c r="A11991" s="1">
        <v>42675</v>
      </c>
      <c r="B11991" t="s">
        <v>21</v>
      </c>
      <c r="C11991" t="s">
        <v>8</v>
      </c>
      <c r="D11991">
        <v>15</v>
      </c>
      <c r="E11991" s="2">
        <v>2.1435185185185186E-2</v>
      </c>
      <c r="F11991">
        <v>30.866666666666667</v>
      </c>
    </row>
    <row r="11992" spans="1:6" x14ac:dyDescent="0.25">
      <c r="A11992" s="1">
        <v>42675</v>
      </c>
      <c r="B11992" t="s">
        <v>21</v>
      </c>
      <c r="C11992" t="s">
        <v>9</v>
      </c>
      <c r="D11992">
        <v>0</v>
      </c>
      <c r="E11992" s="2">
        <v>0</v>
      </c>
      <c r="F11992">
        <v>0</v>
      </c>
    </row>
    <row r="11993" spans="1:6" x14ac:dyDescent="0.25">
      <c r="A11993" s="1">
        <v>42675</v>
      </c>
      <c r="B11993" t="s">
        <v>21</v>
      </c>
      <c r="C11993" t="s">
        <v>10</v>
      </c>
      <c r="D11993">
        <v>4</v>
      </c>
      <c r="E11993" s="2">
        <v>5.37037037037037E-3</v>
      </c>
      <c r="F11993">
        <v>7.7333333333333334</v>
      </c>
    </row>
    <row r="11994" spans="1:6" x14ac:dyDescent="0.25">
      <c r="A11994" s="1">
        <v>42675</v>
      </c>
      <c r="B11994" t="s">
        <v>21</v>
      </c>
      <c r="C11994" t="s">
        <v>11</v>
      </c>
      <c r="D11994">
        <v>18</v>
      </c>
      <c r="E11994" s="2">
        <v>2.1805555555555557E-2</v>
      </c>
      <c r="F11994">
        <v>31.4</v>
      </c>
    </row>
    <row r="11995" spans="1:6" x14ac:dyDescent="0.25">
      <c r="A11995" s="1">
        <v>42675</v>
      </c>
      <c r="B11995" t="s">
        <v>22</v>
      </c>
      <c r="C11995" t="s">
        <v>6</v>
      </c>
      <c r="D11995">
        <v>37</v>
      </c>
      <c r="E11995" s="2">
        <v>6.277777777777778E-2</v>
      </c>
      <c r="F11995">
        <v>90.4</v>
      </c>
    </row>
    <row r="11996" spans="1:6" x14ac:dyDescent="0.25">
      <c r="A11996" s="1">
        <v>42675</v>
      </c>
      <c r="B11996" t="s">
        <v>22</v>
      </c>
      <c r="C11996" t="s">
        <v>7</v>
      </c>
      <c r="D11996">
        <v>16</v>
      </c>
      <c r="E11996" s="2">
        <v>2.1250000000000002E-2</v>
      </c>
      <c r="F11996">
        <v>30.6</v>
      </c>
    </row>
    <row r="11997" spans="1:6" x14ac:dyDescent="0.25">
      <c r="A11997" s="1">
        <v>42675</v>
      </c>
      <c r="B11997" t="s">
        <v>22</v>
      </c>
      <c r="C11997" t="s">
        <v>8</v>
      </c>
      <c r="D11997">
        <v>13</v>
      </c>
      <c r="E11997" s="2">
        <v>1.4386574074074074E-2</v>
      </c>
      <c r="F11997">
        <v>20.716666666666665</v>
      </c>
    </row>
    <row r="11998" spans="1:6" x14ac:dyDescent="0.25">
      <c r="A11998" s="1">
        <v>42675</v>
      </c>
      <c r="B11998" t="s">
        <v>22</v>
      </c>
      <c r="C11998" t="s">
        <v>9</v>
      </c>
      <c r="D11998">
        <v>0</v>
      </c>
      <c r="E11998" s="2">
        <v>0</v>
      </c>
      <c r="F11998">
        <v>0</v>
      </c>
    </row>
    <row r="11999" spans="1:6" x14ac:dyDescent="0.25">
      <c r="A11999" s="1">
        <v>42675</v>
      </c>
      <c r="B11999" t="s">
        <v>22</v>
      </c>
      <c r="C11999" t="s">
        <v>10</v>
      </c>
      <c r="D11999">
        <v>4</v>
      </c>
      <c r="E11999" s="2">
        <v>7.3495370370370372E-3</v>
      </c>
      <c r="F11999">
        <v>10.583333333333334</v>
      </c>
    </row>
    <row r="12000" spans="1:6" x14ac:dyDescent="0.25">
      <c r="A12000" s="1">
        <v>42675</v>
      </c>
      <c r="B12000" t="s">
        <v>22</v>
      </c>
      <c r="C12000" t="s">
        <v>11</v>
      </c>
      <c r="D12000">
        <v>17</v>
      </c>
      <c r="E12000" s="2">
        <v>2.1307870370370369E-2</v>
      </c>
      <c r="F12000">
        <v>30.683333333333334</v>
      </c>
    </row>
    <row r="12001" spans="1:6" x14ac:dyDescent="0.25">
      <c r="A12001" s="1">
        <v>42675</v>
      </c>
      <c r="B12001" t="s">
        <v>23</v>
      </c>
      <c r="C12001" t="s">
        <v>6</v>
      </c>
      <c r="D12001">
        <v>53</v>
      </c>
      <c r="E12001" s="2">
        <v>7.3576388888888886E-2</v>
      </c>
      <c r="F12001">
        <v>105.95</v>
      </c>
    </row>
    <row r="12002" spans="1:6" x14ac:dyDescent="0.25">
      <c r="A12002" s="1">
        <v>42675</v>
      </c>
      <c r="B12002" t="s">
        <v>23</v>
      </c>
      <c r="C12002" t="s">
        <v>7</v>
      </c>
      <c r="D12002">
        <v>62</v>
      </c>
      <c r="E12002" s="2">
        <v>0.11152777777777778</v>
      </c>
      <c r="F12002">
        <v>160.6</v>
      </c>
    </row>
    <row r="12003" spans="1:6" x14ac:dyDescent="0.25">
      <c r="A12003" s="1">
        <v>42675</v>
      </c>
      <c r="B12003" t="s">
        <v>23</v>
      </c>
      <c r="C12003" t="s">
        <v>8</v>
      </c>
      <c r="D12003">
        <v>59</v>
      </c>
      <c r="E12003" s="2">
        <v>7.4421296296296291E-2</v>
      </c>
      <c r="F12003">
        <v>107.16666666666667</v>
      </c>
    </row>
    <row r="12004" spans="1:6" x14ac:dyDescent="0.25">
      <c r="A12004" s="1">
        <v>42675</v>
      </c>
      <c r="B12004" t="s">
        <v>23</v>
      </c>
      <c r="C12004" t="s">
        <v>9</v>
      </c>
      <c r="D12004">
        <v>0</v>
      </c>
      <c r="E12004" s="2">
        <v>0</v>
      </c>
      <c r="F12004">
        <v>0</v>
      </c>
    </row>
    <row r="12005" spans="1:6" x14ac:dyDescent="0.25">
      <c r="A12005" s="1">
        <v>42675</v>
      </c>
      <c r="B12005" t="s">
        <v>23</v>
      </c>
      <c r="C12005" t="s">
        <v>10</v>
      </c>
      <c r="D12005">
        <v>29</v>
      </c>
      <c r="E12005" s="2">
        <v>4.0196759259259258E-2</v>
      </c>
      <c r="F12005">
        <v>57.883333333333333</v>
      </c>
    </row>
    <row r="12006" spans="1:6" x14ac:dyDescent="0.25">
      <c r="A12006" s="1">
        <v>42675</v>
      </c>
      <c r="B12006" t="s">
        <v>23</v>
      </c>
      <c r="C12006" t="s">
        <v>11</v>
      </c>
      <c r="D12006">
        <v>76</v>
      </c>
      <c r="E12006" s="2">
        <v>8.3877314814814821E-2</v>
      </c>
      <c r="F12006">
        <v>120.78333333333333</v>
      </c>
    </row>
    <row r="12007" spans="1:6" x14ac:dyDescent="0.25">
      <c r="A12007" s="1">
        <v>42675</v>
      </c>
      <c r="B12007" t="s">
        <v>24</v>
      </c>
      <c r="C12007" t="s">
        <v>6</v>
      </c>
      <c r="D12007">
        <v>33</v>
      </c>
      <c r="E12007" s="2">
        <v>3.2974537037037038E-2</v>
      </c>
      <c r="F12007">
        <v>47.483333333333334</v>
      </c>
    </row>
    <row r="12008" spans="1:6" x14ac:dyDescent="0.25">
      <c r="A12008" s="1">
        <v>42675</v>
      </c>
      <c r="B12008" t="s">
        <v>24</v>
      </c>
      <c r="C12008" t="s">
        <v>7</v>
      </c>
      <c r="D12008">
        <v>15</v>
      </c>
      <c r="E12008" s="2">
        <v>2.2916666666666665E-2</v>
      </c>
      <c r="F12008">
        <v>33</v>
      </c>
    </row>
    <row r="12009" spans="1:6" x14ac:dyDescent="0.25">
      <c r="A12009" s="1">
        <v>42675</v>
      </c>
      <c r="B12009" t="s">
        <v>24</v>
      </c>
      <c r="C12009" t="s">
        <v>8</v>
      </c>
      <c r="D12009">
        <v>18</v>
      </c>
      <c r="E12009" s="2">
        <v>1.525462962962963E-2</v>
      </c>
      <c r="F12009">
        <v>21.966666666666665</v>
      </c>
    </row>
    <row r="12010" spans="1:6" x14ac:dyDescent="0.25">
      <c r="A12010" s="1">
        <v>42675</v>
      </c>
      <c r="B12010" t="s">
        <v>24</v>
      </c>
      <c r="C12010" t="s">
        <v>9</v>
      </c>
      <c r="D12010">
        <v>0</v>
      </c>
      <c r="E12010" s="2">
        <v>0</v>
      </c>
      <c r="F12010">
        <v>0</v>
      </c>
    </row>
    <row r="12011" spans="1:6" x14ac:dyDescent="0.25">
      <c r="A12011" s="1">
        <v>42675</v>
      </c>
      <c r="B12011" t="s">
        <v>24</v>
      </c>
      <c r="C12011" t="s">
        <v>10</v>
      </c>
      <c r="D12011">
        <v>1</v>
      </c>
      <c r="E12011" s="2">
        <v>4.3981481481481481E-4</v>
      </c>
      <c r="F12011">
        <v>0.6333333333333333</v>
      </c>
    </row>
    <row r="12012" spans="1:6" x14ac:dyDescent="0.25">
      <c r="A12012" s="1">
        <v>42675</v>
      </c>
      <c r="B12012" t="s">
        <v>24</v>
      </c>
      <c r="C12012" t="s">
        <v>11</v>
      </c>
      <c r="D12012">
        <v>26</v>
      </c>
      <c r="E12012" s="2">
        <v>2.2916666666666665E-2</v>
      </c>
      <c r="F12012">
        <v>33</v>
      </c>
    </row>
    <row r="12013" spans="1:6" x14ac:dyDescent="0.25">
      <c r="A12013" s="1">
        <v>42705</v>
      </c>
      <c r="B12013" t="s">
        <v>5</v>
      </c>
      <c r="C12013" t="s">
        <v>6</v>
      </c>
      <c r="D12013">
        <v>14</v>
      </c>
      <c r="E12013" s="2">
        <v>1.2291666666666666E-2</v>
      </c>
      <c r="F12013">
        <v>17.7</v>
      </c>
    </row>
    <row r="12014" spans="1:6" x14ac:dyDescent="0.25">
      <c r="A12014" s="1">
        <v>42705</v>
      </c>
      <c r="B12014" t="s">
        <v>5</v>
      </c>
      <c r="C12014" t="s">
        <v>7</v>
      </c>
      <c r="D12014">
        <v>12</v>
      </c>
      <c r="E12014" s="2">
        <v>9.6064814814814815E-3</v>
      </c>
      <c r="F12014">
        <v>13.833333333333334</v>
      </c>
    </row>
    <row r="12015" spans="1:6" x14ac:dyDescent="0.25">
      <c r="A12015" s="1">
        <v>42705</v>
      </c>
      <c r="B12015" t="s">
        <v>5</v>
      </c>
      <c r="C12015" t="s">
        <v>8</v>
      </c>
      <c r="D12015">
        <v>7</v>
      </c>
      <c r="E12015" s="2">
        <v>7.3148148148148148E-3</v>
      </c>
      <c r="F12015">
        <v>10.533333333333333</v>
      </c>
    </row>
    <row r="12016" spans="1:6" x14ac:dyDescent="0.25">
      <c r="A12016" s="1">
        <v>42705</v>
      </c>
      <c r="B12016" t="s">
        <v>5</v>
      </c>
      <c r="C12016" t="s">
        <v>9</v>
      </c>
      <c r="D12016">
        <v>0</v>
      </c>
      <c r="E12016" s="2">
        <v>0</v>
      </c>
      <c r="F12016">
        <v>0</v>
      </c>
    </row>
    <row r="12017" spans="1:6" x14ac:dyDescent="0.25">
      <c r="A12017" s="1">
        <v>42705</v>
      </c>
      <c r="B12017" t="s">
        <v>5</v>
      </c>
      <c r="C12017" t="s">
        <v>10</v>
      </c>
      <c r="D12017">
        <v>8</v>
      </c>
      <c r="E12017" s="2">
        <v>6.3773148148148148E-3</v>
      </c>
      <c r="F12017">
        <v>9.1833333333333336</v>
      </c>
    </row>
    <row r="12018" spans="1:6" x14ac:dyDescent="0.25">
      <c r="A12018" s="1">
        <v>42705</v>
      </c>
      <c r="B12018" t="s">
        <v>5</v>
      </c>
      <c r="C12018" t="s">
        <v>11</v>
      </c>
      <c r="D12018">
        <v>16</v>
      </c>
      <c r="E12018" s="2">
        <v>8.4259259259259253E-3</v>
      </c>
      <c r="F12018">
        <v>12.133333333333333</v>
      </c>
    </row>
    <row r="12019" spans="1:6" x14ac:dyDescent="0.25">
      <c r="A12019" s="1">
        <v>42705</v>
      </c>
      <c r="B12019" t="s">
        <v>12</v>
      </c>
      <c r="C12019" t="s">
        <v>6</v>
      </c>
      <c r="D12019">
        <v>54</v>
      </c>
      <c r="E12019" s="2">
        <v>8.3321759259259262E-2</v>
      </c>
      <c r="F12019">
        <v>119.98333333333333</v>
      </c>
    </row>
    <row r="12020" spans="1:6" x14ac:dyDescent="0.25">
      <c r="A12020" s="1">
        <v>42705</v>
      </c>
      <c r="B12020" t="s">
        <v>12</v>
      </c>
      <c r="C12020" t="s">
        <v>7</v>
      </c>
      <c r="D12020">
        <v>25</v>
      </c>
      <c r="E12020" s="2">
        <v>5.7349537037037039E-2</v>
      </c>
      <c r="F12020">
        <v>82.583333333333329</v>
      </c>
    </row>
    <row r="12021" spans="1:6" x14ac:dyDescent="0.25">
      <c r="A12021" s="1">
        <v>42705</v>
      </c>
      <c r="B12021" t="s">
        <v>12</v>
      </c>
      <c r="C12021" t="s">
        <v>8</v>
      </c>
      <c r="D12021">
        <v>25</v>
      </c>
      <c r="E12021" s="2">
        <v>3.6967592592592594E-2</v>
      </c>
      <c r="F12021">
        <v>53.233333333333334</v>
      </c>
    </row>
    <row r="12022" spans="1:6" x14ac:dyDescent="0.25">
      <c r="A12022" s="1">
        <v>42705</v>
      </c>
      <c r="B12022" t="s">
        <v>12</v>
      </c>
      <c r="C12022" t="s">
        <v>9</v>
      </c>
      <c r="D12022">
        <v>0</v>
      </c>
      <c r="E12022" s="2">
        <v>0</v>
      </c>
      <c r="F12022">
        <v>0</v>
      </c>
    </row>
    <row r="12023" spans="1:6" x14ac:dyDescent="0.25">
      <c r="A12023" s="1">
        <v>42705</v>
      </c>
      <c r="B12023" t="s">
        <v>12</v>
      </c>
      <c r="C12023" t="s">
        <v>10</v>
      </c>
      <c r="D12023">
        <v>27</v>
      </c>
      <c r="E12023" s="2">
        <v>4.9328703703703701E-2</v>
      </c>
      <c r="F12023">
        <v>71.033333333333331</v>
      </c>
    </row>
    <row r="12024" spans="1:6" x14ac:dyDescent="0.25">
      <c r="A12024" s="1">
        <v>42705</v>
      </c>
      <c r="B12024" t="s">
        <v>12</v>
      </c>
      <c r="C12024" t="s">
        <v>11</v>
      </c>
      <c r="D12024">
        <v>50</v>
      </c>
      <c r="E12024" s="2">
        <v>6.4525462962962965E-2</v>
      </c>
      <c r="F12024">
        <v>92.916666666666671</v>
      </c>
    </row>
    <row r="12025" spans="1:6" x14ac:dyDescent="0.25">
      <c r="A12025" s="1">
        <v>42705</v>
      </c>
      <c r="B12025" t="s">
        <v>13</v>
      </c>
      <c r="C12025" t="s">
        <v>6</v>
      </c>
      <c r="D12025">
        <v>41</v>
      </c>
      <c r="E12025" s="2">
        <v>6.2083333333333331E-2</v>
      </c>
      <c r="F12025">
        <v>89.4</v>
      </c>
    </row>
    <row r="12026" spans="1:6" x14ac:dyDescent="0.25">
      <c r="A12026" s="1">
        <v>42705</v>
      </c>
      <c r="B12026" t="s">
        <v>13</v>
      </c>
      <c r="C12026" t="s">
        <v>7</v>
      </c>
      <c r="D12026">
        <v>51</v>
      </c>
      <c r="E12026" s="2">
        <v>0.10858796296296297</v>
      </c>
      <c r="F12026">
        <v>156.36666666666667</v>
      </c>
    </row>
    <row r="12027" spans="1:6" x14ac:dyDescent="0.25">
      <c r="A12027" s="1">
        <v>42705</v>
      </c>
      <c r="B12027" t="s">
        <v>13</v>
      </c>
      <c r="C12027" t="s">
        <v>8</v>
      </c>
      <c r="D12027">
        <v>31</v>
      </c>
      <c r="E12027" s="2">
        <v>5.5833333333333332E-2</v>
      </c>
      <c r="F12027">
        <v>80.400000000000006</v>
      </c>
    </row>
    <row r="12028" spans="1:6" x14ac:dyDescent="0.25">
      <c r="A12028" s="1">
        <v>42705</v>
      </c>
      <c r="B12028" t="s">
        <v>13</v>
      </c>
      <c r="C12028" t="s">
        <v>9</v>
      </c>
      <c r="D12028">
        <v>0</v>
      </c>
      <c r="E12028" s="2">
        <v>0</v>
      </c>
      <c r="F12028">
        <v>0</v>
      </c>
    </row>
    <row r="12029" spans="1:6" x14ac:dyDescent="0.25">
      <c r="A12029" s="1">
        <v>42705</v>
      </c>
      <c r="B12029" t="s">
        <v>13</v>
      </c>
      <c r="C12029" t="s">
        <v>10</v>
      </c>
      <c r="D12029">
        <v>11</v>
      </c>
      <c r="E12029" s="2">
        <v>1.787037037037037E-2</v>
      </c>
      <c r="F12029">
        <v>25.733333333333334</v>
      </c>
    </row>
    <row r="12030" spans="1:6" x14ac:dyDescent="0.25">
      <c r="A12030" s="1">
        <v>42705</v>
      </c>
      <c r="B12030" t="s">
        <v>13</v>
      </c>
      <c r="C12030" t="s">
        <v>11</v>
      </c>
      <c r="D12030">
        <v>28</v>
      </c>
      <c r="E12030" s="2">
        <v>3.3194444444444443E-2</v>
      </c>
      <c r="F12030">
        <v>47.8</v>
      </c>
    </row>
    <row r="12031" spans="1:6" x14ac:dyDescent="0.25">
      <c r="A12031" s="1">
        <v>42705</v>
      </c>
      <c r="B12031" t="s">
        <v>14</v>
      </c>
      <c r="C12031" t="s">
        <v>6</v>
      </c>
      <c r="D12031">
        <v>12</v>
      </c>
      <c r="E12031" s="2">
        <v>2.0497685185185185E-2</v>
      </c>
      <c r="F12031">
        <v>29.516666666666666</v>
      </c>
    </row>
    <row r="12032" spans="1:6" x14ac:dyDescent="0.25">
      <c r="A12032" s="1">
        <v>42705</v>
      </c>
      <c r="B12032" t="s">
        <v>14</v>
      </c>
      <c r="C12032" t="s">
        <v>7</v>
      </c>
      <c r="D12032">
        <v>3</v>
      </c>
      <c r="E12032" s="2">
        <v>5.1736111111111115E-3</v>
      </c>
      <c r="F12032">
        <v>7.45</v>
      </c>
    </row>
    <row r="12033" spans="1:6" x14ac:dyDescent="0.25">
      <c r="A12033" s="1">
        <v>42705</v>
      </c>
      <c r="B12033" t="s">
        <v>14</v>
      </c>
      <c r="C12033" t="s">
        <v>8</v>
      </c>
      <c r="D12033">
        <v>3</v>
      </c>
      <c r="E12033" s="2">
        <v>4.9884259259259257E-3</v>
      </c>
      <c r="F12033">
        <v>7.1833333333333336</v>
      </c>
    </row>
    <row r="12034" spans="1:6" x14ac:dyDescent="0.25">
      <c r="A12034" s="1">
        <v>42705</v>
      </c>
      <c r="B12034" t="s">
        <v>14</v>
      </c>
      <c r="C12034" t="s">
        <v>9</v>
      </c>
      <c r="D12034">
        <v>0</v>
      </c>
      <c r="E12034" s="2">
        <v>0</v>
      </c>
      <c r="F12034">
        <v>0</v>
      </c>
    </row>
    <row r="12035" spans="1:6" x14ac:dyDescent="0.25">
      <c r="A12035" s="1">
        <v>42705</v>
      </c>
      <c r="B12035" t="s">
        <v>14</v>
      </c>
      <c r="C12035" t="s">
        <v>10</v>
      </c>
      <c r="D12035">
        <v>1</v>
      </c>
      <c r="E12035" s="2">
        <v>2.3032407407407407E-3</v>
      </c>
      <c r="F12035">
        <v>3.3166666666666664</v>
      </c>
    </row>
    <row r="12036" spans="1:6" x14ac:dyDescent="0.25">
      <c r="A12036" s="1">
        <v>42705</v>
      </c>
      <c r="B12036" t="s">
        <v>14</v>
      </c>
      <c r="C12036" t="s">
        <v>11</v>
      </c>
      <c r="D12036">
        <v>2</v>
      </c>
      <c r="E12036" s="2">
        <v>1.9560185185185184E-3</v>
      </c>
      <c r="F12036">
        <v>2.8166666666666664</v>
      </c>
    </row>
    <row r="12037" spans="1:6" x14ac:dyDescent="0.25">
      <c r="A12037" s="1">
        <v>42705</v>
      </c>
      <c r="B12037" t="s">
        <v>15</v>
      </c>
      <c r="C12037" t="s">
        <v>6</v>
      </c>
      <c r="D12037">
        <v>33</v>
      </c>
      <c r="E12037" s="2">
        <v>4.6180555555555558E-2</v>
      </c>
      <c r="F12037">
        <v>66.5</v>
      </c>
    </row>
    <row r="12038" spans="1:6" x14ac:dyDescent="0.25">
      <c r="A12038" s="1">
        <v>42705</v>
      </c>
      <c r="B12038" t="s">
        <v>15</v>
      </c>
      <c r="C12038" t="s">
        <v>7</v>
      </c>
      <c r="D12038">
        <v>30</v>
      </c>
      <c r="E12038" s="2">
        <v>3.7465277777777778E-2</v>
      </c>
      <c r="F12038">
        <v>53.95</v>
      </c>
    </row>
    <row r="12039" spans="1:6" x14ac:dyDescent="0.25">
      <c r="A12039" s="1">
        <v>42705</v>
      </c>
      <c r="B12039" t="s">
        <v>15</v>
      </c>
      <c r="C12039" t="s">
        <v>8</v>
      </c>
      <c r="D12039">
        <v>29</v>
      </c>
      <c r="E12039" s="2">
        <v>2.7476851851851853E-2</v>
      </c>
      <c r="F12039">
        <v>39.56666666666667</v>
      </c>
    </row>
    <row r="12040" spans="1:6" x14ac:dyDescent="0.25">
      <c r="A12040" s="1">
        <v>42705</v>
      </c>
      <c r="B12040" t="s">
        <v>15</v>
      </c>
      <c r="C12040" t="s">
        <v>9</v>
      </c>
      <c r="D12040">
        <v>0</v>
      </c>
      <c r="E12040" s="2">
        <v>0</v>
      </c>
      <c r="F12040">
        <v>0</v>
      </c>
    </row>
    <row r="12041" spans="1:6" x14ac:dyDescent="0.25">
      <c r="A12041" s="1">
        <v>42705</v>
      </c>
      <c r="B12041" t="s">
        <v>15</v>
      </c>
      <c r="C12041" t="s">
        <v>10</v>
      </c>
      <c r="D12041">
        <v>5</v>
      </c>
      <c r="E12041" s="2">
        <v>4.5254629629629629E-3</v>
      </c>
      <c r="F12041">
        <v>6.5166666666666666</v>
      </c>
    </row>
    <row r="12042" spans="1:6" x14ac:dyDescent="0.25">
      <c r="A12042" s="1">
        <v>42705</v>
      </c>
      <c r="B12042" t="s">
        <v>15</v>
      </c>
      <c r="C12042" t="s">
        <v>11</v>
      </c>
      <c r="D12042">
        <v>23</v>
      </c>
      <c r="E12042" s="2">
        <v>2.2025462962962962E-2</v>
      </c>
      <c r="F12042">
        <v>31.716666666666665</v>
      </c>
    </row>
    <row r="12043" spans="1:6" x14ac:dyDescent="0.25">
      <c r="A12043" s="1">
        <v>42705</v>
      </c>
      <c r="B12043" t="s">
        <v>16</v>
      </c>
      <c r="C12043" t="s">
        <v>6</v>
      </c>
      <c r="D12043">
        <v>7</v>
      </c>
      <c r="E12043" s="2">
        <v>6.0648148148148145E-3</v>
      </c>
      <c r="F12043">
        <v>8.7333333333333325</v>
      </c>
    </row>
    <row r="12044" spans="1:6" x14ac:dyDescent="0.25">
      <c r="A12044" s="1">
        <v>42705</v>
      </c>
      <c r="B12044" t="s">
        <v>16</v>
      </c>
      <c r="C12044" t="s">
        <v>7</v>
      </c>
      <c r="D12044">
        <v>5</v>
      </c>
      <c r="E12044" s="2">
        <v>5.0462962962962961E-3</v>
      </c>
      <c r="F12044">
        <v>7.2666666666666666</v>
      </c>
    </row>
    <row r="12045" spans="1:6" x14ac:dyDescent="0.25">
      <c r="A12045" s="1">
        <v>42705</v>
      </c>
      <c r="B12045" t="s">
        <v>16</v>
      </c>
      <c r="C12045" t="s">
        <v>8</v>
      </c>
      <c r="D12045">
        <v>12</v>
      </c>
      <c r="E12045" s="2">
        <v>7.1759259259259259E-3</v>
      </c>
      <c r="F12045">
        <v>10.333333333333334</v>
      </c>
    </row>
    <row r="12046" spans="1:6" x14ac:dyDescent="0.25">
      <c r="A12046" s="1">
        <v>42705</v>
      </c>
      <c r="B12046" t="s">
        <v>16</v>
      </c>
      <c r="C12046" t="s">
        <v>9</v>
      </c>
      <c r="D12046">
        <v>0</v>
      </c>
      <c r="E12046" s="2">
        <v>0</v>
      </c>
      <c r="F12046">
        <v>0</v>
      </c>
    </row>
    <row r="12047" spans="1:6" x14ac:dyDescent="0.25">
      <c r="A12047" s="1">
        <v>42705</v>
      </c>
      <c r="B12047" t="s">
        <v>16</v>
      </c>
      <c r="C12047" t="s">
        <v>10</v>
      </c>
      <c r="D12047">
        <v>3</v>
      </c>
      <c r="E12047" s="2">
        <v>4.0625000000000001E-3</v>
      </c>
      <c r="F12047">
        <v>5.85</v>
      </c>
    </row>
    <row r="12048" spans="1:6" x14ac:dyDescent="0.25">
      <c r="A12048" s="1">
        <v>42705</v>
      </c>
      <c r="B12048" t="s">
        <v>16</v>
      </c>
      <c r="C12048" t="s">
        <v>11</v>
      </c>
      <c r="D12048">
        <v>21</v>
      </c>
      <c r="E12048" s="2">
        <v>1.5428240740740741E-2</v>
      </c>
      <c r="F12048">
        <v>22.216666666666665</v>
      </c>
    </row>
    <row r="12049" spans="1:6" x14ac:dyDescent="0.25">
      <c r="A12049" s="1">
        <v>42705</v>
      </c>
      <c r="B12049" t="s">
        <v>17</v>
      </c>
      <c r="C12049" t="s">
        <v>6</v>
      </c>
      <c r="D12049">
        <v>17</v>
      </c>
      <c r="E12049" s="2">
        <v>1.9780092592592592E-2</v>
      </c>
      <c r="F12049">
        <v>28.483333333333334</v>
      </c>
    </row>
    <row r="12050" spans="1:6" x14ac:dyDescent="0.25">
      <c r="A12050" s="1">
        <v>42705</v>
      </c>
      <c r="B12050" t="s">
        <v>17</v>
      </c>
      <c r="C12050" t="s">
        <v>7</v>
      </c>
      <c r="D12050">
        <v>21</v>
      </c>
      <c r="E12050" s="2">
        <v>2.0150462962962964E-2</v>
      </c>
      <c r="F12050">
        <v>29.016666666666666</v>
      </c>
    </row>
    <row r="12051" spans="1:6" x14ac:dyDescent="0.25">
      <c r="A12051" s="1">
        <v>42705</v>
      </c>
      <c r="B12051" t="s">
        <v>17</v>
      </c>
      <c r="C12051" t="s">
        <v>8</v>
      </c>
      <c r="D12051">
        <v>22</v>
      </c>
      <c r="E12051" s="2">
        <v>2.4039351851851853E-2</v>
      </c>
      <c r="F12051">
        <v>34.616666666666667</v>
      </c>
    </row>
    <row r="12052" spans="1:6" x14ac:dyDescent="0.25">
      <c r="A12052" s="1">
        <v>42705</v>
      </c>
      <c r="B12052" t="s">
        <v>17</v>
      </c>
      <c r="C12052" t="s">
        <v>9</v>
      </c>
      <c r="D12052">
        <v>0</v>
      </c>
      <c r="E12052" s="2">
        <v>0</v>
      </c>
      <c r="F12052">
        <v>0</v>
      </c>
    </row>
    <row r="12053" spans="1:6" x14ac:dyDescent="0.25">
      <c r="A12053" s="1">
        <v>42705</v>
      </c>
      <c r="B12053" t="s">
        <v>17</v>
      </c>
      <c r="C12053" t="s">
        <v>10</v>
      </c>
      <c r="D12053">
        <v>13</v>
      </c>
      <c r="E12053" s="2">
        <v>1.019675925925926E-2</v>
      </c>
      <c r="F12053">
        <v>14.683333333333334</v>
      </c>
    </row>
    <row r="12054" spans="1:6" x14ac:dyDescent="0.25">
      <c r="A12054" s="1">
        <v>42705</v>
      </c>
      <c r="B12054" t="s">
        <v>17</v>
      </c>
      <c r="C12054" t="s">
        <v>11</v>
      </c>
      <c r="D12054">
        <v>17</v>
      </c>
      <c r="E12054" s="2">
        <v>1.5787037037037037E-2</v>
      </c>
      <c r="F12054">
        <v>22.733333333333334</v>
      </c>
    </row>
    <row r="12055" spans="1:6" x14ac:dyDescent="0.25">
      <c r="A12055" s="1">
        <v>42705</v>
      </c>
      <c r="B12055" t="s">
        <v>18</v>
      </c>
      <c r="C12055" t="s">
        <v>6</v>
      </c>
      <c r="D12055">
        <v>86</v>
      </c>
      <c r="E12055" s="2">
        <v>9.6111111111111105E-2</v>
      </c>
      <c r="F12055">
        <v>138.4</v>
      </c>
    </row>
    <row r="12056" spans="1:6" x14ac:dyDescent="0.25">
      <c r="A12056" s="1">
        <v>42705</v>
      </c>
      <c r="B12056" t="s">
        <v>18</v>
      </c>
      <c r="C12056" t="s">
        <v>7</v>
      </c>
      <c r="D12056">
        <v>131</v>
      </c>
      <c r="E12056" s="2">
        <v>0.1260300925925926</v>
      </c>
      <c r="F12056">
        <v>181.48333333333332</v>
      </c>
    </row>
    <row r="12057" spans="1:6" x14ac:dyDescent="0.25">
      <c r="A12057" s="1">
        <v>42705</v>
      </c>
      <c r="B12057" t="s">
        <v>18</v>
      </c>
      <c r="C12057" t="s">
        <v>8</v>
      </c>
      <c r="D12057">
        <v>66</v>
      </c>
      <c r="E12057" s="2">
        <v>5.5312500000000001E-2</v>
      </c>
      <c r="F12057">
        <v>79.650000000000006</v>
      </c>
    </row>
    <row r="12058" spans="1:6" x14ac:dyDescent="0.25">
      <c r="A12058" s="1">
        <v>42705</v>
      </c>
      <c r="B12058" t="s">
        <v>18</v>
      </c>
      <c r="C12058" t="s">
        <v>9</v>
      </c>
      <c r="D12058">
        <v>0</v>
      </c>
      <c r="E12058" s="2">
        <v>0</v>
      </c>
      <c r="F12058">
        <v>0</v>
      </c>
    </row>
    <row r="12059" spans="1:6" x14ac:dyDescent="0.25">
      <c r="A12059" s="1">
        <v>42705</v>
      </c>
      <c r="B12059" t="s">
        <v>18</v>
      </c>
      <c r="C12059" t="s">
        <v>10</v>
      </c>
      <c r="D12059">
        <v>135</v>
      </c>
      <c r="E12059" s="2">
        <v>0.15395833333333334</v>
      </c>
      <c r="F12059">
        <v>221.7</v>
      </c>
    </row>
    <row r="12060" spans="1:6" x14ac:dyDescent="0.25">
      <c r="A12060" s="1">
        <v>42705</v>
      </c>
      <c r="B12060" t="s">
        <v>18</v>
      </c>
      <c r="C12060" t="s">
        <v>11</v>
      </c>
      <c r="D12060">
        <v>74</v>
      </c>
      <c r="E12060" s="2">
        <v>5.4490740740740742E-2</v>
      </c>
      <c r="F12060">
        <v>78.466666666666669</v>
      </c>
    </row>
    <row r="12061" spans="1:6" x14ac:dyDescent="0.25">
      <c r="A12061" s="1">
        <v>42705</v>
      </c>
      <c r="B12061" t="s">
        <v>19</v>
      </c>
      <c r="C12061" t="s">
        <v>6</v>
      </c>
      <c r="D12061">
        <v>22</v>
      </c>
      <c r="E12061" s="2">
        <v>2.5173611111111112E-2</v>
      </c>
      <c r="F12061">
        <v>36.25</v>
      </c>
    </row>
    <row r="12062" spans="1:6" x14ac:dyDescent="0.25">
      <c r="A12062" s="1">
        <v>42705</v>
      </c>
      <c r="B12062" t="s">
        <v>19</v>
      </c>
      <c r="C12062" t="s">
        <v>7</v>
      </c>
      <c r="D12062">
        <v>24</v>
      </c>
      <c r="E12062" s="2">
        <v>2.3969907407407409E-2</v>
      </c>
      <c r="F12062">
        <v>34.516666666666666</v>
      </c>
    </row>
    <row r="12063" spans="1:6" x14ac:dyDescent="0.25">
      <c r="A12063" s="1">
        <v>42705</v>
      </c>
      <c r="B12063" t="s">
        <v>19</v>
      </c>
      <c r="C12063" t="s">
        <v>8</v>
      </c>
      <c r="D12063">
        <v>35</v>
      </c>
      <c r="E12063" s="2">
        <v>3.4745370370370371E-2</v>
      </c>
      <c r="F12063">
        <v>50.033333333333331</v>
      </c>
    </row>
    <row r="12064" spans="1:6" x14ac:dyDescent="0.25">
      <c r="A12064" s="1">
        <v>42705</v>
      </c>
      <c r="B12064" t="s">
        <v>19</v>
      </c>
      <c r="C12064" t="s">
        <v>9</v>
      </c>
      <c r="D12064">
        <v>0</v>
      </c>
      <c r="E12064" s="2">
        <v>0</v>
      </c>
      <c r="F12064">
        <v>0</v>
      </c>
    </row>
    <row r="12065" spans="1:6" x14ac:dyDescent="0.25">
      <c r="A12065" s="1">
        <v>42705</v>
      </c>
      <c r="B12065" t="s">
        <v>19</v>
      </c>
      <c r="C12065" t="s">
        <v>10</v>
      </c>
      <c r="D12065">
        <v>13</v>
      </c>
      <c r="E12065" s="2">
        <v>1.3657407407407408E-2</v>
      </c>
      <c r="F12065">
        <v>19.666666666666668</v>
      </c>
    </row>
    <row r="12066" spans="1:6" x14ac:dyDescent="0.25">
      <c r="A12066" s="1">
        <v>42705</v>
      </c>
      <c r="B12066" t="s">
        <v>19</v>
      </c>
      <c r="C12066" t="s">
        <v>11</v>
      </c>
      <c r="D12066">
        <v>27</v>
      </c>
      <c r="E12066" s="2">
        <v>2.5706018518518517E-2</v>
      </c>
      <c r="F12066">
        <v>37.016666666666666</v>
      </c>
    </row>
    <row r="12067" spans="1:6" x14ac:dyDescent="0.25">
      <c r="A12067" s="1">
        <v>42705</v>
      </c>
      <c r="B12067" t="s">
        <v>20</v>
      </c>
      <c r="C12067" t="s">
        <v>6</v>
      </c>
      <c r="D12067">
        <v>67</v>
      </c>
      <c r="E12067" s="2">
        <v>9.7094907407407408E-2</v>
      </c>
      <c r="F12067">
        <v>139.81666666666666</v>
      </c>
    </row>
    <row r="12068" spans="1:6" x14ac:dyDescent="0.25">
      <c r="A12068" s="1">
        <v>42705</v>
      </c>
      <c r="B12068" t="s">
        <v>20</v>
      </c>
      <c r="C12068" t="s">
        <v>7</v>
      </c>
      <c r="D12068">
        <v>58</v>
      </c>
      <c r="E12068" s="2">
        <v>7.6180555555555557E-2</v>
      </c>
      <c r="F12068">
        <v>109.7</v>
      </c>
    </row>
    <row r="12069" spans="1:6" x14ac:dyDescent="0.25">
      <c r="A12069" s="1">
        <v>42705</v>
      </c>
      <c r="B12069" t="s">
        <v>20</v>
      </c>
      <c r="C12069" t="s">
        <v>8</v>
      </c>
      <c r="D12069">
        <v>51</v>
      </c>
      <c r="E12069" s="2">
        <v>5.6608796296296296E-2</v>
      </c>
      <c r="F12069">
        <v>81.516666666666666</v>
      </c>
    </row>
    <row r="12070" spans="1:6" x14ac:dyDescent="0.25">
      <c r="A12070" s="1">
        <v>42705</v>
      </c>
      <c r="B12070" t="s">
        <v>20</v>
      </c>
      <c r="C12070" t="s">
        <v>9</v>
      </c>
      <c r="D12070">
        <v>0</v>
      </c>
      <c r="E12070" s="2">
        <v>0</v>
      </c>
      <c r="F12070">
        <v>0</v>
      </c>
    </row>
    <row r="12071" spans="1:6" x14ac:dyDescent="0.25">
      <c r="A12071" s="1">
        <v>42705</v>
      </c>
      <c r="B12071" t="s">
        <v>20</v>
      </c>
      <c r="C12071" t="s">
        <v>10</v>
      </c>
      <c r="D12071">
        <v>8</v>
      </c>
      <c r="E12071" s="2">
        <v>9.9884259259259266E-3</v>
      </c>
      <c r="F12071">
        <v>14.383333333333333</v>
      </c>
    </row>
    <row r="12072" spans="1:6" x14ac:dyDescent="0.25">
      <c r="A12072" s="1">
        <v>42705</v>
      </c>
      <c r="B12072" t="s">
        <v>20</v>
      </c>
      <c r="C12072" t="s">
        <v>11</v>
      </c>
      <c r="D12072">
        <v>51</v>
      </c>
      <c r="E12072" s="2">
        <v>4.5185185185185182E-2</v>
      </c>
      <c r="F12072">
        <v>65.066666666666663</v>
      </c>
    </row>
    <row r="12073" spans="1:6" x14ac:dyDescent="0.25">
      <c r="A12073" s="1">
        <v>42705</v>
      </c>
      <c r="B12073" t="s">
        <v>21</v>
      </c>
      <c r="C12073" t="s">
        <v>6</v>
      </c>
      <c r="D12073">
        <v>16</v>
      </c>
      <c r="E12073" s="2">
        <v>2.0578703703703703E-2</v>
      </c>
      <c r="F12073">
        <v>29.633333333333333</v>
      </c>
    </row>
    <row r="12074" spans="1:6" x14ac:dyDescent="0.25">
      <c r="A12074" s="1">
        <v>42705</v>
      </c>
      <c r="B12074" t="s">
        <v>21</v>
      </c>
      <c r="C12074" t="s">
        <v>7</v>
      </c>
      <c r="D12074">
        <v>11</v>
      </c>
      <c r="E12074" s="2">
        <v>1.5023148148148148E-2</v>
      </c>
      <c r="F12074">
        <v>21.633333333333333</v>
      </c>
    </row>
    <row r="12075" spans="1:6" x14ac:dyDescent="0.25">
      <c r="A12075" s="1">
        <v>42705</v>
      </c>
      <c r="B12075" t="s">
        <v>21</v>
      </c>
      <c r="C12075" t="s">
        <v>8</v>
      </c>
      <c r="D12075">
        <v>10</v>
      </c>
      <c r="E12075" s="2">
        <v>1.7708333333333333E-2</v>
      </c>
      <c r="F12075">
        <v>25.5</v>
      </c>
    </row>
    <row r="12076" spans="1:6" x14ac:dyDescent="0.25">
      <c r="A12076" s="1">
        <v>42705</v>
      </c>
      <c r="B12076" t="s">
        <v>21</v>
      </c>
      <c r="C12076" t="s">
        <v>9</v>
      </c>
      <c r="D12076">
        <v>0</v>
      </c>
      <c r="E12076" s="2">
        <v>0</v>
      </c>
      <c r="F12076">
        <v>0</v>
      </c>
    </row>
    <row r="12077" spans="1:6" x14ac:dyDescent="0.25">
      <c r="A12077" s="1">
        <v>42705</v>
      </c>
      <c r="B12077" t="s">
        <v>21</v>
      </c>
      <c r="C12077" t="s">
        <v>10</v>
      </c>
      <c r="D12077">
        <v>2</v>
      </c>
      <c r="E12077" s="2">
        <v>3.6111111111111109E-3</v>
      </c>
      <c r="F12077">
        <v>5.2</v>
      </c>
    </row>
    <row r="12078" spans="1:6" x14ac:dyDescent="0.25">
      <c r="A12078" s="1">
        <v>42705</v>
      </c>
      <c r="B12078" t="s">
        <v>21</v>
      </c>
      <c r="C12078" t="s">
        <v>11</v>
      </c>
      <c r="D12078">
        <v>20</v>
      </c>
      <c r="E12078" s="2">
        <v>1.9444444444444445E-2</v>
      </c>
      <c r="F12078">
        <v>28</v>
      </c>
    </row>
    <row r="12079" spans="1:6" x14ac:dyDescent="0.25">
      <c r="A12079" s="1">
        <v>42705</v>
      </c>
      <c r="B12079" t="s">
        <v>22</v>
      </c>
      <c r="C12079" t="s">
        <v>6</v>
      </c>
      <c r="D12079">
        <v>9</v>
      </c>
      <c r="E12079" s="2">
        <v>1.2314814814814815E-2</v>
      </c>
      <c r="F12079">
        <v>17.733333333333334</v>
      </c>
    </row>
    <row r="12080" spans="1:6" x14ac:dyDescent="0.25">
      <c r="A12080" s="1">
        <v>42705</v>
      </c>
      <c r="B12080" t="s">
        <v>22</v>
      </c>
      <c r="C12080" t="s">
        <v>7</v>
      </c>
      <c r="D12080">
        <v>10</v>
      </c>
      <c r="E12080" s="2">
        <v>2.2766203703703705E-2</v>
      </c>
      <c r="F12080">
        <v>32.783333333333331</v>
      </c>
    </row>
    <row r="12081" spans="1:6" x14ac:dyDescent="0.25">
      <c r="A12081" s="1">
        <v>42705</v>
      </c>
      <c r="B12081" t="s">
        <v>22</v>
      </c>
      <c r="C12081" t="s">
        <v>8</v>
      </c>
      <c r="D12081">
        <v>9</v>
      </c>
      <c r="E12081" s="2">
        <v>1.2824074074074075E-2</v>
      </c>
      <c r="F12081">
        <v>18.466666666666665</v>
      </c>
    </row>
    <row r="12082" spans="1:6" x14ac:dyDescent="0.25">
      <c r="A12082" s="1">
        <v>42705</v>
      </c>
      <c r="B12082" t="s">
        <v>22</v>
      </c>
      <c r="C12082" t="s">
        <v>9</v>
      </c>
      <c r="D12082">
        <v>0</v>
      </c>
      <c r="E12082" s="2">
        <v>0</v>
      </c>
      <c r="F12082">
        <v>0</v>
      </c>
    </row>
    <row r="12083" spans="1:6" x14ac:dyDescent="0.25">
      <c r="A12083" s="1">
        <v>42705</v>
      </c>
      <c r="B12083" t="s">
        <v>22</v>
      </c>
      <c r="C12083" t="s">
        <v>10</v>
      </c>
      <c r="D12083">
        <v>1</v>
      </c>
      <c r="E12083" s="2">
        <v>5.9027777777777778E-4</v>
      </c>
      <c r="F12083">
        <v>0.85</v>
      </c>
    </row>
    <row r="12084" spans="1:6" x14ac:dyDescent="0.25">
      <c r="A12084" s="1">
        <v>42705</v>
      </c>
      <c r="B12084" t="s">
        <v>22</v>
      </c>
      <c r="C12084" t="s">
        <v>11</v>
      </c>
      <c r="D12084">
        <v>5</v>
      </c>
      <c r="E12084" s="2">
        <v>3.1597222222222222E-3</v>
      </c>
      <c r="F12084">
        <v>4.55</v>
      </c>
    </row>
    <row r="12085" spans="1:6" x14ac:dyDescent="0.25">
      <c r="A12085" s="1">
        <v>42705</v>
      </c>
      <c r="B12085" t="s">
        <v>23</v>
      </c>
      <c r="C12085" t="s">
        <v>6</v>
      </c>
      <c r="D12085">
        <v>90</v>
      </c>
      <c r="E12085" s="2">
        <v>0.12572916666666667</v>
      </c>
      <c r="F12085">
        <v>181.05</v>
      </c>
    </row>
    <row r="12086" spans="1:6" x14ac:dyDescent="0.25">
      <c r="A12086" s="1">
        <v>42705</v>
      </c>
      <c r="B12086" t="s">
        <v>23</v>
      </c>
      <c r="C12086" t="s">
        <v>7</v>
      </c>
      <c r="D12086">
        <v>71</v>
      </c>
      <c r="E12086" s="2">
        <v>0.12063657407407408</v>
      </c>
      <c r="F12086">
        <v>173.71666666666667</v>
      </c>
    </row>
    <row r="12087" spans="1:6" x14ac:dyDescent="0.25">
      <c r="A12087" s="1">
        <v>42705</v>
      </c>
      <c r="B12087" t="s">
        <v>23</v>
      </c>
      <c r="C12087" t="s">
        <v>8</v>
      </c>
      <c r="D12087">
        <v>58</v>
      </c>
      <c r="E12087" s="2">
        <v>6.9780092592592588E-2</v>
      </c>
      <c r="F12087">
        <v>100.48333333333333</v>
      </c>
    </row>
    <row r="12088" spans="1:6" x14ac:dyDescent="0.25">
      <c r="A12088" s="1">
        <v>42705</v>
      </c>
      <c r="B12088" t="s">
        <v>23</v>
      </c>
      <c r="C12088" t="s">
        <v>9</v>
      </c>
      <c r="D12088">
        <v>0</v>
      </c>
      <c r="E12088" s="2">
        <v>0</v>
      </c>
      <c r="F12088">
        <v>0</v>
      </c>
    </row>
    <row r="12089" spans="1:6" x14ac:dyDescent="0.25">
      <c r="A12089" s="1">
        <v>42705</v>
      </c>
      <c r="B12089" t="s">
        <v>23</v>
      </c>
      <c r="C12089" t="s">
        <v>10</v>
      </c>
      <c r="D12089">
        <v>26</v>
      </c>
      <c r="E12089" s="2">
        <v>4.7754629629629633E-2</v>
      </c>
      <c r="F12089">
        <v>68.766666666666666</v>
      </c>
    </row>
    <row r="12090" spans="1:6" x14ac:dyDescent="0.25">
      <c r="A12090" s="1">
        <v>42705</v>
      </c>
      <c r="B12090" t="s">
        <v>23</v>
      </c>
      <c r="C12090" t="s">
        <v>11</v>
      </c>
      <c r="D12090">
        <v>77</v>
      </c>
      <c r="E12090" s="2">
        <v>8.4722222222222227E-2</v>
      </c>
      <c r="F12090">
        <v>122</v>
      </c>
    </row>
    <row r="12091" spans="1:6" x14ac:dyDescent="0.25">
      <c r="A12091" s="1">
        <v>42705</v>
      </c>
      <c r="B12091" t="s">
        <v>24</v>
      </c>
      <c r="C12091" t="s">
        <v>6</v>
      </c>
      <c r="D12091">
        <v>24</v>
      </c>
      <c r="E12091" s="2">
        <v>2.5844907407407407E-2</v>
      </c>
      <c r="F12091">
        <v>37.216666666666669</v>
      </c>
    </row>
    <row r="12092" spans="1:6" x14ac:dyDescent="0.25">
      <c r="A12092" s="1">
        <v>42705</v>
      </c>
      <c r="B12092" t="s">
        <v>24</v>
      </c>
      <c r="C12092" t="s">
        <v>7</v>
      </c>
      <c r="D12092">
        <v>20</v>
      </c>
      <c r="E12092" s="2">
        <v>2.4097222222222221E-2</v>
      </c>
      <c r="F12092">
        <v>34.700000000000003</v>
      </c>
    </row>
    <row r="12093" spans="1:6" x14ac:dyDescent="0.25">
      <c r="A12093" s="1">
        <v>42705</v>
      </c>
      <c r="B12093" t="s">
        <v>24</v>
      </c>
      <c r="C12093" t="s">
        <v>8</v>
      </c>
      <c r="D12093">
        <v>18</v>
      </c>
      <c r="E12093" s="2">
        <v>1.4502314814814815E-2</v>
      </c>
      <c r="F12093">
        <v>20.883333333333333</v>
      </c>
    </row>
    <row r="12094" spans="1:6" x14ac:dyDescent="0.25">
      <c r="A12094" s="1">
        <v>42705</v>
      </c>
      <c r="B12094" t="s">
        <v>24</v>
      </c>
      <c r="C12094" t="s">
        <v>9</v>
      </c>
      <c r="D12094">
        <v>0</v>
      </c>
      <c r="E12094" s="2">
        <v>0</v>
      </c>
      <c r="F12094">
        <v>0</v>
      </c>
    </row>
    <row r="12095" spans="1:6" x14ac:dyDescent="0.25">
      <c r="A12095" s="1">
        <v>42705</v>
      </c>
      <c r="B12095" t="s">
        <v>24</v>
      </c>
      <c r="C12095" t="s">
        <v>10</v>
      </c>
      <c r="D12095">
        <v>2</v>
      </c>
      <c r="E12095" s="2">
        <v>2.4421296296296296E-3</v>
      </c>
      <c r="F12095">
        <v>3.5166666666666666</v>
      </c>
    </row>
    <row r="12096" spans="1:6" x14ac:dyDescent="0.25">
      <c r="A12096" s="1">
        <v>42705</v>
      </c>
      <c r="B12096" t="s">
        <v>24</v>
      </c>
      <c r="C12096" t="s">
        <v>11</v>
      </c>
      <c r="D12096">
        <v>18</v>
      </c>
      <c r="E12096" s="2">
        <v>1.4282407407407407E-2</v>
      </c>
      <c r="F12096">
        <v>20.566666666666666</v>
      </c>
    </row>
    <row r="12097" spans="1:6" x14ac:dyDescent="0.25">
      <c r="A12097" s="1">
        <v>42736</v>
      </c>
      <c r="B12097" t="s">
        <v>5</v>
      </c>
      <c r="C12097" t="s">
        <v>6</v>
      </c>
      <c r="D12097">
        <v>50</v>
      </c>
      <c r="E12097" s="2">
        <v>4.5879629629629631E-2</v>
      </c>
      <c r="F12097">
        <v>66.066666666666663</v>
      </c>
    </row>
    <row r="12098" spans="1:6" x14ac:dyDescent="0.25">
      <c r="A12098" s="1">
        <v>42736</v>
      </c>
      <c r="B12098" t="s">
        <v>5</v>
      </c>
      <c r="C12098" t="s">
        <v>7</v>
      </c>
      <c r="D12098">
        <v>59</v>
      </c>
      <c r="E12098" s="2">
        <v>5.724537037037037E-2</v>
      </c>
      <c r="F12098">
        <v>82.433333333333337</v>
      </c>
    </row>
    <row r="12099" spans="1:6" x14ac:dyDescent="0.25">
      <c r="A12099" s="1">
        <v>42736</v>
      </c>
      <c r="B12099" t="s">
        <v>5</v>
      </c>
      <c r="C12099" t="s">
        <v>8</v>
      </c>
      <c r="D12099">
        <v>49</v>
      </c>
      <c r="E12099" s="2">
        <v>4.0254629629629626E-2</v>
      </c>
      <c r="F12099">
        <v>57.966666666666669</v>
      </c>
    </row>
    <row r="12100" spans="1:6" x14ac:dyDescent="0.25">
      <c r="A12100" s="1">
        <v>42736</v>
      </c>
      <c r="B12100" t="s">
        <v>5</v>
      </c>
      <c r="C12100" t="s">
        <v>9</v>
      </c>
      <c r="D12100">
        <v>0</v>
      </c>
      <c r="E12100" s="2">
        <v>0</v>
      </c>
      <c r="F12100">
        <v>0</v>
      </c>
    </row>
    <row r="12101" spans="1:6" x14ac:dyDescent="0.25">
      <c r="A12101" s="1">
        <v>42736</v>
      </c>
      <c r="B12101" t="s">
        <v>5</v>
      </c>
      <c r="C12101" t="s">
        <v>10</v>
      </c>
      <c r="D12101">
        <v>3</v>
      </c>
      <c r="E12101" s="2">
        <v>1.8981481481481482E-3</v>
      </c>
      <c r="F12101">
        <v>2.7333333333333334</v>
      </c>
    </row>
    <row r="12102" spans="1:6" x14ac:dyDescent="0.25">
      <c r="A12102" s="1">
        <v>42736</v>
      </c>
      <c r="B12102" t="s">
        <v>5</v>
      </c>
      <c r="C12102" t="s">
        <v>11</v>
      </c>
      <c r="D12102">
        <v>46</v>
      </c>
      <c r="E12102" s="2">
        <v>3.2395833333333332E-2</v>
      </c>
      <c r="F12102">
        <v>46.65</v>
      </c>
    </row>
    <row r="12103" spans="1:6" x14ac:dyDescent="0.25">
      <c r="A12103" s="1">
        <v>42736</v>
      </c>
      <c r="B12103" t="s">
        <v>12</v>
      </c>
      <c r="C12103" t="s">
        <v>6</v>
      </c>
      <c r="D12103">
        <v>48</v>
      </c>
      <c r="E12103" s="2">
        <v>7.3611111111111113E-2</v>
      </c>
      <c r="F12103">
        <v>106</v>
      </c>
    </row>
    <row r="12104" spans="1:6" x14ac:dyDescent="0.25">
      <c r="A12104" s="1">
        <v>42736</v>
      </c>
      <c r="B12104" t="s">
        <v>12</v>
      </c>
      <c r="C12104" t="s">
        <v>7</v>
      </c>
      <c r="D12104">
        <v>33</v>
      </c>
      <c r="E12104" s="2">
        <v>5.7083333333333333E-2</v>
      </c>
      <c r="F12104">
        <v>82.2</v>
      </c>
    </row>
    <row r="12105" spans="1:6" x14ac:dyDescent="0.25">
      <c r="A12105" s="1">
        <v>42736</v>
      </c>
      <c r="B12105" t="s">
        <v>12</v>
      </c>
      <c r="C12105" t="s">
        <v>8</v>
      </c>
      <c r="D12105">
        <v>27</v>
      </c>
      <c r="E12105" s="2">
        <v>3.695601851851852E-2</v>
      </c>
      <c r="F12105">
        <v>53.216666666666669</v>
      </c>
    </row>
    <row r="12106" spans="1:6" x14ac:dyDescent="0.25">
      <c r="A12106" s="1">
        <v>42736</v>
      </c>
      <c r="B12106" t="s">
        <v>12</v>
      </c>
      <c r="C12106" t="s">
        <v>9</v>
      </c>
      <c r="D12106">
        <v>0</v>
      </c>
      <c r="E12106" s="2">
        <v>0</v>
      </c>
      <c r="F12106">
        <v>0</v>
      </c>
    </row>
    <row r="12107" spans="1:6" x14ac:dyDescent="0.25">
      <c r="A12107" s="1">
        <v>42736</v>
      </c>
      <c r="B12107" t="s">
        <v>12</v>
      </c>
      <c r="C12107" t="s">
        <v>10</v>
      </c>
      <c r="D12107">
        <v>34</v>
      </c>
      <c r="E12107" s="2">
        <v>5.5324074074074074E-2</v>
      </c>
      <c r="F12107">
        <v>79.666666666666671</v>
      </c>
    </row>
    <row r="12108" spans="1:6" x14ac:dyDescent="0.25">
      <c r="A12108" s="1">
        <v>42736</v>
      </c>
      <c r="B12108" t="s">
        <v>12</v>
      </c>
      <c r="C12108" t="s">
        <v>11</v>
      </c>
      <c r="D12108">
        <v>55</v>
      </c>
      <c r="E12108" s="2">
        <v>7.6215277777777785E-2</v>
      </c>
      <c r="F12108">
        <v>109.75</v>
      </c>
    </row>
    <row r="12109" spans="1:6" x14ac:dyDescent="0.25">
      <c r="A12109" s="1">
        <v>42736</v>
      </c>
      <c r="B12109" t="s">
        <v>13</v>
      </c>
      <c r="C12109" t="s">
        <v>6</v>
      </c>
      <c r="D12109">
        <v>44</v>
      </c>
      <c r="E12109" s="2">
        <v>6.6319444444444445E-2</v>
      </c>
      <c r="F12109">
        <v>95.5</v>
      </c>
    </row>
    <row r="12110" spans="1:6" x14ac:dyDescent="0.25">
      <c r="A12110" s="1">
        <v>42736</v>
      </c>
      <c r="B12110" t="s">
        <v>13</v>
      </c>
      <c r="C12110" t="s">
        <v>7</v>
      </c>
      <c r="D12110">
        <v>70</v>
      </c>
      <c r="E12110" s="2">
        <v>0.12064814814814814</v>
      </c>
      <c r="F12110">
        <v>173.73333333333332</v>
      </c>
    </row>
    <row r="12111" spans="1:6" x14ac:dyDescent="0.25">
      <c r="A12111" s="1">
        <v>42736</v>
      </c>
      <c r="B12111" t="s">
        <v>13</v>
      </c>
      <c r="C12111" t="s">
        <v>8</v>
      </c>
      <c r="D12111">
        <v>40</v>
      </c>
      <c r="E12111" s="2">
        <v>5.0636574074074077E-2</v>
      </c>
      <c r="F12111">
        <v>72.916666666666671</v>
      </c>
    </row>
    <row r="12112" spans="1:6" x14ac:dyDescent="0.25">
      <c r="A12112" s="1">
        <v>42736</v>
      </c>
      <c r="B12112" t="s">
        <v>13</v>
      </c>
      <c r="C12112" t="s">
        <v>9</v>
      </c>
      <c r="D12112">
        <v>0</v>
      </c>
      <c r="E12112" s="2">
        <v>0</v>
      </c>
      <c r="F12112">
        <v>0</v>
      </c>
    </row>
    <row r="12113" spans="1:6" x14ac:dyDescent="0.25">
      <c r="A12113" s="1">
        <v>42736</v>
      </c>
      <c r="B12113" t="s">
        <v>13</v>
      </c>
      <c r="C12113" t="s">
        <v>10</v>
      </c>
      <c r="D12113">
        <v>9</v>
      </c>
      <c r="E12113" s="2">
        <v>1.4467592592592593E-2</v>
      </c>
      <c r="F12113">
        <v>20.833333333333332</v>
      </c>
    </row>
    <row r="12114" spans="1:6" x14ac:dyDescent="0.25">
      <c r="A12114" s="1">
        <v>42736</v>
      </c>
      <c r="B12114" t="s">
        <v>13</v>
      </c>
      <c r="C12114" t="s">
        <v>11</v>
      </c>
      <c r="D12114">
        <v>49</v>
      </c>
      <c r="E12114" s="2">
        <v>6.0196759259259262E-2</v>
      </c>
      <c r="F12114">
        <v>86.683333333333337</v>
      </c>
    </row>
    <row r="12115" spans="1:6" x14ac:dyDescent="0.25">
      <c r="A12115" s="1">
        <v>42736</v>
      </c>
      <c r="B12115" t="s">
        <v>14</v>
      </c>
      <c r="C12115" t="s">
        <v>6</v>
      </c>
      <c r="D12115">
        <v>14</v>
      </c>
      <c r="E12115" s="2">
        <v>2.5844907407407407E-2</v>
      </c>
      <c r="F12115">
        <v>37.216666666666669</v>
      </c>
    </row>
    <row r="12116" spans="1:6" x14ac:dyDescent="0.25">
      <c r="A12116" s="1">
        <v>42736</v>
      </c>
      <c r="B12116" t="s">
        <v>14</v>
      </c>
      <c r="C12116" t="s">
        <v>7</v>
      </c>
      <c r="D12116">
        <v>7</v>
      </c>
      <c r="E12116" s="2">
        <v>2.3379629629629629E-2</v>
      </c>
      <c r="F12116">
        <v>33.666666666666664</v>
      </c>
    </row>
    <row r="12117" spans="1:6" x14ac:dyDescent="0.25">
      <c r="A12117" s="1">
        <v>42736</v>
      </c>
      <c r="B12117" t="s">
        <v>14</v>
      </c>
      <c r="C12117" t="s">
        <v>8</v>
      </c>
      <c r="D12117">
        <v>5</v>
      </c>
      <c r="E12117" s="2">
        <v>1.2500000000000001E-2</v>
      </c>
      <c r="F12117">
        <v>18</v>
      </c>
    </row>
    <row r="12118" spans="1:6" x14ac:dyDescent="0.25">
      <c r="A12118" s="1">
        <v>42736</v>
      </c>
      <c r="B12118" t="s">
        <v>14</v>
      </c>
      <c r="C12118" t="s">
        <v>9</v>
      </c>
      <c r="D12118">
        <v>0</v>
      </c>
      <c r="E12118" s="2">
        <v>0</v>
      </c>
      <c r="F12118">
        <v>0</v>
      </c>
    </row>
    <row r="12119" spans="1:6" x14ac:dyDescent="0.25">
      <c r="A12119" s="1">
        <v>42736</v>
      </c>
      <c r="B12119" t="s">
        <v>14</v>
      </c>
      <c r="C12119" t="s">
        <v>10</v>
      </c>
      <c r="D12119">
        <v>2</v>
      </c>
      <c r="E12119" s="2">
        <v>6.145833333333333E-3</v>
      </c>
      <c r="F12119">
        <v>8.85</v>
      </c>
    </row>
    <row r="12120" spans="1:6" x14ac:dyDescent="0.25">
      <c r="A12120" s="1">
        <v>42736</v>
      </c>
      <c r="B12120" t="s">
        <v>14</v>
      </c>
      <c r="C12120" t="s">
        <v>11</v>
      </c>
      <c r="D12120">
        <v>3</v>
      </c>
      <c r="E12120" s="2">
        <v>3.5648148148148149E-3</v>
      </c>
      <c r="F12120">
        <v>5.1333333333333337</v>
      </c>
    </row>
    <row r="12121" spans="1:6" x14ac:dyDescent="0.25">
      <c r="A12121" s="1">
        <v>42736</v>
      </c>
      <c r="B12121" t="s">
        <v>15</v>
      </c>
      <c r="C12121" t="s">
        <v>6</v>
      </c>
      <c r="D12121">
        <v>42</v>
      </c>
      <c r="E12121" s="2">
        <v>4.6435185185185184E-2</v>
      </c>
      <c r="F12121">
        <v>66.86666666666666</v>
      </c>
    </row>
    <row r="12122" spans="1:6" x14ac:dyDescent="0.25">
      <c r="A12122" s="1">
        <v>42736</v>
      </c>
      <c r="B12122" t="s">
        <v>15</v>
      </c>
      <c r="C12122" t="s">
        <v>7</v>
      </c>
      <c r="D12122">
        <v>35</v>
      </c>
      <c r="E12122" s="2">
        <v>3.3287037037037039E-2</v>
      </c>
      <c r="F12122">
        <v>47.93333333333333</v>
      </c>
    </row>
    <row r="12123" spans="1:6" x14ac:dyDescent="0.25">
      <c r="A12123" s="1">
        <v>42736</v>
      </c>
      <c r="B12123" t="s">
        <v>15</v>
      </c>
      <c r="C12123" t="s">
        <v>8</v>
      </c>
      <c r="D12123">
        <v>27</v>
      </c>
      <c r="E12123" s="2">
        <v>3.2951388888888891E-2</v>
      </c>
      <c r="F12123">
        <v>47.45</v>
      </c>
    </row>
    <row r="12124" spans="1:6" x14ac:dyDescent="0.25">
      <c r="A12124" s="1">
        <v>42736</v>
      </c>
      <c r="B12124" t="s">
        <v>15</v>
      </c>
      <c r="C12124" t="s">
        <v>9</v>
      </c>
      <c r="D12124">
        <v>0</v>
      </c>
      <c r="E12124" s="2">
        <v>0</v>
      </c>
      <c r="F12124">
        <v>0</v>
      </c>
    </row>
    <row r="12125" spans="1:6" x14ac:dyDescent="0.25">
      <c r="A12125" s="1">
        <v>42736</v>
      </c>
      <c r="B12125" t="s">
        <v>15</v>
      </c>
      <c r="C12125" t="s">
        <v>10</v>
      </c>
      <c r="D12125">
        <v>6</v>
      </c>
      <c r="E12125" s="2">
        <v>7.8819444444444449E-3</v>
      </c>
      <c r="F12125">
        <v>11.35</v>
      </c>
    </row>
    <row r="12126" spans="1:6" x14ac:dyDescent="0.25">
      <c r="A12126" s="1">
        <v>42736</v>
      </c>
      <c r="B12126" t="s">
        <v>15</v>
      </c>
      <c r="C12126" t="s">
        <v>11</v>
      </c>
      <c r="D12126">
        <v>26</v>
      </c>
      <c r="E12126" s="2">
        <v>2.2719907407407407E-2</v>
      </c>
      <c r="F12126">
        <v>32.716666666666669</v>
      </c>
    </row>
    <row r="12127" spans="1:6" x14ac:dyDescent="0.25">
      <c r="A12127" s="1">
        <v>42736</v>
      </c>
      <c r="B12127" t="s">
        <v>16</v>
      </c>
      <c r="C12127" t="s">
        <v>6</v>
      </c>
      <c r="D12127">
        <v>10</v>
      </c>
      <c r="E12127" s="2">
        <v>8.7962962962962968E-3</v>
      </c>
      <c r="F12127">
        <v>12.666666666666666</v>
      </c>
    </row>
    <row r="12128" spans="1:6" x14ac:dyDescent="0.25">
      <c r="A12128" s="1">
        <v>42736</v>
      </c>
      <c r="B12128" t="s">
        <v>16</v>
      </c>
      <c r="C12128" t="s">
        <v>7</v>
      </c>
      <c r="D12128">
        <v>13</v>
      </c>
      <c r="E12128" s="2">
        <v>1.1180555555555555E-2</v>
      </c>
      <c r="F12128">
        <v>16.100000000000001</v>
      </c>
    </row>
    <row r="12129" spans="1:6" x14ac:dyDescent="0.25">
      <c r="A12129" s="1">
        <v>42736</v>
      </c>
      <c r="B12129" t="s">
        <v>16</v>
      </c>
      <c r="C12129" t="s">
        <v>8</v>
      </c>
      <c r="D12129">
        <v>20</v>
      </c>
      <c r="E12129" s="2">
        <v>1.7025462962962964E-2</v>
      </c>
      <c r="F12129">
        <v>24.516666666666666</v>
      </c>
    </row>
    <row r="12130" spans="1:6" x14ac:dyDescent="0.25">
      <c r="A12130" s="1">
        <v>42736</v>
      </c>
      <c r="B12130" t="s">
        <v>16</v>
      </c>
      <c r="C12130" t="s">
        <v>9</v>
      </c>
      <c r="D12130">
        <v>0</v>
      </c>
      <c r="E12130" s="2">
        <v>0</v>
      </c>
      <c r="F12130">
        <v>0</v>
      </c>
    </row>
    <row r="12131" spans="1:6" x14ac:dyDescent="0.25">
      <c r="A12131" s="1">
        <v>42736</v>
      </c>
      <c r="B12131" t="s">
        <v>16</v>
      </c>
      <c r="C12131" t="s">
        <v>10</v>
      </c>
      <c r="D12131">
        <v>4</v>
      </c>
      <c r="E12131" s="2">
        <v>4.6527777777777774E-3</v>
      </c>
      <c r="F12131">
        <v>6.7</v>
      </c>
    </row>
    <row r="12132" spans="1:6" x14ac:dyDescent="0.25">
      <c r="A12132" s="1">
        <v>42736</v>
      </c>
      <c r="B12132" t="s">
        <v>16</v>
      </c>
      <c r="C12132" t="s">
        <v>11</v>
      </c>
      <c r="D12132">
        <v>27</v>
      </c>
      <c r="E12132" s="2">
        <v>2.2824074074074073E-2</v>
      </c>
      <c r="F12132">
        <v>32.866666666666667</v>
      </c>
    </row>
    <row r="12133" spans="1:6" x14ac:dyDescent="0.25">
      <c r="A12133" s="1">
        <v>42736</v>
      </c>
      <c r="B12133" t="s">
        <v>17</v>
      </c>
      <c r="C12133" t="s">
        <v>6</v>
      </c>
      <c r="D12133">
        <v>9</v>
      </c>
      <c r="E12133" s="2">
        <v>7.8009259259259256E-3</v>
      </c>
      <c r="F12133">
        <v>11.233333333333333</v>
      </c>
    </row>
    <row r="12134" spans="1:6" x14ac:dyDescent="0.25">
      <c r="A12134" s="1">
        <v>42736</v>
      </c>
      <c r="B12134" t="s">
        <v>17</v>
      </c>
      <c r="C12134" t="s">
        <v>7</v>
      </c>
      <c r="D12134">
        <v>12</v>
      </c>
      <c r="E12134" s="2">
        <v>1.2731481481481481E-2</v>
      </c>
      <c r="F12134">
        <v>18.333333333333332</v>
      </c>
    </row>
    <row r="12135" spans="1:6" x14ac:dyDescent="0.25">
      <c r="A12135" s="1">
        <v>42736</v>
      </c>
      <c r="B12135" t="s">
        <v>17</v>
      </c>
      <c r="C12135" t="s">
        <v>8</v>
      </c>
      <c r="D12135">
        <v>8</v>
      </c>
      <c r="E12135" s="2">
        <v>8.7500000000000008E-3</v>
      </c>
      <c r="F12135">
        <v>12.6</v>
      </c>
    </row>
    <row r="12136" spans="1:6" x14ac:dyDescent="0.25">
      <c r="A12136" s="1">
        <v>42736</v>
      </c>
      <c r="B12136" t="s">
        <v>17</v>
      </c>
      <c r="C12136" t="s">
        <v>9</v>
      </c>
      <c r="D12136">
        <v>0</v>
      </c>
      <c r="E12136" s="2">
        <v>0</v>
      </c>
      <c r="F12136">
        <v>0</v>
      </c>
    </row>
    <row r="12137" spans="1:6" x14ac:dyDescent="0.25">
      <c r="A12137" s="1">
        <v>42736</v>
      </c>
      <c r="B12137" t="s">
        <v>17</v>
      </c>
      <c r="C12137" t="s">
        <v>10</v>
      </c>
      <c r="D12137">
        <v>11</v>
      </c>
      <c r="E12137" s="2">
        <v>8.4259259259259253E-3</v>
      </c>
      <c r="F12137">
        <v>12.133333333333333</v>
      </c>
    </row>
    <row r="12138" spans="1:6" x14ac:dyDescent="0.25">
      <c r="A12138" s="1">
        <v>42736</v>
      </c>
      <c r="B12138" t="s">
        <v>17</v>
      </c>
      <c r="C12138" t="s">
        <v>11</v>
      </c>
      <c r="D12138">
        <v>10</v>
      </c>
      <c r="E12138" s="2">
        <v>4.1666666666666666E-3</v>
      </c>
      <c r="F12138">
        <v>6</v>
      </c>
    </row>
    <row r="12139" spans="1:6" x14ac:dyDescent="0.25">
      <c r="A12139" s="1">
        <v>42736</v>
      </c>
      <c r="B12139" t="s">
        <v>18</v>
      </c>
      <c r="C12139" t="s">
        <v>6</v>
      </c>
      <c r="D12139">
        <v>57</v>
      </c>
      <c r="E12139" s="2">
        <v>6.2106481481481485E-2</v>
      </c>
      <c r="F12139">
        <v>89.433333333333337</v>
      </c>
    </row>
    <row r="12140" spans="1:6" x14ac:dyDescent="0.25">
      <c r="A12140" s="1">
        <v>42736</v>
      </c>
      <c r="B12140" t="s">
        <v>18</v>
      </c>
      <c r="C12140" t="s">
        <v>7</v>
      </c>
      <c r="D12140">
        <v>110</v>
      </c>
      <c r="E12140" s="2">
        <v>0.10737268518518518</v>
      </c>
      <c r="F12140">
        <v>154.61666666666667</v>
      </c>
    </row>
    <row r="12141" spans="1:6" x14ac:dyDescent="0.25">
      <c r="A12141" s="1">
        <v>42736</v>
      </c>
      <c r="B12141" t="s">
        <v>18</v>
      </c>
      <c r="C12141" t="s">
        <v>8</v>
      </c>
      <c r="D12141">
        <v>51</v>
      </c>
      <c r="E12141" s="2">
        <v>3.8680555555555558E-2</v>
      </c>
      <c r="F12141">
        <v>55.7</v>
      </c>
    </row>
    <row r="12142" spans="1:6" x14ac:dyDescent="0.25">
      <c r="A12142" s="1">
        <v>42736</v>
      </c>
      <c r="B12142" t="s">
        <v>18</v>
      </c>
      <c r="C12142" t="s">
        <v>9</v>
      </c>
      <c r="D12142">
        <v>0</v>
      </c>
      <c r="E12142" s="2">
        <v>0</v>
      </c>
      <c r="F12142">
        <v>0</v>
      </c>
    </row>
    <row r="12143" spans="1:6" x14ac:dyDescent="0.25">
      <c r="A12143" s="1">
        <v>42736</v>
      </c>
      <c r="B12143" t="s">
        <v>18</v>
      </c>
      <c r="C12143" t="s">
        <v>10</v>
      </c>
      <c r="D12143">
        <v>163</v>
      </c>
      <c r="E12143" s="2">
        <v>0.20129629629629631</v>
      </c>
      <c r="F12143">
        <v>289.86666666666667</v>
      </c>
    </row>
    <row r="12144" spans="1:6" x14ac:dyDescent="0.25">
      <c r="A12144" s="1">
        <v>42736</v>
      </c>
      <c r="B12144" t="s">
        <v>18</v>
      </c>
      <c r="C12144" t="s">
        <v>11</v>
      </c>
      <c r="D12144">
        <v>70</v>
      </c>
      <c r="E12144" s="2">
        <v>5.2962962962962962E-2</v>
      </c>
      <c r="F12144">
        <v>76.266666666666666</v>
      </c>
    </row>
    <row r="12145" spans="1:6" x14ac:dyDescent="0.25">
      <c r="A12145" s="1">
        <v>42736</v>
      </c>
      <c r="B12145" t="s">
        <v>19</v>
      </c>
      <c r="C12145" t="s">
        <v>6</v>
      </c>
      <c r="D12145">
        <v>13</v>
      </c>
      <c r="E12145" s="2">
        <v>1.2430555555555556E-2</v>
      </c>
      <c r="F12145">
        <v>17.899999999999999</v>
      </c>
    </row>
    <row r="12146" spans="1:6" x14ac:dyDescent="0.25">
      <c r="A12146" s="1">
        <v>42736</v>
      </c>
      <c r="B12146" t="s">
        <v>19</v>
      </c>
      <c r="C12146" t="s">
        <v>7</v>
      </c>
      <c r="D12146">
        <v>14</v>
      </c>
      <c r="E12146" s="2">
        <v>1.6400462962962964E-2</v>
      </c>
      <c r="F12146">
        <v>23.616666666666667</v>
      </c>
    </row>
    <row r="12147" spans="1:6" x14ac:dyDescent="0.25">
      <c r="A12147" s="1">
        <v>42736</v>
      </c>
      <c r="B12147" t="s">
        <v>19</v>
      </c>
      <c r="C12147" t="s">
        <v>8</v>
      </c>
      <c r="D12147">
        <v>20</v>
      </c>
      <c r="E12147" s="2">
        <v>1.6296296296296295E-2</v>
      </c>
      <c r="F12147">
        <v>23.466666666666665</v>
      </c>
    </row>
    <row r="12148" spans="1:6" x14ac:dyDescent="0.25">
      <c r="A12148" s="1">
        <v>42736</v>
      </c>
      <c r="B12148" t="s">
        <v>19</v>
      </c>
      <c r="C12148" t="s">
        <v>9</v>
      </c>
      <c r="D12148">
        <v>0</v>
      </c>
      <c r="E12148" s="2">
        <v>0</v>
      </c>
      <c r="F12148">
        <v>0</v>
      </c>
    </row>
    <row r="12149" spans="1:6" x14ac:dyDescent="0.25">
      <c r="A12149" s="1">
        <v>42736</v>
      </c>
      <c r="B12149" t="s">
        <v>19</v>
      </c>
      <c r="C12149" t="s">
        <v>10</v>
      </c>
      <c r="D12149">
        <v>11</v>
      </c>
      <c r="E12149" s="2">
        <v>1.2951388888888889E-2</v>
      </c>
      <c r="F12149">
        <v>18.649999999999999</v>
      </c>
    </row>
    <row r="12150" spans="1:6" x14ac:dyDescent="0.25">
      <c r="A12150" s="1">
        <v>42736</v>
      </c>
      <c r="B12150" t="s">
        <v>19</v>
      </c>
      <c r="C12150" t="s">
        <v>11</v>
      </c>
      <c r="D12150">
        <v>26</v>
      </c>
      <c r="E12150" s="2">
        <v>2.3206018518518518E-2</v>
      </c>
      <c r="F12150">
        <v>33.416666666666664</v>
      </c>
    </row>
    <row r="12151" spans="1:6" x14ac:dyDescent="0.25">
      <c r="A12151" s="1">
        <v>42736</v>
      </c>
      <c r="B12151" t="s">
        <v>20</v>
      </c>
      <c r="C12151" t="s">
        <v>6</v>
      </c>
      <c r="D12151">
        <v>174</v>
      </c>
      <c r="E12151" s="2">
        <v>0.25721064814814815</v>
      </c>
      <c r="F12151">
        <v>370.38333333333333</v>
      </c>
    </row>
    <row r="12152" spans="1:6" x14ac:dyDescent="0.25">
      <c r="A12152" s="1">
        <v>42736</v>
      </c>
      <c r="B12152" t="s">
        <v>20</v>
      </c>
      <c r="C12152" t="s">
        <v>7</v>
      </c>
      <c r="D12152">
        <v>141</v>
      </c>
      <c r="E12152" s="2">
        <v>0.16662037037037036</v>
      </c>
      <c r="F12152">
        <v>239.93333333333334</v>
      </c>
    </row>
    <row r="12153" spans="1:6" x14ac:dyDescent="0.25">
      <c r="A12153" s="1">
        <v>42736</v>
      </c>
      <c r="B12153" t="s">
        <v>20</v>
      </c>
      <c r="C12153" t="s">
        <v>8</v>
      </c>
      <c r="D12153">
        <v>114</v>
      </c>
      <c r="E12153" s="2">
        <v>0.10991898148148148</v>
      </c>
      <c r="F12153">
        <v>158.28333333333333</v>
      </c>
    </row>
    <row r="12154" spans="1:6" x14ac:dyDescent="0.25">
      <c r="A12154" s="1">
        <v>42736</v>
      </c>
      <c r="B12154" t="s">
        <v>20</v>
      </c>
      <c r="C12154" t="s">
        <v>9</v>
      </c>
      <c r="D12154">
        <v>0</v>
      </c>
      <c r="E12154" s="2">
        <v>0</v>
      </c>
      <c r="F12154">
        <v>0</v>
      </c>
    </row>
    <row r="12155" spans="1:6" x14ac:dyDescent="0.25">
      <c r="A12155" s="1">
        <v>42736</v>
      </c>
      <c r="B12155" t="s">
        <v>20</v>
      </c>
      <c r="C12155" t="s">
        <v>10</v>
      </c>
      <c r="D12155">
        <v>26</v>
      </c>
      <c r="E12155" s="2">
        <v>3.1990740740740743E-2</v>
      </c>
      <c r="F12155">
        <v>46.06666666666667</v>
      </c>
    </row>
    <row r="12156" spans="1:6" x14ac:dyDescent="0.25">
      <c r="A12156" s="1">
        <v>42736</v>
      </c>
      <c r="B12156" t="s">
        <v>20</v>
      </c>
      <c r="C12156" t="s">
        <v>11</v>
      </c>
      <c r="D12156">
        <v>130</v>
      </c>
      <c r="E12156" s="2">
        <v>0.11203703703703703</v>
      </c>
      <c r="F12156">
        <v>161.33333333333334</v>
      </c>
    </row>
    <row r="12157" spans="1:6" x14ac:dyDescent="0.25">
      <c r="A12157" s="1">
        <v>42736</v>
      </c>
      <c r="B12157" t="s">
        <v>21</v>
      </c>
      <c r="C12157" t="s">
        <v>6</v>
      </c>
      <c r="D12157">
        <v>19</v>
      </c>
      <c r="E12157" s="2">
        <v>2.2256944444444444E-2</v>
      </c>
      <c r="F12157">
        <v>32.049999999999997</v>
      </c>
    </row>
    <row r="12158" spans="1:6" x14ac:dyDescent="0.25">
      <c r="A12158" s="1">
        <v>42736</v>
      </c>
      <c r="B12158" t="s">
        <v>21</v>
      </c>
      <c r="C12158" t="s">
        <v>7</v>
      </c>
      <c r="D12158">
        <v>18</v>
      </c>
      <c r="E12158" s="2">
        <v>2.9861111111111113E-2</v>
      </c>
      <c r="F12158">
        <v>43</v>
      </c>
    </row>
    <row r="12159" spans="1:6" x14ac:dyDescent="0.25">
      <c r="A12159" s="1">
        <v>42736</v>
      </c>
      <c r="B12159" t="s">
        <v>21</v>
      </c>
      <c r="C12159" t="s">
        <v>8</v>
      </c>
      <c r="D12159">
        <v>28</v>
      </c>
      <c r="E12159" s="2">
        <v>3.4652777777777775E-2</v>
      </c>
      <c r="F12159">
        <v>49.9</v>
      </c>
    </row>
    <row r="12160" spans="1:6" x14ac:dyDescent="0.25">
      <c r="A12160" s="1">
        <v>42736</v>
      </c>
      <c r="B12160" t="s">
        <v>21</v>
      </c>
      <c r="C12160" t="s">
        <v>9</v>
      </c>
      <c r="D12160">
        <v>0</v>
      </c>
      <c r="E12160" s="2">
        <v>0</v>
      </c>
      <c r="F12160">
        <v>0</v>
      </c>
    </row>
    <row r="12161" spans="1:6" x14ac:dyDescent="0.25">
      <c r="A12161" s="1">
        <v>42736</v>
      </c>
      <c r="B12161" t="s">
        <v>21</v>
      </c>
      <c r="C12161" t="s">
        <v>10</v>
      </c>
      <c r="D12161">
        <v>3</v>
      </c>
      <c r="E12161" s="2">
        <v>5.8912037037037041E-3</v>
      </c>
      <c r="F12161">
        <v>8.4833333333333325</v>
      </c>
    </row>
    <row r="12162" spans="1:6" x14ac:dyDescent="0.25">
      <c r="A12162" s="1">
        <v>42736</v>
      </c>
      <c r="B12162" t="s">
        <v>21</v>
      </c>
      <c r="C12162" t="s">
        <v>11</v>
      </c>
      <c r="D12162">
        <v>21</v>
      </c>
      <c r="E12162" s="2">
        <v>2.554398148148148E-2</v>
      </c>
      <c r="F12162">
        <v>36.783333333333331</v>
      </c>
    </row>
    <row r="12163" spans="1:6" x14ac:dyDescent="0.25">
      <c r="A12163" s="1">
        <v>42736</v>
      </c>
      <c r="B12163" t="s">
        <v>22</v>
      </c>
      <c r="C12163" t="s">
        <v>6</v>
      </c>
      <c r="D12163">
        <v>26</v>
      </c>
      <c r="E12163" s="2">
        <v>4.4837962962962961E-2</v>
      </c>
      <c r="F12163">
        <v>64.566666666666663</v>
      </c>
    </row>
    <row r="12164" spans="1:6" x14ac:dyDescent="0.25">
      <c r="A12164" s="1">
        <v>42736</v>
      </c>
      <c r="B12164" t="s">
        <v>22</v>
      </c>
      <c r="C12164" t="s">
        <v>7</v>
      </c>
      <c r="D12164">
        <v>12</v>
      </c>
      <c r="E12164" s="2">
        <v>1.8425925925925925E-2</v>
      </c>
      <c r="F12164">
        <v>26.533333333333335</v>
      </c>
    </row>
    <row r="12165" spans="1:6" x14ac:dyDescent="0.25">
      <c r="A12165" s="1">
        <v>42736</v>
      </c>
      <c r="B12165" t="s">
        <v>22</v>
      </c>
      <c r="C12165" t="s">
        <v>8</v>
      </c>
      <c r="D12165">
        <v>7</v>
      </c>
      <c r="E12165" s="2">
        <v>9.6990740740740735E-3</v>
      </c>
      <c r="F12165">
        <v>13.966666666666667</v>
      </c>
    </row>
    <row r="12166" spans="1:6" x14ac:dyDescent="0.25">
      <c r="A12166" s="1">
        <v>42736</v>
      </c>
      <c r="B12166" t="s">
        <v>22</v>
      </c>
      <c r="C12166" t="s">
        <v>9</v>
      </c>
      <c r="D12166">
        <v>0</v>
      </c>
      <c r="E12166" s="2">
        <v>0</v>
      </c>
      <c r="F12166">
        <v>0</v>
      </c>
    </row>
    <row r="12167" spans="1:6" x14ac:dyDescent="0.25">
      <c r="A12167" s="1">
        <v>42736</v>
      </c>
      <c r="B12167" t="s">
        <v>22</v>
      </c>
      <c r="C12167" t="s">
        <v>10</v>
      </c>
      <c r="D12167">
        <v>5</v>
      </c>
      <c r="E12167" s="2">
        <v>6.9328703703703705E-3</v>
      </c>
      <c r="F12167">
        <v>9.9833333333333325</v>
      </c>
    </row>
    <row r="12168" spans="1:6" x14ac:dyDescent="0.25">
      <c r="A12168" s="1">
        <v>42736</v>
      </c>
      <c r="B12168" t="s">
        <v>22</v>
      </c>
      <c r="C12168" t="s">
        <v>11</v>
      </c>
      <c r="D12168">
        <v>9</v>
      </c>
      <c r="E12168" s="2">
        <v>1.0613425925925925E-2</v>
      </c>
      <c r="F12168">
        <v>15.283333333333333</v>
      </c>
    </row>
    <row r="12169" spans="1:6" x14ac:dyDescent="0.25">
      <c r="A12169" s="1">
        <v>42736</v>
      </c>
      <c r="B12169" t="s">
        <v>23</v>
      </c>
      <c r="C12169" t="s">
        <v>6</v>
      </c>
      <c r="D12169">
        <v>78</v>
      </c>
      <c r="E12169" s="2">
        <v>0.11874999999999999</v>
      </c>
      <c r="F12169">
        <v>171</v>
      </c>
    </row>
    <row r="12170" spans="1:6" x14ac:dyDescent="0.25">
      <c r="A12170" s="1">
        <v>42736</v>
      </c>
      <c r="B12170" t="s">
        <v>23</v>
      </c>
      <c r="C12170" t="s">
        <v>7</v>
      </c>
      <c r="D12170">
        <v>80</v>
      </c>
      <c r="E12170" s="2">
        <v>0.13960648148148147</v>
      </c>
      <c r="F12170">
        <v>201.03333333333333</v>
      </c>
    </row>
    <row r="12171" spans="1:6" x14ac:dyDescent="0.25">
      <c r="A12171" s="1">
        <v>42736</v>
      </c>
      <c r="B12171" t="s">
        <v>23</v>
      </c>
      <c r="C12171" t="s">
        <v>8</v>
      </c>
      <c r="D12171">
        <v>71</v>
      </c>
      <c r="E12171" s="2">
        <v>8.9189814814814819E-2</v>
      </c>
      <c r="F12171">
        <v>128.43333333333334</v>
      </c>
    </row>
    <row r="12172" spans="1:6" x14ac:dyDescent="0.25">
      <c r="A12172" s="1">
        <v>42736</v>
      </c>
      <c r="B12172" t="s">
        <v>23</v>
      </c>
      <c r="C12172" t="s">
        <v>9</v>
      </c>
      <c r="D12172">
        <v>0</v>
      </c>
      <c r="E12172" s="2">
        <v>0</v>
      </c>
      <c r="F12172">
        <v>0</v>
      </c>
    </row>
    <row r="12173" spans="1:6" x14ac:dyDescent="0.25">
      <c r="A12173" s="1">
        <v>42736</v>
      </c>
      <c r="B12173" t="s">
        <v>23</v>
      </c>
      <c r="C12173" t="s">
        <v>10</v>
      </c>
      <c r="D12173">
        <v>20</v>
      </c>
      <c r="E12173" s="2">
        <v>3.8206018518518521E-2</v>
      </c>
      <c r="F12173">
        <v>55.016666666666666</v>
      </c>
    </row>
    <row r="12174" spans="1:6" x14ac:dyDescent="0.25">
      <c r="A12174" s="1">
        <v>42736</v>
      </c>
      <c r="B12174" t="s">
        <v>23</v>
      </c>
      <c r="C12174" t="s">
        <v>11</v>
      </c>
      <c r="D12174">
        <v>83</v>
      </c>
      <c r="E12174" s="2">
        <v>9.2696759259259257E-2</v>
      </c>
      <c r="F12174">
        <v>133.48333333333332</v>
      </c>
    </row>
    <row r="12175" spans="1:6" x14ac:dyDescent="0.25">
      <c r="A12175" s="1">
        <v>42736</v>
      </c>
      <c r="B12175" t="s">
        <v>24</v>
      </c>
      <c r="C12175" t="s">
        <v>6</v>
      </c>
      <c r="D12175">
        <v>50</v>
      </c>
      <c r="E12175" s="2">
        <v>6.1527777777777778E-2</v>
      </c>
      <c r="F12175">
        <v>88.6</v>
      </c>
    </row>
    <row r="12176" spans="1:6" x14ac:dyDescent="0.25">
      <c r="A12176" s="1">
        <v>42736</v>
      </c>
      <c r="B12176" t="s">
        <v>24</v>
      </c>
      <c r="C12176" t="s">
        <v>7</v>
      </c>
      <c r="D12176">
        <v>26</v>
      </c>
      <c r="E12176" s="2">
        <v>2.5428240740740741E-2</v>
      </c>
      <c r="F12176">
        <v>36.616666666666667</v>
      </c>
    </row>
    <row r="12177" spans="1:6" x14ac:dyDescent="0.25">
      <c r="A12177" s="1">
        <v>42736</v>
      </c>
      <c r="B12177" t="s">
        <v>24</v>
      </c>
      <c r="C12177" t="s">
        <v>8</v>
      </c>
      <c r="D12177">
        <v>31</v>
      </c>
      <c r="E12177" s="2">
        <v>2.4907407407407406E-2</v>
      </c>
      <c r="F12177">
        <v>35.866666666666667</v>
      </c>
    </row>
    <row r="12178" spans="1:6" x14ac:dyDescent="0.25">
      <c r="A12178" s="1">
        <v>42736</v>
      </c>
      <c r="B12178" t="s">
        <v>24</v>
      </c>
      <c r="C12178" t="s">
        <v>9</v>
      </c>
      <c r="D12178">
        <v>0</v>
      </c>
      <c r="E12178" s="2">
        <v>0</v>
      </c>
      <c r="F12178">
        <v>0</v>
      </c>
    </row>
    <row r="12179" spans="1:6" x14ac:dyDescent="0.25">
      <c r="A12179" s="1">
        <v>42736</v>
      </c>
      <c r="B12179" t="s">
        <v>24</v>
      </c>
      <c r="C12179" t="s">
        <v>10</v>
      </c>
      <c r="D12179">
        <v>1</v>
      </c>
      <c r="E12179" s="2">
        <v>3.0092592592592595E-4</v>
      </c>
      <c r="F12179">
        <v>0.43333333333333335</v>
      </c>
    </row>
    <row r="12180" spans="1:6" x14ac:dyDescent="0.25">
      <c r="A12180" s="1">
        <v>42736</v>
      </c>
      <c r="B12180" t="s">
        <v>24</v>
      </c>
      <c r="C12180" t="s">
        <v>11</v>
      </c>
      <c r="D12180">
        <v>29</v>
      </c>
      <c r="E12180" s="2">
        <v>2.2615740740740742E-2</v>
      </c>
      <c r="F12180">
        <v>32.56666666666667</v>
      </c>
    </row>
    <row r="12181" spans="1:6" x14ac:dyDescent="0.25">
      <c r="A12181" s="1">
        <v>42767</v>
      </c>
      <c r="B12181" t="s">
        <v>5</v>
      </c>
      <c r="C12181" t="s">
        <v>6</v>
      </c>
      <c r="D12181">
        <v>19</v>
      </c>
      <c r="E12181" s="2">
        <v>1.9884259259259258E-2</v>
      </c>
      <c r="F12181">
        <v>28.633333333333333</v>
      </c>
    </row>
    <row r="12182" spans="1:6" x14ac:dyDescent="0.25">
      <c r="A12182" s="1">
        <v>42767</v>
      </c>
      <c r="B12182" t="s">
        <v>5</v>
      </c>
      <c r="C12182" t="s">
        <v>7</v>
      </c>
      <c r="D12182">
        <v>21</v>
      </c>
      <c r="E12182" s="2">
        <v>1.7013888888888887E-2</v>
      </c>
      <c r="F12182">
        <v>24.5</v>
      </c>
    </row>
    <row r="12183" spans="1:6" x14ac:dyDescent="0.25">
      <c r="A12183" s="1">
        <v>42767</v>
      </c>
      <c r="B12183" t="s">
        <v>5</v>
      </c>
      <c r="C12183" t="s">
        <v>8</v>
      </c>
      <c r="D12183">
        <v>27</v>
      </c>
      <c r="E12183" s="2">
        <v>2.582175925925926E-2</v>
      </c>
      <c r="F12183">
        <v>37.18333333333333</v>
      </c>
    </row>
    <row r="12184" spans="1:6" x14ac:dyDescent="0.25">
      <c r="A12184" s="1">
        <v>42767</v>
      </c>
      <c r="B12184" t="s">
        <v>5</v>
      </c>
      <c r="C12184" t="s">
        <v>9</v>
      </c>
      <c r="D12184">
        <v>0</v>
      </c>
      <c r="E12184" s="2">
        <v>0</v>
      </c>
      <c r="F12184">
        <v>0</v>
      </c>
    </row>
    <row r="12185" spans="1:6" x14ac:dyDescent="0.25">
      <c r="A12185" s="1">
        <v>42767</v>
      </c>
      <c r="B12185" t="s">
        <v>5</v>
      </c>
      <c r="C12185" t="s">
        <v>10</v>
      </c>
      <c r="D12185">
        <v>1</v>
      </c>
      <c r="E12185" s="2">
        <v>1.4004629629629629E-3</v>
      </c>
      <c r="F12185">
        <v>2.0166666666666666</v>
      </c>
    </row>
    <row r="12186" spans="1:6" x14ac:dyDescent="0.25">
      <c r="A12186" s="1">
        <v>42767</v>
      </c>
      <c r="B12186" t="s">
        <v>5</v>
      </c>
      <c r="C12186" t="s">
        <v>11</v>
      </c>
      <c r="D12186">
        <v>18</v>
      </c>
      <c r="E12186" s="2">
        <v>1.6412037037037037E-2</v>
      </c>
      <c r="F12186">
        <v>23.633333333333333</v>
      </c>
    </row>
    <row r="12187" spans="1:6" x14ac:dyDescent="0.25">
      <c r="A12187" s="1">
        <v>42767</v>
      </c>
      <c r="B12187" t="s">
        <v>12</v>
      </c>
      <c r="C12187" t="s">
        <v>6</v>
      </c>
      <c r="D12187">
        <v>51</v>
      </c>
      <c r="E12187" s="2">
        <v>7.5844907407407403E-2</v>
      </c>
      <c r="F12187">
        <v>109.21666666666667</v>
      </c>
    </row>
    <row r="12188" spans="1:6" x14ac:dyDescent="0.25">
      <c r="A12188" s="1">
        <v>42767</v>
      </c>
      <c r="B12188" t="s">
        <v>12</v>
      </c>
      <c r="C12188" t="s">
        <v>7</v>
      </c>
      <c r="D12188">
        <v>30</v>
      </c>
      <c r="E12188" s="2">
        <v>7.4687500000000004E-2</v>
      </c>
      <c r="F12188">
        <v>107.55</v>
      </c>
    </row>
    <row r="12189" spans="1:6" x14ac:dyDescent="0.25">
      <c r="A12189" s="1">
        <v>42767</v>
      </c>
      <c r="B12189" t="s">
        <v>12</v>
      </c>
      <c r="C12189" t="s">
        <v>8</v>
      </c>
      <c r="D12189">
        <v>25</v>
      </c>
      <c r="E12189" s="2">
        <v>3.1585648148148147E-2</v>
      </c>
      <c r="F12189">
        <v>45.483333333333334</v>
      </c>
    </row>
    <row r="12190" spans="1:6" x14ac:dyDescent="0.25">
      <c r="A12190" s="1">
        <v>42767</v>
      </c>
      <c r="B12190" t="s">
        <v>12</v>
      </c>
      <c r="C12190" t="s">
        <v>9</v>
      </c>
      <c r="D12190">
        <v>0</v>
      </c>
      <c r="E12190" s="2">
        <v>0</v>
      </c>
      <c r="F12190">
        <v>0</v>
      </c>
    </row>
    <row r="12191" spans="1:6" x14ac:dyDescent="0.25">
      <c r="A12191" s="1">
        <v>42767</v>
      </c>
      <c r="B12191" t="s">
        <v>12</v>
      </c>
      <c r="C12191" t="s">
        <v>10</v>
      </c>
      <c r="D12191">
        <v>27</v>
      </c>
      <c r="E12191" s="2">
        <v>4.9988425925925929E-2</v>
      </c>
      <c r="F12191">
        <v>71.983333333333334</v>
      </c>
    </row>
    <row r="12192" spans="1:6" x14ac:dyDescent="0.25">
      <c r="A12192" s="1">
        <v>42767</v>
      </c>
      <c r="B12192" t="s">
        <v>12</v>
      </c>
      <c r="C12192" t="s">
        <v>11</v>
      </c>
      <c r="D12192">
        <v>59</v>
      </c>
      <c r="E12192" s="2">
        <v>8.6597222222222228E-2</v>
      </c>
      <c r="F12192">
        <v>124.7</v>
      </c>
    </row>
    <row r="12193" spans="1:6" x14ac:dyDescent="0.25">
      <c r="A12193" s="1">
        <v>42767</v>
      </c>
      <c r="B12193" t="s">
        <v>13</v>
      </c>
      <c r="C12193" t="s">
        <v>6</v>
      </c>
      <c r="D12193">
        <v>67</v>
      </c>
      <c r="E12193" s="2">
        <v>0.11221064814814814</v>
      </c>
      <c r="F12193">
        <v>161.58333333333334</v>
      </c>
    </row>
    <row r="12194" spans="1:6" x14ac:dyDescent="0.25">
      <c r="A12194" s="1">
        <v>42767</v>
      </c>
      <c r="B12194" t="s">
        <v>13</v>
      </c>
      <c r="C12194" t="s">
        <v>7</v>
      </c>
      <c r="D12194">
        <v>56</v>
      </c>
      <c r="E12194" s="2">
        <v>0.10751157407407408</v>
      </c>
      <c r="F12194">
        <v>154.81666666666666</v>
      </c>
    </row>
    <row r="12195" spans="1:6" x14ac:dyDescent="0.25">
      <c r="A12195" s="1">
        <v>42767</v>
      </c>
      <c r="B12195" t="s">
        <v>13</v>
      </c>
      <c r="C12195" t="s">
        <v>8</v>
      </c>
      <c r="D12195">
        <v>57</v>
      </c>
      <c r="E12195" s="2">
        <v>8.5636574074074073E-2</v>
      </c>
      <c r="F12195">
        <v>123.31666666666666</v>
      </c>
    </row>
    <row r="12196" spans="1:6" x14ac:dyDescent="0.25">
      <c r="A12196" s="1">
        <v>42767</v>
      </c>
      <c r="B12196" t="s">
        <v>13</v>
      </c>
      <c r="C12196" t="s">
        <v>9</v>
      </c>
      <c r="D12196">
        <v>0</v>
      </c>
      <c r="E12196" s="2">
        <v>0</v>
      </c>
      <c r="F12196">
        <v>0</v>
      </c>
    </row>
    <row r="12197" spans="1:6" x14ac:dyDescent="0.25">
      <c r="A12197" s="1">
        <v>42767</v>
      </c>
      <c r="B12197" t="s">
        <v>13</v>
      </c>
      <c r="C12197" t="s">
        <v>10</v>
      </c>
      <c r="D12197">
        <v>10</v>
      </c>
      <c r="E12197" s="2">
        <v>1.4895833333333334E-2</v>
      </c>
      <c r="F12197">
        <v>21.45</v>
      </c>
    </row>
    <row r="12198" spans="1:6" x14ac:dyDescent="0.25">
      <c r="A12198" s="1">
        <v>42767</v>
      </c>
      <c r="B12198" t="s">
        <v>13</v>
      </c>
      <c r="C12198" t="s">
        <v>11</v>
      </c>
      <c r="D12198">
        <v>32</v>
      </c>
      <c r="E12198" s="2">
        <v>4.2453703703703702E-2</v>
      </c>
      <c r="F12198">
        <v>61.133333333333333</v>
      </c>
    </row>
    <row r="12199" spans="1:6" x14ac:dyDescent="0.25">
      <c r="A12199" s="1">
        <v>42767</v>
      </c>
      <c r="B12199" t="s">
        <v>14</v>
      </c>
      <c r="C12199" t="s">
        <v>6</v>
      </c>
      <c r="D12199">
        <v>7</v>
      </c>
      <c r="E12199" s="2">
        <v>1.4027777777777778E-2</v>
      </c>
      <c r="F12199">
        <v>20.2</v>
      </c>
    </row>
    <row r="12200" spans="1:6" x14ac:dyDescent="0.25">
      <c r="A12200" s="1">
        <v>42767</v>
      </c>
      <c r="B12200" t="s">
        <v>14</v>
      </c>
      <c r="C12200" t="s">
        <v>7</v>
      </c>
      <c r="D12200">
        <v>7</v>
      </c>
      <c r="E12200" s="2">
        <v>1.9050925925925926E-2</v>
      </c>
      <c r="F12200">
        <v>27.433333333333334</v>
      </c>
    </row>
    <row r="12201" spans="1:6" x14ac:dyDescent="0.25">
      <c r="A12201" s="1">
        <v>42767</v>
      </c>
      <c r="B12201" t="s">
        <v>14</v>
      </c>
      <c r="C12201" t="s">
        <v>8</v>
      </c>
      <c r="D12201">
        <v>3</v>
      </c>
      <c r="E12201" s="2">
        <v>6.3194444444444444E-3</v>
      </c>
      <c r="F12201">
        <v>9.1</v>
      </c>
    </row>
    <row r="12202" spans="1:6" x14ac:dyDescent="0.25">
      <c r="A12202" s="1">
        <v>42767</v>
      </c>
      <c r="B12202" t="s">
        <v>14</v>
      </c>
      <c r="C12202" t="s">
        <v>9</v>
      </c>
      <c r="D12202">
        <v>0</v>
      </c>
      <c r="E12202" s="2">
        <v>0</v>
      </c>
      <c r="F12202">
        <v>0</v>
      </c>
    </row>
    <row r="12203" spans="1:6" x14ac:dyDescent="0.25">
      <c r="A12203" s="1">
        <v>42767</v>
      </c>
      <c r="B12203" t="s">
        <v>14</v>
      </c>
      <c r="C12203" t="s">
        <v>10</v>
      </c>
      <c r="D12203">
        <v>1</v>
      </c>
      <c r="E12203" s="2">
        <v>2.1759259259259258E-3</v>
      </c>
      <c r="F12203">
        <v>3.1333333333333333</v>
      </c>
    </row>
    <row r="12204" spans="1:6" x14ac:dyDescent="0.25">
      <c r="A12204" s="1">
        <v>42767</v>
      </c>
      <c r="B12204" t="s">
        <v>14</v>
      </c>
      <c r="C12204" t="s">
        <v>11</v>
      </c>
      <c r="D12204">
        <v>8</v>
      </c>
      <c r="E12204" s="2">
        <v>1.1018518518518518E-2</v>
      </c>
      <c r="F12204">
        <v>15.866666666666667</v>
      </c>
    </row>
    <row r="12205" spans="1:6" x14ac:dyDescent="0.25">
      <c r="A12205" s="1">
        <v>42767</v>
      </c>
      <c r="B12205" t="s">
        <v>15</v>
      </c>
      <c r="C12205" t="s">
        <v>6</v>
      </c>
      <c r="D12205">
        <v>11</v>
      </c>
      <c r="E12205" s="2">
        <v>1.7453703703703704E-2</v>
      </c>
      <c r="F12205">
        <v>25.133333333333333</v>
      </c>
    </row>
    <row r="12206" spans="1:6" x14ac:dyDescent="0.25">
      <c r="A12206" s="1">
        <v>42767</v>
      </c>
      <c r="B12206" t="s">
        <v>15</v>
      </c>
      <c r="C12206" t="s">
        <v>7</v>
      </c>
      <c r="D12206">
        <v>10</v>
      </c>
      <c r="E12206" s="2">
        <v>1.1840277777777778E-2</v>
      </c>
      <c r="F12206">
        <v>17.05</v>
      </c>
    </row>
    <row r="12207" spans="1:6" x14ac:dyDescent="0.25">
      <c r="A12207" s="1">
        <v>42767</v>
      </c>
      <c r="B12207" t="s">
        <v>15</v>
      </c>
      <c r="C12207" t="s">
        <v>8</v>
      </c>
      <c r="D12207">
        <v>8</v>
      </c>
      <c r="E12207" s="2">
        <v>1.1840277777777778E-2</v>
      </c>
      <c r="F12207">
        <v>17.05</v>
      </c>
    </row>
    <row r="12208" spans="1:6" x14ac:dyDescent="0.25">
      <c r="A12208" s="1">
        <v>42767</v>
      </c>
      <c r="B12208" t="s">
        <v>15</v>
      </c>
      <c r="C12208" t="s">
        <v>9</v>
      </c>
      <c r="D12208">
        <v>0</v>
      </c>
      <c r="E12208" s="2">
        <v>0</v>
      </c>
      <c r="F12208">
        <v>0</v>
      </c>
    </row>
    <row r="12209" spans="1:6" x14ac:dyDescent="0.25">
      <c r="A12209" s="1">
        <v>42767</v>
      </c>
      <c r="B12209" t="s">
        <v>15</v>
      </c>
      <c r="C12209" t="s">
        <v>10</v>
      </c>
      <c r="D12209">
        <v>1</v>
      </c>
      <c r="E12209" s="2">
        <v>1.1226851851851851E-3</v>
      </c>
      <c r="F12209">
        <v>1.6166666666666667</v>
      </c>
    </row>
    <row r="12210" spans="1:6" x14ac:dyDescent="0.25">
      <c r="A12210" s="1">
        <v>42767</v>
      </c>
      <c r="B12210" t="s">
        <v>15</v>
      </c>
      <c r="C12210" t="s">
        <v>11</v>
      </c>
      <c r="D12210">
        <v>2</v>
      </c>
      <c r="E12210" s="2">
        <v>1.7476851851851852E-3</v>
      </c>
      <c r="F12210">
        <v>2.5166666666666666</v>
      </c>
    </row>
    <row r="12211" spans="1:6" x14ac:dyDescent="0.25">
      <c r="A12211" s="1">
        <v>42767</v>
      </c>
      <c r="B12211" t="s">
        <v>16</v>
      </c>
      <c r="C12211" t="s">
        <v>6</v>
      </c>
      <c r="D12211">
        <v>28</v>
      </c>
      <c r="E12211" s="2">
        <v>4.597222222222222E-2</v>
      </c>
      <c r="F12211">
        <v>66.2</v>
      </c>
    </row>
    <row r="12212" spans="1:6" x14ac:dyDescent="0.25">
      <c r="A12212" s="1">
        <v>42767</v>
      </c>
      <c r="B12212" t="s">
        <v>16</v>
      </c>
      <c r="C12212" t="s">
        <v>7</v>
      </c>
      <c r="D12212">
        <v>39</v>
      </c>
      <c r="E12212" s="2">
        <v>3.7245370370370373E-2</v>
      </c>
      <c r="F12212">
        <v>53.633333333333333</v>
      </c>
    </row>
    <row r="12213" spans="1:6" x14ac:dyDescent="0.25">
      <c r="A12213" s="1">
        <v>42767</v>
      </c>
      <c r="B12213" t="s">
        <v>16</v>
      </c>
      <c r="C12213" t="s">
        <v>8</v>
      </c>
      <c r="D12213">
        <v>37</v>
      </c>
      <c r="E12213" s="2">
        <v>3.9004629629629632E-2</v>
      </c>
      <c r="F12213">
        <v>56.166666666666664</v>
      </c>
    </row>
    <row r="12214" spans="1:6" x14ac:dyDescent="0.25">
      <c r="A12214" s="1">
        <v>42767</v>
      </c>
      <c r="B12214" t="s">
        <v>16</v>
      </c>
      <c r="C12214" t="s">
        <v>9</v>
      </c>
      <c r="D12214">
        <v>0</v>
      </c>
      <c r="E12214" s="2">
        <v>0</v>
      </c>
      <c r="F12214">
        <v>0</v>
      </c>
    </row>
    <row r="12215" spans="1:6" x14ac:dyDescent="0.25">
      <c r="A12215" s="1">
        <v>42767</v>
      </c>
      <c r="B12215" t="s">
        <v>16</v>
      </c>
      <c r="C12215" t="s">
        <v>10</v>
      </c>
      <c r="D12215">
        <v>7</v>
      </c>
      <c r="E12215" s="2">
        <v>7.858796296296296E-3</v>
      </c>
      <c r="F12215">
        <v>11.316666666666666</v>
      </c>
    </row>
    <row r="12216" spans="1:6" x14ac:dyDescent="0.25">
      <c r="A12216" s="1">
        <v>42767</v>
      </c>
      <c r="B12216" t="s">
        <v>16</v>
      </c>
      <c r="C12216" t="s">
        <v>11</v>
      </c>
      <c r="D12216">
        <v>38</v>
      </c>
      <c r="E12216" s="2">
        <v>3.3784722222222223E-2</v>
      </c>
      <c r="F12216">
        <v>48.65</v>
      </c>
    </row>
    <row r="12217" spans="1:6" x14ac:dyDescent="0.25">
      <c r="A12217" s="1">
        <v>42767</v>
      </c>
      <c r="B12217" t="s">
        <v>17</v>
      </c>
      <c r="C12217" t="s">
        <v>6</v>
      </c>
      <c r="D12217">
        <v>1</v>
      </c>
      <c r="E12217" s="2">
        <v>1.9328703703703704E-3</v>
      </c>
      <c r="F12217">
        <v>2.7833333333333332</v>
      </c>
    </row>
    <row r="12218" spans="1:6" x14ac:dyDescent="0.25">
      <c r="A12218" s="1">
        <v>42767</v>
      </c>
      <c r="B12218" t="s">
        <v>17</v>
      </c>
      <c r="C12218" t="s">
        <v>7</v>
      </c>
      <c r="D12218">
        <v>3</v>
      </c>
      <c r="E12218" s="2">
        <v>1.8981481481481482E-3</v>
      </c>
      <c r="F12218">
        <v>2.7333333333333334</v>
      </c>
    </row>
    <row r="12219" spans="1:6" x14ac:dyDescent="0.25">
      <c r="A12219" s="1">
        <v>42767</v>
      </c>
      <c r="B12219" t="s">
        <v>17</v>
      </c>
      <c r="C12219" t="s">
        <v>8</v>
      </c>
      <c r="D12219">
        <v>4</v>
      </c>
      <c r="E12219" s="2">
        <v>2.1990740740740742E-3</v>
      </c>
      <c r="F12219">
        <v>3.1666666666666665</v>
      </c>
    </row>
    <row r="12220" spans="1:6" x14ac:dyDescent="0.25">
      <c r="A12220" s="1">
        <v>42767</v>
      </c>
      <c r="B12220" t="s">
        <v>17</v>
      </c>
      <c r="C12220" t="s">
        <v>9</v>
      </c>
      <c r="D12220">
        <v>0</v>
      </c>
      <c r="E12220" s="2">
        <v>0</v>
      </c>
      <c r="F12220">
        <v>0</v>
      </c>
    </row>
    <row r="12221" spans="1:6" x14ac:dyDescent="0.25">
      <c r="A12221" s="1">
        <v>42767</v>
      </c>
      <c r="B12221" t="s">
        <v>17</v>
      </c>
      <c r="C12221" t="s">
        <v>10</v>
      </c>
      <c r="D12221">
        <v>3</v>
      </c>
      <c r="E12221" s="2">
        <v>4.0162037037037041E-3</v>
      </c>
      <c r="F12221">
        <v>5.7833333333333332</v>
      </c>
    </row>
    <row r="12222" spans="1:6" x14ac:dyDescent="0.25">
      <c r="A12222" s="1">
        <v>42767</v>
      </c>
      <c r="B12222" t="s">
        <v>17</v>
      </c>
      <c r="C12222" t="s">
        <v>11</v>
      </c>
      <c r="D12222">
        <v>3</v>
      </c>
      <c r="E12222" s="2">
        <v>2.1064814814814813E-3</v>
      </c>
      <c r="F12222">
        <v>3.0333333333333332</v>
      </c>
    </row>
    <row r="12223" spans="1:6" x14ac:dyDescent="0.25">
      <c r="A12223" s="1">
        <v>42767</v>
      </c>
      <c r="B12223" t="s">
        <v>18</v>
      </c>
      <c r="C12223" t="s">
        <v>6</v>
      </c>
      <c r="D12223">
        <v>34</v>
      </c>
      <c r="E12223" s="2">
        <v>4.027777777777778E-2</v>
      </c>
      <c r="F12223">
        <v>58</v>
      </c>
    </row>
    <row r="12224" spans="1:6" x14ac:dyDescent="0.25">
      <c r="A12224" s="1">
        <v>42767</v>
      </c>
      <c r="B12224" t="s">
        <v>18</v>
      </c>
      <c r="C12224" t="s">
        <v>7</v>
      </c>
      <c r="D12224">
        <v>73</v>
      </c>
      <c r="E12224" s="2">
        <v>7.0162037037037037E-2</v>
      </c>
      <c r="F12224">
        <v>101.03333333333333</v>
      </c>
    </row>
    <row r="12225" spans="1:6" x14ac:dyDescent="0.25">
      <c r="A12225" s="1">
        <v>42767</v>
      </c>
      <c r="B12225" t="s">
        <v>18</v>
      </c>
      <c r="C12225" t="s">
        <v>8</v>
      </c>
      <c r="D12225">
        <v>21</v>
      </c>
      <c r="E12225" s="2">
        <v>1.9166666666666665E-2</v>
      </c>
      <c r="F12225">
        <v>27.6</v>
      </c>
    </row>
    <row r="12226" spans="1:6" x14ac:dyDescent="0.25">
      <c r="A12226" s="1">
        <v>42767</v>
      </c>
      <c r="B12226" t="s">
        <v>18</v>
      </c>
      <c r="C12226" t="s">
        <v>9</v>
      </c>
      <c r="D12226">
        <v>0</v>
      </c>
      <c r="E12226" s="2">
        <v>0</v>
      </c>
      <c r="F12226">
        <v>0</v>
      </c>
    </row>
    <row r="12227" spans="1:6" x14ac:dyDescent="0.25">
      <c r="A12227" s="1">
        <v>42767</v>
      </c>
      <c r="B12227" t="s">
        <v>18</v>
      </c>
      <c r="C12227" t="s">
        <v>10</v>
      </c>
      <c r="D12227">
        <v>129</v>
      </c>
      <c r="E12227" s="2">
        <v>0.1620138888888889</v>
      </c>
      <c r="F12227">
        <v>233.3</v>
      </c>
    </row>
    <row r="12228" spans="1:6" x14ac:dyDescent="0.25">
      <c r="A12228" s="1">
        <v>42767</v>
      </c>
      <c r="B12228" t="s">
        <v>18</v>
      </c>
      <c r="C12228" t="s">
        <v>11</v>
      </c>
      <c r="D12228">
        <v>42</v>
      </c>
      <c r="E12228" s="2">
        <v>3.0023148148148149E-2</v>
      </c>
      <c r="F12228">
        <v>43.233333333333334</v>
      </c>
    </row>
    <row r="12229" spans="1:6" x14ac:dyDescent="0.25">
      <c r="A12229" s="1">
        <v>42767</v>
      </c>
      <c r="B12229" t="s">
        <v>19</v>
      </c>
      <c r="C12229" t="s">
        <v>6</v>
      </c>
      <c r="D12229">
        <v>23</v>
      </c>
      <c r="E12229" s="2">
        <v>2.8275462962962964E-2</v>
      </c>
      <c r="F12229">
        <v>40.716666666666669</v>
      </c>
    </row>
    <row r="12230" spans="1:6" x14ac:dyDescent="0.25">
      <c r="A12230" s="1">
        <v>42767</v>
      </c>
      <c r="B12230" t="s">
        <v>19</v>
      </c>
      <c r="C12230" t="s">
        <v>7</v>
      </c>
      <c r="D12230">
        <v>24</v>
      </c>
      <c r="E12230" s="2">
        <v>2.5231481481481483E-2</v>
      </c>
      <c r="F12230">
        <v>36.333333333333336</v>
      </c>
    </row>
    <row r="12231" spans="1:6" x14ac:dyDescent="0.25">
      <c r="A12231" s="1">
        <v>42767</v>
      </c>
      <c r="B12231" t="s">
        <v>19</v>
      </c>
      <c r="C12231" t="s">
        <v>8</v>
      </c>
      <c r="D12231">
        <v>17</v>
      </c>
      <c r="E12231" s="2">
        <v>1.9201388888888889E-2</v>
      </c>
      <c r="F12231">
        <v>27.65</v>
      </c>
    </row>
    <row r="12232" spans="1:6" x14ac:dyDescent="0.25">
      <c r="A12232" s="1">
        <v>42767</v>
      </c>
      <c r="B12232" t="s">
        <v>19</v>
      </c>
      <c r="C12232" t="s">
        <v>9</v>
      </c>
      <c r="D12232">
        <v>0</v>
      </c>
      <c r="E12232" s="2">
        <v>0</v>
      </c>
      <c r="F12232">
        <v>0</v>
      </c>
    </row>
    <row r="12233" spans="1:6" x14ac:dyDescent="0.25">
      <c r="A12233" s="1">
        <v>42767</v>
      </c>
      <c r="B12233" t="s">
        <v>19</v>
      </c>
      <c r="C12233" t="s">
        <v>10</v>
      </c>
      <c r="D12233">
        <v>9</v>
      </c>
      <c r="E12233" s="2">
        <v>1.224537037037037E-2</v>
      </c>
      <c r="F12233">
        <v>17.633333333333333</v>
      </c>
    </row>
    <row r="12234" spans="1:6" x14ac:dyDescent="0.25">
      <c r="A12234" s="1">
        <v>42767</v>
      </c>
      <c r="B12234" t="s">
        <v>19</v>
      </c>
      <c r="C12234" t="s">
        <v>11</v>
      </c>
      <c r="D12234">
        <v>23</v>
      </c>
      <c r="E12234" s="2">
        <v>1.480324074074074E-2</v>
      </c>
      <c r="F12234">
        <v>21.316666666666666</v>
      </c>
    </row>
    <row r="12235" spans="1:6" x14ac:dyDescent="0.25">
      <c r="A12235" s="1">
        <v>42767</v>
      </c>
      <c r="B12235" t="s">
        <v>20</v>
      </c>
      <c r="C12235" t="s">
        <v>6</v>
      </c>
      <c r="D12235">
        <v>125</v>
      </c>
      <c r="E12235" s="2">
        <v>0.16466435185185185</v>
      </c>
      <c r="F12235">
        <v>237.11666666666667</v>
      </c>
    </row>
    <row r="12236" spans="1:6" x14ac:dyDescent="0.25">
      <c r="A12236" s="1">
        <v>42767</v>
      </c>
      <c r="B12236" t="s">
        <v>20</v>
      </c>
      <c r="C12236" t="s">
        <v>7</v>
      </c>
      <c r="D12236">
        <v>144</v>
      </c>
      <c r="E12236" s="2">
        <v>0.17048611111111112</v>
      </c>
      <c r="F12236">
        <v>245.5</v>
      </c>
    </row>
    <row r="12237" spans="1:6" x14ac:dyDescent="0.25">
      <c r="A12237" s="1">
        <v>42767</v>
      </c>
      <c r="B12237" t="s">
        <v>20</v>
      </c>
      <c r="C12237" t="s">
        <v>8</v>
      </c>
      <c r="D12237">
        <v>101</v>
      </c>
      <c r="E12237" s="2">
        <v>9.9895833333333336E-2</v>
      </c>
      <c r="F12237">
        <v>143.85</v>
      </c>
    </row>
    <row r="12238" spans="1:6" x14ac:dyDescent="0.25">
      <c r="A12238" s="1">
        <v>42767</v>
      </c>
      <c r="B12238" t="s">
        <v>20</v>
      </c>
      <c r="C12238" t="s">
        <v>9</v>
      </c>
      <c r="D12238">
        <v>0</v>
      </c>
      <c r="E12238" s="2">
        <v>0</v>
      </c>
      <c r="F12238">
        <v>0</v>
      </c>
    </row>
    <row r="12239" spans="1:6" x14ac:dyDescent="0.25">
      <c r="A12239" s="1">
        <v>42767</v>
      </c>
      <c r="B12239" t="s">
        <v>20</v>
      </c>
      <c r="C12239" t="s">
        <v>10</v>
      </c>
      <c r="D12239">
        <v>20</v>
      </c>
      <c r="E12239" s="2">
        <v>2.4143518518518519E-2</v>
      </c>
      <c r="F12239">
        <v>34.766666666666666</v>
      </c>
    </row>
    <row r="12240" spans="1:6" x14ac:dyDescent="0.25">
      <c r="A12240" s="1">
        <v>42767</v>
      </c>
      <c r="B12240" t="s">
        <v>20</v>
      </c>
      <c r="C12240" t="s">
        <v>11</v>
      </c>
      <c r="D12240">
        <v>81</v>
      </c>
      <c r="E12240" s="2">
        <v>7.2847222222222216E-2</v>
      </c>
      <c r="F12240">
        <v>104.9</v>
      </c>
    </row>
    <row r="12241" spans="1:6" x14ac:dyDescent="0.25">
      <c r="A12241" s="1">
        <v>42767</v>
      </c>
      <c r="B12241" t="s">
        <v>21</v>
      </c>
      <c r="C12241" t="s">
        <v>6</v>
      </c>
      <c r="D12241">
        <v>9</v>
      </c>
      <c r="E12241" s="2">
        <v>1.4675925925925926E-2</v>
      </c>
      <c r="F12241">
        <v>21.133333333333333</v>
      </c>
    </row>
    <row r="12242" spans="1:6" x14ac:dyDescent="0.25">
      <c r="A12242" s="1">
        <v>42767</v>
      </c>
      <c r="B12242" t="s">
        <v>21</v>
      </c>
      <c r="C12242" t="s">
        <v>7</v>
      </c>
      <c r="D12242">
        <v>8</v>
      </c>
      <c r="E12242" s="2">
        <v>2.0370370370370372E-2</v>
      </c>
      <c r="F12242">
        <v>29.333333333333332</v>
      </c>
    </row>
    <row r="12243" spans="1:6" x14ac:dyDescent="0.25">
      <c r="A12243" s="1">
        <v>42767</v>
      </c>
      <c r="B12243" t="s">
        <v>21</v>
      </c>
      <c r="C12243" t="s">
        <v>8</v>
      </c>
      <c r="D12243">
        <v>9</v>
      </c>
      <c r="E12243" s="2">
        <v>1.1956018518518519E-2</v>
      </c>
      <c r="F12243">
        <v>17.216666666666665</v>
      </c>
    </row>
    <row r="12244" spans="1:6" x14ac:dyDescent="0.25">
      <c r="A12244" s="1">
        <v>42767</v>
      </c>
      <c r="B12244" t="s">
        <v>21</v>
      </c>
      <c r="C12244" t="s">
        <v>9</v>
      </c>
      <c r="D12244">
        <v>0</v>
      </c>
      <c r="E12244" s="2">
        <v>0</v>
      </c>
      <c r="F12244">
        <v>0</v>
      </c>
    </row>
    <row r="12245" spans="1:6" x14ac:dyDescent="0.25">
      <c r="A12245" s="1">
        <v>42767</v>
      </c>
      <c r="B12245" t="s">
        <v>21</v>
      </c>
      <c r="C12245" t="s">
        <v>10</v>
      </c>
      <c r="D12245">
        <v>1</v>
      </c>
      <c r="E12245" s="2">
        <v>1.7476851851851852E-3</v>
      </c>
      <c r="F12245">
        <v>2.5166666666666666</v>
      </c>
    </row>
    <row r="12246" spans="1:6" x14ac:dyDescent="0.25">
      <c r="A12246" s="1">
        <v>42767</v>
      </c>
      <c r="B12246" t="s">
        <v>21</v>
      </c>
      <c r="C12246" t="s">
        <v>11</v>
      </c>
      <c r="D12246">
        <v>13</v>
      </c>
      <c r="E12246" s="2">
        <v>1.3194444444444444E-2</v>
      </c>
      <c r="F12246">
        <v>19</v>
      </c>
    </row>
    <row r="12247" spans="1:6" x14ac:dyDescent="0.25">
      <c r="A12247" s="1">
        <v>42767</v>
      </c>
      <c r="B12247" t="s">
        <v>22</v>
      </c>
      <c r="C12247" t="s">
        <v>6</v>
      </c>
      <c r="D12247">
        <v>12</v>
      </c>
      <c r="E12247" s="2">
        <v>1.8449074074074073E-2</v>
      </c>
      <c r="F12247">
        <v>26.566666666666666</v>
      </c>
    </row>
    <row r="12248" spans="1:6" x14ac:dyDescent="0.25">
      <c r="A12248" s="1">
        <v>42767</v>
      </c>
      <c r="B12248" t="s">
        <v>22</v>
      </c>
      <c r="C12248" t="s">
        <v>7</v>
      </c>
      <c r="D12248">
        <v>9</v>
      </c>
      <c r="E12248" s="2">
        <v>1.7465277777777777E-2</v>
      </c>
      <c r="F12248">
        <v>25.15</v>
      </c>
    </row>
    <row r="12249" spans="1:6" x14ac:dyDescent="0.25">
      <c r="A12249" s="1">
        <v>42767</v>
      </c>
      <c r="B12249" t="s">
        <v>22</v>
      </c>
      <c r="C12249" t="s">
        <v>8</v>
      </c>
      <c r="D12249">
        <v>4</v>
      </c>
      <c r="E12249" s="2">
        <v>5.4398148148148149E-3</v>
      </c>
      <c r="F12249">
        <v>7.833333333333333</v>
      </c>
    </row>
    <row r="12250" spans="1:6" x14ac:dyDescent="0.25">
      <c r="A12250" s="1">
        <v>42767</v>
      </c>
      <c r="B12250" t="s">
        <v>22</v>
      </c>
      <c r="C12250" t="s">
        <v>9</v>
      </c>
      <c r="D12250">
        <v>0</v>
      </c>
      <c r="E12250" s="2">
        <v>0</v>
      </c>
      <c r="F12250">
        <v>0</v>
      </c>
    </row>
    <row r="12251" spans="1:6" x14ac:dyDescent="0.25">
      <c r="A12251" s="1">
        <v>42767</v>
      </c>
      <c r="B12251" t="s">
        <v>22</v>
      </c>
      <c r="C12251" t="s">
        <v>10</v>
      </c>
      <c r="D12251">
        <v>3</v>
      </c>
      <c r="E12251" s="2">
        <v>3.4837962962962965E-3</v>
      </c>
      <c r="F12251">
        <v>5.0166666666666666</v>
      </c>
    </row>
    <row r="12252" spans="1:6" x14ac:dyDescent="0.25">
      <c r="A12252" s="1">
        <v>42767</v>
      </c>
      <c r="B12252" t="s">
        <v>22</v>
      </c>
      <c r="C12252" t="s">
        <v>11</v>
      </c>
      <c r="D12252">
        <v>12</v>
      </c>
      <c r="E12252" s="2">
        <v>1.357638888888889E-2</v>
      </c>
      <c r="F12252">
        <v>19.55</v>
      </c>
    </row>
    <row r="12253" spans="1:6" x14ac:dyDescent="0.25">
      <c r="A12253" s="1">
        <v>42767</v>
      </c>
      <c r="B12253" t="s">
        <v>23</v>
      </c>
      <c r="C12253" t="s">
        <v>6</v>
      </c>
      <c r="D12253">
        <v>71</v>
      </c>
      <c r="E12253" s="2">
        <v>0.11222222222222222</v>
      </c>
      <c r="F12253">
        <v>161.6</v>
      </c>
    </row>
    <row r="12254" spans="1:6" x14ac:dyDescent="0.25">
      <c r="A12254" s="1">
        <v>42767</v>
      </c>
      <c r="B12254" t="s">
        <v>23</v>
      </c>
      <c r="C12254" t="s">
        <v>7</v>
      </c>
      <c r="D12254">
        <v>47</v>
      </c>
      <c r="E12254" s="2">
        <v>8.7997685185185179E-2</v>
      </c>
      <c r="F12254">
        <v>126.71666666666667</v>
      </c>
    </row>
    <row r="12255" spans="1:6" x14ac:dyDescent="0.25">
      <c r="A12255" s="1">
        <v>42767</v>
      </c>
      <c r="B12255" t="s">
        <v>23</v>
      </c>
      <c r="C12255" t="s">
        <v>8</v>
      </c>
      <c r="D12255">
        <v>39</v>
      </c>
      <c r="E12255" s="2">
        <v>5.244212962962963E-2</v>
      </c>
      <c r="F12255">
        <v>75.516666666666666</v>
      </c>
    </row>
    <row r="12256" spans="1:6" x14ac:dyDescent="0.25">
      <c r="A12256" s="1">
        <v>42767</v>
      </c>
      <c r="B12256" t="s">
        <v>23</v>
      </c>
      <c r="C12256" t="s">
        <v>9</v>
      </c>
      <c r="D12256">
        <v>0</v>
      </c>
      <c r="E12256" s="2">
        <v>0</v>
      </c>
      <c r="F12256">
        <v>0</v>
      </c>
    </row>
    <row r="12257" spans="1:6" x14ac:dyDescent="0.25">
      <c r="A12257" s="1">
        <v>42767</v>
      </c>
      <c r="B12257" t="s">
        <v>23</v>
      </c>
      <c r="C12257" t="s">
        <v>10</v>
      </c>
      <c r="D12257">
        <v>18</v>
      </c>
      <c r="E12257" s="2">
        <v>2.7685185185185184E-2</v>
      </c>
      <c r="F12257">
        <v>39.866666666666667</v>
      </c>
    </row>
    <row r="12258" spans="1:6" x14ac:dyDescent="0.25">
      <c r="A12258" s="1">
        <v>42767</v>
      </c>
      <c r="B12258" t="s">
        <v>23</v>
      </c>
      <c r="C12258" t="s">
        <v>11</v>
      </c>
      <c r="D12258">
        <v>58</v>
      </c>
      <c r="E12258" s="2">
        <v>6.6805555555555562E-2</v>
      </c>
      <c r="F12258">
        <v>96.2</v>
      </c>
    </row>
    <row r="12259" spans="1:6" x14ac:dyDescent="0.25">
      <c r="A12259" s="1">
        <v>42767</v>
      </c>
      <c r="B12259" t="s">
        <v>24</v>
      </c>
      <c r="C12259" t="s">
        <v>6</v>
      </c>
      <c r="D12259">
        <v>21</v>
      </c>
      <c r="E12259" s="2">
        <v>2.7013888888888889E-2</v>
      </c>
      <c r="F12259">
        <v>38.9</v>
      </c>
    </row>
    <row r="12260" spans="1:6" x14ac:dyDescent="0.25">
      <c r="A12260" s="1">
        <v>42767</v>
      </c>
      <c r="B12260" t="s">
        <v>24</v>
      </c>
      <c r="C12260" t="s">
        <v>7</v>
      </c>
      <c r="D12260">
        <v>21</v>
      </c>
      <c r="E12260" s="2">
        <v>2.2083333333333333E-2</v>
      </c>
      <c r="F12260">
        <v>31.8</v>
      </c>
    </row>
    <row r="12261" spans="1:6" x14ac:dyDescent="0.25">
      <c r="A12261" s="1">
        <v>42767</v>
      </c>
      <c r="B12261" t="s">
        <v>24</v>
      </c>
      <c r="C12261" t="s">
        <v>8</v>
      </c>
      <c r="D12261">
        <v>14</v>
      </c>
      <c r="E12261" s="2">
        <v>1.2974537037037038E-2</v>
      </c>
      <c r="F12261">
        <v>18.683333333333334</v>
      </c>
    </row>
    <row r="12262" spans="1:6" x14ac:dyDescent="0.25">
      <c r="A12262" s="1">
        <v>42767</v>
      </c>
      <c r="B12262" t="s">
        <v>24</v>
      </c>
      <c r="C12262" t="s">
        <v>9</v>
      </c>
      <c r="D12262">
        <v>0</v>
      </c>
      <c r="E12262" s="2">
        <v>0</v>
      </c>
      <c r="F12262">
        <v>0</v>
      </c>
    </row>
    <row r="12263" spans="1:6" x14ac:dyDescent="0.25">
      <c r="A12263" s="1">
        <v>42767</v>
      </c>
      <c r="B12263" t="s">
        <v>24</v>
      </c>
      <c r="C12263" t="s">
        <v>10</v>
      </c>
      <c r="D12263">
        <v>3</v>
      </c>
      <c r="E12263" s="2">
        <v>4.4212962962962964E-3</v>
      </c>
      <c r="F12263">
        <v>6.3666666666666663</v>
      </c>
    </row>
    <row r="12264" spans="1:6" x14ac:dyDescent="0.25">
      <c r="A12264" s="1">
        <v>42767</v>
      </c>
      <c r="B12264" t="s">
        <v>24</v>
      </c>
      <c r="C12264" t="s">
        <v>11</v>
      </c>
      <c r="D12264">
        <v>17</v>
      </c>
      <c r="E12264" s="2">
        <v>1.5034722222222222E-2</v>
      </c>
      <c r="F12264">
        <v>21.65</v>
      </c>
    </row>
    <row r="12265" spans="1:6" x14ac:dyDescent="0.25">
      <c r="A12265" s="1">
        <v>42795</v>
      </c>
      <c r="B12265" t="s">
        <v>5</v>
      </c>
      <c r="C12265" t="s">
        <v>6</v>
      </c>
      <c r="D12265">
        <v>7</v>
      </c>
      <c r="E12265" s="2">
        <v>7.2106481481481483E-3</v>
      </c>
      <c r="F12265">
        <v>10.383333333333333</v>
      </c>
    </row>
    <row r="12266" spans="1:6" x14ac:dyDescent="0.25">
      <c r="A12266" s="1">
        <v>42795</v>
      </c>
      <c r="B12266" t="s">
        <v>5</v>
      </c>
      <c r="C12266" t="s">
        <v>7</v>
      </c>
      <c r="D12266">
        <v>12</v>
      </c>
      <c r="E12266" s="2">
        <v>1.2326388888888888E-2</v>
      </c>
      <c r="F12266">
        <v>17.75</v>
      </c>
    </row>
    <row r="12267" spans="1:6" x14ac:dyDescent="0.25">
      <c r="A12267" s="1">
        <v>42795</v>
      </c>
      <c r="B12267" t="s">
        <v>5</v>
      </c>
      <c r="C12267" t="s">
        <v>8</v>
      </c>
      <c r="D12267">
        <v>15</v>
      </c>
      <c r="E12267" s="2">
        <v>1.0671296296296297E-2</v>
      </c>
      <c r="F12267">
        <v>15.366666666666667</v>
      </c>
    </row>
    <row r="12268" spans="1:6" x14ac:dyDescent="0.25">
      <c r="A12268" s="1">
        <v>42795</v>
      </c>
      <c r="B12268" t="s">
        <v>5</v>
      </c>
      <c r="C12268" t="s">
        <v>9</v>
      </c>
      <c r="D12268">
        <v>0</v>
      </c>
      <c r="E12268" s="2">
        <v>0</v>
      </c>
      <c r="F12268">
        <v>0</v>
      </c>
    </row>
    <row r="12269" spans="1:6" x14ac:dyDescent="0.25">
      <c r="A12269" s="1">
        <v>42795</v>
      </c>
      <c r="B12269" t="s">
        <v>5</v>
      </c>
      <c r="C12269" t="s">
        <v>10</v>
      </c>
      <c r="D12269">
        <v>2</v>
      </c>
      <c r="E12269" s="2">
        <v>2.685185185185185E-3</v>
      </c>
      <c r="F12269">
        <v>3.8666666666666667</v>
      </c>
    </row>
    <row r="12270" spans="1:6" x14ac:dyDescent="0.25">
      <c r="A12270" s="1">
        <v>42795</v>
      </c>
      <c r="B12270" t="s">
        <v>5</v>
      </c>
      <c r="C12270" t="s">
        <v>11</v>
      </c>
      <c r="D12270">
        <v>10</v>
      </c>
      <c r="E12270" s="2">
        <v>6.4699074074074077E-3</v>
      </c>
      <c r="F12270">
        <v>9.3166666666666664</v>
      </c>
    </row>
    <row r="12271" spans="1:6" x14ac:dyDescent="0.25">
      <c r="A12271" s="1">
        <v>42795</v>
      </c>
      <c r="B12271" t="s">
        <v>12</v>
      </c>
      <c r="C12271" t="s">
        <v>6</v>
      </c>
      <c r="D12271">
        <v>21</v>
      </c>
      <c r="E12271" s="2">
        <v>3.4768518518518518E-2</v>
      </c>
      <c r="F12271">
        <v>50.06666666666667</v>
      </c>
    </row>
    <row r="12272" spans="1:6" x14ac:dyDescent="0.25">
      <c r="A12272" s="1">
        <v>42795</v>
      </c>
      <c r="B12272" t="s">
        <v>12</v>
      </c>
      <c r="C12272" t="s">
        <v>7</v>
      </c>
      <c r="D12272">
        <v>19</v>
      </c>
      <c r="E12272" s="2">
        <v>3.7997685185185183E-2</v>
      </c>
      <c r="F12272">
        <v>54.716666666666669</v>
      </c>
    </row>
    <row r="12273" spans="1:6" x14ac:dyDescent="0.25">
      <c r="A12273" s="1">
        <v>42795</v>
      </c>
      <c r="B12273" t="s">
        <v>12</v>
      </c>
      <c r="C12273" t="s">
        <v>8</v>
      </c>
      <c r="D12273">
        <v>20</v>
      </c>
      <c r="E12273" s="2">
        <v>2.8402777777777777E-2</v>
      </c>
      <c r="F12273">
        <v>40.9</v>
      </c>
    </row>
    <row r="12274" spans="1:6" x14ac:dyDescent="0.25">
      <c r="A12274" s="1">
        <v>42795</v>
      </c>
      <c r="B12274" t="s">
        <v>12</v>
      </c>
      <c r="C12274" t="s">
        <v>9</v>
      </c>
      <c r="D12274">
        <v>0</v>
      </c>
      <c r="E12274" s="2">
        <v>0</v>
      </c>
      <c r="F12274">
        <v>0</v>
      </c>
    </row>
    <row r="12275" spans="1:6" x14ac:dyDescent="0.25">
      <c r="A12275" s="1">
        <v>42795</v>
      </c>
      <c r="B12275" t="s">
        <v>12</v>
      </c>
      <c r="C12275" t="s">
        <v>10</v>
      </c>
      <c r="D12275">
        <v>25</v>
      </c>
      <c r="E12275" s="2">
        <v>4.1215277777777781E-2</v>
      </c>
      <c r="F12275">
        <v>59.35</v>
      </c>
    </row>
    <row r="12276" spans="1:6" x14ac:dyDescent="0.25">
      <c r="A12276" s="1">
        <v>42795</v>
      </c>
      <c r="B12276" t="s">
        <v>12</v>
      </c>
      <c r="C12276" t="s">
        <v>11</v>
      </c>
      <c r="D12276">
        <v>41</v>
      </c>
      <c r="E12276" s="2">
        <v>5.2731481481481483E-2</v>
      </c>
      <c r="F12276">
        <v>75.933333333333337</v>
      </c>
    </row>
    <row r="12277" spans="1:6" x14ac:dyDescent="0.25">
      <c r="A12277" s="1">
        <v>42795</v>
      </c>
      <c r="B12277" t="s">
        <v>13</v>
      </c>
      <c r="C12277" t="s">
        <v>6</v>
      </c>
      <c r="D12277">
        <v>43</v>
      </c>
      <c r="E12277" s="2">
        <v>7.0960648148148148E-2</v>
      </c>
      <c r="F12277">
        <v>102.18333333333334</v>
      </c>
    </row>
    <row r="12278" spans="1:6" x14ac:dyDescent="0.25">
      <c r="A12278" s="1">
        <v>42795</v>
      </c>
      <c r="B12278" t="s">
        <v>13</v>
      </c>
      <c r="C12278" t="s">
        <v>7</v>
      </c>
      <c r="D12278">
        <v>41</v>
      </c>
      <c r="E12278" s="2">
        <v>7.66087962962963E-2</v>
      </c>
      <c r="F12278">
        <v>110.31666666666666</v>
      </c>
    </row>
    <row r="12279" spans="1:6" x14ac:dyDescent="0.25">
      <c r="A12279" s="1">
        <v>42795</v>
      </c>
      <c r="B12279" t="s">
        <v>13</v>
      </c>
      <c r="C12279" t="s">
        <v>8</v>
      </c>
      <c r="D12279">
        <v>23</v>
      </c>
      <c r="E12279" s="2">
        <v>3.3402777777777781E-2</v>
      </c>
      <c r="F12279">
        <v>48.1</v>
      </c>
    </row>
    <row r="12280" spans="1:6" x14ac:dyDescent="0.25">
      <c r="A12280" s="1">
        <v>42795</v>
      </c>
      <c r="B12280" t="s">
        <v>13</v>
      </c>
      <c r="C12280" t="s">
        <v>9</v>
      </c>
      <c r="D12280">
        <v>0</v>
      </c>
      <c r="E12280" s="2">
        <v>0</v>
      </c>
      <c r="F12280">
        <v>0</v>
      </c>
    </row>
    <row r="12281" spans="1:6" x14ac:dyDescent="0.25">
      <c r="A12281" s="1">
        <v>42795</v>
      </c>
      <c r="B12281" t="s">
        <v>13</v>
      </c>
      <c r="C12281" t="s">
        <v>10</v>
      </c>
      <c r="D12281">
        <v>12</v>
      </c>
      <c r="E12281" s="2">
        <v>1.7627314814814814E-2</v>
      </c>
      <c r="F12281">
        <v>25.383333333333333</v>
      </c>
    </row>
    <row r="12282" spans="1:6" x14ac:dyDescent="0.25">
      <c r="A12282" s="1">
        <v>42795</v>
      </c>
      <c r="B12282" t="s">
        <v>13</v>
      </c>
      <c r="C12282" t="s">
        <v>11</v>
      </c>
      <c r="D12282">
        <v>25</v>
      </c>
      <c r="E12282" s="2">
        <v>3.1828703703703706E-2</v>
      </c>
      <c r="F12282">
        <v>45.833333333333336</v>
      </c>
    </row>
    <row r="12283" spans="1:6" x14ac:dyDescent="0.25">
      <c r="A12283" s="1">
        <v>42795</v>
      </c>
      <c r="B12283" t="s">
        <v>14</v>
      </c>
      <c r="C12283" t="s">
        <v>6</v>
      </c>
      <c r="D12283">
        <v>10</v>
      </c>
      <c r="E12283" s="2">
        <v>1.6631944444444446E-2</v>
      </c>
      <c r="F12283">
        <v>23.95</v>
      </c>
    </row>
    <row r="12284" spans="1:6" x14ac:dyDescent="0.25">
      <c r="A12284" s="1">
        <v>42795</v>
      </c>
      <c r="B12284" t="s">
        <v>14</v>
      </c>
      <c r="C12284" t="s">
        <v>7</v>
      </c>
      <c r="D12284">
        <v>6</v>
      </c>
      <c r="E12284" s="2">
        <v>1.1921296296296296E-2</v>
      </c>
      <c r="F12284">
        <v>17.166666666666668</v>
      </c>
    </row>
    <row r="12285" spans="1:6" x14ac:dyDescent="0.25">
      <c r="A12285" s="1">
        <v>42795</v>
      </c>
      <c r="B12285" t="s">
        <v>14</v>
      </c>
      <c r="C12285" t="s">
        <v>8</v>
      </c>
      <c r="D12285">
        <v>6</v>
      </c>
      <c r="E12285" s="2">
        <v>8.7152777777777784E-3</v>
      </c>
      <c r="F12285">
        <v>12.55</v>
      </c>
    </row>
    <row r="12286" spans="1:6" x14ac:dyDescent="0.25">
      <c r="A12286" s="1">
        <v>42795</v>
      </c>
      <c r="B12286" t="s">
        <v>14</v>
      </c>
      <c r="C12286" t="s">
        <v>9</v>
      </c>
      <c r="D12286">
        <v>0</v>
      </c>
      <c r="E12286" s="2">
        <v>0</v>
      </c>
      <c r="F12286">
        <v>0</v>
      </c>
    </row>
    <row r="12287" spans="1:6" x14ac:dyDescent="0.25">
      <c r="A12287" s="1">
        <v>42795</v>
      </c>
      <c r="B12287" t="s">
        <v>14</v>
      </c>
      <c r="C12287" t="s">
        <v>10</v>
      </c>
      <c r="D12287">
        <v>1</v>
      </c>
      <c r="E12287" s="2">
        <v>2.0717592592592593E-3</v>
      </c>
      <c r="F12287">
        <v>2.9833333333333334</v>
      </c>
    </row>
    <row r="12288" spans="1:6" x14ac:dyDescent="0.25">
      <c r="A12288" s="1">
        <v>42795</v>
      </c>
      <c r="B12288" t="s">
        <v>14</v>
      </c>
      <c r="C12288" t="s">
        <v>11</v>
      </c>
      <c r="D12288">
        <v>4</v>
      </c>
      <c r="E12288" s="2">
        <v>6.2500000000000003E-3</v>
      </c>
      <c r="F12288">
        <v>9</v>
      </c>
    </row>
    <row r="12289" spans="1:6" x14ac:dyDescent="0.25">
      <c r="A12289" s="1">
        <v>42795</v>
      </c>
      <c r="B12289" t="s">
        <v>15</v>
      </c>
      <c r="C12289" t="s">
        <v>6</v>
      </c>
      <c r="D12289">
        <v>12</v>
      </c>
      <c r="E12289" s="2">
        <v>1.7824074074074076E-2</v>
      </c>
      <c r="F12289">
        <v>25.666666666666668</v>
      </c>
    </row>
    <row r="12290" spans="1:6" x14ac:dyDescent="0.25">
      <c r="A12290" s="1">
        <v>42795</v>
      </c>
      <c r="B12290" t="s">
        <v>15</v>
      </c>
      <c r="C12290" t="s">
        <v>7</v>
      </c>
      <c r="D12290">
        <v>18</v>
      </c>
      <c r="E12290" s="2">
        <v>2.5289351851851851E-2</v>
      </c>
      <c r="F12290">
        <v>36.416666666666664</v>
      </c>
    </row>
    <row r="12291" spans="1:6" x14ac:dyDescent="0.25">
      <c r="A12291" s="1">
        <v>42795</v>
      </c>
      <c r="B12291" t="s">
        <v>15</v>
      </c>
      <c r="C12291" t="s">
        <v>8</v>
      </c>
      <c r="D12291">
        <v>16</v>
      </c>
      <c r="E12291" s="2">
        <v>1.7187500000000001E-2</v>
      </c>
      <c r="F12291">
        <v>24.75</v>
      </c>
    </row>
    <row r="12292" spans="1:6" x14ac:dyDescent="0.25">
      <c r="A12292" s="1">
        <v>42795</v>
      </c>
      <c r="B12292" t="s">
        <v>15</v>
      </c>
      <c r="C12292" t="s">
        <v>9</v>
      </c>
      <c r="D12292">
        <v>0</v>
      </c>
      <c r="E12292" s="2">
        <v>0</v>
      </c>
      <c r="F12292">
        <v>0</v>
      </c>
    </row>
    <row r="12293" spans="1:6" x14ac:dyDescent="0.25">
      <c r="A12293" s="1">
        <v>42795</v>
      </c>
      <c r="B12293" t="s">
        <v>15</v>
      </c>
      <c r="C12293" t="s">
        <v>10</v>
      </c>
      <c r="D12293">
        <v>7</v>
      </c>
      <c r="E12293" s="2">
        <v>1.0706018518518519E-2</v>
      </c>
      <c r="F12293">
        <v>15.416666666666666</v>
      </c>
    </row>
    <row r="12294" spans="1:6" x14ac:dyDescent="0.25">
      <c r="A12294" s="1">
        <v>42795</v>
      </c>
      <c r="B12294" t="s">
        <v>15</v>
      </c>
      <c r="C12294" t="s">
        <v>11</v>
      </c>
      <c r="D12294">
        <v>8</v>
      </c>
      <c r="E12294" s="2">
        <v>7.4074074074074077E-3</v>
      </c>
      <c r="F12294">
        <v>10.666666666666666</v>
      </c>
    </row>
    <row r="12295" spans="1:6" x14ac:dyDescent="0.25">
      <c r="A12295" s="1">
        <v>42795</v>
      </c>
      <c r="B12295" t="s">
        <v>16</v>
      </c>
      <c r="C12295" t="s">
        <v>6</v>
      </c>
      <c r="D12295">
        <v>26</v>
      </c>
      <c r="E12295" s="2">
        <v>2.704861111111111E-2</v>
      </c>
      <c r="F12295">
        <v>38.950000000000003</v>
      </c>
    </row>
    <row r="12296" spans="1:6" x14ac:dyDescent="0.25">
      <c r="A12296" s="1">
        <v>42795</v>
      </c>
      <c r="B12296" t="s">
        <v>16</v>
      </c>
      <c r="C12296" t="s">
        <v>7</v>
      </c>
      <c r="D12296">
        <v>23</v>
      </c>
      <c r="E12296" s="2">
        <v>2.6967592592592592E-2</v>
      </c>
      <c r="F12296">
        <v>38.833333333333336</v>
      </c>
    </row>
    <row r="12297" spans="1:6" x14ac:dyDescent="0.25">
      <c r="A12297" s="1">
        <v>42795</v>
      </c>
      <c r="B12297" t="s">
        <v>16</v>
      </c>
      <c r="C12297" t="s">
        <v>8</v>
      </c>
      <c r="D12297">
        <v>26</v>
      </c>
      <c r="E12297" s="2">
        <v>2.1967592592592594E-2</v>
      </c>
      <c r="F12297">
        <v>31.633333333333333</v>
      </c>
    </row>
    <row r="12298" spans="1:6" x14ac:dyDescent="0.25">
      <c r="A12298" s="1">
        <v>42795</v>
      </c>
      <c r="B12298" t="s">
        <v>16</v>
      </c>
      <c r="C12298" t="s">
        <v>9</v>
      </c>
      <c r="D12298">
        <v>0</v>
      </c>
      <c r="E12298" s="2">
        <v>0</v>
      </c>
      <c r="F12298">
        <v>0</v>
      </c>
    </row>
    <row r="12299" spans="1:6" x14ac:dyDescent="0.25">
      <c r="A12299" s="1">
        <v>42795</v>
      </c>
      <c r="B12299" t="s">
        <v>16</v>
      </c>
      <c r="C12299" t="s">
        <v>10</v>
      </c>
      <c r="D12299">
        <v>2</v>
      </c>
      <c r="E12299" s="2">
        <v>3.1712962962962962E-3</v>
      </c>
      <c r="F12299">
        <v>4.5666666666666664</v>
      </c>
    </row>
    <row r="12300" spans="1:6" x14ac:dyDescent="0.25">
      <c r="A12300" s="1">
        <v>42795</v>
      </c>
      <c r="B12300" t="s">
        <v>16</v>
      </c>
      <c r="C12300" t="s">
        <v>11</v>
      </c>
      <c r="D12300">
        <v>28</v>
      </c>
      <c r="E12300" s="2">
        <v>2.34375E-2</v>
      </c>
      <c r="F12300">
        <v>33.75</v>
      </c>
    </row>
    <row r="12301" spans="1:6" x14ac:dyDescent="0.25">
      <c r="A12301" s="1">
        <v>42795</v>
      </c>
      <c r="B12301" t="s">
        <v>17</v>
      </c>
      <c r="C12301" t="s">
        <v>6</v>
      </c>
      <c r="D12301">
        <v>8</v>
      </c>
      <c r="E12301" s="2">
        <v>8.5416666666666662E-3</v>
      </c>
      <c r="F12301">
        <v>12.3</v>
      </c>
    </row>
    <row r="12302" spans="1:6" x14ac:dyDescent="0.25">
      <c r="A12302" s="1">
        <v>42795</v>
      </c>
      <c r="B12302" t="s">
        <v>17</v>
      </c>
      <c r="C12302" t="s">
        <v>7</v>
      </c>
      <c r="D12302">
        <v>9</v>
      </c>
      <c r="E12302" s="2">
        <v>8.0439814814814818E-3</v>
      </c>
      <c r="F12302">
        <v>11.583333333333334</v>
      </c>
    </row>
    <row r="12303" spans="1:6" x14ac:dyDescent="0.25">
      <c r="A12303" s="1">
        <v>42795</v>
      </c>
      <c r="B12303" t="s">
        <v>17</v>
      </c>
      <c r="C12303" t="s">
        <v>8</v>
      </c>
      <c r="D12303">
        <v>7</v>
      </c>
      <c r="E12303" s="2">
        <v>8.7384259259259255E-3</v>
      </c>
      <c r="F12303">
        <v>12.583333333333334</v>
      </c>
    </row>
    <row r="12304" spans="1:6" x14ac:dyDescent="0.25">
      <c r="A12304" s="1">
        <v>42795</v>
      </c>
      <c r="B12304" t="s">
        <v>17</v>
      </c>
      <c r="C12304" t="s">
        <v>9</v>
      </c>
      <c r="D12304">
        <v>0</v>
      </c>
      <c r="E12304" s="2">
        <v>0</v>
      </c>
      <c r="F12304">
        <v>0</v>
      </c>
    </row>
    <row r="12305" spans="1:6" x14ac:dyDescent="0.25">
      <c r="A12305" s="1">
        <v>42795</v>
      </c>
      <c r="B12305" t="s">
        <v>17</v>
      </c>
      <c r="C12305" t="s">
        <v>10</v>
      </c>
      <c r="D12305">
        <v>5</v>
      </c>
      <c r="E12305" s="2">
        <v>5.1041666666666666E-3</v>
      </c>
      <c r="F12305">
        <v>7.35</v>
      </c>
    </row>
    <row r="12306" spans="1:6" x14ac:dyDescent="0.25">
      <c r="A12306" s="1">
        <v>42795</v>
      </c>
      <c r="B12306" t="s">
        <v>17</v>
      </c>
      <c r="C12306" t="s">
        <v>11</v>
      </c>
      <c r="D12306">
        <v>10</v>
      </c>
      <c r="E12306" s="2">
        <v>6.9444444444444441E-3</v>
      </c>
      <c r="F12306">
        <v>10</v>
      </c>
    </row>
    <row r="12307" spans="1:6" x14ac:dyDescent="0.25">
      <c r="A12307" s="1">
        <v>42795</v>
      </c>
      <c r="B12307" t="s">
        <v>18</v>
      </c>
      <c r="C12307" t="s">
        <v>6</v>
      </c>
      <c r="D12307">
        <v>51</v>
      </c>
      <c r="E12307" s="2">
        <v>5.3564814814814815E-2</v>
      </c>
      <c r="F12307">
        <v>77.13333333333334</v>
      </c>
    </row>
    <row r="12308" spans="1:6" x14ac:dyDescent="0.25">
      <c r="A12308" s="1">
        <v>42795</v>
      </c>
      <c r="B12308" t="s">
        <v>18</v>
      </c>
      <c r="C12308" t="s">
        <v>7</v>
      </c>
      <c r="D12308">
        <v>80</v>
      </c>
      <c r="E12308" s="2">
        <v>7.4606481481481482E-2</v>
      </c>
      <c r="F12308">
        <v>107.43333333333334</v>
      </c>
    </row>
    <row r="12309" spans="1:6" x14ac:dyDescent="0.25">
      <c r="A12309" s="1">
        <v>42795</v>
      </c>
      <c r="B12309" t="s">
        <v>18</v>
      </c>
      <c r="C12309" t="s">
        <v>8</v>
      </c>
      <c r="D12309">
        <v>50</v>
      </c>
      <c r="E12309" s="2">
        <v>4.2951388888888886E-2</v>
      </c>
      <c r="F12309">
        <v>61.85</v>
      </c>
    </row>
    <row r="12310" spans="1:6" x14ac:dyDescent="0.25">
      <c r="A12310" s="1">
        <v>42795</v>
      </c>
      <c r="B12310" t="s">
        <v>18</v>
      </c>
      <c r="C12310" t="s">
        <v>9</v>
      </c>
      <c r="D12310">
        <v>0</v>
      </c>
      <c r="E12310" s="2">
        <v>0</v>
      </c>
      <c r="F12310">
        <v>0</v>
      </c>
    </row>
    <row r="12311" spans="1:6" x14ac:dyDescent="0.25">
      <c r="A12311" s="1">
        <v>42795</v>
      </c>
      <c r="B12311" t="s">
        <v>18</v>
      </c>
      <c r="C12311" t="s">
        <v>10</v>
      </c>
      <c r="D12311">
        <v>123</v>
      </c>
      <c r="E12311" s="2">
        <v>0.15762731481481482</v>
      </c>
      <c r="F12311">
        <v>226.98333333333332</v>
      </c>
    </row>
    <row r="12312" spans="1:6" x14ac:dyDescent="0.25">
      <c r="A12312" s="1">
        <v>42795</v>
      </c>
      <c r="B12312" t="s">
        <v>18</v>
      </c>
      <c r="C12312" t="s">
        <v>11</v>
      </c>
      <c r="D12312">
        <v>53</v>
      </c>
      <c r="E12312" s="2">
        <v>4.1226851851851855E-2</v>
      </c>
      <c r="F12312">
        <v>59.366666666666667</v>
      </c>
    </row>
    <row r="12313" spans="1:6" x14ac:dyDescent="0.25">
      <c r="A12313" s="1">
        <v>42795</v>
      </c>
      <c r="B12313" t="s">
        <v>19</v>
      </c>
      <c r="C12313" t="s">
        <v>6</v>
      </c>
      <c r="D12313">
        <v>12</v>
      </c>
      <c r="E12313" s="2">
        <v>1.2731481481481481E-2</v>
      </c>
      <c r="F12313">
        <v>18.333333333333332</v>
      </c>
    </row>
    <row r="12314" spans="1:6" x14ac:dyDescent="0.25">
      <c r="A12314" s="1">
        <v>42795</v>
      </c>
      <c r="B12314" t="s">
        <v>19</v>
      </c>
      <c r="C12314" t="s">
        <v>7</v>
      </c>
      <c r="D12314">
        <v>13</v>
      </c>
      <c r="E12314" s="2">
        <v>1.5960648148148147E-2</v>
      </c>
      <c r="F12314">
        <v>22.983333333333334</v>
      </c>
    </row>
    <row r="12315" spans="1:6" x14ac:dyDescent="0.25">
      <c r="A12315" s="1">
        <v>42795</v>
      </c>
      <c r="B12315" t="s">
        <v>19</v>
      </c>
      <c r="C12315" t="s">
        <v>8</v>
      </c>
      <c r="D12315">
        <v>20</v>
      </c>
      <c r="E12315" s="2">
        <v>1.8310185185185186E-2</v>
      </c>
      <c r="F12315">
        <v>26.366666666666667</v>
      </c>
    </row>
    <row r="12316" spans="1:6" x14ac:dyDescent="0.25">
      <c r="A12316" s="1">
        <v>42795</v>
      </c>
      <c r="B12316" t="s">
        <v>19</v>
      </c>
      <c r="C12316" t="s">
        <v>9</v>
      </c>
      <c r="D12316">
        <v>0</v>
      </c>
      <c r="E12316" s="2">
        <v>0</v>
      </c>
      <c r="F12316">
        <v>0</v>
      </c>
    </row>
    <row r="12317" spans="1:6" x14ac:dyDescent="0.25">
      <c r="A12317" s="1">
        <v>42795</v>
      </c>
      <c r="B12317" t="s">
        <v>19</v>
      </c>
      <c r="C12317" t="s">
        <v>10</v>
      </c>
      <c r="D12317">
        <v>14</v>
      </c>
      <c r="E12317" s="2">
        <v>1.6631944444444446E-2</v>
      </c>
      <c r="F12317">
        <v>23.95</v>
      </c>
    </row>
    <row r="12318" spans="1:6" x14ac:dyDescent="0.25">
      <c r="A12318" s="1">
        <v>42795</v>
      </c>
      <c r="B12318" t="s">
        <v>19</v>
      </c>
      <c r="C12318" t="s">
        <v>11</v>
      </c>
      <c r="D12318">
        <v>22</v>
      </c>
      <c r="E12318" s="2">
        <v>1.8969907407407408E-2</v>
      </c>
      <c r="F12318">
        <v>27.316666666666666</v>
      </c>
    </row>
    <row r="12319" spans="1:6" x14ac:dyDescent="0.25">
      <c r="A12319" s="1">
        <v>42795</v>
      </c>
      <c r="B12319" t="s">
        <v>20</v>
      </c>
      <c r="C12319" t="s">
        <v>6</v>
      </c>
      <c r="D12319">
        <v>138</v>
      </c>
      <c r="E12319" s="2">
        <v>0.20559027777777777</v>
      </c>
      <c r="F12319">
        <v>296.05</v>
      </c>
    </row>
    <row r="12320" spans="1:6" x14ac:dyDescent="0.25">
      <c r="A12320" s="1">
        <v>42795</v>
      </c>
      <c r="B12320" t="s">
        <v>20</v>
      </c>
      <c r="C12320" t="s">
        <v>7</v>
      </c>
      <c r="D12320">
        <v>157</v>
      </c>
      <c r="E12320" s="2">
        <v>0.20226851851851851</v>
      </c>
      <c r="F12320">
        <v>291.26666666666665</v>
      </c>
    </row>
    <row r="12321" spans="1:6" x14ac:dyDescent="0.25">
      <c r="A12321" s="1">
        <v>42795</v>
      </c>
      <c r="B12321" t="s">
        <v>20</v>
      </c>
      <c r="C12321" t="s">
        <v>8</v>
      </c>
      <c r="D12321">
        <v>86</v>
      </c>
      <c r="E12321" s="2">
        <v>0.10502314814814814</v>
      </c>
      <c r="F12321">
        <v>151.23333333333332</v>
      </c>
    </row>
    <row r="12322" spans="1:6" x14ac:dyDescent="0.25">
      <c r="A12322" s="1">
        <v>42795</v>
      </c>
      <c r="B12322" t="s">
        <v>20</v>
      </c>
      <c r="C12322" t="s">
        <v>9</v>
      </c>
      <c r="D12322">
        <v>0</v>
      </c>
      <c r="E12322" s="2">
        <v>0</v>
      </c>
      <c r="F12322">
        <v>0</v>
      </c>
    </row>
    <row r="12323" spans="1:6" x14ac:dyDescent="0.25">
      <c r="A12323" s="1">
        <v>42795</v>
      </c>
      <c r="B12323" t="s">
        <v>20</v>
      </c>
      <c r="C12323" t="s">
        <v>10</v>
      </c>
      <c r="D12323">
        <v>17</v>
      </c>
      <c r="E12323" s="2">
        <v>2.3692129629629629E-2</v>
      </c>
      <c r="F12323">
        <v>34.116666666666667</v>
      </c>
    </row>
    <row r="12324" spans="1:6" x14ac:dyDescent="0.25">
      <c r="A12324" s="1">
        <v>42795</v>
      </c>
      <c r="B12324" t="s">
        <v>20</v>
      </c>
      <c r="C12324" t="s">
        <v>11</v>
      </c>
      <c r="D12324">
        <v>111</v>
      </c>
      <c r="E12324" s="2">
        <v>0.1004513888888889</v>
      </c>
      <c r="F12324">
        <v>144.65</v>
      </c>
    </row>
    <row r="12325" spans="1:6" x14ac:dyDescent="0.25">
      <c r="A12325" s="1">
        <v>42795</v>
      </c>
      <c r="B12325" t="s">
        <v>21</v>
      </c>
      <c r="C12325" t="s">
        <v>6</v>
      </c>
      <c r="D12325">
        <v>15</v>
      </c>
      <c r="E12325" s="2">
        <v>2.4699074074074075E-2</v>
      </c>
      <c r="F12325">
        <v>35.56666666666667</v>
      </c>
    </row>
    <row r="12326" spans="1:6" x14ac:dyDescent="0.25">
      <c r="A12326" s="1">
        <v>42795</v>
      </c>
      <c r="B12326" t="s">
        <v>21</v>
      </c>
      <c r="C12326" t="s">
        <v>7</v>
      </c>
      <c r="D12326">
        <v>5</v>
      </c>
      <c r="E12326" s="2">
        <v>1.1215277777777777E-2</v>
      </c>
      <c r="F12326">
        <v>16.149999999999999</v>
      </c>
    </row>
    <row r="12327" spans="1:6" x14ac:dyDescent="0.25">
      <c r="A12327" s="1">
        <v>42795</v>
      </c>
      <c r="B12327" t="s">
        <v>21</v>
      </c>
      <c r="C12327" t="s">
        <v>8</v>
      </c>
      <c r="D12327">
        <v>7</v>
      </c>
      <c r="E12327" s="2">
        <v>1.0752314814814815E-2</v>
      </c>
      <c r="F12327">
        <v>15.483333333333333</v>
      </c>
    </row>
    <row r="12328" spans="1:6" x14ac:dyDescent="0.25">
      <c r="A12328" s="1">
        <v>42795</v>
      </c>
      <c r="B12328" t="s">
        <v>21</v>
      </c>
      <c r="C12328" t="s">
        <v>9</v>
      </c>
      <c r="D12328">
        <v>0</v>
      </c>
      <c r="E12328" s="2">
        <v>0</v>
      </c>
      <c r="F12328">
        <v>0</v>
      </c>
    </row>
    <row r="12329" spans="1:6" x14ac:dyDescent="0.25">
      <c r="A12329" s="1">
        <v>42795</v>
      </c>
      <c r="B12329" t="s">
        <v>21</v>
      </c>
      <c r="C12329" t="s">
        <v>10</v>
      </c>
      <c r="D12329">
        <v>2</v>
      </c>
      <c r="E12329" s="2">
        <v>2.6041666666666665E-3</v>
      </c>
      <c r="F12329">
        <v>3.75</v>
      </c>
    </row>
    <row r="12330" spans="1:6" x14ac:dyDescent="0.25">
      <c r="A12330" s="1">
        <v>42795</v>
      </c>
      <c r="B12330" t="s">
        <v>21</v>
      </c>
      <c r="C12330" t="s">
        <v>11</v>
      </c>
      <c r="D12330">
        <v>17</v>
      </c>
      <c r="E12330" s="2">
        <v>2.1874999999999999E-2</v>
      </c>
      <c r="F12330">
        <v>31.5</v>
      </c>
    </row>
    <row r="12331" spans="1:6" x14ac:dyDescent="0.25">
      <c r="A12331" s="1">
        <v>42795</v>
      </c>
      <c r="B12331" t="s">
        <v>22</v>
      </c>
      <c r="C12331" t="s">
        <v>6</v>
      </c>
      <c r="D12331">
        <v>15</v>
      </c>
      <c r="E12331" s="2">
        <v>2.8611111111111111E-2</v>
      </c>
      <c r="F12331">
        <v>41.2</v>
      </c>
    </row>
    <row r="12332" spans="1:6" x14ac:dyDescent="0.25">
      <c r="A12332" s="1">
        <v>42795</v>
      </c>
      <c r="B12332" t="s">
        <v>22</v>
      </c>
      <c r="C12332" t="s">
        <v>7</v>
      </c>
      <c r="D12332">
        <v>8</v>
      </c>
      <c r="E12332" s="2">
        <v>7.5231481481481477E-3</v>
      </c>
      <c r="F12332">
        <v>10.833333333333334</v>
      </c>
    </row>
    <row r="12333" spans="1:6" x14ac:dyDescent="0.25">
      <c r="A12333" s="1">
        <v>42795</v>
      </c>
      <c r="B12333" t="s">
        <v>22</v>
      </c>
      <c r="C12333" t="s">
        <v>8</v>
      </c>
      <c r="D12333">
        <v>7</v>
      </c>
      <c r="E12333" s="2">
        <v>6.3888888888888893E-3</v>
      </c>
      <c r="F12333">
        <v>9.1999999999999993</v>
      </c>
    </row>
    <row r="12334" spans="1:6" x14ac:dyDescent="0.25">
      <c r="A12334" s="1">
        <v>42795</v>
      </c>
      <c r="B12334" t="s">
        <v>22</v>
      </c>
      <c r="C12334" t="s">
        <v>9</v>
      </c>
      <c r="D12334">
        <v>0</v>
      </c>
      <c r="E12334" s="2">
        <v>0</v>
      </c>
      <c r="F12334">
        <v>0</v>
      </c>
    </row>
    <row r="12335" spans="1:6" x14ac:dyDescent="0.25">
      <c r="A12335" s="1">
        <v>42795</v>
      </c>
      <c r="B12335" t="s">
        <v>22</v>
      </c>
      <c r="C12335" t="s">
        <v>10</v>
      </c>
      <c r="D12335">
        <v>8</v>
      </c>
      <c r="E12335" s="2">
        <v>9.7222222222222224E-3</v>
      </c>
      <c r="F12335">
        <v>14</v>
      </c>
    </row>
    <row r="12336" spans="1:6" x14ac:dyDescent="0.25">
      <c r="A12336" s="1">
        <v>42795</v>
      </c>
      <c r="B12336" t="s">
        <v>22</v>
      </c>
      <c r="C12336" t="s">
        <v>11</v>
      </c>
      <c r="D12336">
        <v>9</v>
      </c>
      <c r="E12336" s="2">
        <v>7.8703703703703696E-3</v>
      </c>
      <c r="F12336">
        <v>11.333333333333334</v>
      </c>
    </row>
    <row r="12337" spans="1:6" x14ac:dyDescent="0.25">
      <c r="A12337" s="1">
        <v>42795</v>
      </c>
      <c r="B12337" t="s">
        <v>23</v>
      </c>
      <c r="C12337" t="s">
        <v>6</v>
      </c>
      <c r="D12337">
        <v>74</v>
      </c>
      <c r="E12337" s="2">
        <v>0.10894675925925926</v>
      </c>
      <c r="F12337">
        <v>156.88333333333333</v>
      </c>
    </row>
    <row r="12338" spans="1:6" x14ac:dyDescent="0.25">
      <c r="A12338" s="1">
        <v>42795</v>
      </c>
      <c r="B12338" t="s">
        <v>23</v>
      </c>
      <c r="C12338" t="s">
        <v>7</v>
      </c>
      <c r="D12338">
        <v>80</v>
      </c>
      <c r="E12338" s="2">
        <v>0.12266203703703704</v>
      </c>
      <c r="F12338">
        <v>176.63333333333333</v>
      </c>
    </row>
    <row r="12339" spans="1:6" x14ac:dyDescent="0.25">
      <c r="A12339" s="1">
        <v>42795</v>
      </c>
      <c r="B12339" t="s">
        <v>23</v>
      </c>
      <c r="C12339" t="s">
        <v>8</v>
      </c>
      <c r="D12339">
        <v>63</v>
      </c>
      <c r="E12339" s="2">
        <v>9.1099537037037034E-2</v>
      </c>
      <c r="F12339">
        <v>131.18333333333334</v>
      </c>
    </row>
    <row r="12340" spans="1:6" x14ac:dyDescent="0.25">
      <c r="A12340" s="1">
        <v>42795</v>
      </c>
      <c r="B12340" t="s">
        <v>23</v>
      </c>
      <c r="C12340" t="s">
        <v>9</v>
      </c>
      <c r="D12340">
        <v>0</v>
      </c>
      <c r="E12340" s="2">
        <v>0</v>
      </c>
      <c r="F12340">
        <v>0</v>
      </c>
    </row>
    <row r="12341" spans="1:6" x14ac:dyDescent="0.25">
      <c r="A12341" s="1">
        <v>42795</v>
      </c>
      <c r="B12341" t="s">
        <v>23</v>
      </c>
      <c r="C12341" t="s">
        <v>10</v>
      </c>
      <c r="D12341">
        <v>27</v>
      </c>
      <c r="E12341" s="2">
        <v>4.207175925925926E-2</v>
      </c>
      <c r="F12341">
        <v>60.583333333333336</v>
      </c>
    </row>
    <row r="12342" spans="1:6" x14ac:dyDescent="0.25">
      <c r="A12342" s="1">
        <v>42795</v>
      </c>
      <c r="B12342" t="s">
        <v>23</v>
      </c>
      <c r="C12342" t="s">
        <v>11</v>
      </c>
      <c r="D12342">
        <v>67</v>
      </c>
      <c r="E12342" s="2">
        <v>7.1979166666666664E-2</v>
      </c>
      <c r="F12342">
        <v>103.65</v>
      </c>
    </row>
    <row r="12343" spans="1:6" x14ac:dyDescent="0.25">
      <c r="A12343" s="1">
        <v>42795</v>
      </c>
      <c r="B12343" t="s">
        <v>24</v>
      </c>
      <c r="C12343" t="s">
        <v>6</v>
      </c>
      <c r="D12343">
        <v>25</v>
      </c>
      <c r="E12343" s="2">
        <v>3.2766203703703707E-2</v>
      </c>
      <c r="F12343">
        <v>47.18333333333333</v>
      </c>
    </row>
    <row r="12344" spans="1:6" x14ac:dyDescent="0.25">
      <c r="A12344" s="1">
        <v>42795</v>
      </c>
      <c r="B12344" t="s">
        <v>24</v>
      </c>
      <c r="C12344" t="s">
        <v>7</v>
      </c>
      <c r="D12344">
        <v>14</v>
      </c>
      <c r="E12344" s="2">
        <v>1.1527777777777777E-2</v>
      </c>
      <c r="F12344">
        <v>16.600000000000001</v>
      </c>
    </row>
    <row r="12345" spans="1:6" x14ac:dyDescent="0.25">
      <c r="A12345" s="1">
        <v>42795</v>
      </c>
      <c r="B12345" t="s">
        <v>24</v>
      </c>
      <c r="C12345" t="s">
        <v>8</v>
      </c>
      <c r="D12345">
        <v>11</v>
      </c>
      <c r="E12345" s="2">
        <v>9.9537037037037042E-3</v>
      </c>
      <c r="F12345">
        <v>14.333333333333334</v>
      </c>
    </row>
    <row r="12346" spans="1:6" x14ac:dyDescent="0.25">
      <c r="A12346" s="1">
        <v>42795</v>
      </c>
      <c r="B12346" t="s">
        <v>24</v>
      </c>
      <c r="C12346" t="s">
        <v>9</v>
      </c>
      <c r="D12346">
        <v>0</v>
      </c>
      <c r="E12346" s="2">
        <v>0</v>
      </c>
      <c r="F12346">
        <v>0</v>
      </c>
    </row>
    <row r="12347" spans="1:6" x14ac:dyDescent="0.25">
      <c r="A12347" s="1">
        <v>42795</v>
      </c>
      <c r="B12347" t="s">
        <v>24</v>
      </c>
      <c r="C12347" t="s">
        <v>10</v>
      </c>
      <c r="D12347">
        <v>0</v>
      </c>
      <c r="E12347" s="2">
        <v>0</v>
      </c>
      <c r="F12347">
        <v>0</v>
      </c>
    </row>
    <row r="12348" spans="1:6" x14ac:dyDescent="0.25">
      <c r="A12348" s="1">
        <v>42795</v>
      </c>
      <c r="B12348" t="s">
        <v>24</v>
      </c>
      <c r="C12348" t="s">
        <v>11</v>
      </c>
      <c r="D12348">
        <v>11</v>
      </c>
      <c r="E12348" s="2">
        <v>9.7569444444444448E-3</v>
      </c>
      <c r="F12348">
        <v>14.05</v>
      </c>
    </row>
    <row r="12349" spans="1:6" x14ac:dyDescent="0.25">
      <c r="A12349" s="1">
        <v>42826</v>
      </c>
      <c r="B12349" t="s">
        <v>5</v>
      </c>
      <c r="C12349" t="s">
        <v>6</v>
      </c>
      <c r="D12349">
        <v>7</v>
      </c>
      <c r="E12349" s="2">
        <v>8.2638888888888883E-3</v>
      </c>
      <c r="F12349">
        <v>11.9</v>
      </c>
    </row>
    <row r="12350" spans="1:6" x14ac:dyDescent="0.25">
      <c r="A12350" s="1">
        <v>42826</v>
      </c>
      <c r="B12350" t="s">
        <v>5</v>
      </c>
      <c r="C12350" t="s">
        <v>7</v>
      </c>
      <c r="D12350">
        <v>4</v>
      </c>
      <c r="E12350" s="2">
        <v>5.208333333333333E-3</v>
      </c>
      <c r="F12350">
        <v>7.5</v>
      </c>
    </row>
    <row r="12351" spans="1:6" x14ac:dyDescent="0.25">
      <c r="A12351" s="1">
        <v>42826</v>
      </c>
      <c r="B12351" t="s">
        <v>5</v>
      </c>
      <c r="C12351" t="s">
        <v>8</v>
      </c>
      <c r="D12351">
        <v>6</v>
      </c>
      <c r="E12351" s="2">
        <v>6.1342592592592594E-3</v>
      </c>
      <c r="F12351">
        <v>8.8333333333333339</v>
      </c>
    </row>
    <row r="12352" spans="1:6" x14ac:dyDescent="0.25">
      <c r="A12352" s="1">
        <v>42826</v>
      </c>
      <c r="B12352" t="s">
        <v>5</v>
      </c>
      <c r="C12352" t="s">
        <v>9</v>
      </c>
      <c r="D12352">
        <v>0</v>
      </c>
      <c r="E12352" s="2">
        <v>0</v>
      </c>
      <c r="F12352">
        <v>0</v>
      </c>
    </row>
    <row r="12353" spans="1:6" x14ac:dyDescent="0.25">
      <c r="A12353" s="1">
        <v>42826</v>
      </c>
      <c r="B12353" t="s">
        <v>5</v>
      </c>
      <c r="C12353" t="s">
        <v>10</v>
      </c>
      <c r="D12353">
        <v>2</v>
      </c>
      <c r="E12353" s="2">
        <v>1.5509259259259259E-3</v>
      </c>
      <c r="F12353">
        <v>2.2333333333333334</v>
      </c>
    </row>
    <row r="12354" spans="1:6" x14ac:dyDescent="0.25">
      <c r="A12354" s="1">
        <v>42826</v>
      </c>
      <c r="B12354" t="s">
        <v>5</v>
      </c>
      <c r="C12354" t="s">
        <v>11</v>
      </c>
      <c r="D12354">
        <v>14</v>
      </c>
      <c r="E12354" s="2">
        <v>1.019675925925926E-2</v>
      </c>
      <c r="F12354">
        <v>14.683333333333334</v>
      </c>
    </row>
    <row r="12355" spans="1:6" x14ac:dyDescent="0.25">
      <c r="A12355" s="1">
        <v>42826</v>
      </c>
      <c r="B12355" t="s">
        <v>12</v>
      </c>
      <c r="C12355" t="s">
        <v>6</v>
      </c>
      <c r="D12355">
        <v>21</v>
      </c>
      <c r="E12355" s="2">
        <v>2.8738425925925924E-2</v>
      </c>
      <c r="F12355">
        <v>41.383333333333333</v>
      </c>
    </row>
    <row r="12356" spans="1:6" x14ac:dyDescent="0.25">
      <c r="A12356" s="1">
        <v>42826</v>
      </c>
      <c r="B12356" t="s">
        <v>12</v>
      </c>
      <c r="C12356" t="s">
        <v>7</v>
      </c>
      <c r="D12356">
        <v>14</v>
      </c>
      <c r="E12356" s="2">
        <v>3.8043981481481484E-2</v>
      </c>
      <c r="F12356">
        <v>54.783333333333331</v>
      </c>
    </row>
    <row r="12357" spans="1:6" x14ac:dyDescent="0.25">
      <c r="A12357" s="1">
        <v>42826</v>
      </c>
      <c r="B12357" t="s">
        <v>12</v>
      </c>
      <c r="C12357" t="s">
        <v>8</v>
      </c>
      <c r="D12357">
        <v>15</v>
      </c>
      <c r="E12357" s="2">
        <v>2.5833333333333333E-2</v>
      </c>
      <c r="F12357">
        <v>37.200000000000003</v>
      </c>
    </row>
    <row r="12358" spans="1:6" x14ac:dyDescent="0.25">
      <c r="A12358" s="1">
        <v>42826</v>
      </c>
      <c r="B12358" t="s">
        <v>12</v>
      </c>
      <c r="C12358" t="s">
        <v>9</v>
      </c>
      <c r="D12358">
        <v>0</v>
      </c>
      <c r="E12358" s="2">
        <v>0</v>
      </c>
      <c r="F12358">
        <v>0</v>
      </c>
    </row>
    <row r="12359" spans="1:6" x14ac:dyDescent="0.25">
      <c r="A12359" s="1">
        <v>42826</v>
      </c>
      <c r="B12359" t="s">
        <v>12</v>
      </c>
      <c r="C12359" t="s">
        <v>10</v>
      </c>
      <c r="D12359">
        <v>20</v>
      </c>
      <c r="E12359" s="2">
        <v>3.2129629629629633E-2</v>
      </c>
      <c r="F12359">
        <v>46.266666666666666</v>
      </c>
    </row>
    <row r="12360" spans="1:6" x14ac:dyDescent="0.25">
      <c r="A12360" s="1">
        <v>42826</v>
      </c>
      <c r="B12360" t="s">
        <v>12</v>
      </c>
      <c r="C12360" t="s">
        <v>11</v>
      </c>
      <c r="D12360">
        <v>36</v>
      </c>
      <c r="E12360" s="2">
        <v>4.3067129629629629E-2</v>
      </c>
      <c r="F12360">
        <v>62.016666666666666</v>
      </c>
    </row>
    <row r="12361" spans="1:6" x14ac:dyDescent="0.25">
      <c r="A12361" s="1">
        <v>42826</v>
      </c>
      <c r="B12361" t="s">
        <v>13</v>
      </c>
      <c r="C12361" t="s">
        <v>6</v>
      </c>
      <c r="D12361">
        <v>37</v>
      </c>
      <c r="E12361" s="2">
        <v>6.6504629629629636E-2</v>
      </c>
      <c r="F12361">
        <v>95.766666666666666</v>
      </c>
    </row>
    <row r="12362" spans="1:6" x14ac:dyDescent="0.25">
      <c r="A12362" s="1">
        <v>42826</v>
      </c>
      <c r="B12362" t="s">
        <v>13</v>
      </c>
      <c r="C12362" t="s">
        <v>7</v>
      </c>
      <c r="D12362">
        <v>31</v>
      </c>
      <c r="E12362" s="2">
        <v>4.8298611111111112E-2</v>
      </c>
      <c r="F12362">
        <v>69.55</v>
      </c>
    </row>
    <row r="12363" spans="1:6" x14ac:dyDescent="0.25">
      <c r="A12363" s="1">
        <v>42826</v>
      </c>
      <c r="B12363" t="s">
        <v>13</v>
      </c>
      <c r="C12363" t="s">
        <v>8</v>
      </c>
      <c r="D12363">
        <v>19</v>
      </c>
      <c r="E12363" s="2">
        <v>3.5405092592592592E-2</v>
      </c>
      <c r="F12363">
        <v>50.983333333333334</v>
      </c>
    </row>
    <row r="12364" spans="1:6" x14ac:dyDescent="0.25">
      <c r="A12364" s="1">
        <v>42826</v>
      </c>
      <c r="B12364" t="s">
        <v>13</v>
      </c>
      <c r="C12364" t="s">
        <v>9</v>
      </c>
      <c r="D12364">
        <v>0</v>
      </c>
      <c r="E12364" s="2">
        <v>0</v>
      </c>
      <c r="F12364">
        <v>0</v>
      </c>
    </row>
    <row r="12365" spans="1:6" x14ac:dyDescent="0.25">
      <c r="A12365" s="1">
        <v>42826</v>
      </c>
      <c r="B12365" t="s">
        <v>13</v>
      </c>
      <c r="C12365" t="s">
        <v>10</v>
      </c>
      <c r="D12365">
        <v>10</v>
      </c>
      <c r="E12365" s="2">
        <v>1.9305555555555555E-2</v>
      </c>
      <c r="F12365">
        <v>27.8</v>
      </c>
    </row>
    <row r="12366" spans="1:6" x14ac:dyDescent="0.25">
      <c r="A12366" s="1">
        <v>42826</v>
      </c>
      <c r="B12366" t="s">
        <v>13</v>
      </c>
      <c r="C12366" t="s">
        <v>11</v>
      </c>
      <c r="D12366">
        <v>21</v>
      </c>
      <c r="E12366" s="2">
        <v>2.5601851851851851E-2</v>
      </c>
      <c r="F12366">
        <v>36.866666666666667</v>
      </c>
    </row>
    <row r="12367" spans="1:6" x14ac:dyDescent="0.25">
      <c r="A12367" s="1">
        <v>42826</v>
      </c>
      <c r="B12367" t="s">
        <v>14</v>
      </c>
      <c r="C12367" t="s">
        <v>6</v>
      </c>
      <c r="D12367">
        <v>4</v>
      </c>
      <c r="E12367" s="2">
        <v>6.9907407407407409E-3</v>
      </c>
      <c r="F12367">
        <v>10.066666666666666</v>
      </c>
    </row>
    <row r="12368" spans="1:6" x14ac:dyDescent="0.25">
      <c r="A12368" s="1">
        <v>42826</v>
      </c>
      <c r="B12368" t="s">
        <v>14</v>
      </c>
      <c r="C12368" t="s">
        <v>7</v>
      </c>
      <c r="D12368">
        <v>5</v>
      </c>
      <c r="E12368" s="2">
        <v>1.5081018518518518E-2</v>
      </c>
      <c r="F12368">
        <v>21.716666666666665</v>
      </c>
    </row>
    <row r="12369" spans="1:6" x14ac:dyDescent="0.25">
      <c r="A12369" s="1">
        <v>42826</v>
      </c>
      <c r="B12369" t="s">
        <v>14</v>
      </c>
      <c r="C12369" t="s">
        <v>8</v>
      </c>
      <c r="D12369">
        <v>0</v>
      </c>
      <c r="E12369" s="2">
        <v>0</v>
      </c>
      <c r="F12369">
        <v>0</v>
      </c>
    </row>
    <row r="12370" spans="1:6" x14ac:dyDescent="0.25">
      <c r="A12370" s="1">
        <v>42826</v>
      </c>
      <c r="B12370" t="s">
        <v>14</v>
      </c>
      <c r="C12370" t="s">
        <v>9</v>
      </c>
      <c r="D12370">
        <v>0</v>
      </c>
      <c r="E12370" s="2">
        <v>0</v>
      </c>
      <c r="F12370">
        <v>0</v>
      </c>
    </row>
    <row r="12371" spans="1:6" x14ac:dyDescent="0.25">
      <c r="A12371" s="1">
        <v>42826</v>
      </c>
      <c r="B12371" t="s">
        <v>14</v>
      </c>
      <c r="C12371" t="s">
        <v>10</v>
      </c>
      <c r="D12371">
        <v>1</v>
      </c>
      <c r="E12371" s="2">
        <v>1.0416666666666667E-3</v>
      </c>
      <c r="F12371">
        <v>1.5</v>
      </c>
    </row>
    <row r="12372" spans="1:6" x14ac:dyDescent="0.25">
      <c r="A12372" s="1">
        <v>42826</v>
      </c>
      <c r="B12372" t="s">
        <v>14</v>
      </c>
      <c r="C12372" t="s">
        <v>11</v>
      </c>
      <c r="D12372">
        <v>1</v>
      </c>
      <c r="E12372" s="2">
        <v>1.5277777777777779E-3</v>
      </c>
      <c r="F12372">
        <v>2.2000000000000002</v>
      </c>
    </row>
    <row r="12373" spans="1:6" x14ac:dyDescent="0.25">
      <c r="A12373" s="1">
        <v>42826</v>
      </c>
      <c r="B12373" t="s">
        <v>15</v>
      </c>
      <c r="C12373" t="s">
        <v>6</v>
      </c>
      <c r="D12373">
        <v>10</v>
      </c>
      <c r="E12373" s="2">
        <v>1.863425925925926E-2</v>
      </c>
      <c r="F12373">
        <v>26.833333333333332</v>
      </c>
    </row>
    <row r="12374" spans="1:6" x14ac:dyDescent="0.25">
      <c r="A12374" s="1">
        <v>42826</v>
      </c>
      <c r="B12374" t="s">
        <v>15</v>
      </c>
      <c r="C12374" t="s">
        <v>7</v>
      </c>
      <c r="D12374">
        <v>16</v>
      </c>
      <c r="E12374" s="2">
        <v>3.3449074074074076E-2</v>
      </c>
      <c r="F12374">
        <v>48.166666666666664</v>
      </c>
    </row>
    <row r="12375" spans="1:6" x14ac:dyDescent="0.25">
      <c r="A12375" s="1">
        <v>42826</v>
      </c>
      <c r="B12375" t="s">
        <v>15</v>
      </c>
      <c r="C12375" t="s">
        <v>8</v>
      </c>
      <c r="D12375">
        <v>14</v>
      </c>
      <c r="E12375" s="2">
        <v>1.4791666666666667E-2</v>
      </c>
      <c r="F12375">
        <v>21.3</v>
      </c>
    </row>
    <row r="12376" spans="1:6" x14ac:dyDescent="0.25">
      <c r="A12376" s="1">
        <v>42826</v>
      </c>
      <c r="B12376" t="s">
        <v>15</v>
      </c>
      <c r="C12376" t="s">
        <v>9</v>
      </c>
      <c r="D12376">
        <v>0</v>
      </c>
      <c r="E12376" s="2">
        <v>0</v>
      </c>
      <c r="F12376">
        <v>0</v>
      </c>
    </row>
    <row r="12377" spans="1:6" x14ac:dyDescent="0.25">
      <c r="A12377" s="1">
        <v>42826</v>
      </c>
      <c r="B12377" t="s">
        <v>15</v>
      </c>
      <c r="C12377" t="s">
        <v>10</v>
      </c>
      <c r="D12377">
        <v>3</v>
      </c>
      <c r="E12377" s="2">
        <v>3.5763888888888889E-3</v>
      </c>
      <c r="F12377">
        <v>5.15</v>
      </c>
    </row>
    <row r="12378" spans="1:6" x14ac:dyDescent="0.25">
      <c r="A12378" s="1">
        <v>42826</v>
      </c>
      <c r="B12378" t="s">
        <v>15</v>
      </c>
      <c r="C12378" t="s">
        <v>11</v>
      </c>
      <c r="D12378">
        <v>3</v>
      </c>
      <c r="E12378" s="2">
        <v>3.5300925925925925E-3</v>
      </c>
      <c r="F12378">
        <v>5.083333333333333</v>
      </c>
    </row>
    <row r="12379" spans="1:6" x14ac:dyDescent="0.25">
      <c r="A12379" s="1">
        <v>42826</v>
      </c>
      <c r="B12379" t="s">
        <v>16</v>
      </c>
      <c r="C12379" t="s">
        <v>6</v>
      </c>
      <c r="D12379">
        <v>5</v>
      </c>
      <c r="E12379" s="2">
        <v>5.3125000000000004E-3</v>
      </c>
      <c r="F12379">
        <v>7.65</v>
      </c>
    </row>
    <row r="12380" spans="1:6" x14ac:dyDescent="0.25">
      <c r="A12380" s="1">
        <v>42826</v>
      </c>
      <c r="B12380" t="s">
        <v>16</v>
      </c>
      <c r="C12380" t="s">
        <v>7</v>
      </c>
      <c r="D12380">
        <v>6</v>
      </c>
      <c r="E12380" s="2">
        <v>5.3935185185185188E-3</v>
      </c>
      <c r="F12380">
        <v>7.7666666666666666</v>
      </c>
    </row>
    <row r="12381" spans="1:6" x14ac:dyDescent="0.25">
      <c r="A12381" s="1">
        <v>42826</v>
      </c>
      <c r="B12381" t="s">
        <v>16</v>
      </c>
      <c r="C12381" t="s">
        <v>8</v>
      </c>
      <c r="D12381">
        <v>10</v>
      </c>
      <c r="E12381" s="2">
        <v>7.1875000000000003E-3</v>
      </c>
      <c r="F12381">
        <v>10.35</v>
      </c>
    </row>
    <row r="12382" spans="1:6" x14ac:dyDescent="0.25">
      <c r="A12382" s="1">
        <v>42826</v>
      </c>
      <c r="B12382" t="s">
        <v>16</v>
      </c>
      <c r="C12382" t="s">
        <v>9</v>
      </c>
      <c r="D12382">
        <v>0</v>
      </c>
      <c r="E12382" s="2">
        <v>0</v>
      </c>
      <c r="F12382">
        <v>0</v>
      </c>
    </row>
    <row r="12383" spans="1:6" x14ac:dyDescent="0.25">
      <c r="A12383" s="1">
        <v>42826</v>
      </c>
      <c r="B12383" t="s">
        <v>16</v>
      </c>
      <c r="C12383" t="s">
        <v>10</v>
      </c>
      <c r="D12383">
        <v>0</v>
      </c>
      <c r="E12383" s="2">
        <v>0</v>
      </c>
      <c r="F12383">
        <v>0</v>
      </c>
    </row>
    <row r="12384" spans="1:6" x14ac:dyDescent="0.25">
      <c r="A12384" s="1">
        <v>42826</v>
      </c>
      <c r="B12384" t="s">
        <v>16</v>
      </c>
      <c r="C12384" t="s">
        <v>11</v>
      </c>
      <c r="D12384">
        <v>12</v>
      </c>
      <c r="E12384" s="2">
        <v>7.2800925925925923E-3</v>
      </c>
      <c r="F12384">
        <v>10.483333333333333</v>
      </c>
    </row>
    <row r="12385" spans="1:6" x14ac:dyDescent="0.25">
      <c r="A12385" s="1">
        <v>42826</v>
      </c>
      <c r="B12385" t="s">
        <v>17</v>
      </c>
      <c r="C12385" t="s">
        <v>6</v>
      </c>
      <c r="D12385">
        <v>4</v>
      </c>
      <c r="E12385" s="2">
        <v>5.7986111111111112E-3</v>
      </c>
      <c r="F12385">
        <v>8.35</v>
      </c>
    </row>
    <row r="12386" spans="1:6" x14ac:dyDescent="0.25">
      <c r="A12386" s="1">
        <v>42826</v>
      </c>
      <c r="B12386" t="s">
        <v>17</v>
      </c>
      <c r="C12386" t="s">
        <v>7</v>
      </c>
      <c r="D12386">
        <v>5</v>
      </c>
      <c r="E12386" s="2">
        <v>4.6412037037037038E-3</v>
      </c>
      <c r="F12386">
        <v>6.6833333333333336</v>
      </c>
    </row>
    <row r="12387" spans="1:6" x14ac:dyDescent="0.25">
      <c r="A12387" s="1">
        <v>42826</v>
      </c>
      <c r="B12387" t="s">
        <v>17</v>
      </c>
      <c r="C12387" t="s">
        <v>8</v>
      </c>
      <c r="D12387">
        <v>4</v>
      </c>
      <c r="E12387" s="2">
        <v>3.4027777777777776E-3</v>
      </c>
      <c r="F12387">
        <v>4.9000000000000004</v>
      </c>
    </row>
    <row r="12388" spans="1:6" x14ac:dyDescent="0.25">
      <c r="A12388" s="1">
        <v>42826</v>
      </c>
      <c r="B12388" t="s">
        <v>17</v>
      </c>
      <c r="C12388" t="s">
        <v>9</v>
      </c>
      <c r="D12388">
        <v>0</v>
      </c>
      <c r="E12388" s="2">
        <v>0</v>
      </c>
      <c r="F12388">
        <v>0</v>
      </c>
    </row>
    <row r="12389" spans="1:6" x14ac:dyDescent="0.25">
      <c r="A12389" s="1">
        <v>42826</v>
      </c>
      <c r="B12389" t="s">
        <v>17</v>
      </c>
      <c r="C12389" t="s">
        <v>10</v>
      </c>
      <c r="D12389">
        <v>5</v>
      </c>
      <c r="E12389" s="2">
        <v>4.6990740740740743E-3</v>
      </c>
      <c r="F12389">
        <v>6.7666666666666666</v>
      </c>
    </row>
    <row r="12390" spans="1:6" x14ac:dyDescent="0.25">
      <c r="A12390" s="1">
        <v>42826</v>
      </c>
      <c r="B12390" t="s">
        <v>17</v>
      </c>
      <c r="C12390" t="s">
        <v>11</v>
      </c>
      <c r="D12390">
        <v>2</v>
      </c>
      <c r="E12390" s="2">
        <v>1.9097222222222222E-3</v>
      </c>
      <c r="F12390">
        <v>2.75</v>
      </c>
    </row>
    <row r="12391" spans="1:6" x14ac:dyDescent="0.25">
      <c r="A12391" s="1">
        <v>42826</v>
      </c>
      <c r="B12391" t="s">
        <v>18</v>
      </c>
      <c r="C12391" t="s">
        <v>6</v>
      </c>
      <c r="D12391">
        <v>63</v>
      </c>
      <c r="E12391" s="2">
        <v>6.5289351851851848E-2</v>
      </c>
      <c r="F12391">
        <v>94.016666666666666</v>
      </c>
    </row>
    <row r="12392" spans="1:6" x14ac:dyDescent="0.25">
      <c r="A12392" s="1">
        <v>42826</v>
      </c>
      <c r="B12392" t="s">
        <v>18</v>
      </c>
      <c r="C12392" t="s">
        <v>7</v>
      </c>
      <c r="D12392">
        <v>101</v>
      </c>
      <c r="E12392" s="2">
        <v>8.2326388888888893E-2</v>
      </c>
      <c r="F12392">
        <v>118.55</v>
      </c>
    </row>
    <row r="12393" spans="1:6" x14ac:dyDescent="0.25">
      <c r="A12393" s="1">
        <v>42826</v>
      </c>
      <c r="B12393" t="s">
        <v>18</v>
      </c>
      <c r="C12393" t="s">
        <v>8</v>
      </c>
      <c r="D12393">
        <v>50</v>
      </c>
      <c r="E12393" s="2">
        <v>4.7650462962962964E-2</v>
      </c>
      <c r="F12393">
        <v>68.61666666666666</v>
      </c>
    </row>
    <row r="12394" spans="1:6" x14ac:dyDescent="0.25">
      <c r="A12394" s="1">
        <v>42826</v>
      </c>
      <c r="B12394" t="s">
        <v>18</v>
      </c>
      <c r="C12394" t="s">
        <v>9</v>
      </c>
      <c r="D12394">
        <v>0</v>
      </c>
      <c r="E12394" s="2">
        <v>0</v>
      </c>
      <c r="F12394">
        <v>0</v>
      </c>
    </row>
    <row r="12395" spans="1:6" x14ac:dyDescent="0.25">
      <c r="A12395" s="1">
        <v>42826</v>
      </c>
      <c r="B12395" t="s">
        <v>18</v>
      </c>
      <c r="C12395" t="s">
        <v>10</v>
      </c>
      <c r="D12395">
        <v>118</v>
      </c>
      <c r="E12395" s="2">
        <v>0.15596064814814814</v>
      </c>
      <c r="F12395">
        <v>224.58333333333334</v>
      </c>
    </row>
    <row r="12396" spans="1:6" x14ac:dyDescent="0.25">
      <c r="A12396" s="1">
        <v>42826</v>
      </c>
      <c r="B12396" t="s">
        <v>18</v>
      </c>
      <c r="C12396" t="s">
        <v>11</v>
      </c>
      <c r="D12396">
        <v>54</v>
      </c>
      <c r="E12396" s="2">
        <v>3.9884259259259258E-2</v>
      </c>
      <c r="F12396">
        <v>57.43333333333333</v>
      </c>
    </row>
    <row r="12397" spans="1:6" x14ac:dyDescent="0.25">
      <c r="A12397" s="1">
        <v>42826</v>
      </c>
      <c r="B12397" t="s">
        <v>19</v>
      </c>
      <c r="C12397" t="s">
        <v>6</v>
      </c>
      <c r="D12397">
        <v>5</v>
      </c>
      <c r="E12397" s="2">
        <v>6.1921296296296299E-3</v>
      </c>
      <c r="F12397">
        <v>8.9166666666666661</v>
      </c>
    </row>
    <row r="12398" spans="1:6" x14ac:dyDescent="0.25">
      <c r="A12398" s="1">
        <v>42826</v>
      </c>
      <c r="B12398" t="s">
        <v>19</v>
      </c>
      <c r="C12398" t="s">
        <v>7</v>
      </c>
      <c r="D12398">
        <v>5</v>
      </c>
      <c r="E12398" s="2">
        <v>4.1898148148148146E-3</v>
      </c>
      <c r="F12398">
        <v>6.0333333333333332</v>
      </c>
    </row>
    <row r="12399" spans="1:6" x14ac:dyDescent="0.25">
      <c r="A12399" s="1">
        <v>42826</v>
      </c>
      <c r="B12399" t="s">
        <v>19</v>
      </c>
      <c r="C12399" t="s">
        <v>8</v>
      </c>
      <c r="D12399">
        <v>12</v>
      </c>
      <c r="E12399" s="2">
        <v>1.136574074074074E-2</v>
      </c>
      <c r="F12399">
        <v>16.366666666666667</v>
      </c>
    </row>
    <row r="12400" spans="1:6" x14ac:dyDescent="0.25">
      <c r="A12400" s="1">
        <v>42826</v>
      </c>
      <c r="B12400" t="s">
        <v>19</v>
      </c>
      <c r="C12400" t="s">
        <v>9</v>
      </c>
      <c r="D12400">
        <v>0</v>
      </c>
      <c r="E12400" s="2">
        <v>0</v>
      </c>
      <c r="F12400">
        <v>0</v>
      </c>
    </row>
    <row r="12401" spans="1:6" x14ac:dyDescent="0.25">
      <c r="A12401" s="1">
        <v>42826</v>
      </c>
      <c r="B12401" t="s">
        <v>19</v>
      </c>
      <c r="C12401" t="s">
        <v>10</v>
      </c>
      <c r="D12401">
        <v>9</v>
      </c>
      <c r="E12401" s="2">
        <v>1.087962962962963E-2</v>
      </c>
      <c r="F12401">
        <v>15.666666666666666</v>
      </c>
    </row>
    <row r="12402" spans="1:6" x14ac:dyDescent="0.25">
      <c r="A12402" s="1">
        <v>42826</v>
      </c>
      <c r="B12402" t="s">
        <v>19</v>
      </c>
      <c r="C12402" t="s">
        <v>11</v>
      </c>
      <c r="D12402">
        <v>14</v>
      </c>
      <c r="E12402" s="2">
        <v>1.1400462962962963E-2</v>
      </c>
      <c r="F12402">
        <v>16.416666666666668</v>
      </c>
    </row>
    <row r="12403" spans="1:6" x14ac:dyDescent="0.25">
      <c r="A12403" s="1">
        <v>42826</v>
      </c>
      <c r="B12403" t="s">
        <v>20</v>
      </c>
      <c r="C12403" t="s">
        <v>6</v>
      </c>
      <c r="D12403">
        <v>145</v>
      </c>
      <c r="E12403" s="2">
        <v>0.19158564814814816</v>
      </c>
      <c r="F12403">
        <v>275.88333333333333</v>
      </c>
    </row>
    <row r="12404" spans="1:6" x14ac:dyDescent="0.25">
      <c r="A12404" s="1">
        <v>42826</v>
      </c>
      <c r="B12404" t="s">
        <v>20</v>
      </c>
      <c r="C12404" t="s">
        <v>7</v>
      </c>
      <c r="D12404">
        <v>210</v>
      </c>
      <c r="E12404" s="2">
        <v>0.3178009259259259</v>
      </c>
      <c r="F12404">
        <v>457.63333333333333</v>
      </c>
    </row>
    <row r="12405" spans="1:6" x14ac:dyDescent="0.25">
      <c r="A12405" s="1">
        <v>42826</v>
      </c>
      <c r="B12405" t="s">
        <v>20</v>
      </c>
      <c r="C12405" t="s">
        <v>8</v>
      </c>
      <c r="D12405">
        <v>130</v>
      </c>
      <c r="E12405" s="2">
        <v>0.15233796296296295</v>
      </c>
      <c r="F12405">
        <v>219.36666666666667</v>
      </c>
    </row>
    <row r="12406" spans="1:6" x14ac:dyDescent="0.25">
      <c r="A12406" s="1">
        <v>42826</v>
      </c>
      <c r="B12406" t="s">
        <v>20</v>
      </c>
      <c r="C12406" t="s">
        <v>9</v>
      </c>
      <c r="D12406">
        <v>0</v>
      </c>
      <c r="E12406" s="2">
        <v>0</v>
      </c>
      <c r="F12406">
        <v>0</v>
      </c>
    </row>
    <row r="12407" spans="1:6" x14ac:dyDescent="0.25">
      <c r="A12407" s="1">
        <v>42826</v>
      </c>
      <c r="B12407" t="s">
        <v>20</v>
      </c>
      <c r="C12407" t="s">
        <v>10</v>
      </c>
      <c r="D12407">
        <v>58</v>
      </c>
      <c r="E12407" s="2">
        <v>7.8425925925925927E-2</v>
      </c>
      <c r="F12407">
        <v>112.93333333333334</v>
      </c>
    </row>
    <row r="12408" spans="1:6" x14ac:dyDescent="0.25">
      <c r="A12408" s="1">
        <v>42826</v>
      </c>
      <c r="B12408" t="s">
        <v>20</v>
      </c>
      <c r="C12408" t="s">
        <v>11</v>
      </c>
      <c r="D12408">
        <v>156</v>
      </c>
      <c r="E12408" s="2">
        <v>0.20219907407407409</v>
      </c>
      <c r="F12408">
        <v>291.16666666666669</v>
      </c>
    </row>
    <row r="12409" spans="1:6" x14ac:dyDescent="0.25">
      <c r="A12409" s="1">
        <v>42826</v>
      </c>
      <c r="B12409" t="s">
        <v>21</v>
      </c>
      <c r="C12409" t="s">
        <v>6</v>
      </c>
      <c r="D12409">
        <v>8</v>
      </c>
      <c r="E12409" s="2">
        <v>1.2604166666666666E-2</v>
      </c>
      <c r="F12409">
        <v>18.149999999999999</v>
      </c>
    </row>
    <row r="12410" spans="1:6" x14ac:dyDescent="0.25">
      <c r="A12410" s="1">
        <v>42826</v>
      </c>
      <c r="B12410" t="s">
        <v>21</v>
      </c>
      <c r="C12410" t="s">
        <v>7</v>
      </c>
      <c r="D12410">
        <v>3</v>
      </c>
      <c r="E12410" s="2">
        <v>1.0798611111111111E-2</v>
      </c>
      <c r="F12410">
        <v>15.55</v>
      </c>
    </row>
    <row r="12411" spans="1:6" x14ac:dyDescent="0.25">
      <c r="A12411" s="1">
        <v>42826</v>
      </c>
      <c r="B12411" t="s">
        <v>21</v>
      </c>
      <c r="C12411" t="s">
        <v>8</v>
      </c>
      <c r="D12411">
        <v>7</v>
      </c>
      <c r="E12411" s="2">
        <v>9.5949074074074079E-3</v>
      </c>
      <c r="F12411">
        <v>13.816666666666666</v>
      </c>
    </row>
    <row r="12412" spans="1:6" x14ac:dyDescent="0.25">
      <c r="A12412" s="1">
        <v>42826</v>
      </c>
      <c r="B12412" t="s">
        <v>21</v>
      </c>
      <c r="C12412" t="s">
        <v>9</v>
      </c>
      <c r="D12412">
        <v>0</v>
      </c>
      <c r="E12412" s="2">
        <v>0</v>
      </c>
      <c r="F12412">
        <v>0</v>
      </c>
    </row>
    <row r="12413" spans="1:6" x14ac:dyDescent="0.25">
      <c r="A12413" s="1">
        <v>42826</v>
      </c>
      <c r="B12413" t="s">
        <v>21</v>
      </c>
      <c r="C12413" t="s">
        <v>10</v>
      </c>
      <c r="D12413">
        <v>1</v>
      </c>
      <c r="E12413" s="2">
        <v>1.7592592592592592E-3</v>
      </c>
      <c r="F12413">
        <v>2.5333333333333332</v>
      </c>
    </row>
    <row r="12414" spans="1:6" x14ac:dyDescent="0.25">
      <c r="A12414" s="1">
        <v>42826</v>
      </c>
      <c r="B12414" t="s">
        <v>21</v>
      </c>
      <c r="C12414" t="s">
        <v>11</v>
      </c>
      <c r="D12414">
        <v>9</v>
      </c>
      <c r="E12414" s="2">
        <v>1.207175925925926E-2</v>
      </c>
      <c r="F12414">
        <v>17.383333333333333</v>
      </c>
    </row>
    <row r="12415" spans="1:6" x14ac:dyDescent="0.25">
      <c r="A12415" s="1">
        <v>42826</v>
      </c>
      <c r="B12415" t="s">
        <v>22</v>
      </c>
      <c r="C12415" t="s">
        <v>6</v>
      </c>
      <c r="D12415">
        <v>15</v>
      </c>
      <c r="E12415" s="2">
        <v>2.5451388888888888E-2</v>
      </c>
      <c r="F12415">
        <v>36.65</v>
      </c>
    </row>
    <row r="12416" spans="1:6" x14ac:dyDescent="0.25">
      <c r="A12416" s="1">
        <v>42826</v>
      </c>
      <c r="B12416" t="s">
        <v>22</v>
      </c>
      <c r="C12416" t="s">
        <v>7</v>
      </c>
      <c r="D12416">
        <v>9</v>
      </c>
      <c r="E12416" s="2">
        <v>1.3229166666666667E-2</v>
      </c>
      <c r="F12416">
        <v>19.05</v>
      </c>
    </row>
    <row r="12417" spans="1:6" x14ac:dyDescent="0.25">
      <c r="A12417" s="1">
        <v>42826</v>
      </c>
      <c r="B12417" t="s">
        <v>22</v>
      </c>
      <c r="C12417" t="s">
        <v>8</v>
      </c>
      <c r="D12417">
        <v>7</v>
      </c>
      <c r="E12417" s="2">
        <v>7.951388888888888E-3</v>
      </c>
      <c r="F12417">
        <v>11.45</v>
      </c>
    </row>
    <row r="12418" spans="1:6" x14ac:dyDescent="0.25">
      <c r="A12418" s="1">
        <v>42826</v>
      </c>
      <c r="B12418" t="s">
        <v>22</v>
      </c>
      <c r="C12418" t="s">
        <v>9</v>
      </c>
      <c r="D12418">
        <v>0</v>
      </c>
      <c r="E12418" s="2">
        <v>0</v>
      </c>
      <c r="F12418">
        <v>0</v>
      </c>
    </row>
    <row r="12419" spans="1:6" x14ac:dyDescent="0.25">
      <c r="A12419" s="1">
        <v>42826</v>
      </c>
      <c r="B12419" t="s">
        <v>22</v>
      </c>
      <c r="C12419" t="s">
        <v>10</v>
      </c>
      <c r="D12419">
        <v>13</v>
      </c>
      <c r="E12419" s="2">
        <v>1.6157407407407409E-2</v>
      </c>
      <c r="F12419">
        <v>23.266666666666666</v>
      </c>
    </row>
    <row r="12420" spans="1:6" x14ac:dyDescent="0.25">
      <c r="A12420" s="1">
        <v>42826</v>
      </c>
      <c r="B12420" t="s">
        <v>22</v>
      </c>
      <c r="C12420" t="s">
        <v>11</v>
      </c>
      <c r="D12420">
        <v>9</v>
      </c>
      <c r="E12420" s="2">
        <v>1.1759259259259259E-2</v>
      </c>
      <c r="F12420">
        <v>16.933333333333334</v>
      </c>
    </row>
    <row r="12421" spans="1:6" x14ac:dyDescent="0.25">
      <c r="A12421" s="1">
        <v>42826</v>
      </c>
      <c r="B12421" t="s">
        <v>23</v>
      </c>
      <c r="C12421" t="s">
        <v>6</v>
      </c>
      <c r="D12421">
        <v>49</v>
      </c>
      <c r="E12421" s="2">
        <v>6.7766203703703703E-2</v>
      </c>
      <c r="F12421">
        <v>97.583333333333329</v>
      </c>
    </row>
    <row r="12422" spans="1:6" x14ac:dyDescent="0.25">
      <c r="A12422" s="1">
        <v>42826</v>
      </c>
      <c r="B12422" t="s">
        <v>23</v>
      </c>
      <c r="C12422" t="s">
        <v>7</v>
      </c>
      <c r="D12422">
        <v>43</v>
      </c>
      <c r="E12422" s="2">
        <v>5.7650462962962966E-2</v>
      </c>
      <c r="F12422">
        <v>83.016666666666666</v>
      </c>
    </row>
    <row r="12423" spans="1:6" x14ac:dyDescent="0.25">
      <c r="A12423" s="1">
        <v>42826</v>
      </c>
      <c r="B12423" t="s">
        <v>23</v>
      </c>
      <c r="C12423" t="s">
        <v>8</v>
      </c>
      <c r="D12423">
        <v>47</v>
      </c>
      <c r="E12423" s="2">
        <v>5.9363425925925924E-2</v>
      </c>
      <c r="F12423">
        <v>85.483333333333334</v>
      </c>
    </row>
    <row r="12424" spans="1:6" x14ac:dyDescent="0.25">
      <c r="A12424" s="1">
        <v>42826</v>
      </c>
      <c r="B12424" t="s">
        <v>23</v>
      </c>
      <c r="C12424" t="s">
        <v>9</v>
      </c>
      <c r="D12424">
        <v>0</v>
      </c>
      <c r="E12424" s="2">
        <v>0</v>
      </c>
      <c r="F12424">
        <v>0</v>
      </c>
    </row>
    <row r="12425" spans="1:6" x14ac:dyDescent="0.25">
      <c r="A12425" s="1">
        <v>42826</v>
      </c>
      <c r="B12425" t="s">
        <v>23</v>
      </c>
      <c r="C12425" t="s">
        <v>10</v>
      </c>
      <c r="D12425">
        <v>20</v>
      </c>
      <c r="E12425" s="2">
        <v>3.1099537037037037E-2</v>
      </c>
      <c r="F12425">
        <v>44.783333333333331</v>
      </c>
    </row>
    <row r="12426" spans="1:6" x14ac:dyDescent="0.25">
      <c r="A12426" s="1">
        <v>42826</v>
      </c>
      <c r="B12426" t="s">
        <v>23</v>
      </c>
      <c r="C12426" t="s">
        <v>11</v>
      </c>
      <c r="D12426">
        <v>71</v>
      </c>
      <c r="E12426" s="2">
        <v>8.1597222222222224E-2</v>
      </c>
      <c r="F12426">
        <v>117.5</v>
      </c>
    </row>
    <row r="12427" spans="1:6" x14ac:dyDescent="0.25">
      <c r="A12427" s="1">
        <v>42826</v>
      </c>
      <c r="B12427" t="s">
        <v>24</v>
      </c>
      <c r="C12427" t="s">
        <v>6</v>
      </c>
      <c r="D12427">
        <v>19</v>
      </c>
      <c r="E12427" s="2">
        <v>2.5694444444444443E-2</v>
      </c>
      <c r="F12427">
        <v>37</v>
      </c>
    </row>
    <row r="12428" spans="1:6" x14ac:dyDescent="0.25">
      <c r="A12428" s="1">
        <v>42826</v>
      </c>
      <c r="B12428" t="s">
        <v>24</v>
      </c>
      <c r="C12428" t="s">
        <v>7</v>
      </c>
      <c r="D12428">
        <v>13</v>
      </c>
      <c r="E12428" s="2">
        <v>9.4097222222222221E-3</v>
      </c>
      <c r="F12428">
        <v>13.55</v>
      </c>
    </row>
    <row r="12429" spans="1:6" x14ac:dyDescent="0.25">
      <c r="A12429" s="1">
        <v>42826</v>
      </c>
      <c r="B12429" t="s">
        <v>24</v>
      </c>
      <c r="C12429" t="s">
        <v>8</v>
      </c>
      <c r="D12429">
        <v>10</v>
      </c>
      <c r="E12429" s="2">
        <v>1.2349537037037037E-2</v>
      </c>
      <c r="F12429">
        <v>17.783333333333335</v>
      </c>
    </row>
    <row r="12430" spans="1:6" x14ac:dyDescent="0.25">
      <c r="A12430" s="1">
        <v>42826</v>
      </c>
      <c r="B12430" t="s">
        <v>24</v>
      </c>
      <c r="C12430" t="s">
        <v>9</v>
      </c>
      <c r="D12430">
        <v>0</v>
      </c>
      <c r="E12430" s="2">
        <v>0</v>
      </c>
      <c r="F12430">
        <v>0</v>
      </c>
    </row>
    <row r="12431" spans="1:6" x14ac:dyDescent="0.25">
      <c r="A12431" s="1">
        <v>42826</v>
      </c>
      <c r="B12431" t="s">
        <v>24</v>
      </c>
      <c r="C12431" t="s">
        <v>10</v>
      </c>
      <c r="D12431">
        <v>0</v>
      </c>
      <c r="E12431" s="2">
        <v>0</v>
      </c>
      <c r="F12431">
        <v>0</v>
      </c>
    </row>
    <row r="12432" spans="1:6" x14ac:dyDescent="0.25">
      <c r="A12432" s="1">
        <v>42826</v>
      </c>
      <c r="B12432" t="s">
        <v>24</v>
      </c>
      <c r="C12432" t="s">
        <v>11</v>
      </c>
      <c r="D12432">
        <v>13</v>
      </c>
      <c r="E12432" s="2">
        <v>7.1759259259259259E-3</v>
      </c>
      <c r="F12432">
        <v>10.333333333333334</v>
      </c>
    </row>
    <row r="12433" spans="1:6" x14ac:dyDescent="0.25">
      <c r="A12433" s="1">
        <v>42856</v>
      </c>
      <c r="B12433" t="s">
        <v>5</v>
      </c>
      <c r="C12433" t="s">
        <v>6</v>
      </c>
      <c r="D12433">
        <v>7</v>
      </c>
      <c r="E12433" s="2">
        <v>5.9722222222222225E-3</v>
      </c>
      <c r="F12433">
        <v>8.6</v>
      </c>
    </row>
    <row r="12434" spans="1:6" x14ac:dyDescent="0.25">
      <c r="A12434" s="1">
        <v>42856</v>
      </c>
      <c r="B12434" t="s">
        <v>5</v>
      </c>
      <c r="C12434" t="s">
        <v>7</v>
      </c>
      <c r="D12434">
        <v>11</v>
      </c>
      <c r="E12434" s="2">
        <v>7.7083333333333335E-3</v>
      </c>
      <c r="F12434">
        <v>11.1</v>
      </c>
    </row>
    <row r="12435" spans="1:6" x14ac:dyDescent="0.25">
      <c r="A12435" s="1">
        <v>42856</v>
      </c>
      <c r="B12435" t="s">
        <v>5</v>
      </c>
      <c r="C12435" t="s">
        <v>8</v>
      </c>
      <c r="D12435">
        <v>12</v>
      </c>
      <c r="E12435" s="2">
        <v>8.8425925925925929E-3</v>
      </c>
      <c r="F12435">
        <v>12.733333333333333</v>
      </c>
    </row>
    <row r="12436" spans="1:6" x14ac:dyDescent="0.25">
      <c r="A12436" s="1">
        <v>42856</v>
      </c>
      <c r="B12436" t="s">
        <v>5</v>
      </c>
      <c r="C12436" t="s">
        <v>9</v>
      </c>
      <c r="D12436">
        <v>0</v>
      </c>
      <c r="E12436" s="2">
        <v>0</v>
      </c>
      <c r="F12436">
        <v>0</v>
      </c>
    </row>
    <row r="12437" spans="1:6" x14ac:dyDescent="0.25">
      <c r="A12437" s="1">
        <v>42856</v>
      </c>
      <c r="B12437" t="s">
        <v>5</v>
      </c>
      <c r="C12437" t="s">
        <v>10</v>
      </c>
      <c r="D12437">
        <v>3</v>
      </c>
      <c r="E12437" s="2">
        <v>3.0324074074074073E-3</v>
      </c>
      <c r="F12437">
        <v>4.3666666666666663</v>
      </c>
    </row>
    <row r="12438" spans="1:6" x14ac:dyDescent="0.25">
      <c r="A12438" s="1">
        <v>42856</v>
      </c>
      <c r="B12438" t="s">
        <v>5</v>
      </c>
      <c r="C12438" t="s">
        <v>11</v>
      </c>
      <c r="D12438">
        <v>7</v>
      </c>
      <c r="E12438" s="2">
        <v>3.7268518518518519E-3</v>
      </c>
      <c r="F12438">
        <v>5.3666666666666663</v>
      </c>
    </row>
    <row r="12439" spans="1:6" x14ac:dyDescent="0.25">
      <c r="A12439" s="1">
        <v>42856</v>
      </c>
      <c r="B12439" t="s">
        <v>12</v>
      </c>
      <c r="C12439" t="s">
        <v>6</v>
      </c>
      <c r="D12439">
        <v>24</v>
      </c>
      <c r="E12439" s="2">
        <v>3.5671296296296298E-2</v>
      </c>
      <c r="F12439">
        <v>51.366666666666667</v>
      </c>
    </row>
    <row r="12440" spans="1:6" x14ac:dyDescent="0.25">
      <c r="A12440" s="1">
        <v>42856</v>
      </c>
      <c r="B12440" t="s">
        <v>12</v>
      </c>
      <c r="C12440" t="s">
        <v>7</v>
      </c>
      <c r="D12440">
        <v>27</v>
      </c>
      <c r="E12440" s="2">
        <v>4.7893518518518516E-2</v>
      </c>
      <c r="F12440">
        <v>68.966666666666669</v>
      </c>
    </row>
    <row r="12441" spans="1:6" x14ac:dyDescent="0.25">
      <c r="A12441" s="1">
        <v>42856</v>
      </c>
      <c r="B12441" t="s">
        <v>12</v>
      </c>
      <c r="C12441" t="s">
        <v>8</v>
      </c>
      <c r="D12441">
        <v>30</v>
      </c>
      <c r="E12441" s="2">
        <v>4.2627314814814812E-2</v>
      </c>
      <c r="F12441">
        <v>61.383333333333333</v>
      </c>
    </row>
    <row r="12442" spans="1:6" x14ac:dyDescent="0.25">
      <c r="A12442" s="1">
        <v>42856</v>
      </c>
      <c r="B12442" t="s">
        <v>12</v>
      </c>
      <c r="C12442" t="s">
        <v>9</v>
      </c>
      <c r="D12442">
        <v>0</v>
      </c>
      <c r="E12442" s="2">
        <v>0</v>
      </c>
      <c r="F12442">
        <v>0</v>
      </c>
    </row>
    <row r="12443" spans="1:6" x14ac:dyDescent="0.25">
      <c r="A12443" s="1">
        <v>42856</v>
      </c>
      <c r="B12443" t="s">
        <v>12</v>
      </c>
      <c r="C12443" t="s">
        <v>10</v>
      </c>
      <c r="D12443">
        <v>29</v>
      </c>
      <c r="E12443" s="2">
        <v>4.7615740740740743E-2</v>
      </c>
      <c r="F12443">
        <v>68.566666666666663</v>
      </c>
    </row>
    <row r="12444" spans="1:6" x14ac:dyDescent="0.25">
      <c r="A12444" s="1">
        <v>42856</v>
      </c>
      <c r="B12444" t="s">
        <v>12</v>
      </c>
      <c r="C12444" t="s">
        <v>11</v>
      </c>
      <c r="D12444">
        <v>55</v>
      </c>
      <c r="E12444" s="2">
        <v>5.9479166666666666E-2</v>
      </c>
      <c r="F12444">
        <v>85.65</v>
      </c>
    </row>
    <row r="12445" spans="1:6" x14ac:dyDescent="0.25">
      <c r="A12445" s="1">
        <v>42856</v>
      </c>
      <c r="B12445" t="s">
        <v>13</v>
      </c>
      <c r="C12445" t="s">
        <v>6</v>
      </c>
      <c r="D12445">
        <v>55</v>
      </c>
      <c r="E12445" s="2">
        <v>8.3229166666666674E-2</v>
      </c>
      <c r="F12445">
        <v>119.85</v>
      </c>
    </row>
    <row r="12446" spans="1:6" x14ac:dyDescent="0.25">
      <c r="A12446" s="1">
        <v>42856</v>
      </c>
      <c r="B12446" t="s">
        <v>13</v>
      </c>
      <c r="C12446" t="s">
        <v>7</v>
      </c>
      <c r="D12446">
        <v>32</v>
      </c>
      <c r="E12446" s="2">
        <v>4.8715277777777781E-2</v>
      </c>
      <c r="F12446">
        <v>70.150000000000006</v>
      </c>
    </row>
    <row r="12447" spans="1:6" x14ac:dyDescent="0.25">
      <c r="A12447" s="1">
        <v>42856</v>
      </c>
      <c r="B12447" t="s">
        <v>13</v>
      </c>
      <c r="C12447" t="s">
        <v>8</v>
      </c>
      <c r="D12447">
        <v>40</v>
      </c>
      <c r="E12447" s="2">
        <v>4.8587962962962965E-2</v>
      </c>
      <c r="F12447">
        <v>69.966666666666669</v>
      </c>
    </row>
    <row r="12448" spans="1:6" x14ac:dyDescent="0.25">
      <c r="A12448" s="1">
        <v>42856</v>
      </c>
      <c r="B12448" t="s">
        <v>13</v>
      </c>
      <c r="C12448" t="s">
        <v>9</v>
      </c>
      <c r="D12448">
        <v>0</v>
      </c>
      <c r="E12448" s="2">
        <v>0</v>
      </c>
      <c r="F12448">
        <v>0</v>
      </c>
    </row>
    <row r="12449" spans="1:6" x14ac:dyDescent="0.25">
      <c r="A12449" s="1">
        <v>42856</v>
      </c>
      <c r="B12449" t="s">
        <v>13</v>
      </c>
      <c r="C12449" t="s">
        <v>10</v>
      </c>
      <c r="D12449">
        <v>7</v>
      </c>
      <c r="E12449" s="2">
        <v>1.2233796296296296E-2</v>
      </c>
      <c r="F12449">
        <v>17.616666666666667</v>
      </c>
    </row>
    <row r="12450" spans="1:6" x14ac:dyDescent="0.25">
      <c r="A12450" s="1">
        <v>42856</v>
      </c>
      <c r="B12450" t="s">
        <v>13</v>
      </c>
      <c r="C12450" t="s">
        <v>11</v>
      </c>
      <c r="D12450">
        <v>34</v>
      </c>
      <c r="E12450" s="2">
        <v>3.8877314814814816E-2</v>
      </c>
      <c r="F12450">
        <v>55.983333333333334</v>
      </c>
    </row>
    <row r="12451" spans="1:6" x14ac:dyDescent="0.25">
      <c r="A12451" s="1">
        <v>42856</v>
      </c>
      <c r="B12451" t="s">
        <v>14</v>
      </c>
      <c r="C12451" t="s">
        <v>6</v>
      </c>
      <c r="D12451">
        <v>12</v>
      </c>
      <c r="E12451" s="2">
        <v>2.1215277777777777E-2</v>
      </c>
      <c r="F12451">
        <v>30.55</v>
      </c>
    </row>
    <row r="12452" spans="1:6" x14ac:dyDescent="0.25">
      <c r="A12452" s="1">
        <v>42856</v>
      </c>
      <c r="B12452" t="s">
        <v>14</v>
      </c>
      <c r="C12452" t="s">
        <v>7</v>
      </c>
      <c r="D12452">
        <v>8</v>
      </c>
      <c r="E12452" s="2">
        <v>1.8078703703703704E-2</v>
      </c>
      <c r="F12452">
        <v>26.033333333333335</v>
      </c>
    </row>
    <row r="12453" spans="1:6" x14ac:dyDescent="0.25">
      <c r="A12453" s="1">
        <v>42856</v>
      </c>
      <c r="B12453" t="s">
        <v>14</v>
      </c>
      <c r="C12453" t="s">
        <v>8</v>
      </c>
      <c r="D12453">
        <v>6</v>
      </c>
      <c r="E12453" s="2">
        <v>9.0046296296296298E-3</v>
      </c>
      <c r="F12453">
        <v>12.966666666666667</v>
      </c>
    </row>
    <row r="12454" spans="1:6" x14ac:dyDescent="0.25">
      <c r="A12454" s="1">
        <v>42856</v>
      </c>
      <c r="B12454" t="s">
        <v>14</v>
      </c>
      <c r="C12454" t="s">
        <v>9</v>
      </c>
      <c r="D12454">
        <v>0</v>
      </c>
      <c r="E12454" s="2">
        <v>0</v>
      </c>
      <c r="F12454">
        <v>0</v>
      </c>
    </row>
    <row r="12455" spans="1:6" x14ac:dyDescent="0.25">
      <c r="A12455" s="1">
        <v>42856</v>
      </c>
      <c r="B12455" t="s">
        <v>14</v>
      </c>
      <c r="C12455" t="s">
        <v>10</v>
      </c>
      <c r="D12455">
        <v>0</v>
      </c>
      <c r="E12455" s="2">
        <v>0</v>
      </c>
      <c r="F12455">
        <v>0</v>
      </c>
    </row>
    <row r="12456" spans="1:6" x14ac:dyDescent="0.25">
      <c r="A12456" s="1">
        <v>42856</v>
      </c>
      <c r="B12456" t="s">
        <v>14</v>
      </c>
      <c r="C12456" t="s">
        <v>11</v>
      </c>
      <c r="D12456">
        <v>6</v>
      </c>
      <c r="E12456" s="2">
        <v>7.060185185185185E-3</v>
      </c>
      <c r="F12456">
        <v>10.166666666666666</v>
      </c>
    </row>
    <row r="12457" spans="1:6" x14ac:dyDescent="0.25">
      <c r="A12457" s="1">
        <v>42856</v>
      </c>
      <c r="B12457" t="s">
        <v>15</v>
      </c>
      <c r="C12457" t="s">
        <v>6</v>
      </c>
      <c r="D12457">
        <v>19</v>
      </c>
      <c r="E12457" s="2">
        <v>3.471064814814815E-2</v>
      </c>
      <c r="F12457">
        <v>49.983333333333334</v>
      </c>
    </row>
    <row r="12458" spans="1:6" x14ac:dyDescent="0.25">
      <c r="A12458" s="1">
        <v>42856</v>
      </c>
      <c r="B12458" t="s">
        <v>15</v>
      </c>
      <c r="C12458" t="s">
        <v>7</v>
      </c>
      <c r="D12458">
        <v>13</v>
      </c>
      <c r="E12458" s="2">
        <v>1.4409722222222223E-2</v>
      </c>
      <c r="F12458">
        <v>20.75</v>
      </c>
    </row>
    <row r="12459" spans="1:6" x14ac:dyDescent="0.25">
      <c r="A12459" s="1">
        <v>42856</v>
      </c>
      <c r="B12459" t="s">
        <v>15</v>
      </c>
      <c r="C12459" t="s">
        <v>8</v>
      </c>
      <c r="D12459">
        <v>18</v>
      </c>
      <c r="E12459" s="2">
        <v>2.2916666666666665E-2</v>
      </c>
      <c r="F12459">
        <v>33</v>
      </c>
    </row>
    <row r="12460" spans="1:6" x14ac:dyDescent="0.25">
      <c r="A12460" s="1">
        <v>42856</v>
      </c>
      <c r="B12460" t="s">
        <v>15</v>
      </c>
      <c r="C12460" t="s">
        <v>9</v>
      </c>
      <c r="D12460">
        <v>0</v>
      </c>
      <c r="E12460" s="2">
        <v>0</v>
      </c>
      <c r="F12460">
        <v>0</v>
      </c>
    </row>
    <row r="12461" spans="1:6" x14ac:dyDescent="0.25">
      <c r="A12461" s="1">
        <v>42856</v>
      </c>
      <c r="B12461" t="s">
        <v>15</v>
      </c>
      <c r="C12461" t="s">
        <v>10</v>
      </c>
      <c r="D12461">
        <v>13</v>
      </c>
      <c r="E12461" s="2">
        <v>1.8483796296296297E-2</v>
      </c>
      <c r="F12461">
        <v>26.616666666666667</v>
      </c>
    </row>
    <row r="12462" spans="1:6" x14ac:dyDescent="0.25">
      <c r="A12462" s="1">
        <v>42856</v>
      </c>
      <c r="B12462" t="s">
        <v>15</v>
      </c>
      <c r="C12462" t="s">
        <v>11</v>
      </c>
      <c r="D12462">
        <v>18</v>
      </c>
      <c r="E12462" s="2">
        <v>1.6168981481481482E-2</v>
      </c>
      <c r="F12462">
        <v>23.283333333333335</v>
      </c>
    </row>
    <row r="12463" spans="1:6" x14ac:dyDescent="0.25">
      <c r="A12463" s="1">
        <v>42856</v>
      </c>
      <c r="B12463" t="s">
        <v>16</v>
      </c>
      <c r="C12463" t="s">
        <v>6</v>
      </c>
      <c r="D12463">
        <v>8</v>
      </c>
      <c r="E12463" s="2">
        <v>9.5138888888888894E-3</v>
      </c>
      <c r="F12463">
        <v>13.7</v>
      </c>
    </row>
    <row r="12464" spans="1:6" x14ac:dyDescent="0.25">
      <c r="A12464" s="1">
        <v>42856</v>
      </c>
      <c r="B12464" t="s">
        <v>16</v>
      </c>
      <c r="C12464" t="s">
        <v>7</v>
      </c>
      <c r="D12464">
        <v>7</v>
      </c>
      <c r="E12464" s="2">
        <v>7.4999999999999997E-3</v>
      </c>
      <c r="F12464">
        <v>10.8</v>
      </c>
    </row>
    <row r="12465" spans="1:6" x14ac:dyDescent="0.25">
      <c r="A12465" s="1">
        <v>42856</v>
      </c>
      <c r="B12465" t="s">
        <v>16</v>
      </c>
      <c r="C12465" t="s">
        <v>8</v>
      </c>
      <c r="D12465">
        <v>14</v>
      </c>
      <c r="E12465" s="2">
        <v>1.0763888888888889E-2</v>
      </c>
      <c r="F12465">
        <v>15.5</v>
      </c>
    </row>
    <row r="12466" spans="1:6" x14ac:dyDescent="0.25">
      <c r="A12466" s="1">
        <v>42856</v>
      </c>
      <c r="B12466" t="s">
        <v>16</v>
      </c>
      <c r="C12466" t="s">
        <v>9</v>
      </c>
      <c r="D12466">
        <v>0</v>
      </c>
      <c r="E12466" s="2">
        <v>0</v>
      </c>
      <c r="F12466">
        <v>0</v>
      </c>
    </row>
    <row r="12467" spans="1:6" x14ac:dyDescent="0.25">
      <c r="A12467" s="1">
        <v>42856</v>
      </c>
      <c r="B12467" t="s">
        <v>16</v>
      </c>
      <c r="C12467" t="s">
        <v>10</v>
      </c>
      <c r="D12467">
        <v>5</v>
      </c>
      <c r="E12467" s="2">
        <v>2.2453703703703702E-3</v>
      </c>
      <c r="F12467">
        <v>3.2333333333333334</v>
      </c>
    </row>
    <row r="12468" spans="1:6" x14ac:dyDescent="0.25">
      <c r="A12468" s="1">
        <v>42856</v>
      </c>
      <c r="B12468" t="s">
        <v>16</v>
      </c>
      <c r="C12468" t="s">
        <v>11</v>
      </c>
      <c r="D12468">
        <v>19</v>
      </c>
      <c r="E12468" s="2">
        <v>1.6909722222222222E-2</v>
      </c>
      <c r="F12468">
        <v>24.35</v>
      </c>
    </row>
    <row r="12469" spans="1:6" x14ac:dyDescent="0.25">
      <c r="A12469" s="1">
        <v>42856</v>
      </c>
      <c r="B12469" t="s">
        <v>17</v>
      </c>
      <c r="C12469" t="s">
        <v>6</v>
      </c>
      <c r="D12469">
        <v>6</v>
      </c>
      <c r="E12469" s="2">
        <v>8.9930555555555562E-3</v>
      </c>
      <c r="F12469">
        <v>12.95</v>
      </c>
    </row>
    <row r="12470" spans="1:6" x14ac:dyDescent="0.25">
      <c r="A12470" s="1">
        <v>42856</v>
      </c>
      <c r="B12470" t="s">
        <v>17</v>
      </c>
      <c r="C12470" t="s">
        <v>7</v>
      </c>
      <c r="D12470">
        <v>8</v>
      </c>
      <c r="E12470" s="2">
        <v>8.1597222222222227E-3</v>
      </c>
      <c r="F12470">
        <v>11.75</v>
      </c>
    </row>
    <row r="12471" spans="1:6" x14ac:dyDescent="0.25">
      <c r="A12471" s="1">
        <v>42856</v>
      </c>
      <c r="B12471" t="s">
        <v>17</v>
      </c>
      <c r="C12471" t="s">
        <v>8</v>
      </c>
      <c r="D12471">
        <v>7</v>
      </c>
      <c r="E12471" s="2">
        <v>6.9907407407407409E-3</v>
      </c>
      <c r="F12471">
        <v>10.066666666666666</v>
      </c>
    </row>
    <row r="12472" spans="1:6" x14ac:dyDescent="0.25">
      <c r="A12472" s="1">
        <v>42856</v>
      </c>
      <c r="B12472" t="s">
        <v>17</v>
      </c>
      <c r="C12472" t="s">
        <v>9</v>
      </c>
      <c r="D12472">
        <v>0</v>
      </c>
      <c r="E12472" s="2">
        <v>0</v>
      </c>
      <c r="F12472">
        <v>0</v>
      </c>
    </row>
    <row r="12473" spans="1:6" x14ac:dyDescent="0.25">
      <c r="A12473" s="1">
        <v>42856</v>
      </c>
      <c r="B12473" t="s">
        <v>17</v>
      </c>
      <c r="C12473" t="s">
        <v>10</v>
      </c>
      <c r="D12473">
        <v>9</v>
      </c>
      <c r="E12473" s="2">
        <v>1.4016203703703704E-2</v>
      </c>
      <c r="F12473">
        <v>20.183333333333334</v>
      </c>
    </row>
    <row r="12474" spans="1:6" x14ac:dyDescent="0.25">
      <c r="A12474" s="1">
        <v>42856</v>
      </c>
      <c r="B12474" t="s">
        <v>17</v>
      </c>
      <c r="C12474" t="s">
        <v>11</v>
      </c>
      <c r="D12474">
        <v>10</v>
      </c>
      <c r="E12474" s="2">
        <v>7.9629629629629634E-3</v>
      </c>
      <c r="F12474">
        <v>11.466666666666667</v>
      </c>
    </row>
    <row r="12475" spans="1:6" x14ac:dyDescent="0.25">
      <c r="A12475" s="1">
        <v>42856</v>
      </c>
      <c r="B12475" t="s">
        <v>18</v>
      </c>
      <c r="C12475" t="s">
        <v>6</v>
      </c>
      <c r="D12475">
        <v>74</v>
      </c>
      <c r="E12475" s="2">
        <v>8.6574074074074067E-2</v>
      </c>
      <c r="F12475">
        <v>124.66666666666667</v>
      </c>
    </row>
    <row r="12476" spans="1:6" x14ac:dyDescent="0.25">
      <c r="A12476" s="1">
        <v>42856</v>
      </c>
      <c r="B12476" t="s">
        <v>18</v>
      </c>
      <c r="C12476" t="s">
        <v>7</v>
      </c>
      <c r="D12476">
        <v>92</v>
      </c>
      <c r="E12476" s="2">
        <v>9.9201388888888895E-2</v>
      </c>
      <c r="F12476">
        <v>142.85</v>
      </c>
    </row>
    <row r="12477" spans="1:6" x14ac:dyDescent="0.25">
      <c r="A12477" s="1">
        <v>42856</v>
      </c>
      <c r="B12477" t="s">
        <v>18</v>
      </c>
      <c r="C12477" t="s">
        <v>8</v>
      </c>
      <c r="D12477">
        <v>65</v>
      </c>
      <c r="E12477" s="2">
        <v>5.0706018518518518E-2</v>
      </c>
      <c r="F12477">
        <v>73.016666666666666</v>
      </c>
    </row>
    <row r="12478" spans="1:6" x14ac:dyDescent="0.25">
      <c r="A12478" s="1">
        <v>42856</v>
      </c>
      <c r="B12478" t="s">
        <v>18</v>
      </c>
      <c r="C12478" t="s">
        <v>9</v>
      </c>
      <c r="D12478">
        <v>0</v>
      </c>
      <c r="E12478" s="2">
        <v>0</v>
      </c>
      <c r="F12478">
        <v>0</v>
      </c>
    </row>
    <row r="12479" spans="1:6" x14ac:dyDescent="0.25">
      <c r="A12479" s="1">
        <v>42856</v>
      </c>
      <c r="B12479" t="s">
        <v>18</v>
      </c>
      <c r="C12479" t="s">
        <v>10</v>
      </c>
      <c r="D12479">
        <v>134</v>
      </c>
      <c r="E12479" s="2">
        <v>0.17605324074074075</v>
      </c>
      <c r="F12479">
        <v>253.51666666666668</v>
      </c>
    </row>
    <row r="12480" spans="1:6" x14ac:dyDescent="0.25">
      <c r="A12480" s="1">
        <v>42856</v>
      </c>
      <c r="B12480" t="s">
        <v>18</v>
      </c>
      <c r="C12480" t="s">
        <v>11</v>
      </c>
      <c r="D12480">
        <v>77</v>
      </c>
      <c r="E12480" s="2">
        <v>5.5428240740740743E-2</v>
      </c>
      <c r="F12480">
        <v>79.816666666666663</v>
      </c>
    </row>
    <row r="12481" spans="1:6" x14ac:dyDescent="0.25">
      <c r="A12481" s="1">
        <v>42856</v>
      </c>
      <c r="B12481" t="s">
        <v>19</v>
      </c>
      <c r="C12481" t="s">
        <v>6</v>
      </c>
      <c r="D12481">
        <v>16</v>
      </c>
      <c r="E12481" s="2">
        <v>1.6805555555555556E-2</v>
      </c>
      <c r="F12481">
        <v>24.2</v>
      </c>
    </row>
    <row r="12482" spans="1:6" x14ac:dyDescent="0.25">
      <c r="A12482" s="1">
        <v>42856</v>
      </c>
      <c r="B12482" t="s">
        <v>19</v>
      </c>
      <c r="C12482" t="s">
        <v>7</v>
      </c>
      <c r="D12482">
        <v>21</v>
      </c>
      <c r="E12482" s="2">
        <v>2.2997685185185184E-2</v>
      </c>
      <c r="F12482">
        <v>33.116666666666667</v>
      </c>
    </row>
    <row r="12483" spans="1:6" x14ac:dyDescent="0.25">
      <c r="A12483" s="1">
        <v>42856</v>
      </c>
      <c r="B12483" t="s">
        <v>19</v>
      </c>
      <c r="C12483" t="s">
        <v>8</v>
      </c>
      <c r="D12483">
        <v>15</v>
      </c>
      <c r="E12483" s="2">
        <v>1.7835648148148149E-2</v>
      </c>
      <c r="F12483">
        <v>25.683333333333334</v>
      </c>
    </row>
    <row r="12484" spans="1:6" x14ac:dyDescent="0.25">
      <c r="A12484" s="1">
        <v>42856</v>
      </c>
      <c r="B12484" t="s">
        <v>19</v>
      </c>
      <c r="C12484" t="s">
        <v>9</v>
      </c>
      <c r="D12484">
        <v>0</v>
      </c>
      <c r="E12484" s="2">
        <v>0</v>
      </c>
      <c r="F12484">
        <v>0</v>
      </c>
    </row>
    <row r="12485" spans="1:6" x14ac:dyDescent="0.25">
      <c r="A12485" s="1">
        <v>42856</v>
      </c>
      <c r="B12485" t="s">
        <v>19</v>
      </c>
      <c r="C12485" t="s">
        <v>10</v>
      </c>
      <c r="D12485">
        <v>19</v>
      </c>
      <c r="E12485" s="2">
        <v>2.7557870370370371E-2</v>
      </c>
      <c r="F12485">
        <v>39.68333333333333</v>
      </c>
    </row>
    <row r="12486" spans="1:6" x14ac:dyDescent="0.25">
      <c r="A12486" s="1">
        <v>42856</v>
      </c>
      <c r="B12486" t="s">
        <v>19</v>
      </c>
      <c r="C12486" t="s">
        <v>11</v>
      </c>
      <c r="D12486">
        <v>24</v>
      </c>
      <c r="E12486" s="2">
        <v>2.0393518518518519E-2</v>
      </c>
      <c r="F12486">
        <v>29.366666666666667</v>
      </c>
    </row>
    <row r="12487" spans="1:6" x14ac:dyDescent="0.25">
      <c r="A12487" s="1">
        <v>42856</v>
      </c>
      <c r="B12487" t="s">
        <v>20</v>
      </c>
      <c r="C12487" t="s">
        <v>6</v>
      </c>
      <c r="D12487">
        <v>234</v>
      </c>
      <c r="E12487" s="2">
        <v>0.35239583333333335</v>
      </c>
      <c r="F12487">
        <v>507.45</v>
      </c>
    </row>
    <row r="12488" spans="1:6" x14ac:dyDescent="0.25">
      <c r="A12488" s="1">
        <v>42856</v>
      </c>
      <c r="B12488" t="s">
        <v>20</v>
      </c>
      <c r="C12488" t="s">
        <v>7</v>
      </c>
      <c r="D12488">
        <v>306</v>
      </c>
      <c r="E12488" s="2">
        <v>0.41423611111111114</v>
      </c>
      <c r="F12488">
        <v>596.5</v>
      </c>
    </row>
    <row r="12489" spans="1:6" x14ac:dyDescent="0.25">
      <c r="A12489" s="1">
        <v>42856</v>
      </c>
      <c r="B12489" t="s">
        <v>20</v>
      </c>
      <c r="C12489" t="s">
        <v>8</v>
      </c>
      <c r="D12489">
        <v>177</v>
      </c>
      <c r="E12489" s="2">
        <v>0.20072916666666665</v>
      </c>
      <c r="F12489">
        <v>289.05</v>
      </c>
    </row>
    <row r="12490" spans="1:6" x14ac:dyDescent="0.25">
      <c r="A12490" s="1">
        <v>42856</v>
      </c>
      <c r="B12490" t="s">
        <v>20</v>
      </c>
      <c r="C12490" t="s">
        <v>9</v>
      </c>
      <c r="D12490">
        <v>0</v>
      </c>
      <c r="E12490" s="2">
        <v>0</v>
      </c>
      <c r="F12490">
        <v>0</v>
      </c>
    </row>
    <row r="12491" spans="1:6" x14ac:dyDescent="0.25">
      <c r="A12491" s="1">
        <v>42856</v>
      </c>
      <c r="B12491" t="s">
        <v>20</v>
      </c>
      <c r="C12491" t="s">
        <v>10</v>
      </c>
      <c r="D12491">
        <v>55</v>
      </c>
      <c r="E12491" s="2">
        <v>6.9548611111111117E-2</v>
      </c>
      <c r="F12491">
        <v>100.15</v>
      </c>
    </row>
    <row r="12492" spans="1:6" x14ac:dyDescent="0.25">
      <c r="A12492" s="1">
        <v>42856</v>
      </c>
      <c r="B12492" t="s">
        <v>20</v>
      </c>
      <c r="C12492" t="s">
        <v>11</v>
      </c>
      <c r="D12492">
        <v>188</v>
      </c>
      <c r="E12492" s="2">
        <v>0.18589120370370371</v>
      </c>
      <c r="F12492">
        <v>267.68333333333334</v>
      </c>
    </row>
    <row r="12493" spans="1:6" x14ac:dyDescent="0.25">
      <c r="A12493" s="1">
        <v>42856</v>
      </c>
      <c r="B12493" t="s">
        <v>21</v>
      </c>
      <c r="C12493" t="s">
        <v>6</v>
      </c>
      <c r="D12493">
        <v>10</v>
      </c>
      <c r="E12493" s="2">
        <v>1.4201388888888888E-2</v>
      </c>
      <c r="F12493">
        <v>20.45</v>
      </c>
    </row>
    <row r="12494" spans="1:6" x14ac:dyDescent="0.25">
      <c r="A12494" s="1">
        <v>42856</v>
      </c>
      <c r="B12494" t="s">
        <v>21</v>
      </c>
      <c r="C12494" t="s">
        <v>7</v>
      </c>
      <c r="D12494">
        <v>6</v>
      </c>
      <c r="E12494" s="2">
        <v>8.6574074074074071E-3</v>
      </c>
      <c r="F12494">
        <v>12.466666666666667</v>
      </c>
    </row>
    <row r="12495" spans="1:6" x14ac:dyDescent="0.25">
      <c r="A12495" s="1">
        <v>42856</v>
      </c>
      <c r="B12495" t="s">
        <v>21</v>
      </c>
      <c r="C12495" t="s">
        <v>8</v>
      </c>
      <c r="D12495">
        <v>7</v>
      </c>
      <c r="E12495" s="2">
        <v>1.2372685185185184E-2</v>
      </c>
      <c r="F12495">
        <v>17.816666666666666</v>
      </c>
    </row>
    <row r="12496" spans="1:6" x14ac:dyDescent="0.25">
      <c r="A12496" s="1">
        <v>42856</v>
      </c>
      <c r="B12496" t="s">
        <v>21</v>
      </c>
      <c r="C12496" t="s">
        <v>9</v>
      </c>
      <c r="D12496">
        <v>0</v>
      </c>
      <c r="E12496" s="2">
        <v>0</v>
      </c>
      <c r="F12496">
        <v>0</v>
      </c>
    </row>
    <row r="12497" spans="1:6" x14ac:dyDescent="0.25">
      <c r="A12497" s="1">
        <v>42856</v>
      </c>
      <c r="B12497" t="s">
        <v>21</v>
      </c>
      <c r="C12497" t="s">
        <v>10</v>
      </c>
      <c r="D12497">
        <v>3</v>
      </c>
      <c r="E12497" s="2">
        <v>6.1574074074074074E-3</v>
      </c>
      <c r="F12497">
        <v>8.8666666666666671</v>
      </c>
    </row>
    <row r="12498" spans="1:6" x14ac:dyDescent="0.25">
      <c r="A12498" s="1">
        <v>42856</v>
      </c>
      <c r="B12498" t="s">
        <v>21</v>
      </c>
      <c r="C12498" t="s">
        <v>11</v>
      </c>
      <c r="D12498">
        <v>21</v>
      </c>
      <c r="E12498" s="2">
        <v>3.1967592592592596E-2</v>
      </c>
      <c r="F12498">
        <v>46.033333333333331</v>
      </c>
    </row>
    <row r="12499" spans="1:6" x14ac:dyDescent="0.25">
      <c r="A12499" s="1">
        <v>42856</v>
      </c>
      <c r="B12499" t="s">
        <v>22</v>
      </c>
      <c r="C12499" t="s">
        <v>6</v>
      </c>
      <c r="D12499">
        <v>26</v>
      </c>
      <c r="E12499" s="2">
        <v>4.4340277777777777E-2</v>
      </c>
      <c r="F12499">
        <v>63.85</v>
      </c>
    </row>
    <row r="12500" spans="1:6" x14ac:dyDescent="0.25">
      <c r="A12500" s="1">
        <v>42856</v>
      </c>
      <c r="B12500" t="s">
        <v>22</v>
      </c>
      <c r="C12500" t="s">
        <v>7</v>
      </c>
      <c r="D12500">
        <v>12</v>
      </c>
      <c r="E12500" s="2">
        <v>1.2407407407407407E-2</v>
      </c>
      <c r="F12500">
        <v>17.866666666666667</v>
      </c>
    </row>
    <row r="12501" spans="1:6" x14ac:dyDescent="0.25">
      <c r="A12501" s="1">
        <v>42856</v>
      </c>
      <c r="B12501" t="s">
        <v>22</v>
      </c>
      <c r="C12501" t="s">
        <v>8</v>
      </c>
      <c r="D12501">
        <v>14</v>
      </c>
      <c r="E12501" s="2">
        <v>2.0335648148148148E-2</v>
      </c>
      <c r="F12501">
        <v>29.283333333333335</v>
      </c>
    </row>
    <row r="12502" spans="1:6" x14ac:dyDescent="0.25">
      <c r="A12502" s="1">
        <v>42856</v>
      </c>
      <c r="B12502" t="s">
        <v>22</v>
      </c>
      <c r="C12502" t="s">
        <v>9</v>
      </c>
      <c r="D12502">
        <v>0</v>
      </c>
      <c r="E12502" s="2">
        <v>0</v>
      </c>
      <c r="F12502">
        <v>0</v>
      </c>
    </row>
    <row r="12503" spans="1:6" x14ac:dyDescent="0.25">
      <c r="A12503" s="1">
        <v>42856</v>
      </c>
      <c r="B12503" t="s">
        <v>22</v>
      </c>
      <c r="C12503" t="s">
        <v>10</v>
      </c>
      <c r="D12503">
        <v>10</v>
      </c>
      <c r="E12503" s="2">
        <v>1.0439814814814815E-2</v>
      </c>
      <c r="F12503">
        <v>15.033333333333333</v>
      </c>
    </row>
    <row r="12504" spans="1:6" x14ac:dyDescent="0.25">
      <c r="A12504" s="1">
        <v>42856</v>
      </c>
      <c r="B12504" t="s">
        <v>22</v>
      </c>
      <c r="C12504" t="s">
        <v>11</v>
      </c>
      <c r="D12504">
        <v>9</v>
      </c>
      <c r="E12504" s="2">
        <v>1.1597222222222222E-2</v>
      </c>
      <c r="F12504">
        <v>16.7</v>
      </c>
    </row>
    <row r="12505" spans="1:6" x14ac:dyDescent="0.25">
      <c r="A12505" s="1">
        <v>42856</v>
      </c>
      <c r="B12505" t="s">
        <v>23</v>
      </c>
      <c r="C12505" t="s">
        <v>6</v>
      </c>
      <c r="D12505">
        <v>57</v>
      </c>
      <c r="E12505" s="2">
        <v>8.5868055555555559E-2</v>
      </c>
      <c r="F12505">
        <v>123.65</v>
      </c>
    </row>
    <row r="12506" spans="1:6" x14ac:dyDescent="0.25">
      <c r="A12506" s="1">
        <v>42856</v>
      </c>
      <c r="B12506" t="s">
        <v>23</v>
      </c>
      <c r="C12506" t="s">
        <v>7</v>
      </c>
      <c r="D12506">
        <v>54</v>
      </c>
      <c r="E12506" s="2">
        <v>7.228009259259259E-2</v>
      </c>
      <c r="F12506">
        <v>104.08333333333333</v>
      </c>
    </row>
    <row r="12507" spans="1:6" x14ac:dyDescent="0.25">
      <c r="A12507" s="1">
        <v>42856</v>
      </c>
      <c r="B12507" t="s">
        <v>23</v>
      </c>
      <c r="C12507" t="s">
        <v>8</v>
      </c>
      <c r="D12507">
        <v>37</v>
      </c>
      <c r="E12507" s="2">
        <v>4.4502314814814814E-2</v>
      </c>
      <c r="F12507">
        <v>64.083333333333329</v>
      </c>
    </row>
    <row r="12508" spans="1:6" x14ac:dyDescent="0.25">
      <c r="A12508" s="1">
        <v>42856</v>
      </c>
      <c r="B12508" t="s">
        <v>23</v>
      </c>
      <c r="C12508" t="s">
        <v>9</v>
      </c>
      <c r="D12508">
        <v>0</v>
      </c>
      <c r="E12508" s="2">
        <v>0</v>
      </c>
      <c r="F12508">
        <v>0</v>
      </c>
    </row>
    <row r="12509" spans="1:6" x14ac:dyDescent="0.25">
      <c r="A12509" s="1">
        <v>42856</v>
      </c>
      <c r="B12509" t="s">
        <v>23</v>
      </c>
      <c r="C12509" t="s">
        <v>10</v>
      </c>
      <c r="D12509">
        <v>23</v>
      </c>
      <c r="E12509" s="2">
        <v>3.8252314814814815E-2</v>
      </c>
      <c r="F12509">
        <v>55.083333333333336</v>
      </c>
    </row>
    <row r="12510" spans="1:6" x14ac:dyDescent="0.25">
      <c r="A12510" s="1">
        <v>42856</v>
      </c>
      <c r="B12510" t="s">
        <v>23</v>
      </c>
      <c r="C12510" t="s">
        <v>11</v>
      </c>
      <c r="D12510">
        <v>73</v>
      </c>
      <c r="E12510" s="2">
        <v>7.7256944444444448E-2</v>
      </c>
      <c r="F12510">
        <v>111.25</v>
      </c>
    </row>
    <row r="12511" spans="1:6" x14ac:dyDescent="0.25">
      <c r="A12511" s="1">
        <v>42856</v>
      </c>
      <c r="B12511" t="s">
        <v>24</v>
      </c>
      <c r="C12511" t="s">
        <v>6</v>
      </c>
      <c r="D12511">
        <v>36</v>
      </c>
      <c r="E12511" s="2">
        <v>4.7303240740740743E-2</v>
      </c>
      <c r="F12511">
        <v>68.11666666666666</v>
      </c>
    </row>
    <row r="12512" spans="1:6" x14ac:dyDescent="0.25">
      <c r="A12512" s="1">
        <v>42856</v>
      </c>
      <c r="B12512" t="s">
        <v>24</v>
      </c>
      <c r="C12512" t="s">
        <v>7</v>
      </c>
      <c r="D12512">
        <v>26</v>
      </c>
      <c r="E12512" s="2">
        <v>1.9733796296296298E-2</v>
      </c>
      <c r="F12512">
        <v>28.416666666666668</v>
      </c>
    </row>
    <row r="12513" spans="1:6" x14ac:dyDescent="0.25">
      <c r="A12513" s="1">
        <v>42856</v>
      </c>
      <c r="B12513" t="s">
        <v>24</v>
      </c>
      <c r="C12513" t="s">
        <v>8</v>
      </c>
      <c r="D12513">
        <v>22</v>
      </c>
      <c r="E12513" s="2">
        <v>1.3344907407407408E-2</v>
      </c>
      <c r="F12513">
        <v>19.216666666666665</v>
      </c>
    </row>
    <row r="12514" spans="1:6" x14ac:dyDescent="0.25">
      <c r="A12514" s="1">
        <v>42856</v>
      </c>
      <c r="B12514" t="s">
        <v>24</v>
      </c>
      <c r="C12514" t="s">
        <v>9</v>
      </c>
      <c r="D12514">
        <v>0</v>
      </c>
      <c r="E12514" s="2">
        <v>0</v>
      </c>
      <c r="F12514">
        <v>0</v>
      </c>
    </row>
    <row r="12515" spans="1:6" x14ac:dyDescent="0.25">
      <c r="A12515" s="1">
        <v>42856</v>
      </c>
      <c r="B12515" t="s">
        <v>24</v>
      </c>
      <c r="C12515" t="s">
        <v>10</v>
      </c>
      <c r="D12515">
        <v>0</v>
      </c>
      <c r="E12515" s="2">
        <v>0</v>
      </c>
      <c r="F12515">
        <v>0</v>
      </c>
    </row>
    <row r="12516" spans="1:6" x14ac:dyDescent="0.25">
      <c r="A12516" s="1">
        <v>42856</v>
      </c>
      <c r="B12516" t="s">
        <v>24</v>
      </c>
      <c r="C12516" t="s">
        <v>11</v>
      </c>
      <c r="D12516">
        <v>29</v>
      </c>
      <c r="E12516" s="2">
        <v>2.3425925925925926E-2</v>
      </c>
      <c r="F12516">
        <v>33.733333333333334</v>
      </c>
    </row>
    <row r="12517" spans="1:6" x14ac:dyDescent="0.25">
      <c r="A12517" s="1">
        <v>42887</v>
      </c>
      <c r="B12517" t="s">
        <v>5</v>
      </c>
      <c r="C12517" t="s">
        <v>6</v>
      </c>
      <c r="D12517">
        <v>24</v>
      </c>
      <c r="E12517" s="2">
        <v>2.7060185185185184E-2</v>
      </c>
      <c r="F12517">
        <v>38.966666666666669</v>
      </c>
    </row>
    <row r="12518" spans="1:6" x14ac:dyDescent="0.25">
      <c r="A12518" s="1">
        <v>42887</v>
      </c>
      <c r="B12518" t="s">
        <v>5</v>
      </c>
      <c r="C12518" t="s">
        <v>7</v>
      </c>
      <c r="D12518">
        <v>26</v>
      </c>
      <c r="E12518" s="2">
        <v>2.4062500000000001E-2</v>
      </c>
      <c r="F12518">
        <v>34.65</v>
      </c>
    </row>
    <row r="12519" spans="1:6" x14ac:dyDescent="0.25">
      <c r="A12519" s="1">
        <v>42887</v>
      </c>
      <c r="B12519" t="s">
        <v>5</v>
      </c>
      <c r="C12519" t="s">
        <v>8</v>
      </c>
      <c r="D12519">
        <v>19</v>
      </c>
      <c r="E12519" s="2">
        <v>1.3483796296296296E-2</v>
      </c>
      <c r="F12519">
        <v>19.416666666666668</v>
      </c>
    </row>
    <row r="12520" spans="1:6" x14ac:dyDescent="0.25">
      <c r="A12520" s="1">
        <v>42887</v>
      </c>
      <c r="B12520" t="s">
        <v>5</v>
      </c>
      <c r="C12520" t="s">
        <v>9</v>
      </c>
      <c r="D12520">
        <v>0</v>
      </c>
      <c r="E12520" s="2">
        <v>0</v>
      </c>
      <c r="F12520">
        <v>0</v>
      </c>
    </row>
    <row r="12521" spans="1:6" x14ac:dyDescent="0.25">
      <c r="A12521" s="1">
        <v>42887</v>
      </c>
      <c r="B12521" t="s">
        <v>5</v>
      </c>
      <c r="C12521" t="s">
        <v>10</v>
      </c>
      <c r="D12521">
        <v>11</v>
      </c>
      <c r="E12521" s="2">
        <v>1.0891203703703703E-2</v>
      </c>
      <c r="F12521">
        <v>15.683333333333334</v>
      </c>
    </row>
    <row r="12522" spans="1:6" x14ac:dyDescent="0.25">
      <c r="A12522" s="1">
        <v>42887</v>
      </c>
      <c r="B12522" t="s">
        <v>5</v>
      </c>
      <c r="C12522" t="s">
        <v>11</v>
      </c>
      <c r="D12522">
        <v>29</v>
      </c>
      <c r="E12522" s="2">
        <v>2.5706018518518517E-2</v>
      </c>
      <c r="F12522">
        <v>37.016666666666666</v>
      </c>
    </row>
    <row r="12523" spans="1:6" x14ac:dyDescent="0.25">
      <c r="A12523" s="1">
        <v>42887</v>
      </c>
      <c r="B12523" t="s">
        <v>12</v>
      </c>
      <c r="C12523" t="s">
        <v>6</v>
      </c>
      <c r="D12523">
        <v>30</v>
      </c>
      <c r="E12523" s="2">
        <v>4.3877314814814813E-2</v>
      </c>
      <c r="F12523">
        <v>63.18333333333333</v>
      </c>
    </row>
    <row r="12524" spans="1:6" x14ac:dyDescent="0.25">
      <c r="A12524" s="1">
        <v>42887</v>
      </c>
      <c r="B12524" t="s">
        <v>12</v>
      </c>
      <c r="C12524" t="s">
        <v>7</v>
      </c>
      <c r="D12524">
        <v>21</v>
      </c>
      <c r="E12524" s="2">
        <v>2.2453703703703705E-2</v>
      </c>
      <c r="F12524">
        <v>32.333333333333336</v>
      </c>
    </row>
    <row r="12525" spans="1:6" x14ac:dyDescent="0.25">
      <c r="A12525" s="1">
        <v>42887</v>
      </c>
      <c r="B12525" t="s">
        <v>12</v>
      </c>
      <c r="C12525" t="s">
        <v>8</v>
      </c>
      <c r="D12525">
        <v>17</v>
      </c>
      <c r="E12525" s="2">
        <v>2.4641203703703703E-2</v>
      </c>
      <c r="F12525">
        <v>35.483333333333334</v>
      </c>
    </row>
    <row r="12526" spans="1:6" x14ac:dyDescent="0.25">
      <c r="A12526" s="1">
        <v>42887</v>
      </c>
      <c r="B12526" t="s">
        <v>12</v>
      </c>
      <c r="C12526" t="s">
        <v>9</v>
      </c>
      <c r="D12526">
        <v>0</v>
      </c>
      <c r="E12526" s="2">
        <v>0</v>
      </c>
      <c r="F12526">
        <v>0</v>
      </c>
    </row>
    <row r="12527" spans="1:6" x14ac:dyDescent="0.25">
      <c r="A12527" s="1">
        <v>42887</v>
      </c>
      <c r="B12527" t="s">
        <v>12</v>
      </c>
      <c r="C12527" t="s">
        <v>10</v>
      </c>
      <c r="D12527">
        <v>17</v>
      </c>
      <c r="E12527" s="2">
        <v>2.7685185185185184E-2</v>
      </c>
      <c r="F12527">
        <v>39.866666666666667</v>
      </c>
    </row>
    <row r="12528" spans="1:6" x14ac:dyDescent="0.25">
      <c r="A12528" s="1">
        <v>42887</v>
      </c>
      <c r="B12528" t="s">
        <v>12</v>
      </c>
      <c r="C12528" t="s">
        <v>11</v>
      </c>
      <c r="D12528">
        <v>40</v>
      </c>
      <c r="E12528" s="2">
        <v>4.7106481481481478E-2</v>
      </c>
      <c r="F12528">
        <v>67.833333333333329</v>
      </c>
    </row>
    <row r="12529" spans="1:6" x14ac:dyDescent="0.25">
      <c r="A12529" s="1">
        <v>42887</v>
      </c>
      <c r="B12529" t="s">
        <v>13</v>
      </c>
      <c r="C12529" t="s">
        <v>6</v>
      </c>
      <c r="D12529">
        <v>31</v>
      </c>
      <c r="E12529" s="2">
        <v>4.8622685185185185E-2</v>
      </c>
      <c r="F12529">
        <v>70.016666666666666</v>
      </c>
    </row>
    <row r="12530" spans="1:6" x14ac:dyDescent="0.25">
      <c r="A12530" s="1">
        <v>42887</v>
      </c>
      <c r="B12530" t="s">
        <v>13</v>
      </c>
      <c r="C12530" t="s">
        <v>7</v>
      </c>
      <c r="D12530">
        <v>37</v>
      </c>
      <c r="E12530" s="2">
        <v>5.9745370370370372E-2</v>
      </c>
      <c r="F12530">
        <v>86.033333333333331</v>
      </c>
    </row>
    <row r="12531" spans="1:6" x14ac:dyDescent="0.25">
      <c r="A12531" s="1">
        <v>42887</v>
      </c>
      <c r="B12531" t="s">
        <v>13</v>
      </c>
      <c r="C12531" t="s">
        <v>8</v>
      </c>
      <c r="D12531">
        <v>37</v>
      </c>
      <c r="E12531" s="2">
        <v>3.577546296296296E-2</v>
      </c>
      <c r="F12531">
        <v>51.516666666666666</v>
      </c>
    </row>
    <row r="12532" spans="1:6" x14ac:dyDescent="0.25">
      <c r="A12532" s="1">
        <v>42887</v>
      </c>
      <c r="B12532" t="s">
        <v>13</v>
      </c>
      <c r="C12532" t="s">
        <v>9</v>
      </c>
      <c r="D12532">
        <v>0</v>
      </c>
      <c r="E12532" s="2">
        <v>0</v>
      </c>
      <c r="F12532">
        <v>0</v>
      </c>
    </row>
    <row r="12533" spans="1:6" x14ac:dyDescent="0.25">
      <c r="A12533" s="1">
        <v>42887</v>
      </c>
      <c r="B12533" t="s">
        <v>13</v>
      </c>
      <c r="C12533" t="s">
        <v>10</v>
      </c>
      <c r="D12533">
        <v>13</v>
      </c>
      <c r="E12533" s="2">
        <v>2.1261574074074075E-2</v>
      </c>
      <c r="F12533">
        <v>30.616666666666667</v>
      </c>
    </row>
    <row r="12534" spans="1:6" x14ac:dyDescent="0.25">
      <c r="A12534" s="1">
        <v>42887</v>
      </c>
      <c r="B12534" t="s">
        <v>13</v>
      </c>
      <c r="C12534" t="s">
        <v>11</v>
      </c>
      <c r="D12534">
        <v>31</v>
      </c>
      <c r="E12534" s="2">
        <v>3.4814814814814812E-2</v>
      </c>
      <c r="F12534">
        <v>50.133333333333333</v>
      </c>
    </row>
    <row r="12535" spans="1:6" x14ac:dyDescent="0.25">
      <c r="A12535" s="1">
        <v>42887</v>
      </c>
      <c r="B12535" t="s">
        <v>14</v>
      </c>
      <c r="C12535" t="s">
        <v>6</v>
      </c>
      <c r="D12535">
        <v>19</v>
      </c>
      <c r="E12535" s="2">
        <v>3.09375E-2</v>
      </c>
      <c r="F12535">
        <v>44.55</v>
      </c>
    </row>
    <row r="12536" spans="1:6" x14ac:dyDescent="0.25">
      <c r="A12536" s="1">
        <v>42887</v>
      </c>
      <c r="B12536" t="s">
        <v>14</v>
      </c>
      <c r="C12536" t="s">
        <v>7</v>
      </c>
      <c r="D12536">
        <v>14</v>
      </c>
      <c r="E12536" s="2">
        <v>2.2488425925925926E-2</v>
      </c>
      <c r="F12536">
        <v>32.383333333333333</v>
      </c>
    </row>
    <row r="12537" spans="1:6" x14ac:dyDescent="0.25">
      <c r="A12537" s="1">
        <v>42887</v>
      </c>
      <c r="B12537" t="s">
        <v>14</v>
      </c>
      <c r="C12537" t="s">
        <v>8</v>
      </c>
      <c r="D12537">
        <v>9</v>
      </c>
      <c r="E12537" s="2">
        <v>1.4004629629629629E-2</v>
      </c>
      <c r="F12537">
        <v>20.166666666666668</v>
      </c>
    </row>
    <row r="12538" spans="1:6" x14ac:dyDescent="0.25">
      <c r="A12538" s="1">
        <v>42887</v>
      </c>
      <c r="B12538" t="s">
        <v>14</v>
      </c>
      <c r="C12538" t="s">
        <v>9</v>
      </c>
      <c r="D12538">
        <v>0</v>
      </c>
      <c r="E12538" s="2">
        <v>0</v>
      </c>
      <c r="F12538">
        <v>0</v>
      </c>
    </row>
    <row r="12539" spans="1:6" x14ac:dyDescent="0.25">
      <c r="A12539" s="1">
        <v>42887</v>
      </c>
      <c r="B12539" t="s">
        <v>14</v>
      </c>
      <c r="C12539" t="s">
        <v>10</v>
      </c>
      <c r="D12539">
        <v>0</v>
      </c>
      <c r="E12539" s="2">
        <v>0</v>
      </c>
      <c r="F12539">
        <v>0</v>
      </c>
    </row>
    <row r="12540" spans="1:6" x14ac:dyDescent="0.25">
      <c r="A12540" s="1">
        <v>42887</v>
      </c>
      <c r="B12540" t="s">
        <v>14</v>
      </c>
      <c r="C12540" t="s">
        <v>11</v>
      </c>
      <c r="D12540">
        <v>16</v>
      </c>
      <c r="E12540" s="2">
        <v>1.636574074074074E-2</v>
      </c>
      <c r="F12540">
        <v>23.566666666666666</v>
      </c>
    </row>
    <row r="12541" spans="1:6" x14ac:dyDescent="0.25">
      <c r="A12541" s="1">
        <v>42887</v>
      </c>
      <c r="B12541" t="s">
        <v>15</v>
      </c>
      <c r="C12541" t="s">
        <v>6</v>
      </c>
      <c r="D12541">
        <v>28</v>
      </c>
      <c r="E12541" s="2">
        <v>3.4016203703703701E-2</v>
      </c>
      <c r="F12541">
        <v>48.983333333333334</v>
      </c>
    </row>
    <row r="12542" spans="1:6" x14ac:dyDescent="0.25">
      <c r="A12542" s="1">
        <v>42887</v>
      </c>
      <c r="B12542" t="s">
        <v>15</v>
      </c>
      <c r="C12542" t="s">
        <v>7</v>
      </c>
      <c r="D12542">
        <v>16</v>
      </c>
      <c r="E12542" s="2">
        <v>1.7222222222222222E-2</v>
      </c>
      <c r="F12542">
        <v>24.8</v>
      </c>
    </row>
    <row r="12543" spans="1:6" x14ac:dyDescent="0.25">
      <c r="A12543" s="1">
        <v>42887</v>
      </c>
      <c r="B12543" t="s">
        <v>15</v>
      </c>
      <c r="C12543" t="s">
        <v>8</v>
      </c>
      <c r="D12543">
        <v>23</v>
      </c>
      <c r="E12543" s="2">
        <v>2.5844907407407407E-2</v>
      </c>
      <c r="F12543">
        <v>37.216666666666669</v>
      </c>
    </row>
    <row r="12544" spans="1:6" x14ac:dyDescent="0.25">
      <c r="A12544" s="1">
        <v>42887</v>
      </c>
      <c r="B12544" t="s">
        <v>15</v>
      </c>
      <c r="C12544" t="s">
        <v>9</v>
      </c>
      <c r="D12544">
        <v>0</v>
      </c>
      <c r="E12544" s="2">
        <v>0</v>
      </c>
      <c r="F12544">
        <v>0</v>
      </c>
    </row>
    <row r="12545" spans="1:6" x14ac:dyDescent="0.25">
      <c r="A12545" s="1">
        <v>42887</v>
      </c>
      <c r="B12545" t="s">
        <v>15</v>
      </c>
      <c r="C12545" t="s">
        <v>10</v>
      </c>
      <c r="D12545">
        <v>8</v>
      </c>
      <c r="E12545" s="2">
        <v>1.0960648148148148E-2</v>
      </c>
      <c r="F12545">
        <v>15.783333333333333</v>
      </c>
    </row>
    <row r="12546" spans="1:6" x14ac:dyDescent="0.25">
      <c r="A12546" s="1">
        <v>42887</v>
      </c>
      <c r="B12546" t="s">
        <v>15</v>
      </c>
      <c r="C12546" t="s">
        <v>11</v>
      </c>
      <c r="D12546">
        <v>22</v>
      </c>
      <c r="E12546" s="2">
        <v>1.5462962962962963E-2</v>
      </c>
      <c r="F12546">
        <v>22.266666666666666</v>
      </c>
    </row>
    <row r="12547" spans="1:6" x14ac:dyDescent="0.25">
      <c r="A12547" s="1">
        <v>42887</v>
      </c>
      <c r="B12547" t="s">
        <v>16</v>
      </c>
      <c r="C12547" t="s">
        <v>6</v>
      </c>
      <c r="D12547">
        <v>7</v>
      </c>
      <c r="E12547" s="2">
        <v>9.7222222222222224E-3</v>
      </c>
      <c r="F12547">
        <v>14</v>
      </c>
    </row>
    <row r="12548" spans="1:6" x14ac:dyDescent="0.25">
      <c r="A12548" s="1">
        <v>42887</v>
      </c>
      <c r="B12548" t="s">
        <v>16</v>
      </c>
      <c r="C12548" t="s">
        <v>7</v>
      </c>
      <c r="D12548">
        <v>5</v>
      </c>
      <c r="E12548" s="2">
        <v>6.0069444444444441E-3</v>
      </c>
      <c r="F12548">
        <v>8.65</v>
      </c>
    </row>
    <row r="12549" spans="1:6" x14ac:dyDescent="0.25">
      <c r="A12549" s="1">
        <v>42887</v>
      </c>
      <c r="B12549" t="s">
        <v>16</v>
      </c>
      <c r="C12549" t="s">
        <v>8</v>
      </c>
      <c r="D12549">
        <v>7</v>
      </c>
      <c r="E12549" s="2">
        <v>5.7523148148148151E-3</v>
      </c>
      <c r="F12549">
        <v>8.2833333333333332</v>
      </c>
    </row>
    <row r="12550" spans="1:6" x14ac:dyDescent="0.25">
      <c r="A12550" s="1">
        <v>42887</v>
      </c>
      <c r="B12550" t="s">
        <v>16</v>
      </c>
      <c r="C12550" t="s">
        <v>9</v>
      </c>
      <c r="D12550">
        <v>0</v>
      </c>
      <c r="E12550" s="2">
        <v>0</v>
      </c>
      <c r="F12550">
        <v>0</v>
      </c>
    </row>
    <row r="12551" spans="1:6" x14ac:dyDescent="0.25">
      <c r="A12551" s="1">
        <v>42887</v>
      </c>
      <c r="B12551" t="s">
        <v>16</v>
      </c>
      <c r="C12551" t="s">
        <v>10</v>
      </c>
      <c r="D12551">
        <v>0</v>
      </c>
      <c r="E12551" s="2">
        <v>0</v>
      </c>
      <c r="F12551">
        <v>0</v>
      </c>
    </row>
    <row r="12552" spans="1:6" x14ac:dyDescent="0.25">
      <c r="A12552" s="1">
        <v>42887</v>
      </c>
      <c r="B12552" t="s">
        <v>16</v>
      </c>
      <c r="C12552" t="s">
        <v>11</v>
      </c>
      <c r="D12552">
        <v>1</v>
      </c>
      <c r="E12552" s="2">
        <v>9.4907407407407408E-4</v>
      </c>
      <c r="F12552">
        <v>1.3666666666666667</v>
      </c>
    </row>
    <row r="12553" spans="1:6" x14ac:dyDescent="0.25">
      <c r="A12553" s="1">
        <v>42887</v>
      </c>
      <c r="B12553" t="s">
        <v>17</v>
      </c>
      <c r="C12553" t="s">
        <v>6</v>
      </c>
      <c r="D12553">
        <v>16</v>
      </c>
      <c r="E12553" s="2">
        <v>2.7696759259259258E-2</v>
      </c>
      <c r="F12553">
        <v>39.883333333333333</v>
      </c>
    </row>
    <row r="12554" spans="1:6" x14ac:dyDescent="0.25">
      <c r="A12554" s="1">
        <v>42887</v>
      </c>
      <c r="B12554" t="s">
        <v>17</v>
      </c>
      <c r="C12554" t="s">
        <v>7</v>
      </c>
      <c r="D12554">
        <v>22</v>
      </c>
      <c r="E12554" s="2">
        <v>3.125E-2</v>
      </c>
      <c r="F12554">
        <v>45</v>
      </c>
    </row>
    <row r="12555" spans="1:6" x14ac:dyDescent="0.25">
      <c r="A12555" s="1">
        <v>42887</v>
      </c>
      <c r="B12555" t="s">
        <v>17</v>
      </c>
      <c r="C12555" t="s">
        <v>8</v>
      </c>
      <c r="D12555">
        <v>17</v>
      </c>
      <c r="E12555" s="2">
        <v>2.238425925925926E-2</v>
      </c>
      <c r="F12555">
        <v>32.233333333333334</v>
      </c>
    </row>
    <row r="12556" spans="1:6" x14ac:dyDescent="0.25">
      <c r="A12556" s="1">
        <v>42887</v>
      </c>
      <c r="B12556" t="s">
        <v>17</v>
      </c>
      <c r="C12556" t="s">
        <v>9</v>
      </c>
      <c r="D12556">
        <v>0</v>
      </c>
      <c r="E12556" s="2">
        <v>0</v>
      </c>
      <c r="F12556">
        <v>0</v>
      </c>
    </row>
    <row r="12557" spans="1:6" x14ac:dyDescent="0.25">
      <c r="A12557" s="1">
        <v>42887</v>
      </c>
      <c r="B12557" t="s">
        <v>17</v>
      </c>
      <c r="C12557" t="s">
        <v>10</v>
      </c>
      <c r="D12557">
        <v>12</v>
      </c>
      <c r="E12557" s="2">
        <v>1.2442129629629629E-2</v>
      </c>
      <c r="F12557">
        <v>17.916666666666668</v>
      </c>
    </row>
    <row r="12558" spans="1:6" x14ac:dyDescent="0.25">
      <c r="A12558" s="1">
        <v>42887</v>
      </c>
      <c r="B12558" t="s">
        <v>17</v>
      </c>
      <c r="C12558" t="s">
        <v>11</v>
      </c>
      <c r="D12558">
        <v>10</v>
      </c>
      <c r="E12558" s="2">
        <v>1.2893518518518518E-2</v>
      </c>
      <c r="F12558">
        <v>18.566666666666666</v>
      </c>
    </row>
    <row r="12559" spans="1:6" x14ac:dyDescent="0.25">
      <c r="A12559" s="1">
        <v>42887</v>
      </c>
      <c r="B12559" t="s">
        <v>18</v>
      </c>
      <c r="C12559" t="s">
        <v>6</v>
      </c>
      <c r="D12559">
        <v>53</v>
      </c>
      <c r="E12559" s="2">
        <v>5.4479166666666669E-2</v>
      </c>
      <c r="F12559">
        <v>78.45</v>
      </c>
    </row>
    <row r="12560" spans="1:6" x14ac:dyDescent="0.25">
      <c r="A12560" s="1">
        <v>42887</v>
      </c>
      <c r="B12560" t="s">
        <v>18</v>
      </c>
      <c r="C12560" t="s">
        <v>7</v>
      </c>
      <c r="D12560">
        <v>84</v>
      </c>
      <c r="E12560" s="2">
        <v>8.4375000000000006E-2</v>
      </c>
      <c r="F12560">
        <v>121.5</v>
      </c>
    </row>
    <row r="12561" spans="1:6" x14ac:dyDescent="0.25">
      <c r="A12561" s="1">
        <v>42887</v>
      </c>
      <c r="B12561" t="s">
        <v>18</v>
      </c>
      <c r="C12561" t="s">
        <v>8</v>
      </c>
      <c r="D12561">
        <v>49</v>
      </c>
      <c r="E12561" s="2">
        <v>4.4641203703703704E-2</v>
      </c>
      <c r="F12561">
        <v>64.283333333333331</v>
      </c>
    </row>
    <row r="12562" spans="1:6" x14ac:dyDescent="0.25">
      <c r="A12562" s="1">
        <v>42887</v>
      </c>
      <c r="B12562" t="s">
        <v>18</v>
      </c>
      <c r="C12562" t="s">
        <v>9</v>
      </c>
      <c r="D12562">
        <v>0</v>
      </c>
      <c r="E12562" s="2">
        <v>0</v>
      </c>
      <c r="F12562">
        <v>0</v>
      </c>
    </row>
    <row r="12563" spans="1:6" x14ac:dyDescent="0.25">
      <c r="A12563" s="1">
        <v>42887</v>
      </c>
      <c r="B12563" t="s">
        <v>18</v>
      </c>
      <c r="C12563" t="s">
        <v>10</v>
      </c>
      <c r="D12563">
        <v>107</v>
      </c>
      <c r="E12563" s="2">
        <v>0.13802083333333334</v>
      </c>
      <c r="F12563">
        <v>198.75</v>
      </c>
    </row>
    <row r="12564" spans="1:6" x14ac:dyDescent="0.25">
      <c r="A12564" s="1">
        <v>42887</v>
      </c>
      <c r="B12564" t="s">
        <v>18</v>
      </c>
      <c r="C12564" t="s">
        <v>11</v>
      </c>
      <c r="D12564">
        <v>56</v>
      </c>
      <c r="E12564" s="2">
        <v>4.4965277777777778E-2</v>
      </c>
      <c r="F12564">
        <v>64.75</v>
      </c>
    </row>
    <row r="12565" spans="1:6" x14ac:dyDescent="0.25">
      <c r="A12565" s="1">
        <v>42887</v>
      </c>
      <c r="B12565" t="s">
        <v>19</v>
      </c>
      <c r="C12565" t="s">
        <v>6</v>
      </c>
      <c r="D12565">
        <v>28</v>
      </c>
      <c r="E12565" s="2">
        <v>3.1145833333333334E-2</v>
      </c>
      <c r="F12565">
        <v>44.85</v>
      </c>
    </row>
    <row r="12566" spans="1:6" x14ac:dyDescent="0.25">
      <c r="A12566" s="1">
        <v>42887</v>
      </c>
      <c r="B12566" t="s">
        <v>19</v>
      </c>
      <c r="C12566" t="s">
        <v>7</v>
      </c>
      <c r="D12566">
        <v>29</v>
      </c>
      <c r="E12566" s="2">
        <v>3.7256944444444447E-2</v>
      </c>
      <c r="F12566">
        <v>53.65</v>
      </c>
    </row>
    <row r="12567" spans="1:6" x14ac:dyDescent="0.25">
      <c r="A12567" s="1">
        <v>42887</v>
      </c>
      <c r="B12567" t="s">
        <v>19</v>
      </c>
      <c r="C12567" t="s">
        <v>8</v>
      </c>
      <c r="D12567">
        <v>21</v>
      </c>
      <c r="E12567" s="2">
        <v>2.1319444444444443E-2</v>
      </c>
      <c r="F12567">
        <v>30.7</v>
      </c>
    </row>
    <row r="12568" spans="1:6" x14ac:dyDescent="0.25">
      <c r="A12568" s="1">
        <v>42887</v>
      </c>
      <c r="B12568" t="s">
        <v>19</v>
      </c>
      <c r="C12568" t="s">
        <v>9</v>
      </c>
      <c r="D12568">
        <v>0</v>
      </c>
      <c r="E12568" s="2">
        <v>0</v>
      </c>
      <c r="F12568">
        <v>0</v>
      </c>
    </row>
    <row r="12569" spans="1:6" x14ac:dyDescent="0.25">
      <c r="A12569" s="1">
        <v>42887</v>
      </c>
      <c r="B12569" t="s">
        <v>19</v>
      </c>
      <c r="C12569" t="s">
        <v>10</v>
      </c>
      <c r="D12569">
        <v>14</v>
      </c>
      <c r="E12569" s="2">
        <v>2.1319444444444443E-2</v>
      </c>
      <c r="F12569">
        <v>30.7</v>
      </c>
    </row>
    <row r="12570" spans="1:6" x14ac:dyDescent="0.25">
      <c r="A12570" s="1">
        <v>42887</v>
      </c>
      <c r="B12570" t="s">
        <v>19</v>
      </c>
      <c r="C12570" t="s">
        <v>11</v>
      </c>
      <c r="D12570">
        <v>25</v>
      </c>
      <c r="E12570" s="2">
        <v>2.0590277777777777E-2</v>
      </c>
      <c r="F12570">
        <v>29.65</v>
      </c>
    </row>
    <row r="12571" spans="1:6" x14ac:dyDescent="0.25">
      <c r="A12571" s="1">
        <v>42887</v>
      </c>
      <c r="B12571" t="s">
        <v>20</v>
      </c>
      <c r="C12571" t="s">
        <v>6</v>
      </c>
      <c r="D12571">
        <v>145</v>
      </c>
      <c r="E12571" s="2">
        <v>0.19381944444444443</v>
      </c>
      <c r="F12571">
        <v>279.10000000000002</v>
      </c>
    </row>
    <row r="12572" spans="1:6" x14ac:dyDescent="0.25">
      <c r="A12572" s="1">
        <v>42887</v>
      </c>
      <c r="B12572" t="s">
        <v>20</v>
      </c>
      <c r="C12572" t="s">
        <v>7</v>
      </c>
      <c r="D12572">
        <v>158</v>
      </c>
      <c r="E12572" s="2">
        <v>0.18388888888888888</v>
      </c>
      <c r="F12572">
        <v>264.8</v>
      </c>
    </row>
    <row r="12573" spans="1:6" x14ac:dyDescent="0.25">
      <c r="A12573" s="1">
        <v>42887</v>
      </c>
      <c r="B12573" t="s">
        <v>20</v>
      </c>
      <c r="C12573" t="s">
        <v>8</v>
      </c>
      <c r="D12573">
        <v>102</v>
      </c>
      <c r="E12573" s="2">
        <v>0.11444444444444445</v>
      </c>
      <c r="F12573">
        <v>164.8</v>
      </c>
    </row>
    <row r="12574" spans="1:6" x14ac:dyDescent="0.25">
      <c r="A12574" s="1">
        <v>42887</v>
      </c>
      <c r="B12574" t="s">
        <v>20</v>
      </c>
      <c r="C12574" t="s">
        <v>9</v>
      </c>
      <c r="D12574">
        <v>0</v>
      </c>
      <c r="E12574" s="2">
        <v>0</v>
      </c>
      <c r="F12574">
        <v>0</v>
      </c>
    </row>
    <row r="12575" spans="1:6" x14ac:dyDescent="0.25">
      <c r="A12575" s="1">
        <v>42887</v>
      </c>
      <c r="B12575" t="s">
        <v>20</v>
      </c>
      <c r="C12575" t="s">
        <v>10</v>
      </c>
      <c r="D12575">
        <v>35</v>
      </c>
      <c r="E12575" s="2">
        <v>5.6597222222222222E-2</v>
      </c>
      <c r="F12575">
        <v>81.5</v>
      </c>
    </row>
    <row r="12576" spans="1:6" x14ac:dyDescent="0.25">
      <c r="A12576" s="1">
        <v>42887</v>
      </c>
      <c r="B12576" t="s">
        <v>20</v>
      </c>
      <c r="C12576" t="s">
        <v>11</v>
      </c>
      <c r="D12576">
        <v>104</v>
      </c>
      <c r="E12576" s="2">
        <v>0.13123842592592594</v>
      </c>
      <c r="F12576">
        <v>188.98333333333332</v>
      </c>
    </row>
    <row r="12577" spans="1:6" x14ac:dyDescent="0.25">
      <c r="A12577" s="1">
        <v>42887</v>
      </c>
      <c r="B12577" t="s">
        <v>21</v>
      </c>
      <c r="C12577" t="s">
        <v>6</v>
      </c>
      <c r="D12577">
        <v>11</v>
      </c>
      <c r="E12577" s="2">
        <v>1.3888888888888888E-2</v>
      </c>
      <c r="F12577">
        <v>20</v>
      </c>
    </row>
    <row r="12578" spans="1:6" x14ac:dyDescent="0.25">
      <c r="A12578" s="1">
        <v>42887</v>
      </c>
      <c r="B12578" t="s">
        <v>21</v>
      </c>
      <c r="C12578" t="s">
        <v>7</v>
      </c>
      <c r="D12578">
        <v>5</v>
      </c>
      <c r="E12578" s="2">
        <v>1.1898148148148149E-2</v>
      </c>
      <c r="F12578">
        <v>17.133333333333333</v>
      </c>
    </row>
    <row r="12579" spans="1:6" x14ac:dyDescent="0.25">
      <c r="A12579" s="1">
        <v>42887</v>
      </c>
      <c r="B12579" t="s">
        <v>21</v>
      </c>
      <c r="C12579" t="s">
        <v>8</v>
      </c>
      <c r="D12579">
        <v>8</v>
      </c>
      <c r="E12579" s="2">
        <v>1.2164351851851852E-2</v>
      </c>
      <c r="F12579">
        <v>17.516666666666666</v>
      </c>
    </row>
    <row r="12580" spans="1:6" x14ac:dyDescent="0.25">
      <c r="A12580" s="1">
        <v>42887</v>
      </c>
      <c r="B12580" t="s">
        <v>21</v>
      </c>
      <c r="C12580" t="s">
        <v>9</v>
      </c>
      <c r="D12580">
        <v>0</v>
      </c>
      <c r="E12580" s="2">
        <v>0</v>
      </c>
      <c r="F12580">
        <v>0</v>
      </c>
    </row>
    <row r="12581" spans="1:6" x14ac:dyDescent="0.25">
      <c r="A12581" s="1">
        <v>42887</v>
      </c>
      <c r="B12581" t="s">
        <v>21</v>
      </c>
      <c r="C12581" t="s">
        <v>10</v>
      </c>
      <c r="D12581">
        <v>4</v>
      </c>
      <c r="E12581" s="2">
        <v>8.3101851851851843E-3</v>
      </c>
      <c r="F12581">
        <v>11.966666666666667</v>
      </c>
    </row>
    <row r="12582" spans="1:6" x14ac:dyDescent="0.25">
      <c r="A12582" s="1">
        <v>42887</v>
      </c>
      <c r="B12582" t="s">
        <v>21</v>
      </c>
      <c r="C12582" t="s">
        <v>11</v>
      </c>
      <c r="D12582">
        <v>17</v>
      </c>
      <c r="E12582" s="2">
        <v>1.9652777777777779E-2</v>
      </c>
      <c r="F12582">
        <v>28.3</v>
      </c>
    </row>
    <row r="12583" spans="1:6" x14ac:dyDescent="0.25">
      <c r="A12583" s="1">
        <v>42887</v>
      </c>
      <c r="B12583" t="s">
        <v>22</v>
      </c>
      <c r="C12583" t="s">
        <v>6</v>
      </c>
      <c r="D12583">
        <v>17</v>
      </c>
      <c r="E12583" s="2">
        <v>2.960648148148148E-2</v>
      </c>
      <c r="F12583">
        <v>42.633333333333333</v>
      </c>
    </row>
    <row r="12584" spans="1:6" x14ac:dyDescent="0.25">
      <c r="A12584" s="1">
        <v>42887</v>
      </c>
      <c r="B12584" t="s">
        <v>22</v>
      </c>
      <c r="C12584" t="s">
        <v>7</v>
      </c>
      <c r="D12584">
        <v>13</v>
      </c>
      <c r="E12584" s="2">
        <v>1.6851851851851851E-2</v>
      </c>
      <c r="F12584">
        <v>24.266666666666666</v>
      </c>
    </row>
    <row r="12585" spans="1:6" x14ac:dyDescent="0.25">
      <c r="A12585" s="1">
        <v>42887</v>
      </c>
      <c r="B12585" t="s">
        <v>22</v>
      </c>
      <c r="C12585" t="s">
        <v>8</v>
      </c>
      <c r="D12585">
        <v>5</v>
      </c>
      <c r="E12585" s="2">
        <v>7.7546296296296295E-3</v>
      </c>
      <c r="F12585">
        <v>11.166666666666666</v>
      </c>
    </row>
    <row r="12586" spans="1:6" x14ac:dyDescent="0.25">
      <c r="A12586" s="1">
        <v>42887</v>
      </c>
      <c r="B12586" t="s">
        <v>22</v>
      </c>
      <c r="C12586" t="s">
        <v>9</v>
      </c>
      <c r="D12586">
        <v>0</v>
      </c>
      <c r="E12586" s="2">
        <v>0</v>
      </c>
      <c r="F12586">
        <v>0</v>
      </c>
    </row>
    <row r="12587" spans="1:6" x14ac:dyDescent="0.25">
      <c r="A12587" s="1">
        <v>42887</v>
      </c>
      <c r="B12587" t="s">
        <v>22</v>
      </c>
      <c r="C12587" t="s">
        <v>10</v>
      </c>
      <c r="D12587">
        <v>11</v>
      </c>
      <c r="E12587" s="2">
        <v>1.1666666666666667E-2</v>
      </c>
      <c r="F12587">
        <v>16.8</v>
      </c>
    </row>
    <row r="12588" spans="1:6" x14ac:dyDescent="0.25">
      <c r="A12588" s="1">
        <v>42887</v>
      </c>
      <c r="B12588" t="s">
        <v>22</v>
      </c>
      <c r="C12588" t="s">
        <v>11</v>
      </c>
      <c r="D12588">
        <v>8</v>
      </c>
      <c r="E12588" s="2">
        <v>9.5370370370370366E-3</v>
      </c>
      <c r="F12588">
        <v>13.733333333333333</v>
      </c>
    </row>
    <row r="12589" spans="1:6" x14ac:dyDescent="0.25">
      <c r="A12589" s="1">
        <v>42887</v>
      </c>
      <c r="B12589" t="s">
        <v>23</v>
      </c>
      <c r="C12589" t="s">
        <v>6</v>
      </c>
      <c r="D12589">
        <v>36</v>
      </c>
      <c r="E12589" s="2">
        <v>5.2210648148148145E-2</v>
      </c>
      <c r="F12589">
        <v>75.183333333333337</v>
      </c>
    </row>
    <row r="12590" spans="1:6" x14ac:dyDescent="0.25">
      <c r="A12590" s="1">
        <v>42887</v>
      </c>
      <c r="B12590" t="s">
        <v>23</v>
      </c>
      <c r="C12590" t="s">
        <v>7</v>
      </c>
      <c r="D12590">
        <v>42</v>
      </c>
      <c r="E12590" s="2">
        <v>7.4895833333333328E-2</v>
      </c>
      <c r="F12590">
        <v>107.85</v>
      </c>
    </row>
    <row r="12591" spans="1:6" x14ac:dyDescent="0.25">
      <c r="A12591" s="1">
        <v>42887</v>
      </c>
      <c r="B12591" t="s">
        <v>23</v>
      </c>
      <c r="C12591" t="s">
        <v>8</v>
      </c>
      <c r="D12591">
        <v>24</v>
      </c>
      <c r="E12591" s="2">
        <v>3.5752314814814813E-2</v>
      </c>
      <c r="F12591">
        <v>51.483333333333334</v>
      </c>
    </row>
    <row r="12592" spans="1:6" x14ac:dyDescent="0.25">
      <c r="A12592" s="1">
        <v>42887</v>
      </c>
      <c r="B12592" t="s">
        <v>23</v>
      </c>
      <c r="C12592" t="s">
        <v>9</v>
      </c>
      <c r="D12592">
        <v>0</v>
      </c>
      <c r="E12592" s="2">
        <v>0</v>
      </c>
      <c r="F12592">
        <v>0</v>
      </c>
    </row>
    <row r="12593" spans="1:6" x14ac:dyDescent="0.25">
      <c r="A12593" s="1">
        <v>42887</v>
      </c>
      <c r="B12593" t="s">
        <v>23</v>
      </c>
      <c r="C12593" t="s">
        <v>10</v>
      </c>
      <c r="D12593">
        <v>21</v>
      </c>
      <c r="E12593" s="2">
        <v>3.0416666666666668E-2</v>
      </c>
      <c r="F12593">
        <v>43.8</v>
      </c>
    </row>
    <row r="12594" spans="1:6" x14ac:dyDescent="0.25">
      <c r="A12594" s="1">
        <v>42887</v>
      </c>
      <c r="B12594" t="s">
        <v>23</v>
      </c>
      <c r="C12594" t="s">
        <v>11</v>
      </c>
      <c r="D12594">
        <v>48</v>
      </c>
      <c r="E12594" s="2">
        <v>5.2928240740740741E-2</v>
      </c>
      <c r="F12594">
        <v>76.216666666666669</v>
      </c>
    </row>
    <row r="12595" spans="1:6" x14ac:dyDescent="0.25">
      <c r="A12595" s="1">
        <v>42887</v>
      </c>
      <c r="B12595" t="s">
        <v>24</v>
      </c>
      <c r="C12595" t="s">
        <v>6</v>
      </c>
      <c r="D12595">
        <v>26</v>
      </c>
      <c r="E12595" s="2">
        <v>2.8368055555555556E-2</v>
      </c>
      <c r="F12595">
        <v>40.85</v>
      </c>
    </row>
    <row r="12596" spans="1:6" x14ac:dyDescent="0.25">
      <c r="A12596" s="1">
        <v>42887</v>
      </c>
      <c r="B12596" t="s">
        <v>24</v>
      </c>
      <c r="C12596" t="s">
        <v>7</v>
      </c>
      <c r="D12596">
        <v>29</v>
      </c>
      <c r="E12596" s="2">
        <v>2.329861111111111E-2</v>
      </c>
      <c r="F12596">
        <v>33.549999999999997</v>
      </c>
    </row>
    <row r="12597" spans="1:6" x14ac:dyDescent="0.25">
      <c r="A12597" s="1">
        <v>42887</v>
      </c>
      <c r="B12597" t="s">
        <v>24</v>
      </c>
      <c r="C12597" t="s">
        <v>8</v>
      </c>
      <c r="D12597">
        <v>13</v>
      </c>
      <c r="E12597" s="2">
        <v>9.9189814814814817E-3</v>
      </c>
      <c r="F12597">
        <v>14.283333333333333</v>
      </c>
    </row>
    <row r="12598" spans="1:6" x14ac:dyDescent="0.25">
      <c r="A12598" s="1">
        <v>42887</v>
      </c>
      <c r="B12598" t="s">
        <v>24</v>
      </c>
      <c r="C12598" t="s">
        <v>9</v>
      </c>
      <c r="D12598">
        <v>0</v>
      </c>
      <c r="E12598" s="2">
        <v>0</v>
      </c>
      <c r="F12598">
        <v>0</v>
      </c>
    </row>
    <row r="12599" spans="1:6" x14ac:dyDescent="0.25">
      <c r="A12599" s="1">
        <v>42887</v>
      </c>
      <c r="B12599" t="s">
        <v>24</v>
      </c>
      <c r="C12599" t="s">
        <v>10</v>
      </c>
      <c r="D12599">
        <v>1</v>
      </c>
      <c r="E12599" s="2">
        <v>1.0995370370370371E-3</v>
      </c>
      <c r="F12599">
        <v>1.5833333333333335</v>
      </c>
    </row>
    <row r="12600" spans="1:6" x14ac:dyDescent="0.25">
      <c r="A12600" s="1">
        <v>42887</v>
      </c>
      <c r="B12600" t="s">
        <v>24</v>
      </c>
      <c r="C12600" t="s">
        <v>11</v>
      </c>
      <c r="D12600">
        <v>17</v>
      </c>
      <c r="E12600" s="2">
        <v>1.3703703703703704E-2</v>
      </c>
      <c r="F12600">
        <v>19.733333333333334</v>
      </c>
    </row>
    <row r="12601" spans="1:6" x14ac:dyDescent="0.25">
      <c r="A12601" s="1">
        <v>42917</v>
      </c>
      <c r="B12601" t="s">
        <v>5</v>
      </c>
      <c r="C12601" t="s">
        <v>6</v>
      </c>
      <c r="D12601">
        <v>63</v>
      </c>
      <c r="E12601" s="2">
        <v>7.6597222222222219E-2</v>
      </c>
      <c r="F12601">
        <v>110.3</v>
      </c>
    </row>
    <row r="12602" spans="1:6" x14ac:dyDescent="0.25">
      <c r="A12602" s="1">
        <v>42917</v>
      </c>
      <c r="B12602" t="s">
        <v>5</v>
      </c>
      <c r="C12602" t="s">
        <v>7</v>
      </c>
      <c r="D12602">
        <v>59</v>
      </c>
      <c r="E12602" s="2">
        <v>5.8067129629629628E-2</v>
      </c>
      <c r="F12602">
        <v>83.61666666666666</v>
      </c>
    </row>
    <row r="12603" spans="1:6" x14ac:dyDescent="0.25">
      <c r="A12603" s="1">
        <v>42917</v>
      </c>
      <c r="B12603" t="s">
        <v>5</v>
      </c>
      <c r="C12603" t="s">
        <v>8</v>
      </c>
      <c r="D12603">
        <v>47</v>
      </c>
      <c r="E12603" s="2">
        <v>4.4247685185185189E-2</v>
      </c>
      <c r="F12603">
        <v>63.716666666666669</v>
      </c>
    </row>
    <row r="12604" spans="1:6" x14ac:dyDescent="0.25">
      <c r="A12604" s="1">
        <v>42917</v>
      </c>
      <c r="B12604" t="s">
        <v>5</v>
      </c>
      <c r="C12604" t="s">
        <v>9</v>
      </c>
      <c r="D12604">
        <v>0</v>
      </c>
      <c r="E12604" s="2">
        <v>0</v>
      </c>
      <c r="F12604">
        <v>0</v>
      </c>
    </row>
    <row r="12605" spans="1:6" x14ac:dyDescent="0.25">
      <c r="A12605" s="1">
        <v>42917</v>
      </c>
      <c r="B12605" t="s">
        <v>5</v>
      </c>
      <c r="C12605" t="s">
        <v>10</v>
      </c>
      <c r="D12605">
        <v>3</v>
      </c>
      <c r="E12605" s="2">
        <v>2.9050925925925928E-3</v>
      </c>
      <c r="F12605">
        <v>4.1833333333333336</v>
      </c>
    </row>
    <row r="12606" spans="1:6" x14ac:dyDescent="0.25">
      <c r="A12606" s="1">
        <v>42917</v>
      </c>
      <c r="B12606" t="s">
        <v>5</v>
      </c>
      <c r="C12606" t="s">
        <v>11</v>
      </c>
      <c r="D12606">
        <v>47</v>
      </c>
      <c r="E12606" s="2">
        <v>3.2025462962962964E-2</v>
      </c>
      <c r="F12606">
        <v>46.116666666666667</v>
      </c>
    </row>
    <row r="12607" spans="1:6" x14ac:dyDescent="0.25">
      <c r="A12607" s="1">
        <v>42917</v>
      </c>
      <c r="B12607" t="s">
        <v>12</v>
      </c>
      <c r="C12607" t="s">
        <v>6</v>
      </c>
      <c r="D12607">
        <v>44</v>
      </c>
      <c r="E12607" s="2">
        <v>7.0636574074074074E-2</v>
      </c>
      <c r="F12607">
        <v>101.71666666666667</v>
      </c>
    </row>
    <row r="12608" spans="1:6" x14ac:dyDescent="0.25">
      <c r="A12608" s="1">
        <v>42917</v>
      </c>
      <c r="B12608" t="s">
        <v>12</v>
      </c>
      <c r="C12608" t="s">
        <v>7</v>
      </c>
      <c r="D12608">
        <v>13</v>
      </c>
      <c r="E12608" s="2">
        <v>2.9560185185185186E-2</v>
      </c>
      <c r="F12608">
        <v>42.56666666666667</v>
      </c>
    </row>
    <row r="12609" spans="1:6" x14ac:dyDescent="0.25">
      <c r="A12609" s="1">
        <v>42917</v>
      </c>
      <c r="B12609" t="s">
        <v>12</v>
      </c>
      <c r="C12609" t="s">
        <v>8</v>
      </c>
      <c r="D12609">
        <v>22</v>
      </c>
      <c r="E12609" s="2">
        <v>3.1354166666666669E-2</v>
      </c>
      <c r="F12609">
        <v>45.15</v>
      </c>
    </row>
    <row r="12610" spans="1:6" x14ac:dyDescent="0.25">
      <c r="A12610" s="1">
        <v>42917</v>
      </c>
      <c r="B12610" t="s">
        <v>12</v>
      </c>
      <c r="C12610" t="s">
        <v>9</v>
      </c>
      <c r="D12610">
        <v>0</v>
      </c>
      <c r="E12610" s="2">
        <v>0</v>
      </c>
      <c r="F12610">
        <v>0</v>
      </c>
    </row>
    <row r="12611" spans="1:6" x14ac:dyDescent="0.25">
      <c r="A12611" s="1">
        <v>42917</v>
      </c>
      <c r="B12611" t="s">
        <v>12</v>
      </c>
      <c r="C12611" t="s">
        <v>10</v>
      </c>
      <c r="D12611">
        <v>24</v>
      </c>
      <c r="E12611" s="2">
        <v>3.9490740740740743E-2</v>
      </c>
      <c r="F12611">
        <v>56.866666666666667</v>
      </c>
    </row>
    <row r="12612" spans="1:6" x14ac:dyDescent="0.25">
      <c r="A12612" s="1">
        <v>42917</v>
      </c>
      <c r="B12612" t="s">
        <v>12</v>
      </c>
      <c r="C12612" t="s">
        <v>11</v>
      </c>
      <c r="D12612">
        <v>46</v>
      </c>
      <c r="E12612" s="2">
        <v>5.4456018518518522E-2</v>
      </c>
      <c r="F12612">
        <v>78.416666666666671</v>
      </c>
    </row>
    <row r="12613" spans="1:6" x14ac:dyDescent="0.25">
      <c r="A12613" s="1">
        <v>42917</v>
      </c>
      <c r="B12613" t="s">
        <v>13</v>
      </c>
      <c r="C12613" t="s">
        <v>6</v>
      </c>
      <c r="D12613">
        <v>68</v>
      </c>
      <c r="E12613" s="2">
        <v>0.10135416666666666</v>
      </c>
      <c r="F12613">
        <v>145.94999999999999</v>
      </c>
    </row>
    <row r="12614" spans="1:6" x14ac:dyDescent="0.25">
      <c r="A12614" s="1">
        <v>42917</v>
      </c>
      <c r="B12614" t="s">
        <v>13</v>
      </c>
      <c r="C12614" t="s">
        <v>7</v>
      </c>
      <c r="D12614">
        <v>84</v>
      </c>
      <c r="E12614" s="2">
        <v>0.14943287037037037</v>
      </c>
      <c r="F12614">
        <v>215.18333333333334</v>
      </c>
    </row>
    <row r="12615" spans="1:6" x14ac:dyDescent="0.25">
      <c r="A12615" s="1">
        <v>42917</v>
      </c>
      <c r="B12615" t="s">
        <v>13</v>
      </c>
      <c r="C12615" t="s">
        <v>8</v>
      </c>
      <c r="D12615">
        <v>39</v>
      </c>
      <c r="E12615" s="2">
        <v>5.0231481481481481E-2</v>
      </c>
      <c r="F12615">
        <v>72.333333333333329</v>
      </c>
    </row>
    <row r="12616" spans="1:6" x14ac:dyDescent="0.25">
      <c r="A12616" s="1">
        <v>42917</v>
      </c>
      <c r="B12616" t="s">
        <v>13</v>
      </c>
      <c r="C12616" t="s">
        <v>9</v>
      </c>
      <c r="D12616">
        <v>0</v>
      </c>
      <c r="E12616" s="2">
        <v>0</v>
      </c>
      <c r="F12616">
        <v>0</v>
      </c>
    </row>
    <row r="12617" spans="1:6" x14ac:dyDescent="0.25">
      <c r="A12617" s="1">
        <v>42917</v>
      </c>
      <c r="B12617" t="s">
        <v>13</v>
      </c>
      <c r="C12617" t="s">
        <v>10</v>
      </c>
      <c r="D12617">
        <v>13</v>
      </c>
      <c r="E12617" s="2">
        <v>1.9907407407407408E-2</v>
      </c>
      <c r="F12617">
        <v>28.666666666666668</v>
      </c>
    </row>
    <row r="12618" spans="1:6" x14ac:dyDescent="0.25">
      <c r="A12618" s="1">
        <v>42917</v>
      </c>
      <c r="B12618" t="s">
        <v>13</v>
      </c>
      <c r="C12618" t="s">
        <v>11</v>
      </c>
      <c r="D12618">
        <v>34</v>
      </c>
      <c r="E12618" s="2">
        <v>2.9421296296296296E-2</v>
      </c>
      <c r="F12618">
        <v>42.366666666666667</v>
      </c>
    </row>
    <row r="12619" spans="1:6" x14ac:dyDescent="0.25">
      <c r="A12619" s="1">
        <v>42917</v>
      </c>
      <c r="B12619" t="s">
        <v>14</v>
      </c>
      <c r="C12619" t="s">
        <v>6</v>
      </c>
      <c r="D12619">
        <v>13</v>
      </c>
      <c r="E12619" s="2">
        <v>1.9166666666666665E-2</v>
      </c>
      <c r="F12619">
        <v>27.6</v>
      </c>
    </row>
    <row r="12620" spans="1:6" x14ac:dyDescent="0.25">
      <c r="A12620" s="1">
        <v>42917</v>
      </c>
      <c r="B12620" t="s">
        <v>14</v>
      </c>
      <c r="C12620" t="s">
        <v>7</v>
      </c>
      <c r="D12620">
        <v>9</v>
      </c>
      <c r="E12620" s="2">
        <v>9.6990740740740735E-3</v>
      </c>
      <c r="F12620">
        <v>13.966666666666667</v>
      </c>
    </row>
    <row r="12621" spans="1:6" x14ac:dyDescent="0.25">
      <c r="A12621" s="1">
        <v>42917</v>
      </c>
      <c r="B12621" t="s">
        <v>14</v>
      </c>
      <c r="C12621" t="s">
        <v>8</v>
      </c>
      <c r="D12621">
        <v>6</v>
      </c>
      <c r="E12621" s="2">
        <v>8.9004629629629625E-3</v>
      </c>
      <c r="F12621">
        <v>12.816666666666666</v>
      </c>
    </row>
    <row r="12622" spans="1:6" x14ac:dyDescent="0.25">
      <c r="A12622" s="1">
        <v>42917</v>
      </c>
      <c r="B12622" t="s">
        <v>14</v>
      </c>
      <c r="C12622" t="s">
        <v>9</v>
      </c>
      <c r="D12622">
        <v>0</v>
      </c>
      <c r="E12622" s="2">
        <v>0</v>
      </c>
      <c r="F12622">
        <v>0</v>
      </c>
    </row>
    <row r="12623" spans="1:6" x14ac:dyDescent="0.25">
      <c r="A12623" s="1">
        <v>42917</v>
      </c>
      <c r="B12623" t="s">
        <v>14</v>
      </c>
      <c r="C12623" t="s">
        <v>10</v>
      </c>
      <c r="D12623">
        <v>1</v>
      </c>
      <c r="E12623" s="2">
        <v>3.0092592592592595E-4</v>
      </c>
      <c r="F12623">
        <v>0.43333333333333335</v>
      </c>
    </row>
    <row r="12624" spans="1:6" x14ac:dyDescent="0.25">
      <c r="A12624" s="1">
        <v>42917</v>
      </c>
      <c r="B12624" t="s">
        <v>14</v>
      </c>
      <c r="C12624" t="s">
        <v>11</v>
      </c>
      <c r="D12624">
        <v>15</v>
      </c>
      <c r="E12624" s="2">
        <v>1.3310185185185185E-2</v>
      </c>
      <c r="F12624">
        <v>19.166666666666668</v>
      </c>
    </row>
    <row r="12625" spans="1:6" x14ac:dyDescent="0.25">
      <c r="A12625" s="1">
        <v>42917</v>
      </c>
      <c r="B12625" t="s">
        <v>15</v>
      </c>
      <c r="C12625" t="s">
        <v>6</v>
      </c>
      <c r="D12625">
        <v>29</v>
      </c>
      <c r="E12625" s="2">
        <v>4.6400462962962963E-2</v>
      </c>
      <c r="F12625">
        <v>66.816666666666663</v>
      </c>
    </row>
    <row r="12626" spans="1:6" x14ac:dyDescent="0.25">
      <c r="A12626" s="1">
        <v>42917</v>
      </c>
      <c r="B12626" t="s">
        <v>15</v>
      </c>
      <c r="C12626" t="s">
        <v>7</v>
      </c>
      <c r="D12626">
        <v>20</v>
      </c>
      <c r="E12626" s="2">
        <v>0.04</v>
      </c>
      <c r="F12626">
        <v>57.6</v>
      </c>
    </row>
    <row r="12627" spans="1:6" x14ac:dyDescent="0.25">
      <c r="A12627" s="1">
        <v>42917</v>
      </c>
      <c r="B12627" t="s">
        <v>15</v>
      </c>
      <c r="C12627" t="s">
        <v>8</v>
      </c>
      <c r="D12627">
        <v>19</v>
      </c>
      <c r="E12627" s="2">
        <v>2.3703703703703703E-2</v>
      </c>
      <c r="F12627">
        <v>34.133333333333333</v>
      </c>
    </row>
    <row r="12628" spans="1:6" x14ac:dyDescent="0.25">
      <c r="A12628" s="1">
        <v>42917</v>
      </c>
      <c r="B12628" t="s">
        <v>15</v>
      </c>
      <c r="C12628" t="s">
        <v>9</v>
      </c>
      <c r="D12628">
        <v>0</v>
      </c>
      <c r="E12628" s="2">
        <v>0</v>
      </c>
      <c r="F12628">
        <v>0</v>
      </c>
    </row>
    <row r="12629" spans="1:6" x14ac:dyDescent="0.25">
      <c r="A12629" s="1">
        <v>42917</v>
      </c>
      <c r="B12629" t="s">
        <v>15</v>
      </c>
      <c r="C12629" t="s">
        <v>10</v>
      </c>
      <c r="D12629">
        <v>15</v>
      </c>
      <c r="E12629" s="2">
        <v>1.8854166666666668E-2</v>
      </c>
      <c r="F12629">
        <v>27.15</v>
      </c>
    </row>
    <row r="12630" spans="1:6" x14ac:dyDescent="0.25">
      <c r="A12630" s="1">
        <v>42917</v>
      </c>
      <c r="B12630" t="s">
        <v>15</v>
      </c>
      <c r="C12630" t="s">
        <v>11</v>
      </c>
      <c r="D12630">
        <v>19</v>
      </c>
      <c r="E12630" s="2">
        <v>1.6192129629629629E-2</v>
      </c>
      <c r="F12630">
        <v>23.316666666666666</v>
      </c>
    </row>
    <row r="12631" spans="1:6" x14ac:dyDescent="0.25">
      <c r="A12631" s="1">
        <v>42917</v>
      </c>
      <c r="B12631" t="s">
        <v>16</v>
      </c>
      <c r="C12631" t="s">
        <v>6</v>
      </c>
      <c r="D12631">
        <v>2</v>
      </c>
      <c r="E12631" s="2">
        <v>2.7662037037037039E-3</v>
      </c>
      <c r="F12631">
        <v>3.9833333333333334</v>
      </c>
    </row>
    <row r="12632" spans="1:6" x14ac:dyDescent="0.25">
      <c r="A12632" s="1">
        <v>42917</v>
      </c>
      <c r="B12632" t="s">
        <v>16</v>
      </c>
      <c r="C12632" t="s">
        <v>7</v>
      </c>
      <c r="D12632">
        <v>3</v>
      </c>
      <c r="E12632" s="2">
        <v>1.7476851851851852E-3</v>
      </c>
      <c r="F12632">
        <v>2.5166666666666666</v>
      </c>
    </row>
    <row r="12633" spans="1:6" x14ac:dyDescent="0.25">
      <c r="A12633" s="1">
        <v>42917</v>
      </c>
      <c r="B12633" t="s">
        <v>16</v>
      </c>
      <c r="C12633" t="s">
        <v>8</v>
      </c>
      <c r="D12633">
        <v>1</v>
      </c>
      <c r="E12633" s="2">
        <v>1.3310185185185185E-3</v>
      </c>
      <c r="F12633">
        <v>1.9166666666666665</v>
      </c>
    </row>
    <row r="12634" spans="1:6" x14ac:dyDescent="0.25">
      <c r="A12634" s="1">
        <v>42917</v>
      </c>
      <c r="B12634" t="s">
        <v>16</v>
      </c>
      <c r="C12634" t="s">
        <v>9</v>
      </c>
      <c r="D12634">
        <v>0</v>
      </c>
      <c r="E12634" s="2">
        <v>0</v>
      </c>
      <c r="F12634">
        <v>0</v>
      </c>
    </row>
    <row r="12635" spans="1:6" x14ac:dyDescent="0.25">
      <c r="A12635" s="1">
        <v>42917</v>
      </c>
      <c r="B12635" t="s">
        <v>16</v>
      </c>
      <c r="C12635" t="s">
        <v>10</v>
      </c>
      <c r="D12635">
        <v>1</v>
      </c>
      <c r="E12635" s="2">
        <v>1.3888888888888889E-3</v>
      </c>
      <c r="F12635">
        <v>2</v>
      </c>
    </row>
    <row r="12636" spans="1:6" x14ac:dyDescent="0.25">
      <c r="A12636" s="1">
        <v>42917</v>
      </c>
      <c r="B12636" t="s">
        <v>16</v>
      </c>
      <c r="C12636" t="s">
        <v>11</v>
      </c>
      <c r="D12636">
        <v>7</v>
      </c>
      <c r="E12636" s="2">
        <v>5.6944444444444447E-3</v>
      </c>
      <c r="F12636">
        <v>8.1999999999999993</v>
      </c>
    </row>
    <row r="12637" spans="1:6" x14ac:dyDescent="0.25">
      <c r="A12637" s="1">
        <v>42917</v>
      </c>
      <c r="B12637" t="s">
        <v>17</v>
      </c>
      <c r="C12637" t="s">
        <v>6</v>
      </c>
      <c r="D12637">
        <v>16</v>
      </c>
      <c r="E12637" s="2">
        <v>1.9421296296296298E-2</v>
      </c>
      <c r="F12637">
        <v>27.966666666666665</v>
      </c>
    </row>
    <row r="12638" spans="1:6" x14ac:dyDescent="0.25">
      <c r="A12638" s="1">
        <v>42917</v>
      </c>
      <c r="B12638" t="s">
        <v>17</v>
      </c>
      <c r="C12638" t="s">
        <v>7</v>
      </c>
      <c r="D12638">
        <v>18</v>
      </c>
      <c r="E12638" s="2">
        <v>2.2835648148148147E-2</v>
      </c>
      <c r="F12638">
        <v>32.883333333333333</v>
      </c>
    </row>
    <row r="12639" spans="1:6" x14ac:dyDescent="0.25">
      <c r="A12639" s="1">
        <v>42917</v>
      </c>
      <c r="B12639" t="s">
        <v>17</v>
      </c>
      <c r="C12639" t="s">
        <v>8</v>
      </c>
      <c r="D12639">
        <v>12</v>
      </c>
      <c r="E12639" s="2">
        <v>1.2812499999999999E-2</v>
      </c>
      <c r="F12639">
        <v>18.45</v>
      </c>
    </row>
    <row r="12640" spans="1:6" x14ac:dyDescent="0.25">
      <c r="A12640" s="1">
        <v>42917</v>
      </c>
      <c r="B12640" t="s">
        <v>17</v>
      </c>
      <c r="C12640" t="s">
        <v>9</v>
      </c>
      <c r="D12640">
        <v>0</v>
      </c>
      <c r="E12640" s="2">
        <v>0</v>
      </c>
      <c r="F12640">
        <v>0</v>
      </c>
    </row>
    <row r="12641" spans="1:6" x14ac:dyDescent="0.25">
      <c r="A12641" s="1">
        <v>42917</v>
      </c>
      <c r="B12641" t="s">
        <v>17</v>
      </c>
      <c r="C12641" t="s">
        <v>10</v>
      </c>
      <c r="D12641">
        <v>11</v>
      </c>
      <c r="E12641" s="2">
        <v>1.7280092592592593E-2</v>
      </c>
      <c r="F12641">
        <v>24.883333333333333</v>
      </c>
    </row>
    <row r="12642" spans="1:6" x14ac:dyDescent="0.25">
      <c r="A12642" s="1">
        <v>42917</v>
      </c>
      <c r="B12642" t="s">
        <v>17</v>
      </c>
      <c r="C12642" t="s">
        <v>11</v>
      </c>
      <c r="D12642">
        <v>15</v>
      </c>
      <c r="E12642" s="2">
        <v>1.4155092592592592E-2</v>
      </c>
      <c r="F12642">
        <v>20.383333333333333</v>
      </c>
    </row>
    <row r="12643" spans="1:6" x14ac:dyDescent="0.25">
      <c r="A12643" s="1">
        <v>42917</v>
      </c>
      <c r="B12643" t="s">
        <v>18</v>
      </c>
      <c r="C12643" t="s">
        <v>6</v>
      </c>
      <c r="D12643">
        <v>34</v>
      </c>
      <c r="E12643" s="2">
        <v>4.6851851851851853E-2</v>
      </c>
      <c r="F12643">
        <v>67.466666666666669</v>
      </c>
    </row>
    <row r="12644" spans="1:6" x14ac:dyDescent="0.25">
      <c r="A12644" s="1">
        <v>42917</v>
      </c>
      <c r="B12644" t="s">
        <v>18</v>
      </c>
      <c r="C12644" t="s">
        <v>7</v>
      </c>
      <c r="D12644">
        <v>51</v>
      </c>
      <c r="E12644" s="2">
        <v>6.277777777777778E-2</v>
      </c>
      <c r="F12644">
        <v>90.4</v>
      </c>
    </row>
    <row r="12645" spans="1:6" x14ac:dyDescent="0.25">
      <c r="A12645" s="1">
        <v>42917</v>
      </c>
      <c r="B12645" t="s">
        <v>18</v>
      </c>
      <c r="C12645" t="s">
        <v>8</v>
      </c>
      <c r="D12645">
        <v>33</v>
      </c>
      <c r="E12645" s="2">
        <v>2.929398148148148E-2</v>
      </c>
      <c r="F12645">
        <v>42.18333333333333</v>
      </c>
    </row>
    <row r="12646" spans="1:6" x14ac:dyDescent="0.25">
      <c r="A12646" s="1">
        <v>42917</v>
      </c>
      <c r="B12646" t="s">
        <v>18</v>
      </c>
      <c r="C12646" t="s">
        <v>9</v>
      </c>
      <c r="D12646">
        <v>0</v>
      </c>
      <c r="E12646" s="2">
        <v>0</v>
      </c>
      <c r="F12646">
        <v>0</v>
      </c>
    </row>
    <row r="12647" spans="1:6" x14ac:dyDescent="0.25">
      <c r="A12647" s="1">
        <v>42917</v>
      </c>
      <c r="B12647" t="s">
        <v>18</v>
      </c>
      <c r="C12647" t="s">
        <v>10</v>
      </c>
      <c r="D12647">
        <v>121</v>
      </c>
      <c r="E12647" s="2">
        <v>0.15011574074074074</v>
      </c>
      <c r="F12647">
        <v>216.16666666666666</v>
      </c>
    </row>
    <row r="12648" spans="1:6" x14ac:dyDescent="0.25">
      <c r="A12648" s="1">
        <v>42917</v>
      </c>
      <c r="B12648" t="s">
        <v>18</v>
      </c>
      <c r="C12648" t="s">
        <v>11</v>
      </c>
      <c r="D12648">
        <v>49</v>
      </c>
      <c r="E12648" s="2">
        <v>3.1099537037037037E-2</v>
      </c>
      <c r="F12648">
        <v>44.783333333333331</v>
      </c>
    </row>
    <row r="12649" spans="1:6" x14ac:dyDescent="0.25">
      <c r="A12649" s="1">
        <v>42917</v>
      </c>
      <c r="B12649" t="s">
        <v>19</v>
      </c>
      <c r="C12649" t="s">
        <v>6</v>
      </c>
      <c r="D12649">
        <v>13</v>
      </c>
      <c r="E12649" s="2">
        <v>1.53125E-2</v>
      </c>
      <c r="F12649">
        <v>22.05</v>
      </c>
    </row>
    <row r="12650" spans="1:6" x14ac:dyDescent="0.25">
      <c r="A12650" s="1">
        <v>42917</v>
      </c>
      <c r="B12650" t="s">
        <v>19</v>
      </c>
      <c r="C12650" t="s">
        <v>7</v>
      </c>
      <c r="D12650">
        <v>17</v>
      </c>
      <c r="E12650" s="2">
        <v>1.7500000000000002E-2</v>
      </c>
      <c r="F12650">
        <v>25.2</v>
      </c>
    </row>
    <row r="12651" spans="1:6" x14ac:dyDescent="0.25">
      <c r="A12651" s="1">
        <v>42917</v>
      </c>
      <c r="B12651" t="s">
        <v>19</v>
      </c>
      <c r="C12651" t="s">
        <v>8</v>
      </c>
      <c r="D12651">
        <v>14</v>
      </c>
      <c r="E12651" s="2">
        <v>1.3599537037037037E-2</v>
      </c>
      <c r="F12651">
        <v>19.583333333333332</v>
      </c>
    </row>
    <row r="12652" spans="1:6" x14ac:dyDescent="0.25">
      <c r="A12652" s="1">
        <v>42917</v>
      </c>
      <c r="B12652" t="s">
        <v>19</v>
      </c>
      <c r="C12652" t="s">
        <v>9</v>
      </c>
      <c r="D12652">
        <v>0</v>
      </c>
      <c r="E12652" s="2">
        <v>0</v>
      </c>
      <c r="F12652">
        <v>0</v>
      </c>
    </row>
    <row r="12653" spans="1:6" x14ac:dyDescent="0.25">
      <c r="A12653" s="1">
        <v>42917</v>
      </c>
      <c r="B12653" t="s">
        <v>19</v>
      </c>
      <c r="C12653" t="s">
        <v>10</v>
      </c>
      <c r="D12653">
        <v>8</v>
      </c>
      <c r="E12653" s="2">
        <v>9.0856481481481483E-3</v>
      </c>
      <c r="F12653">
        <v>13.083333333333334</v>
      </c>
    </row>
    <row r="12654" spans="1:6" x14ac:dyDescent="0.25">
      <c r="A12654" s="1">
        <v>42917</v>
      </c>
      <c r="B12654" t="s">
        <v>19</v>
      </c>
      <c r="C12654" t="s">
        <v>11</v>
      </c>
      <c r="D12654">
        <v>19</v>
      </c>
      <c r="E12654" s="2">
        <v>1.6631944444444446E-2</v>
      </c>
      <c r="F12654">
        <v>23.95</v>
      </c>
    </row>
    <row r="12655" spans="1:6" x14ac:dyDescent="0.25">
      <c r="A12655" s="1">
        <v>42917</v>
      </c>
      <c r="B12655" t="s">
        <v>20</v>
      </c>
      <c r="C12655" t="s">
        <v>6</v>
      </c>
      <c r="D12655">
        <v>87</v>
      </c>
      <c r="E12655" s="2">
        <v>0.11358796296296296</v>
      </c>
      <c r="F12655">
        <v>163.56666666666666</v>
      </c>
    </row>
    <row r="12656" spans="1:6" x14ac:dyDescent="0.25">
      <c r="A12656" s="1">
        <v>42917</v>
      </c>
      <c r="B12656" t="s">
        <v>20</v>
      </c>
      <c r="C12656" t="s">
        <v>7</v>
      </c>
      <c r="D12656">
        <v>87</v>
      </c>
      <c r="E12656" s="2">
        <v>0.11106481481481481</v>
      </c>
      <c r="F12656">
        <v>159.93333333333334</v>
      </c>
    </row>
    <row r="12657" spans="1:6" x14ac:dyDescent="0.25">
      <c r="A12657" s="1">
        <v>42917</v>
      </c>
      <c r="B12657" t="s">
        <v>20</v>
      </c>
      <c r="C12657" t="s">
        <v>8</v>
      </c>
      <c r="D12657">
        <v>61</v>
      </c>
      <c r="E12657" s="2">
        <v>6.7141203703703703E-2</v>
      </c>
      <c r="F12657">
        <v>96.683333333333337</v>
      </c>
    </row>
    <row r="12658" spans="1:6" x14ac:dyDescent="0.25">
      <c r="A12658" s="1">
        <v>42917</v>
      </c>
      <c r="B12658" t="s">
        <v>20</v>
      </c>
      <c r="C12658" t="s">
        <v>9</v>
      </c>
      <c r="D12658">
        <v>0</v>
      </c>
      <c r="E12658" s="2">
        <v>0</v>
      </c>
      <c r="F12658">
        <v>0</v>
      </c>
    </row>
    <row r="12659" spans="1:6" x14ac:dyDescent="0.25">
      <c r="A12659" s="1">
        <v>42917</v>
      </c>
      <c r="B12659" t="s">
        <v>20</v>
      </c>
      <c r="C12659" t="s">
        <v>10</v>
      </c>
      <c r="D12659">
        <v>13</v>
      </c>
      <c r="E12659" s="2">
        <v>1.9918981481481482E-2</v>
      </c>
      <c r="F12659">
        <v>28.683333333333334</v>
      </c>
    </row>
    <row r="12660" spans="1:6" x14ac:dyDescent="0.25">
      <c r="A12660" s="1">
        <v>42917</v>
      </c>
      <c r="B12660" t="s">
        <v>20</v>
      </c>
      <c r="C12660" t="s">
        <v>11</v>
      </c>
      <c r="D12660">
        <v>63</v>
      </c>
      <c r="E12660" s="2">
        <v>5.8217592592592592E-2</v>
      </c>
      <c r="F12660">
        <v>83.833333333333329</v>
      </c>
    </row>
    <row r="12661" spans="1:6" x14ac:dyDescent="0.25">
      <c r="A12661" s="1">
        <v>42917</v>
      </c>
      <c r="B12661" t="s">
        <v>21</v>
      </c>
      <c r="C12661" t="s">
        <v>6</v>
      </c>
      <c r="D12661">
        <v>10</v>
      </c>
      <c r="E12661" s="2">
        <v>1.8078703703703704E-2</v>
      </c>
      <c r="F12661">
        <v>26.033333333333335</v>
      </c>
    </row>
    <row r="12662" spans="1:6" x14ac:dyDescent="0.25">
      <c r="A12662" s="1">
        <v>42917</v>
      </c>
      <c r="B12662" t="s">
        <v>21</v>
      </c>
      <c r="C12662" t="s">
        <v>7</v>
      </c>
      <c r="D12662">
        <v>1</v>
      </c>
      <c r="E12662" s="2">
        <v>2.4189814814814816E-3</v>
      </c>
      <c r="F12662">
        <v>3.4833333333333334</v>
      </c>
    </row>
    <row r="12663" spans="1:6" x14ac:dyDescent="0.25">
      <c r="A12663" s="1">
        <v>42917</v>
      </c>
      <c r="B12663" t="s">
        <v>21</v>
      </c>
      <c r="C12663" t="s">
        <v>8</v>
      </c>
      <c r="D12663">
        <v>11</v>
      </c>
      <c r="E12663" s="2">
        <v>2.0636574074074075E-2</v>
      </c>
      <c r="F12663">
        <v>29.716666666666665</v>
      </c>
    </row>
    <row r="12664" spans="1:6" x14ac:dyDescent="0.25">
      <c r="A12664" s="1">
        <v>42917</v>
      </c>
      <c r="B12664" t="s">
        <v>21</v>
      </c>
      <c r="C12664" t="s">
        <v>9</v>
      </c>
      <c r="D12664">
        <v>0</v>
      </c>
      <c r="E12664" s="2">
        <v>0</v>
      </c>
      <c r="F12664">
        <v>0</v>
      </c>
    </row>
    <row r="12665" spans="1:6" x14ac:dyDescent="0.25">
      <c r="A12665" s="1">
        <v>42917</v>
      </c>
      <c r="B12665" t="s">
        <v>21</v>
      </c>
      <c r="C12665" t="s">
        <v>10</v>
      </c>
      <c r="D12665">
        <v>8</v>
      </c>
      <c r="E12665" s="2">
        <v>1.3136574074074075E-2</v>
      </c>
      <c r="F12665">
        <v>18.916666666666668</v>
      </c>
    </row>
    <row r="12666" spans="1:6" x14ac:dyDescent="0.25">
      <c r="A12666" s="1">
        <v>42917</v>
      </c>
      <c r="B12666" t="s">
        <v>21</v>
      </c>
      <c r="C12666" t="s">
        <v>11</v>
      </c>
      <c r="D12666">
        <v>10</v>
      </c>
      <c r="E12666" s="2">
        <v>9.5370370370370366E-3</v>
      </c>
      <c r="F12666">
        <v>13.733333333333333</v>
      </c>
    </row>
    <row r="12667" spans="1:6" x14ac:dyDescent="0.25">
      <c r="A12667" s="1">
        <v>42917</v>
      </c>
      <c r="B12667" t="s">
        <v>22</v>
      </c>
      <c r="C12667" t="s">
        <v>6</v>
      </c>
      <c r="D12667">
        <v>14</v>
      </c>
      <c r="E12667" s="2">
        <v>2.6504629629629628E-2</v>
      </c>
      <c r="F12667">
        <v>38.166666666666664</v>
      </c>
    </row>
    <row r="12668" spans="1:6" x14ac:dyDescent="0.25">
      <c r="A12668" s="1">
        <v>42917</v>
      </c>
      <c r="B12668" t="s">
        <v>22</v>
      </c>
      <c r="C12668" t="s">
        <v>7</v>
      </c>
      <c r="D12668">
        <v>4</v>
      </c>
      <c r="E12668" s="2">
        <v>5.4861111111111109E-3</v>
      </c>
      <c r="F12668">
        <v>7.9</v>
      </c>
    </row>
    <row r="12669" spans="1:6" x14ac:dyDescent="0.25">
      <c r="A12669" s="1">
        <v>42917</v>
      </c>
      <c r="B12669" t="s">
        <v>22</v>
      </c>
      <c r="C12669" t="s">
        <v>8</v>
      </c>
      <c r="D12669">
        <v>5</v>
      </c>
      <c r="E12669" s="2">
        <v>7.6736111111111111E-3</v>
      </c>
      <c r="F12669">
        <v>11.05</v>
      </c>
    </row>
    <row r="12670" spans="1:6" x14ac:dyDescent="0.25">
      <c r="A12670" s="1">
        <v>42917</v>
      </c>
      <c r="B12670" t="s">
        <v>22</v>
      </c>
      <c r="C12670" t="s">
        <v>9</v>
      </c>
      <c r="D12670">
        <v>0</v>
      </c>
      <c r="E12670" s="2">
        <v>0</v>
      </c>
      <c r="F12670">
        <v>0</v>
      </c>
    </row>
    <row r="12671" spans="1:6" x14ac:dyDescent="0.25">
      <c r="A12671" s="1">
        <v>42917</v>
      </c>
      <c r="B12671" t="s">
        <v>22</v>
      </c>
      <c r="C12671" t="s">
        <v>10</v>
      </c>
      <c r="D12671">
        <v>8</v>
      </c>
      <c r="E12671" s="2">
        <v>1.2303240740740741E-2</v>
      </c>
      <c r="F12671">
        <v>17.716666666666665</v>
      </c>
    </row>
    <row r="12672" spans="1:6" x14ac:dyDescent="0.25">
      <c r="A12672" s="1">
        <v>42917</v>
      </c>
      <c r="B12672" t="s">
        <v>22</v>
      </c>
      <c r="C12672" t="s">
        <v>11</v>
      </c>
      <c r="D12672">
        <v>4</v>
      </c>
      <c r="E12672" s="2">
        <v>4.363425925925926E-3</v>
      </c>
      <c r="F12672">
        <v>6.2833333333333332</v>
      </c>
    </row>
    <row r="12673" spans="1:6" x14ac:dyDescent="0.25">
      <c r="A12673" s="1">
        <v>42917</v>
      </c>
      <c r="B12673" t="s">
        <v>23</v>
      </c>
      <c r="C12673" t="s">
        <v>6</v>
      </c>
      <c r="D12673">
        <v>64</v>
      </c>
      <c r="E12673" s="2">
        <v>8.5613425925925926E-2</v>
      </c>
      <c r="F12673">
        <v>123.28333333333333</v>
      </c>
    </row>
    <row r="12674" spans="1:6" x14ac:dyDescent="0.25">
      <c r="A12674" s="1">
        <v>42917</v>
      </c>
      <c r="B12674" t="s">
        <v>23</v>
      </c>
      <c r="C12674" t="s">
        <v>7</v>
      </c>
      <c r="D12674">
        <v>71</v>
      </c>
      <c r="E12674" s="2">
        <v>0.11831018518518518</v>
      </c>
      <c r="F12674">
        <v>170.36666666666667</v>
      </c>
    </row>
    <row r="12675" spans="1:6" x14ac:dyDescent="0.25">
      <c r="A12675" s="1">
        <v>42917</v>
      </c>
      <c r="B12675" t="s">
        <v>23</v>
      </c>
      <c r="C12675" t="s">
        <v>8</v>
      </c>
      <c r="D12675">
        <v>48</v>
      </c>
      <c r="E12675" s="2">
        <v>5.9085648148148151E-2</v>
      </c>
      <c r="F12675">
        <v>85.083333333333329</v>
      </c>
    </row>
    <row r="12676" spans="1:6" x14ac:dyDescent="0.25">
      <c r="A12676" s="1">
        <v>42917</v>
      </c>
      <c r="B12676" t="s">
        <v>23</v>
      </c>
      <c r="C12676" t="s">
        <v>9</v>
      </c>
      <c r="D12676">
        <v>0</v>
      </c>
      <c r="E12676" s="2">
        <v>0</v>
      </c>
      <c r="F12676">
        <v>0</v>
      </c>
    </row>
    <row r="12677" spans="1:6" x14ac:dyDescent="0.25">
      <c r="A12677" s="1">
        <v>42917</v>
      </c>
      <c r="B12677" t="s">
        <v>23</v>
      </c>
      <c r="C12677" t="s">
        <v>10</v>
      </c>
      <c r="D12677">
        <v>17</v>
      </c>
      <c r="E12677" s="2">
        <v>2.7766203703703703E-2</v>
      </c>
      <c r="F12677">
        <v>39.983333333333334</v>
      </c>
    </row>
    <row r="12678" spans="1:6" x14ac:dyDescent="0.25">
      <c r="A12678" s="1">
        <v>42917</v>
      </c>
      <c r="B12678" t="s">
        <v>23</v>
      </c>
      <c r="C12678" t="s">
        <v>11</v>
      </c>
      <c r="D12678">
        <v>84</v>
      </c>
      <c r="E12678" s="2">
        <v>7.7361111111111117E-2</v>
      </c>
      <c r="F12678">
        <v>111.4</v>
      </c>
    </row>
    <row r="12679" spans="1:6" x14ac:dyDescent="0.25">
      <c r="A12679" s="1">
        <v>42917</v>
      </c>
      <c r="B12679" t="s">
        <v>24</v>
      </c>
      <c r="C12679" t="s">
        <v>6</v>
      </c>
      <c r="D12679">
        <v>33</v>
      </c>
      <c r="E12679" s="2">
        <v>4.4201388888888887E-2</v>
      </c>
      <c r="F12679">
        <v>63.65</v>
      </c>
    </row>
    <row r="12680" spans="1:6" x14ac:dyDescent="0.25">
      <c r="A12680" s="1">
        <v>42917</v>
      </c>
      <c r="B12680" t="s">
        <v>24</v>
      </c>
      <c r="C12680" t="s">
        <v>7</v>
      </c>
      <c r="D12680">
        <v>44</v>
      </c>
      <c r="E12680" s="2">
        <v>4.3888888888888887E-2</v>
      </c>
      <c r="F12680">
        <v>63.2</v>
      </c>
    </row>
    <row r="12681" spans="1:6" x14ac:dyDescent="0.25">
      <c r="A12681" s="1">
        <v>42917</v>
      </c>
      <c r="B12681" t="s">
        <v>24</v>
      </c>
      <c r="C12681" t="s">
        <v>8</v>
      </c>
      <c r="D12681">
        <v>40</v>
      </c>
      <c r="E12681" s="2">
        <v>3.3298611111111112E-2</v>
      </c>
      <c r="F12681">
        <v>47.95</v>
      </c>
    </row>
    <row r="12682" spans="1:6" x14ac:dyDescent="0.25">
      <c r="A12682" s="1">
        <v>42917</v>
      </c>
      <c r="B12682" t="s">
        <v>24</v>
      </c>
      <c r="C12682" t="s">
        <v>9</v>
      </c>
      <c r="D12682">
        <v>0</v>
      </c>
      <c r="E12682" s="2">
        <v>0</v>
      </c>
      <c r="F12682">
        <v>0</v>
      </c>
    </row>
    <row r="12683" spans="1:6" x14ac:dyDescent="0.25">
      <c r="A12683" s="1">
        <v>42917</v>
      </c>
      <c r="B12683" t="s">
        <v>24</v>
      </c>
      <c r="C12683" t="s">
        <v>10</v>
      </c>
      <c r="D12683">
        <v>2</v>
      </c>
      <c r="E12683" s="2">
        <v>2.2337962962962962E-3</v>
      </c>
      <c r="F12683">
        <v>3.2166666666666668</v>
      </c>
    </row>
    <row r="12684" spans="1:6" x14ac:dyDescent="0.25">
      <c r="A12684" s="1">
        <v>42917</v>
      </c>
      <c r="B12684" t="s">
        <v>24</v>
      </c>
      <c r="C12684" t="s">
        <v>11</v>
      </c>
      <c r="D12684">
        <v>39</v>
      </c>
      <c r="E12684" s="2">
        <v>2.7337962962962963E-2</v>
      </c>
      <c r="F12684">
        <v>39.366666666666667</v>
      </c>
    </row>
    <row r="12685" spans="1:6" x14ac:dyDescent="0.25">
      <c r="A12685" s="1">
        <v>42948</v>
      </c>
      <c r="B12685" t="s">
        <v>5</v>
      </c>
      <c r="C12685" t="s">
        <v>6</v>
      </c>
      <c r="D12685">
        <v>50</v>
      </c>
      <c r="E12685" s="2">
        <v>5.3379629629629631E-2</v>
      </c>
      <c r="F12685">
        <v>76.86666666666666</v>
      </c>
    </row>
    <row r="12686" spans="1:6" x14ac:dyDescent="0.25">
      <c r="A12686" s="1">
        <v>42948</v>
      </c>
      <c r="B12686" t="s">
        <v>5</v>
      </c>
      <c r="C12686" t="s">
        <v>7</v>
      </c>
      <c r="D12686">
        <v>48</v>
      </c>
      <c r="E12686" s="2">
        <v>4.9201388888888892E-2</v>
      </c>
      <c r="F12686">
        <v>70.849999999999994</v>
      </c>
    </row>
    <row r="12687" spans="1:6" x14ac:dyDescent="0.25">
      <c r="A12687" s="1">
        <v>42948</v>
      </c>
      <c r="B12687" t="s">
        <v>5</v>
      </c>
      <c r="C12687" t="s">
        <v>8</v>
      </c>
      <c r="D12687">
        <v>68</v>
      </c>
      <c r="E12687" s="2">
        <v>5.9699074074074071E-2</v>
      </c>
      <c r="F12687">
        <v>85.966666666666669</v>
      </c>
    </row>
    <row r="12688" spans="1:6" x14ac:dyDescent="0.25">
      <c r="A12688" s="1">
        <v>42948</v>
      </c>
      <c r="B12688" t="s">
        <v>5</v>
      </c>
      <c r="C12688" t="s">
        <v>9</v>
      </c>
      <c r="D12688">
        <v>0</v>
      </c>
      <c r="E12688" s="2">
        <v>0</v>
      </c>
      <c r="F12688">
        <v>0</v>
      </c>
    </row>
    <row r="12689" spans="1:6" x14ac:dyDescent="0.25">
      <c r="A12689" s="1">
        <v>42948</v>
      </c>
      <c r="B12689" t="s">
        <v>5</v>
      </c>
      <c r="C12689" t="s">
        <v>10</v>
      </c>
      <c r="D12689">
        <v>17</v>
      </c>
      <c r="E12689" s="2">
        <v>1.9224537037037037E-2</v>
      </c>
      <c r="F12689">
        <v>27.683333333333334</v>
      </c>
    </row>
    <row r="12690" spans="1:6" x14ac:dyDescent="0.25">
      <c r="A12690" s="1">
        <v>42948</v>
      </c>
      <c r="B12690" t="s">
        <v>5</v>
      </c>
      <c r="C12690" t="s">
        <v>11</v>
      </c>
      <c r="D12690">
        <v>58</v>
      </c>
      <c r="E12690" s="2">
        <v>3.9756944444444442E-2</v>
      </c>
      <c r="F12690">
        <v>57.25</v>
      </c>
    </row>
    <row r="12691" spans="1:6" x14ac:dyDescent="0.25">
      <c r="A12691" s="1">
        <v>42948</v>
      </c>
      <c r="B12691" t="s">
        <v>12</v>
      </c>
      <c r="C12691" t="s">
        <v>6</v>
      </c>
      <c r="D12691">
        <v>56</v>
      </c>
      <c r="E12691" s="2">
        <v>9.375E-2</v>
      </c>
      <c r="F12691">
        <v>135</v>
      </c>
    </row>
    <row r="12692" spans="1:6" x14ac:dyDescent="0.25">
      <c r="A12692" s="1">
        <v>42948</v>
      </c>
      <c r="B12692" t="s">
        <v>12</v>
      </c>
      <c r="C12692" t="s">
        <v>7</v>
      </c>
      <c r="D12692">
        <v>41</v>
      </c>
      <c r="E12692" s="2">
        <v>0.11738425925925926</v>
      </c>
      <c r="F12692">
        <v>169.03333333333333</v>
      </c>
    </row>
    <row r="12693" spans="1:6" x14ac:dyDescent="0.25">
      <c r="A12693" s="1">
        <v>42948</v>
      </c>
      <c r="B12693" t="s">
        <v>12</v>
      </c>
      <c r="C12693" t="s">
        <v>8</v>
      </c>
      <c r="D12693">
        <v>24</v>
      </c>
      <c r="E12693" s="2">
        <v>3.6967592592592594E-2</v>
      </c>
      <c r="F12693">
        <v>53.233333333333334</v>
      </c>
    </row>
    <row r="12694" spans="1:6" x14ac:dyDescent="0.25">
      <c r="A12694" s="1">
        <v>42948</v>
      </c>
      <c r="B12694" t="s">
        <v>12</v>
      </c>
      <c r="C12694" t="s">
        <v>9</v>
      </c>
      <c r="D12694">
        <v>0</v>
      </c>
      <c r="E12694" s="2">
        <v>0</v>
      </c>
      <c r="F12694">
        <v>0</v>
      </c>
    </row>
    <row r="12695" spans="1:6" x14ac:dyDescent="0.25">
      <c r="A12695" s="1">
        <v>42948</v>
      </c>
      <c r="B12695" t="s">
        <v>12</v>
      </c>
      <c r="C12695" t="s">
        <v>10</v>
      </c>
      <c r="D12695">
        <v>34</v>
      </c>
      <c r="E12695" s="2">
        <v>5.8807870370370371E-2</v>
      </c>
      <c r="F12695">
        <v>84.683333333333337</v>
      </c>
    </row>
    <row r="12696" spans="1:6" x14ac:dyDescent="0.25">
      <c r="A12696" s="1">
        <v>42948</v>
      </c>
      <c r="B12696" t="s">
        <v>12</v>
      </c>
      <c r="C12696" t="s">
        <v>11</v>
      </c>
      <c r="D12696">
        <v>46</v>
      </c>
      <c r="E12696" s="2">
        <v>6.0358796296296299E-2</v>
      </c>
      <c r="F12696">
        <v>86.916666666666671</v>
      </c>
    </row>
    <row r="12697" spans="1:6" x14ac:dyDescent="0.25">
      <c r="A12697" s="1">
        <v>42948</v>
      </c>
      <c r="B12697" t="s">
        <v>13</v>
      </c>
      <c r="C12697" t="s">
        <v>6</v>
      </c>
      <c r="D12697">
        <v>78</v>
      </c>
      <c r="E12697" s="2">
        <v>0.13072916666666667</v>
      </c>
      <c r="F12697">
        <v>188.25</v>
      </c>
    </row>
    <row r="12698" spans="1:6" x14ac:dyDescent="0.25">
      <c r="A12698" s="1">
        <v>42948</v>
      </c>
      <c r="B12698" t="s">
        <v>13</v>
      </c>
      <c r="C12698" t="s">
        <v>7</v>
      </c>
      <c r="D12698">
        <v>89</v>
      </c>
      <c r="E12698" s="2">
        <v>0.16185185185185186</v>
      </c>
      <c r="F12698">
        <v>233.06666666666666</v>
      </c>
    </row>
    <row r="12699" spans="1:6" x14ac:dyDescent="0.25">
      <c r="A12699" s="1">
        <v>42948</v>
      </c>
      <c r="B12699" t="s">
        <v>13</v>
      </c>
      <c r="C12699" t="s">
        <v>8</v>
      </c>
      <c r="D12699">
        <v>42</v>
      </c>
      <c r="E12699" s="2">
        <v>6.0717592592592594E-2</v>
      </c>
      <c r="F12699">
        <v>87.433333333333337</v>
      </c>
    </row>
    <row r="12700" spans="1:6" x14ac:dyDescent="0.25">
      <c r="A12700" s="1">
        <v>42948</v>
      </c>
      <c r="B12700" t="s">
        <v>13</v>
      </c>
      <c r="C12700" t="s">
        <v>9</v>
      </c>
      <c r="D12700">
        <v>0</v>
      </c>
      <c r="E12700" s="2">
        <v>0</v>
      </c>
      <c r="F12700">
        <v>0</v>
      </c>
    </row>
    <row r="12701" spans="1:6" x14ac:dyDescent="0.25">
      <c r="A12701" s="1">
        <v>42948</v>
      </c>
      <c r="B12701" t="s">
        <v>13</v>
      </c>
      <c r="C12701" t="s">
        <v>10</v>
      </c>
      <c r="D12701">
        <v>16</v>
      </c>
      <c r="E12701" s="2">
        <v>2.3935185185185184E-2</v>
      </c>
      <c r="F12701">
        <v>34.466666666666669</v>
      </c>
    </row>
    <row r="12702" spans="1:6" x14ac:dyDescent="0.25">
      <c r="A12702" s="1">
        <v>42948</v>
      </c>
      <c r="B12702" t="s">
        <v>13</v>
      </c>
      <c r="C12702" t="s">
        <v>11</v>
      </c>
      <c r="D12702">
        <v>37</v>
      </c>
      <c r="E12702" s="2">
        <v>4.3668981481481482E-2</v>
      </c>
      <c r="F12702">
        <v>62.883333333333333</v>
      </c>
    </row>
    <row r="12703" spans="1:6" x14ac:dyDescent="0.25">
      <c r="A12703" s="1">
        <v>42948</v>
      </c>
      <c r="B12703" t="s">
        <v>14</v>
      </c>
      <c r="C12703" t="s">
        <v>6</v>
      </c>
      <c r="D12703">
        <v>28</v>
      </c>
      <c r="E12703" s="2">
        <v>4.476851851851852E-2</v>
      </c>
      <c r="F12703">
        <v>64.466666666666669</v>
      </c>
    </row>
    <row r="12704" spans="1:6" x14ac:dyDescent="0.25">
      <c r="A12704" s="1">
        <v>42948</v>
      </c>
      <c r="B12704" t="s">
        <v>14</v>
      </c>
      <c r="C12704" t="s">
        <v>7</v>
      </c>
      <c r="D12704">
        <v>12</v>
      </c>
      <c r="E12704" s="2">
        <v>1.8078703703703704E-2</v>
      </c>
      <c r="F12704">
        <v>26.033333333333335</v>
      </c>
    </row>
    <row r="12705" spans="1:6" x14ac:dyDescent="0.25">
      <c r="A12705" s="1">
        <v>42948</v>
      </c>
      <c r="B12705" t="s">
        <v>14</v>
      </c>
      <c r="C12705" t="s">
        <v>8</v>
      </c>
      <c r="D12705">
        <v>11</v>
      </c>
      <c r="E12705" s="2">
        <v>1.3784722222222223E-2</v>
      </c>
      <c r="F12705">
        <v>19.850000000000001</v>
      </c>
    </row>
    <row r="12706" spans="1:6" x14ac:dyDescent="0.25">
      <c r="A12706" s="1">
        <v>42948</v>
      </c>
      <c r="B12706" t="s">
        <v>14</v>
      </c>
      <c r="C12706" t="s">
        <v>9</v>
      </c>
      <c r="D12706">
        <v>0</v>
      </c>
      <c r="E12706" s="2">
        <v>0</v>
      </c>
      <c r="F12706">
        <v>0</v>
      </c>
    </row>
    <row r="12707" spans="1:6" x14ac:dyDescent="0.25">
      <c r="A12707" s="1">
        <v>42948</v>
      </c>
      <c r="B12707" t="s">
        <v>14</v>
      </c>
      <c r="C12707" t="s">
        <v>10</v>
      </c>
      <c r="D12707">
        <v>0</v>
      </c>
      <c r="E12707" s="2">
        <v>0</v>
      </c>
      <c r="F12707">
        <v>0</v>
      </c>
    </row>
    <row r="12708" spans="1:6" x14ac:dyDescent="0.25">
      <c r="A12708" s="1">
        <v>42948</v>
      </c>
      <c r="B12708" t="s">
        <v>14</v>
      </c>
      <c r="C12708" t="s">
        <v>11</v>
      </c>
      <c r="D12708">
        <v>9</v>
      </c>
      <c r="E12708" s="2">
        <v>1.2326388888888888E-2</v>
      </c>
      <c r="F12708">
        <v>17.75</v>
      </c>
    </row>
    <row r="12709" spans="1:6" x14ac:dyDescent="0.25">
      <c r="A12709" s="1">
        <v>42948</v>
      </c>
      <c r="B12709" t="s">
        <v>15</v>
      </c>
      <c r="C12709" t="s">
        <v>6</v>
      </c>
      <c r="D12709">
        <v>46</v>
      </c>
      <c r="E12709" s="2">
        <v>7.464120370370371E-2</v>
      </c>
      <c r="F12709">
        <v>107.48333333333333</v>
      </c>
    </row>
    <row r="12710" spans="1:6" x14ac:dyDescent="0.25">
      <c r="A12710" s="1">
        <v>42948</v>
      </c>
      <c r="B12710" t="s">
        <v>15</v>
      </c>
      <c r="C12710" t="s">
        <v>7</v>
      </c>
      <c r="D12710">
        <v>24</v>
      </c>
      <c r="E12710" s="2">
        <v>4.3437499999999997E-2</v>
      </c>
      <c r="F12710">
        <v>62.55</v>
      </c>
    </row>
    <row r="12711" spans="1:6" x14ac:dyDescent="0.25">
      <c r="A12711" s="1">
        <v>42948</v>
      </c>
      <c r="B12711" t="s">
        <v>15</v>
      </c>
      <c r="C12711" t="s">
        <v>8</v>
      </c>
      <c r="D12711">
        <v>15</v>
      </c>
      <c r="E12711" s="2">
        <v>2.7800925925925927E-2</v>
      </c>
      <c r="F12711">
        <v>40.033333333333331</v>
      </c>
    </row>
    <row r="12712" spans="1:6" x14ac:dyDescent="0.25">
      <c r="A12712" s="1">
        <v>42948</v>
      </c>
      <c r="B12712" t="s">
        <v>15</v>
      </c>
      <c r="C12712" t="s">
        <v>9</v>
      </c>
      <c r="D12712">
        <v>0</v>
      </c>
      <c r="E12712" s="2">
        <v>0</v>
      </c>
      <c r="F12712">
        <v>0</v>
      </c>
    </row>
    <row r="12713" spans="1:6" x14ac:dyDescent="0.25">
      <c r="A12713" s="1">
        <v>42948</v>
      </c>
      <c r="B12713" t="s">
        <v>15</v>
      </c>
      <c r="C12713" t="s">
        <v>10</v>
      </c>
      <c r="D12713">
        <v>14</v>
      </c>
      <c r="E12713" s="2">
        <v>2.150462962962963E-2</v>
      </c>
      <c r="F12713">
        <v>30.966666666666665</v>
      </c>
    </row>
    <row r="12714" spans="1:6" x14ac:dyDescent="0.25">
      <c r="A12714" s="1">
        <v>42948</v>
      </c>
      <c r="B12714" t="s">
        <v>15</v>
      </c>
      <c r="C12714" t="s">
        <v>11</v>
      </c>
      <c r="D12714">
        <v>9</v>
      </c>
      <c r="E12714" s="2">
        <v>8.5416666666666662E-3</v>
      </c>
      <c r="F12714">
        <v>12.3</v>
      </c>
    </row>
    <row r="12715" spans="1:6" x14ac:dyDescent="0.25">
      <c r="A12715" s="1">
        <v>42948</v>
      </c>
      <c r="B12715" t="s">
        <v>16</v>
      </c>
      <c r="C12715" t="s">
        <v>6</v>
      </c>
      <c r="D12715">
        <v>14</v>
      </c>
      <c r="E12715" s="2">
        <v>1.5972222222222221E-2</v>
      </c>
      <c r="F12715">
        <v>23</v>
      </c>
    </row>
    <row r="12716" spans="1:6" x14ac:dyDescent="0.25">
      <c r="A12716" s="1">
        <v>42948</v>
      </c>
      <c r="B12716" t="s">
        <v>16</v>
      </c>
      <c r="C12716" t="s">
        <v>7</v>
      </c>
      <c r="D12716">
        <v>21</v>
      </c>
      <c r="E12716" s="2">
        <v>2.0949074074074075E-2</v>
      </c>
      <c r="F12716">
        <v>30.166666666666668</v>
      </c>
    </row>
    <row r="12717" spans="1:6" x14ac:dyDescent="0.25">
      <c r="A12717" s="1">
        <v>42948</v>
      </c>
      <c r="B12717" t="s">
        <v>16</v>
      </c>
      <c r="C12717" t="s">
        <v>8</v>
      </c>
      <c r="D12717">
        <v>23</v>
      </c>
      <c r="E12717" s="2">
        <v>2.0543981481481483E-2</v>
      </c>
      <c r="F12717">
        <v>29.583333333333332</v>
      </c>
    </row>
    <row r="12718" spans="1:6" x14ac:dyDescent="0.25">
      <c r="A12718" s="1">
        <v>42948</v>
      </c>
      <c r="B12718" t="s">
        <v>16</v>
      </c>
      <c r="C12718" t="s">
        <v>9</v>
      </c>
      <c r="D12718">
        <v>0</v>
      </c>
      <c r="E12718" s="2">
        <v>0</v>
      </c>
      <c r="F12718">
        <v>0</v>
      </c>
    </row>
    <row r="12719" spans="1:6" x14ac:dyDescent="0.25">
      <c r="A12719" s="1">
        <v>42948</v>
      </c>
      <c r="B12719" t="s">
        <v>16</v>
      </c>
      <c r="C12719" t="s">
        <v>10</v>
      </c>
      <c r="D12719">
        <v>3</v>
      </c>
      <c r="E12719" s="2">
        <v>3.3217592592592591E-3</v>
      </c>
      <c r="F12719">
        <v>4.7833333333333332</v>
      </c>
    </row>
    <row r="12720" spans="1:6" x14ac:dyDescent="0.25">
      <c r="A12720" s="1">
        <v>42948</v>
      </c>
      <c r="B12720" t="s">
        <v>16</v>
      </c>
      <c r="C12720" t="s">
        <v>11</v>
      </c>
      <c r="D12720">
        <v>29</v>
      </c>
      <c r="E12720" s="2">
        <v>2.4745370370370369E-2</v>
      </c>
      <c r="F12720">
        <v>35.633333333333333</v>
      </c>
    </row>
    <row r="12721" spans="1:6" x14ac:dyDescent="0.25">
      <c r="A12721" s="1">
        <v>42948</v>
      </c>
      <c r="B12721" t="s">
        <v>17</v>
      </c>
      <c r="C12721" t="s">
        <v>6</v>
      </c>
      <c r="D12721">
        <v>15</v>
      </c>
      <c r="E12721" s="2">
        <v>1.9918981481481482E-2</v>
      </c>
      <c r="F12721">
        <v>28.683333333333334</v>
      </c>
    </row>
    <row r="12722" spans="1:6" x14ac:dyDescent="0.25">
      <c r="A12722" s="1">
        <v>42948</v>
      </c>
      <c r="B12722" t="s">
        <v>17</v>
      </c>
      <c r="C12722" t="s">
        <v>7</v>
      </c>
      <c r="D12722">
        <v>13</v>
      </c>
      <c r="E12722" s="2">
        <v>1.4293981481481482E-2</v>
      </c>
      <c r="F12722">
        <v>20.583333333333332</v>
      </c>
    </row>
    <row r="12723" spans="1:6" x14ac:dyDescent="0.25">
      <c r="A12723" s="1">
        <v>42948</v>
      </c>
      <c r="B12723" t="s">
        <v>17</v>
      </c>
      <c r="C12723" t="s">
        <v>8</v>
      </c>
      <c r="D12723">
        <v>21</v>
      </c>
      <c r="E12723" s="2">
        <v>2.4467592592592593E-2</v>
      </c>
      <c r="F12723">
        <v>35.233333333333334</v>
      </c>
    </row>
    <row r="12724" spans="1:6" x14ac:dyDescent="0.25">
      <c r="A12724" s="1">
        <v>42948</v>
      </c>
      <c r="B12724" t="s">
        <v>17</v>
      </c>
      <c r="C12724" t="s">
        <v>9</v>
      </c>
      <c r="D12724">
        <v>0</v>
      </c>
      <c r="E12724" s="2">
        <v>0</v>
      </c>
      <c r="F12724">
        <v>0</v>
      </c>
    </row>
    <row r="12725" spans="1:6" x14ac:dyDescent="0.25">
      <c r="A12725" s="1">
        <v>42948</v>
      </c>
      <c r="B12725" t="s">
        <v>17</v>
      </c>
      <c r="C12725" t="s">
        <v>10</v>
      </c>
      <c r="D12725">
        <v>13</v>
      </c>
      <c r="E12725" s="2">
        <v>9.0509259259259258E-3</v>
      </c>
      <c r="F12725">
        <v>13.033333333333333</v>
      </c>
    </row>
    <row r="12726" spans="1:6" x14ac:dyDescent="0.25">
      <c r="A12726" s="1">
        <v>42948</v>
      </c>
      <c r="B12726" t="s">
        <v>17</v>
      </c>
      <c r="C12726" t="s">
        <v>11</v>
      </c>
      <c r="D12726">
        <v>9</v>
      </c>
      <c r="E12726" s="2">
        <v>9.3287037037037036E-3</v>
      </c>
      <c r="F12726">
        <v>13.433333333333334</v>
      </c>
    </row>
    <row r="12727" spans="1:6" x14ac:dyDescent="0.25">
      <c r="A12727" s="1">
        <v>42948</v>
      </c>
      <c r="B12727" t="s">
        <v>18</v>
      </c>
      <c r="C12727" t="s">
        <v>6</v>
      </c>
      <c r="D12727">
        <v>74</v>
      </c>
      <c r="E12727" s="2">
        <v>8.4722222222222227E-2</v>
      </c>
      <c r="F12727">
        <v>122</v>
      </c>
    </row>
    <row r="12728" spans="1:6" x14ac:dyDescent="0.25">
      <c r="A12728" s="1">
        <v>42948</v>
      </c>
      <c r="B12728" t="s">
        <v>18</v>
      </c>
      <c r="C12728" t="s">
        <v>7</v>
      </c>
      <c r="D12728">
        <v>116</v>
      </c>
      <c r="E12728" s="2">
        <v>0.12042824074074074</v>
      </c>
      <c r="F12728">
        <v>173.41666666666666</v>
      </c>
    </row>
    <row r="12729" spans="1:6" x14ac:dyDescent="0.25">
      <c r="A12729" s="1">
        <v>42948</v>
      </c>
      <c r="B12729" t="s">
        <v>18</v>
      </c>
      <c r="C12729" t="s">
        <v>8</v>
      </c>
      <c r="D12729">
        <v>76</v>
      </c>
      <c r="E12729" s="2">
        <v>6.8807870370370366E-2</v>
      </c>
      <c r="F12729">
        <v>99.083333333333329</v>
      </c>
    </row>
    <row r="12730" spans="1:6" x14ac:dyDescent="0.25">
      <c r="A12730" s="1">
        <v>42948</v>
      </c>
      <c r="B12730" t="s">
        <v>18</v>
      </c>
      <c r="C12730" t="s">
        <v>9</v>
      </c>
      <c r="D12730">
        <v>0</v>
      </c>
      <c r="E12730" s="2">
        <v>0</v>
      </c>
      <c r="F12730">
        <v>0</v>
      </c>
    </row>
    <row r="12731" spans="1:6" x14ac:dyDescent="0.25">
      <c r="A12731" s="1">
        <v>42948</v>
      </c>
      <c r="B12731" t="s">
        <v>18</v>
      </c>
      <c r="C12731" t="s">
        <v>10</v>
      </c>
      <c r="D12731">
        <v>173</v>
      </c>
      <c r="E12731" s="2">
        <v>0.20123842592592592</v>
      </c>
      <c r="F12731">
        <v>289.78333333333336</v>
      </c>
    </row>
    <row r="12732" spans="1:6" x14ac:dyDescent="0.25">
      <c r="A12732" s="1">
        <v>42948</v>
      </c>
      <c r="B12732" t="s">
        <v>18</v>
      </c>
      <c r="C12732" t="s">
        <v>11</v>
      </c>
      <c r="D12732">
        <v>65</v>
      </c>
      <c r="E12732" s="2">
        <v>5.5648148148148148E-2</v>
      </c>
      <c r="F12732">
        <v>80.13333333333334</v>
      </c>
    </row>
    <row r="12733" spans="1:6" x14ac:dyDescent="0.25">
      <c r="A12733" s="1">
        <v>42948</v>
      </c>
      <c r="B12733" t="s">
        <v>19</v>
      </c>
      <c r="C12733" t="s">
        <v>6</v>
      </c>
      <c r="D12733">
        <v>6</v>
      </c>
      <c r="E12733" s="2">
        <v>7.9398148148148145E-3</v>
      </c>
      <c r="F12733">
        <v>11.433333333333334</v>
      </c>
    </row>
    <row r="12734" spans="1:6" x14ac:dyDescent="0.25">
      <c r="A12734" s="1">
        <v>42948</v>
      </c>
      <c r="B12734" t="s">
        <v>19</v>
      </c>
      <c r="C12734" t="s">
        <v>7</v>
      </c>
      <c r="D12734">
        <v>8</v>
      </c>
      <c r="E12734" s="2">
        <v>1.5277777777777777E-2</v>
      </c>
      <c r="F12734">
        <v>22</v>
      </c>
    </row>
    <row r="12735" spans="1:6" x14ac:dyDescent="0.25">
      <c r="A12735" s="1">
        <v>42948</v>
      </c>
      <c r="B12735" t="s">
        <v>19</v>
      </c>
      <c r="C12735" t="s">
        <v>8</v>
      </c>
      <c r="D12735">
        <v>8</v>
      </c>
      <c r="E12735" s="2">
        <v>6.8055555555555551E-3</v>
      </c>
      <c r="F12735">
        <v>9.8000000000000007</v>
      </c>
    </row>
    <row r="12736" spans="1:6" x14ac:dyDescent="0.25">
      <c r="A12736" s="1">
        <v>42948</v>
      </c>
      <c r="B12736" t="s">
        <v>19</v>
      </c>
      <c r="C12736" t="s">
        <v>9</v>
      </c>
      <c r="D12736">
        <v>0</v>
      </c>
      <c r="E12736" s="2">
        <v>0</v>
      </c>
      <c r="F12736">
        <v>0</v>
      </c>
    </row>
    <row r="12737" spans="1:6" x14ac:dyDescent="0.25">
      <c r="A12737" s="1">
        <v>42948</v>
      </c>
      <c r="B12737" t="s">
        <v>19</v>
      </c>
      <c r="C12737" t="s">
        <v>10</v>
      </c>
      <c r="D12737">
        <v>13</v>
      </c>
      <c r="E12737" s="2">
        <v>1.667824074074074E-2</v>
      </c>
      <c r="F12737">
        <v>24.016666666666666</v>
      </c>
    </row>
    <row r="12738" spans="1:6" x14ac:dyDescent="0.25">
      <c r="A12738" s="1">
        <v>42948</v>
      </c>
      <c r="B12738" t="s">
        <v>19</v>
      </c>
      <c r="C12738" t="s">
        <v>11</v>
      </c>
      <c r="D12738">
        <v>18</v>
      </c>
      <c r="E12738" s="2">
        <v>1.4872685185185185E-2</v>
      </c>
      <c r="F12738">
        <v>21.416666666666668</v>
      </c>
    </row>
    <row r="12739" spans="1:6" x14ac:dyDescent="0.25">
      <c r="A12739" s="1">
        <v>42948</v>
      </c>
      <c r="B12739" t="s">
        <v>20</v>
      </c>
      <c r="C12739" t="s">
        <v>6</v>
      </c>
      <c r="D12739">
        <v>69</v>
      </c>
      <c r="E12739" s="2">
        <v>7.9062499999999994E-2</v>
      </c>
      <c r="F12739">
        <v>113.85</v>
      </c>
    </row>
    <row r="12740" spans="1:6" x14ac:dyDescent="0.25">
      <c r="A12740" s="1">
        <v>42948</v>
      </c>
      <c r="B12740" t="s">
        <v>20</v>
      </c>
      <c r="C12740" t="s">
        <v>7</v>
      </c>
      <c r="D12740">
        <v>71</v>
      </c>
      <c r="E12740" s="2">
        <v>7.8680555555555559E-2</v>
      </c>
      <c r="F12740">
        <v>113.3</v>
      </c>
    </row>
    <row r="12741" spans="1:6" x14ac:dyDescent="0.25">
      <c r="A12741" s="1">
        <v>42948</v>
      </c>
      <c r="B12741" t="s">
        <v>20</v>
      </c>
      <c r="C12741" t="s">
        <v>8</v>
      </c>
      <c r="D12741">
        <v>58</v>
      </c>
      <c r="E12741" s="2">
        <v>6.1226851851851852E-2</v>
      </c>
      <c r="F12741">
        <v>88.166666666666671</v>
      </c>
    </row>
    <row r="12742" spans="1:6" x14ac:dyDescent="0.25">
      <c r="A12742" s="1">
        <v>42948</v>
      </c>
      <c r="B12742" t="s">
        <v>20</v>
      </c>
      <c r="C12742" t="s">
        <v>9</v>
      </c>
      <c r="D12742">
        <v>0</v>
      </c>
      <c r="E12742" s="2">
        <v>0</v>
      </c>
      <c r="F12742">
        <v>0</v>
      </c>
    </row>
    <row r="12743" spans="1:6" x14ac:dyDescent="0.25">
      <c r="A12743" s="1">
        <v>42948</v>
      </c>
      <c r="B12743" t="s">
        <v>20</v>
      </c>
      <c r="C12743" t="s">
        <v>10</v>
      </c>
      <c r="D12743">
        <v>7</v>
      </c>
      <c r="E12743" s="2">
        <v>8.6342592592592599E-3</v>
      </c>
      <c r="F12743">
        <v>12.433333333333334</v>
      </c>
    </row>
    <row r="12744" spans="1:6" x14ac:dyDescent="0.25">
      <c r="A12744" s="1">
        <v>42948</v>
      </c>
      <c r="B12744" t="s">
        <v>20</v>
      </c>
      <c r="C12744" t="s">
        <v>11</v>
      </c>
      <c r="D12744">
        <v>49</v>
      </c>
      <c r="E12744" s="2">
        <v>3.7349537037037035E-2</v>
      </c>
      <c r="F12744">
        <v>53.783333333333331</v>
      </c>
    </row>
    <row r="12745" spans="1:6" x14ac:dyDescent="0.25">
      <c r="A12745" s="1">
        <v>42948</v>
      </c>
      <c r="B12745" t="s">
        <v>21</v>
      </c>
      <c r="C12745" t="s">
        <v>6</v>
      </c>
      <c r="D12745">
        <v>31</v>
      </c>
      <c r="E12745" s="2">
        <v>4.3067129629629629E-2</v>
      </c>
      <c r="F12745">
        <v>62.016666666666666</v>
      </c>
    </row>
    <row r="12746" spans="1:6" x14ac:dyDescent="0.25">
      <c r="A12746" s="1">
        <v>42948</v>
      </c>
      <c r="B12746" t="s">
        <v>21</v>
      </c>
      <c r="C12746" t="s">
        <v>7</v>
      </c>
      <c r="D12746">
        <v>26</v>
      </c>
      <c r="E12746" s="2">
        <v>3.4768518518518518E-2</v>
      </c>
      <c r="F12746">
        <v>50.06666666666667</v>
      </c>
    </row>
    <row r="12747" spans="1:6" x14ac:dyDescent="0.25">
      <c r="A12747" s="1">
        <v>42948</v>
      </c>
      <c r="B12747" t="s">
        <v>21</v>
      </c>
      <c r="C12747" t="s">
        <v>8</v>
      </c>
      <c r="D12747">
        <v>20</v>
      </c>
      <c r="E12747" s="2">
        <v>2.4131944444444445E-2</v>
      </c>
      <c r="F12747">
        <v>34.75</v>
      </c>
    </row>
    <row r="12748" spans="1:6" x14ac:dyDescent="0.25">
      <c r="A12748" s="1">
        <v>42948</v>
      </c>
      <c r="B12748" t="s">
        <v>21</v>
      </c>
      <c r="C12748" t="s">
        <v>9</v>
      </c>
      <c r="D12748">
        <v>0</v>
      </c>
      <c r="E12748" s="2">
        <v>0</v>
      </c>
      <c r="F12748">
        <v>0</v>
      </c>
    </row>
    <row r="12749" spans="1:6" x14ac:dyDescent="0.25">
      <c r="A12749" s="1">
        <v>42948</v>
      </c>
      <c r="B12749" t="s">
        <v>21</v>
      </c>
      <c r="C12749" t="s">
        <v>10</v>
      </c>
      <c r="D12749">
        <v>9</v>
      </c>
      <c r="E12749" s="2">
        <v>7.3379629629629628E-3</v>
      </c>
      <c r="F12749">
        <v>10.566666666666666</v>
      </c>
    </row>
    <row r="12750" spans="1:6" x14ac:dyDescent="0.25">
      <c r="A12750" s="1">
        <v>42948</v>
      </c>
      <c r="B12750" t="s">
        <v>21</v>
      </c>
      <c r="C12750" t="s">
        <v>11</v>
      </c>
      <c r="D12750">
        <v>25</v>
      </c>
      <c r="E12750" s="2">
        <v>2.3993055555555556E-2</v>
      </c>
      <c r="F12750">
        <v>34.549999999999997</v>
      </c>
    </row>
    <row r="12751" spans="1:6" x14ac:dyDescent="0.25">
      <c r="A12751" s="1">
        <v>42948</v>
      </c>
      <c r="B12751" t="s">
        <v>22</v>
      </c>
      <c r="C12751" t="s">
        <v>6</v>
      </c>
      <c r="D12751">
        <v>12</v>
      </c>
      <c r="E12751" s="2">
        <v>2.179398148148148E-2</v>
      </c>
      <c r="F12751">
        <v>31.383333333333333</v>
      </c>
    </row>
    <row r="12752" spans="1:6" x14ac:dyDescent="0.25">
      <c r="A12752" s="1">
        <v>42948</v>
      </c>
      <c r="B12752" t="s">
        <v>22</v>
      </c>
      <c r="C12752" t="s">
        <v>7</v>
      </c>
      <c r="D12752">
        <v>9</v>
      </c>
      <c r="E12752" s="2">
        <v>1.5405092592592592E-2</v>
      </c>
      <c r="F12752">
        <v>22.183333333333334</v>
      </c>
    </row>
    <row r="12753" spans="1:6" x14ac:dyDescent="0.25">
      <c r="A12753" s="1">
        <v>42948</v>
      </c>
      <c r="B12753" t="s">
        <v>22</v>
      </c>
      <c r="C12753" t="s">
        <v>8</v>
      </c>
      <c r="D12753">
        <v>8</v>
      </c>
      <c r="E12753" s="2">
        <v>1.1111111111111112E-2</v>
      </c>
      <c r="F12753">
        <v>16</v>
      </c>
    </row>
    <row r="12754" spans="1:6" x14ac:dyDescent="0.25">
      <c r="A12754" s="1">
        <v>42948</v>
      </c>
      <c r="B12754" t="s">
        <v>22</v>
      </c>
      <c r="C12754" t="s">
        <v>9</v>
      </c>
      <c r="D12754">
        <v>0</v>
      </c>
      <c r="E12754" s="2">
        <v>0</v>
      </c>
      <c r="F12754">
        <v>0</v>
      </c>
    </row>
    <row r="12755" spans="1:6" x14ac:dyDescent="0.25">
      <c r="A12755" s="1">
        <v>42948</v>
      </c>
      <c r="B12755" t="s">
        <v>22</v>
      </c>
      <c r="C12755" t="s">
        <v>10</v>
      </c>
      <c r="D12755">
        <v>9</v>
      </c>
      <c r="E12755" s="2">
        <v>1.3171296296296296E-2</v>
      </c>
      <c r="F12755">
        <v>18.966666666666665</v>
      </c>
    </row>
    <row r="12756" spans="1:6" x14ac:dyDescent="0.25">
      <c r="A12756" s="1">
        <v>42948</v>
      </c>
      <c r="B12756" t="s">
        <v>22</v>
      </c>
      <c r="C12756" t="s">
        <v>11</v>
      </c>
      <c r="D12756">
        <v>19</v>
      </c>
      <c r="E12756" s="2">
        <v>2.1724537037037039E-2</v>
      </c>
      <c r="F12756">
        <v>31.283333333333335</v>
      </c>
    </row>
    <row r="12757" spans="1:6" x14ac:dyDescent="0.25">
      <c r="A12757" s="1">
        <v>42948</v>
      </c>
      <c r="B12757" t="s">
        <v>23</v>
      </c>
      <c r="C12757" t="s">
        <v>6</v>
      </c>
      <c r="D12757">
        <v>101</v>
      </c>
      <c r="E12757" s="2">
        <v>0.14805555555555555</v>
      </c>
      <c r="F12757">
        <v>213.2</v>
      </c>
    </row>
    <row r="12758" spans="1:6" x14ac:dyDescent="0.25">
      <c r="A12758" s="1">
        <v>42948</v>
      </c>
      <c r="B12758" t="s">
        <v>23</v>
      </c>
      <c r="C12758" t="s">
        <v>7</v>
      </c>
      <c r="D12758">
        <v>94</v>
      </c>
      <c r="E12758" s="2">
        <v>0.13927083333333334</v>
      </c>
      <c r="F12758">
        <v>200.55</v>
      </c>
    </row>
    <row r="12759" spans="1:6" x14ac:dyDescent="0.25">
      <c r="A12759" s="1">
        <v>42948</v>
      </c>
      <c r="B12759" t="s">
        <v>23</v>
      </c>
      <c r="C12759" t="s">
        <v>8</v>
      </c>
      <c r="D12759">
        <v>65</v>
      </c>
      <c r="E12759" s="2">
        <v>7.8993055555555552E-2</v>
      </c>
      <c r="F12759">
        <v>113.75</v>
      </c>
    </row>
    <row r="12760" spans="1:6" x14ac:dyDescent="0.25">
      <c r="A12760" s="1">
        <v>42948</v>
      </c>
      <c r="B12760" t="s">
        <v>23</v>
      </c>
      <c r="C12760" t="s">
        <v>9</v>
      </c>
      <c r="D12760">
        <v>0</v>
      </c>
      <c r="E12760" s="2">
        <v>0</v>
      </c>
      <c r="F12760">
        <v>0</v>
      </c>
    </row>
    <row r="12761" spans="1:6" x14ac:dyDescent="0.25">
      <c r="A12761" s="1">
        <v>42948</v>
      </c>
      <c r="B12761" t="s">
        <v>23</v>
      </c>
      <c r="C12761" t="s">
        <v>10</v>
      </c>
      <c r="D12761">
        <v>28</v>
      </c>
      <c r="E12761" s="2">
        <v>5.0625000000000003E-2</v>
      </c>
      <c r="F12761">
        <v>72.900000000000006</v>
      </c>
    </row>
    <row r="12762" spans="1:6" x14ac:dyDescent="0.25">
      <c r="A12762" s="1">
        <v>42948</v>
      </c>
      <c r="B12762" t="s">
        <v>23</v>
      </c>
      <c r="C12762" t="s">
        <v>11</v>
      </c>
      <c r="D12762">
        <v>89</v>
      </c>
      <c r="E12762" s="2">
        <v>9.2245370370370366E-2</v>
      </c>
      <c r="F12762">
        <v>132.83333333333334</v>
      </c>
    </row>
    <row r="12763" spans="1:6" x14ac:dyDescent="0.25">
      <c r="A12763" s="1">
        <v>42948</v>
      </c>
      <c r="B12763" t="s">
        <v>24</v>
      </c>
      <c r="C12763" t="s">
        <v>6</v>
      </c>
      <c r="D12763">
        <v>45</v>
      </c>
      <c r="E12763" s="2">
        <v>6.1747685185185183E-2</v>
      </c>
      <c r="F12763">
        <v>88.916666666666671</v>
      </c>
    </row>
    <row r="12764" spans="1:6" x14ac:dyDescent="0.25">
      <c r="A12764" s="1">
        <v>42948</v>
      </c>
      <c r="B12764" t="s">
        <v>24</v>
      </c>
      <c r="C12764" t="s">
        <v>7</v>
      </c>
      <c r="D12764">
        <v>42</v>
      </c>
      <c r="E12764" s="2">
        <v>3.8541666666666669E-2</v>
      </c>
      <c r="F12764">
        <v>55.5</v>
      </c>
    </row>
    <row r="12765" spans="1:6" x14ac:dyDescent="0.25">
      <c r="A12765" s="1">
        <v>42948</v>
      </c>
      <c r="B12765" t="s">
        <v>24</v>
      </c>
      <c r="C12765" t="s">
        <v>8</v>
      </c>
      <c r="D12765">
        <v>43</v>
      </c>
      <c r="E12765" s="2">
        <v>3.0972222222222224E-2</v>
      </c>
      <c r="F12765">
        <v>44.6</v>
      </c>
    </row>
    <row r="12766" spans="1:6" x14ac:dyDescent="0.25">
      <c r="A12766" s="1">
        <v>42948</v>
      </c>
      <c r="B12766" t="s">
        <v>24</v>
      </c>
      <c r="C12766" t="s">
        <v>9</v>
      </c>
      <c r="D12766">
        <v>0</v>
      </c>
      <c r="E12766" s="2">
        <v>0</v>
      </c>
      <c r="F12766">
        <v>0</v>
      </c>
    </row>
    <row r="12767" spans="1:6" x14ac:dyDescent="0.25">
      <c r="A12767" s="1">
        <v>42948</v>
      </c>
      <c r="B12767" t="s">
        <v>24</v>
      </c>
      <c r="C12767" t="s">
        <v>10</v>
      </c>
      <c r="D12767">
        <v>4</v>
      </c>
      <c r="E12767" s="2">
        <v>9.3287037037037036E-3</v>
      </c>
      <c r="F12767">
        <v>13.433333333333334</v>
      </c>
    </row>
    <row r="12768" spans="1:6" x14ac:dyDescent="0.25">
      <c r="A12768" s="1">
        <v>42948</v>
      </c>
      <c r="B12768" t="s">
        <v>24</v>
      </c>
      <c r="C12768" t="s">
        <v>11</v>
      </c>
      <c r="D12768">
        <v>38</v>
      </c>
      <c r="E12768" s="2">
        <v>2.9861111111111113E-2</v>
      </c>
      <c r="F12768">
        <v>43</v>
      </c>
    </row>
    <row r="12769" spans="1:6" x14ac:dyDescent="0.25">
      <c r="A12769" s="1">
        <v>42979</v>
      </c>
      <c r="B12769" t="s">
        <v>5</v>
      </c>
      <c r="C12769" t="s">
        <v>6</v>
      </c>
      <c r="D12769">
        <v>103</v>
      </c>
      <c r="E12769" s="2">
        <v>0.11546296296296296</v>
      </c>
      <c r="F12769">
        <v>166.26666666666668</v>
      </c>
    </row>
    <row r="12770" spans="1:6" x14ac:dyDescent="0.25">
      <c r="A12770" s="1">
        <v>42979</v>
      </c>
      <c r="B12770" t="s">
        <v>5</v>
      </c>
      <c r="C12770" t="s">
        <v>7</v>
      </c>
      <c r="D12770">
        <v>92</v>
      </c>
      <c r="E12770" s="2">
        <v>9.3935185185185191E-2</v>
      </c>
      <c r="F12770">
        <v>135.26666666666668</v>
      </c>
    </row>
    <row r="12771" spans="1:6" x14ac:dyDescent="0.25">
      <c r="A12771" s="1">
        <v>42979</v>
      </c>
      <c r="B12771" t="s">
        <v>5</v>
      </c>
      <c r="C12771" t="s">
        <v>8</v>
      </c>
      <c r="D12771">
        <v>95</v>
      </c>
      <c r="E12771" s="2">
        <v>8.7106481481481479E-2</v>
      </c>
      <c r="F12771">
        <v>125.43333333333334</v>
      </c>
    </row>
    <row r="12772" spans="1:6" x14ac:dyDescent="0.25">
      <c r="A12772" s="1">
        <v>42979</v>
      </c>
      <c r="B12772" t="s">
        <v>5</v>
      </c>
      <c r="C12772" t="s">
        <v>9</v>
      </c>
      <c r="D12772">
        <v>16</v>
      </c>
      <c r="E12772" s="2">
        <v>1.5208333333333334E-2</v>
      </c>
      <c r="F12772">
        <v>21.9</v>
      </c>
    </row>
    <row r="12773" spans="1:6" x14ac:dyDescent="0.25">
      <c r="A12773" s="1">
        <v>42979</v>
      </c>
      <c r="B12773" t="s">
        <v>5</v>
      </c>
      <c r="C12773" t="s">
        <v>10</v>
      </c>
      <c r="D12773">
        <v>20</v>
      </c>
      <c r="E12773" s="2">
        <v>1.9189814814814816E-2</v>
      </c>
      <c r="F12773">
        <v>27.633333333333333</v>
      </c>
    </row>
    <row r="12774" spans="1:6" x14ac:dyDescent="0.25">
      <c r="A12774" s="1">
        <v>42979</v>
      </c>
      <c r="B12774" t="s">
        <v>5</v>
      </c>
      <c r="C12774" t="s">
        <v>11</v>
      </c>
      <c r="D12774">
        <v>104</v>
      </c>
      <c r="E12774" s="2">
        <v>9.6805555555555561E-2</v>
      </c>
      <c r="F12774">
        <v>139.4</v>
      </c>
    </row>
    <row r="12775" spans="1:6" x14ac:dyDescent="0.25">
      <c r="A12775" s="1">
        <v>42979</v>
      </c>
      <c r="B12775" t="s">
        <v>12</v>
      </c>
      <c r="C12775" t="s">
        <v>6</v>
      </c>
      <c r="D12775">
        <v>29</v>
      </c>
      <c r="E12775" s="2">
        <v>4.7361111111111111E-2</v>
      </c>
      <c r="F12775">
        <v>68.2</v>
      </c>
    </row>
    <row r="12776" spans="1:6" x14ac:dyDescent="0.25">
      <c r="A12776" s="1">
        <v>42979</v>
      </c>
      <c r="B12776" t="s">
        <v>12</v>
      </c>
      <c r="C12776" t="s">
        <v>7</v>
      </c>
      <c r="D12776">
        <v>19</v>
      </c>
      <c r="E12776" s="2">
        <v>6.1226851851851852E-2</v>
      </c>
      <c r="F12776">
        <v>88.166666666666671</v>
      </c>
    </row>
    <row r="12777" spans="1:6" x14ac:dyDescent="0.25">
      <c r="A12777" s="1">
        <v>42979</v>
      </c>
      <c r="B12777" t="s">
        <v>12</v>
      </c>
      <c r="C12777" t="s">
        <v>8</v>
      </c>
      <c r="D12777">
        <v>22</v>
      </c>
      <c r="E12777" s="2">
        <v>3.4131944444444444E-2</v>
      </c>
      <c r="F12777">
        <v>49.15</v>
      </c>
    </row>
    <row r="12778" spans="1:6" x14ac:dyDescent="0.25">
      <c r="A12778" s="1">
        <v>42979</v>
      </c>
      <c r="B12778" t="s">
        <v>12</v>
      </c>
      <c r="C12778" t="s">
        <v>9</v>
      </c>
      <c r="D12778">
        <v>2</v>
      </c>
      <c r="E12778" s="2">
        <v>1.3194444444444445E-3</v>
      </c>
      <c r="F12778">
        <v>1.9</v>
      </c>
    </row>
    <row r="12779" spans="1:6" x14ac:dyDescent="0.25">
      <c r="A12779" s="1">
        <v>42979</v>
      </c>
      <c r="B12779" t="s">
        <v>12</v>
      </c>
      <c r="C12779" t="s">
        <v>10</v>
      </c>
      <c r="D12779">
        <v>21</v>
      </c>
      <c r="E12779" s="2">
        <v>3.7835648148148146E-2</v>
      </c>
      <c r="F12779">
        <v>54.483333333333334</v>
      </c>
    </row>
    <row r="12780" spans="1:6" x14ac:dyDescent="0.25">
      <c r="A12780" s="1">
        <v>42979</v>
      </c>
      <c r="B12780" t="s">
        <v>12</v>
      </c>
      <c r="C12780" t="s">
        <v>11</v>
      </c>
      <c r="D12780">
        <v>47</v>
      </c>
      <c r="E12780" s="2">
        <v>5.5243055555555552E-2</v>
      </c>
      <c r="F12780">
        <v>79.55</v>
      </c>
    </row>
    <row r="12781" spans="1:6" x14ac:dyDescent="0.25">
      <c r="A12781" s="1">
        <v>42979</v>
      </c>
      <c r="B12781" t="s">
        <v>13</v>
      </c>
      <c r="C12781" t="s">
        <v>6</v>
      </c>
      <c r="D12781">
        <v>58</v>
      </c>
      <c r="E12781" s="2">
        <v>9.1712962962962968E-2</v>
      </c>
      <c r="F12781">
        <v>132.06666666666666</v>
      </c>
    </row>
    <row r="12782" spans="1:6" x14ac:dyDescent="0.25">
      <c r="A12782" s="1">
        <v>42979</v>
      </c>
      <c r="B12782" t="s">
        <v>13</v>
      </c>
      <c r="C12782" t="s">
        <v>7</v>
      </c>
      <c r="D12782">
        <v>68</v>
      </c>
      <c r="E12782" s="2">
        <v>0.12718750000000001</v>
      </c>
      <c r="F12782">
        <v>183.15</v>
      </c>
    </row>
    <row r="12783" spans="1:6" x14ac:dyDescent="0.25">
      <c r="A12783" s="1">
        <v>42979</v>
      </c>
      <c r="B12783" t="s">
        <v>13</v>
      </c>
      <c r="C12783" t="s">
        <v>8</v>
      </c>
      <c r="D12783">
        <v>55</v>
      </c>
      <c r="E12783" s="2">
        <v>6.4328703703703707E-2</v>
      </c>
      <c r="F12783">
        <v>92.63333333333334</v>
      </c>
    </row>
    <row r="12784" spans="1:6" x14ac:dyDescent="0.25">
      <c r="A12784" s="1">
        <v>42979</v>
      </c>
      <c r="B12784" t="s">
        <v>13</v>
      </c>
      <c r="C12784" t="s">
        <v>9</v>
      </c>
      <c r="D12784">
        <v>13</v>
      </c>
      <c r="E12784" s="2">
        <v>1.3287037037037036E-2</v>
      </c>
      <c r="F12784">
        <v>19.133333333333333</v>
      </c>
    </row>
    <row r="12785" spans="1:6" x14ac:dyDescent="0.25">
      <c r="A12785" s="1">
        <v>42979</v>
      </c>
      <c r="B12785" t="s">
        <v>13</v>
      </c>
      <c r="C12785" t="s">
        <v>10</v>
      </c>
      <c r="D12785">
        <v>7</v>
      </c>
      <c r="E12785" s="2">
        <v>1.0347222222222223E-2</v>
      </c>
      <c r="F12785">
        <v>14.9</v>
      </c>
    </row>
    <row r="12786" spans="1:6" x14ac:dyDescent="0.25">
      <c r="A12786" s="1">
        <v>42979</v>
      </c>
      <c r="B12786" t="s">
        <v>13</v>
      </c>
      <c r="C12786" t="s">
        <v>11</v>
      </c>
      <c r="D12786">
        <v>32</v>
      </c>
      <c r="E12786" s="2">
        <v>3.1539351851851853E-2</v>
      </c>
      <c r="F12786">
        <v>45.416666666666664</v>
      </c>
    </row>
    <row r="12787" spans="1:6" x14ac:dyDescent="0.25">
      <c r="A12787" s="1">
        <v>42979</v>
      </c>
      <c r="B12787" t="s">
        <v>14</v>
      </c>
      <c r="C12787" t="s">
        <v>6</v>
      </c>
      <c r="D12787">
        <v>23</v>
      </c>
      <c r="E12787" s="2">
        <v>3.2974537037037038E-2</v>
      </c>
      <c r="F12787">
        <v>47.483333333333334</v>
      </c>
    </row>
    <row r="12788" spans="1:6" x14ac:dyDescent="0.25">
      <c r="A12788" s="1">
        <v>42979</v>
      </c>
      <c r="B12788" t="s">
        <v>14</v>
      </c>
      <c r="C12788" t="s">
        <v>7</v>
      </c>
      <c r="D12788">
        <v>10</v>
      </c>
      <c r="E12788" s="2">
        <v>2.2499999999999999E-2</v>
      </c>
      <c r="F12788">
        <v>32.4</v>
      </c>
    </row>
    <row r="12789" spans="1:6" x14ac:dyDescent="0.25">
      <c r="A12789" s="1">
        <v>42979</v>
      </c>
      <c r="B12789" t="s">
        <v>14</v>
      </c>
      <c r="C12789" t="s">
        <v>8</v>
      </c>
      <c r="D12789">
        <v>8</v>
      </c>
      <c r="E12789" s="2">
        <v>1.2789351851851852E-2</v>
      </c>
      <c r="F12789">
        <v>18.416666666666668</v>
      </c>
    </row>
    <row r="12790" spans="1:6" x14ac:dyDescent="0.25">
      <c r="A12790" s="1">
        <v>42979</v>
      </c>
      <c r="B12790" t="s">
        <v>14</v>
      </c>
      <c r="C12790" t="s">
        <v>9</v>
      </c>
      <c r="D12790">
        <v>2</v>
      </c>
      <c r="E12790" s="2">
        <v>1.4930555555555556E-3</v>
      </c>
      <c r="F12790">
        <v>2.15</v>
      </c>
    </row>
    <row r="12791" spans="1:6" x14ac:dyDescent="0.25">
      <c r="A12791" s="1">
        <v>42979</v>
      </c>
      <c r="B12791" t="s">
        <v>14</v>
      </c>
      <c r="C12791" t="s">
        <v>10</v>
      </c>
      <c r="D12791">
        <v>3</v>
      </c>
      <c r="E12791" s="2">
        <v>3.9930555555555552E-3</v>
      </c>
      <c r="F12791">
        <v>5.75</v>
      </c>
    </row>
    <row r="12792" spans="1:6" x14ac:dyDescent="0.25">
      <c r="A12792" s="1">
        <v>42979</v>
      </c>
      <c r="B12792" t="s">
        <v>14</v>
      </c>
      <c r="C12792" t="s">
        <v>11</v>
      </c>
      <c r="D12792">
        <v>14</v>
      </c>
      <c r="E12792" s="2">
        <v>1.5358796296296296E-2</v>
      </c>
      <c r="F12792">
        <v>22.116666666666667</v>
      </c>
    </row>
    <row r="12793" spans="1:6" x14ac:dyDescent="0.25">
      <c r="A12793" s="1">
        <v>42979</v>
      </c>
      <c r="B12793" t="s">
        <v>15</v>
      </c>
      <c r="C12793" t="s">
        <v>6</v>
      </c>
      <c r="D12793">
        <v>19</v>
      </c>
      <c r="E12793" s="2">
        <v>2.6157407407407407E-2</v>
      </c>
      <c r="F12793">
        <v>37.666666666666664</v>
      </c>
    </row>
    <row r="12794" spans="1:6" x14ac:dyDescent="0.25">
      <c r="A12794" s="1">
        <v>42979</v>
      </c>
      <c r="B12794" t="s">
        <v>15</v>
      </c>
      <c r="C12794" t="s">
        <v>7</v>
      </c>
      <c r="D12794">
        <v>17</v>
      </c>
      <c r="E12794" s="2">
        <v>2.2766203703703705E-2</v>
      </c>
      <c r="F12794">
        <v>32.783333333333331</v>
      </c>
    </row>
    <row r="12795" spans="1:6" x14ac:dyDescent="0.25">
      <c r="A12795" s="1">
        <v>42979</v>
      </c>
      <c r="B12795" t="s">
        <v>15</v>
      </c>
      <c r="C12795" t="s">
        <v>8</v>
      </c>
      <c r="D12795">
        <v>21</v>
      </c>
      <c r="E12795" s="2">
        <v>2.0196759259259258E-2</v>
      </c>
      <c r="F12795">
        <v>29.083333333333332</v>
      </c>
    </row>
    <row r="12796" spans="1:6" x14ac:dyDescent="0.25">
      <c r="A12796" s="1">
        <v>42979</v>
      </c>
      <c r="B12796" t="s">
        <v>15</v>
      </c>
      <c r="C12796" t="s">
        <v>9</v>
      </c>
      <c r="D12796">
        <v>3</v>
      </c>
      <c r="E12796" s="2">
        <v>2.2453703703703702E-3</v>
      </c>
      <c r="F12796">
        <v>3.2333333333333334</v>
      </c>
    </row>
    <row r="12797" spans="1:6" x14ac:dyDescent="0.25">
      <c r="A12797" s="1">
        <v>42979</v>
      </c>
      <c r="B12797" t="s">
        <v>15</v>
      </c>
      <c r="C12797" t="s">
        <v>10</v>
      </c>
      <c r="D12797">
        <v>9</v>
      </c>
      <c r="E12797" s="2">
        <v>1.306712962962963E-2</v>
      </c>
      <c r="F12797">
        <v>18.816666666666666</v>
      </c>
    </row>
    <row r="12798" spans="1:6" x14ac:dyDescent="0.25">
      <c r="A12798" s="1">
        <v>42979</v>
      </c>
      <c r="B12798" t="s">
        <v>15</v>
      </c>
      <c r="C12798" t="s">
        <v>11</v>
      </c>
      <c r="D12798">
        <v>10</v>
      </c>
      <c r="E12798" s="2">
        <v>9.4560185185185181E-3</v>
      </c>
      <c r="F12798">
        <v>13.616666666666667</v>
      </c>
    </row>
    <row r="12799" spans="1:6" x14ac:dyDescent="0.25">
      <c r="A12799" s="1">
        <v>42979</v>
      </c>
      <c r="B12799" t="s">
        <v>16</v>
      </c>
      <c r="C12799" t="s">
        <v>6</v>
      </c>
      <c r="D12799">
        <v>13</v>
      </c>
      <c r="E12799" s="2">
        <v>1.4710648148148148E-2</v>
      </c>
      <c r="F12799">
        <v>21.183333333333334</v>
      </c>
    </row>
    <row r="12800" spans="1:6" x14ac:dyDescent="0.25">
      <c r="A12800" s="1">
        <v>42979</v>
      </c>
      <c r="B12800" t="s">
        <v>16</v>
      </c>
      <c r="C12800" t="s">
        <v>7</v>
      </c>
      <c r="D12800">
        <v>9</v>
      </c>
      <c r="E12800" s="2">
        <v>7.3611111111111108E-3</v>
      </c>
      <c r="F12800">
        <v>10.6</v>
      </c>
    </row>
    <row r="12801" spans="1:6" x14ac:dyDescent="0.25">
      <c r="A12801" s="1">
        <v>42979</v>
      </c>
      <c r="B12801" t="s">
        <v>16</v>
      </c>
      <c r="C12801" t="s">
        <v>8</v>
      </c>
      <c r="D12801">
        <v>18</v>
      </c>
      <c r="E12801" s="2">
        <v>1.1539351851851851E-2</v>
      </c>
      <c r="F12801">
        <v>16.616666666666667</v>
      </c>
    </row>
    <row r="12802" spans="1:6" x14ac:dyDescent="0.25">
      <c r="A12802" s="1">
        <v>42979</v>
      </c>
      <c r="B12802" t="s">
        <v>16</v>
      </c>
      <c r="C12802" t="s">
        <v>9</v>
      </c>
      <c r="D12802">
        <v>5</v>
      </c>
      <c r="E12802" s="2">
        <v>4.0162037037037041E-3</v>
      </c>
      <c r="F12802">
        <v>5.7833333333333332</v>
      </c>
    </row>
    <row r="12803" spans="1:6" x14ac:dyDescent="0.25">
      <c r="A12803" s="1">
        <v>42979</v>
      </c>
      <c r="B12803" t="s">
        <v>16</v>
      </c>
      <c r="C12803" t="s">
        <v>10</v>
      </c>
      <c r="D12803">
        <v>0</v>
      </c>
      <c r="E12803" s="2">
        <v>0</v>
      </c>
      <c r="F12803">
        <v>0</v>
      </c>
    </row>
    <row r="12804" spans="1:6" x14ac:dyDescent="0.25">
      <c r="A12804" s="1">
        <v>42979</v>
      </c>
      <c r="B12804" t="s">
        <v>16</v>
      </c>
      <c r="C12804" t="s">
        <v>11</v>
      </c>
      <c r="D12804">
        <v>20</v>
      </c>
      <c r="E12804" s="2">
        <v>2.1967592592592594E-2</v>
      </c>
      <c r="F12804">
        <v>31.633333333333333</v>
      </c>
    </row>
    <row r="12805" spans="1:6" x14ac:dyDescent="0.25">
      <c r="A12805" s="1">
        <v>42979</v>
      </c>
      <c r="B12805" t="s">
        <v>17</v>
      </c>
      <c r="C12805" t="s">
        <v>6</v>
      </c>
      <c r="D12805">
        <v>6</v>
      </c>
      <c r="E12805" s="2">
        <v>7.2337962962962963E-3</v>
      </c>
      <c r="F12805">
        <v>10.416666666666666</v>
      </c>
    </row>
    <row r="12806" spans="1:6" x14ac:dyDescent="0.25">
      <c r="A12806" s="1">
        <v>42979</v>
      </c>
      <c r="B12806" t="s">
        <v>17</v>
      </c>
      <c r="C12806" t="s">
        <v>7</v>
      </c>
      <c r="D12806">
        <v>7</v>
      </c>
      <c r="E12806" s="2">
        <v>7.2916666666666668E-3</v>
      </c>
      <c r="F12806">
        <v>10.5</v>
      </c>
    </row>
    <row r="12807" spans="1:6" x14ac:dyDescent="0.25">
      <c r="A12807" s="1">
        <v>42979</v>
      </c>
      <c r="B12807" t="s">
        <v>17</v>
      </c>
      <c r="C12807" t="s">
        <v>8</v>
      </c>
      <c r="D12807">
        <v>6</v>
      </c>
      <c r="E12807" s="2">
        <v>3.9120370370370368E-3</v>
      </c>
      <c r="F12807">
        <v>5.6333333333333329</v>
      </c>
    </row>
    <row r="12808" spans="1:6" x14ac:dyDescent="0.25">
      <c r="A12808" s="1">
        <v>42979</v>
      </c>
      <c r="B12808" t="s">
        <v>17</v>
      </c>
      <c r="C12808" t="s">
        <v>9</v>
      </c>
      <c r="D12808">
        <v>2</v>
      </c>
      <c r="E12808" s="2">
        <v>1.5162037037037036E-3</v>
      </c>
      <c r="F12808">
        <v>2.1833333333333331</v>
      </c>
    </row>
    <row r="12809" spans="1:6" x14ac:dyDescent="0.25">
      <c r="A12809" s="1">
        <v>42979</v>
      </c>
      <c r="B12809" t="s">
        <v>17</v>
      </c>
      <c r="C12809" t="s">
        <v>10</v>
      </c>
      <c r="D12809">
        <v>6</v>
      </c>
      <c r="E12809" s="2">
        <v>6.6550925925925927E-3</v>
      </c>
      <c r="F12809">
        <v>9.5833333333333339</v>
      </c>
    </row>
    <row r="12810" spans="1:6" x14ac:dyDescent="0.25">
      <c r="A12810" s="1">
        <v>42979</v>
      </c>
      <c r="B12810" t="s">
        <v>17</v>
      </c>
      <c r="C12810" t="s">
        <v>11</v>
      </c>
      <c r="D12810">
        <v>3</v>
      </c>
      <c r="E12810" s="2">
        <v>4.0856481481481481E-3</v>
      </c>
      <c r="F12810">
        <v>5.8833333333333329</v>
      </c>
    </row>
    <row r="12811" spans="1:6" x14ac:dyDescent="0.25">
      <c r="A12811" s="1">
        <v>42979</v>
      </c>
      <c r="B12811" t="s">
        <v>18</v>
      </c>
      <c r="C12811" t="s">
        <v>6</v>
      </c>
      <c r="D12811">
        <v>45</v>
      </c>
      <c r="E12811" s="2">
        <v>5.5532407407407405E-2</v>
      </c>
      <c r="F12811">
        <v>79.966666666666669</v>
      </c>
    </row>
    <row r="12812" spans="1:6" x14ac:dyDescent="0.25">
      <c r="A12812" s="1">
        <v>42979</v>
      </c>
      <c r="B12812" t="s">
        <v>18</v>
      </c>
      <c r="C12812" t="s">
        <v>7</v>
      </c>
      <c r="D12812">
        <v>73</v>
      </c>
      <c r="E12812" s="2">
        <v>8.0914351851851848E-2</v>
      </c>
      <c r="F12812">
        <v>116.51666666666667</v>
      </c>
    </row>
    <row r="12813" spans="1:6" x14ac:dyDescent="0.25">
      <c r="A12813" s="1">
        <v>42979</v>
      </c>
      <c r="B12813" t="s">
        <v>18</v>
      </c>
      <c r="C12813" t="s">
        <v>8</v>
      </c>
      <c r="D12813">
        <v>36</v>
      </c>
      <c r="E12813" s="2">
        <v>3.0173611111111109E-2</v>
      </c>
      <c r="F12813">
        <v>43.45</v>
      </c>
    </row>
    <row r="12814" spans="1:6" x14ac:dyDescent="0.25">
      <c r="A12814" s="1">
        <v>42979</v>
      </c>
      <c r="B12814" t="s">
        <v>18</v>
      </c>
      <c r="C12814" t="s">
        <v>9</v>
      </c>
      <c r="D12814">
        <v>25</v>
      </c>
      <c r="E12814" s="2">
        <v>1.8773148148148146E-2</v>
      </c>
      <c r="F12814">
        <v>27.033333333333335</v>
      </c>
    </row>
    <row r="12815" spans="1:6" x14ac:dyDescent="0.25">
      <c r="A12815" s="1">
        <v>42979</v>
      </c>
      <c r="B12815" t="s">
        <v>18</v>
      </c>
      <c r="C12815" t="s">
        <v>10</v>
      </c>
      <c r="D12815">
        <v>146</v>
      </c>
      <c r="E12815" s="2">
        <v>0.1968287037037037</v>
      </c>
      <c r="F12815">
        <v>283.43333333333334</v>
      </c>
    </row>
    <row r="12816" spans="1:6" x14ac:dyDescent="0.25">
      <c r="A12816" s="1">
        <v>42979</v>
      </c>
      <c r="B12816" t="s">
        <v>18</v>
      </c>
      <c r="C12816" t="s">
        <v>11</v>
      </c>
      <c r="D12816">
        <v>47</v>
      </c>
      <c r="E12816" s="2">
        <v>4.1203703703703701E-2</v>
      </c>
      <c r="F12816">
        <v>59.333333333333336</v>
      </c>
    </row>
    <row r="12817" spans="1:6" x14ac:dyDescent="0.25">
      <c r="A12817" s="1">
        <v>42979</v>
      </c>
      <c r="B12817" t="s">
        <v>19</v>
      </c>
      <c r="C12817" t="s">
        <v>6</v>
      </c>
      <c r="D12817">
        <v>10</v>
      </c>
      <c r="E12817" s="2">
        <v>1.6157407407407409E-2</v>
      </c>
      <c r="F12817">
        <v>23.266666666666666</v>
      </c>
    </row>
    <row r="12818" spans="1:6" x14ac:dyDescent="0.25">
      <c r="A12818" s="1">
        <v>42979</v>
      </c>
      <c r="B12818" t="s">
        <v>19</v>
      </c>
      <c r="C12818" t="s">
        <v>7</v>
      </c>
      <c r="D12818">
        <v>9</v>
      </c>
      <c r="E12818" s="2">
        <v>1.0393518518518519E-2</v>
      </c>
      <c r="F12818">
        <v>14.966666666666667</v>
      </c>
    </row>
    <row r="12819" spans="1:6" x14ac:dyDescent="0.25">
      <c r="A12819" s="1">
        <v>42979</v>
      </c>
      <c r="B12819" t="s">
        <v>19</v>
      </c>
      <c r="C12819" t="s">
        <v>8</v>
      </c>
      <c r="D12819">
        <v>7</v>
      </c>
      <c r="E12819" s="2">
        <v>8.9236111111111113E-3</v>
      </c>
      <c r="F12819">
        <v>12.85</v>
      </c>
    </row>
    <row r="12820" spans="1:6" x14ac:dyDescent="0.25">
      <c r="A12820" s="1">
        <v>42979</v>
      </c>
      <c r="B12820" t="s">
        <v>19</v>
      </c>
      <c r="C12820" t="s">
        <v>9</v>
      </c>
      <c r="D12820">
        <v>3</v>
      </c>
      <c r="E12820" s="2">
        <v>2.3495370370370371E-3</v>
      </c>
      <c r="F12820">
        <v>3.3833333333333333</v>
      </c>
    </row>
    <row r="12821" spans="1:6" x14ac:dyDescent="0.25">
      <c r="A12821" s="1">
        <v>42979</v>
      </c>
      <c r="B12821" t="s">
        <v>19</v>
      </c>
      <c r="C12821" t="s">
        <v>10</v>
      </c>
      <c r="D12821">
        <v>7</v>
      </c>
      <c r="E12821" s="2">
        <v>8.0092592592592594E-3</v>
      </c>
      <c r="F12821">
        <v>11.533333333333333</v>
      </c>
    </row>
    <row r="12822" spans="1:6" x14ac:dyDescent="0.25">
      <c r="A12822" s="1">
        <v>42979</v>
      </c>
      <c r="B12822" t="s">
        <v>19</v>
      </c>
      <c r="C12822" t="s">
        <v>11</v>
      </c>
      <c r="D12822">
        <v>8</v>
      </c>
      <c r="E12822" s="2">
        <v>6.2384259259259259E-3</v>
      </c>
      <c r="F12822">
        <v>8.9833333333333325</v>
      </c>
    </row>
    <row r="12823" spans="1:6" x14ac:dyDescent="0.25">
      <c r="A12823" s="1">
        <v>42979</v>
      </c>
      <c r="B12823" t="s">
        <v>20</v>
      </c>
      <c r="C12823" t="s">
        <v>6</v>
      </c>
      <c r="D12823">
        <v>33</v>
      </c>
      <c r="E12823" s="2">
        <v>4.9097222222222223E-2</v>
      </c>
      <c r="F12823">
        <v>70.7</v>
      </c>
    </row>
    <row r="12824" spans="1:6" x14ac:dyDescent="0.25">
      <c r="A12824" s="1">
        <v>42979</v>
      </c>
      <c r="B12824" t="s">
        <v>20</v>
      </c>
      <c r="C12824" t="s">
        <v>7</v>
      </c>
      <c r="D12824">
        <v>43</v>
      </c>
      <c r="E12824" s="2">
        <v>5.7824074074074076E-2</v>
      </c>
      <c r="F12824">
        <v>83.266666666666666</v>
      </c>
    </row>
    <row r="12825" spans="1:6" x14ac:dyDescent="0.25">
      <c r="A12825" s="1">
        <v>42979</v>
      </c>
      <c r="B12825" t="s">
        <v>20</v>
      </c>
      <c r="C12825" t="s">
        <v>8</v>
      </c>
      <c r="D12825">
        <v>28</v>
      </c>
      <c r="E12825" s="2">
        <v>2.8217592592592593E-2</v>
      </c>
      <c r="F12825">
        <v>40.633333333333333</v>
      </c>
    </row>
    <row r="12826" spans="1:6" x14ac:dyDescent="0.25">
      <c r="A12826" s="1">
        <v>42979</v>
      </c>
      <c r="B12826" t="s">
        <v>20</v>
      </c>
      <c r="C12826" t="s">
        <v>9</v>
      </c>
      <c r="D12826">
        <v>16</v>
      </c>
      <c r="E12826" s="2">
        <v>1.4212962962962964E-2</v>
      </c>
      <c r="F12826">
        <v>20.466666666666665</v>
      </c>
    </row>
    <row r="12827" spans="1:6" x14ac:dyDescent="0.25">
      <c r="A12827" s="1">
        <v>42979</v>
      </c>
      <c r="B12827" t="s">
        <v>20</v>
      </c>
      <c r="C12827" t="s">
        <v>10</v>
      </c>
      <c r="D12827">
        <v>7</v>
      </c>
      <c r="E12827" s="2">
        <v>9.7337962962962959E-3</v>
      </c>
      <c r="F12827">
        <v>14.016666666666667</v>
      </c>
    </row>
    <row r="12828" spans="1:6" x14ac:dyDescent="0.25">
      <c r="A12828" s="1">
        <v>42979</v>
      </c>
      <c r="B12828" t="s">
        <v>20</v>
      </c>
      <c r="C12828" t="s">
        <v>11</v>
      </c>
      <c r="D12828">
        <v>29</v>
      </c>
      <c r="E12828" s="2">
        <v>2.3402777777777779E-2</v>
      </c>
      <c r="F12828">
        <v>33.700000000000003</v>
      </c>
    </row>
    <row r="12829" spans="1:6" x14ac:dyDescent="0.25">
      <c r="A12829" s="1">
        <v>42979</v>
      </c>
      <c r="B12829" t="s">
        <v>21</v>
      </c>
      <c r="C12829" t="s">
        <v>6</v>
      </c>
      <c r="D12829">
        <v>20</v>
      </c>
      <c r="E12829" s="2">
        <v>2.6851851851851852E-2</v>
      </c>
      <c r="F12829">
        <v>38.666666666666664</v>
      </c>
    </row>
    <row r="12830" spans="1:6" x14ac:dyDescent="0.25">
      <c r="A12830" s="1">
        <v>42979</v>
      </c>
      <c r="B12830" t="s">
        <v>21</v>
      </c>
      <c r="C12830" t="s">
        <v>7</v>
      </c>
      <c r="D12830">
        <v>7</v>
      </c>
      <c r="E12830" s="2">
        <v>1.6516203703703703E-2</v>
      </c>
      <c r="F12830">
        <v>23.783333333333335</v>
      </c>
    </row>
    <row r="12831" spans="1:6" x14ac:dyDescent="0.25">
      <c r="A12831" s="1">
        <v>42979</v>
      </c>
      <c r="B12831" t="s">
        <v>21</v>
      </c>
      <c r="C12831" t="s">
        <v>8</v>
      </c>
      <c r="D12831">
        <v>12</v>
      </c>
      <c r="E12831" s="2">
        <v>1.2256944444444445E-2</v>
      </c>
      <c r="F12831">
        <v>17.649999999999999</v>
      </c>
    </row>
    <row r="12832" spans="1:6" x14ac:dyDescent="0.25">
      <c r="A12832" s="1">
        <v>42979</v>
      </c>
      <c r="B12832" t="s">
        <v>21</v>
      </c>
      <c r="C12832" t="s">
        <v>9</v>
      </c>
      <c r="D12832">
        <v>1</v>
      </c>
      <c r="E12832" s="2">
        <v>8.6805555555555551E-4</v>
      </c>
      <c r="F12832">
        <v>1.25</v>
      </c>
    </row>
    <row r="12833" spans="1:6" x14ac:dyDescent="0.25">
      <c r="A12833" s="1">
        <v>42979</v>
      </c>
      <c r="B12833" t="s">
        <v>21</v>
      </c>
      <c r="C12833" t="s">
        <v>10</v>
      </c>
      <c r="D12833">
        <v>4</v>
      </c>
      <c r="E12833" s="2">
        <v>6.3078703703703708E-3</v>
      </c>
      <c r="F12833">
        <v>9.0833333333333339</v>
      </c>
    </row>
    <row r="12834" spans="1:6" x14ac:dyDescent="0.25">
      <c r="A12834" s="1">
        <v>42979</v>
      </c>
      <c r="B12834" t="s">
        <v>21</v>
      </c>
      <c r="C12834" t="s">
        <v>11</v>
      </c>
      <c r="D12834">
        <v>10</v>
      </c>
      <c r="E12834" s="2">
        <v>1.0856481481481481E-2</v>
      </c>
      <c r="F12834">
        <v>15.633333333333333</v>
      </c>
    </row>
    <row r="12835" spans="1:6" x14ac:dyDescent="0.25">
      <c r="A12835" s="1">
        <v>42979</v>
      </c>
      <c r="B12835" t="s">
        <v>22</v>
      </c>
      <c r="C12835" t="s">
        <v>6</v>
      </c>
      <c r="D12835">
        <v>11</v>
      </c>
      <c r="E12835" s="2">
        <v>1.6597222222222222E-2</v>
      </c>
      <c r="F12835">
        <v>23.9</v>
      </c>
    </row>
    <row r="12836" spans="1:6" x14ac:dyDescent="0.25">
      <c r="A12836" s="1">
        <v>42979</v>
      </c>
      <c r="B12836" t="s">
        <v>22</v>
      </c>
      <c r="C12836" t="s">
        <v>7</v>
      </c>
      <c r="D12836">
        <v>7</v>
      </c>
      <c r="E12836" s="2">
        <v>1.2627314814814815E-2</v>
      </c>
      <c r="F12836">
        <v>18.183333333333334</v>
      </c>
    </row>
    <row r="12837" spans="1:6" x14ac:dyDescent="0.25">
      <c r="A12837" s="1">
        <v>42979</v>
      </c>
      <c r="B12837" t="s">
        <v>22</v>
      </c>
      <c r="C12837" t="s">
        <v>8</v>
      </c>
      <c r="D12837">
        <v>4</v>
      </c>
      <c r="E12837" s="2">
        <v>5.6481481481481478E-3</v>
      </c>
      <c r="F12837">
        <v>8.1333333333333329</v>
      </c>
    </row>
    <row r="12838" spans="1:6" x14ac:dyDescent="0.25">
      <c r="A12838" s="1">
        <v>42979</v>
      </c>
      <c r="B12838" t="s">
        <v>22</v>
      </c>
      <c r="C12838" t="s">
        <v>9</v>
      </c>
      <c r="D12838">
        <v>2</v>
      </c>
      <c r="E12838" s="2">
        <v>1.5740740740740741E-3</v>
      </c>
      <c r="F12838">
        <v>2.2666666666666666</v>
      </c>
    </row>
    <row r="12839" spans="1:6" x14ac:dyDescent="0.25">
      <c r="A12839" s="1">
        <v>42979</v>
      </c>
      <c r="B12839" t="s">
        <v>22</v>
      </c>
      <c r="C12839" t="s">
        <v>10</v>
      </c>
      <c r="D12839">
        <v>4</v>
      </c>
      <c r="E12839" s="2">
        <v>2.650462962962963E-3</v>
      </c>
      <c r="F12839">
        <v>3.8166666666666664</v>
      </c>
    </row>
    <row r="12840" spans="1:6" x14ac:dyDescent="0.25">
      <c r="A12840" s="1">
        <v>42979</v>
      </c>
      <c r="B12840" t="s">
        <v>22</v>
      </c>
      <c r="C12840" t="s">
        <v>11</v>
      </c>
      <c r="D12840">
        <v>9</v>
      </c>
      <c r="E12840" s="2">
        <v>1.1261574074074075E-2</v>
      </c>
      <c r="F12840">
        <v>16.216666666666665</v>
      </c>
    </row>
    <row r="12841" spans="1:6" x14ac:dyDescent="0.25">
      <c r="A12841" s="1">
        <v>42979</v>
      </c>
      <c r="B12841" t="s">
        <v>23</v>
      </c>
      <c r="C12841" t="s">
        <v>6</v>
      </c>
      <c r="D12841">
        <v>80</v>
      </c>
      <c r="E12841" s="2">
        <v>0.10637731481481481</v>
      </c>
      <c r="F12841">
        <v>153.18333333333334</v>
      </c>
    </row>
    <row r="12842" spans="1:6" x14ac:dyDescent="0.25">
      <c r="A12842" s="1">
        <v>42979</v>
      </c>
      <c r="B12842" t="s">
        <v>23</v>
      </c>
      <c r="C12842" t="s">
        <v>7</v>
      </c>
      <c r="D12842">
        <v>93</v>
      </c>
      <c r="E12842" s="2">
        <v>0.15251157407407406</v>
      </c>
      <c r="F12842">
        <v>219.61666666666667</v>
      </c>
    </row>
    <row r="12843" spans="1:6" x14ac:dyDescent="0.25">
      <c r="A12843" s="1">
        <v>42979</v>
      </c>
      <c r="B12843" t="s">
        <v>23</v>
      </c>
      <c r="C12843" t="s">
        <v>8</v>
      </c>
      <c r="D12843">
        <v>61</v>
      </c>
      <c r="E12843" s="2">
        <v>7.3854166666666665E-2</v>
      </c>
      <c r="F12843">
        <v>106.35</v>
      </c>
    </row>
    <row r="12844" spans="1:6" x14ac:dyDescent="0.25">
      <c r="A12844" s="1">
        <v>42979</v>
      </c>
      <c r="B12844" t="s">
        <v>23</v>
      </c>
      <c r="C12844" t="s">
        <v>9</v>
      </c>
      <c r="D12844">
        <v>21</v>
      </c>
      <c r="E12844" s="2">
        <v>1.9108796296296297E-2</v>
      </c>
      <c r="F12844">
        <v>27.516666666666666</v>
      </c>
    </row>
    <row r="12845" spans="1:6" x14ac:dyDescent="0.25">
      <c r="A12845" s="1">
        <v>42979</v>
      </c>
      <c r="B12845" t="s">
        <v>23</v>
      </c>
      <c r="C12845" t="s">
        <v>10</v>
      </c>
      <c r="D12845">
        <v>26</v>
      </c>
      <c r="E12845" s="2">
        <v>3.9687500000000001E-2</v>
      </c>
      <c r="F12845">
        <v>57.15</v>
      </c>
    </row>
    <row r="12846" spans="1:6" x14ac:dyDescent="0.25">
      <c r="A12846" s="1">
        <v>42979</v>
      </c>
      <c r="B12846" t="s">
        <v>23</v>
      </c>
      <c r="C12846" t="s">
        <v>11</v>
      </c>
      <c r="D12846">
        <v>80</v>
      </c>
      <c r="E12846" s="2">
        <v>7.7638888888888882E-2</v>
      </c>
      <c r="F12846">
        <v>111.8</v>
      </c>
    </row>
    <row r="12847" spans="1:6" x14ac:dyDescent="0.25">
      <c r="A12847" s="1">
        <v>42979</v>
      </c>
      <c r="B12847" t="s">
        <v>24</v>
      </c>
      <c r="C12847" t="s">
        <v>6</v>
      </c>
      <c r="D12847">
        <v>40</v>
      </c>
      <c r="E12847" s="2">
        <v>4.6087962962962963E-2</v>
      </c>
      <c r="F12847">
        <v>66.36666666666666</v>
      </c>
    </row>
    <row r="12848" spans="1:6" x14ac:dyDescent="0.25">
      <c r="A12848" s="1">
        <v>42979</v>
      </c>
      <c r="B12848" t="s">
        <v>24</v>
      </c>
      <c r="C12848" t="s">
        <v>7</v>
      </c>
      <c r="D12848">
        <v>28</v>
      </c>
      <c r="E12848" s="2">
        <v>4.0648148148148149E-2</v>
      </c>
      <c r="F12848">
        <v>58.533333333333331</v>
      </c>
    </row>
    <row r="12849" spans="1:6" x14ac:dyDescent="0.25">
      <c r="A12849" s="1">
        <v>42979</v>
      </c>
      <c r="B12849" t="s">
        <v>24</v>
      </c>
      <c r="C12849" t="s">
        <v>8</v>
      </c>
      <c r="D12849">
        <v>15</v>
      </c>
      <c r="E12849" s="2">
        <v>1.4652777777777778E-2</v>
      </c>
      <c r="F12849">
        <v>21.1</v>
      </c>
    </row>
    <row r="12850" spans="1:6" x14ac:dyDescent="0.25">
      <c r="A12850" s="1">
        <v>42979</v>
      </c>
      <c r="B12850" t="s">
        <v>24</v>
      </c>
      <c r="C12850" t="s">
        <v>9</v>
      </c>
      <c r="D12850">
        <v>9</v>
      </c>
      <c r="E12850" s="2">
        <v>4.6481481481481485E-2</v>
      </c>
      <c r="F12850">
        <v>66.933333333333337</v>
      </c>
    </row>
    <row r="12851" spans="1:6" x14ac:dyDescent="0.25">
      <c r="A12851" s="1">
        <v>42979</v>
      </c>
      <c r="B12851" t="s">
        <v>24</v>
      </c>
      <c r="C12851" t="s">
        <v>10</v>
      </c>
      <c r="D12851">
        <v>0</v>
      </c>
      <c r="E12851" s="2">
        <v>0</v>
      </c>
      <c r="F12851">
        <v>0</v>
      </c>
    </row>
    <row r="12852" spans="1:6" x14ac:dyDescent="0.25">
      <c r="A12852" s="1">
        <v>42979</v>
      </c>
      <c r="B12852" t="s">
        <v>24</v>
      </c>
      <c r="C12852" t="s">
        <v>11</v>
      </c>
      <c r="D12852">
        <v>27</v>
      </c>
      <c r="E12852" s="2">
        <v>2.7430555555555555E-2</v>
      </c>
      <c r="F12852">
        <v>39.5</v>
      </c>
    </row>
    <row r="12853" spans="1:6" x14ac:dyDescent="0.25">
      <c r="A12853" s="1">
        <v>43009</v>
      </c>
      <c r="B12853" t="s">
        <v>5</v>
      </c>
      <c r="C12853" t="s">
        <v>6</v>
      </c>
      <c r="D12853">
        <v>25</v>
      </c>
      <c r="E12853" s="2">
        <v>2.6898148148148147E-2</v>
      </c>
      <c r="F12853">
        <v>38.733333333333334</v>
      </c>
    </row>
    <row r="12854" spans="1:6" x14ac:dyDescent="0.25">
      <c r="A12854" s="1">
        <v>43009</v>
      </c>
      <c r="B12854" t="s">
        <v>5</v>
      </c>
      <c r="C12854" t="s">
        <v>7</v>
      </c>
      <c r="D12854">
        <v>33</v>
      </c>
      <c r="E12854" s="2">
        <v>2.8842592592592593E-2</v>
      </c>
      <c r="F12854">
        <v>41.533333333333331</v>
      </c>
    </row>
    <row r="12855" spans="1:6" x14ac:dyDescent="0.25">
      <c r="A12855" s="1">
        <v>43009</v>
      </c>
      <c r="B12855" t="s">
        <v>5</v>
      </c>
      <c r="C12855" t="s">
        <v>8</v>
      </c>
      <c r="D12855">
        <v>28</v>
      </c>
      <c r="E12855" s="2">
        <v>2.71875E-2</v>
      </c>
      <c r="F12855">
        <v>39.15</v>
      </c>
    </row>
    <row r="12856" spans="1:6" x14ac:dyDescent="0.25">
      <c r="A12856" s="1">
        <v>43009</v>
      </c>
      <c r="B12856" t="s">
        <v>5</v>
      </c>
      <c r="C12856" t="s">
        <v>9</v>
      </c>
      <c r="D12856">
        <v>5</v>
      </c>
      <c r="E12856" s="2">
        <v>3.3333333333333335E-3</v>
      </c>
      <c r="F12856">
        <v>4.8</v>
      </c>
    </row>
    <row r="12857" spans="1:6" x14ac:dyDescent="0.25">
      <c r="A12857" s="1">
        <v>43009</v>
      </c>
      <c r="B12857" t="s">
        <v>5</v>
      </c>
      <c r="C12857" t="s">
        <v>10</v>
      </c>
      <c r="D12857">
        <v>8</v>
      </c>
      <c r="E12857" s="2">
        <v>6.2962962962962964E-3</v>
      </c>
      <c r="F12857">
        <v>9.0666666666666664</v>
      </c>
    </row>
    <row r="12858" spans="1:6" x14ac:dyDescent="0.25">
      <c r="A12858" s="1">
        <v>43009</v>
      </c>
      <c r="B12858" t="s">
        <v>5</v>
      </c>
      <c r="C12858" t="s">
        <v>11</v>
      </c>
      <c r="D12858">
        <v>35</v>
      </c>
      <c r="E12858" s="2">
        <v>2.2870370370370371E-2</v>
      </c>
      <c r="F12858">
        <v>32.93333333333333</v>
      </c>
    </row>
    <row r="12859" spans="1:6" x14ac:dyDescent="0.25">
      <c r="A12859" s="1">
        <v>43009</v>
      </c>
      <c r="B12859" t="s">
        <v>12</v>
      </c>
      <c r="C12859" t="s">
        <v>6</v>
      </c>
      <c r="D12859">
        <v>43</v>
      </c>
      <c r="E12859" s="2">
        <v>6.9189814814814815E-2</v>
      </c>
      <c r="F12859">
        <v>99.63333333333334</v>
      </c>
    </row>
    <row r="12860" spans="1:6" x14ac:dyDescent="0.25">
      <c r="A12860" s="1">
        <v>43009</v>
      </c>
      <c r="B12860" t="s">
        <v>12</v>
      </c>
      <c r="C12860" t="s">
        <v>7</v>
      </c>
      <c r="D12860">
        <v>25</v>
      </c>
      <c r="E12860" s="2">
        <v>4.87037037037037E-2</v>
      </c>
      <c r="F12860">
        <v>70.13333333333334</v>
      </c>
    </row>
    <row r="12861" spans="1:6" x14ac:dyDescent="0.25">
      <c r="A12861" s="1">
        <v>43009</v>
      </c>
      <c r="B12861" t="s">
        <v>12</v>
      </c>
      <c r="C12861" t="s">
        <v>8</v>
      </c>
      <c r="D12861">
        <v>24</v>
      </c>
      <c r="E12861" s="2">
        <v>4.3171296296296298E-2</v>
      </c>
      <c r="F12861">
        <v>62.166666666666664</v>
      </c>
    </row>
    <row r="12862" spans="1:6" x14ac:dyDescent="0.25">
      <c r="A12862" s="1">
        <v>43009</v>
      </c>
      <c r="B12862" t="s">
        <v>12</v>
      </c>
      <c r="C12862" t="s">
        <v>9</v>
      </c>
      <c r="D12862">
        <v>6</v>
      </c>
      <c r="E12862" s="2">
        <v>4.3750000000000004E-3</v>
      </c>
      <c r="F12862">
        <v>6.3</v>
      </c>
    </row>
    <row r="12863" spans="1:6" x14ac:dyDescent="0.25">
      <c r="A12863" s="1">
        <v>43009</v>
      </c>
      <c r="B12863" t="s">
        <v>12</v>
      </c>
      <c r="C12863" t="s">
        <v>10</v>
      </c>
      <c r="D12863">
        <v>28</v>
      </c>
      <c r="E12863" s="2">
        <v>4.7141203703703706E-2</v>
      </c>
      <c r="F12863">
        <v>67.88333333333334</v>
      </c>
    </row>
    <row r="12864" spans="1:6" x14ac:dyDescent="0.25">
      <c r="A12864" s="1">
        <v>43009</v>
      </c>
      <c r="B12864" t="s">
        <v>12</v>
      </c>
      <c r="C12864" t="s">
        <v>11</v>
      </c>
      <c r="D12864">
        <v>68</v>
      </c>
      <c r="E12864" s="2">
        <v>8.4004629629629624E-2</v>
      </c>
      <c r="F12864">
        <v>120.96666666666667</v>
      </c>
    </row>
    <row r="12865" spans="1:6" x14ac:dyDescent="0.25">
      <c r="A12865" s="1">
        <v>43009</v>
      </c>
      <c r="B12865" t="s">
        <v>13</v>
      </c>
      <c r="C12865" t="s">
        <v>6</v>
      </c>
      <c r="D12865">
        <v>72</v>
      </c>
      <c r="E12865" s="2">
        <v>0.1077199074074074</v>
      </c>
      <c r="F12865">
        <v>155.11666666666667</v>
      </c>
    </row>
    <row r="12866" spans="1:6" x14ac:dyDescent="0.25">
      <c r="A12866" s="1">
        <v>43009</v>
      </c>
      <c r="B12866" t="s">
        <v>13</v>
      </c>
      <c r="C12866" t="s">
        <v>7</v>
      </c>
      <c r="D12866">
        <v>82</v>
      </c>
      <c r="E12866" s="2">
        <v>0.13893518518518519</v>
      </c>
      <c r="F12866">
        <v>200.06666666666666</v>
      </c>
    </row>
    <row r="12867" spans="1:6" x14ac:dyDescent="0.25">
      <c r="A12867" s="1">
        <v>43009</v>
      </c>
      <c r="B12867" t="s">
        <v>13</v>
      </c>
      <c r="C12867" t="s">
        <v>8</v>
      </c>
      <c r="D12867">
        <v>55</v>
      </c>
      <c r="E12867" s="2">
        <v>7.0219907407407411E-2</v>
      </c>
      <c r="F12867">
        <v>101.11666666666666</v>
      </c>
    </row>
    <row r="12868" spans="1:6" x14ac:dyDescent="0.25">
      <c r="A12868" s="1">
        <v>43009</v>
      </c>
      <c r="B12868" t="s">
        <v>13</v>
      </c>
      <c r="C12868" t="s">
        <v>9</v>
      </c>
      <c r="D12868">
        <v>17</v>
      </c>
      <c r="E12868" s="2">
        <v>1.3784722222222223E-2</v>
      </c>
      <c r="F12868">
        <v>19.850000000000001</v>
      </c>
    </row>
    <row r="12869" spans="1:6" x14ac:dyDescent="0.25">
      <c r="A12869" s="1">
        <v>43009</v>
      </c>
      <c r="B12869" t="s">
        <v>13</v>
      </c>
      <c r="C12869" t="s">
        <v>10</v>
      </c>
      <c r="D12869">
        <v>7</v>
      </c>
      <c r="E12869" s="2">
        <v>1.2905092592592593E-2</v>
      </c>
      <c r="F12869">
        <v>18.583333333333332</v>
      </c>
    </row>
    <row r="12870" spans="1:6" x14ac:dyDescent="0.25">
      <c r="A12870" s="1">
        <v>43009</v>
      </c>
      <c r="B12870" t="s">
        <v>13</v>
      </c>
      <c r="C12870" t="s">
        <v>11</v>
      </c>
      <c r="D12870">
        <v>42</v>
      </c>
      <c r="E12870" s="2">
        <v>5.2094907407407409E-2</v>
      </c>
      <c r="F12870">
        <v>75.016666666666666</v>
      </c>
    </row>
    <row r="12871" spans="1:6" x14ac:dyDescent="0.25">
      <c r="A12871" s="1">
        <v>43009</v>
      </c>
      <c r="B12871" t="s">
        <v>14</v>
      </c>
      <c r="C12871" t="s">
        <v>6</v>
      </c>
      <c r="D12871">
        <v>20</v>
      </c>
      <c r="E12871" s="2">
        <v>3.0717592592592591E-2</v>
      </c>
      <c r="F12871">
        <v>44.233333333333334</v>
      </c>
    </row>
    <row r="12872" spans="1:6" x14ac:dyDescent="0.25">
      <c r="A12872" s="1">
        <v>43009</v>
      </c>
      <c r="B12872" t="s">
        <v>14</v>
      </c>
      <c r="C12872" t="s">
        <v>7</v>
      </c>
      <c r="D12872">
        <v>14</v>
      </c>
      <c r="E12872" s="2">
        <v>2.792824074074074E-2</v>
      </c>
      <c r="F12872">
        <v>40.216666666666669</v>
      </c>
    </row>
    <row r="12873" spans="1:6" x14ac:dyDescent="0.25">
      <c r="A12873" s="1">
        <v>43009</v>
      </c>
      <c r="B12873" t="s">
        <v>14</v>
      </c>
      <c r="C12873" t="s">
        <v>8</v>
      </c>
      <c r="D12873">
        <v>6</v>
      </c>
      <c r="E12873" s="2">
        <v>1.1435185185185185E-2</v>
      </c>
      <c r="F12873">
        <v>16.466666666666665</v>
      </c>
    </row>
    <row r="12874" spans="1:6" x14ac:dyDescent="0.25">
      <c r="A12874" s="1">
        <v>43009</v>
      </c>
      <c r="B12874" t="s">
        <v>14</v>
      </c>
      <c r="C12874" t="s">
        <v>9</v>
      </c>
      <c r="D12874">
        <v>2</v>
      </c>
      <c r="E12874" s="2">
        <v>2.2453703703703702E-3</v>
      </c>
      <c r="F12874">
        <v>3.2333333333333334</v>
      </c>
    </row>
    <row r="12875" spans="1:6" x14ac:dyDescent="0.25">
      <c r="A12875" s="1">
        <v>43009</v>
      </c>
      <c r="B12875" t="s">
        <v>14</v>
      </c>
      <c r="C12875" t="s">
        <v>10</v>
      </c>
      <c r="D12875">
        <v>1</v>
      </c>
      <c r="E12875" s="2">
        <v>2.1296296296296298E-3</v>
      </c>
      <c r="F12875">
        <v>3.0666666666666669</v>
      </c>
    </row>
    <row r="12876" spans="1:6" x14ac:dyDescent="0.25">
      <c r="A12876" s="1">
        <v>43009</v>
      </c>
      <c r="B12876" t="s">
        <v>14</v>
      </c>
      <c r="C12876" t="s">
        <v>11</v>
      </c>
      <c r="D12876">
        <v>10</v>
      </c>
      <c r="E12876" s="2">
        <v>1.4143518518518519E-2</v>
      </c>
      <c r="F12876">
        <v>20.366666666666667</v>
      </c>
    </row>
    <row r="12877" spans="1:6" x14ac:dyDescent="0.25">
      <c r="A12877" s="1">
        <v>43009</v>
      </c>
      <c r="B12877" t="s">
        <v>15</v>
      </c>
      <c r="C12877" t="s">
        <v>6</v>
      </c>
      <c r="D12877">
        <v>16</v>
      </c>
      <c r="E12877" s="2">
        <v>2.7002314814814816E-2</v>
      </c>
      <c r="F12877">
        <v>38.883333333333333</v>
      </c>
    </row>
    <row r="12878" spans="1:6" x14ac:dyDescent="0.25">
      <c r="A12878" s="1">
        <v>43009</v>
      </c>
      <c r="B12878" t="s">
        <v>15</v>
      </c>
      <c r="C12878" t="s">
        <v>7</v>
      </c>
      <c r="D12878">
        <v>25</v>
      </c>
      <c r="E12878" s="2">
        <v>4.3055555555555555E-2</v>
      </c>
      <c r="F12878">
        <v>62</v>
      </c>
    </row>
    <row r="12879" spans="1:6" x14ac:dyDescent="0.25">
      <c r="A12879" s="1">
        <v>43009</v>
      </c>
      <c r="B12879" t="s">
        <v>15</v>
      </c>
      <c r="C12879" t="s">
        <v>8</v>
      </c>
      <c r="D12879">
        <v>16</v>
      </c>
      <c r="E12879" s="2">
        <v>2.2870370370370371E-2</v>
      </c>
      <c r="F12879">
        <v>32.93333333333333</v>
      </c>
    </row>
    <row r="12880" spans="1:6" x14ac:dyDescent="0.25">
      <c r="A12880" s="1">
        <v>43009</v>
      </c>
      <c r="B12880" t="s">
        <v>15</v>
      </c>
      <c r="C12880" t="s">
        <v>9</v>
      </c>
      <c r="D12880">
        <v>6</v>
      </c>
      <c r="E12880" s="2">
        <v>4.2824074074074075E-3</v>
      </c>
      <c r="F12880">
        <v>6.166666666666667</v>
      </c>
    </row>
    <row r="12881" spans="1:6" x14ac:dyDescent="0.25">
      <c r="A12881" s="1">
        <v>43009</v>
      </c>
      <c r="B12881" t="s">
        <v>15</v>
      </c>
      <c r="C12881" t="s">
        <v>10</v>
      </c>
      <c r="D12881">
        <v>5</v>
      </c>
      <c r="E12881" s="2">
        <v>8.7847222222222215E-3</v>
      </c>
      <c r="F12881">
        <v>12.65</v>
      </c>
    </row>
    <row r="12882" spans="1:6" x14ac:dyDescent="0.25">
      <c r="A12882" s="1">
        <v>43009</v>
      </c>
      <c r="B12882" t="s">
        <v>15</v>
      </c>
      <c r="C12882" t="s">
        <v>11</v>
      </c>
      <c r="D12882">
        <v>17</v>
      </c>
      <c r="E12882" s="2">
        <v>1.7986111111111112E-2</v>
      </c>
      <c r="F12882">
        <v>25.9</v>
      </c>
    </row>
    <row r="12883" spans="1:6" x14ac:dyDescent="0.25">
      <c r="A12883" s="1">
        <v>43009</v>
      </c>
      <c r="B12883" t="s">
        <v>16</v>
      </c>
      <c r="C12883" t="s">
        <v>6</v>
      </c>
      <c r="D12883">
        <v>32</v>
      </c>
      <c r="E12883" s="2">
        <v>3.5578703703703703E-2</v>
      </c>
      <c r="F12883">
        <v>51.233333333333334</v>
      </c>
    </row>
    <row r="12884" spans="1:6" x14ac:dyDescent="0.25">
      <c r="A12884" s="1">
        <v>43009</v>
      </c>
      <c r="B12884" t="s">
        <v>16</v>
      </c>
      <c r="C12884" t="s">
        <v>7</v>
      </c>
      <c r="D12884">
        <v>33</v>
      </c>
      <c r="E12884" s="2">
        <v>3.0185185185185186E-2</v>
      </c>
      <c r="F12884">
        <v>43.466666666666669</v>
      </c>
    </row>
    <row r="12885" spans="1:6" x14ac:dyDescent="0.25">
      <c r="A12885" s="1">
        <v>43009</v>
      </c>
      <c r="B12885" t="s">
        <v>16</v>
      </c>
      <c r="C12885" t="s">
        <v>8</v>
      </c>
      <c r="D12885">
        <v>41</v>
      </c>
      <c r="E12885" s="2">
        <v>3.8692129629629632E-2</v>
      </c>
      <c r="F12885">
        <v>55.716666666666669</v>
      </c>
    </row>
    <row r="12886" spans="1:6" x14ac:dyDescent="0.25">
      <c r="A12886" s="1">
        <v>43009</v>
      </c>
      <c r="B12886" t="s">
        <v>16</v>
      </c>
      <c r="C12886" t="s">
        <v>9</v>
      </c>
      <c r="D12886">
        <v>13</v>
      </c>
      <c r="E12886" s="2">
        <v>1.0868055555555556E-2</v>
      </c>
      <c r="F12886">
        <v>15.65</v>
      </c>
    </row>
    <row r="12887" spans="1:6" x14ac:dyDescent="0.25">
      <c r="A12887" s="1">
        <v>43009</v>
      </c>
      <c r="B12887" t="s">
        <v>16</v>
      </c>
      <c r="C12887" t="s">
        <v>10</v>
      </c>
      <c r="D12887">
        <v>10</v>
      </c>
      <c r="E12887" s="2">
        <v>1.1990740740740741E-2</v>
      </c>
      <c r="F12887">
        <v>17.266666666666666</v>
      </c>
    </row>
    <row r="12888" spans="1:6" x14ac:dyDescent="0.25">
      <c r="A12888" s="1">
        <v>43009</v>
      </c>
      <c r="B12888" t="s">
        <v>16</v>
      </c>
      <c r="C12888" t="s">
        <v>11</v>
      </c>
      <c r="D12888">
        <v>45</v>
      </c>
      <c r="E12888" s="2">
        <v>4.2569444444444444E-2</v>
      </c>
      <c r="F12888">
        <v>61.3</v>
      </c>
    </row>
    <row r="12889" spans="1:6" x14ac:dyDescent="0.25">
      <c r="A12889" s="1">
        <v>43009</v>
      </c>
      <c r="B12889" t="s">
        <v>17</v>
      </c>
      <c r="C12889" t="s">
        <v>6</v>
      </c>
      <c r="D12889">
        <v>9</v>
      </c>
      <c r="E12889" s="2">
        <v>1.6458333333333332E-2</v>
      </c>
      <c r="F12889">
        <v>23.7</v>
      </c>
    </row>
    <row r="12890" spans="1:6" x14ac:dyDescent="0.25">
      <c r="A12890" s="1">
        <v>43009</v>
      </c>
      <c r="B12890" t="s">
        <v>17</v>
      </c>
      <c r="C12890" t="s">
        <v>7</v>
      </c>
      <c r="D12890">
        <v>10</v>
      </c>
      <c r="E12890" s="2">
        <v>1.0567129629629629E-2</v>
      </c>
      <c r="F12890">
        <v>15.216666666666667</v>
      </c>
    </row>
    <row r="12891" spans="1:6" x14ac:dyDescent="0.25">
      <c r="A12891" s="1">
        <v>43009</v>
      </c>
      <c r="B12891" t="s">
        <v>17</v>
      </c>
      <c r="C12891" t="s">
        <v>8</v>
      </c>
      <c r="D12891">
        <v>8</v>
      </c>
      <c r="E12891" s="2">
        <v>1.1527777777777777E-2</v>
      </c>
      <c r="F12891">
        <v>16.600000000000001</v>
      </c>
    </row>
    <row r="12892" spans="1:6" x14ac:dyDescent="0.25">
      <c r="A12892" s="1">
        <v>43009</v>
      </c>
      <c r="B12892" t="s">
        <v>17</v>
      </c>
      <c r="C12892" t="s">
        <v>9</v>
      </c>
      <c r="D12892">
        <v>6</v>
      </c>
      <c r="E12892" s="2">
        <v>4.9537037037037041E-3</v>
      </c>
      <c r="F12892">
        <v>7.1333333333333337</v>
      </c>
    </row>
    <row r="12893" spans="1:6" x14ac:dyDescent="0.25">
      <c r="A12893" s="1">
        <v>43009</v>
      </c>
      <c r="B12893" t="s">
        <v>17</v>
      </c>
      <c r="C12893" t="s">
        <v>10</v>
      </c>
      <c r="D12893">
        <v>5</v>
      </c>
      <c r="E12893" s="2">
        <v>4.0046296296296297E-3</v>
      </c>
      <c r="F12893">
        <v>5.7666666666666666</v>
      </c>
    </row>
    <row r="12894" spans="1:6" x14ac:dyDescent="0.25">
      <c r="A12894" s="1">
        <v>43009</v>
      </c>
      <c r="B12894" t="s">
        <v>17</v>
      </c>
      <c r="C12894" t="s">
        <v>11</v>
      </c>
      <c r="D12894">
        <v>8</v>
      </c>
      <c r="E12894" s="2">
        <v>7.6157407407407406E-3</v>
      </c>
      <c r="F12894">
        <v>10.966666666666667</v>
      </c>
    </row>
    <row r="12895" spans="1:6" x14ac:dyDescent="0.25">
      <c r="A12895" s="1">
        <v>43009</v>
      </c>
      <c r="B12895" t="s">
        <v>18</v>
      </c>
      <c r="C12895" t="s">
        <v>6</v>
      </c>
      <c r="D12895">
        <v>85</v>
      </c>
      <c r="E12895" s="2">
        <v>9.6967592592592591E-2</v>
      </c>
      <c r="F12895">
        <v>139.63333333333333</v>
      </c>
    </row>
    <row r="12896" spans="1:6" x14ac:dyDescent="0.25">
      <c r="A12896" s="1">
        <v>43009</v>
      </c>
      <c r="B12896" t="s">
        <v>18</v>
      </c>
      <c r="C12896" t="s">
        <v>7</v>
      </c>
      <c r="D12896">
        <v>126</v>
      </c>
      <c r="E12896" s="2">
        <v>0.13203703703703704</v>
      </c>
      <c r="F12896">
        <v>190.13333333333333</v>
      </c>
    </row>
    <row r="12897" spans="1:6" x14ac:dyDescent="0.25">
      <c r="A12897" s="1">
        <v>43009</v>
      </c>
      <c r="B12897" t="s">
        <v>18</v>
      </c>
      <c r="C12897" t="s">
        <v>8</v>
      </c>
      <c r="D12897">
        <v>69</v>
      </c>
      <c r="E12897" s="2">
        <v>6.4965277777777775E-2</v>
      </c>
      <c r="F12897">
        <v>93.55</v>
      </c>
    </row>
    <row r="12898" spans="1:6" x14ac:dyDescent="0.25">
      <c r="A12898" s="1">
        <v>43009</v>
      </c>
      <c r="B12898" t="s">
        <v>18</v>
      </c>
      <c r="C12898" t="s">
        <v>9</v>
      </c>
      <c r="D12898">
        <v>27</v>
      </c>
      <c r="E12898" s="2">
        <v>2.3391203703703702E-2</v>
      </c>
      <c r="F12898">
        <v>33.68333333333333</v>
      </c>
    </row>
    <row r="12899" spans="1:6" x14ac:dyDescent="0.25">
      <c r="A12899" s="1">
        <v>43009</v>
      </c>
      <c r="B12899" t="s">
        <v>18</v>
      </c>
      <c r="C12899" t="s">
        <v>10</v>
      </c>
      <c r="D12899">
        <v>168</v>
      </c>
      <c r="E12899" s="2">
        <v>0.22511574074074073</v>
      </c>
      <c r="F12899">
        <v>324.16666666666669</v>
      </c>
    </row>
    <row r="12900" spans="1:6" x14ac:dyDescent="0.25">
      <c r="A12900" s="1">
        <v>43009</v>
      </c>
      <c r="B12900" t="s">
        <v>18</v>
      </c>
      <c r="C12900" t="s">
        <v>11</v>
      </c>
      <c r="D12900">
        <v>74</v>
      </c>
      <c r="E12900" s="2">
        <v>5.8738425925925923E-2</v>
      </c>
      <c r="F12900">
        <v>84.583333333333329</v>
      </c>
    </row>
    <row r="12901" spans="1:6" x14ac:dyDescent="0.25">
      <c r="A12901" s="1">
        <v>43009</v>
      </c>
      <c r="B12901" t="s">
        <v>19</v>
      </c>
      <c r="C12901" t="s">
        <v>6</v>
      </c>
      <c r="D12901">
        <v>21</v>
      </c>
      <c r="E12901" s="2">
        <v>2.6527777777777779E-2</v>
      </c>
      <c r="F12901">
        <v>38.200000000000003</v>
      </c>
    </row>
    <row r="12902" spans="1:6" x14ac:dyDescent="0.25">
      <c r="A12902" s="1">
        <v>43009</v>
      </c>
      <c r="B12902" t="s">
        <v>19</v>
      </c>
      <c r="C12902" t="s">
        <v>7</v>
      </c>
      <c r="D12902">
        <v>24</v>
      </c>
      <c r="E12902" s="2">
        <v>3.1620370370370368E-2</v>
      </c>
      <c r="F12902">
        <v>45.533333333333331</v>
      </c>
    </row>
    <row r="12903" spans="1:6" x14ac:dyDescent="0.25">
      <c r="A12903" s="1">
        <v>43009</v>
      </c>
      <c r="B12903" t="s">
        <v>19</v>
      </c>
      <c r="C12903" t="s">
        <v>8</v>
      </c>
      <c r="D12903">
        <v>34</v>
      </c>
      <c r="E12903" s="2">
        <v>3.5185185185185187E-2</v>
      </c>
      <c r="F12903">
        <v>50.666666666666664</v>
      </c>
    </row>
    <row r="12904" spans="1:6" x14ac:dyDescent="0.25">
      <c r="A12904" s="1">
        <v>43009</v>
      </c>
      <c r="B12904" t="s">
        <v>19</v>
      </c>
      <c r="C12904" t="s">
        <v>9</v>
      </c>
      <c r="D12904">
        <v>14</v>
      </c>
      <c r="E12904" s="2">
        <v>1.0752314814814815E-2</v>
      </c>
      <c r="F12904">
        <v>15.483333333333333</v>
      </c>
    </row>
    <row r="12905" spans="1:6" x14ac:dyDescent="0.25">
      <c r="A12905" s="1">
        <v>43009</v>
      </c>
      <c r="B12905" t="s">
        <v>19</v>
      </c>
      <c r="C12905" t="s">
        <v>10</v>
      </c>
      <c r="D12905">
        <v>10</v>
      </c>
      <c r="E12905" s="2">
        <v>1.7858796296296296E-2</v>
      </c>
      <c r="F12905">
        <v>25.716666666666665</v>
      </c>
    </row>
    <row r="12906" spans="1:6" x14ac:dyDescent="0.25">
      <c r="A12906" s="1">
        <v>43009</v>
      </c>
      <c r="B12906" t="s">
        <v>19</v>
      </c>
      <c r="C12906" t="s">
        <v>11</v>
      </c>
      <c r="D12906">
        <v>29</v>
      </c>
      <c r="E12906" s="2">
        <v>2.630787037037037E-2</v>
      </c>
      <c r="F12906">
        <v>37.883333333333333</v>
      </c>
    </row>
    <row r="12907" spans="1:6" x14ac:dyDescent="0.25">
      <c r="A12907" s="1">
        <v>43009</v>
      </c>
      <c r="B12907" t="s">
        <v>20</v>
      </c>
      <c r="C12907" t="s">
        <v>6</v>
      </c>
      <c r="D12907">
        <v>55</v>
      </c>
      <c r="E12907" s="2">
        <v>7.4467592592592599E-2</v>
      </c>
      <c r="F12907">
        <v>107.23333333333333</v>
      </c>
    </row>
    <row r="12908" spans="1:6" x14ac:dyDescent="0.25">
      <c r="A12908" s="1">
        <v>43009</v>
      </c>
      <c r="B12908" t="s">
        <v>20</v>
      </c>
      <c r="C12908" t="s">
        <v>7</v>
      </c>
      <c r="D12908">
        <v>79</v>
      </c>
      <c r="E12908" s="2">
        <v>8.5960648148148147E-2</v>
      </c>
      <c r="F12908">
        <v>123.78333333333333</v>
      </c>
    </row>
    <row r="12909" spans="1:6" x14ac:dyDescent="0.25">
      <c r="A12909" s="1">
        <v>43009</v>
      </c>
      <c r="B12909" t="s">
        <v>20</v>
      </c>
      <c r="C12909" t="s">
        <v>8</v>
      </c>
      <c r="D12909">
        <v>68</v>
      </c>
      <c r="E12909" s="2">
        <v>7.1932870370370369E-2</v>
      </c>
      <c r="F12909">
        <v>103.58333333333333</v>
      </c>
    </row>
    <row r="12910" spans="1:6" x14ac:dyDescent="0.25">
      <c r="A12910" s="1">
        <v>43009</v>
      </c>
      <c r="B12910" t="s">
        <v>20</v>
      </c>
      <c r="C12910" t="s">
        <v>9</v>
      </c>
      <c r="D12910">
        <v>15</v>
      </c>
      <c r="E12910" s="2">
        <v>1.2800925925925926E-2</v>
      </c>
      <c r="F12910">
        <v>18.433333333333334</v>
      </c>
    </row>
    <row r="12911" spans="1:6" x14ac:dyDescent="0.25">
      <c r="A12911" s="1">
        <v>43009</v>
      </c>
      <c r="B12911" t="s">
        <v>20</v>
      </c>
      <c r="C12911" t="s">
        <v>10</v>
      </c>
      <c r="D12911">
        <v>12</v>
      </c>
      <c r="E12911" s="2">
        <v>1.5474537037037037E-2</v>
      </c>
      <c r="F12911">
        <v>22.283333333333335</v>
      </c>
    </row>
    <row r="12912" spans="1:6" x14ac:dyDescent="0.25">
      <c r="A12912" s="1">
        <v>43009</v>
      </c>
      <c r="B12912" t="s">
        <v>20</v>
      </c>
      <c r="C12912" t="s">
        <v>11</v>
      </c>
      <c r="D12912">
        <v>54</v>
      </c>
      <c r="E12912" s="2">
        <v>4.1076388888888891E-2</v>
      </c>
      <c r="F12912">
        <v>59.15</v>
      </c>
    </row>
    <row r="12913" spans="1:6" x14ac:dyDescent="0.25">
      <c r="A12913" s="1">
        <v>43009</v>
      </c>
      <c r="B12913" t="s">
        <v>21</v>
      </c>
      <c r="C12913" t="s">
        <v>6</v>
      </c>
      <c r="D12913">
        <v>19</v>
      </c>
      <c r="E12913" s="2">
        <v>2.4594907407407409E-2</v>
      </c>
      <c r="F12913">
        <v>35.416666666666664</v>
      </c>
    </row>
    <row r="12914" spans="1:6" x14ac:dyDescent="0.25">
      <c r="A12914" s="1">
        <v>43009</v>
      </c>
      <c r="B12914" t="s">
        <v>21</v>
      </c>
      <c r="C12914" t="s">
        <v>7</v>
      </c>
      <c r="D12914">
        <v>25</v>
      </c>
      <c r="E12914" s="2">
        <v>3.3958333333333333E-2</v>
      </c>
      <c r="F12914">
        <v>48.9</v>
      </c>
    </row>
    <row r="12915" spans="1:6" x14ac:dyDescent="0.25">
      <c r="A12915" s="1">
        <v>43009</v>
      </c>
      <c r="B12915" t="s">
        <v>21</v>
      </c>
      <c r="C12915" t="s">
        <v>8</v>
      </c>
      <c r="D12915">
        <v>20</v>
      </c>
      <c r="E12915" s="2">
        <v>3.111111111111111E-2</v>
      </c>
      <c r="F12915">
        <v>44.8</v>
      </c>
    </row>
    <row r="12916" spans="1:6" x14ac:dyDescent="0.25">
      <c r="A12916" s="1">
        <v>43009</v>
      </c>
      <c r="B12916" t="s">
        <v>21</v>
      </c>
      <c r="C12916" t="s">
        <v>9</v>
      </c>
      <c r="D12916">
        <v>3</v>
      </c>
      <c r="E12916" s="2">
        <v>2.4537037037037036E-3</v>
      </c>
      <c r="F12916">
        <v>3.5333333333333332</v>
      </c>
    </row>
    <row r="12917" spans="1:6" x14ac:dyDescent="0.25">
      <c r="A12917" s="1">
        <v>43009</v>
      </c>
      <c r="B12917" t="s">
        <v>21</v>
      </c>
      <c r="C12917" t="s">
        <v>10</v>
      </c>
      <c r="D12917">
        <v>8</v>
      </c>
      <c r="E12917" s="2">
        <v>9.4097222222222221E-3</v>
      </c>
      <c r="F12917">
        <v>13.55</v>
      </c>
    </row>
    <row r="12918" spans="1:6" x14ac:dyDescent="0.25">
      <c r="A12918" s="1">
        <v>43009</v>
      </c>
      <c r="B12918" t="s">
        <v>21</v>
      </c>
      <c r="C12918" t="s">
        <v>11</v>
      </c>
      <c r="D12918">
        <v>24</v>
      </c>
      <c r="E12918" s="2">
        <v>2.2581018518518518E-2</v>
      </c>
      <c r="F12918">
        <v>32.516666666666666</v>
      </c>
    </row>
    <row r="12919" spans="1:6" x14ac:dyDescent="0.25">
      <c r="A12919" s="1">
        <v>43009</v>
      </c>
      <c r="B12919" t="s">
        <v>22</v>
      </c>
      <c r="C12919" t="s">
        <v>6</v>
      </c>
      <c r="D12919">
        <v>18</v>
      </c>
      <c r="E12919" s="2">
        <v>3.0960648148148147E-2</v>
      </c>
      <c r="F12919">
        <v>44.583333333333336</v>
      </c>
    </row>
    <row r="12920" spans="1:6" x14ac:dyDescent="0.25">
      <c r="A12920" s="1">
        <v>43009</v>
      </c>
      <c r="B12920" t="s">
        <v>22</v>
      </c>
      <c r="C12920" t="s">
        <v>7</v>
      </c>
      <c r="D12920">
        <v>9</v>
      </c>
      <c r="E12920" s="2">
        <v>1.2615740740740742E-2</v>
      </c>
      <c r="F12920">
        <v>18.166666666666668</v>
      </c>
    </row>
    <row r="12921" spans="1:6" x14ac:dyDescent="0.25">
      <c r="A12921" s="1">
        <v>43009</v>
      </c>
      <c r="B12921" t="s">
        <v>22</v>
      </c>
      <c r="C12921" t="s">
        <v>8</v>
      </c>
      <c r="D12921">
        <v>5</v>
      </c>
      <c r="E12921" s="2">
        <v>7.4537037037037037E-3</v>
      </c>
      <c r="F12921">
        <v>10.733333333333333</v>
      </c>
    </row>
    <row r="12922" spans="1:6" x14ac:dyDescent="0.25">
      <c r="A12922" s="1">
        <v>43009</v>
      </c>
      <c r="B12922" t="s">
        <v>22</v>
      </c>
      <c r="C12922" t="s">
        <v>9</v>
      </c>
      <c r="D12922">
        <v>5</v>
      </c>
      <c r="E12922" s="2">
        <v>3.6689814814814814E-3</v>
      </c>
      <c r="F12922">
        <v>5.2833333333333332</v>
      </c>
    </row>
    <row r="12923" spans="1:6" x14ac:dyDescent="0.25">
      <c r="A12923" s="1">
        <v>43009</v>
      </c>
      <c r="B12923" t="s">
        <v>22</v>
      </c>
      <c r="C12923" t="s">
        <v>10</v>
      </c>
      <c r="D12923">
        <v>17</v>
      </c>
      <c r="E12923" s="2">
        <v>2.3090277777777779E-2</v>
      </c>
      <c r="F12923">
        <v>33.25</v>
      </c>
    </row>
    <row r="12924" spans="1:6" x14ac:dyDescent="0.25">
      <c r="A12924" s="1">
        <v>43009</v>
      </c>
      <c r="B12924" t="s">
        <v>22</v>
      </c>
      <c r="C12924" t="s">
        <v>11</v>
      </c>
      <c r="D12924">
        <v>13</v>
      </c>
      <c r="E12924" s="2">
        <v>1.3842592592592592E-2</v>
      </c>
      <c r="F12924">
        <v>19.933333333333334</v>
      </c>
    </row>
    <row r="12925" spans="1:6" x14ac:dyDescent="0.25">
      <c r="A12925" s="1">
        <v>43009</v>
      </c>
      <c r="B12925" t="s">
        <v>23</v>
      </c>
      <c r="C12925" t="s">
        <v>6</v>
      </c>
      <c r="D12925">
        <v>98</v>
      </c>
      <c r="E12925" s="2">
        <v>0.14848379629629629</v>
      </c>
      <c r="F12925">
        <v>213.81666666666666</v>
      </c>
    </row>
    <row r="12926" spans="1:6" x14ac:dyDescent="0.25">
      <c r="A12926" s="1">
        <v>43009</v>
      </c>
      <c r="B12926" t="s">
        <v>23</v>
      </c>
      <c r="C12926" t="s">
        <v>7</v>
      </c>
      <c r="D12926">
        <v>111</v>
      </c>
      <c r="E12926" s="2">
        <v>0.17449074074074075</v>
      </c>
      <c r="F12926">
        <v>251.26666666666668</v>
      </c>
    </row>
    <row r="12927" spans="1:6" x14ac:dyDescent="0.25">
      <c r="A12927" s="1">
        <v>43009</v>
      </c>
      <c r="B12927" t="s">
        <v>23</v>
      </c>
      <c r="C12927" t="s">
        <v>8</v>
      </c>
      <c r="D12927">
        <v>71</v>
      </c>
      <c r="E12927" s="2">
        <v>8.9097222222222217E-2</v>
      </c>
      <c r="F12927">
        <v>128.30000000000001</v>
      </c>
    </row>
    <row r="12928" spans="1:6" x14ac:dyDescent="0.25">
      <c r="A12928" s="1">
        <v>43009</v>
      </c>
      <c r="B12928" t="s">
        <v>23</v>
      </c>
      <c r="C12928" t="s">
        <v>9</v>
      </c>
      <c r="D12928">
        <v>23</v>
      </c>
      <c r="E12928" s="2">
        <v>1.6782407407407409E-2</v>
      </c>
      <c r="F12928">
        <v>24.166666666666668</v>
      </c>
    </row>
    <row r="12929" spans="1:6" x14ac:dyDescent="0.25">
      <c r="A12929" s="1">
        <v>43009</v>
      </c>
      <c r="B12929" t="s">
        <v>23</v>
      </c>
      <c r="C12929" t="s">
        <v>10</v>
      </c>
      <c r="D12929">
        <v>40</v>
      </c>
      <c r="E12929" s="2">
        <v>5.4756944444444441E-2</v>
      </c>
      <c r="F12929">
        <v>78.849999999999994</v>
      </c>
    </row>
    <row r="12930" spans="1:6" x14ac:dyDescent="0.25">
      <c r="A12930" s="1">
        <v>43009</v>
      </c>
      <c r="B12930" t="s">
        <v>23</v>
      </c>
      <c r="C12930" t="s">
        <v>11</v>
      </c>
      <c r="D12930">
        <v>98</v>
      </c>
      <c r="E12930" s="2">
        <v>0.10217592592592592</v>
      </c>
      <c r="F12930">
        <v>147.13333333333333</v>
      </c>
    </row>
    <row r="12931" spans="1:6" x14ac:dyDescent="0.25">
      <c r="A12931" s="1">
        <v>43009</v>
      </c>
      <c r="B12931" t="s">
        <v>24</v>
      </c>
      <c r="C12931" t="s">
        <v>6</v>
      </c>
      <c r="D12931">
        <v>31</v>
      </c>
      <c r="E12931" s="2">
        <v>4.2696759259259261E-2</v>
      </c>
      <c r="F12931">
        <v>61.483333333333334</v>
      </c>
    </row>
    <row r="12932" spans="1:6" x14ac:dyDescent="0.25">
      <c r="A12932" s="1">
        <v>43009</v>
      </c>
      <c r="B12932" t="s">
        <v>24</v>
      </c>
      <c r="C12932" t="s">
        <v>7</v>
      </c>
      <c r="D12932">
        <v>15</v>
      </c>
      <c r="E12932" s="2">
        <v>1.8449074074074073E-2</v>
      </c>
      <c r="F12932">
        <v>26.566666666666666</v>
      </c>
    </row>
    <row r="12933" spans="1:6" x14ac:dyDescent="0.25">
      <c r="A12933" s="1">
        <v>43009</v>
      </c>
      <c r="B12933" t="s">
        <v>24</v>
      </c>
      <c r="C12933" t="s">
        <v>8</v>
      </c>
      <c r="D12933">
        <v>9</v>
      </c>
      <c r="E12933" s="2">
        <v>5.0115740740740737E-3</v>
      </c>
      <c r="F12933">
        <v>7.2166666666666668</v>
      </c>
    </row>
    <row r="12934" spans="1:6" x14ac:dyDescent="0.25">
      <c r="A12934" s="1">
        <v>43009</v>
      </c>
      <c r="B12934" t="s">
        <v>24</v>
      </c>
      <c r="C12934" t="s">
        <v>9</v>
      </c>
      <c r="D12934">
        <v>5</v>
      </c>
      <c r="E12934" s="2">
        <v>4.6874999999999998E-3</v>
      </c>
      <c r="F12934">
        <v>6.75</v>
      </c>
    </row>
    <row r="12935" spans="1:6" x14ac:dyDescent="0.25">
      <c r="A12935" s="1">
        <v>43009</v>
      </c>
      <c r="B12935" t="s">
        <v>24</v>
      </c>
      <c r="C12935" t="s">
        <v>10</v>
      </c>
      <c r="D12935">
        <v>0</v>
      </c>
      <c r="E12935" s="2">
        <v>0</v>
      </c>
      <c r="F12935">
        <v>0</v>
      </c>
    </row>
    <row r="12936" spans="1:6" x14ac:dyDescent="0.25">
      <c r="A12936" s="1">
        <v>43009</v>
      </c>
      <c r="B12936" t="s">
        <v>24</v>
      </c>
      <c r="C12936" t="s">
        <v>11</v>
      </c>
      <c r="D12936">
        <v>21</v>
      </c>
      <c r="E12936" s="2">
        <v>1.5740740740740739E-2</v>
      </c>
      <c r="F12936">
        <v>22.666666666666668</v>
      </c>
    </row>
    <row r="12937" spans="1:6" x14ac:dyDescent="0.25">
      <c r="A12937" s="1">
        <v>43040</v>
      </c>
      <c r="B12937" t="s">
        <v>5</v>
      </c>
      <c r="C12937" t="s">
        <v>6</v>
      </c>
      <c r="D12937">
        <v>13</v>
      </c>
      <c r="E12937" s="2">
        <v>1.6342592592592593E-2</v>
      </c>
      <c r="F12937">
        <v>23.533333333333335</v>
      </c>
    </row>
    <row r="12938" spans="1:6" x14ac:dyDescent="0.25">
      <c r="A12938" s="1">
        <v>43040</v>
      </c>
      <c r="B12938" t="s">
        <v>5</v>
      </c>
      <c r="C12938" t="s">
        <v>7</v>
      </c>
      <c r="D12938">
        <v>16</v>
      </c>
      <c r="E12938" s="2">
        <v>1.5787037037037037E-2</v>
      </c>
      <c r="F12938">
        <v>22.733333333333334</v>
      </c>
    </row>
    <row r="12939" spans="1:6" x14ac:dyDescent="0.25">
      <c r="A12939" s="1">
        <v>43040</v>
      </c>
      <c r="B12939" t="s">
        <v>5</v>
      </c>
      <c r="C12939" t="s">
        <v>8</v>
      </c>
      <c r="D12939">
        <v>21</v>
      </c>
      <c r="E12939" s="2">
        <v>1.9745370370370371E-2</v>
      </c>
      <c r="F12939">
        <v>28.433333333333334</v>
      </c>
    </row>
    <row r="12940" spans="1:6" x14ac:dyDescent="0.25">
      <c r="A12940" s="1">
        <v>43040</v>
      </c>
      <c r="B12940" t="s">
        <v>5</v>
      </c>
      <c r="C12940" t="s">
        <v>9</v>
      </c>
      <c r="D12940">
        <v>9</v>
      </c>
      <c r="E12940" s="2">
        <v>7.858796296296296E-3</v>
      </c>
      <c r="F12940">
        <v>11.316666666666666</v>
      </c>
    </row>
    <row r="12941" spans="1:6" x14ac:dyDescent="0.25">
      <c r="A12941" s="1">
        <v>43040</v>
      </c>
      <c r="B12941" t="s">
        <v>5</v>
      </c>
      <c r="C12941" t="s">
        <v>10</v>
      </c>
      <c r="D12941">
        <v>4</v>
      </c>
      <c r="E12941" s="2">
        <v>5.8564814814814816E-3</v>
      </c>
      <c r="F12941">
        <v>8.4333333333333336</v>
      </c>
    </row>
    <row r="12942" spans="1:6" x14ac:dyDescent="0.25">
      <c r="A12942" s="1">
        <v>43040</v>
      </c>
      <c r="B12942" t="s">
        <v>5</v>
      </c>
      <c r="C12942" t="s">
        <v>11</v>
      </c>
      <c r="D12942">
        <v>16</v>
      </c>
      <c r="E12942" s="2">
        <v>1.1909722222222223E-2</v>
      </c>
      <c r="F12942">
        <v>17.149999999999999</v>
      </c>
    </row>
    <row r="12943" spans="1:6" x14ac:dyDescent="0.25">
      <c r="A12943" s="1">
        <v>43040</v>
      </c>
      <c r="B12943" t="s">
        <v>12</v>
      </c>
      <c r="C12943" t="s">
        <v>6</v>
      </c>
      <c r="D12943">
        <v>36</v>
      </c>
      <c r="E12943" s="2">
        <v>5.8912037037037034E-2</v>
      </c>
      <c r="F12943">
        <v>84.833333333333329</v>
      </c>
    </row>
    <row r="12944" spans="1:6" x14ac:dyDescent="0.25">
      <c r="A12944" s="1">
        <v>43040</v>
      </c>
      <c r="B12944" t="s">
        <v>12</v>
      </c>
      <c r="C12944" t="s">
        <v>7</v>
      </c>
      <c r="D12944">
        <v>16</v>
      </c>
      <c r="E12944" s="2">
        <v>3.349537037037037E-2</v>
      </c>
      <c r="F12944">
        <v>48.233333333333334</v>
      </c>
    </row>
    <row r="12945" spans="1:6" x14ac:dyDescent="0.25">
      <c r="A12945" s="1">
        <v>43040</v>
      </c>
      <c r="B12945" t="s">
        <v>12</v>
      </c>
      <c r="C12945" t="s">
        <v>8</v>
      </c>
      <c r="D12945">
        <v>12</v>
      </c>
      <c r="E12945" s="2">
        <v>1.6805555555555556E-2</v>
      </c>
      <c r="F12945">
        <v>24.2</v>
      </c>
    </row>
    <row r="12946" spans="1:6" x14ac:dyDescent="0.25">
      <c r="A12946" s="1">
        <v>43040</v>
      </c>
      <c r="B12946" t="s">
        <v>12</v>
      </c>
      <c r="C12946" t="s">
        <v>9</v>
      </c>
      <c r="D12946">
        <v>8</v>
      </c>
      <c r="E12946" s="2">
        <v>7.4189814814814813E-3</v>
      </c>
      <c r="F12946">
        <v>10.683333333333334</v>
      </c>
    </row>
    <row r="12947" spans="1:6" x14ac:dyDescent="0.25">
      <c r="A12947" s="1">
        <v>43040</v>
      </c>
      <c r="B12947" t="s">
        <v>12</v>
      </c>
      <c r="C12947" t="s">
        <v>10</v>
      </c>
      <c r="D12947">
        <v>22</v>
      </c>
      <c r="E12947" s="2">
        <v>3.4189814814814812E-2</v>
      </c>
      <c r="F12947">
        <v>49.233333333333334</v>
      </c>
    </row>
    <row r="12948" spans="1:6" x14ac:dyDescent="0.25">
      <c r="A12948" s="1">
        <v>43040</v>
      </c>
      <c r="B12948" t="s">
        <v>12</v>
      </c>
      <c r="C12948" t="s">
        <v>11</v>
      </c>
      <c r="D12948">
        <v>46</v>
      </c>
      <c r="E12948" s="2">
        <v>5.9849537037037034E-2</v>
      </c>
      <c r="F12948">
        <v>86.183333333333337</v>
      </c>
    </row>
    <row r="12949" spans="1:6" x14ac:dyDescent="0.25">
      <c r="A12949" s="1">
        <v>43040</v>
      </c>
      <c r="B12949" t="s">
        <v>13</v>
      </c>
      <c r="C12949" t="s">
        <v>6</v>
      </c>
      <c r="D12949">
        <v>57</v>
      </c>
      <c r="E12949" s="2">
        <v>9.3460648148148154E-2</v>
      </c>
      <c r="F12949">
        <v>134.58333333333334</v>
      </c>
    </row>
    <row r="12950" spans="1:6" x14ac:dyDescent="0.25">
      <c r="A12950" s="1">
        <v>43040</v>
      </c>
      <c r="B12950" t="s">
        <v>13</v>
      </c>
      <c r="C12950" t="s">
        <v>7</v>
      </c>
      <c r="D12950">
        <v>80</v>
      </c>
      <c r="E12950" s="2">
        <v>0.13265046296296296</v>
      </c>
      <c r="F12950">
        <v>191.01666666666668</v>
      </c>
    </row>
    <row r="12951" spans="1:6" x14ac:dyDescent="0.25">
      <c r="A12951" s="1">
        <v>43040</v>
      </c>
      <c r="B12951" t="s">
        <v>13</v>
      </c>
      <c r="C12951" t="s">
        <v>8</v>
      </c>
      <c r="D12951">
        <v>47</v>
      </c>
      <c r="E12951" s="2">
        <v>5.7615740740740738E-2</v>
      </c>
      <c r="F12951">
        <v>82.966666666666669</v>
      </c>
    </row>
    <row r="12952" spans="1:6" x14ac:dyDescent="0.25">
      <c r="A12952" s="1">
        <v>43040</v>
      </c>
      <c r="B12952" t="s">
        <v>13</v>
      </c>
      <c r="C12952" t="s">
        <v>9</v>
      </c>
      <c r="D12952">
        <v>10</v>
      </c>
      <c r="E12952" s="2">
        <v>7.858796296296296E-3</v>
      </c>
      <c r="F12952">
        <v>11.316666666666666</v>
      </c>
    </row>
    <row r="12953" spans="1:6" x14ac:dyDescent="0.25">
      <c r="A12953" s="1">
        <v>43040</v>
      </c>
      <c r="B12953" t="s">
        <v>13</v>
      </c>
      <c r="C12953" t="s">
        <v>10</v>
      </c>
      <c r="D12953">
        <v>8</v>
      </c>
      <c r="E12953" s="2">
        <v>1.4201388888888888E-2</v>
      </c>
      <c r="F12953">
        <v>20.45</v>
      </c>
    </row>
    <row r="12954" spans="1:6" x14ac:dyDescent="0.25">
      <c r="A12954" s="1">
        <v>43040</v>
      </c>
      <c r="B12954" t="s">
        <v>13</v>
      </c>
      <c r="C12954" t="s">
        <v>11</v>
      </c>
      <c r="D12954">
        <v>32</v>
      </c>
      <c r="E12954" s="2">
        <v>3.2395833333333332E-2</v>
      </c>
      <c r="F12954">
        <v>46.65</v>
      </c>
    </row>
    <row r="12955" spans="1:6" x14ac:dyDescent="0.25">
      <c r="A12955" s="1">
        <v>43040</v>
      </c>
      <c r="B12955" t="s">
        <v>14</v>
      </c>
      <c r="C12955" t="s">
        <v>6</v>
      </c>
      <c r="D12955">
        <v>16</v>
      </c>
      <c r="E12955" s="2">
        <v>2.8009259259259258E-2</v>
      </c>
      <c r="F12955">
        <v>40.333333333333336</v>
      </c>
    </row>
    <row r="12956" spans="1:6" x14ac:dyDescent="0.25">
      <c r="A12956" s="1">
        <v>43040</v>
      </c>
      <c r="B12956" t="s">
        <v>14</v>
      </c>
      <c r="C12956" t="s">
        <v>7</v>
      </c>
      <c r="D12956">
        <v>5</v>
      </c>
      <c r="E12956" s="2">
        <v>8.8888888888888889E-3</v>
      </c>
      <c r="F12956">
        <v>12.8</v>
      </c>
    </row>
    <row r="12957" spans="1:6" x14ac:dyDescent="0.25">
      <c r="A12957" s="1">
        <v>43040</v>
      </c>
      <c r="B12957" t="s">
        <v>14</v>
      </c>
      <c r="C12957" t="s">
        <v>8</v>
      </c>
      <c r="D12957">
        <v>10</v>
      </c>
      <c r="E12957" s="2">
        <v>1.3182870370370371E-2</v>
      </c>
      <c r="F12957">
        <v>18.983333333333334</v>
      </c>
    </row>
    <row r="12958" spans="1:6" x14ac:dyDescent="0.25">
      <c r="A12958" s="1">
        <v>43040</v>
      </c>
      <c r="B12958" t="s">
        <v>14</v>
      </c>
      <c r="C12958" t="s">
        <v>9</v>
      </c>
      <c r="D12958">
        <v>4</v>
      </c>
      <c r="E12958" s="2">
        <v>3.6342592592592594E-3</v>
      </c>
      <c r="F12958">
        <v>5.2333333333333334</v>
      </c>
    </row>
    <row r="12959" spans="1:6" x14ac:dyDescent="0.25">
      <c r="A12959" s="1">
        <v>43040</v>
      </c>
      <c r="B12959" t="s">
        <v>14</v>
      </c>
      <c r="C12959" t="s">
        <v>10</v>
      </c>
      <c r="D12959">
        <v>4</v>
      </c>
      <c r="E12959" s="2">
        <v>9.780092592592592E-3</v>
      </c>
      <c r="F12959">
        <v>14.083333333333334</v>
      </c>
    </row>
    <row r="12960" spans="1:6" x14ac:dyDescent="0.25">
      <c r="A12960" s="1">
        <v>43040</v>
      </c>
      <c r="B12960" t="s">
        <v>14</v>
      </c>
      <c r="C12960" t="s">
        <v>11</v>
      </c>
      <c r="D12960">
        <v>11</v>
      </c>
      <c r="E12960" s="2">
        <v>1.2418981481481482E-2</v>
      </c>
      <c r="F12960">
        <v>17.883333333333333</v>
      </c>
    </row>
    <row r="12961" spans="1:6" x14ac:dyDescent="0.25">
      <c r="A12961" s="1">
        <v>43040</v>
      </c>
      <c r="B12961" t="s">
        <v>15</v>
      </c>
      <c r="C12961" t="s">
        <v>6</v>
      </c>
      <c r="D12961">
        <v>27</v>
      </c>
      <c r="E12961" s="2">
        <v>3.5486111111111114E-2</v>
      </c>
      <c r="F12961">
        <v>51.1</v>
      </c>
    </row>
    <row r="12962" spans="1:6" x14ac:dyDescent="0.25">
      <c r="A12962" s="1">
        <v>43040</v>
      </c>
      <c r="B12962" t="s">
        <v>15</v>
      </c>
      <c r="C12962" t="s">
        <v>7</v>
      </c>
      <c r="D12962">
        <v>19</v>
      </c>
      <c r="E12962" s="2">
        <v>2.6516203703703705E-2</v>
      </c>
      <c r="F12962">
        <v>38.18333333333333</v>
      </c>
    </row>
    <row r="12963" spans="1:6" x14ac:dyDescent="0.25">
      <c r="A12963" s="1">
        <v>43040</v>
      </c>
      <c r="B12963" t="s">
        <v>15</v>
      </c>
      <c r="C12963" t="s">
        <v>8</v>
      </c>
      <c r="D12963">
        <v>14</v>
      </c>
      <c r="E12963" s="2">
        <v>1.3298611111111112E-2</v>
      </c>
      <c r="F12963">
        <v>19.149999999999999</v>
      </c>
    </row>
    <row r="12964" spans="1:6" x14ac:dyDescent="0.25">
      <c r="A12964" s="1">
        <v>43040</v>
      </c>
      <c r="B12964" t="s">
        <v>15</v>
      </c>
      <c r="C12964" t="s">
        <v>9</v>
      </c>
      <c r="D12964">
        <v>6</v>
      </c>
      <c r="E12964" s="2">
        <v>5.0810185185185186E-3</v>
      </c>
      <c r="F12964">
        <v>7.3166666666666664</v>
      </c>
    </row>
    <row r="12965" spans="1:6" x14ac:dyDescent="0.25">
      <c r="A12965" s="1">
        <v>43040</v>
      </c>
      <c r="B12965" t="s">
        <v>15</v>
      </c>
      <c r="C12965" t="s">
        <v>10</v>
      </c>
      <c r="D12965">
        <v>23</v>
      </c>
      <c r="E12965" s="2">
        <v>3.1689814814814816E-2</v>
      </c>
      <c r="F12965">
        <v>45.633333333333333</v>
      </c>
    </row>
    <row r="12966" spans="1:6" x14ac:dyDescent="0.25">
      <c r="A12966" s="1">
        <v>43040</v>
      </c>
      <c r="B12966" t="s">
        <v>15</v>
      </c>
      <c r="C12966" t="s">
        <v>11</v>
      </c>
      <c r="D12966">
        <v>15</v>
      </c>
      <c r="E12966" s="2">
        <v>1.5474537037037037E-2</v>
      </c>
      <c r="F12966">
        <v>22.283333333333335</v>
      </c>
    </row>
    <row r="12967" spans="1:6" x14ac:dyDescent="0.25">
      <c r="A12967" s="1">
        <v>43040</v>
      </c>
      <c r="B12967" t="s">
        <v>16</v>
      </c>
      <c r="C12967" t="s">
        <v>6</v>
      </c>
      <c r="D12967">
        <v>21</v>
      </c>
      <c r="E12967" s="2">
        <v>2.6168981481481481E-2</v>
      </c>
      <c r="F12967">
        <v>37.68333333333333</v>
      </c>
    </row>
    <row r="12968" spans="1:6" x14ac:dyDescent="0.25">
      <c r="A12968" s="1">
        <v>43040</v>
      </c>
      <c r="B12968" t="s">
        <v>16</v>
      </c>
      <c r="C12968" t="s">
        <v>7</v>
      </c>
      <c r="D12968">
        <v>20</v>
      </c>
      <c r="E12968" s="2">
        <v>2.3055555555555555E-2</v>
      </c>
      <c r="F12968">
        <v>33.200000000000003</v>
      </c>
    </row>
    <row r="12969" spans="1:6" x14ac:dyDescent="0.25">
      <c r="A12969" s="1">
        <v>43040</v>
      </c>
      <c r="B12969" t="s">
        <v>16</v>
      </c>
      <c r="C12969" t="s">
        <v>8</v>
      </c>
      <c r="D12969">
        <v>26</v>
      </c>
      <c r="E12969" s="2">
        <v>2.9490740740740741E-2</v>
      </c>
      <c r="F12969">
        <v>42.466666666666669</v>
      </c>
    </row>
    <row r="12970" spans="1:6" x14ac:dyDescent="0.25">
      <c r="A12970" s="1">
        <v>43040</v>
      </c>
      <c r="B12970" t="s">
        <v>16</v>
      </c>
      <c r="C12970" t="s">
        <v>9</v>
      </c>
      <c r="D12970">
        <v>4</v>
      </c>
      <c r="E12970" s="2">
        <v>3.6574074074074074E-3</v>
      </c>
      <c r="F12970">
        <v>5.2666666666666666</v>
      </c>
    </row>
    <row r="12971" spans="1:6" x14ac:dyDescent="0.25">
      <c r="A12971" s="1">
        <v>43040</v>
      </c>
      <c r="B12971" t="s">
        <v>16</v>
      </c>
      <c r="C12971" t="s">
        <v>10</v>
      </c>
      <c r="D12971">
        <v>4</v>
      </c>
      <c r="E12971" s="2">
        <v>8.0902777777777778E-3</v>
      </c>
      <c r="F12971">
        <v>11.65</v>
      </c>
    </row>
    <row r="12972" spans="1:6" x14ac:dyDescent="0.25">
      <c r="A12972" s="1">
        <v>43040</v>
      </c>
      <c r="B12972" t="s">
        <v>16</v>
      </c>
      <c r="C12972" t="s">
        <v>11</v>
      </c>
      <c r="D12972">
        <v>38</v>
      </c>
      <c r="E12972" s="2">
        <v>3.2939814814814818E-2</v>
      </c>
      <c r="F12972">
        <v>47.43333333333333</v>
      </c>
    </row>
    <row r="12973" spans="1:6" x14ac:dyDescent="0.25">
      <c r="A12973" s="1">
        <v>43040</v>
      </c>
      <c r="B12973" t="s">
        <v>17</v>
      </c>
      <c r="C12973" t="s">
        <v>6</v>
      </c>
      <c r="D12973">
        <v>9</v>
      </c>
      <c r="E12973" s="2">
        <v>1.1342592592592593E-2</v>
      </c>
      <c r="F12973">
        <v>16.333333333333332</v>
      </c>
    </row>
    <row r="12974" spans="1:6" x14ac:dyDescent="0.25">
      <c r="A12974" s="1">
        <v>43040</v>
      </c>
      <c r="B12974" t="s">
        <v>17</v>
      </c>
      <c r="C12974" t="s">
        <v>7</v>
      </c>
      <c r="D12974">
        <v>10</v>
      </c>
      <c r="E12974" s="2">
        <v>1.5543981481481482E-2</v>
      </c>
      <c r="F12974">
        <v>22.383333333333333</v>
      </c>
    </row>
    <row r="12975" spans="1:6" x14ac:dyDescent="0.25">
      <c r="A12975" s="1">
        <v>43040</v>
      </c>
      <c r="B12975" t="s">
        <v>17</v>
      </c>
      <c r="C12975" t="s">
        <v>8</v>
      </c>
      <c r="D12975">
        <v>7</v>
      </c>
      <c r="E12975" s="2">
        <v>1.2106481481481482E-2</v>
      </c>
      <c r="F12975">
        <v>17.433333333333334</v>
      </c>
    </row>
    <row r="12976" spans="1:6" x14ac:dyDescent="0.25">
      <c r="A12976" s="1">
        <v>43040</v>
      </c>
      <c r="B12976" t="s">
        <v>17</v>
      </c>
      <c r="C12976" t="s">
        <v>9</v>
      </c>
      <c r="D12976">
        <v>3</v>
      </c>
      <c r="E12976" s="2">
        <v>9.432870370370371E-3</v>
      </c>
      <c r="F12976">
        <v>13.583333333333334</v>
      </c>
    </row>
    <row r="12977" spans="1:6" x14ac:dyDescent="0.25">
      <c r="A12977" s="1">
        <v>43040</v>
      </c>
      <c r="B12977" t="s">
        <v>17</v>
      </c>
      <c r="C12977" t="s">
        <v>10</v>
      </c>
      <c r="D12977">
        <v>7</v>
      </c>
      <c r="E12977" s="2">
        <v>9.3518518518518525E-3</v>
      </c>
      <c r="F12977">
        <v>13.466666666666667</v>
      </c>
    </row>
    <row r="12978" spans="1:6" x14ac:dyDescent="0.25">
      <c r="A12978" s="1">
        <v>43040</v>
      </c>
      <c r="B12978" t="s">
        <v>17</v>
      </c>
      <c r="C12978" t="s">
        <v>11</v>
      </c>
      <c r="D12978">
        <v>2</v>
      </c>
      <c r="E12978" s="2">
        <v>2.2800925925925927E-3</v>
      </c>
      <c r="F12978">
        <v>3.2833333333333332</v>
      </c>
    </row>
    <row r="12979" spans="1:6" x14ac:dyDescent="0.25">
      <c r="A12979" s="1">
        <v>43040</v>
      </c>
      <c r="B12979" t="s">
        <v>18</v>
      </c>
      <c r="C12979" t="s">
        <v>6</v>
      </c>
      <c r="D12979">
        <v>52</v>
      </c>
      <c r="E12979" s="2">
        <v>5.8101851851851849E-2</v>
      </c>
      <c r="F12979">
        <v>83.666666666666671</v>
      </c>
    </row>
    <row r="12980" spans="1:6" x14ac:dyDescent="0.25">
      <c r="A12980" s="1">
        <v>43040</v>
      </c>
      <c r="B12980" t="s">
        <v>18</v>
      </c>
      <c r="C12980" t="s">
        <v>7</v>
      </c>
      <c r="D12980">
        <v>64</v>
      </c>
      <c r="E12980" s="2">
        <v>6.7719907407407409E-2</v>
      </c>
      <c r="F12980">
        <v>97.516666666666666</v>
      </c>
    </row>
    <row r="12981" spans="1:6" x14ac:dyDescent="0.25">
      <c r="A12981" s="1">
        <v>43040</v>
      </c>
      <c r="B12981" t="s">
        <v>18</v>
      </c>
      <c r="C12981" t="s">
        <v>8</v>
      </c>
      <c r="D12981">
        <v>29</v>
      </c>
      <c r="E12981" s="2">
        <v>3.0439814814814815E-2</v>
      </c>
      <c r="F12981">
        <v>43.833333333333336</v>
      </c>
    </row>
    <row r="12982" spans="1:6" x14ac:dyDescent="0.25">
      <c r="A12982" s="1">
        <v>43040</v>
      </c>
      <c r="B12982" t="s">
        <v>18</v>
      </c>
      <c r="C12982" t="s">
        <v>9</v>
      </c>
      <c r="D12982">
        <v>32</v>
      </c>
      <c r="E12982" s="2">
        <v>2.824074074074074E-2</v>
      </c>
      <c r="F12982">
        <v>40.666666666666664</v>
      </c>
    </row>
    <row r="12983" spans="1:6" x14ac:dyDescent="0.25">
      <c r="A12983" s="1">
        <v>43040</v>
      </c>
      <c r="B12983" t="s">
        <v>18</v>
      </c>
      <c r="C12983" t="s">
        <v>10</v>
      </c>
      <c r="D12983">
        <v>94</v>
      </c>
      <c r="E12983" s="2">
        <v>0.13288194444444446</v>
      </c>
      <c r="F12983">
        <v>191.35</v>
      </c>
    </row>
    <row r="12984" spans="1:6" x14ac:dyDescent="0.25">
      <c r="A12984" s="1">
        <v>43040</v>
      </c>
      <c r="B12984" t="s">
        <v>18</v>
      </c>
      <c r="C12984" t="s">
        <v>11</v>
      </c>
      <c r="D12984">
        <v>44</v>
      </c>
      <c r="E12984" s="2">
        <v>3.2303240740740743E-2</v>
      </c>
      <c r="F12984">
        <v>46.516666666666666</v>
      </c>
    </row>
    <row r="12985" spans="1:6" x14ac:dyDescent="0.25">
      <c r="A12985" s="1">
        <v>43040</v>
      </c>
      <c r="B12985" t="s">
        <v>19</v>
      </c>
      <c r="C12985" t="s">
        <v>6</v>
      </c>
      <c r="D12985">
        <v>19</v>
      </c>
      <c r="E12985" s="2">
        <v>2.6701388888888889E-2</v>
      </c>
      <c r="F12985">
        <v>38.450000000000003</v>
      </c>
    </row>
    <row r="12986" spans="1:6" x14ac:dyDescent="0.25">
      <c r="A12986" s="1">
        <v>43040</v>
      </c>
      <c r="B12986" t="s">
        <v>19</v>
      </c>
      <c r="C12986" t="s">
        <v>7</v>
      </c>
      <c r="D12986">
        <v>29</v>
      </c>
      <c r="E12986" s="2">
        <v>3.9398148148148147E-2</v>
      </c>
      <c r="F12986">
        <v>56.733333333333334</v>
      </c>
    </row>
    <row r="12987" spans="1:6" x14ac:dyDescent="0.25">
      <c r="A12987" s="1">
        <v>43040</v>
      </c>
      <c r="B12987" t="s">
        <v>19</v>
      </c>
      <c r="C12987" t="s">
        <v>8</v>
      </c>
      <c r="D12987">
        <v>21</v>
      </c>
      <c r="E12987" s="2">
        <v>2.5775462962962962E-2</v>
      </c>
      <c r="F12987">
        <v>37.116666666666667</v>
      </c>
    </row>
    <row r="12988" spans="1:6" x14ac:dyDescent="0.25">
      <c r="A12988" s="1">
        <v>43040</v>
      </c>
      <c r="B12988" t="s">
        <v>19</v>
      </c>
      <c r="C12988" t="s">
        <v>9</v>
      </c>
      <c r="D12988">
        <v>8</v>
      </c>
      <c r="E12988" s="2">
        <v>7.083333333333333E-3</v>
      </c>
      <c r="F12988">
        <v>10.199999999999999</v>
      </c>
    </row>
    <row r="12989" spans="1:6" x14ac:dyDescent="0.25">
      <c r="A12989" s="1">
        <v>43040</v>
      </c>
      <c r="B12989" t="s">
        <v>19</v>
      </c>
      <c r="C12989" t="s">
        <v>10</v>
      </c>
      <c r="D12989">
        <v>15</v>
      </c>
      <c r="E12989" s="2">
        <v>2.375E-2</v>
      </c>
      <c r="F12989">
        <v>34.200000000000003</v>
      </c>
    </row>
    <row r="12990" spans="1:6" x14ac:dyDescent="0.25">
      <c r="A12990" s="1">
        <v>43040</v>
      </c>
      <c r="B12990" t="s">
        <v>19</v>
      </c>
      <c r="C12990" t="s">
        <v>11</v>
      </c>
      <c r="D12990">
        <v>25</v>
      </c>
      <c r="E12990" s="2">
        <v>2.6400462962962962E-2</v>
      </c>
      <c r="F12990">
        <v>38.016666666666666</v>
      </c>
    </row>
    <row r="12991" spans="1:6" x14ac:dyDescent="0.25">
      <c r="A12991" s="1">
        <v>43040</v>
      </c>
      <c r="B12991" t="s">
        <v>20</v>
      </c>
      <c r="C12991" t="s">
        <v>6</v>
      </c>
      <c r="D12991">
        <v>40</v>
      </c>
      <c r="E12991" s="2">
        <v>5.738425925925926E-2</v>
      </c>
      <c r="F12991">
        <v>82.63333333333334</v>
      </c>
    </row>
    <row r="12992" spans="1:6" x14ac:dyDescent="0.25">
      <c r="A12992" s="1">
        <v>43040</v>
      </c>
      <c r="B12992" t="s">
        <v>20</v>
      </c>
      <c r="C12992" t="s">
        <v>7</v>
      </c>
      <c r="D12992">
        <v>62</v>
      </c>
      <c r="E12992" s="2">
        <v>8.6168981481481485E-2</v>
      </c>
      <c r="F12992">
        <v>124.08333333333333</v>
      </c>
    </row>
    <row r="12993" spans="1:6" x14ac:dyDescent="0.25">
      <c r="A12993" s="1">
        <v>43040</v>
      </c>
      <c r="B12993" t="s">
        <v>20</v>
      </c>
      <c r="C12993" t="s">
        <v>8</v>
      </c>
      <c r="D12993">
        <v>41</v>
      </c>
      <c r="E12993" s="2">
        <v>4.880787037037037E-2</v>
      </c>
      <c r="F12993">
        <v>70.283333333333331</v>
      </c>
    </row>
    <row r="12994" spans="1:6" x14ac:dyDescent="0.25">
      <c r="A12994" s="1">
        <v>43040</v>
      </c>
      <c r="B12994" t="s">
        <v>20</v>
      </c>
      <c r="C12994" t="s">
        <v>9</v>
      </c>
      <c r="D12994">
        <v>14</v>
      </c>
      <c r="E12994" s="2">
        <v>1.2997685185185185E-2</v>
      </c>
      <c r="F12994">
        <v>18.716666666666665</v>
      </c>
    </row>
    <row r="12995" spans="1:6" x14ac:dyDescent="0.25">
      <c r="A12995" s="1">
        <v>43040</v>
      </c>
      <c r="B12995" t="s">
        <v>20</v>
      </c>
      <c r="C12995" t="s">
        <v>10</v>
      </c>
      <c r="D12995">
        <v>5</v>
      </c>
      <c r="E12995" s="2">
        <v>7.5578703703703702E-3</v>
      </c>
      <c r="F12995">
        <v>10.883333333333333</v>
      </c>
    </row>
    <row r="12996" spans="1:6" x14ac:dyDescent="0.25">
      <c r="A12996" s="1">
        <v>43040</v>
      </c>
      <c r="B12996" t="s">
        <v>20</v>
      </c>
      <c r="C12996" t="s">
        <v>11</v>
      </c>
      <c r="D12996">
        <v>30</v>
      </c>
      <c r="E12996" s="2">
        <v>2.4513888888888891E-2</v>
      </c>
      <c r="F12996">
        <v>35.299999999999997</v>
      </c>
    </row>
    <row r="12997" spans="1:6" x14ac:dyDescent="0.25">
      <c r="A12997" s="1">
        <v>43040</v>
      </c>
      <c r="B12997" t="s">
        <v>21</v>
      </c>
      <c r="C12997" t="s">
        <v>6</v>
      </c>
      <c r="D12997">
        <v>22</v>
      </c>
      <c r="E12997" s="2">
        <v>2.8252314814814813E-2</v>
      </c>
      <c r="F12997">
        <v>40.68333333333333</v>
      </c>
    </row>
    <row r="12998" spans="1:6" x14ac:dyDescent="0.25">
      <c r="A12998" s="1">
        <v>43040</v>
      </c>
      <c r="B12998" t="s">
        <v>21</v>
      </c>
      <c r="C12998" t="s">
        <v>7</v>
      </c>
      <c r="D12998">
        <v>20</v>
      </c>
      <c r="E12998" s="2">
        <v>2.9907407407407407E-2</v>
      </c>
      <c r="F12998">
        <v>43.06666666666667</v>
      </c>
    </row>
    <row r="12999" spans="1:6" x14ac:dyDescent="0.25">
      <c r="A12999" s="1">
        <v>43040</v>
      </c>
      <c r="B12999" t="s">
        <v>21</v>
      </c>
      <c r="C12999" t="s">
        <v>8</v>
      </c>
      <c r="D12999">
        <v>20</v>
      </c>
      <c r="E12999" s="2">
        <v>2.3981481481481482E-2</v>
      </c>
      <c r="F12999">
        <v>34.533333333333331</v>
      </c>
    </row>
    <row r="13000" spans="1:6" x14ac:dyDescent="0.25">
      <c r="A13000" s="1">
        <v>43040</v>
      </c>
      <c r="B13000" t="s">
        <v>21</v>
      </c>
      <c r="C13000" t="s">
        <v>9</v>
      </c>
      <c r="D13000">
        <v>7</v>
      </c>
      <c r="E13000" s="2">
        <v>5.5092592592592589E-3</v>
      </c>
      <c r="F13000">
        <v>7.9333333333333336</v>
      </c>
    </row>
    <row r="13001" spans="1:6" x14ac:dyDescent="0.25">
      <c r="A13001" s="1">
        <v>43040</v>
      </c>
      <c r="B13001" t="s">
        <v>21</v>
      </c>
      <c r="C13001" t="s">
        <v>10</v>
      </c>
      <c r="D13001">
        <v>8</v>
      </c>
      <c r="E13001" s="2">
        <v>1.525462962962963E-2</v>
      </c>
      <c r="F13001">
        <v>21.966666666666665</v>
      </c>
    </row>
    <row r="13002" spans="1:6" x14ac:dyDescent="0.25">
      <c r="A13002" s="1">
        <v>43040</v>
      </c>
      <c r="B13002" t="s">
        <v>21</v>
      </c>
      <c r="C13002" t="s">
        <v>11</v>
      </c>
      <c r="D13002">
        <v>25</v>
      </c>
      <c r="E13002" s="2">
        <v>2.4722222222222222E-2</v>
      </c>
      <c r="F13002">
        <v>35.6</v>
      </c>
    </row>
    <row r="13003" spans="1:6" x14ac:dyDescent="0.25">
      <c r="A13003" s="1">
        <v>43040</v>
      </c>
      <c r="B13003" t="s">
        <v>22</v>
      </c>
      <c r="C13003" t="s">
        <v>6</v>
      </c>
      <c r="D13003">
        <v>14</v>
      </c>
      <c r="E13003" s="2">
        <v>2.4212962962962964E-2</v>
      </c>
      <c r="F13003">
        <v>34.866666666666667</v>
      </c>
    </row>
    <row r="13004" spans="1:6" x14ac:dyDescent="0.25">
      <c r="A13004" s="1">
        <v>43040</v>
      </c>
      <c r="B13004" t="s">
        <v>22</v>
      </c>
      <c r="C13004" t="s">
        <v>7</v>
      </c>
      <c r="D13004">
        <v>5</v>
      </c>
      <c r="E13004" s="2">
        <v>8.1018518518518514E-3</v>
      </c>
      <c r="F13004">
        <v>11.666666666666666</v>
      </c>
    </row>
    <row r="13005" spans="1:6" x14ac:dyDescent="0.25">
      <c r="A13005" s="1">
        <v>43040</v>
      </c>
      <c r="B13005" t="s">
        <v>22</v>
      </c>
      <c r="C13005" t="s">
        <v>8</v>
      </c>
      <c r="D13005">
        <v>9</v>
      </c>
      <c r="E13005" s="2">
        <v>1.5173611111111112E-2</v>
      </c>
      <c r="F13005">
        <v>21.85</v>
      </c>
    </row>
    <row r="13006" spans="1:6" x14ac:dyDescent="0.25">
      <c r="A13006" s="1">
        <v>43040</v>
      </c>
      <c r="B13006" t="s">
        <v>22</v>
      </c>
      <c r="C13006" t="s">
        <v>9</v>
      </c>
      <c r="D13006">
        <v>1</v>
      </c>
      <c r="E13006" s="2">
        <v>6.4814814814814813E-4</v>
      </c>
      <c r="F13006">
        <v>0.93333333333333335</v>
      </c>
    </row>
    <row r="13007" spans="1:6" x14ac:dyDescent="0.25">
      <c r="A13007" s="1">
        <v>43040</v>
      </c>
      <c r="B13007" t="s">
        <v>22</v>
      </c>
      <c r="C13007" t="s">
        <v>10</v>
      </c>
      <c r="D13007">
        <v>7</v>
      </c>
      <c r="E13007" s="2">
        <v>4.0393518518518521E-3</v>
      </c>
      <c r="F13007">
        <v>5.8166666666666664</v>
      </c>
    </row>
    <row r="13008" spans="1:6" x14ac:dyDescent="0.25">
      <c r="A13008" s="1">
        <v>43040</v>
      </c>
      <c r="B13008" t="s">
        <v>22</v>
      </c>
      <c r="C13008" t="s">
        <v>11</v>
      </c>
      <c r="D13008">
        <v>8</v>
      </c>
      <c r="E13008" s="2">
        <v>9.5023148148148141E-3</v>
      </c>
      <c r="F13008">
        <v>13.683333333333334</v>
      </c>
    </row>
    <row r="13009" spans="1:6" x14ac:dyDescent="0.25">
      <c r="A13009" s="1">
        <v>43040</v>
      </c>
      <c r="B13009" t="s">
        <v>23</v>
      </c>
      <c r="C13009" t="s">
        <v>6</v>
      </c>
      <c r="D13009">
        <v>85</v>
      </c>
      <c r="E13009" s="2">
        <v>0.12077546296296296</v>
      </c>
      <c r="F13009">
        <v>173.91666666666666</v>
      </c>
    </row>
    <row r="13010" spans="1:6" x14ac:dyDescent="0.25">
      <c r="A13010" s="1">
        <v>43040</v>
      </c>
      <c r="B13010" t="s">
        <v>23</v>
      </c>
      <c r="C13010" t="s">
        <v>7</v>
      </c>
      <c r="D13010">
        <v>90</v>
      </c>
      <c r="E13010" s="2">
        <v>0.13804398148148148</v>
      </c>
      <c r="F13010">
        <v>198.78333333333333</v>
      </c>
    </row>
    <row r="13011" spans="1:6" x14ac:dyDescent="0.25">
      <c r="A13011" s="1">
        <v>43040</v>
      </c>
      <c r="B13011" t="s">
        <v>23</v>
      </c>
      <c r="C13011" t="s">
        <v>8</v>
      </c>
      <c r="D13011">
        <v>67</v>
      </c>
      <c r="E13011" s="2">
        <v>8.6678240740740736E-2</v>
      </c>
      <c r="F13011">
        <v>124.81666666666666</v>
      </c>
    </row>
    <row r="13012" spans="1:6" x14ac:dyDescent="0.25">
      <c r="A13012" s="1">
        <v>43040</v>
      </c>
      <c r="B13012" t="s">
        <v>23</v>
      </c>
      <c r="C13012" t="s">
        <v>9</v>
      </c>
      <c r="D13012">
        <v>19</v>
      </c>
      <c r="E13012" s="2">
        <v>1.3784722222222223E-2</v>
      </c>
      <c r="F13012">
        <v>19.850000000000001</v>
      </c>
    </row>
    <row r="13013" spans="1:6" x14ac:dyDescent="0.25">
      <c r="A13013" s="1">
        <v>43040</v>
      </c>
      <c r="B13013" t="s">
        <v>23</v>
      </c>
      <c r="C13013" t="s">
        <v>10</v>
      </c>
      <c r="D13013">
        <v>30</v>
      </c>
      <c r="E13013" s="2">
        <v>4.87037037037037E-2</v>
      </c>
      <c r="F13013">
        <v>70.13333333333334</v>
      </c>
    </row>
    <row r="13014" spans="1:6" x14ac:dyDescent="0.25">
      <c r="A13014" s="1">
        <v>43040</v>
      </c>
      <c r="B13014" t="s">
        <v>23</v>
      </c>
      <c r="C13014" t="s">
        <v>11</v>
      </c>
      <c r="D13014">
        <v>96</v>
      </c>
      <c r="E13014" s="2">
        <v>0.10305555555555555</v>
      </c>
      <c r="F13014">
        <v>148.4</v>
      </c>
    </row>
    <row r="13015" spans="1:6" x14ac:dyDescent="0.25">
      <c r="A13015" s="1">
        <v>43040</v>
      </c>
      <c r="B13015" t="s">
        <v>24</v>
      </c>
      <c r="C13015" t="s">
        <v>6</v>
      </c>
      <c r="D13015">
        <v>31</v>
      </c>
      <c r="E13015" s="2">
        <v>3.6400462962962961E-2</v>
      </c>
      <c r="F13015">
        <v>52.416666666666664</v>
      </c>
    </row>
    <row r="13016" spans="1:6" x14ac:dyDescent="0.25">
      <c r="A13016" s="1">
        <v>43040</v>
      </c>
      <c r="B13016" t="s">
        <v>24</v>
      </c>
      <c r="C13016" t="s">
        <v>7</v>
      </c>
      <c r="D13016">
        <v>22</v>
      </c>
      <c r="E13016" s="2">
        <v>2.8101851851851854E-2</v>
      </c>
      <c r="F13016">
        <v>40.466666666666669</v>
      </c>
    </row>
    <row r="13017" spans="1:6" x14ac:dyDescent="0.25">
      <c r="A13017" s="1">
        <v>43040</v>
      </c>
      <c r="B13017" t="s">
        <v>24</v>
      </c>
      <c r="C13017" t="s">
        <v>8</v>
      </c>
      <c r="D13017">
        <v>26</v>
      </c>
      <c r="E13017" s="2">
        <v>2.6319444444444444E-2</v>
      </c>
      <c r="F13017">
        <v>37.9</v>
      </c>
    </row>
    <row r="13018" spans="1:6" x14ac:dyDescent="0.25">
      <c r="A13018" s="1">
        <v>43040</v>
      </c>
      <c r="B13018" t="s">
        <v>24</v>
      </c>
      <c r="C13018" t="s">
        <v>9</v>
      </c>
      <c r="D13018">
        <v>5</v>
      </c>
      <c r="E13018" s="2">
        <v>4.0162037037037041E-3</v>
      </c>
      <c r="F13018">
        <v>5.7833333333333332</v>
      </c>
    </row>
    <row r="13019" spans="1:6" x14ac:dyDescent="0.25">
      <c r="A13019" s="1">
        <v>43040</v>
      </c>
      <c r="B13019" t="s">
        <v>24</v>
      </c>
      <c r="C13019" t="s">
        <v>10</v>
      </c>
      <c r="D13019">
        <v>1</v>
      </c>
      <c r="E13019" s="2">
        <v>1.3425925925925925E-3</v>
      </c>
      <c r="F13019">
        <v>1.9333333333333333</v>
      </c>
    </row>
    <row r="13020" spans="1:6" x14ac:dyDescent="0.25">
      <c r="A13020" s="1">
        <v>43040</v>
      </c>
      <c r="B13020" t="s">
        <v>24</v>
      </c>
      <c r="C13020" t="s">
        <v>11</v>
      </c>
      <c r="D13020">
        <v>26</v>
      </c>
      <c r="E13020" s="2">
        <v>1.9652777777777779E-2</v>
      </c>
      <c r="F13020">
        <v>28.3</v>
      </c>
    </row>
    <row r="13021" spans="1:6" x14ac:dyDescent="0.25">
      <c r="A13021" s="1">
        <v>43070</v>
      </c>
      <c r="B13021" t="s">
        <v>5</v>
      </c>
      <c r="C13021" t="s">
        <v>6</v>
      </c>
      <c r="D13021">
        <v>60</v>
      </c>
      <c r="E13021" s="2">
        <v>5.6539351851851855E-2</v>
      </c>
      <c r="F13021">
        <v>81.416666666666671</v>
      </c>
    </row>
    <row r="13022" spans="1:6" x14ac:dyDescent="0.25">
      <c r="A13022" s="1">
        <v>43070</v>
      </c>
      <c r="B13022" t="s">
        <v>5</v>
      </c>
      <c r="C13022" t="s">
        <v>7</v>
      </c>
      <c r="D13022">
        <v>53</v>
      </c>
      <c r="E13022" s="2">
        <v>5.019675925925926E-2</v>
      </c>
      <c r="F13022">
        <v>72.283333333333331</v>
      </c>
    </row>
    <row r="13023" spans="1:6" x14ac:dyDescent="0.25">
      <c r="A13023" s="1">
        <v>43070</v>
      </c>
      <c r="B13023" t="s">
        <v>5</v>
      </c>
      <c r="C13023" t="s">
        <v>8</v>
      </c>
      <c r="D13023">
        <v>60</v>
      </c>
      <c r="E13023" s="2">
        <v>5.3553240740740742E-2</v>
      </c>
      <c r="F13023">
        <v>77.11666666666666</v>
      </c>
    </row>
    <row r="13024" spans="1:6" x14ac:dyDescent="0.25">
      <c r="A13024" s="1">
        <v>43070</v>
      </c>
      <c r="B13024" t="s">
        <v>5</v>
      </c>
      <c r="C13024" t="s">
        <v>9</v>
      </c>
      <c r="D13024">
        <v>8</v>
      </c>
      <c r="E13024" s="2">
        <v>6.6435185185185182E-3</v>
      </c>
      <c r="F13024">
        <v>9.5666666666666664</v>
      </c>
    </row>
    <row r="13025" spans="1:6" x14ac:dyDescent="0.25">
      <c r="A13025" s="1">
        <v>43070</v>
      </c>
      <c r="B13025" t="s">
        <v>5</v>
      </c>
      <c r="C13025" t="s">
        <v>10</v>
      </c>
      <c r="D13025">
        <v>4</v>
      </c>
      <c r="E13025" s="2">
        <v>2.7777777777777779E-3</v>
      </c>
      <c r="F13025">
        <v>4</v>
      </c>
    </row>
    <row r="13026" spans="1:6" x14ac:dyDescent="0.25">
      <c r="A13026" s="1">
        <v>43070</v>
      </c>
      <c r="B13026" t="s">
        <v>5</v>
      </c>
      <c r="C13026" t="s">
        <v>11</v>
      </c>
      <c r="D13026">
        <v>34</v>
      </c>
      <c r="E13026" s="2">
        <v>3.2037037037037037E-2</v>
      </c>
      <c r="F13026">
        <v>46.133333333333333</v>
      </c>
    </row>
    <row r="13027" spans="1:6" x14ac:dyDescent="0.25">
      <c r="A13027" s="1">
        <v>43070</v>
      </c>
      <c r="B13027" t="s">
        <v>12</v>
      </c>
      <c r="C13027" t="s">
        <v>6</v>
      </c>
      <c r="D13027">
        <v>32</v>
      </c>
      <c r="E13027" s="2">
        <v>6.0509259259259263E-2</v>
      </c>
      <c r="F13027">
        <v>87.13333333333334</v>
      </c>
    </row>
    <row r="13028" spans="1:6" x14ac:dyDescent="0.25">
      <c r="A13028" s="1">
        <v>43070</v>
      </c>
      <c r="B13028" t="s">
        <v>12</v>
      </c>
      <c r="C13028" t="s">
        <v>7</v>
      </c>
      <c r="D13028">
        <v>16</v>
      </c>
      <c r="E13028" s="2">
        <v>3.6111111111111108E-2</v>
      </c>
      <c r="F13028">
        <v>52</v>
      </c>
    </row>
    <row r="13029" spans="1:6" x14ac:dyDescent="0.25">
      <c r="A13029" s="1">
        <v>43070</v>
      </c>
      <c r="B13029" t="s">
        <v>12</v>
      </c>
      <c r="C13029" t="s">
        <v>8</v>
      </c>
      <c r="D13029">
        <v>20</v>
      </c>
      <c r="E13029" s="2">
        <v>3.0462962962962963E-2</v>
      </c>
      <c r="F13029">
        <v>43.866666666666667</v>
      </c>
    </row>
    <row r="13030" spans="1:6" x14ac:dyDescent="0.25">
      <c r="A13030" s="1">
        <v>43070</v>
      </c>
      <c r="B13030" t="s">
        <v>12</v>
      </c>
      <c r="C13030" t="s">
        <v>9</v>
      </c>
      <c r="D13030">
        <v>2</v>
      </c>
      <c r="E13030" s="2">
        <v>1.5740740740740741E-3</v>
      </c>
      <c r="F13030">
        <v>2.2666666666666666</v>
      </c>
    </row>
    <row r="13031" spans="1:6" x14ac:dyDescent="0.25">
      <c r="A13031" s="1">
        <v>43070</v>
      </c>
      <c r="B13031" t="s">
        <v>12</v>
      </c>
      <c r="C13031" t="s">
        <v>10</v>
      </c>
      <c r="D13031">
        <v>18</v>
      </c>
      <c r="E13031" s="2">
        <v>2.8900462962962965E-2</v>
      </c>
      <c r="F13031">
        <v>41.616666666666667</v>
      </c>
    </row>
    <row r="13032" spans="1:6" x14ac:dyDescent="0.25">
      <c r="A13032" s="1">
        <v>43070</v>
      </c>
      <c r="B13032" t="s">
        <v>12</v>
      </c>
      <c r="C13032" t="s">
        <v>11</v>
      </c>
      <c r="D13032">
        <v>43</v>
      </c>
      <c r="E13032" s="2">
        <v>6.6956018518518512E-2</v>
      </c>
      <c r="F13032">
        <v>96.416666666666671</v>
      </c>
    </row>
    <row r="13033" spans="1:6" x14ac:dyDescent="0.25">
      <c r="A13033" s="1">
        <v>43070</v>
      </c>
      <c r="B13033" t="s">
        <v>13</v>
      </c>
      <c r="C13033" t="s">
        <v>6</v>
      </c>
      <c r="D13033">
        <v>63</v>
      </c>
      <c r="E13033" s="2">
        <v>0.1002662037037037</v>
      </c>
      <c r="F13033">
        <v>144.38333333333333</v>
      </c>
    </row>
    <row r="13034" spans="1:6" x14ac:dyDescent="0.25">
      <c r="A13034" s="1">
        <v>43070</v>
      </c>
      <c r="B13034" t="s">
        <v>13</v>
      </c>
      <c r="C13034" t="s">
        <v>7</v>
      </c>
      <c r="D13034">
        <v>69</v>
      </c>
      <c r="E13034" s="2">
        <v>0.10989583333333333</v>
      </c>
      <c r="F13034">
        <v>158.25</v>
      </c>
    </row>
    <row r="13035" spans="1:6" x14ac:dyDescent="0.25">
      <c r="A13035" s="1">
        <v>43070</v>
      </c>
      <c r="B13035" t="s">
        <v>13</v>
      </c>
      <c r="C13035" t="s">
        <v>8</v>
      </c>
      <c r="D13035">
        <v>30</v>
      </c>
      <c r="E13035" s="2">
        <v>4.5798611111111109E-2</v>
      </c>
      <c r="F13035">
        <v>65.95</v>
      </c>
    </row>
    <row r="13036" spans="1:6" x14ac:dyDescent="0.25">
      <c r="A13036" s="1">
        <v>43070</v>
      </c>
      <c r="B13036" t="s">
        <v>13</v>
      </c>
      <c r="C13036" t="s">
        <v>9</v>
      </c>
      <c r="D13036">
        <v>6</v>
      </c>
      <c r="E13036" s="2">
        <v>5.0347222222222225E-3</v>
      </c>
      <c r="F13036">
        <v>7.25</v>
      </c>
    </row>
    <row r="13037" spans="1:6" x14ac:dyDescent="0.25">
      <c r="A13037" s="1">
        <v>43070</v>
      </c>
      <c r="B13037" t="s">
        <v>13</v>
      </c>
      <c r="C13037" t="s">
        <v>10</v>
      </c>
      <c r="D13037">
        <v>14</v>
      </c>
      <c r="E13037" s="2">
        <v>2.1944444444444444E-2</v>
      </c>
      <c r="F13037">
        <v>31.6</v>
      </c>
    </row>
    <row r="13038" spans="1:6" x14ac:dyDescent="0.25">
      <c r="A13038" s="1">
        <v>43070</v>
      </c>
      <c r="B13038" t="s">
        <v>13</v>
      </c>
      <c r="C13038" t="s">
        <v>11</v>
      </c>
      <c r="D13038">
        <v>23</v>
      </c>
      <c r="E13038" s="2">
        <v>2.3414351851851853E-2</v>
      </c>
      <c r="F13038">
        <v>33.716666666666669</v>
      </c>
    </row>
    <row r="13039" spans="1:6" x14ac:dyDescent="0.25">
      <c r="A13039" s="1">
        <v>43070</v>
      </c>
      <c r="B13039" t="s">
        <v>14</v>
      </c>
      <c r="C13039" t="s">
        <v>6</v>
      </c>
      <c r="D13039">
        <v>12</v>
      </c>
      <c r="E13039" s="2">
        <v>2.0844907407407406E-2</v>
      </c>
      <c r="F13039">
        <v>30.016666666666666</v>
      </c>
    </row>
    <row r="13040" spans="1:6" x14ac:dyDescent="0.25">
      <c r="A13040" s="1">
        <v>43070</v>
      </c>
      <c r="B13040" t="s">
        <v>14</v>
      </c>
      <c r="C13040" t="s">
        <v>7</v>
      </c>
      <c r="D13040">
        <v>5</v>
      </c>
      <c r="E13040" s="2">
        <v>1.0381944444444444E-2</v>
      </c>
      <c r="F13040">
        <v>14.95</v>
      </c>
    </row>
    <row r="13041" spans="1:6" x14ac:dyDescent="0.25">
      <c r="A13041" s="1">
        <v>43070</v>
      </c>
      <c r="B13041" t="s">
        <v>14</v>
      </c>
      <c r="C13041" t="s">
        <v>8</v>
      </c>
      <c r="D13041">
        <v>4</v>
      </c>
      <c r="E13041" s="2">
        <v>6.3078703703703708E-3</v>
      </c>
      <c r="F13041">
        <v>9.0833333333333339</v>
      </c>
    </row>
    <row r="13042" spans="1:6" x14ac:dyDescent="0.25">
      <c r="A13042" s="1">
        <v>43070</v>
      </c>
      <c r="B13042" t="s">
        <v>14</v>
      </c>
      <c r="C13042" t="s">
        <v>9</v>
      </c>
      <c r="D13042">
        <v>2</v>
      </c>
      <c r="E13042" s="2">
        <v>1.5046296296296296E-3</v>
      </c>
      <c r="F13042">
        <v>2.1666666666666665</v>
      </c>
    </row>
    <row r="13043" spans="1:6" x14ac:dyDescent="0.25">
      <c r="A13043" s="1">
        <v>43070</v>
      </c>
      <c r="B13043" t="s">
        <v>14</v>
      </c>
      <c r="C13043" t="s">
        <v>10</v>
      </c>
      <c r="D13043">
        <v>0</v>
      </c>
      <c r="E13043" s="2">
        <v>0</v>
      </c>
      <c r="F13043">
        <v>0</v>
      </c>
    </row>
    <row r="13044" spans="1:6" x14ac:dyDescent="0.25">
      <c r="A13044" s="1">
        <v>43070</v>
      </c>
      <c r="B13044" t="s">
        <v>14</v>
      </c>
      <c r="C13044" t="s">
        <v>11</v>
      </c>
      <c r="D13044">
        <v>6</v>
      </c>
      <c r="E13044" s="2">
        <v>6.6550925925925927E-3</v>
      </c>
      <c r="F13044">
        <v>9.5833333333333339</v>
      </c>
    </row>
    <row r="13045" spans="1:6" x14ac:dyDescent="0.25">
      <c r="A13045" s="1">
        <v>43070</v>
      </c>
      <c r="B13045" t="s">
        <v>15</v>
      </c>
      <c r="C13045" t="s">
        <v>6</v>
      </c>
      <c r="D13045">
        <v>17</v>
      </c>
      <c r="E13045" s="2">
        <v>2.3020833333333334E-2</v>
      </c>
      <c r="F13045">
        <v>33.15</v>
      </c>
    </row>
    <row r="13046" spans="1:6" x14ac:dyDescent="0.25">
      <c r="A13046" s="1">
        <v>43070</v>
      </c>
      <c r="B13046" t="s">
        <v>15</v>
      </c>
      <c r="C13046" t="s">
        <v>7</v>
      </c>
      <c r="D13046">
        <v>28</v>
      </c>
      <c r="E13046" s="2">
        <v>3.394675925925926E-2</v>
      </c>
      <c r="F13046">
        <v>48.883333333333333</v>
      </c>
    </row>
    <row r="13047" spans="1:6" x14ac:dyDescent="0.25">
      <c r="A13047" s="1">
        <v>43070</v>
      </c>
      <c r="B13047" t="s">
        <v>15</v>
      </c>
      <c r="C13047" t="s">
        <v>8</v>
      </c>
      <c r="D13047">
        <v>8</v>
      </c>
      <c r="E13047" s="2">
        <v>8.5879629629629622E-3</v>
      </c>
      <c r="F13047">
        <v>12.366666666666667</v>
      </c>
    </row>
    <row r="13048" spans="1:6" x14ac:dyDescent="0.25">
      <c r="A13048" s="1">
        <v>43070</v>
      </c>
      <c r="B13048" t="s">
        <v>15</v>
      </c>
      <c r="C13048" t="s">
        <v>9</v>
      </c>
      <c r="D13048">
        <v>6</v>
      </c>
      <c r="E13048" s="2">
        <v>4.8263888888888887E-3</v>
      </c>
      <c r="F13048">
        <v>6.95</v>
      </c>
    </row>
    <row r="13049" spans="1:6" x14ac:dyDescent="0.25">
      <c r="A13049" s="1">
        <v>43070</v>
      </c>
      <c r="B13049" t="s">
        <v>15</v>
      </c>
      <c r="C13049" t="s">
        <v>10</v>
      </c>
      <c r="D13049">
        <v>9</v>
      </c>
      <c r="E13049" s="2">
        <v>1.6886574074074075E-2</v>
      </c>
      <c r="F13049">
        <v>24.316666666666666</v>
      </c>
    </row>
    <row r="13050" spans="1:6" x14ac:dyDescent="0.25">
      <c r="A13050" s="1">
        <v>43070</v>
      </c>
      <c r="B13050" t="s">
        <v>15</v>
      </c>
      <c r="C13050" t="s">
        <v>11</v>
      </c>
      <c r="D13050">
        <v>5</v>
      </c>
      <c r="E13050" s="2">
        <v>5.8217592592592592E-3</v>
      </c>
      <c r="F13050">
        <v>8.3833333333333329</v>
      </c>
    </row>
    <row r="13051" spans="1:6" x14ac:dyDescent="0.25">
      <c r="A13051" s="1">
        <v>43070</v>
      </c>
      <c r="B13051" t="s">
        <v>16</v>
      </c>
      <c r="C13051" t="s">
        <v>6</v>
      </c>
      <c r="D13051">
        <v>16</v>
      </c>
      <c r="E13051" s="2">
        <v>1.9861111111111111E-2</v>
      </c>
      <c r="F13051">
        <v>28.6</v>
      </c>
    </row>
    <row r="13052" spans="1:6" x14ac:dyDescent="0.25">
      <c r="A13052" s="1">
        <v>43070</v>
      </c>
      <c r="B13052" t="s">
        <v>16</v>
      </c>
      <c r="C13052" t="s">
        <v>7</v>
      </c>
      <c r="D13052">
        <v>12</v>
      </c>
      <c r="E13052" s="2">
        <v>1.7418981481481483E-2</v>
      </c>
      <c r="F13052">
        <v>25.083333333333332</v>
      </c>
    </row>
    <row r="13053" spans="1:6" x14ac:dyDescent="0.25">
      <c r="A13053" s="1">
        <v>43070</v>
      </c>
      <c r="B13053" t="s">
        <v>16</v>
      </c>
      <c r="C13053" t="s">
        <v>8</v>
      </c>
      <c r="D13053">
        <v>28</v>
      </c>
      <c r="E13053" s="2">
        <v>2.7083333333333334E-2</v>
      </c>
      <c r="F13053">
        <v>39</v>
      </c>
    </row>
    <row r="13054" spans="1:6" x14ac:dyDescent="0.25">
      <c r="A13054" s="1">
        <v>43070</v>
      </c>
      <c r="B13054" t="s">
        <v>16</v>
      </c>
      <c r="C13054" t="s">
        <v>9</v>
      </c>
      <c r="D13054">
        <v>5</v>
      </c>
      <c r="E13054" s="2">
        <v>5.0000000000000001E-3</v>
      </c>
      <c r="F13054">
        <v>7.2</v>
      </c>
    </row>
    <row r="13055" spans="1:6" x14ac:dyDescent="0.25">
      <c r="A13055" s="1">
        <v>43070</v>
      </c>
      <c r="B13055" t="s">
        <v>16</v>
      </c>
      <c r="C13055" t="s">
        <v>10</v>
      </c>
      <c r="D13055">
        <v>2</v>
      </c>
      <c r="E13055" s="2">
        <v>1.8171296296296297E-3</v>
      </c>
      <c r="F13055">
        <v>2.6166666666666667</v>
      </c>
    </row>
    <row r="13056" spans="1:6" x14ac:dyDescent="0.25">
      <c r="A13056" s="1">
        <v>43070</v>
      </c>
      <c r="B13056" t="s">
        <v>16</v>
      </c>
      <c r="C13056" t="s">
        <v>11</v>
      </c>
      <c r="D13056">
        <v>20</v>
      </c>
      <c r="E13056" s="2">
        <v>1.8298611111111113E-2</v>
      </c>
      <c r="F13056">
        <v>26.35</v>
      </c>
    </row>
    <row r="13057" spans="1:6" x14ac:dyDescent="0.25">
      <c r="A13057" s="1">
        <v>43070</v>
      </c>
      <c r="B13057" t="s">
        <v>17</v>
      </c>
      <c r="C13057" t="s">
        <v>6</v>
      </c>
      <c r="D13057">
        <v>66</v>
      </c>
      <c r="E13057" s="2">
        <v>0.10954861111111111</v>
      </c>
      <c r="F13057">
        <v>157.75</v>
      </c>
    </row>
    <row r="13058" spans="1:6" x14ac:dyDescent="0.25">
      <c r="A13058" s="1">
        <v>43070</v>
      </c>
      <c r="B13058" t="s">
        <v>17</v>
      </c>
      <c r="C13058" t="s">
        <v>7</v>
      </c>
      <c r="D13058">
        <v>55</v>
      </c>
      <c r="E13058" s="2">
        <v>8.0555555555555561E-2</v>
      </c>
      <c r="F13058">
        <v>116</v>
      </c>
    </row>
    <row r="13059" spans="1:6" x14ac:dyDescent="0.25">
      <c r="A13059" s="1">
        <v>43070</v>
      </c>
      <c r="B13059" t="s">
        <v>17</v>
      </c>
      <c r="C13059" t="s">
        <v>8</v>
      </c>
      <c r="D13059">
        <v>47</v>
      </c>
      <c r="E13059" s="2">
        <v>4.7858796296296295E-2</v>
      </c>
      <c r="F13059">
        <v>68.916666666666671</v>
      </c>
    </row>
    <row r="13060" spans="1:6" x14ac:dyDescent="0.25">
      <c r="A13060" s="1">
        <v>43070</v>
      </c>
      <c r="B13060" t="s">
        <v>17</v>
      </c>
      <c r="C13060" t="s">
        <v>9</v>
      </c>
      <c r="D13060">
        <v>5</v>
      </c>
      <c r="E13060" s="2">
        <v>5.0694444444444441E-3</v>
      </c>
      <c r="F13060">
        <v>7.3</v>
      </c>
    </row>
    <row r="13061" spans="1:6" x14ac:dyDescent="0.25">
      <c r="A13061" s="1">
        <v>43070</v>
      </c>
      <c r="B13061" t="s">
        <v>17</v>
      </c>
      <c r="C13061" t="s">
        <v>10</v>
      </c>
      <c r="D13061">
        <v>5</v>
      </c>
      <c r="E13061" s="2">
        <v>7.6851851851851855E-3</v>
      </c>
      <c r="F13061">
        <v>11.066666666666666</v>
      </c>
    </row>
    <row r="13062" spans="1:6" x14ac:dyDescent="0.25">
      <c r="A13062" s="1">
        <v>43070</v>
      </c>
      <c r="B13062" t="s">
        <v>17</v>
      </c>
      <c r="C13062" t="s">
        <v>11</v>
      </c>
      <c r="D13062">
        <v>46</v>
      </c>
      <c r="E13062" s="2">
        <v>7.0231481481481478E-2</v>
      </c>
      <c r="F13062">
        <v>101.13333333333334</v>
      </c>
    </row>
    <row r="13063" spans="1:6" x14ac:dyDescent="0.25">
      <c r="A13063" s="1">
        <v>43070</v>
      </c>
      <c r="B13063" t="s">
        <v>18</v>
      </c>
      <c r="C13063" t="s">
        <v>6</v>
      </c>
      <c r="D13063">
        <v>34</v>
      </c>
      <c r="E13063" s="2">
        <v>2.883101851851852E-2</v>
      </c>
      <c r="F13063">
        <v>41.516666666666666</v>
      </c>
    </row>
    <row r="13064" spans="1:6" x14ac:dyDescent="0.25">
      <c r="A13064" s="1">
        <v>43070</v>
      </c>
      <c r="B13064" t="s">
        <v>18</v>
      </c>
      <c r="C13064" t="s">
        <v>7</v>
      </c>
      <c r="D13064">
        <v>90</v>
      </c>
      <c r="E13064" s="2">
        <v>8.6354166666666662E-2</v>
      </c>
      <c r="F13064">
        <v>124.35</v>
      </c>
    </row>
    <row r="13065" spans="1:6" x14ac:dyDescent="0.25">
      <c r="A13065" s="1">
        <v>43070</v>
      </c>
      <c r="B13065" t="s">
        <v>18</v>
      </c>
      <c r="C13065" t="s">
        <v>8</v>
      </c>
      <c r="D13065">
        <v>31</v>
      </c>
      <c r="E13065" s="2">
        <v>3.0243055555555554E-2</v>
      </c>
      <c r="F13065">
        <v>43.55</v>
      </c>
    </row>
    <row r="13066" spans="1:6" x14ac:dyDescent="0.25">
      <c r="A13066" s="1">
        <v>43070</v>
      </c>
      <c r="B13066" t="s">
        <v>18</v>
      </c>
      <c r="C13066" t="s">
        <v>9</v>
      </c>
      <c r="D13066">
        <v>25</v>
      </c>
      <c r="E13066" s="2">
        <v>2.3715277777777776E-2</v>
      </c>
      <c r="F13066">
        <v>34.15</v>
      </c>
    </row>
    <row r="13067" spans="1:6" x14ac:dyDescent="0.25">
      <c r="A13067" s="1">
        <v>43070</v>
      </c>
      <c r="B13067" t="s">
        <v>18</v>
      </c>
      <c r="C13067" t="s">
        <v>10</v>
      </c>
      <c r="D13067">
        <v>138</v>
      </c>
      <c r="E13067" s="2">
        <v>0.17635416666666667</v>
      </c>
      <c r="F13067">
        <v>253.95</v>
      </c>
    </row>
    <row r="13068" spans="1:6" x14ac:dyDescent="0.25">
      <c r="A13068" s="1">
        <v>43070</v>
      </c>
      <c r="B13068" t="s">
        <v>18</v>
      </c>
      <c r="C13068" t="s">
        <v>11</v>
      </c>
      <c r="D13068">
        <v>41</v>
      </c>
      <c r="E13068" s="2">
        <v>2.6574074074074073E-2</v>
      </c>
      <c r="F13068">
        <v>38.266666666666666</v>
      </c>
    </row>
    <row r="13069" spans="1:6" x14ac:dyDescent="0.25">
      <c r="A13069" s="1">
        <v>43070</v>
      </c>
      <c r="B13069" t="s">
        <v>19</v>
      </c>
      <c r="C13069" t="s">
        <v>6</v>
      </c>
      <c r="D13069">
        <v>5</v>
      </c>
      <c r="E13069" s="2">
        <v>5.5787037037037038E-3</v>
      </c>
      <c r="F13069">
        <v>8.0333333333333332</v>
      </c>
    </row>
    <row r="13070" spans="1:6" x14ac:dyDescent="0.25">
      <c r="A13070" s="1">
        <v>43070</v>
      </c>
      <c r="B13070" t="s">
        <v>19</v>
      </c>
      <c r="C13070" t="s">
        <v>7</v>
      </c>
      <c r="D13070">
        <v>7</v>
      </c>
      <c r="E13070" s="2">
        <v>7.7546296296296295E-3</v>
      </c>
      <c r="F13070">
        <v>11.166666666666666</v>
      </c>
    </row>
    <row r="13071" spans="1:6" x14ac:dyDescent="0.25">
      <c r="A13071" s="1">
        <v>43070</v>
      </c>
      <c r="B13071" t="s">
        <v>19</v>
      </c>
      <c r="C13071" t="s">
        <v>8</v>
      </c>
      <c r="D13071">
        <v>14</v>
      </c>
      <c r="E13071" s="2">
        <v>1.6793981481481483E-2</v>
      </c>
      <c r="F13071">
        <v>24.183333333333334</v>
      </c>
    </row>
    <row r="13072" spans="1:6" x14ac:dyDescent="0.25">
      <c r="A13072" s="1">
        <v>43070</v>
      </c>
      <c r="B13072" t="s">
        <v>19</v>
      </c>
      <c r="C13072" t="s">
        <v>9</v>
      </c>
      <c r="D13072">
        <v>2</v>
      </c>
      <c r="E13072" s="2">
        <v>1.5740740740740741E-3</v>
      </c>
      <c r="F13072">
        <v>2.2666666666666666</v>
      </c>
    </row>
    <row r="13073" spans="1:6" x14ac:dyDescent="0.25">
      <c r="A13073" s="1">
        <v>43070</v>
      </c>
      <c r="B13073" t="s">
        <v>19</v>
      </c>
      <c r="C13073" t="s">
        <v>10</v>
      </c>
      <c r="D13073">
        <v>6</v>
      </c>
      <c r="E13073" s="2">
        <v>7.4305555555555557E-3</v>
      </c>
      <c r="F13073">
        <v>10.7</v>
      </c>
    </row>
    <row r="13074" spans="1:6" x14ac:dyDescent="0.25">
      <c r="A13074" s="1">
        <v>43070</v>
      </c>
      <c r="B13074" t="s">
        <v>19</v>
      </c>
      <c r="C13074" t="s">
        <v>11</v>
      </c>
      <c r="D13074">
        <v>10</v>
      </c>
      <c r="E13074" s="2">
        <v>9.9189814814814817E-3</v>
      </c>
      <c r="F13074">
        <v>14.283333333333333</v>
      </c>
    </row>
    <row r="13075" spans="1:6" x14ac:dyDescent="0.25">
      <c r="A13075" s="1">
        <v>43070</v>
      </c>
      <c r="B13075" t="s">
        <v>20</v>
      </c>
      <c r="C13075" t="s">
        <v>6</v>
      </c>
      <c r="D13075">
        <v>34</v>
      </c>
      <c r="E13075" s="2">
        <v>4.8564814814814818E-2</v>
      </c>
      <c r="F13075">
        <v>69.933333333333337</v>
      </c>
    </row>
    <row r="13076" spans="1:6" x14ac:dyDescent="0.25">
      <c r="A13076" s="1">
        <v>43070</v>
      </c>
      <c r="B13076" t="s">
        <v>20</v>
      </c>
      <c r="C13076" t="s">
        <v>7</v>
      </c>
      <c r="D13076">
        <v>55</v>
      </c>
      <c r="E13076" s="2">
        <v>6.1805555555555558E-2</v>
      </c>
      <c r="F13076">
        <v>89</v>
      </c>
    </row>
    <row r="13077" spans="1:6" x14ac:dyDescent="0.25">
      <c r="A13077" s="1">
        <v>43070</v>
      </c>
      <c r="B13077" t="s">
        <v>20</v>
      </c>
      <c r="C13077" t="s">
        <v>8</v>
      </c>
      <c r="D13077">
        <v>37</v>
      </c>
      <c r="E13077" s="2">
        <v>3.7974537037037036E-2</v>
      </c>
      <c r="F13077">
        <v>54.68333333333333</v>
      </c>
    </row>
    <row r="13078" spans="1:6" x14ac:dyDescent="0.25">
      <c r="A13078" s="1">
        <v>43070</v>
      </c>
      <c r="B13078" t="s">
        <v>20</v>
      </c>
      <c r="C13078" t="s">
        <v>9</v>
      </c>
      <c r="D13078">
        <v>12</v>
      </c>
      <c r="E13078" s="2">
        <v>1.0439814814814815E-2</v>
      </c>
      <c r="F13078">
        <v>15.033333333333333</v>
      </c>
    </row>
    <row r="13079" spans="1:6" x14ac:dyDescent="0.25">
      <c r="A13079" s="1">
        <v>43070</v>
      </c>
      <c r="B13079" t="s">
        <v>20</v>
      </c>
      <c r="C13079" t="s">
        <v>10</v>
      </c>
      <c r="D13079">
        <v>11</v>
      </c>
      <c r="E13079" s="2">
        <v>1.9467592592592592E-2</v>
      </c>
      <c r="F13079">
        <v>28.033333333333335</v>
      </c>
    </row>
    <row r="13080" spans="1:6" x14ac:dyDescent="0.25">
      <c r="A13080" s="1">
        <v>43070</v>
      </c>
      <c r="B13080" t="s">
        <v>20</v>
      </c>
      <c r="C13080" t="s">
        <v>11</v>
      </c>
      <c r="D13080">
        <v>44</v>
      </c>
      <c r="E13080" s="2">
        <v>3.5439814814814813E-2</v>
      </c>
      <c r="F13080">
        <v>51.033333333333331</v>
      </c>
    </row>
    <row r="13081" spans="1:6" x14ac:dyDescent="0.25">
      <c r="A13081" s="1">
        <v>43070</v>
      </c>
      <c r="B13081" t="s">
        <v>21</v>
      </c>
      <c r="C13081" t="s">
        <v>6</v>
      </c>
      <c r="D13081">
        <v>17</v>
      </c>
      <c r="E13081" s="2">
        <v>2.4166666666666666E-2</v>
      </c>
      <c r="F13081">
        <v>34.799999999999997</v>
      </c>
    </row>
    <row r="13082" spans="1:6" x14ac:dyDescent="0.25">
      <c r="A13082" s="1">
        <v>43070</v>
      </c>
      <c r="B13082" t="s">
        <v>21</v>
      </c>
      <c r="C13082" t="s">
        <v>7</v>
      </c>
      <c r="D13082">
        <v>17</v>
      </c>
      <c r="E13082" s="2">
        <v>2.630787037037037E-2</v>
      </c>
      <c r="F13082">
        <v>37.883333333333333</v>
      </c>
    </row>
    <row r="13083" spans="1:6" x14ac:dyDescent="0.25">
      <c r="A13083" s="1">
        <v>43070</v>
      </c>
      <c r="B13083" t="s">
        <v>21</v>
      </c>
      <c r="C13083" t="s">
        <v>8</v>
      </c>
      <c r="D13083">
        <v>20</v>
      </c>
      <c r="E13083" s="2">
        <v>2.2719907407407407E-2</v>
      </c>
      <c r="F13083">
        <v>32.716666666666669</v>
      </c>
    </row>
    <row r="13084" spans="1:6" x14ac:dyDescent="0.25">
      <c r="A13084" s="1">
        <v>43070</v>
      </c>
      <c r="B13084" t="s">
        <v>21</v>
      </c>
      <c r="C13084" t="s">
        <v>9</v>
      </c>
      <c r="D13084">
        <v>0</v>
      </c>
      <c r="E13084" s="2">
        <v>0</v>
      </c>
      <c r="F13084">
        <v>0</v>
      </c>
    </row>
    <row r="13085" spans="1:6" x14ac:dyDescent="0.25">
      <c r="A13085" s="1">
        <v>43070</v>
      </c>
      <c r="B13085" t="s">
        <v>21</v>
      </c>
      <c r="C13085" t="s">
        <v>10</v>
      </c>
      <c r="D13085">
        <v>3</v>
      </c>
      <c r="E13085" s="2">
        <v>1.25E-3</v>
      </c>
      <c r="F13085">
        <v>1.8</v>
      </c>
    </row>
    <row r="13086" spans="1:6" x14ac:dyDescent="0.25">
      <c r="A13086" s="1">
        <v>43070</v>
      </c>
      <c r="B13086" t="s">
        <v>21</v>
      </c>
      <c r="C13086" t="s">
        <v>11</v>
      </c>
      <c r="D13086">
        <v>16</v>
      </c>
      <c r="E13086" s="2">
        <v>1.6261574074074074E-2</v>
      </c>
      <c r="F13086">
        <v>23.416666666666668</v>
      </c>
    </row>
    <row r="13087" spans="1:6" x14ac:dyDescent="0.25">
      <c r="A13087" s="1">
        <v>43070</v>
      </c>
      <c r="B13087" t="s">
        <v>22</v>
      </c>
      <c r="C13087" t="s">
        <v>6</v>
      </c>
      <c r="D13087">
        <v>7</v>
      </c>
      <c r="E13087" s="2">
        <v>1.2280092592592592E-2</v>
      </c>
      <c r="F13087">
        <v>17.683333333333334</v>
      </c>
    </row>
    <row r="13088" spans="1:6" x14ac:dyDescent="0.25">
      <c r="A13088" s="1">
        <v>43070</v>
      </c>
      <c r="B13088" t="s">
        <v>22</v>
      </c>
      <c r="C13088" t="s">
        <v>7</v>
      </c>
      <c r="D13088">
        <v>6</v>
      </c>
      <c r="E13088" s="2">
        <v>8.3796296296296292E-3</v>
      </c>
      <c r="F13088">
        <v>12.066666666666666</v>
      </c>
    </row>
    <row r="13089" spans="1:6" x14ac:dyDescent="0.25">
      <c r="A13089" s="1">
        <v>43070</v>
      </c>
      <c r="B13089" t="s">
        <v>22</v>
      </c>
      <c r="C13089" t="s">
        <v>8</v>
      </c>
      <c r="D13089">
        <v>3</v>
      </c>
      <c r="E13089" s="2">
        <v>4.9768518518518521E-3</v>
      </c>
      <c r="F13089">
        <v>7.166666666666667</v>
      </c>
    </row>
    <row r="13090" spans="1:6" x14ac:dyDescent="0.25">
      <c r="A13090" s="1">
        <v>43070</v>
      </c>
      <c r="B13090" t="s">
        <v>22</v>
      </c>
      <c r="C13090" t="s">
        <v>9</v>
      </c>
      <c r="D13090">
        <v>5</v>
      </c>
      <c r="E13090" s="2">
        <v>3.9351851851851848E-3</v>
      </c>
      <c r="F13090">
        <v>5.666666666666667</v>
      </c>
    </row>
    <row r="13091" spans="1:6" x14ac:dyDescent="0.25">
      <c r="A13091" s="1">
        <v>43070</v>
      </c>
      <c r="B13091" t="s">
        <v>22</v>
      </c>
      <c r="C13091" t="s">
        <v>10</v>
      </c>
      <c r="D13091">
        <v>12</v>
      </c>
      <c r="E13091" s="2">
        <v>8.9583333333333338E-3</v>
      </c>
      <c r="F13091">
        <v>12.9</v>
      </c>
    </row>
    <row r="13092" spans="1:6" x14ac:dyDescent="0.25">
      <c r="A13092" s="1">
        <v>43070</v>
      </c>
      <c r="B13092" t="s">
        <v>22</v>
      </c>
      <c r="C13092" t="s">
        <v>11</v>
      </c>
      <c r="D13092">
        <v>10</v>
      </c>
      <c r="E13092" s="2">
        <v>9.8726851851851857E-3</v>
      </c>
      <c r="F13092">
        <v>14.216666666666667</v>
      </c>
    </row>
    <row r="13093" spans="1:6" x14ac:dyDescent="0.25">
      <c r="A13093" s="1">
        <v>43070</v>
      </c>
      <c r="B13093" t="s">
        <v>23</v>
      </c>
      <c r="C13093" t="s">
        <v>6</v>
      </c>
      <c r="D13093">
        <v>87</v>
      </c>
      <c r="E13093" s="2">
        <v>0.12504629629629629</v>
      </c>
      <c r="F13093">
        <v>180.06666666666666</v>
      </c>
    </row>
    <row r="13094" spans="1:6" x14ac:dyDescent="0.25">
      <c r="A13094" s="1">
        <v>43070</v>
      </c>
      <c r="B13094" t="s">
        <v>23</v>
      </c>
      <c r="C13094" t="s">
        <v>7</v>
      </c>
      <c r="D13094">
        <v>82</v>
      </c>
      <c r="E13094" s="2">
        <v>0.1058449074074074</v>
      </c>
      <c r="F13094">
        <v>152.41666666666666</v>
      </c>
    </row>
    <row r="13095" spans="1:6" x14ac:dyDescent="0.25">
      <c r="A13095" s="1">
        <v>43070</v>
      </c>
      <c r="B13095" t="s">
        <v>23</v>
      </c>
      <c r="C13095" t="s">
        <v>8</v>
      </c>
      <c r="D13095">
        <v>67</v>
      </c>
      <c r="E13095" s="2">
        <v>9.2187500000000006E-2</v>
      </c>
      <c r="F13095">
        <v>132.75</v>
      </c>
    </row>
    <row r="13096" spans="1:6" x14ac:dyDescent="0.25">
      <c r="A13096" s="1">
        <v>43070</v>
      </c>
      <c r="B13096" t="s">
        <v>23</v>
      </c>
      <c r="C13096" t="s">
        <v>9</v>
      </c>
      <c r="D13096">
        <v>11</v>
      </c>
      <c r="E13096" s="2">
        <v>8.3217592592592596E-3</v>
      </c>
      <c r="F13096">
        <v>11.983333333333333</v>
      </c>
    </row>
    <row r="13097" spans="1:6" x14ac:dyDescent="0.25">
      <c r="A13097" s="1">
        <v>43070</v>
      </c>
      <c r="B13097" t="s">
        <v>23</v>
      </c>
      <c r="C13097" t="s">
        <v>10</v>
      </c>
      <c r="D13097">
        <v>28</v>
      </c>
      <c r="E13097" s="2">
        <v>4.6296296296296294E-2</v>
      </c>
      <c r="F13097">
        <v>66.666666666666671</v>
      </c>
    </row>
    <row r="13098" spans="1:6" x14ac:dyDescent="0.25">
      <c r="A13098" s="1">
        <v>43070</v>
      </c>
      <c r="B13098" t="s">
        <v>23</v>
      </c>
      <c r="C13098" t="s">
        <v>11</v>
      </c>
      <c r="D13098">
        <v>77</v>
      </c>
      <c r="E13098" s="2">
        <v>8.8263888888888892E-2</v>
      </c>
      <c r="F13098">
        <v>127.1</v>
      </c>
    </row>
    <row r="13099" spans="1:6" x14ac:dyDescent="0.25">
      <c r="A13099" s="1">
        <v>43070</v>
      </c>
      <c r="B13099" t="s">
        <v>24</v>
      </c>
      <c r="C13099" t="s">
        <v>6</v>
      </c>
      <c r="D13099">
        <v>24</v>
      </c>
      <c r="E13099" s="2">
        <v>2.7418981481481482E-2</v>
      </c>
      <c r="F13099">
        <v>39.483333333333334</v>
      </c>
    </row>
    <row r="13100" spans="1:6" x14ac:dyDescent="0.25">
      <c r="A13100" s="1">
        <v>43070</v>
      </c>
      <c r="B13100" t="s">
        <v>24</v>
      </c>
      <c r="C13100" t="s">
        <v>7</v>
      </c>
      <c r="D13100">
        <v>15</v>
      </c>
      <c r="E13100" s="2">
        <v>1.3530092592592592E-2</v>
      </c>
      <c r="F13100">
        <v>19.483333333333334</v>
      </c>
    </row>
    <row r="13101" spans="1:6" x14ac:dyDescent="0.25">
      <c r="A13101" s="1">
        <v>43070</v>
      </c>
      <c r="B13101" t="s">
        <v>24</v>
      </c>
      <c r="C13101" t="s">
        <v>8</v>
      </c>
      <c r="D13101">
        <v>12</v>
      </c>
      <c r="E13101" s="2">
        <v>9.479166666666667E-3</v>
      </c>
      <c r="F13101">
        <v>13.65</v>
      </c>
    </row>
    <row r="13102" spans="1:6" x14ac:dyDescent="0.25">
      <c r="A13102" s="1">
        <v>43070</v>
      </c>
      <c r="B13102" t="s">
        <v>24</v>
      </c>
      <c r="C13102" t="s">
        <v>9</v>
      </c>
      <c r="D13102">
        <v>5</v>
      </c>
      <c r="E13102" s="2">
        <v>3.5763888888888889E-3</v>
      </c>
      <c r="F13102">
        <v>5.15</v>
      </c>
    </row>
    <row r="13103" spans="1:6" x14ac:dyDescent="0.25">
      <c r="A13103" s="1">
        <v>43070</v>
      </c>
      <c r="B13103" t="s">
        <v>24</v>
      </c>
      <c r="C13103" t="s">
        <v>10</v>
      </c>
      <c r="D13103">
        <v>1</v>
      </c>
      <c r="E13103" s="2">
        <v>1.0995370370370371E-3</v>
      </c>
      <c r="F13103">
        <v>1.5833333333333335</v>
      </c>
    </row>
    <row r="13104" spans="1:6" x14ac:dyDescent="0.25">
      <c r="A13104" s="1">
        <v>43070</v>
      </c>
      <c r="B13104" t="s">
        <v>24</v>
      </c>
      <c r="C13104" t="s">
        <v>11</v>
      </c>
      <c r="D13104">
        <v>27</v>
      </c>
      <c r="E13104" s="2">
        <v>2.0289351851851854E-2</v>
      </c>
      <c r="F13104">
        <v>29.216666666666665</v>
      </c>
    </row>
    <row r="13105" spans="1:6" x14ac:dyDescent="0.25">
      <c r="A13105" s="1">
        <v>43101</v>
      </c>
      <c r="B13105" t="s">
        <v>5</v>
      </c>
      <c r="C13105" t="s">
        <v>6</v>
      </c>
      <c r="D13105">
        <v>103</v>
      </c>
      <c r="E13105" s="2">
        <v>0.11280092592592593</v>
      </c>
      <c r="F13105">
        <v>162.43333333333334</v>
      </c>
    </row>
    <row r="13106" spans="1:6" x14ac:dyDescent="0.25">
      <c r="A13106" s="1">
        <v>43101</v>
      </c>
      <c r="B13106" t="s">
        <v>5</v>
      </c>
      <c r="C13106" t="s">
        <v>7</v>
      </c>
      <c r="D13106">
        <v>107</v>
      </c>
      <c r="E13106" s="2">
        <v>9.9826388888888895E-2</v>
      </c>
      <c r="F13106">
        <v>143.75</v>
      </c>
    </row>
    <row r="13107" spans="1:6" x14ac:dyDescent="0.25">
      <c r="A13107" s="1">
        <v>43101</v>
      </c>
      <c r="B13107" t="s">
        <v>5</v>
      </c>
      <c r="C13107" t="s">
        <v>8</v>
      </c>
      <c r="D13107">
        <v>115</v>
      </c>
      <c r="E13107" s="2">
        <v>0.10888888888888888</v>
      </c>
      <c r="F13107">
        <v>156.80000000000001</v>
      </c>
    </row>
    <row r="13108" spans="1:6" x14ac:dyDescent="0.25">
      <c r="A13108" s="1">
        <v>43101</v>
      </c>
      <c r="B13108" t="s">
        <v>5</v>
      </c>
      <c r="C13108" t="s">
        <v>9</v>
      </c>
      <c r="D13108">
        <v>8</v>
      </c>
      <c r="E13108" s="2">
        <v>6.9097222222222225E-3</v>
      </c>
      <c r="F13108">
        <v>9.9499999999999993</v>
      </c>
    </row>
    <row r="13109" spans="1:6" x14ac:dyDescent="0.25">
      <c r="A13109" s="1">
        <v>43101</v>
      </c>
      <c r="B13109" t="s">
        <v>5</v>
      </c>
      <c r="C13109" t="s">
        <v>10</v>
      </c>
      <c r="D13109">
        <v>2</v>
      </c>
      <c r="E13109" s="2">
        <v>2.3032407407407407E-3</v>
      </c>
      <c r="F13109">
        <v>3.3166666666666664</v>
      </c>
    </row>
    <row r="13110" spans="1:6" x14ac:dyDescent="0.25">
      <c r="A13110" s="1">
        <v>43101</v>
      </c>
      <c r="B13110" t="s">
        <v>5</v>
      </c>
      <c r="C13110" t="s">
        <v>11</v>
      </c>
      <c r="D13110">
        <v>59</v>
      </c>
      <c r="E13110" s="2">
        <v>4.8136574074074075E-2</v>
      </c>
      <c r="F13110">
        <v>69.316666666666663</v>
      </c>
    </row>
    <row r="13111" spans="1:6" x14ac:dyDescent="0.25">
      <c r="A13111" s="1">
        <v>43101</v>
      </c>
      <c r="B13111" t="s">
        <v>12</v>
      </c>
      <c r="C13111" t="s">
        <v>6</v>
      </c>
      <c r="D13111">
        <v>45</v>
      </c>
      <c r="E13111" s="2">
        <v>7.2962962962962966E-2</v>
      </c>
      <c r="F13111">
        <v>105.06666666666666</v>
      </c>
    </row>
    <row r="13112" spans="1:6" x14ac:dyDescent="0.25">
      <c r="A13112" s="1">
        <v>43101</v>
      </c>
      <c r="B13112" t="s">
        <v>12</v>
      </c>
      <c r="C13112" t="s">
        <v>7</v>
      </c>
      <c r="D13112">
        <v>31</v>
      </c>
      <c r="E13112" s="2">
        <v>6.0914351851851851E-2</v>
      </c>
      <c r="F13112">
        <v>87.716666666666669</v>
      </c>
    </row>
    <row r="13113" spans="1:6" x14ac:dyDescent="0.25">
      <c r="A13113" s="1">
        <v>43101</v>
      </c>
      <c r="B13113" t="s">
        <v>12</v>
      </c>
      <c r="C13113" t="s">
        <v>8</v>
      </c>
      <c r="D13113">
        <v>26</v>
      </c>
      <c r="E13113" s="2">
        <v>3.9525462962962964E-2</v>
      </c>
      <c r="F13113">
        <v>56.916666666666664</v>
      </c>
    </row>
    <row r="13114" spans="1:6" x14ac:dyDescent="0.25">
      <c r="A13114" s="1">
        <v>43101</v>
      </c>
      <c r="B13114" t="s">
        <v>12</v>
      </c>
      <c r="C13114" t="s">
        <v>9</v>
      </c>
      <c r="D13114">
        <v>7</v>
      </c>
      <c r="E13114" s="2">
        <v>4.9074074074074072E-3</v>
      </c>
      <c r="F13114">
        <v>7.0666666666666664</v>
      </c>
    </row>
    <row r="13115" spans="1:6" x14ac:dyDescent="0.25">
      <c r="A13115" s="1">
        <v>43101</v>
      </c>
      <c r="B13115" t="s">
        <v>12</v>
      </c>
      <c r="C13115" t="s">
        <v>10</v>
      </c>
      <c r="D13115">
        <v>25</v>
      </c>
      <c r="E13115" s="2">
        <v>4.4537037037037035E-2</v>
      </c>
      <c r="F13115">
        <v>64.13333333333334</v>
      </c>
    </row>
    <row r="13116" spans="1:6" x14ac:dyDescent="0.25">
      <c r="A13116" s="1">
        <v>43101</v>
      </c>
      <c r="B13116" t="s">
        <v>12</v>
      </c>
      <c r="C13116" t="s">
        <v>11</v>
      </c>
      <c r="D13116">
        <v>60</v>
      </c>
      <c r="E13116" s="2">
        <v>7.4733796296296298E-2</v>
      </c>
      <c r="F13116">
        <v>107.61666666666666</v>
      </c>
    </row>
    <row r="13117" spans="1:6" x14ac:dyDescent="0.25">
      <c r="A13117" s="1">
        <v>43101</v>
      </c>
      <c r="B13117" t="s">
        <v>13</v>
      </c>
      <c r="C13117" t="s">
        <v>6</v>
      </c>
      <c r="D13117">
        <v>59</v>
      </c>
      <c r="E13117" s="2">
        <v>8.5289351851851852E-2</v>
      </c>
      <c r="F13117">
        <v>122.81666666666666</v>
      </c>
    </row>
    <row r="13118" spans="1:6" x14ac:dyDescent="0.25">
      <c r="A13118" s="1">
        <v>43101</v>
      </c>
      <c r="B13118" t="s">
        <v>13</v>
      </c>
      <c r="C13118" t="s">
        <v>7</v>
      </c>
      <c r="D13118">
        <v>75</v>
      </c>
      <c r="E13118" s="2">
        <v>0.11461805555555556</v>
      </c>
      <c r="F13118">
        <v>165.05</v>
      </c>
    </row>
    <row r="13119" spans="1:6" x14ac:dyDescent="0.25">
      <c r="A13119" s="1">
        <v>43101</v>
      </c>
      <c r="B13119" t="s">
        <v>13</v>
      </c>
      <c r="C13119" t="s">
        <v>8</v>
      </c>
      <c r="D13119">
        <v>38</v>
      </c>
      <c r="E13119" s="2">
        <v>5.9733796296296299E-2</v>
      </c>
      <c r="F13119">
        <v>86.016666666666666</v>
      </c>
    </row>
    <row r="13120" spans="1:6" x14ac:dyDescent="0.25">
      <c r="A13120" s="1">
        <v>43101</v>
      </c>
      <c r="B13120" t="s">
        <v>13</v>
      </c>
      <c r="C13120" t="s">
        <v>9</v>
      </c>
      <c r="D13120">
        <v>14</v>
      </c>
      <c r="E13120" s="2">
        <v>1.2164351851851852E-2</v>
      </c>
      <c r="F13120">
        <v>17.516666666666666</v>
      </c>
    </row>
    <row r="13121" spans="1:6" x14ac:dyDescent="0.25">
      <c r="A13121" s="1">
        <v>43101</v>
      </c>
      <c r="B13121" t="s">
        <v>13</v>
      </c>
      <c r="C13121" t="s">
        <v>10</v>
      </c>
      <c r="D13121">
        <v>11</v>
      </c>
      <c r="E13121" s="2">
        <v>1.7777777777777778E-2</v>
      </c>
      <c r="F13121">
        <v>25.6</v>
      </c>
    </row>
    <row r="13122" spans="1:6" x14ac:dyDescent="0.25">
      <c r="A13122" s="1">
        <v>43101</v>
      </c>
      <c r="B13122" t="s">
        <v>13</v>
      </c>
      <c r="C13122" t="s">
        <v>11</v>
      </c>
      <c r="D13122">
        <v>28</v>
      </c>
      <c r="E13122" s="2">
        <v>3.3773148148148149E-2</v>
      </c>
      <c r="F13122">
        <v>48.633333333333333</v>
      </c>
    </row>
    <row r="13123" spans="1:6" x14ac:dyDescent="0.25">
      <c r="A13123" s="1">
        <v>43101</v>
      </c>
      <c r="B13123" t="s">
        <v>14</v>
      </c>
      <c r="C13123" t="s">
        <v>6</v>
      </c>
      <c r="D13123">
        <v>16</v>
      </c>
      <c r="E13123" s="2">
        <v>2.6412037037037036E-2</v>
      </c>
      <c r="F13123">
        <v>38.033333333333331</v>
      </c>
    </row>
    <row r="13124" spans="1:6" x14ac:dyDescent="0.25">
      <c r="A13124" s="1">
        <v>43101</v>
      </c>
      <c r="B13124" t="s">
        <v>14</v>
      </c>
      <c r="C13124" t="s">
        <v>7</v>
      </c>
      <c r="D13124">
        <v>11</v>
      </c>
      <c r="E13124" s="2">
        <v>2.255787037037037E-2</v>
      </c>
      <c r="F13124">
        <v>32.483333333333334</v>
      </c>
    </row>
    <row r="13125" spans="1:6" x14ac:dyDescent="0.25">
      <c r="A13125" s="1">
        <v>43101</v>
      </c>
      <c r="B13125" t="s">
        <v>14</v>
      </c>
      <c r="C13125" t="s">
        <v>8</v>
      </c>
      <c r="D13125">
        <v>4</v>
      </c>
      <c r="E13125" s="2">
        <v>3.7268518518518519E-3</v>
      </c>
      <c r="F13125">
        <v>5.3666666666666663</v>
      </c>
    </row>
    <row r="13126" spans="1:6" x14ac:dyDescent="0.25">
      <c r="A13126" s="1">
        <v>43101</v>
      </c>
      <c r="B13126" t="s">
        <v>14</v>
      </c>
      <c r="C13126" t="s">
        <v>9</v>
      </c>
      <c r="D13126">
        <v>2</v>
      </c>
      <c r="E13126" s="2">
        <v>1.7824074074074075E-3</v>
      </c>
      <c r="F13126">
        <v>2.5666666666666664</v>
      </c>
    </row>
    <row r="13127" spans="1:6" x14ac:dyDescent="0.25">
      <c r="A13127" s="1">
        <v>43101</v>
      </c>
      <c r="B13127" t="s">
        <v>14</v>
      </c>
      <c r="C13127" t="s">
        <v>10</v>
      </c>
      <c r="D13127">
        <v>4</v>
      </c>
      <c r="E13127" s="2">
        <v>1.0497685185185185E-2</v>
      </c>
      <c r="F13127">
        <v>15.116666666666667</v>
      </c>
    </row>
    <row r="13128" spans="1:6" x14ac:dyDescent="0.25">
      <c r="A13128" s="1">
        <v>43101</v>
      </c>
      <c r="B13128" t="s">
        <v>14</v>
      </c>
      <c r="C13128" t="s">
        <v>11</v>
      </c>
      <c r="D13128">
        <v>11</v>
      </c>
      <c r="E13128" s="2">
        <v>1.1527777777777777E-2</v>
      </c>
      <c r="F13128">
        <v>16.600000000000001</v>
      </c>
    </row>
    <row r="13129" spans="1:6" x14ac:dyDescent="0.25">
      <c r="A13129" s="1">
        <v>43101</v>
      </c>
      <c r="B13129" t="s">
        <v>15</v>
      </c>
      <c r="C13129" t="s">
        <v>6</v>
      </c>
      <c r="D13129">
        <v>42</v>
      </c>
      <c r="E13129" s="2">
        <v>4.974537037037037E-2</v>
      </c>
      <c r="F13129">
        <v>71.63333333333334</v>
      </c>
    </row>
    <row r="13130" spans="1:6" x14ac:dyDescent="0.25">
      <c r="A13130" s="1">
        <v>43101</v>
      </c>
      <c r="B13130" t="s">
        <v>15</v>
      </c>
      <c r="C13130" t="s">
        <v>7</v>
      </c>
      <c r="D13130">
        <v>47</v>
      </c>
      <c r="E13130" s="2">
        <v>7.2418981481481487E-2</v>
      </c>
      <c r="F13130">
        <v>104.28333333333333</v>
      </c>
    </row>
    <row r="13131" spans="1:6" x14ac:dyDescent="0.25">
      <c r="A13131" s="1">
        <v>43101</v>
      </c>
      <c r="B13131" t="s">
        <v>15</v>
      </c>
      <c r="C13131" t="s">
        <v>8</v>
      </c>
      <c r="D13131">
        <v>18</v>
      </c>
      <c r="E13131" s="2">
        <v>1.6863425925925928E-2</v>
      </c>
      <c r="F13131">
        <v>24.283333333333335</v>
      </c>
    </row>
    <row r="13132" spans="1:6" x14ac:dyDescent="0.25">
      <c r="A13132" s="1">
        <v>43101</v>
      </c>
      <c r="B13132" t="s">
        <v>15</v>
      </c>
      <c r="C13132" t="s">
        <v>9</v>
      </c>
      <c r="D13132">
        <v>9</v>
      </c>
      <c r="E13132" s="2">
        <v>6.8055555555555551E-3</v>
      </c>
      <c r="F13132">
        <v>9.8000000000000007</v>
      </c>
    </row>
    <row r="13133" spans="1:6" x14ac:dyDescent="0.25">
      <c r="A13133" s="1">
        <v>43101</v>
      </c>
      <c r="B13133" t="s">
        <v>15</v>
      </c>
      <c r="C13133" t="s">
        <v>10</v>
      </c>
      <c r="D13133">
        <v>12</v>
      </c>
      <c r="E13133" s="2">
        <v>2.060185185185185E-2</v>
      </c>
      <c r="F13133">
        <v>29.666666666666668</v>
      </c>
    </row>
    <row r="13134" spans="1:6" x14ac:dyDescent="0.25">
      <c r="A13134" s="1">
        <v>43101</v>
      </c>
      <c r="B13134" t="s">
        <v>15</v>
      </c>
      <c r="C13134" t="s">
        <v>11</v>
      </c>
      <c r="D13134">
        <v>22</v>
      </c>
      <c r="E13134" s="2">
        <v>2.0185185185185184E-2</v>
      </c>
      <c r="F13134">
        <v>29.066666666666666</v>
      </c>
    </row>
    <row r="13135" spans="1:6" x14ac:dyDescent="0.25">
      <c r="A13135" s="1">
        <v>43101</v>
      </c>
      <c r="B13135" t="s">
        <v>16</v>
      </c>
      <c r="C13135" t="s">
        <v>6</v>
      </c>
      <c r="D13135">
        <v>18</v>
      </c>
      <c r="E13135" s="2">
        <v>2.1678240740740741E-2</v>
      </c>
      <c r="F13135">
        <v>31.216666666666665</v>
      </c>
    </row>
    <row r="13136" spans="1:6" x14ac:dyDescent="0.25">
      <c r="A13136" s="1">
        <v>43101</v>
      </c>
      <c r="B13136" t="s">
        <v>16</v>
      </c>
      <c r="C13136" t="s">
        <v>7</v>
      </c>
      <c r="D13136">
        <v>23</v>
      </c>
      <c r="E13136" s="2">
        <v>2.4247685185185185E-2</v>
      </c>
      <c r="F13136">
        <v>34.916666666666664</v>
      </c>
    </row>
    <row r="13137" spans="1:6" x14ac:dyDescent="0.25">
      <c r="A13137" s="1">
        <v>43101</v>
      </c>
      <c r="B13137" t="s">
        <v>16</v>
      </c>
      <c r="C13137" t="s">
        <v>8</v>
      </c>
      <c r="D13137">
        <v>22</v>
      </c>
      <c r="E13137" s="2">
        <v>2.0254629629629629E-2</v>
      </c>
      <c r="F13137">
        <v>29.166666666666668</v>
      </c>
    </row>
    <row r="13138" spans="1:6" x14ac:dyDescent="0.25">
      <c r="A13138" s="1">
        <v>43101</v>
      </c>
      <c r="B13138" t="s">
        <v>16</v>
      </c>
      <c r="C13138" t="s">
        <v>9</v>
      </c>
      <c r="D13138">
        <v>4</v>
      </c>
      <c r="E13138" s="2">
        <v>3.5995370370370369E-3</v>
      </c>
      <c r="F13138">
        <v>5.1833333333333336</v>
      </c>
    </row>
    <row r="13139" spans="1:6" x14ac:dyDescent="0.25">
      <c r="A13139" s="1">
        <v>43101</v>
      </c>
      <c r="B13139" t="s">
        <v>16</v>
      </c>
      <c r="C13139" t="s">
        <v>10</v>
      </c>
      <c r="D13139">
        <v>4</v>
      </c>
      <c r="E13139" s="2">
        <v>5.4513888888888893E-3</v>
      </c>
      <c r="F13139">
        <v>7.85</v>
      </c>
    </row>
    <row r="13140" spans="1:6" x14ac:dyDescent="0.25">
      <c r="A13140" s="1">
        <v>43101</v>
      </c>
      <c r="B13140" t="s">
        <v>16</v>
      </c>
      <c r="C13140" t="s">
        <v>11</v>
      </c>
      <c r="D13140">
        <v>30</v>
      </c>
      <c r="E13140" s="2">
        <v>2.4270833333333332E-2</v>
      </c>
      <c r="F13140">
        <v>34.950000000000003</v>
      </c>
    </row>
    <row r="13141" spans="1:6" x14ac:dyDescent="0.25">
      <c r="A13141" s="1">
        <v>43101</v>
      </c>
      <c r="B13141" t="s">
        <v>17</v>
      </c>
      <c r="C13141" t="s">
        <v>6</v>
      </c>
      <c r="D13141">
        <v>17</v>
      </c>
      <c r="E13141" s="2">
        <v>2.7256944444444445E-2</v>
      </c>
      <c r="F13141">
        <v>39.25</v>
      </c>
    </row>
    <row r="13142" spans="1:6" x14ac:dyDescent="0.25">
      <c r="A13142" s="1">
        <v>43101</v>
      </c>
      <c r="B13142" t="s">
        <v>17</v>
      </c>
      <c r="C13142" t="s">
        <v>7</v>
      </c>
      <c r="D13142">
        <v>22</v>
      </c>
      <c r="E13142" s="2">
        <v>2.8935185185185185E-2</v>
      </c>
      <c r="F13142">
        <v>41.666666666666664</v>
      </c>
    </row>
    <row r="13143" spans="1:6" x14ac:dyDescent="0.25">
      <c r="A13143" s="1">
        <v>43101</v>
      </c>
      <c r="B13143" t="s">
        <v>17</v>
      </c>
      <c r="C13143" t="s">
        <v>8</v>
      </c>
      <c r="D13143">
        <v>12</v>
      </c>
      <c r="E13143" s="2">
        <v>1.2824074074074075E-2</v>
      </c>
      <c r="F13143">
        <v>18.466666666666665</v>
      </c>
    </row>
    <row r="13144" spans="1:6" x14ac:dyDescent="0.25">
      <c r="A13144" s="1">
        <v>43101</v>
      </c>
      <c r="B13144" t="s">
        <v>17</v>
      </c>
      <c r="C13144" t="s">
        <v>9</v>
      </c>
      <c r="D13144">
        <v>2</v>
      </c>
      <c r="E13144" s="2">
        <v>1.7476851851851852E-3</v>
      </c>
      <c r="F13144">
        <v>2.5166666666666666</v>
      </c>
    </row>
    <row r="13145" spans="1:6" x14ac:dyDescent="0.25">
      <c r="A13145" s="1">
        <v>43101</v>
      </c>
      <c r="B13145" t="s">
        <v>17</v>
      </c>
      <c r="C13145" t="s">
        <v>10</v>
      </c>
      <c r="D13145">
        <v>11</v>
      </c>
      <c r="E13145" s="2">
        <v>1.2256944444444445E-2</v>
      </c>
      <c r="F13145">
        <v>17.649999999999999</v>
      </c>
    </row>
    <row r="13146" spans="1:6" x14ac:dyDescent="0.25">
      <c r="A13146" s="1">
        <v>43101</v>
      </c>
      <c r="B13146" t="s">
        <v>17</v>
      </c>
      <c r="C13146" t="s">
        <v>11</v>
      </c>
      <c r="D13146">
        <v>17</v>
      </c>
      <c r="E13146" s="2">
        <v>2.1527777777777778E-2</v>
      </c>
      <c r="F13146">
        <v>31</v>
      </c>
    </row>
    <row r="13147" spans="1:6" x14ac:dyDescent="0.25">
      <c r="A13147" s="1">
        <v>43101</v>
      </c>
      <c r="B13147" t="s">
        <v>18</v>
      </c>
      <c r="C13147" t="s">
        <v>6</v>
      </c>
      <c r="D13147">
        <v>38</v>
      </c>
      <c r="E13147" s="2">
        <v>4.0775462962962965E-2</v>
      </c>
      <c r="F13147">
        <v>58.716666666666669</v>
      </c>
    </row>
    <row r="13148" spans="1:6" x14ac:dyDescent="0.25">
      <c r="A13148" s="1">
        <v>43101</v>
      </c>
      <c r="B13148" t="s">
        <v>18</v>
      </c>
      <c r="C13148" t="s">
        <v>7</v>
      </c>
      <c r="D13148">
        <v>66</v>
      </c>
      <c r="E13148" s="2">
        <v>7.2418981481481487E-2</v>
      </c>
      <c r="F13148">
        <v>104.28333333333333</v>
      </c>
    </row>
    <row r="13149" spans="1:6" x14ac:dyDescent="0.25">
      <c r="A13149" s="1">
        <v>43101</v>
      </c>
      <c r="B13149" t="s">
        <v>18</v>
      </c>
      <c r="C13149" t="s">
        <v>8</v>
      </c>
      <c r="D13149">
        <v>33</v>
      </c>
      <c r="E13149" s="2">
        <v>2.8402777777777777E-2</v>
      </c>
      <c r="F13149">
        <v>40.9</v>
      </c>
    </row>
    <row r="13150" spans="1:6" x14ac:dyDescent="0.25">
      <c r="A13150" s="1">
        <v>43101</v>
      </c>
      <c r="B13150" t="s">
        <v>18</v>
      </c>
      <c r="C13150" t="s">
        <v>9</v>
      </c>
      <c r="D13150">
        <v>20</v>
      </c>
      <c r="E13150" s="2">
        <v>1.7430555555555557E-2</v>
      </c>
      <c r="F13150">
        <v>25.1</v>
      </c>
    </row>
    <row r="13151" spans="1:6" x14ac:dyDescent="0.25">
      <c r="A13151" s="1">
        <v>43101</v>
      </c>
      <c r="B13151" t="s">
        <v>18</v>
      </c>
      <c r="C13151" t="s">
        <v>10</v>
      </c>
      <c r="D13151">
        <v>140</v>
      </c>
      <c r="E13151" s="2">
        <v>0.19429398148148147</v>
      </c>
      <c r="F13151">
        <v>279.78333333333336</v>
      </c>
    </row>
    <row r="13152" spans="1:6" x14ac:dyDescent="0.25">
      <c r="A13152" s="1">
        <v>43101</v>
      </c>
      <c r="B13152" t="s">
        <v>18</v>
      </c>
      <c r="C13152" t="s">
        <v>11</v>
      </c>
      <c r="D13152">
        <v>53</v>
      </c>
      <c r="E13152" s="2">
        <v>3.7812499999999999E-2</v>
      </c>
      <c r="F13152">
        <v>54.45</v>
      </c>
    </row>
    <row r="13153" spans="1:6" x14ac:dyDescent="0.25">
      <c r="A13153" s="1">
        <v>43101</v>
      </c>
      <c r="B13153" t="s">
        <v>19</v>
      </c>
      <c r="C13153" t="s">
        <v>6</v>
      </c>
      <c r="D13153">
        <v>20</v>
      </c>
      <c r="E13153" s="2">
        <v>2.5196759259259259E-2</v>
      </c>
      <c r="F13153">
        <v>36.283333333333331</v>
      </c>
    </row>
    <row r="13154" spans="1:6" x14ac:dyDescent="0.25">
      <c r="A13154" s="1">
        <v>43101</v>
      </c>
      <c r="B13154" t="s">
        <v>19</v>
      </c>
      <c r="C13154" t="s">
        <v>7</v>
      </c>
      <c r="D13154">
        <v>30</v>
      </c>
      <c r="E13154" s="2">
        <v>3.6018518518518519E-2</v>
      </c>
      <c r="F13154">
        <v>51.866666666666667</v>
      </c>
    </row>
    <row r="13155" spans="1:6" x14ac:dyDescent="0.25">
      <c r="A13155" s="1">
        <v>43101</v>
      </c>
      <c r="B13155" t="s">
        <v>19</v>
      </c>
      <c r="C13155" t="s">
        <v>8</v>
      </c>
      <c r="D13155">
        <v>22</v>
      </c>
      <c r="E13155" s="2">
        <v>2.417824074074074E-2</v>
      </c>
      <c r="F13155">
        <v>34.81666666666667</v>
      </c>
    </row>
    <row r="13156" spans="1:6" x14ac:dyDescent="0.25">
      <c r="A13156" s="1">
        <v>43101</v>
      </c>
      <c r="B13156" t="s">
        <v>19</v>
      </c>
      <c r="C13156" t="s">
        <v>9</v>
      </c>
      <c r="D13156">
        <v>5</v>
      </c>
      <c r="E13156" s="2">
        <v>4.6874999999999998E-3</v>
      </c>
      <c r="F13156">
        <v>6.75</v>
      </c>
    </row>
    <row r="13157" spans="1:6" x14ac:dyDescent="0.25">
      <c r="A13157" s="1">
        <v>43101</v>
      </c>
      <c r="B13157" t="s">
        <v>19</v>
      </c>
      <c r="C13157" t="s">
        <v>10</v>
      </c>
      <c r="D13157">
        <v>8</v>
      </c>
      <c r="E13157" s="2">
        <v>1.2974537037037038E-2</v>
      </c>
      <c r="F13157">
        <v>18.683333333333334</v>
      </c>
    </row>
    <row r="13158" spans="1:6" x14ac:dyDescent="0.25">
      <c r="A13158" s="1">
        <v>43101</v>
      </c>
      <c r="B13158" t="s">
        <v>19</v>
      </c>
      <c r="C13158" t="s">
        <v>11</v>
      </c>
      <c r="D13158">
        <v>26</v>
      </c>
      <c r="E13158" s="2">
        <v>2.1435185185185186E-2</v>
      </c>
      <c r="F13158">
        <v>30.866666666666667</v>
      </c>
    </row>
    <row r="13159" spans="1:6" x14ac:dyDescent="0.25">
      <c r="A13159" s="1">
        <v>43101</v>
      </c>
      <c r="B13159" t="s">
        <v>20</v>
      </c>
      <c r="C13159" t="s">
        <v>6</v>
      </c>
      <c r="D13159">
        <v>74</v>
      </c>
      <c r="E13159" s="2">
        <v>9.7094907407407408E-2</v>
      </c>
      <c r="F13159">
        <v>139.81666666666666</v>
      </c>
    </row>
    <row r="13160" spans="1:6" x14ac:dyDescent="0.25">
      <c r="A13160" s="1">
        <v>43101</v>
      </c>
      <c r="B13160" t="s">
        <v>20</v>
      </c>
      <c r="C13160" t="s">
        <v>7</v>
      </c>
      <c r="D13160">
        <v>82</v>
      </c>
      <c r="E13160" s="2">
        <v>9.5127314814814817E-2</v>
      </c>
      <c r="F13160">
        <v>136.98333333333332</v>
      </c>
    </row>
    <row r="13161" spans="1:6" x14ac:dyDescent="0.25">
      <c r="A13161" s="1">
        <v>43101</v>
      </c>
      <c r="B13161" t="s">
        <v>20</v>
      </c>
      <c r="C13161" t="s">
        <v>8</v>
      </c>
      <c r="D13161">
        <v>68</v>
      </c>
      <c r="E13161" s="2">
        <v>7.1550925925925921E-2</v>
      </c>
      <c r="F13161">
        <v>103.03333333333333</v>
      </c>
    </row>
    <row r="13162" spans="1:6" x14ac:dyDescent="0.25">
      <c r="A13162" s="1">
        <v>43101</v>
      </c>
      <c r="B13162" t="s">
        <v>20</v>
      </c>
      <c r="C13162" t="s">
        <v>9</v>
      </c>
      <c r="D13162">
        <v>13</v>
      </c>
      <c r="E13162" s="2">
        <v>1.2256944444444445E-2</v>
      </c>
      <c r="F13162">
        <v>17.649999999999999</v>
      </c>
    </row>
    <row r="13163" spans="1:6" x14ac:dyDescent="0.25">
      <c r="A13163" s="1">
        <v>43101</v>
      </c>
      <c r="B13163" t="s">
        <v>20</v>
      </c>
      <c r="C13163" t="s">
        <v>10</v>
      </c>
      <c r="D13163">
        <v>17</v>
      </c>
      <c r="E13163" s="2">
        <v>2.5787037037037035E-2</v>
      </c>
      <c r="F13163">
        <v>37.133333333333333</v>
      </c>
    </row>
    <row r="13164" spans="1:6" x14ac:dyDescent="0.25">
      <c r="A13164" s="1">
        <v>43101</v>
      </c>
      <c r="B13164" t="s">
        <v>20</v>
      </c>
      <c r="C13164" t="s">
        <v>11</v>
      </c>
      <c r="D13164">
        <v>43</v>
      </c>
      <c r="E13164" s="2">
        <v>4.2673611111111114E-2</v>
      </c>
      <c r="F13164">
        <v>61.45</v>
      </c>
    </row>
    <row r="13165" spans="1:6" x14ac:dyDescent="0.25">
      <c r="A13165" s="1">
        <v>43101</v>
      </c>
      <c r="B13165" t="s">
        <v>21</v>
      </c>
      <c r="C13165" t="s">
        <v>6</v>
      </c>
      <c r="D13165">
        <v>31</v>
      </c>
      <c r="E13165" s="2">
        <v>4.6724537037037037E-2</v>
      </c>
      <c r="F13165">
        <v>67.283333333333331</v>
      </c>
    </row>
    <row r="13166" spans="1:6" x14ac:dyDescent="0.25">
      <c r="A13166" s="1">
        <v>43101</v>
      </c>
      <c r="B13166" t="s">
        <v>21</v>
      </c>
      <c r="C13166" t="s">
        <v>7</v>
      </c>
      <c r="D13166">
        <v>22</v>
      </c>
      <c r="E13166" s="2">
        <v>3.1782407407407405E-2</v>
      </c>
      <c r="F13166">
        <v>45.766666666666666</v>
      </c>
    </row>
    <row r="13167" spans="1:6" x14ac:dyDescent="0.25">
      <c r="A13167" s="1">
        <v>43101</v>
      </c>
      <c r="B13167" t="s">
        <v>21</v>
      </c>
      <c r="C13167" t="s">
        <v>8</v>
      </c>
      <c r="D13167">
        <v>23</v>
      </c>
      <c r="E13167" s="2">
        <v>2.7569444444444445E-2</v>
      </c>
      <c r="F13167">
        <v>39.700000000000003</v>
      </c>
    </row>
    <row r="13168" spans="1:6" x14ac:dyDescent="0.25">
      <c r="A13168" s="1">
        <v>43101</v>
      </c>
      <c r="B13168" t="s">
        <v>21</v>
      </c>
      <c r="C13168" t="s">
        <v>9</v>
      </c>
      <c r="D13168">
        <v>6</v>
      </c>
      <c r="E13168" s="2">
        <v>4.8263888888888887E-3</v>
      </c>
      <c r="F13168">
        <v>6.95</v>
      </c>
    </row>
    <row r="13169" spans="1:6" x14ac:dyDescent="0.25">
      <c r="A13169" s="1">
        <v>43101</v>
      </c>
      <c r="B13169" t="s">
        <v>21</v>
      </c>
      <c r="C13169" t="s">
        <v>10</v>
      </c>
      <c r="D13169">
        <v>13</v>
      </c>
      <c r="E13169" s="2">
        <v>2.0208333333333332E-2</v>
      </c>
      <c r="F13169">
        <v>29.1</v>
      </c>
    </row>
    <row r="13170" spans="1:6" x14ac:dyDescent="0.25">
      <c r="A13170" s="1">
        <v>43101</v>
      </c>
      <c r="B13170" t="s">
        <v>21</v>
      </c>
      <c r="C13170" t="s">
        <v>11</v>
      </c>
      <c r="D13170">
        <v>36</v>
      </c>
      <c r="E13170" s="2">
        <v>3.9120370370370368E-2</v>
      </c>
      <c r="F13170">
        <v>56.333333333333336</v>
      </c>
    </row>
    <row r="13171" spans="1:6" x14ac:dyDescent="0.25">
      <c r="A13171" s="1">
        <v>43101</v>
      </c>
      <c r="B13171" t="s">
        <v>22</v>
      </c>
      <c r="C13171" t="s">
        <v>6</v>
      </c>
      <c r="D13171">
        <v>19</v>
      </c>
      <c r="E13171" s="2">
        <v>2.8969907407407406E-2</v>
      </c>
      <c r="F13171">
        <v>41.716666666666669</v>
      </c>
    </row>
    <row r="13172" spans="1:6" x14ac:dyDescent="0.25">
      <c r="A13172" s="1">
        <v>43101</v>
      </c>
      <c r="B13172" t="s">
        <v>22</v>
      </c>
      <c r="C13172" t="s">
        <v>7</v>
      </c>
      <c r="D13172">
        <v>7</v>
      </c>
      <c r="E13172" s="2">
        <v>1.1655092592592592E-2</v>
      </c>
      <c r="F13172">
        <v>16.783333333333335</v>
      </c>
    </row>
    <row r="13173" spans="1:6" x14ac:dyDescent="0.25">
      <c r="A13173" s="1">
        <v>43101</v>
      </c>
      <c r="B13173" t="s">
        <v>22</v>
      </c>
      <c r="C13173" t="s">
        <v>8</v>
      </c>
      <c r="D13173">
        <v>5</v>
      </c>
      <c r="E13173" s="2">
        <v>6.5856481481481478E-3</v>
      </c>
      <c r="F13173">
        <v>9.4833333333333325</v>
      </c>
    </row>
    <row r="13174" spans="1:6" x14ac:dyDescent="0.25">
      <c r="A13174" s="1">
        <v>43101</v>
      </c>
      <c r="B13174" t="s">
        <v>22</v>
      </c>
      <c r="C13174" t="s">
        <v>9</v>
      </c>
      <c r="D13174">
        <v>3</v>
      </c>
      <c r="E13174" s="2">
        <v>3.2291666666666666E-3</v>
      </c>
      <c r="F13174">
        <v>4.6500000000000004</v>
      </c>
    </row>
    <row r="13175" spans="1:6" x14ac:dyDescent="0.25">
      <c r="A13175" s="1">
        <v>43101</v>
      </c>
      <c r="B13175" t="s">
        <v>22</v>
      </c>
      <c r="C13175" t="s">
        <v>10</v>
      </c>
      <c r="D13175">
        <v>13</v>
      </c>
      <c r="E13175" s="2">
        <v>1.3252314814814814E-2</v>
      </c>
      <c r="F13175">
        <v>19.083333333333332</v>
      </c>
    </row>
    <row r="13176" spans="1:6" x14ac:dyDescent="0.25">
      <c r="A13176" s="1">
        <v>43101</v>
      </c>
      <c r="B13176" t="s">
        <v>22</v>
      </c>
      <c r="C13176" t="s">
        <v>11</v>
      </c>
      <c r="D13176">
        <v>12</v>
      </c>
      <c r="E13176" s="2">
        <v>1.3449074074074073E-2</v>
      </c>
      <c r="F13176">
        <v>19.366666666666667</v>
      </c>
    </row>
    <row r="13177" spans="1:6" x14ac:dyDescent="0.25">
      <c r="A13177" s="1">
        <v>43101</v>
      </c>
      <c r="B13177" t="s">
        <v>23</v>
      </c>
      <c r="C13177" t="s">
        <v>6</v>
      </c>
      <c r="D13177">
        <v>98</v>
      </c>
      <c r="E13177" s="2">
        <v>0.15368055555555554</v>
      </c>
      <c r="F13177">
        <v>221.3</v>
      </c>
    </row>
    <row r="13178" spans="1:6" x14ac:dyDescent="0.25">
      <c r="A13178" s="1">
        <v>43101</v>
      </c>
      <c r="B13178" t="s">
        <v>23</v>
      </c>
      <c r="C13178" t="s">
        <v>7</v>
      </c>
      <c r="D13178">
        <v>83</v>
      </c>
      <c r="E13178" s="2">
        <v>0.11901620370370371</v>
      </c>
      <c r="F13178">
        <v>171.38333333333333</v>
      </c>
    </row>
    <row r="13179" spans="1:6" x14ac:dyDescent="0.25">
      <c r="A13179" s="1">
        <v>43101</v>
      </c>
      <c r="B13179" t="s">
        <v>23</v>
      </c>
      <c r="C13179" t="s">
        <v>8</v>
      </c>
      <c r="D13179">
        <v>65</v>
      </c>
      <c r="E13179" s="2">
        <v>9.418981481481481E-2</v>
      </c>
      <c r="F13179">
        <v>135.63333333333333</v>
      </c>
    </row>
    <row r="13180" spans="1:6" x14ac:dyDescent="0.25">
      <c r="A13180" s="1">
        <v>43101</v>
      </c>
      <c r="B13180" t="s">
        <v>23</v>
      </c>
      <c r="C13180" t="s">
        <v>9</v>
      </c>
      <c r="D13180">
        <v>23</v>
      </c>
      <c r="E13180" s="2">
        <v>1.8124999999999999E-2</v>
      </c>
      <c r="F13180">
        <v>26.1</v>
      </c>
    </row>
    <row r="13181" spans="1:6" x14ac:dyDescent="0.25">
      <c r="A13181" s="1">
        <v>43101</v>
      </c>
      <c r="B13181" t="s">
        <v>23</v>
      </c>
      <c r="C13181" t="s">
        <v>10</v>
      </c>
      <c r="D13181">
        <v>34</v>
      </c>
      <c r="E13181" s="2">
        <v>5.1655092592592593E-2</v>
      </c>
      <c r="F13181">
        <v>74.38333333333334</v>
      </c>
    </row>
    <row r="13182" spans="1:6" x14ac:dyDescent="0.25">
      <c r="A13182" s="1">
        <v>43101</v>
      </c>
      <c r="B13182" t="s">
        <v>23</v>
      </c>
      <c r="C13182" t="s">
        <v>11</v>
      </c>
      <c r="D13182">
        <v>86</v>
      </c>
      <c r="E13182" s="2">
        <v>8.9293981481481488E-2</v>
      </c>
      <c r="F13182">
        <v>128.58333333333334</v>
      </c>
    </row>
    <row r="13183" spans="1:6" x14ac:dyDescent="0.25">
      <c r="A13183" s="1">
        <v>43101</v>
      </c>
      <c r="B13183" t="s">
        <v>24</v>
      </c>
      <c r="C13183" t="s">
        <v>6</v>
      </c>
      <c r="D13183">
        <v>31</v>
      </c>
      <c r="E13183" s="2">
        <v>4.1226851851851855E-2</v>
      </c>
      <c r="F13183">
        <v>59.366666666666667</v>
      </c>
    </row>
    <row r="13184" spans="1:6" x14ac:dyDescent="0.25">
      <c r="A13184" s="1">
        <v>43101</v>
      </c>
      <c r="B13184" t="s">
        <v>24</v>
      </c>
      <c r="C13184" t="s">
        <v>7</v>
      </c>
      <c r="D13184">
        <v>14</v>
      </c>
      <c r="E13184" s="2">
        <v>2.1296296296296296E-2</v>
      </c>
      <c r="F13184">
        <v>30.666666666666668</v>
      </c>
    </row>
    <row r="13185" spans="1:6" x14ac:dyDescent="0.25">
      <c r="A13185" s="1">
        <v>43101</v>
      </c>
      <c r="B13185" t="s">
        <v>24</v>
      </c>
      <c r="C13185" t="s">
        <v>8</v>
      </c>
      <c r="D13185">
        <v>15</v>
      </c>
      <c r="E13185" s="2">
        <v>8.8888888888888889E-3</v>
      </c>
      <c r="F13185">
        <v>12.8</v>
      </c>
    </row>
    <row r="13186" spans="1:6" x14ac:dyDescent="0.25">
      <c r="A13186" s="1">
        <v>43101</v>
      </c>
      <c r="B13186" t="s">
        <v>24</v>
      </c>
      <c r="C13186" t="s">
        <v>9</v>
      </c>
      <c r="D13186">
        <v>4</v>
      </c>
      <c r="E13186" s="2">
        <v>3.2407407407407406E-3</v>
      </c>
      <c r="F13186">
        <v>4.666666666666667</v>
      </c>
    </row>
    <row r="13187" spans="1:6" x14ac:dyDescent="0.25">
      <c r="A13187" s="1">
        <v>43101</v>
      </c>
      <c r="B13187" t="s">
        <v>24</v>
      </c>
      <c r="C13187" t="s">
        <v>10</v>
      </c>
      <c r="D13187">
        <v>1</v>
      </c>
      <c r="E13187" s="2">
        <v>1.3773148148148147E-3</v>
      </c>
      <c r="F13187">
        <v>1.9833333333333334</v>
      </c>
    </row>
    <row r="13188" spans="1:6" x14ac:dyDescent="0.25">
      <c r="A13188" s="1">
        <v>43101</v>
      </c>
      <c r="B13188" t="s">
        <v>24</v>
      </c>
      <c r="C13188" t="s">
        <v>11</v>
      </c>
      <c r="D13188">
        <v>31</v>
      </c>
      <c r="E13188" s="2">
        <v>2.8587962962962964E-2</v>
      </c>
      <c r="F13188">
        <v>41.166666666666664</v>
      </c>
    </row>
    <row r="13189" spans="1:6" x14ac:dyDescent="0.25">
      <c r="A13189" s="1">
        <v>43132</v>
      </c>
      <c r="B13189" t="s">
        <v>5</v>
      </c>
      <c r="C13189" t="s">
        <v>6</v>
      </c>
      <c r="D13189">
        <v>99</v>
      </c>
      <c r="E13189" s="2">
        <v>0.10784722222222222</v>
      </c>
      <c r="F13189">
        <v>155.30000000000001</v>
      </c>
    </row>
    <row r="13190" spans="1:6" x14ac:dyDescent="0.25">
      <c r="A13190" s="1">
        <v>43132</v>
      </c>
      <c r="B13190" t="s">
        <v>5</v>
      </c>
      <c r="C13190" t="s">
        <v>7</v>
      </c>
      <c r="D13190">
        <v>55</v>
      </c>
      <c r="E13190" s="2">
        <v>5.8668981481481482E-2</v>
      </c>
      <c r="F13190">
        <v>84.483333333333334</v>
      </c>
    </row>
    <row r="13191" spans="1:6" x14ac:dyDescent="0.25">
      <c r="A13191" s="1">
        <v>43132</v>
      </c>
      <c r="B13191" t="s">
        <v>5</v>
      </c>
      <c r="C13191" t="s">
        <v>8</v>
      </c>
      <c r="D13191">
        <v>55</v>
      </c>
      <c r="E13191" s="2">
        <v>4.9143518518518517E-2</v>
      </c>
      <c r="F13191">
        <v>70.766666666666666</v>
      </c>
    </row>
    <row r="13192" spans="1:6" x14ac:dyDescent="0.25">
      <c r="A13192" s="1">
        <v>43132</v>
      </c>
      <c r="B13192" t="s">
        <v>5</v>
      </c>
      <c r="C13192" t="s">
        <v>9</v>
      </c>
      <c r="D13192">
        <v>10</v>
      </c>
      <c r="E13192" s="2">
        <v>8.5763888888888886E-3</v>
      </c>
      <c r="F13192">
        <v>12.35</v>
      </c>
    </row>
    <row r="13193" spans="1:6" x14ac:dyDescent="0.25">
      <c r="A13193" s="1">
        <v>43132</v>
      </c>
      <c r="B13193" t="s">
        <v>5</v>
      </c>
      <c r="C13193" t="s">
        <v>10</v>
      </c>
      <c r="D13193">
        <v>2</v>
      </c>
      <c r="E13193" s="2">
        <v>1.4467592592592592E-3</v>
      </c>
      <c r="F13193">
        <v>2.0833333333333335</v>
      </c>
    </row>
    <row r="13194" spans="1:6" x14ac:dyDescent="0.25">
      <c r="A13194" s="1">
        <v>43132</v>
      </c>
      <c r="B13194" t="s">
        <v>5</v>
      </c>
      <c r="C13194" t="s">
        <v>11</v>
      </c>
      <c r="D13194">
        <v>53</v>
      </c>
      <c r="E13194" s="2">
        <v>3.6782407407407409E-2</v>
      </c>
      <c r="F13194">
        <v>52.966666666666669</v>
      </c>
    </row>
    <row r="13195" spans="1:6" x14ac:dyDescent="0.25">
      <c r="A13195" s="1">
        <v>43132</v>
      </c>
      <c r="B13195" t="s">
        <v>12</v>
      </c>
      <c r="C13195" t="s">
        <v>6</v>
      </c>
      <c r="D13195">
        <v>20</v>
      </c>
      <c r="E13195" s="2">
        <v>3.6574074074074071E-2</v>
      </c>
      <c r="F13195">
        <v>52.666666666666664</v>
      </c>
    </row>
    <row r="13196" spans="1:6" x14ac:dyDescent="0.25">
      <c r="A13196" s="1">
        <v>43132</v>
      </c>
      <c r="B13196" t="s">
        <v>12</v>
      </c>
      <c r="C13196" t="s">
        <v>7</v>
      </c>
      <c r="D13196">
        <v>21</v>
      </c>
      <c r="E13196" s="2">
        <v>4.5335648148148146E-2</v>
      </c>
      <c r="F13196">
        <v>65.283333333333331</v>
      </c>
    </row>
    <row r="13197" spans="1:6" x14ac:dyDescent="0.25">
      <c r="A13197" s="1">
        <v>43132</v>
      </c>
      <c r="B13197" t="s">
        <v>12</v>
      </c>
      <c r="C13197" t="s">
        <v>8</v>
      </c>
      <c r="D13197">
        <v>23</v>
      </c>
      <c r="E13197" s="2">
        <v>3.8530092592592595E-2</v>
      </c>
      <c r="F13197">
        <v>55.483333333333334</v>
      </c>
    </row>
    <row r="13198" spans="1:6" x14ac:dyDescent="0.25">
      <c r="A13198" s="1">
        <v>43132</v>
      </c>
      <c r="B13198" t="s">
        <v>12</v>
      </c>
      <c r="C13198" t="s">
        <v>9</v>
      </c>
      <c r="D13198">
        <v>9</v>
      </c>
      <c r="E13198" s="2">
        <v>5.2546296296296299E-3</v>
      </c>
      <c r="F13198">
        <v>7.5666666666666664</v>
      </c>
    </row>
    <row r="13199" spans="1:6" x14ac:dyDescent="0.25">
      <c r="A13199" s="1">
        <v>43132</v>
      </c>
      <c r="B13199" t="s">
        <v>12</v>
      </c>
      <c r="C13199" t="s">
        <v>10</v>
      </c>
      <c r="D13199">
        <v>21</v>
      </c>
      <c r="E13199" s="2">
        <v>3.5208333333333335E-2</v>
      </c>
      <c r="F13199">
        <v>50.7</v>
      </c>
    </row>
    <row r="13200" spans="1:6" x14ac:dyDescent="0.25">
      <c r="A13200" s="1">
        <v>43132</v>
      </c>
      <c r="B13200" t="s">
        <v>12</v>
      </c>
      <c r="C13200" t="s">
        <v>11</v>
      </c>
      <c r="D13200">
        <v>47</v>
      </c>
      <c r="E13200" s="2">
        <v>6.655092592592593E-2</v>
      </c>
      <c r="F13200">
        <v>95.833333333333329</v>
      </c>
    </row>
    <row r="13201" spans="1:6" x14ac:dyDescent="0.25">
      <c r="A13201" s="1">
        <v>43132</v>
      </c>
      <c r="B13201" t="s">
        <v>13</v>
      </c>
      <c r="C13201" t="s">
        <v>6</v>
      </c>
      <c r="D13201">
        <v>65</v>
      </c>
      <c r="E13201" s="2">
        <v>9.9965277777777778E-2</v>
      </c>
      <c r="F13201">
        <v>143.94999999999999</v>
      </c>
    </row>
    <row r="13202" spans="1:6" x14ac:dyDescent="0.25">
      <c r="A13202" s="1">
        <v>43132</v>
      </c>
      <c r="B13202" t="s">
        <v>13</v>
      </c>
      <c r="C13202" t="s">
        <v>7</v>
      </c>
      <c r="D13202">
        <v>60</v>
      </c>
      <c r="E13202" s="2">
        <v>8.7442129629629634E-2</v>
      </c>
      <c r="F13202">
        <v>125.91666666666667</v>
      </c>
    </row>
    <row r="13203" spans="1:6" x14ac:dyDescent="0.25">
      <c r="A13203" s="1">
        <v>43132</v>
      </c>
      <c r="B13203" t="s">
        <v>13</v>
      </c>
      <c r="C13203" t="s">
        <v>8</v>
      </c>
      <c r="D13203">
        <v>38</v>
      </c>
      <c r="E13203" s="2">
        <v>5.4560185185185184E-2</v>
      </c>
      <c r="F13203">
        <v>78.566666666666663</v>
      </c>
    </row>
    <row r="13204" spans="1:6" x14ac:dyDescent="0.25">
      <c r="A13204" s="1">
        <v>43132</v>
      </c>
      <c r="B13204" t="s">
        <v>13</v>
      </c>
      <c r="C13204" t="s">
        <v>9</v>
      </c>
      <c r="D13204">
        <v>7</v>
      </c>
      <c r="E13204" s="2">
        <v>4.3750000000000004E-3</v>
      </c>
      <c r="F13204">
        <v>6.3</v>
      </c>
    </row>
    <row r="13205" spans="1:6" x14ac:dyDescent="0.25">
      <c r="A13205" s="1">
        <v>43132</v>
      </c>
      <c r="B13205" t="s">
        <v>13</v>
      </c>
      <c r="C13205" t="s">
        <v>10</v>
      </c>
      <c r="D13205">
        <v>11</v>
      </c>
      <c r="E13205" s="2">
        <v>2.1851851851851851E-2</v>
      </c>
      <c r="F13205">
        <v>31.466666666666665</v>
      </c>
    </row>
    <row r="13206" spans="1:6" x14ac:dyDescent="0.25">
      <c r="A13206" s="1">
        <v>43132</v>
      </c>
      <c r="B13206" t="s">
        <v>13</v>
      </c>
      <c r="C13206" t="s">
        <v>11</v>
      </c>
      <c r="D13206">
        <v>40</v>
      </c>
      <c r="E13206" s="2">
        <v>3.8981481481481478E-2</v>
      </c>
      <c r="F13206">
        <v>56.133333333333333</v>
      </c>
    </row>
    <row r="13207" spans="1:6" x14ac:dyDescent="0.25">
      <c r="A13207" s="1">
        <v>43132</v>
      </c>
      <c r="B13207" t="s">
        <v>14</v>
      </c>
      <c r="C13207" t="s">
        <v>6</v>
      </c>
      <c r="D13207">
        <v>14</v>
      </c>
      <c r="E13207" s="2">
        <v>2.1087962962962965E-2</v>
      </c>
      <c r="F13207">
        <v>30.366666666666667</v>
      </c>
    </row>
    <row r="13208" spans="1:6" x14ac:dyDescent="0.25">
      <c r="A13208" s="1">
        <v>43132</v>
      </c>
      <c r="B13208" t="s">
        <v>14</v>
      </c>
      <c r="C13208" t="s">
        <v>7</v>
      </c>
      <c r="D13208">
        <v>8</v>
      </c>
      <c r="E13208" s="2">
        <v>1.7118055555555556E-2</v>
      </c>
      <c r="F13208">
        <v>24.65</v>
      </c>
    </row>
    <row r="13209" spans="1:6" x14ac:dyDescent="0.25">
      <c r="A13209" s="1">
        <v>43132</v>
      </c>
      <c r="B13209" t="s">
        <v>14</v>
      </c>
      <c r="C13209" t="s">
        <v>8</v>
      </c>
      <c r="D13209">
        <v>2</v>
      </c>
      <c r="E13209" s="2">
        <v>4.6527777777777774E-3</v>
      </c>
      <c r="F13209">
        <v>6.7</v>
      </c>
    </row>
    <row r="13210" spans="1:6" x14ac:dyDescent="0.25">
      <c r="A13210" s="1">
        <v>43132</v>
      </c>
      <c r="B13210" t="s">
        <v>14</v>
      </c>
      <c r="C13210" t="s">
        <v>9</v>
      </c>
      <c r="D13210">
        <v>1</v>
      </c>
      <c r="E13210" s="2">
        <v>6.7129629629629625E-4</v>
      </c>
      <c r="F13210">
        <v>0.96666666666666667</v>
      </c>
    </row>
    <row r="13211" spans="1:6" x14ac:dyDescent="0.25">
      <c r="A13211" s="1">
        <v>43132</v>
      </c>
      <c r="B13211" t="s">
        <v>14</v>
      </c>
      <c r="C13211" t="s">
        <v>10</v>
      </c>
      <c r="D13211">
        <v>1</v>
      </c>
      <c r="E13211" s="2">
        <v>1.8865740740740742E-3</v>
      </c>
      <c r="F13211">
        <v>2.7166666666666668</v>
      </c>
    </row>
    <row r="13212" spans="1:6" x14ac:dyDescent="0.25">
      <c r="A13212" s="1">
        <v>43132</v>
      </c>
      <c r="B13212" t="s">
        <v>14</v>
      </c>
      <c r="C13212" t="s">
        <v>11</v>
      </c>
      <c r="D13212">
        <v>10</v>
      </c>
      <c r="E13212" s="2">
        <v>8.8425925925925929E-3</v>
      </c>
      <c r="F13212">
        <v>12.733333333333333</v>
      </c>
    </row>
    <row r="13213" spans="1:6" x14ac:dyDescent="0.25">
      <c r="A13213" s="1">
        <v>43132</v>
      </c>
      <c r="B13213" t="s">
        <v>15</v>
      </c>
      <c r="C13213" t="s">
        <v>6</v>
      </c>
      <c r="D13213">
        <v>34</v>
      </c>
      <c r="E13213" s="2">
        <v>4.4409722222222225E-2</v>
      </c>
      <c r="F13213">
        <v>63.95</v>
      </c>
    </row>
    <row r="13214" spans="1:6" x14ac:dyDescent="0.25">
      <c r="A13214" s="1">
        <v>43132</v>
      </c>
      <c r="B13214" t="s">
        <v>15</v>
      </c>
      <c r="C13214" t="s">
        <v>7</v>
      </c>
      <c r="D13214">
        <v>30</v>
      </c>
      <c r="E13214" s="2">
        <v>4.1516203703703701E-2</v>
      </c>
      <c r="F13214">
        <v>59.783333333333331</v>
      </c>
    </row>
    <row r="13215" spans="1:6" x14ac:dyDescent="0.25">
      <c r="A13215" s="1">
        <v>43132</v>
      </c>
      <c r="B13215" t="s">
        <v>15</v>
      </c>
      <c r="C13215" t="s">
        <v>8</v>
      </c>
      <c r="D13215">
        <v>31</v>
      </c>
      <c r="E13215" s="2">
        <v>3.2129629629629633E-2</v>
      </c>
      <c r="F13215">
        <v>46.266666666666666</v>
      </c>
    </row>
    <row r="13216" spans="1:6" x14ac:dyDescent="0.25">
      <c r="A13216" s="1">
        <v>43132</v>
      </c>
      <c r="B13216" t="s">
        <v>15</v>
      </c>
      <c r="C13216" t="s">
        <v>9</v>
      </c>
      <c r="D13216">
        <v>6</v>
      </c>
      <c r="E13216" s="2">
        <v>4.6296296296296294E-3</v>
      </c>
      <c r="F13216">
        <v>6.666666666666667</v>
      </c>
    </row>
    <row r="13217" spans="1:6" x14ac:dyDescent="0.25">
      <c r="A13217" s="1">
        <v>43132</v>
      </c>
      <c r="B13217" t="s">
        <v>15</v>
      </c>
      <c r="C13217" t="s">
        <v>10</v>
      </c>
      <c r="D13217">
        <v>7</v>
      </c>
      <c r="E13217" s="2">
        <v>1.0937499999999999E-2</v>
      </c>
      <c r="F13217">
        <v>15.75</v>
      </c>
    </row>
    <row r="13218" spans="1:6" x14ac:dyDescent="0.25">
      <c r="A13218" s="1">
        <v>43132</v>
      </c>
      <c r="B13218" t="s">
        <v>15</v>
      </c>
      <c r="C13218" t="s">
        <v>11</v>
      </c>
      <c r="D13218">
        <v>29</v>
      </c>
      <c r="E13218" s="2">
        <v>2.4641203703703703E-2</v>
      </c>
      <c r="F13218">
        <v>35.483333333333334</v>
      </c>
    </row>
    <row r="13219" spans="1:6" x14ac:dyDescent="0.25">
      <c r="A13219" s="1">
        <v>43132</v>
      </c>
      <c r="B13219" t="s">
        <v>16</v>
      </c>
      <c r="C13219" t="s">
        <v>6</v>
      </c>
      <c r="D13219">
        <v>30</v>
      </c>
      <c r="E13219" s="2">
        <v>3.6076388888888887E-2</v>
      </c>
      <c r="F13219">
        <v>51.95</v>
      </c>
    </row>
    <row r="13220" spans="1:6" x14ac:dyDescent="0.25">
      <c r="A13220" s="1">
        <v>43132</v>
      </c>
      <c r="B13220" t="s">
        <v>16</v>
      </c>
      <c r="C13220" t="s">
        <v>7</v>
      </c>
      <c r="D13220">
        <v>25</v>
      </c>
      <c r="E13220" s="2">
        <v>2.6469907407407407E-2</v>
      </c>
      <c r="F13220">
        <v>38.116666666666667</v>
      </c>
    </row>
    <row r="13221" spans="1:6" x14ac:dyDescent="0.25">
      <c r="A13221" s="1">
        <v>43132</v>
      </c>
      <c r="B13221" t="s">
        <v>16</v>
      </c>
      <c r="C13221" t="s">
        <v>8</v>
      </c>
      <c r="D13221">
        <v>31</v>
      </c>
      <c r="E13221" s="2">
        <v>2.9120370370370369E-2</v>
      </c>
      <c r="F13221">
        <v>41.93333333333333</v>
      </c>
    </row>
    <row r="13222" spans="1:6" x14ac:dyDescent="0.25">
      <c r="A13222" s="1">
        <v>43132</v>
      </c>
      <c r="B13222" t="s">
        <v>16</v>
      </c>
      <c r="C13222" t="s">
        <v>9</v>
      </c>
      <c r="D13222">
        <v>5</v>
      </c>
      <c r="E13222" s="2">
        <v>3.5879629629629629E-3</v>
      </c>
      <c r="F13222">
        <v>5.166666666666667</v>
      </c>
    </row>
    <row r="13223" spans="1:6" x14ac:dyDescent="0.25">
      <c r="A13223" s="1">
        <v>43132</v>
      </c>
      <c r="B13223" t="s">
        <v>16</v>
      </c>
      <c r="C13223" t="s">
        <v>10</v>
      </c>
      <c r="D13223">
        <v>8</v>
      </c>
      <c r="E13223" s="2">
        <v>9.3981481481481485E-3</v>
      </c>
      <c r="F13223">
        <v>13.533333333333333</v>
      </c>
    </row>
    <row r="13224" spans="1:6" x14ac:dyDescent="0.25">
      <c r="A13224" s="1">
        <v>43132</v>
      </c>
      <c r="B13224" t="s">
        <v>16</v>
      </c>
      <c r="C13224" t="s">
        <v>11</v>
      </c>
      <c r="D13224">
        <v>32</v>
      </c>
      <c r="E13224" s="2">
        <v>3.107638888888889E-2</v>
      </c>
      <c r="F13224">
        <v>44.75</v>
      </c>
    </row>
    <row r="13225" spans="1:6" x14ac:dyDescent="0.25">
      <c r="A13225" s="1">
        <v>43132</v>
      </c>
      <c r="B13225" t="s">
        <v>17</v>
      </c>
      <c r="C13225" t="s">
        <v>6</v>
      </c>
      <c r="D13225">
        <v>3</v>
      </c>
      <c r="E13225" s="2">
        <v>3.8078703703703703E-3</v>
      </c>
      <c r="F13225">
        <v>5.4833333333333334</v>
      </c>
    </row>
    <row r="13226" spans="1:6" x14ac:dyDescent="0.25">
      <c r="A13226" s="1">
        <v>43132</v>
      </c>
      <c r="B13226" t="s">
        <v>17</v>
      </c>
      <c r="C13226" t="s">
        <v>7</v>
      </c>
      <c r="D13226">
        <v>4</v>
      </c>
      <c r="E13226" s="2">
        <v>5.4166666666666669E-3</v>
      </c>
      <c r="F13226">
        <v>7.8</v>
      </c>
    </row>
    <row r="13227" spans="1:6" x14ac:dyDescent="0.25">
      <c r="A13227" s="1">
        <v>43132</v>
      </c>
      <c r="B13227" t="s">
        <v>17</v>
      </c>
      <c r="C13227" t="s">
        <v>8</v>
      </c>
      <c r="D13227">
        <v>2</v>
      </c>
      <c r="E13227" s="2">
        <v>2.2569444444444442E-3</v>
      </c>
      <c r="F13227">
        <v>3.25</v>
      </c>
    </row>
    <row r="13228" spans="1:6" x14ac:dyDescent="0.25">
      <c r="A13228" s="1">
        <v>43132</v>
      </c>
      <c r="B13228" t="s">
        <v>17</v>
      </c>
      <c r="C13228" t="s">
        <v>9</v>
      </c>
      <c r="D13228">
        <v>0</v>
      </c>
      <c r="E13228" s="2">
        <v>0</v>
      </c>
      <c r="F13228">
        <v>0</v>
      </c>
    </row>
    <row r="13229" spans="1:6" x14ac:dyDescent="0.25">
      <c r="A13229" s="1">
        <v>43132</v>
      </c>
      <c r="B13229" t="s">
        <v>17</v>
      </c>
      <c r="C13229" t="s">
        <v>10</v>
      </c>
      <c r="D13229">
        <v>9</v>
      </c>
      <c r="E13229" s="2">
        <v>1.5104166666666667E-2</v>
      </c>
      <c r="F13229">
        <v>21.75</v>
      </c>
    </row>
    <row r="13230" spans="1:6" x14ac:dyDescent="0.25">
      <c r="A13230" s="1">
        <v>43132</v>
      </c>
      <c r="B13230" t="s">
        <v>17</v>
      </c>
      <c r="C13230" t="s">
        <v>11</v>
      </c>
      <c r="D13230">
        <v>2</v>
      </c>
      <c r="E13230" s="2">
        <v>2.5347222222222221E-3</v>
      </c>
      <c r="F13230">
        <v>3.65</v>
      </c>
    </row>
    <row r="13231" spans="1:6" x14ac:dyDescent="0.25">
      <c r="A13231" s="1">
        <v>43132</v>
      </c>
      <c r="B13231" t="s">
        <v>18</v>
      </c>
      <c r="C13231" t="s">
        <v>6</v>
      </c>
      <c r="D13231">
        <v>32</v>
      </c>
      <c r="E13231" s="2">
        <v>3.3252314814814818E-2</v>
      </c>
      <c r="F13231">
        <v>47.883333333333333</v>
      </c>
    </row>
    <row r="13232" spans="1:6" x14ac:dyDescent="0.25">
      <c r="A13232" s="1">
        <v>43132</v>
      </c>
      <c r="B13232" t="s">
        <v>18</v>
      </c>
      <c r="C13232" t="s">
        <v>7</v>
      </c>
      <c r="D13232">
        <v>70</v>
      </c>
      <c r="E13232" s="2">
        <v>7.631944444444444E-2</v>
      </c>
      <c r="F13232">
        <v>109.9</v>
      </c>
    </row>
    <row r="13233" spans="1:6" x14ac:dyDescent="0.25">
      <c r="A13233" s="1">
        <v>43132</v>
      </c>
      <c r="B13233" t="s">
        <v>18</v>
      </c>
      <c r="C13233" t="s">
        <v>8</v>
      </c>
      <c r="D13233">
        <v>25</v>
      </c>
      <c r="E13233" s="2">
        <v>2.6400462962962962E-2</v>
      </c>
      <c r="F13233">
        <v>38.016666666666666</v>
      </c>
    </row>
    <row r="13234" spans="1:6" x14ac:dyDescent="0.25">
      <c r="A13234" s="1">
        <v>43132</v>
      </c>
      <c r="B13234" t="s">
        <v>18</v>
      </c>
      <c r="C13234" t="s">
        <v>9</v>
      </c>
      <c r="D13234">
        <v>18</v>
      </c>
      <c r="E13234" s="2">
        <v>1.0416666666666666E-2</v>
      </c>
      <c r="F13234">
        <v>15</v>
      </c>
    </row>
    <row r="13235" spans="1:6" x14ac:dyDescent="0.25">
      <c r="A13235" s="1">
        <v>43132</v>
      </c>
      <c r="B13235" t="s">
        <v>18</v>
      </c>
      <c r="C13235" t="s">
        <v>10</v>
      </c>
      <c r="D13235">
        <v>120</v>
      </c>
      <c r="E13235" s="2">
        <v>0.18256944444444445</v>
      </c>
      <c r="F13235">
        <v>262.89999999999998</v>
      </c>
    </row>
    <row r="13236" spans="1:6" x14ac:dyDescent="0.25">
      <c r="A13236" s="1">
        <v>43132</v>
      </c>
      <c r="B13236" t="s">
        <v>18</v>
      </c>
      <c r="C13236" t="s">
        <v>11</v>
      </c>
      <c r="D13236">
        <v>34</v>
      </c>
      <c r="E13236" s="2">
        <v>2.1782407407407407E-2</v>
      </c>
      <c r="F13236">
        <v>31.366666666666667</v>
      </c>
    </row>
    <row r="13237" spans="1:6" x14ac:dyDescent="0.25">
      <c r="A13237" s="1">
        <v>43132</v>
      </c>
      <c r="B13237" t="s">
        <v>19</v>
      </c>
      <c r="C13237" t="s">
        <v>6</v>
      </c>
      <c r="D13237">
        <v>31</v>
      </c>
      <c r="E13237" s="2">
        <v>3.7997685185185183E-2</v>
      </c>
      <c r="F13237">
        <v>54.716666666666669</v>
      </c>
    </row>
    <row r="13238" spans="1:6" x14ac:dyDescent="0.25">
      <c r="A13238" s="1">
        <v>43132</v>
      </c>
      <c r="B13238" t="s">
        <v>19</v>
      </c>
      <c r="C13238" t="s">
        <v>7</v>
      </c>
      <c r="D13238">
        <v>33</v>
      </c>
      <c r="E13238" s="2">
        <v>3.6261574074074071E-2</v>
      </c>
      <c r="F13238">
        <v>52.216666666666669</v>
      </c>
    </row>
    <row r="13239" spans="1:6" x14ac:dyDescent="0.25">
      <c r="A13239" s="1">
        <v>43132</v>
      </c>
      <c r="B13239" t="s">
        <v>19</v>
      </c>
      <c r="C13239" t="s">
        <v>8</v>
      </c>
      <c r="D13239">
        <v>30</v>
      </c>
      <c r="E13239" s="2">
        <v>3.2708333333333332E-2</v>
      </c>
      <c r="F13239">
        <v>47.1</v>
      </c>
    </row>
    <row r="13240" spans="1:6" x14ac:dyDescent="0.25">
      <c r="A13240" s="1">
        <v>43132</v>
      </c>
      <c r="B13240" t="s">
        <v>19</v>
      </c>
      <c r="C13240" t="s">
        <v>9</v>
      </c>
      <c r="D13240">
        <v>14</v>
      </c>
      <c r="E13240" s="2">
        <v>8.4490740740740741E-3</v>
      </c>
      <c r="F13240">
        <v>12.166666666666666</v>
      </c>
    </row>
    <row r="13241" spans="1:6" x14ac:dyDescent="0.25">
      <c r="A13241" s="1">
        <v>43132</v>
      </c>
      <c r="B13241" t="s">
        <v>19</v>
      </c>
      <c r="C13241" t="s">
        <v>10</v>
      </c>
      <c r="D13241">
        <v>10</v>
      </c>
      <c r="E13241" s="2">
        <v>1.2627314814814815E-2</v>
      </c>
      <c r="F13241">
        <v>18.183333333333334</v>
      </c>
    </row>
    <row r="13242" spans="1:6" x14ac:dyDescent="0.25">
      <c r="A13242" s="1">
        <v>43132</v>
      </c>
      <c r="B13242" t="s">
        <v>19</v>
      </c>
      <c r="C13242" t="s">
        <v>11</v>
      </c>
      <c r="D13242">
        <v>36</v>
      </c>
      <c r="E13242" s="2">
        <v>3.1956018518518516E-2</v>
      </c>
      <c r="F13242">
        <v>46.016666666666666</v>
      </c>
    </row>
    <row r="13243" spans="1:6" x14ac:dyDescent="0.25">
      <c r="A13243" s="1">
        <v>43132</v>
      </c>
      <c r="B13243" t="s">
        <v>20</v>
      </c>
      <c r="C13243" t="s">
        <v>6</v>
      </c>
      <c r="D13243">
        <v>40</v>
      </c>
      <c r="E13243" s="2">
        <v>4.957175925925926E-2</v>
      </c>
      <c r="F13243">
        <v>71.38333333333334</v>
      </c>
    </row>
    <row r="13244" spans="1:6" x14ac:dyDescent="0.25">
      <c r="A13244" s="1">
        <v>43132</v>
      </c>
      <c r="B13244" t="s">
        <v>20</v>
      </c>
      <c r="C13244" t="s">
        <v>7</v>
      </c>
      <c r="D13244">
        <v>66</v>
      </c>
      <c r="E13244" s="2">
        <v>8.8680555555555554E-2</v>
      </c>
      <c r="F13244">
        <v>127.7</v>
      </c>
    </row>
    <row r="13245" spans="1:6" x14ac:dyDescent="0.25">
      <c r="A13245" s="1">
        <v>43132</v>
      </c>
      <c r="B13245" t="s">
        <v>20</v>
      </c>
      <c r="C13245" t="s">
        <v>8</v>
      </c>
      <c r="D13245">
        <v>45</v>
      </c>
      <c r="E13245" s="2">
        <v>5.2199074074074071E-2</v>
      </c>
      <c r="F13245">
        <v>75.166666666666671</v>
      </c>
    </row>
    <row r="13246" spans="1:6" x14ac:dyDescent="0.25">
      <c r="A13246" s="1">
        <v>43132</v>
      </c>
      <c r="B13246" t="s">
        <v>20</v>
      </c>
      <c r="C13246" t="s">
        <v>9</v>
      </c>
      <c r="D13246">
        <v>18</v>
      </c>
      <c r="E13246" s="2">
        <v>1.0462962962962962E-2</v>
      </c>
      <c r="F13246">
        <v>15.066666666666666</v>
      </c>
    </row>
    <row r="13247" spans="1:6" x14ac:dyDescent="0.25">
      <c r="A13247" s="1">
        <v>43132</v>
      </c>
      <c r="B13247" t="s">
        <v>20</v>
      </c>
      <c r="C13247" t="s">
        <v>10</v>
      </c>
      <c r="D13247">
        <v>12</v>
      </c>
      <c r="E13247" s="2">
        <v>1.3310185185185185E-2</v>
      </c>
      <c r="F13247">
        <v>19.166666666666668</v>
      </c>
    </row>
    <row r="13248" spans="1:6" x14ac:dyDescent="0.25">
      <c r="A13248" s="1">
        <v>43132</v>
      </c>
      <c r="B13248" t="s">
        <v>20</v>
      </c>
      <c r="C13248" t="s">
        <v>11</v>
      </c>
      <c r="D13248">
        <v>49</v>
      </c>
      <c r="E13248" s="2">
        <v>3.9409722222222221E-2</v>
      </c>
      <c r="F13248">
        <v>56.75</v>
      </c>
    </row>
    <row r="13249" spans="1:6" x14ac:dyDescent="0.25">
      <c r="A13249" s="1">
        <v>43132</v>
      </c>
      <c r="B13249" t="s">
        <v>21</v>
      </c>
      <c r="C13249" t="s">
        <v>6</v>
      </c>
      <c r="D13249">
        <v>17</v>
      </c>
      <c r="E13249" s="2">
        <v>2.704861111111111E-2</v>
      </c>
      <c r="F13249">
        <v>38.950000000000003</v>
      </c>
    </row>
    <row r="13250" spans="1:6" x14ac:dyDescent="0.25">
      <c r="A13250" s="1">
        <v>43132</v>
      </c>
      <c r="B13250" t="s">
        <v>21</v>
      </c>
      <c r="C13250" t="s">
        <v>7</v>
      </c>
      <c r="D13250">
        <v>9</v>
      </c>
      <c r="E13250" s="2">
        <v>1.6342592592592593E-2</v>
      </c>
      <c r="F13250">
        <v>23.533333333333335</v>
      </c>
    </row>
    <row r="13251" spans="1:6" x14ac:dyDescent="0.25">
      <c r="A13251" s="1">
        <v>43132</v>
      </c>
      <c r="B13251" t="s">
        <v>21</v>
      </c>
      <c r="C13251" t="s">
        <v>8</v>
      </c>
      <c r="D13251">
        <v>10</v>
      </c>
      <c r="E13251" s="2">
        <v>1.3217592592592593E-2</v>
      </c>
      <c r="F13251">
        <v>19.033333333333335</v>
      </c>
    </row>
    <row r="13252" spans="1:6" x14ac:dyDescent="0.25">
      <c r="A13252" s="1">
        <v>43132</v>
      </c>
      <c r="B13252" t="s">
        <v>21</v>
      </c>
      <c r="C13252" t="s">
        <v>9</v>
      </c>
      <c r="D13252">
        <v>0</v>
      </c>
      <c r="E13252" s="2">
        <v>0</v>
      </c>
      <c r="F13252">
        <v>0</v>
      </c>
    </row>
    <row r="13253" spans="1:6" x14ac:dyDescent="0.25">
      <c r="A13253" s="1">
        <v>43132</v>
      </c>
      <c r="B13253" t="s">
        <v>21</v>
      </c>
      <c r="C13253" t="s">
        <v>10</v>
      </c>
      <c r="D13253">
        <v>3</v>
      </c>
      <c r="E13253" s="2">
        <v>3.9814814814814817E-3</v>
      </c>
      <c r="F13253">
        <v>5.7333333333333334</v>
      </c>
    </row>
    <row r="13254" spans="1:6" x14ac:dyDescent="0.25">
      <c r="A13254" s="1">
        <v>43132</v>
      </c>
      <c r="B13254" t="s">
        <v>21</v>
      </c>
      <c r="C13254" t="s">
        <v>11</v>
      </c>
      <c r="D13254">
        <v>14</v>
      </c>
      <c r="E13254" s="2">
        <v>2.0949074074074075E-2</v>
      </c>
      <c r="F13254">
        <v>30.166666666666668</v>
      </c>
    </row>
    <row r="13255" spans="1:6" x14ac:dyDescent="0.25">
      <c r="A13255" s="1">
        <v>43132</v>
      </c>
      <c r="B13255" t="s">
        <v>22</v>
      </c>
      <c r="C13255" t="s">
        <v>6</v>
      </c>
      <c r="D13255">
        <v>14</v>
      </c>
      <c r="E13255" s="2">
        <v>2.3368055555555555E-2</v>
      </c>
      <c r="F13255">
        <v>33.65</v>
      </c>
    </row>
    <row r="13256" spans="1:6" x14ac:dyDescent="0.25">
      <c r="A13256" s="1">
        <v>43132</v>
      </c>
      <c r="B13256" t="s">
        <v>22</v>
      </c>
      <c r="C13256" t="s">
        <v>7</v>
      </c>
      <c r="D13256">
        <v>3</v>
      </c>
      <c r="E13256" s="2">
        <v>6.2962962962962964E-3</v>
      </c>
      <c r="F13256">
        <v>9.0666666666666664</v>
      </c>
    </row>
    <row r="13257" spans="1:6" x14ac:dyDescent="0.25">
      <c r="A13257" s="1">
        <v>43132</v>
      </c>
      <c r="B13257" t="s">
        <v>22</v>
      </c>
      <c r="C13257" t="s">
        <v>8</v>
      </c>
      <c r="D13257">
        <v>2</v>
      </c>
      <c r="E13257" s="2">
        <v>3.9467592592592592E-3</v>
      </c>
      <c r="F13257">
        <v>5.6833333333333336</v>
      </c>
    </row>
    <row r="13258" spans="1:6" x14ac:dyDescent="0.25">
      <c r="A13258" s="1">
        <v>43132</v>
      </c>
      <c r="B13258" t="s">
        <v>22</v>
      </c>
      <c r="C13258" t="s">
        <v>9</v>
      </c>
      <c r="D13258">
        <v>6</v>
      </c>
      <c r="E13258" s="2">
        <v>3.4027777777777776E-3</v>
      </c>
      <c r="F13258">
        <v>4.9000000000000004</v>
      </c>
    </row>
    <row r="13259" spans="1:6" x14ac:dyDescent="0.25">
      <c r="A13259" s="1">
        <v>43132</v>
      </c>
      <c r="B13259" t="s">
        <v>22</v>
      </c>
      <c r="C13259" t="s">
        <v>10</v>
      </c>
      <c r="D13259">
        <v>10</v>
      </c>
      <c r="E13259" s="2">
        <v>1.6574074074074074E-2</v>
      </c>
      <c r="F13259">
        <v>23.866666666666667</v>
      </c>
    </row>
    <row r="13260" spans="1:6" x14ac:dyDescent="0.25">
      <c r="A13260" s="1">
        <v>43132</v>
      </c>
      <c r="B13260" t="s">
        <v>22</v>
      </c>
      <c r="C13260" t="s">
        <v>11</v>
      </c>
      <c r="D13260">
        <v>11</v>
      </c>
      <c r="E13260" s="2">
        <v>1.1307870370370371E-2</v>
      </c>
      <c r="F13260">
        <v>16.283333333333335</v>
      </c>
    </row>
    <row r="13261" spans="1:6" x14ac:dyDescent="0.25">
      <c r="A13261" s="1">
        <v>43132</v>
      </c>
      <c r="B13261" t="s">
        <v>23</v>
      </c>
      <c r="C13261" t="s">
        <v>6</v>
      </c>
      <c r="D13261">
        <v>73</v>
      </c>
      <c r="E13261" s="2">
        <v>0.10880787037037037</v>
      </c>
      <c r="F13261">
        <v>156.68333333333334</v>
      </c>
    </row>
    <row r="13262" spans="1:6" x14ac:dyDescent="0.25">
      <c r="A13262" s="1">
        <v>43132</v>
      </c>
      <c r="B13262" t="s">
        <v>23</v>
      </c>
      <c r="C13262" t="s">
        <v>7</v>
      </c>
      <c r="D13262">
        <v>67</v>
      </c>
      <c r="E13262" s="2">
        <v>0.11380787037037036</v>
      </c>
      <c r="F13262">
        <v>163.88333333333333</v>
      </c>
    </row>
    <row r="13263" spans="1:6" x14ac:dyDescent="0.25">
      <c r="A13263" s="1">
        <v>43132</v>
      </c>
      <c r="B13263" t="s">
        <v>23</v>
      </c>
      <c r="C13263" t="s">
        <v>8</v>
      </c>
      <c r="D13263">
        <v>44</v>
      </c>
      <c r="E13263" s="2">
        <v>6.6840277777777776E-2</v>
      </c>
      <c r="F13263">
        <v>96.25</v>
      </c>
    </row>
    <row r="13264" spans="1:6" x14ac:dyDescent="0.25">
      <c r="A13264" s="1">
        <v>43132</v>
      </c>
      <c r="B13264" t="s">
        <v>23</v>
      </c>
      <c r="C13264" t="s">
        <v>9</v>
      </c>
      <c r="D13264">
        <v>18</v>
      </c>
      <c r="E13264" s="2">
        <v>1.0752314814814815E-2</v>
      </c>
      <c r="F13264">
        <v>15.483333333333333</v>
      </c>
    </row>
    <row r="13265" spans="1:6" x14ac:dyDescent="0.25">
      <c r="A13265" s="1">
        <v>43132</v>
      </c>
      <c r="B13265" t="s">
        <v>23</v>
      </c>
      <c r="C13265" t="s">
        <v>10</v>
      </c>
      <c r="D13265">
        <v>19</v>
      </c>
      <c r="E13265" s="2">
        <v>2.6712962962962963E-2</v>
      </c>
      <c r="F13265">
        <v>38.466666666666669</v>
      </c>
    </row>
    <row r="13266" spans="1:6" x14ac:dyDescent="0.25">
      <c r="A13266" s="1">
        <v>43132</v>
      </c>
      <c r="B13266" t="s">
        <v>23</v>
      </c>
      <c r="C13266" t="s">
        <v>11</v>
      </c>
      <c r="D13266">
        <v>58</v>
      </c>
      <c r="E13266" s="2">
        <v>5.0266203703703702E-2</v>
      </c>
      <c r="F13266">
        <v>72.38333333333334</v>
      </c>
    </row>
    <row r="13267" spans="1:6" x14ac:dyDescent="0.25">
      <c r="A13267" s="1">
        <v>43132</v>
      </c>
      <c r="B13267" t="s">
        <v>24</v>
      </c>
      <c r="C13267" t="s">
        <v>6</v>
      </c>
      <c r="D13267">
        <v>39</v>
      </c>
      <c r="E13267" s="2">
        <v>5.181712962962963E-2</v>
      </c>
      <c r="F13267">
        <v>74.61666666666666</v>
      </c>
    </row>
    <row r="13268" spans="1:6" x14ac:dyDescent="0.25">
      <c r="A13268" s="1">
        <v>43132</v>
      </c>
      <c r="B13268" t="s">
        <v>24</v>
      </c>
      <c r="C13268" t="s">
        <v>7</v>
      </c>
      <c r="D13268">
        <v>48</v>
      </c>
      <c r="E13268" s="2">
        <v>4.3449074074074077E-2</v>
      </c>
      <c r="F13268">
        <v>62.56666666666667</v>
      </c>
    </row>
    <row r="13269" spans="1:6" x14ac:dyDescent="0.25">
      <c r="A13269" s="1">
        <v>43132</v>
      </c>
      <c r="B13269" t="s">
        <v>24</v>
      </c>
      <c r="C13269" t="s">
        <v>8</v>
      </c>
      <c r="D13269">
        <v>26</v>
      </c>
      <c r="E13269" s="2">
        <v>2.4780092592592593E-2</v>
      </c>
      <c r="F13269">
        <v>35.68333333333333</v>
      </c>
    </row>
    <row r="13270" spans="1:6" x14ac:dyDescent="0.25">
      <c r="A13270" s="1">
        <v>43132</v>
      </c>
      <c r="B13270" t="s">
        <v>24</v>
      </c>
      <c r="C13270" t="s">
        <v>9</v>
      </c>
      <c r="D13270">
        <v>16</v>
      </c>
      <c r="E13270" s="2">
        <v>1.1203703703703704E-2</v>
      </c>
      <c r="F13270">
        <v>16.133333333333333</v>
      </c>
    </row>
    <row r="13271" spans="1:6" x14ac:dyDescent="0.25">
      <c r="A13271" s="1">
        <v>43132</v>
      </c>
      <c r="B13271" t="s">
        <v>24</v>
      </c>
      <c r="C13271" t="s">
        <v>10</v>
      </c>
      <c r="D13271">
        <v>2</v>
      </c>
      <c r="E13271" s="2">
        <v>1.9560185185185184E-3</v>
      </c>
      <c r="F13271">
        <v>2.8166666666666664</v>
      </c>
    </row>
    <row r="13272" spans="1:6" x14ac:dyDescent="0.25">
      <c r="A13272" s="1">
        <v>43132</v>
      </c>
      <c r="B13272" t="s">
        <v>24</v>
      </c>
      <c r="C13272" t="s">
        <v>11</v>
      </c>
      <c r="D13272">
        <v>40</v>
      </c>
      <c r="E13272" s="2">
        <v>3.0208333333333334E-2</v>
      </c>
      <c r="F13272">
        <v>43.5</v>
      </c>
    </row>
    <row r="13273" spans="1:6" x14ac:dyDescent="0.25">
      <c r="A13273" s="1">
        <v>43160</v>
      </c>
      <c r="B13273" t="s">
        <v>5</v>
      </c>
      <c r="C13273" t="s">
        <v>6</v>
      </c>
      <c r="D13273">
        <v>20</v>
      </c>
      <c r="E13273" s="2">
        <v>1.755787037037037E-2</v>
      </c>
      <c r="F13273">
        <v>25.283333333333335</v>
      </c>
    </row>
    <row r="13274" spans="1:6" x14ac:dyDescent="0.25">
      <c r="A13274" s="1">
        <v>43160</v>
      </c>
      <c r="B13274" t="s">
        <v>5</v>
      </c>
      <c r="C13274" t="s">
        <v>7</v>
      </c>
      <c r="D13274">
        <v>12</v>
      </c>
      <c r="E13274" s="2">
        <v>1.0243055555555556E-2</v>
      </c>
      <c r="F13274">
        <v>14.75</v>
      </c>
    </row>
    <row r="13275" spans="1:6" x14ac:dyDescent="0.25">
      <c r="A13275" s="1">
        <v>43160</v>
      </c>
      <c r="B13275" t="s">
        <v>5</v>
      </c>
      <c r="C13275" t="s">
        <v>8</v>
      </c>
      <c r="D13275">
        <v>19</v>
      </c>
      <c r="E13275" s="2">
        <v>1.7627314814814814E-2</v>
      </c>
      <c r="F13275">
        <v>25.383333333333333</v>
      </c>
    </row>
    <row r="13276" spans="1:6" x14ac:dyDescent="0.25">
      <c r="A13276" s="1">
        <v>43160</v>
      </c>
      <c r="B13276" t="s">
        <v>5</v>
      </c>
      <c r="C13276" t="s">
        <v>9</v>
      </c>
      <c r="D13276">
        <v>3</v>
      </c>
      <c r="E13276" s="2">
        <v>2.638888888888889E-3</v>
      </c>
      <c r="F13276">
        <v>3.8</v>
      </c>
    </row>
    <row r="13277" spans="1:6" x14ac:dyDescent="0.25">
      <c r="A13277" s="1">
        <v>43160</v>
      </c>
      <c r="B13277" t="s">
        <v>5</v>
      </c>
      <c r="C13277" t="s">
        <v>10</v>
      </c>
      <c r="D13277">
        <v>1</v>
      </c>
      <c r="E13277" s="2">
        <v>1.5740740740740741E-3</v>
      </c>
      <c r="F13277">
        <v>2.2666666666666666</v>
      </c>
    </row>
    <row r="13278" spans="1:6" x14ac:dyDescent="0.25">
      <c r="A13278" s="1">
        <v>43160</v>
      </c>
      <c r="B13278" t="s">
        <v>5</v>
      </c>
      <c r="C13278" t="s">
        <v>11</v>
      </c>
      <c r="D13278">
        <v>16</v>
      </c>
      <c r="E13278" s="2">
        <v>1.2037037037037037E-2</v>
      </c>
      <c r="F13278">
        <v>17.333333333333332</v>
      </c>
    </row>
    <row r="13279" spans="1:6" x14ac:dyDescent="0.25">
      <c r="A13279" s="1">
        <v>43160</v>
      </c>
      <c r="B13279" t="s">
        <v>12</v>
      </c>
      <c r="C13279" t="s">
        <v>6</v>
      </c>
      <c r="D13279">
        <v>25</v>
      </c>
      <c r="E13279" s="2">
        <v>3.8657407407407404E-2</v>
      </c>
      <c r="F13279">
        <v>55.666666666666664</v>
      </c>
    </row>
    <row r="13280" spans="1:6" x14ac:dyDescent="0.25">
      <c r="A13280" s="1">
        <v>43160</v>
      </c>
      <c r="B13280" t="s">
        <v>12</v>
      </c>
      <c r="C13280" t="s">
        <v>7</v>
      </c>
      <c r="D13280">
        <v>25</v>
      </c>
      <c r="E13280" s="2">
        <v>4.9386574074074076E-2</v>
      </c>
      <c r="F13280">
        <v>71.11666666666666</v>
      </c>
    </row>
    <row r="13281" spans="1:6" x14ac:dyDescent="0.25">
      <c r="A13281" s="1">
        <v>43160</v>
      </c>
      <c r="B13281" t="s">
        <v>12</v>
      </c>
      <c r="C13281" t="s">
        <v>8</v>
      </c>
      <c r="D13281">
        <v>20</v>
      </c>
      <c r="E13281" s="2">
        <v>2.6435185185185187E-2</v>
      </c>
      <c r="F13281">
        <v>38.06666666666667</v>
      </c>
    </row>
    <row r="13282" spans="1:6" x14ac:dyDescent="0.25">
      <c r="A13282" s="1">
        <v>43160</v>
      </c>
      <c r="B13282" t="s">
        <v>12</v>
      </c>
      <c r="C13282" t="s">
        <v>9</v>
      </c>
      <c r="D13282">
        <v>5</v>
      </c>
      <c r="E13282" s="2">
        <v>3.0324074074074073E-3</v>
      </c>
      <c r="F13282">
        <v>4.3666666666666663</v>
      </c>
    </row>
    <row r="13283" spans="1:6" x14ac:dyDescent="0.25">
      <c r="A13283" s="1">
        <v>43160</v>
      </c>
      <c r="B13283" t="s">
        <v>12</v>
      </c>
      <c r="C13283" t="s">
        <v>10</v>
      </c>
      <c r="D13283">
        <v>26</v>
      </c>
      <c r="E13283" s="2">
        <v>4.2407407407407408E-2</v>
      </c>
      <c r="F13283">
        <v>61.06666666666667</v>
      </c>
    </row>
    <row r="13284" spans="1:6" x14ac:dyDescent="0.25">
      <c r="A13284" s="1">
        <v>43160</v>
      </c>
      <c r="B13284" t="s">
        <v>12</v>
      </c>
      <c r="C13284" t="s">
        <v>11</v>
      </c>
      <c r="D13284">
        <v>54</v>
      </c>
      <c r="E13284" s="2">
        <v>6.643518518518518E-2</v>
      </c>
      <c r="F13284">
        <v>95.666666666666671</v>
      </c>
    </row>
    <row r="13285" spans="1:6" x14ac:dyDescent="0.25">
      <c r="A13285" s="1">
        <v>43160</v>
      </c>
      <c r="B13285" t="s">
        <v>13</v>
      </c>
      <c r="C13285" t="s">
        <v>6</v>
      </c>
      <c r="D13285">
        <v>39</v>
      </c>
      <c r="E13285" s="2">
        <v>6.4837962962962958E-2</v>
      </c>
      <c r="F13285">
        <v>93.36666666666666</v>
      </c>
    </row>
    <row r="13286" spans="1:6" x14ac:dyDescent="0.25">
      <c r="A13286" s="1">
        <v>43160</v>
      </c>
      <c r="B13286" t="s">
        <v>13</v>
      </c>
      <c r="C13286" t="s">
        <v>7</v>
      </c>
      <c r="D13286">
        <v>45</v>
      </c>
      <c r="E13286" s="2">
        <v>6.8865740740740741E-2</v>
      </c>
      <c r="F13286">
        <v>99.166666666666671</v>
      </c>
    </row>
    <row r="13287" spans="1:6" x14ac:dyDescent="0.25">
      <c r="A13287" s="1">
        <v>43160</v>
      </c>
      <c r="B13287" t="s">
        <v>13</v>
      </c>
      <c r="C13287" t="s">
        <v>8</v>
      </c>
      <c r="D13287">
        <v>30</v>
      </c>
      <c r="E13287" s="2">
        <v>4.0254629629629626E-2</v>
      </c>
      <c r="F13287">
        <v>57.966666666666669</v>
      </c>
    </row>
    <row r="13288" spans="1:6" x14ac:dyDescent="0.25">
      <c r="A13288" s="1">
        <v>43160</v>
      </c>
      <c r="B13288" t="s">
        <v>13</v>
      </c>
      <c r="C13288" t="s">
        <v>9</v>
      </c>
      <c r="D13288">
        <v>6</v>
      </c>
      <c r="E13288" s="2">
        <v>3.5185185185185185E-3</v>
      </c>
      <c r="F13288">
        <v>5.0666666666666664</v>
      </c>
    </row>
    <row r="13289" spans="1:6" x14ac:dyDescent="0.25">
      <c r="A13289" s="1">
        <v>43160</v>
      </c>
      <c r="B13289" t="s">
        <v>13</v>
      </c>
      <c r="C13289" t="s">
        <v>10</v>
      </c>
      <c r="D13289">
        <v>9</v>
      </c>
      <c r="E13289" s="2">
        <v>1.474537037037037E-2</v>
      </c>
      <c r="F13289">
        <v>21.233333333333334</v>
      </c>
    </row>
    <row r="13290" spans="1:6" x14ac:dyDescent="0.25">
      <c r="A13290" s="1">
        <v>43160</v>
      </c>
      <c r="B13290" t="s">
        <v>13</v>
      </c>
      <c r="C13290" t="s">
        <v>11</v>
      </c>
      <c r="D13290">
        <v>22</v>
      </c>
      <c r="E13290" s="2">
        <v>2.3807870370370372E-2</v>
      </c>
      <c r="F13290">
        <v>34.283333333333331</v>
      </c>
    </row>
    <row r="13291" spans="1:6" x14ac:dyDescent="0.25">
      <c r="A13291" s="1">
        <v>43160</v>
      </c>
      <c r="B13291" t="s">
        <v>14</v>
      </c>
      <c r="C13291" t="s">
        <v>6</v>
      </c>
      <c r="D13291">
        <v>12</v>
      </c>
      <c r="E13291" s="2">
        <v>1.9571759259259261E-2</v>
      </c>
      <c r="F13291">
        <v>28.183333333333334</v>
      </c>
    </row>
    <row r="13292" spans="1:6" x14ac:dyDescent="0.25">
      <c r="A13292" s="1">
        <v>43160</v>
      </c>
      <c r="B13292" t="s">
        <v>14</v>
      </c>
      <c r="C13292" t="s">
        <v>7</v>
      </c>
      <c r="D13292">
        <v>9</v>
      </c>
      <c r="E13292" s="2">
        <v>1.511574074074074E-2</v>
      </c>
      <c r="F13292">
        <v>21.766666666666666</v>
      </c>
    </row>
    <row r="13293" spans="1:6" x14ac:dyDescent="0.25">
      <c r="A13293" s="1">
        <v>43160</v>
      </c>
      <c r="B13293" t="s">
        <v>14</v>
      </c>
      <c r="C13293" t="s">
        <v>8</v>
      </c>
      <c r="D13293">
        <v>9</v>
      </c>
      <c r="E13293" s="2">
        <v>1.4016203703703704E-2</v>
      </c>
      <c r="F13293">
        <v>20.183333333333334</v>
      </c>
    </row>
    <row r="13294" spans="1:6" x14ac:dyDescent="0.25">
      <c r="A13294" s="1">
        <v>43160</v>
      </c>
      <c r="B13294" t="s">
        <v>14</v>
      </c>
      <c r="C13294" t="s">
        <v>9</v>
      </c>
      <c r="D13294">
        <v>5</v>
      </c>
      <c r="E13294" s="2">
        <v>4.340277777777778E-3</v>
      </c>
      <c r="F13294">
        <v>6.25</v>
      </c>
    </row>
    <row r="13295" spans="1:6" x14ac:dyDescent="0.25">
      <c r="A13295" s="1">
        <v>43160</v>
      </c>
      <c r="B13295" t="s">
        <v>14</v>
      </c>
      <c r="C13295" t="s">
        <v>10</v>
      </c>
      <c r="D13295">
        <v>0</v>
      </c>
      <c r="E13295" s="2">
        <v>0</v>
      </c>
      <c r="F13295">
        <v>0</v>
      </c>
    </row>
    <row r="13296" spans="1:6" x14ac:dyDescent="0.25">
      <c r="A13296" s="1">
        <v>43160</v>
      </c>
      <c r="B13296" t="s">
        <v>14</v>
      </c>
      <c r="C13296" t="s">
        <v>11</v>
      </c>
      <c r="D13296">
        <v>12</v>
      </c>
      <c r="E13296" s="2">
        <v>1.2152777777777778E-2</v>
      </c>
      <c r="F13296">
        <v>17.5</v>
      </c>
    </row>
    <row r="13297" spans="1:6" x14ac:dyDescent="0.25">
      <c r="A13297" s="1">
        <v>43160</v>
      </c>
      <c r="B13297" t="s">
        <v>15</v>
      </c>
      <c r="C13297" t="s">
        <v>6</v>
      </c>
      <c r="D13297">
        <v>25</v>
      </c>
      <c r="E13297" s="2">
        <v>3.7256944444444447E-2</v>
      </c>
      <c r="F13297">
        <v>53.65</v>
      </c>
    </row>
    <row r="13298" spans="1:6" x14ac:dyDescent="0.25">
      <c r="A13298" s="1">
        <v>43160</v>
      </c>
      <c r="B13298" t="s">
        <v>15</v>
      </c>
      <c r="C13298" t="s">
        <v>7</v>
      </c>
      <c r="D13298">
        <v>20</v>
      </c>
      <c r="E13298" s="2">
        <v>3.5185185185185187E-2</v>
      </c>
      <c r="F13298">
        <v>50.666666666666664</v>
      </c>
    </row>
    <row r="13299" spans="1:6" x14ac:dyDescent="0.25">
      <c r="A13299" s="1">
        <v>43160</v>
      </c>
      <c r="B13299" t="s">
        <v>15</v>
      </c>
      <c r="C13299" t="s">
        <v>8</v>
      </c>
      <c r="D13299">
        <v>21</v>
      </c>
      <c r="E13299" s="2">
        <v>2.8854166666666667E-2</v>
      </c>
      <c r="F13299">
        <v>41.55</v>
      </c>
    </row>
    <row r="13300" spans="1:6" x14ac:dyDescent="0.25">
      <c r="A13300" s="1">
        <v>43160</v>
      </c>
      <c r="B13300" t="s">
        <v>15</v>
      </c>
      <c r="C13300" t="s">
        <v>9</v>
      </c>
      <c r="D13300">
        <v>4</v>
      </c>
      <c r="E13300" s="2">
        <v>2.1759259259259258E-3</v>
      </c>
      <c r="F13300">
        <v>3.1333333333333333</v>
      </c>
    </row>
    <row r="13301" spans="1:6" x14ac:dyDescent="0.25">
      <c r="A13301" s="1">
        <v>43160</v>
      </c>
      <c r="B13301" t="s">
        <v>15</v>
      </c>
      <c r="C13301" t="s">
        <v>10</v>
      </c>
      <c r="D13301">
        <v>9</v>
      </c>
      <c r="E13301" s="2">
        <v>1.1134259259259259E-2</v>
      </c>
      <c r="F13301">
        <v>16.033333333333335</v>
      </c>
    </row>
    <row r="13302" spans="1:6" x14ac:dyDescent="0.25">
      <c r="A13302" s="1">
        <v>43160</v>
      </c>
      <c r="B13302" t="s">
        <v>15</v>
      </c>
      <c r="C13302" t="s">
        <v>11</v>
      </c>
      <c r="D13302">
        <v>5</v>
      </c>
      <c r="E13302" s="2">
        <v>5.324074074074074E-3</v>
      </c>
      <c r="F13302">
        <v>7.666666666666667</v>
      </c>
    </row>
    <row r="13303" spans="1:6" x14ac:dyDescent="0.25">
      <c r="A13303" s="1">
        <v>43160</v>
      </c>
      <c r="B13303" t="s">
        <v>16</v>
      </c>
      <c r="C13303" t="s">
        <v>6</v>
      </c>
      <c r="D13303">
        <v>21</v>
      </c>
      <c r="E13303" s="2">
        <v>2.5474537037037039E-2</v>
      </c>
      <c r="F13303">
        <v>36.68333333333333</v>
      </c>
    </row>
    <row r="13304" spans="1:6" x14ac:dyDescent="0.25">
      <c r="A13304" s="1">
        <v>43160</v>
      </c>
      <c r="B13304" t="s">
        <v>16</v>
      </c>
      <c r="C13304" t="s">
        <v>7</v>
      </c>
      <c r="D13304">
        <v>18</v>
      </c>
      <c r="E13304" s="2">
        <v>1.6620370370370369E-2</v>
      </c>
      <c r="F13304">
        <v>23.933333333333334</v>
      </c>
    </row>
    <row r="13305" spans="1:6" x14ac:dyDescent="0.25">
      <c r="A13305" s="1">
        <v>43160</v>
      </c>
      <c r="B13305" t="s">
        <v>16</v>
      </c>
      <c r="C13305" t="s">
        <v>8</v>
      </c>
      <c r="D13305">
        <v>17</v>
      </c>
      <c r="E13305" s="2">
        <v>1.4189814814814815E-2</v>
      </c>
      <c r="F13305">
        <v>20.433333333333334</v>
      </c>
    </row>
    <row r="13306" spans="1:6" x14ac:dyDescent="0.25">
      <c r="A13306" s="1">
        <v>43160</v>
      </c>
      <c r="B13306" t="s">
        <v>16</v>
      </c>
      <c r="C13306" t="s">
        <v>9</v>
      </c>
      <c r="D13306">
        <v>8</v>
      </c>
      <c r="E13306" s="2">
        <v>6.3078703703703708E-3</v>
      </c>
      <c r="F13306">
        <v>9.0833333333333339</v>
      </c>
    </row>
    <row r="13307" spans="1:6" x14ac:dyDescent="0.25">
      <c r="A13307" s="1">
        <v>43160</v>
      </c>
      <c r="B13307" t="s">
        <v>16</v>
      </c>
      <c r="C13307" t="s">
        <v>10</v>
      </c>
      <c r="D13307">
        <v>7</v>
      </c>
      <c r="E13307" s="2">
        <v>7.9745370370370369E-3</v>
      </c>
      <c r="F13307">
        <v>11.483333333333333</v>
      </c>
    </row>
    <row r="13308" spans="1:6" x14ac:dyDescent="0.25">
      <c r="A13308" s="1">
        <v>43160</v>
      </c>
      <c r="B13308" t="s">
        <v>16</v>
      </c>
      <c r="C13308" t="s">
        <v>11</v>
      </c>
      <c r="D13308">
        <v>28</v>
      </c>
      <c r="E13308" s="2">
        <v>2.2534722222222223E-2</v>
      </c>
      <c r="F13308">
        <v>32.450000000000003</v>
      </c>
    </row>
    <row r="13309" spans="1:6" x14ac:dyDescent="0.25">
      <c r="A13309" s="1">
        <v>43160</v>
      </c>
      <c r="B13309" t="s">
        <v>17</v>
      </c>
      <c r="C13309" t="s">
        <v>6</v>
      </c>
      <c r="D13309">
        <v>9</v>
      </c>
      <c r="E13309" s="2">
        <v>1.3078703703703703E-2</v>
      </c>
      <c r="F13309">
        <v>18.833333333333332</v>
      </c>
    </row>
    <row r="13310" spans="1:6" x14ac:dyDescent="0.25">
      <c r="A13310" s="1">
        <v>43160</v>
      </c>
      <c r="B13310" t="s">
        <v>17</v>
      </c>
      <c r="C13310" t="s">
        <v>7</v>
      </c>
      <c r="D13310">
        <v>5</v>
      </c>
      <c r="E13310" s="2">
        <v>6.9444444444444441E-3</v>
      </c>
      <c r="F13310">
        <v>10</v>
      </c>
    </row>
    <row r="13311" spans="1:6" x14ac:dyDescent="0.25">
      <c r="A13311" s="1">
        <v>43160</v>
      </c>
      <c r="B13311" t="s">
        <v>17</v>
      </c>
      <c r="C13311" t="s">
        <v>8</v>
      </c>
      <c r="D13311">
        <v>4</v>
      </c>
      <c r="E13311" s="2">
        <v>6.7361111111111111E-3</v>
      </c>
      <c r="F13311">
        <v>9.6999999999999993</v>
      </c>
    </row>
    <row r="13312" spans="1:6" x14ac:dyDescent="0.25">
      <c r="A13312" s="1">
        <v>43160</v>
      </c>
      <c r="B13312" t="s">
        <v>17</v>
      </c>
      <c r="C13312" t="s">
        <v>9</v>
      </c>
      <c r="D13312">
        <v>3</v>
      </c>
      <c r="E13312" s="2">
        <v>1.9907407407407408E-3</v>
      </c>
      <c r="F13312">
        <v>2.8666666666666667</v>
      </c>
    </row>
    <row r="13313" spans="1:6" x14ac:dyDescent="0.25">
      <c r="A13313" s="1">
        <v>43160</v>
      </c>
      <c r="B13313" t="s">
        <v>17</v>
      </c>
      <c r="C13313" t="s">
        <v>10</v>
      </c>
      <c r="D13313">
        <v>4</v>
      </c>
      <c r="E13313" s="2">
        <v>3.0902777777777777E-3</v>
      </c>
      <c r="F13313">
        <v>4.45</v>
      </c>
    </row>
    <row r="13314" spans="1:6" x14ac:dyDescent="0.25">
      <c r="A13314" s="1">
        <v>43160</v>
      </c>
      <c r="B13314" t="s">
        <v>17</v>
      </c>
      <c r="C13314" t="s">
        <v>11</v>
      </c>
      <c r="D13314">
        <v>10</v>
      </c>
      <c r="E13314" s="2">
        <v>1.1759259259259259E-2</v>
      </c>
      <c r="F13314">
        <v>16.933333333333334</v>
      </c>
    </row>
    <row r="13315" spans="1:6" x14ac:dyDescent="0.25">
      <c r="A13315" s="1">
        <v>43160</v>
      </c>
      <c r="B13315" t="s">
        <v>18</v>
      </c>
      <c r="C13315" t="s">
        <v>6</v>
      </c>
      <c r="D13315">
        <v>62</v>
      </c>
      <c r="E13315" s="2">
        <v>7.2488425925925928E-2</v>
      </c>
      <c r="F13315">
        <v>104.38333333333334</v>
      </c>
    </row>
    <row r="13316" spans="1:6" x14ac:dyDescent="0.25">
      <c r="A13316" s="1">
        <v>43160</v>
      </c>
      <c r="B13316" t="s">
        <v>18</v>
      </c>
      <c r="C13316" t="s">
        <v>7</v>
      </c>
      <c r="D13316">
        <v>98</v>
      </c>
      <c r="E13316" s="2">
        <v>0.10030092592592593</v>
      </c>
      <c r="F13316">
        <v>144.43333333333334</v>
      </c>
    </row>
    <row r="13317" spans="1:6" x14ac:dyDescent="0.25">
      <c r="A13317" s="1">
        <v>43160</v>
      </c>
      <c r="B13317" t="s">
        <v>18</v>
      </c>
      <c r="C13317" t="s">
        <v>8</v>
      </c>
      <c r="D13317">
        <v>51</v>
      </c>
      <c r="E13317" s="2">
        <v>4.6435185185185184E-2</v>
      </c>
      <c r="F13317">
        <v>66.86666666666666</v>
      </c>
    </row>
    <row r="13318" spans="1:6" x14ac:dyDescent="0.25">
      <c r="A13318" s="1">
        <v>43160</v>
      </c>
      <c r="B13318" t="s">
        <v>18</v>
      </c>
      <c r="C13318" t="s">
        <v>9</v>
      </c>
      <c r="D13318">
        <v>23</v>
      </c>
      <c r="E13318" s="2">
        <v>1.5266203703703704E-2</v>
      </c>
      <c r="F13318">
        <v>21.983333333333334</v>
      </c>
    </row>
    <row r="13319" spans="1:6" x14ac:dyDescent="0.25">
      <c r="A13319" s="1">
        <v>43160</v>
      </c>
      <c r="B13319" t="s">
        <v>18</v>
      </c>
      <c r="C13319" t="s">
        <v>10</v>
      </c>
      <c r="D13319">
        <v>134</v>
      </c>
      <c r="E13319" s="2">
        <v>0.17650462962962962</v>
      </c>
      <c r="F13319">
        <v>254.16666666666666</v>
      </c>
    </row>
    <row r="13320" spans="1:6" x14ac:dyDescent="0.25">
      <c r="A13320" s="1">
        <v>43160</v>
      </c>
      <c r="B13320" t="s">
        <v>18</v>
      </c>
      <c r="C13320" t="s">
        <v>11</v>
      </c>
      <c r="D13320">
        <v>61</v>
      </c>
      <c r="E13320" s="2">
        <v>4.1238425925925928E-2</v>
      </c>
      <c r="F13320">
        <v>59.383333333333333</v>
      </c>
    </row>
    <row r="13321" spans="1:6" x14ac:dyDescent="0.25">
      <c r="A13321" s="1">
        <v>43160</v>
      </c>
      <c r="B13321" t="s">
        <v>19</v>
      </c>
      <c r="C13321" t="s">
        <v>6</v>
      </c>
      <c r="D13321">
        <v>37</v>
      </c>
      <c r="E13321" s="2">
        <v>6.4050925925925928E-2</v>
      </c>
      <c r="F13321">
        <v>92.233333333333334</v>
      </c>
    </row>
    <row r="13322" spans="1:6" x14ac:dyDescent="0.25">
      <c r="A13322" s="1">
        <v>43160</v>
      </c>
      <c r="B13322" t="s">
        <v>19</v>
      </c>
      <c r="C13322" t="s">
        <v>7</v>
      </c>
      <c r="D13322">
        <v>27</v>
      </c>
      <c r="E13322" s="2">
        <v>3.2118055555555552E-2</v>
      </c>
      <c r="F13322">
        <v>46.25</v>
      </c>
    </row>
    <row r="13323" spans="1:6" x14ac:dyDescent="0.25">
      <c r="A13323" s="1">
        <v>43160</v>
      </c>
      <c r="B13323" t="s">
        <v>19</v>
      </c>
      <c r="C13323" t="s">
        <v>8</v>
      </c>
      <c r="D13323">
        <v>34</v>
      </c>
      <c r="E13323" s="2">
        <v>3.7083333333333336E-2</v>
      </c>
      <c r="F13323">
        <v>53.4</v>
      </c>
    </row>
    <row r="13324" spans="1:6" x14ac:dyDescent="0.25">
      <c r="A13324" s="1">
        <v>43160</v>
      </c>
      <c r="B13324" t="s">
        <v>19</v>
      </c>
      <c r="C13324" t="s">
        <v>9</v>
      </c>
      <c r="D13324">
        <v>6</v>
      </c>
      <c r="E13324" s="2">
        <v>4.2361111111111115E-3</v>
      </c>
      <c r="F13324">
        <v>6.1</v>
      </c>
    </row>
    <row r="13325" spans="1:6" x14ac:dyDescent="0.25">
      <c r="A13325" s="1">
        <v>43160</v>
      </c>
      <c r="B13325" t="s">
        <v>19</v>
      </c>
      <c r="C13325" t="s">
        <v>10</v>
      </c>
      <c r="D13325">
        <v>6</v>
      </c>
      <c r="E13325" s="2">
        <v>1.0034722222222223E-2</v>
      </c>
      <c r="F13325">
        <v>14.45</v>
      </c>
    </row>
    <row r="13326" spans="1:6" x14ac:dyDescent="0.25">
      <c r="A13326" s="1">
        <v>43160</v>
      </c>
      <c r="B13326" t="s">
        <v>19</v>
      </c>
      <c r="C13326" t="s">
        <v>11</v>
      </c>
      <c r="D13326">
        <v>38</v>
      </c>
      <c r="E13326" s="2">
        <v>3.0393518518518518E-2</v>
      </c>
      <c r="F13326">
        <v>43.766666666666666</v>
      </c>
    </row>
    <row r="13327" spans="1:6" x14ac:dyDescent="0.25">
      <c r="A13327" s="1">
        <v>43160</v>
      </c>
      <c r="B13327" t="s">
        <v>20</v>
      </c>
      <c r="C13327" t="s">
        <v>6</v>
      </c>
      <c r="D13327">
        <v>73</v>
      </c>
      <c r="E13327" s="2">
        <v>8.7581018518518516E-2</v>
      </c>
      <c r="F13327">
        <v>126.11666666666666</v>
      </c>
    </row>
    <row r="13328" spans="1:6" x14ac:dyDescent="0.25">
      <c r="A13328" s="1">
        <v>43160</v>
      </c>
      <c r="B13328" t="s">
        <v>20</v>
      </c>
      <c r="C13328" t="s">
        <v>7</v>
      </c>
      <c r="D13328">
        <v>75</v>
      </c>
      <c r="E13328" s="2">
        <v>9.3090277777777772E-2</v>
      </c>
      <c r="F13328">
        <v>134.05000000000001</v>
      </c>
    </row>
    <row r="13329" spans="1:6" x14ac:dyDescent="0.25">
      <c r="A13329" s="1">
        <v>43160</v>
      </c>
      <c r="B13329" t="s">
        <v>20</v>
      </c>
      <c r="C13329" t="s">
        <v>8</v>
      </c>
      <c r="D13329">
        <v>58</v>
      </c>
      <c r="E13329" s="2">
        <v>6.356481481481481E-2</v>
      </c>
      <c r="F13329">
        <v>91.533333333333331</v>
      </c>
    </row>
    <row r="13330" spans="1:6" x14ac:dyDescent="0.25">
      <c r="A13330" s="1">
        <v>43160</v>
      </c>
      <c r="B13330" t="s">
        <v>20</v>
      </c>
      <c r="C13330" t="s">
        <v>9</v>
      </c>
      <c r="D13330">
        <v>13</v>
      </c>
      <c r="E13330" s="2">
        <v>9.5138888888888894E-3</v>
      </c>
      <c r="F13330">
        <v>13.7</v>
      </c>
    </row>
    <row r="13331" spans="1:6" x14ac:dyDescent="0.25">
      <c r="A13331" s="1">
        <v>43160</v>
      </c>
      <c r="B13331" t="s">
        <v>20</v>
      </c>
      <c r="C13331" t="s">
        <v>10</v>
      </c>
      <c r="D13331">
        <v>13</v>
      </c>
      <c r="E13331" s="2">
        <v>1.5810185185185184E-2</v>
      </c>
      <c r="F13331">
        <v>22.766666666666666</v>
      </c>
    </row>
    <row r="13332" spans="1:6" x14ac:dyDescent="0.25">
      <c r="A13332" s="1">
        <v>43160</v>
      </c>
      <c r="B13332" t="s">
        <v>20</v>
      </c>
      <c r="C13332" t="s">
        <v>11</v>
      </c>
      <c r="D13332">
        <v>58</v>
      </c>
      <c r="E13332" s="2">
        <v>5.4895833333333331E-2</v>
      </c>
      <c r="F13332">
        <v>79.05</v>
      </c>
    </row>
    <row r="13333" spans="1:6" x14ac:dyDescent="0.25">
      <c r="A13333" s="1">
        <v>43160</v>
      </c>
      <c r="B13333" t="s">
        <v>21</v>
      </c>
      <c r="C13333" t="s">
        <v>6</v>
      </c>
      <c r="D13333">
        <v>13</v>
      </c>
      <c r="E13333" s="2">
        <v>2.1631944444444443E-2</v>
      </c>
      <c r="F13333">
        <v>31.15</v>
      </c>
    </row>
    <row r="13334" spans="1:6" x14ac:dyDescent="0.25">
      <c r="A13334" s="1">
        <v>43160</v>
      </c>
      <c r="B13334" t="s">
        <v>21</v>
      </c>
      <c r="C13334" t="s">
        <v>7</v>
      </c>
      <c r="D13334">
        <v>18</v>
      </c>
      <c r="E13334" s="2">
        <v>3.3993055555555554E-2</v>
      </c>
      <c r="F13334">
        <v>48.95</v>
      </c>
    </row>
    <row r="13335" spans="1:6" x14ac:dyDescent="0.25">
      <c r="A13335" s="1">
        <v>43160</v>
      </c>
      <c r="B13335" t="s">
        <v>21</v>
      </c>
      <c r="C13335" t="s">
        <v>8</v>
      </c>
      <c r="D13335">
        <v>8</v>
      </c>
      <c r="E13335" s="2">
        <v>1.0613425925925925E-2</v>
      </c>
      <c r="F13335">
        <v>15.283333333333333</v>
      </c>
    </row>
    <row r="13336" spans="1:6" x14ac:dyDescent="0.25">
      <c r="A13336" s="1">
        <v>43160</v>
      </c>
      <c r="B13336" t="s">
        <v>21</v>
      </c>
      <c r="C13336" t="s">
        <v>9</v>
      </c>
      <c r="D13336">
        <v>2</v>
      </c>
      <c r="E13336" s="2">
        <v>1.2152777777777778E-3</v>
      </c>
      <c r="F13336">
        <v>1.75</v>
      </c>
    </row>
    <row r="13337" spans="1:6" x14ac:dyDescent="0.25">
      <c r="A13337" s="1">
        <v>43160</v>
      </c>
      <c r="B13337" t="s">
        <v>21</v>
      </c>
      <c r="C13337" t="s">
        <v>10</v>
      </c>
      <c r="D13337">
        <v>2</v>
      </c>
      <c r="E13337" s="2">
        <v>3.8888888888888888E-3</v>
      </c>
      <c r="F13337">
        <v>5.6</v>
      </c>
    </row>
    <row r="13338" spans="1:6" x14ac:dyDescent="0.25">
      <c r="A13338" s="1">
        <v>43160</v>
      </c>
      <c r="B13338" t="s">
        <v>21</v>
      </c>
      <c r="C13338" t="s">
        <v>11</v>
      </c>
      <c r="D13338">
        <v>17</v>
      </c>
      <c r="E13338" s="2">
        <v>1.9918981481481482E-2</v>
      </c>
      <c r="F13338">
        <v>28.683333333333334</v>
      </c>
    </row>
    <row r="13339" spans="1:6" x14ac:dyDescent="0.25">
      <c r="A13339" s="1">
        <v>43160</v>
      </c>
      <c r="B13339" t="s">
        <v>22</v>
      </c>
      <c r="C13339" t="s">
        <v>6</v>
      </c>
      <c r="D13339">
        <v>20</v>
      </c>
      <c r="E13339" s="2">
        <v>3.4918981481481481E-2</v>
      </c>
      <c r="F13339">
        <v>50.283333333333331</v>
      </c>
    </row>
    <row r="13340" spans="1:6" x14ac:dyDescent="0.25">
      <c r="A13340" s="1">
        <v>43160</v>
      </c>
      <c r="B13340" t="s">
        <v>22</v>
      </c>
      <c r="C13340" t="s">
        <v>7</v>
      </c>
      <c r="D13340">
        <v>10</v>
      </c>
      <c r="E13340" s="2">
        <v>1.6134259259259258E-2</v>
      </c>
      <c r="F13340">
        <v>23.233333333333334</v>
      </c>
    </row>
    <row r="13341" spans="1:6" x14ac:dyDescent="0.25">
      <c r="A13341" s="1">
        <v>43160</v>
      </c>
      <c r="B13341" t="s">
        <v>22</v>
      </c>
      <c r="C13341" t="s">
        <v>8</v>
      </c>
      <c r="D13341">
        <v>3</v>
      </c>
      <c r="E13341" s="2">
        <v>4.2824074074074075E-3</v>
      </c>
      <c r="F13341">
        <v>6.166666666666667</v>
      </c>
    </row>
    <row r="13342" spans="1:6" x14ac:dyDescent="0.25">
      <c r="A13342" s="1">
        <v>43160</v>
      </c>
      <c r="B13342" t="s">
        <v>22</v>
      </c>
      <c r="C13342" t="s">
        <v>9</v>
      </c>
      <c r="D13342">
        <v>4</v>
      </c>
      <c r="E13342" s="2">
        <v>2.1990740740740742E-3</v>
      </c>
      <c r="F13342">
        <v>3.1666666666666665</v>
      </c>
    </row>
    <row r="13343" spans="1:6" x14ac:dyDescent="0.25">
      <c r="A13343" s="1">
        <v>43160</v>
      </c>
      <c r="B13343" t="s">
        <v>22</v>
      </c>
      <c r="C13343" t="s">
        <v>10</v>
      </c>
      <c r="D13343">
        <v>11</v>
      </c>
      <c r="E13343" s="2">
        <v>6.3194444444444444E-3</v>
      </c>
      <c r="F13343">
        <v>9.1</v>
      </c>
    </row>
    <row r="13344" spans="1:6" x14ac:dyDescent="0.25">
      <c r="A13344" s="1">
        <v>43160</v>
      </c>
      <c r="B13344" t="s">
        <v>22</v>
      </c>
      <c r="C13344" t="s">
        <v>11</v>
      </c>
      <c r="D13344">
        <v>12</v>
      </c>
      <c r="E13344" s="2">
        <v>1.2719907407407407E-2</v>
      </c>
      <c r="F13344">
        <v>18.316666666666666</v>
      </c>
    </row>
    <row r="13345" spans="1:6" x14ac:dyDescent="0.25">
      <c r="A13345" s="1">
        <v>43160</v>
      </c>
      <c r="B13345" t="s">
        <v>23</v>
      </c>
      <c r="C13345" t="s">
        <v>6</v>
      </c>
      <c r="D13345">
        <v>93</v>
      </c>
      <c r="E13345" s="2">
        <v>0.12785879629629629</v>
      </c>
      <c r="F13345">
        <v>184.11666666666667</v>
      </c>
    </row>
    <row r="13346" spans="1:6" x14ac:dyDescent="0.25">
      <c r="A13346" s="1">
        <v>43160</v>
      </c>
      <c r="B13346" t="s">
        <v>23</v>
      </c>
      <c r="C13346" t="s">
        <v>7</v>
      </c>
      <c r="D13346">
        <v>113</v>
      </c>
      <c r="E13346" s="2">
        <v>0.16336805555555556</v>
      </c>
      <c r="F13346">
        <v>235.25</v>
      </c>
    </row>
    <row r="13347" spans="1:6" x14ac:dyDescent="0.25">
      <c r="A13347" s="1">
        <v>43160</v>
      </c>
      <c r="B13347" t="s">
        <v>23</v>
      </c>
      <c r="C13347" t="s">
        <v>8</v>
      </c>
      <c r="D13347">
        <v>85</v>
      </c>
      <c r="E13347" s="2">
        <v>9.9675925925925932E-2</v>
      </c>
      <c r="F13347">
        <v>143.53333333333333</v>
      </c>
    </row>
    <row r="13348" spans="1:6" x14ac:dyDescent="0.25">
      <c r="A13348" s="1">
        <v>43160</v>
      </c>
      <c r="B13348" t="s">
        <v>23</v>
      </c>
      <c r="C13348" t="s">
        <v>9</v>
      </c>
      <c r="D13348">
        <v>25</v>
      </c>
      <c r="E13348" s="2">
        <v>1.9097222222222224E-2</v>
      </c>
      <c r="F13348">
        <v>27.5</v>
      </c>
    </row>
    <row r="13349" spans="1:6" x14ac:dyDescent="0.25">
      <c r="A13349" s="1">
        <v>43160</v>
      </c>
      <c r="B13349" t="s">
        <v>23</v>
      </c>
      <c r="C13349" t="s">
        <v>10</v>
      </c>
      <c r="D13349">
        <v>26</v>
      </c>
      <c r="E13349" s="2">
        <v>4.6180555555555558E-2</v>
      </c>
      <c r="F13349">
        <v>66.5</v>
      </c>
    </row>
    <row r="13350" spans="1:6" x14ac:dyDescent="0.25">
      <c r="A13350" s="1">
        <v>43160</v>
      </c>
      <c r="B13350" t="s">
        <v>23</v>
      </c>
      <c r="C13350" t="s">
        <v>11</v>
      </c>
      <c r="D13350">
        <v>96</v>
      </c>
      <c r="E13350" s="2">
        <v>9.1562500000000005E-2</v>
      </c>
      <c r="F13350">
        <v>131.85</v>
      </c>
    </row>
    <row r="13351" spans="1:6" x14ac:dyDescent="0.25">
      <c r="A13351" s="1">
        <v>43160</v>
      </c>
      <c r="B13351" t="s">
        <v>24</v>
      </c>
      <c r="C13351" t="s">
        <v>6</v>
      </c>
      <c r="D13351">
        <v>23</v>
      </c>
      <c r="E13351" s="2">
        <v>3.1493055555555559E-2</v>
      </c>
      <c r="F13351">
        <v>45.35</v>
      </c>
    </row>
    <row r="13352" spans="1:6" x14ac:dyDescent="0.25">
      <c r="A13352" s="1">
        <v>43160</v>
      </c>
      <c r="B13352" t="s">
        <v>24</v>
      </c>
      <c r="C13352" t="s">
        <v>7</v>
      </c>
      <c r="D13352">
        <v>17</v>
      </c>
      <c r="E13352" s="2">
        <v>1.4085648148148147E-2</v>
      </c>
      <c r="F13352">
        <v>20.283333333333335</v>
      </c>
    </row>
    <row r="13353" spans="1:6" x14ac:dyDescent="0.25">
      <c r="A13353" s="1">
        <v>43160</v>
      </c>
      <c r="B13353" t="s">
        <v>24</v>
      </c>
      <c r="C13353" t="s">
        <v>8</v>
      </c>
      <c r="D13353">
        <v>13</v>
      </c>
      <c r="E13353" s="2">
        <v>1.1469907407407408E-2</v>
      </c>
      <c r="F13353">
        <v>16.516666666666666</v>
      </c>
    </row>
    <row r="13354" spans="1:6" x14ac:dyDescent="0.25">
      <c r="A13354" s="1">
        <v>43160</v>
      </c>
      <c r="B13354" t="s">
        <v>24</v>
      </c>
      <c r="C13354" t="s">
        <v>9</v>
      </c>
      <c r="D13354">
        <v>7</v>
      </c>
      <c r="E13354" s="2">
        <v>4.5717592592592589E-3</v>
      </c>
      <c r="F13354">
        <v>6.583333333333333</v>
      </c>
    </row>
    <row r="13355" spans="1:6" x14ac:dyDescent="0.25">
      <c r="A13355" s="1">
        <v>43160</v>
      </c>
      <c r="B13355" t="s">
        <v>24</v>
      </c>
      <c r="C13355" t="s">
        <v>10</v>
      </c>
      <c r="D13355">
        <v>0</v>
      </c>
      <c r="E13355" s="2">
        <v>0</v>
      </c>
      <c r="F13355">
        <v>0</v>
      </c>
    </row>
    <row r="13356" spans="1:6" x14ac:dyDescent="0.25">
      <c r="A13356" s="1">
        <v>43160</v>
      </c>
      <c r="B13356" t="s">
        <v>24</v>
      </c>
      <c r="C13356" t="s">
        <v>11</v>
      </c>
      <c r="D13356">
        <v>28</v>
      </c>
      <c r="E13356" s="2">
        <v>1.8773148148148146E-2</v>
      </c>
      <c r="F13356">
        <v>27.033333333333335</v>
      </c>
    </row>
    <row r="13357" spans="1:6" x14ac:dyDescent="0.25">
      <c r="A13357" s="1">
        <v>43191</v>
      </c>
      <c r="B13357" t="s">
        <v>5</v>
      </c>
      <c r="C13357" t="s">
        <v>6</v>
      </c>
      <c r="D13357">
        <v>14</v>
      </c>
      <c r="E13357" s="2">
        <v>1.4016203703703704E-2</v>
      </c>
      <c r="F13357">
        <v>20.183333333333334</v>
      </c>
    </row>
    <row r="13358" spans="1:6" x14ac:dyDescent="0.25">
      <c r="A13358" s="1">
        <v>43191</v>
      </c>
      <c r="B13358" t="s">
        <v>5</v>
      </c>
      <c r="C13358" t="s">
        <v>7</v>
      </c>
      <c r="D13358">
        <v>14</v>
      </c>
      <c r="E13358" s="2">
        <v>1.3055555555555556E-2</v>
      </c>
      <c r="F13358">
        <v>18.8</v>
      </c>
    </row>
    <row r="13359" spans="1:6" x14ac:dyDescent="0.25">
      <c r="A13359" s="1">
        <v>43191</v>
      </c>
      <c r="B13359" t="s">
        <v>5</v>
      </c>
      <c r="C13359" t="s">
        <v>8</v>
      </c>
      <c r="D13359">
        <v>14</v>
      </c>
      <c r="E13359" s="2">
        <v>1.1006944444444444E-2</v>
      </c>
      <c r="F13359">
        <v>15.85</v>
      </c>
    </row>
    <row r="13360" spans="1:6" x14ac:dyDescent="0.25">
      <c r="A13360" s="1">
        <v>43191</v>
      </c>
      <c r="B13360" t="s">
        <v>5</v>
      </c>
      <c r="C13360" t="s">
        <v>9</v>
      </c>
      <c r="D13360">
        <v>2</v>
      </c>
      <c r="E13360" s="2">
        <v>1.238425925925926E-3</v>
      </c>
      <c r="F13360">
        <v>1.7833333333333332</v>
      </c>
    </row>
    <row r="13361" spans="1:6" x14ac:dyDescent="0.25">
      <c r="A13361" s="1">
        <v>43191</v>
      </c>
      <c r="B13361" t="s">
        <v>5</v>
      </c>
      <c r="C13361" t="s">
        <v>10</v>
      </c>
      <c r="D13361">
        <v>1</v>
      </c>
      <c r="E13361" s="2">
        <v>2.3148148148148149E-4</v>
      </c>
      <c r="F13361">
        <v>0.33333333333333331</v>
      </c>
    </row>
    <row r="13362" spans="1:6" x14ac:dyDescent="0.25">
      <c r="A13362" s="1">
        <v>43191</v>
      </c>
      <c r="B13362" t="s">
        <v>5</v>
      </c>
      <c r="C13362" t="s">
        <v>11</v>
      </c>
      <c r="D13362">
        <v>12</v>
      </c>
      <c r="E13362" s="2">
        <v>8.9583333333333338E-3</v>
      </c>
      <c r="F13362">
        <v>12.9</v>
      </c>
    </row>
    <row r="13363" spans="1:6" x14ac:dyDescent="0.25">
      <c r="A13363" s="1">
        <v>43191</v>
      </c>
      <c r="B13363" t="s">
        <v>12</v>
      </c>
      <c r="C13363" t="s">
        <v>6</v>
      </c>
      <c r="D13363">
        <v>17</v>
      </c>
      <c r="E13363" s="2">
        <v>3.5520833333333335E-2</v>
      </c>
      <c r="F13363">
        <v>51.15</v>
      </c>
    </row>
    <row r="13364" spans="1:6" x14ac:dyDescent="0.25">
      <c r="A13364" s="1">
        <v>43191</v>
      </c>
      <c r="B13364" t="s">
        <v>12</v>
      </c>
      <c r="C13364" t="s">
        <v>7</v>
      </c>
      <c r="D13364">
        <v>18</v>
      </c>
      <c r="E13364" s="2">
        <v>3.111111111111111E-2</v>
      </c>
      <c r="F13364">
        <v>44.8</v>
      </c>
    </row>
    <row r="13365" spans="1:6" x14ac:dyDescent="0.25">
      <c r="A13365" s="1">
        <v>43191</v>
      </c>
      <c r="B13365" t="s">
        <v>12</v>
      </c>
      <c r="C13365" t="s">
        <v>8</v>
      </c>
      <c r="D13365">
        <v>18</v>
      </c>
      <c r="E13365" s="2">
        <v>3.0231481481481481E-2</v>
      </c>
      <c r="F13365">
        <v>43.533333333333331</v>
      </c>
    </row>
    <row r="13366" spans="1:6" x14ac:dyDescent="0.25">
      <c r="A13366" s="1">
        <v>43191</v>
      </c>
      <c r="B13366" t="s">
        <v>12</v>
      </c>
      <c r="C13366" t="s">
        <v>9</v>
      </c>
      <c r="D13366">
        <v>4</v>
      </c>
      <c r="E13366" s="2">
        <v>2.5231481481481481E-3</v>
      </c>
      <c r="F13366">
        <v>3.6333333333333333</v>
      </c>
    </row>
    <row r="13367" spans="1:6" x14ac:dyDescent="0.25">
      <c r="A13367" s="1">
        <v>43191</v>
      </c>
      <c r="B13367" t="s">
        <v>12</v>
      </c>
      <c r="C13367" t="s">
        <v>10</v>
      </c>
      <c r="D13367">
        <v>25</v>
      </c>
      <c r="E13367" s="2">
        <v>4.0335648148148148E-2</v>
      </c>
      <c r="F13367">
        <v>58.083333333333336</v>
      </c>
    </row>
    <row r="13368" spans="1:6" x14ac:dyDescent="0.25">
      <c r="A13368" s="1">
        <v>43191</v>
      </c>
      <c r="B13368" t="s">
        <v>12</v>
      </c>
      <c r="C13368" t="s">
        <v>11</v>
      </c>
      <c r="D13368">
        <v>38</v>
      </c>
      <c r="E13368" s="2">
        <v>4.4918981481481483E-2</v>
      </c>
      <c r="F13368">
        <v>64.683333333333337</v>
      </c>
    </row>
    <row r="13369" spans="1:6" x14ac:dyDescent="0.25">
      <c r="A13369" s="1">
        <v>43191</v>
      </c>
      <c r="B13369" t="s">
        <v>13</v>
      </c>
      <c r="C13369" t="s">
        <v>6</v>
      </c>
      <c r="D13369">
        <v>47</v>
      </c>
      <c r="E13369" s="2">
        <v>7.5729166666666667E-2</v>
      </c>
      <c r="F13369">
        <v>109.05</v>
      </c>
    </row>
    <row r="13370" spans="1:6" x14ac:dyDescent="0.25">
      <c r="A13370" s="1">
        <v>43191</v>
      </c>
      <c r="B13370" t="s">
        <v>13</v>
      </c>
      <c r="C13370" t="s">
        <v>7</v>
      </c>
      <c r="D13370">
        <v>33</v>
      </c>
      <c r="E13370" s="2">
        <v>6.0312499999999998E-2</v>
      </c>
      <c r="F13370">
        <v>86.85</v>
      </c>
    </row>
    <row r="13371" spans="1:6" x14ac:dyDescent="0.25">
      <c r="A13371" s="1">
        <v>43191</v>
      </c>
      <c r="B13371" t="s">
        <v>13</v>
      </c>
      <c r="C13371" t="s">
        <v>8</v>
      </c>
      <c r="D13371">
        <v>27</v>
      </c>
      <c r="E13371" s="2">
        <v>4.1550925925925929E-2</v>
      </c>
      <c r="F13371">
        <v>59.833333333333336</v>
      </c>
    </row>
    <row r="13372" spans="1:6" x14ac:dyDescent="0.25">
      <c r="A13372" s="1">
        <v>43191</v>
      </c>
      <c r="B13372" t="s">
        <v>13</v>
      </c>
      <c r="C13372" t="s">
        <v>9</v>
      </c>
      <c r="D13372">
        <v>5</v>
      </c>
      <c r="E13372" s="2">
        <v>2.7893518518518519E-3</v>
      </c>
      <c r="F13372">
        <v>4.0166666666666666</v>
      </c>
    </row>
    <row r="13373" spans="1:6" x14ac:dyDescent="0.25">
      <c r="A13373" s="1">
        <v>43191</v>
      </c>
      <c r="B13373" t="s">
        <v>13</v>
      </c>
      <c r="C13373" t="s">
        <v>10</v>
      </c>
      <c r="D13373">
        <v>7</v>
      </c>
      <c r="E13373" s="2">
        <v>1.5520833333333333E-2</v>
      </c>
      <c r="F13373">
        <v>22.35</v>
      </c>
    </row>
    <row r="13374" spans="1:6" x14ac:dyDescent="0.25">
      <c r="A13374" s="1">
        <v>43191</v>
      </c>
      <c r="B13374" t="s">
        <v>13</v>
      </c>
      <c r="C13374" t="s">
        <v>11</v>
      </c>
      <c r="D13374">
        <v>29</v>
      </c>
      <c r="E13374" s="2">
        <v>3.2210648148148148E-2</v>
      </c>
      <c r="F13374">
        <v>46.383333333333333</v>
      </c>
    </row>
    <row r="13375" spans="1:6" x14ac:dyDescent="0.25">
      <c r="A13375" s="1">
        <v>43191</v>
      </c>
      <c r="B13375" t="s">
        <v>14</v>
      </c>
      <c r="C13375" t="s">
        <v>6</v>
      </c>
      <c r="D13375">
        <v>23</v>
      </c>
      <c r="E13375" s="2">
        <v>2.9328703703703704E-2</v>
      </c>
      <c r="F13375">
        <v>42.233333333333334</v>
      </c>
    </row>
    <row r="13376" spans="1:6" x14ac:dyDescent="0.25">
      <c r="A13376" s="1">
        <v>43191</v>
      </c>
      <c r="B13376" t="s">
        <v>14</v>
      </c>
      <c r="C13376" t="s">
        <v>7</v>
      </c>
      <c r="D13376">
        <v>17</v>
      </c>
      <c r="E13376" s="2">
        <v>2.193287037037037E-2</v>
      </c>
      <c r="F13376">
        <v>31.583333333333332</v>
      </c>
    </row>
    <row r="13377" spans="1:6" x14ac:dyDescent="0.25">
      <c r="A13377" s="1">
        <v>43191</v>
      </c>
      <c r="B13377" t="s">
        <v>14</v>
      </c>
      <c r="C13377" t="s">
        <v>8</v>
      </c>
      <c r="D13377">
        <v>11</v>
      </c>
      <c r="E13377" s="2">
        <v>9.8263888888888897E-3</v>
      </c>
      <c r="F13377">
        <v>14.15</v>
      </c>
    </row>
    <row r="13378" spans="1:6" x14ac:dyDescent="0.25">
      <c r="A13378" s="1">
        <v>43191</v>
      </c>
      <c r="B13378" t="s">
        <v>14</v>
      </c>
      <c r="C13378" t="s">
        <v>9</v>
      </c>
      <c r="D13378">
        <v>4</v>
      </c>
      <c r="E13378" s="2">
        <v>2.5578703703703705E-3</v>
      </c>
      <c r="F13378">
        <v>3.6833333333333336</v>
      </c>
    </row>
    <row r="13379" spans="1:6" x14ac:dyDescent="0.25">
      <c r="A13379" s="1">
        <v>43191</v>
      </c>
      <c r="B13379" t="s">
        <v>14</v>
      </c>
      <c r="C13379" t="s">
        <v>10</v>
      </c>
      <c r="D13379">
        <v>6</v>
      </c>
      <c r="E13379" s="2">
        <v>1.2488425925925925E-2</v>
      </c>
      <c r="F13379">
        <v>17.983333333333334</v>
      </c>
    </row>
    <row r="13380" spans="1:6" x14ac:dyDescent="0.25">
      <c r="A13380" s="1">
        <v>43191</v>
      </c>
      <c r="B13380" t="s">
        <v>14</v>
      </c>
      <c r="C13380" t="s">
        <v>11</v>
      </c>
      <c r="D13380">
        <v>18</v>
      </c>
      <c r="E13380" s="2">
        <v>1.8263888888888889E-2</v>
      </c>
      <c r="F13380">
        <v>26.3</v>
      </c>
    </row>
    <row r="13381" spans="1:6" x14ac:dyDescent="0.25">
      <c r="A13381" s="1">
        <v>43191</v>
      </c>
      <c r="B13381" t="s">
        <v>15</v>
      </c>
      <c r="C13381" t="s">
        <v>6</v>
      </c>
      <c r="D13381">
        <v>22</v>
      </c>
      <c r="E13381" s="2">
        <v>3.5532407407407408E-2</v>
      </c>
      <c r="F13381">
        <v>51.166666666666664</v>
      </c>
    </row>
    <row r="13382" spans="1:6" x14ac:dyDescent="0.25">
      <c r="A13382" s="1">
        <v>43191</v>
      </c>
      <c r="B13382" t="s">
        <v>15</v>
      </c>
      <c r="C13382" t="s">
        <v>7</v>
      </c>
      <c r="D13382">
        <v>19</v>
      </c>
      <c r="E13382" s="2">
        <v>3.0717592592592591E-2</v>
      </c>
      <c r="F13382">
        <v>44.233333333333334</v>
      </c>
    </row>
    <row r="13383" spans="1:6" x14ac:dyDescent="0.25">
      <c r="A13383" s="1">
        <v>43191</v>
      </c>
      <c r="B13383" t="s">
        <v>15</v>
      </c>
      <c r="C13383" t="s">
        <v>8</v>
      </c>
      <c r="D13383">
        <v>11</v>
      </c>
      <c r="E13383" s="2">
        <v>1.5335648148148149E-2</v>
      </c>
      <c r="F13383">
        <v>22.083333333333332</v>
      </c>
    </row>
    <row r="13384" spans="1:6" x14ac:dyDescent="0.25">
      <c r="A13384" s="1">
        <v>43191</v>
      </c>
      <c r="B13384" t="s">
        <v>15</v>
      </c>
      <c r="C13384" t="s">
        <v>9</v>
      </c>
      <c r="D13384">
        <v>1</v>
      </c>
      <c r="E13384" s="2">
        <v>5.6712962962962967E-4</v>
      </c>
      <c r="F13384">
        <v>0.81666666666666665</v>
      </c>
    </row>
    <row r="13385" spans="1:6" x14ac:dyDescent="0.25">
      <c r="A13385" s="1">
        <v>43191</v>
      </c>
      <c r="B13385" t="s">
        <v>15</v>
      </c>
      <c r="C13385" t="s">
        <v>10</v>
      </c>
      <c r="D13385">
        <v>7</v>
      </c>
      <c r="E13385" s="2">
        <v>3.2407407407407406E-3</v>
      </c>
      <c r="F13385">
        <v>4.666666666666667</v>
      </c>
    </row>
    <row r="13386" spans="1:6" x14ac:dyDescent="0.25">
      <c r="A13386" s="1">
        <v>43191</v>
      </c>
      <c r="B13386" t="s">
        <v>15</v>
      </c>
      <c r="C13386" t="s">
        <v>11</v>
      </c>
      <c r="D13386">
        <v>10</v>
      </c>
      <c r="E13386" s="2">
        <v>1.0856481481481481E-2</v>
      </c>
      <c r="F13386">
        <v>15.633333333333333</v>
      </c>
    </row>
    <row r="13387" spans="1:6" x14ac:dyDescent="0.25">
      <c r="A13387" s="1">
        <v>43191</v>
      </c>
      <c r="B13387" t="s">
        <v>16</v>
      </c>
      <c r="C13387" t="s">
        <v>6</v>
      </c>
      <c r="D13387">
        <v>21</v>
      </c>
      <c r="E13387" s="2">
        <v>2.3935185185185184E-2</v>
      </c>
      <c r="F13387">
        <v>34.466666666666669</v>
      </c>
    </row>
    <row r="13388" spans="1:6" x14ac:dyDescent="0.25">
      <c r="A13388" s="1">
        <v>43191</v>
      </c>
      <c r="B13388" t="s">
        <v>16</v>
      </c>
      <c r="C13388" t="s">
        <v>7</v>
      </c>
      <c r="D13388">
        <v>12</v>
      </c>
      <c r="E13388" s="2">
        <v>1.3182870370370371E-2</v>
      </c>
      <c r="F13388">
        <v>18.983333333333334</v>
      </c>
    </row>
    <row r="13389" spans="1:6" x14ac:dyDescent="0.25">
      <c r="A13389" s="1">
        <v>43191</v>
      </c>
      <c r="B13389" t="s">
        <v>16</v>
      </c>
      <c r="C13389" t="s">
        <v>8</v>
      </c>
      <c r="D13389">
        <v>20</v>
      </c>
      <c r="E13389" s="2">
        <v>1.9270833333333334E-2</v>
      </c>
      <c r="F13389">
        <v>27.75</v>
      </c>
    </row>
    <row r="13390" spans="1:6" x14ac:dyDescent="0.25">
      <c r="A13390" s="1">
        <v>43191</v>
      </c>
      <c r="B13390" t="s">
        <v>16</v>
      </c>
      <c r="C13390" t="s">
        <v>9</v>
      </c>
      <c r="D13390">
        <v>5</v>
      </c>
      <c r="E13390" s="2">
        <v>2.5925925925925925E-3</v>
      </c>
      <c r="F13390">
        <v>3.7333333333333334</v>
      </c>
    </row>
    <row r="13391" spans="1:6" x14ac:dyDescent="0.25">
      <c r="A13391" s="1">
        <v>43191</v>
      </c>
      <c r="B13391" t="s">
        <v>16</v>
      </c>
      <c r="C13391" t="s">
        <v>10</v>
      </c>
      <c r="D13391">
        <v>6</v>
      </c>
      <c r="E13391" s="2">
        <v>7.5347222222222222E-3</v>
      </c>
      <c r="F13391">
        <v>10.85</v>
      </c>
    </row>
    <row r="13392" spans="1:6" x14ac:dyDescent="0.25">
      <c r="A13392" s="1">
        <v>43191</v>
      </c>
      <c r="B13392" t="s">
        <v>16</v>
      </c>
      <c r="C13392" t="s">
        <v>11</v>
      </c>
      <c r="D13392">
        <v>26</v>
      </c>
      <c r="E13392" s="2">
        <v>2.4039351851851853E-2</v>
      </c>
      <c r="F13392">
        <v>34.616666666666667</v>
      </c>
    </row>
    <row r="13393" spans="1:6" x14ac:dyDescent="0.25">
      <c r="A13393" s="1">
        <v>43191</v>
      </c>
      <c r="B13393" t="s">
        <v>17</v>
      </c>
      <c r="C13393" t="s">
        <v>6</v>
      </c>
      <c r="D13393">
        <v>10</v>
      </c>
      <c r="E13393" s="2">
        <v>1.1655092592592592E-2</v>
      </c>
      <c r="F13393">
        <v>16.783333333333335</v>
      </c>
    </row>
    <row r="13394" spans="1:6" x14ac:dyDescent="0.25">
      <c r="A13394" s="1">
        <v>43191</v>
      </c>
      <c r="B13394" t="s">
        <v>17</v>
      </c>
      <c r="C13394" t="s">
        <v>7</v>
      </c>
      <c r="D13394">
        <v>9</v>
      </c>
      <c r="E13394" s="2">
        <v>1.0254629629629629E-2</v>
      </c>
      <c r="F13394">
        <v>14.766666666666667</v>
      </c>
    </row>
    <row r="13395" spans="1:6" x14ac:dyDescent="0.25">
      <c r="A13395" s="1">
        <v>43191</v>
      </c>
      <c r="B13395" t="s">
        <v>17</v>
      </c>
      <c r="C13395" t="s">
        <v>8</v>
      </c>
      <c r="D13395">
        <v>12</v>
      </c>
      <c r="E13395" s="2">
        <v>1.3877314814814815E-2</v>
      </c>
      <c r="F13395">
        <v>19.983333333333334</v>
      </c>
    </row>
    <row r="13396" spans="1:6" x14ac:dyDescent="0.25">
      <c r="A13396" s="1">
        <v>43191</v>
      </c>
      <c r="B13396" t="s">
        <v>17</v>
      </c>
      <c r="C13396" t="s">
        <v>9</v>
      </c>
      <c r="D13396">
        <v>5</v>
      </c>
      <c r="E13396" s="2">
        <v>3.3680555555555556E-3</v>
      </c>
      <c r="F13396">
        <v>4.8499999999999996</v>
      </c>
    </row>
    <row r="13397" spans="1:6" x14ac:dyDescent="0.25">
      <c r="A13397" s="1">
        <v>43191</v>
      </c>
      <c r="B13397" t="s">
        <v>17</v>
      </c>
      <c r="C13397" t="s">
        <v>10</v>
      </c>
      <c r="D13397">
        <v>7</v>
      </c>
      <c r="E13397" s="2">
        <v>8.773148148148148E-3</v>
      </c>
      <c r="F13397">
        <v>12.633333333333333</v>
      </c>
    </row>
    <row r="13398" spans="1:6" x14ac:dyDescent="0.25">
      <c r="A13398" s="1">
        <v>43191</v>
      </c>
      <c r="B13398" t="s">
        <v>17</v>
      </c>
      <c r="C13398" t="s">
        <v>11</v>
      </c>
      <c r="D13398">
        <v>11</v>
      </c>
      <c r="E13398" s="2">
        <v>8.3912037037037045E-3</v>
      </c>
      <c r="F13398">
        <v>12.083333333333334</v>
      </c>
    </row>
    <row r="13399" spans="1:6" x14ac:dyDescent="0.25">
      <c r="A13399" s="1">
        <v>43191</v>
      </c>
      <c r="B13399" t="s">
        <v>18</v>
      </c>
      <c r="C13399" t="s">
        <v>6</v>
      </c>
      <c r="D13399">
        <v>51</v>
      </c>
      <c r="E13399" s="2">
        <v>6.2731481481481485E-2</v>
      </c>
      <c r="F13399">
        <v>90.333333333333329</v>
      </c>
    </row>
    <row r="13400" spans="1:6" x14ac:dyDescent="0.25">
      <c r="A13400" s="1">
        <v>43191</v>
      </c>
      <c r="B13400" t="s">
        <v>18</v>
      </c>
      <c r="C13400" t="s">
        <v>7</v>
      </c>
      <c r="D13400">
        <v>77</v>
      </c>
      <c r="E13400" s="2">
        <v>9.3680555555555559E-2</v>
      </c>
      <c r="F13400">
        <v>134.9</v>
      </c>
    </row>
    <row r="13401" spans="1:6" x14ac:dyDescent="0.25">
      <c r="A13401" s="1">
        <v>43191</v>
      </c>
      <c r="B13401" t="s">
        <v>18</v>
      </c>
      <c r="C13401" t="s">
        <v>8</v>
      </c>
      <c r="D13401">
        <v>34</v>
      </c>
      <c r="E13401" s="2">
        <v>3.3819444444444444E-2</v>
      </c>
      <c r="F13401">
        <v>48.7</v>
      </c>
    </row>
    <row r="13402" spans="1:6" x14ac:dyDescent="0.25">
      <c r="A13402" s="1">
        <v>43191</v>
      </c>
      <c r="B13402" t="s">
        <v>18</v>
      </c>
      <c r="C13402" t="s">
        <v>9</v>
      </c>
      <c r="D13402">
        <v>18</v>
      </c>
      <c r="E13402" s="2">
        <v>1.4155092592592592E-2</v>
      </c>
      <c r="F13402">
        <v>20.383333333333333</v>
      </c>
    </row>
    <row r="13403" spans="1:6" x14ac:dyDescent="0.25">
      <c r="A13403" s="1">
        <v>43191</v>
      </c>
      <c r="B13403" t="s">
        <v>18</v>
      </c>
      <c r="C13403" t="s">
        <v>10</v>
      </c>
      <c r="D13403">
        <v>105</v>
      </c>
      <c r="E13403" s="2">
        <v>0.13483796296296297</v>
      </c>
      <c r="F13403">
        <v>194.16666666666666</v>
      </c>
    </row>
    <row r="13404" spans="1:6" x14ac:dyDescent="0.25">
      <c r="A13404" s="1">
        <v>43191</v>
      </c>
      <c r="B13404" t="s">
        <v>18</v>
      </c>
      <c r="C13404" t="s">
        <v>11</v>
      </c>
      <c r="D13404">
        <v>62</v>
      </c>
      <c r="E13404" s="2">
        <v>4.9861111111111113E-2</v>
      </c>
      <c r="F13404">
        <v>71.8</v>
      </c>
    </row>
    <row r="13405" spans="1:6" x14ac:dyDescent="0.25">
      <c r="A13405" s="1">
        <v>43191</v>
      </c>
      <c r="B13405" t="s">
        <v>19</v>
      </c>
      <c r="C13405" t="s">
        <v>6</v>
      </c>
      <c r="D13405">
        <v>16</v>
      </c>
      <c r="E13405" s="2">
        <v>2.0405092592592593E-2</v>
      </c>
      <c r="F13405">
        <v>29.383333333333333</v>
      </c>
    </row>
    <row r="13406" spans="1:6" x14ac:dyDescent="0.25">
      <c r="A13406" s="1">
        <v>43191</v>
      </c>
      <c r="B13406" t="s">
        <v>19</v>
      </c>
      <c r="C13406" t="s">
        <v>7</v>
      </c>
      <c r="D13406">
        <v>20</v>
      </c>
      <c r="E13406" s="2">
        <v>2.5717592592592594E-2</v>
      </c>
      <c r="F13406">
        <v>37.033333333333331</v>
      </c>
    </row>
    <row r="13407" spans="1:6" x14ac:dyDescent="0.25">
      <c r="A13407" s="1">
        <v>43191</v>
      </c>
      <c r="B13407" t="s">
        <v>19</v>
      </c>
      <c r="C13407" t="s">
        <v>8</v>
      </c>
      <c r="D13407">
        <v>11</v>
      </c>
      <c r="E13407" s="2">
        <v>1.3321759259259259E-2</v>
      </c>
      <c r="F13407">
        <v>19.183333333333334</v>
      </c>
    </row>
    <row r="13408" spans="1:6" x14ac:dyDescent="0.25">
      <c r="A13408" s="1">
        <v>43191</v>
      </c>
      <c r="B13408" t="s">
        <v>19</v>
      </c>
      <c r="C13408" t="s">
        <v>9</v>
      </c>
      <c r="D13408">
        <v>7</v>
      </c>
      <c r="E13408" s="2">
        <v>4.0162037037037041E-3</v>
      </c>
      <c r="F13408">
        <v>5.7833333333333332</v>
      </c>
    </row>
    <row r="13409" spans="1:6" x14ac:dyDescent="0.25">
      <c r="A13409" s="1">
        <v>43191</v>
      </c>
      <c r="B13409" t="s">
        <v>19</v>
      </c>
      <c r="C13409" t="s">
        <v>10</v>
      </c>
      <c r="D13409">
        <v>11</v>
      </c>
      <c r="E13409" s="2">
        <v>1.7511574074074075E-2</v>
      </c>
      <c r="F13409">
        <v>25.216666666666665</v>
      </c>
    </row>
    <row r="13410" spans="1:6" x14ac:dyDescent="0.25">
      <c r="A13410" s="1">
        <v>43191</v>
      </c>
      <c r="B13410" t="s">
        <v>19</v>
      </c>
      <c r="C13410" t="s">
        <v>11</v>
      </c>
      <c r="D13410">
        <v>17</v>
      </c>
      <c r="E13410" s="2">
        <v>1.1064814814814816E-2</v>
      </c>
      <c r="F13410">
        <v>15.933333333333334</v>
      </c>
    </row>
    <row r="13411" spans="1:6" x14ac:dyDescent="0.25">
      <c r="A13411" s="1">
        <v>43191</v>
      </c>
      <c r="B13411" t="s">
        <v>20</v>
      </c>
      <c r="C13411" t="s">
        <v>6</v>
      </c>
      <c r="D13411">
        <v>47</v>
      </c>
      <c r="E13411" s="2">
        <v>5.8113425925925923E-2</v>
      </c>
      <c r="F13411">
        <v>83.683333333333337</v>
      </c>
    </row>
    <row r="13412" spans="1:6" x14ac:dyDescent="0.25">
      <c r="A13412" s="1">
        <v>43191</v>
      </c>
      <c r="B13412" t="s">
        <v>20</v>
      </c>
      <c r="C13412" t="s">
        <v>7</v>
      </c>
      <c r="D13412">
        <v>55</v>
      </c>
      <c r="E13412" s="2">
        <v>7.2638888888888892E-2</v>
      </c>
      <c r="F13412">
        <v>104.6</v>
      </c>
    </row>
    <row r="13413" spans="1:6" x14ac:dyDescent="0.25">
      <c r="A13413" s="1">
        <v>43191</v>
      </c>
      <c r="B13413" t="s">
        <v>20</v>
      </c>
      <c r="C13413" t="s">
        <v>8</v>
      </c>
      <c r="D13413">
        <v>56</v>
      </c>
      <c r="E13413" s="2">
        <v>5.3159722222222219E-2</v>
      </c>
      <c r="F13413">
        <v>76.55</v>
      </c>
    </row>
    <row r="13414" spans="1:6" x14ac:dyDescent="0.25">
      <c r="A13414" s="1">
        <v>43191</v>
      </c>
      <c r="B13414" t="s">
        <v>20</v>
      </c>
      <c r="C13414" t="s">
        <v>9</v>
      </c>
      <c r="D13414">
        <v>14</v>
      </c>
      <c r="E13414" s="2">
        <v>1.0972222222222222E-2</v>
      </c>
      <c r="F13414">
        <v>15.8</v>
      </c>
    </row>
    <row r="13415" spans="1:6" x14ac:dyDescent="0.25">
      <c r="A13415" s="1">
        <v>43191</v>
      </c>
      <c r="B13415" t="s">
        <v>20</v>
      </c>
      <c r="C13415" t="s">
        <v>10</v>
      </c>
      <c r="D13415">
        <v>15</v>
      </c>
      <c r="E13415" s="2">
        <v>1.7083333333333332E-2</v>
      </c>
      <c r="F13415">
        <v>24.6</v>
      </c>
    </row>
    <row r="13416" spans="1:6" x14ac:dyDescent="0.25">
      <c r="A13416" s="1">
        <v>43191</v>
      </c>
      <c r="B13416" t="s">
        <v>20</v>
      </c>
      <c r="C13416" t="s">
        <v>11</v>
      </c>
      <c r="D13416">
        <v>38</v>
      </c>
      <c r="E13416" s="2">
        <v>3.5972222222222225E-2</v>
      </c>
      <c r="F13416">
        <v>51.8</v>
      </c>
    </row>
    <row r="13417" spans="1:6" x14ac:dyDescent="0.25">
      <c r="A13417" s="1">
        <v>43191</v>
      </c>
      <c r="B13417" t="s">
        <v>21</v>
      </c>
      <c r="C13417" t="s">
        <v>6</v>
      </c>
      <c r="D13417">
        <v>15</v>
      </c>
      <c r="E13417" s="2">
        <v>2.3425925925925926E-2</v>
      </c>
      <c r="F13417">
        <v>33.733333333333334</v>
      </c>
    </row>
    <row r="13418" spans="1:6" x14ac:dyDescent="0.25">
      <c r="A13418" s="1">
        <v>43191</v>
      </c>
      <c r="B13418" t="s">
        <v>21</v>
      </c>
      <c r="C13418" t="s">
        <v>7</v>
      </c>
      <c r="D13418">
        <v>15</v>
      </c>
      <c r="E13418" s="2">
        <v>3.2245370370370369E-2</v>
      </c>
      <c r="F13418">
        <v>46.43333333333333</v>
      </c>
    </row>
    <row r="13419" spans="1:6" x14ac:dyDescent="0.25">
      <c r="A13419" s="1">
        <v>43191</v>
      </c>
      <c r="B13419" t="s">
        <v>21</v>
      </c>
      <c r="C13419" t="s">
        <v>8</v>
      </c>
      <c r="D13419">
        <v>10</v>
      </c>
      <c r="E13419" s="2">
        <v>1.292824074074074E-2</v>
      </c>
      <c r="F13419">
        <v>18.616666666666667</v>
      </c>
    </row>
    <row r="13420" spans="1:6" x14ac:dyDescent="0.25">
      <c r="A13420" s="1">
        <v>43191</v>
      </c>
      <c r="B13420" t="s">
        <v>21</v>
      </c>
      <c r="C13420" t="s">
        <v>9</v>
      </c>
      <c r="D13420">
        <v>1</v>
      </c>
      <c r="E13420" s="2">
        <v>5.9027777777777778E-4</v>
      </c>
      <c r="F13420">
        <v>0.85</v>
      </c>
    </row>
    <row r="13421" spans="1:6" x14ac:dyDescent="0.25">
      <c r="A13421" s="1">
        <v>43191</v>
      </c>
      <c r="B13421" t="s">
        <v>21</v>
      </c>
      <c r="C13421" t="s">
        <v>10</v>
      </c>
      <c r="D13421">
        <v>4</v>
      </c>
      <c r="E13421" s="2">
        <v>4.9768518518518521E-3</v>
      </c>
      <c r="F13421">
        <v>7.166666666666667</v>
      </c>
    </row>
    <row r="13422" spans="1:6" x14ac:dyDescent="0.25">
      <c r="A13422" s="1">
        <v>43191</v>
      </c>
      <c r="B13422" t="s">
        <v>21</v>
      </c>
      <c r="C13422" t="s">
        <v>11</v>
      </c>
      <c r="D13422">
        <v>14</v>
      </c>
      <c r="E13422" s="2">
        <v>1.9930555555555556E-2</v>
      </c>
      <c r="F13422">
        <v>28.7</v>
      </c>
    </row>
    <row r="13423" spans="1:6" x14ac:dyDescent="0.25">
      <c r="A13423" s="1">
        <v>43191</v>
      </c>
      <c r="B13423" t="s">
        <v>22</v>
      </c>
      <c r="C13423" t="s">
        <v>6</v>
      </c>
      <c r="D13423">
        <v>15</v>
      </c>
      <c r="E13423" s="2">
        <v>2.7245370370370371E-2</v>
      </c>
      <c r="F13423">
        <v>39.233333333333334</v>
      </c>
    </row>
    <row r="13424" spans="1:6" x14ac:dyDescent="0.25">
      <c r="A13424" s="1">
        <v>43191</v>
      </c>
      <c r="B13424" t="s">
        <v>22</v>
      </c>
      <c r="C13424" t="s">
        <v>7</v>
      </c>
      <c r="D13424">
        <v>2</v>
      </c>
      <c r="E13424" s="2">
        <v>4.1203703703703706E-3</v>
      </c>
      <c r="F13424">
        <v>5.9333333333333336</v>
      </c>
    </row>
    <row r="13425" spans="1:6" x14ac:dyDescent="0.25">
      <c r="A13425" s="1">
        <v>43191</v>
      </c>
      <c r="B13425" t="s">
        <v>22</v>
      </c>
      <c r="C13425" t="s">
        <v>8</v>
      </c>
      <c r="D13425">
        <v>3</v>
      </c>
      <c r="E13425" s="2">
        <v>4.9652777777777777E-3</v>
      </c>
      <c r="F13425">
        <v>7.15</v>
      </c>
    </row>
    <row r="13426" spans="1:6" x14ac:dyDescent="0.25">
      <c r="A13426" s="1">
        <v>43191</v>
      </c>
      <c r="B13426" t="s">
        <v>22</v>
      </c>
      <c r="C13426" t="s">
        <v>9</v>
      </c>
      <c r="D13426">
        <v>8</v>
      </c>
      <c r="E13426" s="2">
        <v>4.8958333333333336E-3</v>
      </c>
      <c r="F13426">
        <v>7.05</v>
      </c>
    </row>
    <row r="13427" spans="1:6" x14ac:dyDescent="0.25">
      <c r="A13427" s="1">
        <v>43191</v>
      </c>
      <c r="B13427" t="s">
        <v>22</v>
      </c>
      <c r="C13427" t="s">
        <v>10</v>
      </c>
      <c r="D13427">
        <v>12</v>
      </c>
      <c r="E13427" s="2">
        <v>1.3263888888888889E-2</v>
      </c>
      <c r="F13427">
        <v>19.100000000000001</v>
      </c>
    </row>
    <row r="13428" spans="1:6" x14ac:dyDescent="0.25">
      <c r="A13428" s="1">
        <v>43191</v>
      </c>
      <c r="B13428" t="s">
        <v>22</v>
      </c>
      <c r="C13428" t="s">
        <v>11</v>
      </c>
      <c r="D13428">
        <v>13</v>
      </c>
      <c r="E13428" s="2">
        <v>1.7465277777777777E-2</v>
      </c>
      <c r="F13428">
        <v>25.15</v>
      </c>
    </row>
    <row r="13429" spans="1:6" x14ac:dyDescent="0.25">
      <c r="A13429" s="1">
        <v>43191</v>
      </c>
      <c r="B13429" t="s">
        <v>23</v>
      </c>
      <c r="C13429" t="s">
        <v>6</v>
      </c>
      <c r="D13429">
        <v>154</v>
      </c>
      <c r="E13429" s="2">
        <v>0.20749999999999999</v>
      </c>
      <c r="F13429">
        <v>298.8</v>
      </c>
    </row>
    <row r="13430" spans="1:6" x14ac:dyDescent="0.25">
      <c r="A13430" s="1">
        <v>43191</v>
      </c>
      <c r="B13430" t="s">
        <v>23</v>
      </c>
      <c r="C13430" t="s">
        <v>7</v>
      </c>
      <c r="D13430">
        <v>177</v>
      </c>
      <c r="E13430" s="2">
        <v>0.23196759259259259</v>
      </c>
      <c r="F13430">
        <v>334.03333333333336</v>
      </c>
    </row>
    <row r="13431" spans="1:6" x14ac:dyDescent="0.25">
      <c r="A13431" s="1">
        <v>43191</v>
      </c>
      <c r="B13431" t="s">
        <v>23</v>
      </c>
      <c r="C13431" t="s">
        <v>8</v>
      </c>
      <c r="D13431">
        <v>140</v>
      </c>
      <c r="E13431" s="2">
        <v>0.15259259259259259</v>
      </c>
      <c r="F13431">
        <v>219.73333333333332</v>
      </c>
    </row>
    <row r="13432" spans="1:6" x14ac:dyDescent="0.25">
      <c r="A13432" s="1">
        <v>43191</v>
      </c>
      <c r="B13432" t="s">
        <v>23</v>
      </c>
      <c r="C13432" t="s">
        <v>9</v>
      </c>
      <c r="D13432">
        <v>28</v>
      </c>
      <c r="E13432" s="2">
        <v>2.1145833333333332E-2</v>
      </c>
      <c r="F13432">
        <v>30.45</v>
      </c>
    </row>
    <row r="13433" spans="1:6" x14ac:dyDescent="0.25">
      <c r="A13433" s="1">
        <v>43191</v>
      </c>
      <c r="B13433" t="s">
        <v>23</v>
      </c>
      <c r="C13433" t="s">
        <v>10</v>
      </c>
      <c r="D13433">
        <v>40</v>
      </c>
      <c r="E13433" s="2">
        <v>6.0138888888888888E-2</v>
      </c>
      <c r="F13433">
        <v>86.6</v>
      </c>
    </row>
    <row r="13434" spans="1:6" x14ac:dyDescent="0.25">
      <c r="A13434" s="1">
        <v>43191</v>
      </c>
      <c r="B13434" t="s">
        <v>23</v>
      </c>
      <c r="C13434" t="s">
        <v>11</v>
      </c>
      <c r="D13434">
        <v>127</v>
      </c>
      <c r="E13434" s="2">
        <v>0.11259259259259259</v>
      </c>
      <c r="F13434">
        <v>162.13333333333333</v>
      </c>
    </row>
    <row r="13435" spans="1:6" x14ac:dyDescent="0.25">
      <c r="A13435" s="1">
        <v>43191</v>
      </c>
      <c r="B13435" t="s">
        <v>24</v>
      </c>
      <c r="C13435" t="s">
        <v>6</v>
      </c>
      <c r="D13435">
        <v>14</v>
      </c>
      <c r="E13435" s="2">
        <v>1.8194444444444444E-2</v>
      </c>
      <c r="F13435">
        <v>26.2</v>
      </c>
    </row>
    <row r="13436" spans="1:6" x14ac:dyDescent="0.25">
      <c r="A13436" s="1">
        <v>43191</v>
      </c>
      <c r="B13436" t="s">
        <v>24</v>
      </c>
      <c r="C13436" t="s">
        <v>7</v>
      </c>
      <c r="D13436">
        <v>21</v>
      </c>
      <c r="E13436" s="2">
        <v>1.7789351851851851E-2</v>
      </c>
      <c r="F13436">
        <v>25.616666666666667</v>
      </c>
    </row>
    <row r="13437" spans="1:6" x14ac:dyDescent="0.25">
      <c r="A13437" s="1">
        <v>43191</v>
      </c>
      <c r="B13437" t="s">
        <v>24</v>
      </c>
      <c r="C13437" t="s">
        <v>8</v>
      </c>
      <c r="D13437">
        <v>7</v>
      </c>
      <c r="E13437" s="2">
        <v>1.5856481481481481E-3</v>
      </c>
      <c r="F13437">
        <v>2.2833333333333332</v>
      </c>
    </row>
    <row r="13438" spans="1:6" x14ac:dyDescent="0.25">
      <c r="A13438" s="1">
        <v>43191</v>
      </c>
      <c r="B13438" t="s">
        <v>24</v>
      </c>
      <c r="C13438" t="s">
        <v>9</v>
      </c>
      <c r="D13438">
        <v>5</v>
      </c>
      <c r="E13438" s="2">
        <v>3.1365740740740742E-3</v>
      </c>
      <c r="F13438">
        <v>4.5166666666666666</v>
      </c>
    </row>
    <row r="13439" spans="1:6" x14ac:dyDescent="0.25">
      <c r="A13439" s="1">
        <v>43191</v>
      </c>
      <c r="B13439" t="s">
        <v>24</v>
      </c>
      <c r="C13439" t="s">
        <v>10</v>
      </c>
      <c r="D13439">
        <v>0</v>
      </c>
      <c r="E13439" s="2">
        <v>0</v>
      </c>
      <c r="F13439">
        <v>0</v>
      </c>
    </row>
    <row r="13440" spans="1:6" x14ac:dyDescent="0.25">
      <c r="A13440" s="1">
        <v>43191</v>
      </c>
      <c r="B13440" t="s">
        <v>24</v>
      </c>
      <c r="C13440" t="s">
        <v>11</v>
      </c>
      <c r="D13440">
        <v>19</v>
      </c>
      <c r="E13440" s="2">
        <v>1.3831018518518519E-2</v>
      </c>
      <c r="F13440">
        <v>19.916666666666668</v>
      </c>
    </row>
    <row r="13441" spans="1:6" x14ac:dyDescent="0.25">
      <c r="A13441" s="1">
        <v>43221</v>
      </c>
      <c r="B13441" t="s">
        <v>5</v>
      </c>
      <c r="C13441" t="s">
        <v>6</v>
      </c>
      <c r="D13441">
        <v>33</v>
      </c>
      <c r="E13441" s="2">
        <v>3.4375000000000003E-2</v>
      </c>
      <c r="F13441">
        <v>49.5</v>
      </c>
    </row>
    <row r="13442" spans="1:6" x14ac:dyDescent="0.25">
      <c r="A13442" s="1">
        <v>43221</v>
      </c>
      <c r="B13442" t="s">
        <v>5</v>
      </c>
      <c r="C13442" t="s">
        <v>7</v>
      </c>
      <c r="D13442">
        <v>32</v>
      </c>
      <c r="E13442" s="2">
        <v>3.5081018518518518E-2</v>
      </c>
      <c r="F13442">
        <v>50.516666666666666</v>
      </c>
    </row>
    <row r="13443" spans="1:6" x14ac:dyDescent="0.25">
      <c r="A13443" s="1">
        <v>43221</v>
      </c>
      <c r="B13443" t="s">
        <v>5</v>
      </c>
      <c r="C13443" t="s">
        <v>8</v>
      </c>
      <c r="D13443">
        <v>25</v>
      </c>
      <c r="E13443" s="2">
        <v>2.0925925925925924E-2</v>
      </c>
      <c r="F13443">
        <v>30.133333333333333</v>
      </c>
    </row>
    <row r="13444" spans="1:6" x14ac:dyDescent="0.25">
      <c r="A13444" s="1">
        <v>43221</v>
      </c>
      <c r="B13444" t="s">
        <v>5</v>
      </c>
      <c r="C13444" t="s">
        <v>9</v>
      </c>
      <c r="D13444">
        <v>4</v>
      </c>
      <c r="E13444" s="2">
        <v>2.4189814814814816E-3</v>
      </c>
      <c r="F13444">
        <v>3.4833333333333334</v>
      </c>
    </row>
    <row r="13445" spans="1:6" x14ac:dyDescent="0.25">
      <c r="A13445" s="1">
        <v>43221</v>
      </c>
      <c r="B13445" t="s">
        <v>5</v>
      </c>
      <c r="C13445" t="s">
        <v>10</v>
      </c>
      <c r="D13445">
        <v>4</v>
      </c>
      <c r="E13445" s="2">
        <v>5.6944444444444447E-3</v>
      </c>
      <c r="F13445">
        <v>8.1999999999999993</v>
      </c>
    </row>
    <row r="13446" spans="1:6" x14ac:dyDescent="0.25">
      <c r="A13446" s="1">
        <v>43221</v>
      </c>
      <c r="B13446" t="s">
        <v>5</v>
      </c>
      <c r="C13446" t="s">
        <v>11</v>
      </c>
      <c r="D13446">
        <v>27</v>
      </c>
      <c r="E13446" s="2">
        <v>1.7418981481481483E-2</v>
      </c>
      <c r="F13446">
        <v>25.083333333333332</v>
      </c>
    </row>
    <row r="13447" spans="1:6" x14ac:dyDescent="0.25">
      <c r="A13447" s="1">
        <v>43221</v>
      </c>
      <c r="B13447" t="s">
        <v>12</v>
      </c>
      <c r="C13447" t="s">
        <v>6</v>
      </c>
      <c r="D13447">
        <v>25</v>
      </c>
      <c r="E13447" s="2">
        <v>4.2002314814814812E-2</v>
      </c>
      <c r="F13447">
        <v>60.483333333333334</v>
      </c>
    </row>
    <row r="13448" spans="1:6" x14ac:dyDescent="0.25">
      <c r="A13448" s="1">
        <v>43221</v>
      </c>
      <c r="B13448" t="s">
        <v>12</v>
      </c>
      <c r="C13448" t="s">
        <v>7</v>
      </c>
      <c r="D13448">
        <v>34</v>
      </c>
      <c r="E13448" s="2">
        <v>6.0590277777777778E-2</v>
      </c>
      <c r="F13448">
        <v>87.25</v>
      </c>
    </row>
    <row r="13449" spans="1:6" x14ac:dyDescent="0.25">
      <c r="A13449" s="1">
        <v>43221</v>
      </c>
      <c r="B13449" t="s">
        <v>12</v>
      </c>
      <c r="C13449" t="s">
        <v>8</v>
      </c>
      <c r="D13449">
        <v>31</v>
      </c>
      <c r="E13449" s="2">
        <v>4.5856481481481484E-2</v>
      </c>
      <c r="F13449">
        <v>66.033333333333331</v>
      </c>
    </row>
    <row r="13450" spans="1:6" x14ac:dyDescent="0.25">
      <c r="A13450" s="1">
        <v>43221</v>
      </c>
      <c r="B13450" t="s">
        <v>12</v>
      </c>
      <c r="C13450" t="s">
        <v>9</v>
      </c>
      <c r="D13450">
        <v>13</v>
      </c>
      <c r="E13450" s="2">
        <v>8.1828703703703699E-3</v>
      </c>
      <c r="F13450">
        <v>11.783333333333333</v>
      </c>
    </row>
    <row r="13451" spans="1:6" x14ac:dyDescent="0.25">
      <c r="A13451" s="1">
        <v>43221</v>
      </c>
      <c r="B13451" t="s">
        <v>12</v>
      </c>
      <c r="C13451" t="s">
        <v>10</v>
      </c>
      <c r="D13451">
        <v>35</v>
      </c>
      <c r="E13451" s="2">
        <v>5.1168981481481482E-2</v>
      </c>
      <c r="F13451">
        <v>73.683333333333337</v>
      </c>
    </row>
    <row r="13452" spans="1:6" x14ac:dyDescent="0.25">
      <c r="A13452" s="1">
        <v>43221</v>
      </c>
      <c r="B13452" t="s">
        <v>12</v>
      </c>
      <c r="C13452" t="s">
        <v>11</v>
      </c>
      <c r="D13452">
        <v>57</v>
      </c>
      <c r="E13452" s="2">
        <v>6.8402777777777785E-2</v>
      </c>
      <c r="F13452">
        <v>98.5</v>
      </c>
    </row>
    <row r="13453" spans="1:6" x14ac:dyDescent="0.25">
      <c r="A13453" s="1">
        <v>43221</v>
      </c>
      <c r="B13453" t="s">
        <v>13</v>
      </c>
      <c r="C13453" t="s">
        <v>6</v>
      </c>
      <c r="D13453">
        <v>62</v>
      </c>
      <c r="E13453" s="2">
        <v>9.6053240740740745E-2</v>
      </c>
      <c r="F13453">
        <v>138.31666666666666</v>
      </c>
    </row>
    <row r="13454" spans="1:6" x14ac:dyDescent="0.25">
      <c r="A13454" s="1">
        <v>43221</v>
      </c>
      <c r="B13454" t="s">
        <v>13</v>
      </c>
      <c r="C13454" t="s">
        <v>7</v>
      </c>
      <c r="D13454">
        <v>69</v>
      </c>
      <c r="E13454" s="2">
        <v>0.11945601851851852</v>
      </c>
      <c r="F13454">
        <v>172.01666666666668</v>
      </c>
    </row>
    <row r="13455" spans="1:6" x14ac:dyDescent="0.25">
      <c r="A13455" s="1">
        <v>43221</v>
      </c>
      <c r="B13455" t="s">
        <v>13</v>
      </c>
      <c r="C13455" t="s">
        <v>8</v>
      </c>
      <c r="D13455">
        <v>38</v>
      </c>
      <c r="E13455" s="2">
        <v>5.2997685185185182E-2</v>
      </c>
      <c r="F13455">
        <v>76.316666666666663</v>
      </c>
    </row>
    <row r="13456" spans="1:6" x14ac:dyDescent="0.25">
      <c r="A13456" s="1">
        <v>43221</v>
      </c>
      <c r="B13456" t="s">
        <v>13</v>
      </c>
      <c r="C13456" t="s">
        <v>9</v>
      </c>
      <c r="D13456">
        <v>4</v>
      </c>
      <c r="E13456" s="2">
        <v>2.3495370370370371E-3</v>
      </c>
      <c r="F13456">
        <v>3.3833333333333333</v>
      </c>
    </row>
    <row r="13457" spans="1:6" x14ac:dyDescent="0.25">
      <c r="A13457" s="1">
        <v>43221</v>
      </c>
      <c r="B13457" t="s">
        <v>13</v>
      </c>
      <c r="C13457" t="s">
        <v>10</v>
      </c>
      <c r="D13457">
        <v>10</v>
      </c>
      <c r="E13457" s="2">
        <v>1.96875E-2</v>
      </c>
      <c r="F13457">
        <v>28.35</v>
      </c>
    </row>
    <row r="13458" spans="1:6" x14ac:dyDescent="0.25">
      <c r="A13458" s="1">
        <v>43221</v>
      </c>
      <c r="B13458" t="s">
        <v>13</v>
      </c>
      <c r="C13458" t="s">
        <v>11</v>
      </c>
      <c r="D13458">
        <v>32</v>
      </c>
      <c r="E13458" s="2">
        <v>3.7604166666666668E-2</v>
      </c>
      <c r="F13458">
        <v>54.15</v>
      </c>
    </row>
    <row r="13459" spans="1:6" x14ac:dyDescent="0.25">
      <c r="A13459" s="1">
        <v>43221</v>
      </c>
      <c r="B13459" t="s">
        <v>14</v>
      </c>
      <c r="C13459" t="s">
        <v>6</v>
      </c>
      <c r="D13459">
        <v>23</v>
      </c>
      <c r="E13459" s="2">
        <v>3.1782407407407405E-2</v>
      </c>
      <c r="F13459">
        <v>45.766666666666666</v>
      </c>
    </row>
    <row r="13460" spans="1:6" x14ac:dyDescent="0.25">
      <c r="A13460" s="1">
        <v>43221</v>
      </c>
      <c r="B13460" t="s">
        <v>14</v>
      </c>
      <c r="C13460" t="s">
        <v>7</v>
      </c>
      <c r="D13460">
        <v>18</v>
      </c>
      <c r="E13460" s="2">
        <v>2.7476851851851853E-2</v>
      </c>
      <c r="F13460">
        <v>39.56666666666667</v>
      </c>
    </row>
    <row r="13461" spans="1:6" x14ac:dyDescent="0.25">
      <c r="A13461" s="1">
        <v>43221</v>
      </c>
      <c r="B13461" t="s">
        <v>14</v>
      </c>
      <c r="C13461" t="s">
        <v>8</v>
      </c>
      <c r="D13461">
        <v>8</v>
      </c>
      <c r="E13461" s="2">
        <v>1.2800925925925926E-2</v>
      </c>
      <c r="F13461">
        <v>18.433333333333334</v>
      </c>
    </row>
    <row r="13462" spans="1:6" x14ac:dyDescent="0.25">
      <c r="A13462" s="1">
        <v>43221</v>
      </c>
      <c r="B13462" t="s">
        <v>14</v>
      </c>
      <c r="C13462" t="s">
        <v>9</v>
      </c>
      <c r="D13462">
        <v>6</v>
      </c>
      <c r="E13462" s="2">
        <v>5.2893518518518515E-3</v>
      </c>
      <c r="F13462">
        <v>7.6166666666666671</v>
      </c>
    </row>
    <row r="13463" spans="1:6" x14ac:dyDescent="0.25">
      <c r="A13463" s="1">
        <v>43221</v>
      </c>
      <c r="B13463" t="s">
        <v>14</v>
      </c>
      <c r="C13463" t="s">
        <v>10</v>
      </c>
      <c r="D13463">
        <v>4</v>
      </c>
      <c r="E13463" s="2">
        <v>8.2407407407407412E-3</v>
      </c>
      <c r="F13463">
        <v>11.866666666666667</v>
      </c>
    </row>
    <row r="13464" spans="1:6" x14ac:dyDescent="0.25">
      <c r="A13464" s="1">
        <v>43221</v>
      </c>
      <c r="B13464" t="s">
        <v>14</v>
      </c>
      <c r="C13464" t="s">
        <v>11</v>
      </c>
      <c r="D13464">
        <v>10</v>
      </c>
      <c r="E13464" s="2">
        <v>1.2997685185185185E-2</v>
      </c>
      <c r="F13464">
        <v>18.716666666666665</v>
      </c>
    </row>
    <row r="13465" spans="1:6" x14ac:dyDescent="0.25">
      <c r="A13465" s="1">
        <v>43221</v>
      </c>
      <c r="B13465" t="s">
        <v>15</v>
      </c>
      <c r="C13465" t="s">
        <v>6</v>
      </c>
      <c r="D13465">
        <v>28</v>
      </c>
      <c r="E13465" s="2">
        <v>4.6192129629629632E-2</v>
      </c>
      <c r="F13465">
        <v>66.516666666666666</v>
      </c>
    </row>
    <row r="13466" spans="1:6" x14ac:dyDescent="0.25">
      <c r="A13466" s="1">
        <v>43221</v>
      </c>
      <c r="B13466" t="s">
        <v>15</v>
      </c>
      <c r="C13466" t="s">
        <v>7</v>
      </c>
      <c r="D13466">
        <v>17</v>
      </c>
      <c r="E13466" s="2">
        <v>3.0439814814814815E-2</v>
      </c>
      <c r="F13466">
        <v>43.833333333333336</v>
      </c>
    </row>
    <row r="13467" spans="1:6" x14ac:dyDescent="0.25">
      <c r="A13467" s="1">
        <v>43221</v>
      </c>
      <c r="B13467" t="s">
        <v>15</v>
      </c>
      <c r="C13467" t="s">
        <v>8</v>
      </c>
      <c r="D13467">
        <v>20</v>
      </c>
      <c r="E13467" s="2">
        <v>3.005787037037037E-2</v>
      </c>
      <c r="F13467">
        <v>43.283333333333331</v>
      </c>
    </row>
    <row r="13468" spans="1:6" x14ac:dyDescent="0.25">
      <c r="A13468" s="1">
        <v>43221</v>
      </c>
      <c r="B13468" t="s">
        <v>15</v>
      </c>
      <c r="C13468" t="s">
        <v>9</v>
      </c>
      <c r="D13468">
        <v>2</v>
      </c>
      <c r="E13468" s="2">
        <v>1.1458333333333333E-3</v>
      </c>
      <c r="F13468">
        <v>1.65</v>
      </c>
    </row>
    <row r="13469" spans="1:6" x14ac:dyDescent="0.25">
      <c r="A13469" s="1">
        <v>43221</v>
      </c>
      <c r="B13469" t="s">
        <v>15</v>
      </c>
      <c r="C13469" t="s">
        <v>10</v>
      </c>
      <c r="D13469">
        <v>13</v>
      </c>
      <c r="E13469" s="2">
        <v>1.6932870370370369E-2</v>
      </c>
      <c r="F13469">
        <v>24.383333333333333</v>
      </c>
    </row>
    <row r="13470" spans="1:6" x14ac:dyDescent="0.25">
      <c r="A13470" s="1">
        <v>43221</v>
      </c>
      <c r="B13470" t="s">
        <v>15</v>
      </c>
      <c r="C13470" t="s">
        <v>11</v>
      </c>
      <c r="D13470">
        <v>15</v>
      </c>
      <c r="E13470" s="2">
        <v>9.7569444444444448E-3</v>
      </c>
      <c r="F13470">
        <v>14.05</v>
      </c>
    </row>
    <row r="13471" spans="1:6" x14ac:dyDescent="0.25">
      <c r="A13471" s="1">
        <v>43221</v>
      </c>
      <c r="B13471" t="s">
        <v>16</v>
      </c>
      <c r="C13471" t="s">
        <v>6</v>
      </c>
      <c r="D13471">
        <v>29</v>
      </c>
      <c r="E13471" s="2">
        <v>3.4583333333333334E-2</v>
      </c>
      <c r="F13471">
        <v>49.8</v>
      </c>
    </row>
    <row r="13472" spans="1:6" x14ac:dyDescent="0.25">
      <c r="A13472" s="1">
        <v>43221</v>
      </c>
      <c r="B13472" t="s">
        <v>16</v>
      </c>
      <c r="C13472" t="s">
        <v>7</v>
      </c>
      <c r="D13472">
        <v>30</v>
      </c>
      <c r="E13472" s="2">
        <v>2.5057870370370369E-2</v>
      </c>
      <c r="F13472">
        <v>36.083333333333336</v>
      </c>
    </row>
    <row r="13473" spans="1:6" x14ac:dyDescent="0.25">
      <c r="A13473" s="1">
        <v>43221</v>
      </c>
      <c r="B13473" t="s">
        <v>16</v>
      </c>
      <c r="C13473" t="s">
        <v>8</v>
      </c>
      <c r="D13473">
        <v>38</v>
      </c>
      <c r="E13473" s="2">
        <v>3.8460648148148147E-2</v>
      </c>
      <c r="F13473">
        <v>55.383333333333333</v>
      </c>
    </row>
    <row r="13474" spans="1:6" x14ac:dyDescent="0.25">
      <c r="A13474" s="1">
        <v>43221</v>
      </c>
      <c r="B13474" t="s">
        <v>16</v>
      </c>
      <c r="C13474" t="s">
        <v>9</v>
      </c>
      <c r="D13474">
        <v>7</v>
      </c>
      <c r="E13474" s="2">
        <v>5.3125000000000004E-3</v>
      </c>
      <c r="F13474">
        <v>7.65</v>
      </c>
    </row>
    <row r="13475" spans="1:6" x14ac:dyDescent="0.25">
      <c r="A13475" s="1">
        <v>43221</v>
      </c>
      <c r="B13475" t="s">
        <v>16</v>
      </c>
      <c r="C13475" t="s">
        <v>10</v>
      </c>
      <c r="D13475">
        <v>4</v>
      </c>
      <c r="E13475" s="2">
        <v>3.1597222222222222E-3</v>
      </c>
      <c r="F13475">
        <v>4.55</v>
      </c>
    </row>
    <row r="13476" spans="1:6" x14ac:dyDescent="0.25">
      <c r="A13476" s="1">
        <v>43221</v>
      </c>
      <c r="B13476" t="s">
        <v>16</v>
      </c>
      <c r="C13476" t="s">
        <v>11</v>
      </c>
      <c r="D13476">
        <v>34</v>
      </c>
      <c r="E13476" s="2">
        <v>3.1736111111111111E-2</v>
      </c>
      <c r="F13476">
        <v>45.7</v>
      </c>
    </row>
    <row r="13477" spans="1:6" x14ac:dyDescent="0.25">
      <c r="A13477" s="1">
        <v>43221</v>
      </c>
      <c r="B13477" t="s">
        <v>17</v>
      </c>
      <c r="C13477" t="s">
        <v>6</v>
      </c>
      <c r="D13477">
        <v>10</v>
      </c>
      <c r="E13477" s="2">
        <v>1.5462962962962963E-2</v>
      </c>
      <c r="F13477">
        <v>22.266666666666666</v>
      </c>
    </row>
    <row r="13478" spans="1:6" x14ac:dyDescent="0.25">
      <c r="A13478" s="1">
        <v>43221</v>
      </c>
      <c r="B13478" t="s">
        <v>17</v>
      </c>
      <c r="C13478" t="s">
        <v>7</v>
      </c>
      <c r="D13478">
        <v>20</v>
      </c>
      <c r="E13478" s="2">
        <v>2.3726851851851853E-2</v>
      </c>
      <c r="F13478">
        <v>34.166666666666664</v>
      </c>
    </row>
    <row r="13479" spans="1:6" x14ac:dyDescent="0.25">
      <c r="A13479" s="1">
        <v>43221</v>
      </c>
      <c r="B13479" t="s">
        <v>17</v>
      </c>
      <c r="C13479" t="s">
        <v>8</v>
      </c>
      <c r="D13479">
        <v>14</v>
      </c>
      <c r="E13479" s="2">
        <v>2.0127314814814813E-2</v>
      </c>
      <c r="F13479">
        <v>28.983333333333334</v>
      </c>
    </row>
    <row r="13480" spans="1:6" x14ac:dyDescent="0.25">
      <c r="A13480" s="1">
        <v>43221</v>
      </c>
      <c r="B13480" t="s">
        <v>17</v>
      </c>
      <c r="C13480" t="s">
        <v>9</v>
      </c>
      <c r="D13480">
        <v>3</v>
      </c>
      <c r="E13480" s="2">
        <v>1.8055555555555555E-3</v>
      </c>
      <c r="F13480">
        <v>2.6</v>
      </c>
    </row>
    <row r="13481" spans="1:6" x14ac:dyDescent="0.25">
      <c r="A13481" s="1">
        <v>43221</v>
      </c>
      <c r="B13481" t="s">
        <v>17</v>
      </c>
      <c r="C13481" t="s">
        <v>10</v>
      </c>
      <c r="D13481">
        <v>7</v>
      </c>
      <c r="E13481" s="2">
        <v>9.0162037037037034E-3</v>
      </c>
      <c r="F13481">
        <v>12.983333333333333</v>
      </c>
    </row>
    <row r="13482" spans="1:6" x14ac:dyDescent="0.25">
      <c r="A13482" s="1">
        <v>43221</v>
      </c>
      <c r="B13482" t="s">
        <v>17</v>
      </c>
      <c r="C13482" t="s">
        <v>11</v>
      </c>
      <c r="D13482">
        <v>13</v>
      </c>
      <c r="E13482" s="2">
        <v>1.4918981481481481E-2</v>
      </c>
      <c r="F13482">
        <v>21.483333333333334</v>
      </c>
    </row>
    <row r="13483" spans="1:6" x14ac:dyDescent="0.25">
      <c r="A13483" s="1">
        <v>43221</v>
      </c>
      <c r="B13483" t="s">
        <v>18</v>
      </c>
      <c r="C13483" t="s">
        <v>6</v>
      </c>
      <c r="D13483">
        <v>70</v>
      </c>
      <c r="E13483" s="2">
        <v>7.5034722222222225E-2</v>
      </c>
      <c r="F13483">
        <v>108.05</v>
      </c>
    </row>
    <row r="13484" spans="1:6" x14ac:dyDescent="0.25">
      <c r="A13484" s="1">
        <v>43221</v>
      </c>
      <c r="B13484" t="s">
        <v>18</v>
      </c>
      <c r="C13484" t="s">
        <v>7</v>
      </c>
      <c r="D13484">
        <v>95</v>
      </c>
      <c r="E13484" s="2">
        <v>9.9467592592592594E-2</v>
      </c>
      <c r="F13484">
        <v>143.23333333333332</v>
      </c>
    </row>
    <row r="13485" spans="1:6" x14ac:dyDescent="0.25">
      <c r="A13485" s="1">
        <v>43221</v>
      </c>
      <c r="B13485" t="s">
        <v>18</v>
      </c>
      <c r="C13485" t="s">
        <v>8</v>
      </c>
      <c r="D13485">
        <v>41</v>
      </c>
      <c r="E13485" s="2">
        <v>3.6342592592592593E-2</v>
      </c>
      <c r="F13485">
        <v>52.333333333333336</v>
      </c>
    </row>
    <row r="13486" spans="1:6" x14ac:dyDescent="0.25">
      <c r="A13486" s="1">
        <v>43221</v>
      </c>
      <c r="B13486" t="s">
        <v>18</v>
      </c>
      <c r="C13486" t="s">
        <v>9</v>
      </c>
      <c r="D13486">
        <v>36</v>
      </c>
      <c r="E13486" s="2">
        <v>2.5185185185185185E-2</v>
      </c>
      <c r="F13486">
        <v>36.266666666666666</v>
      </c>
    </row>
    <row r="13487" spans="1:6" x14ac:dyDescent="0.25">
      <c r="A13487" s="1">
        <v>43221</v>
      </c>
      <c r="B13487" t="s">
        <v>18</v>
      </c>
      <c r="C13487" t="s">
        <v>10</v>
      </c>
      <c r="D13487">
        <v>156</v>
      </c>
      <c r="E13487" s="2">
        <v>0.21390046296296297</v>
      </c>
      <c r="F13487">
        <v>308.01666666666665</v>
      </c>
    </row>
    <row r="13488" spans="1:6" x14ac:dyDescent="0.25">
      <c r="A13488" s="1">
        <v>43221</v>
      </c>
      <c r="B13488" t="s">
        <v>18</v>
      </c>
      <c r="C13488" t="s">
        <v>11</v>
      </c>
      <c r="D13488">
        <v>54</v>
      </c>
      <c r="E13488" s="2">
        <v>3.7881944444444447E-2</v>
      </c>
      <c r="F13488">
        <v>54.55</v>
      </c>
    </row>
    <row r="13489" spans="1:6" x14ac:dyDescent="0.25">
      <c r="A13489" s="1">
        <v>43221</v>
      </c>
      <c r="B13489" t="s">
        <v>19</v>
      </c>
      <c r="C13489" t="s">
        <v>6</v>
      </c>
      <c r="D13489">
        <v>9</v>
      </c>
      <c r="E13489" s="2">
        <v>1.0289351851851852E-2</v>
      </c>
      <c r="F13489">
        <v>14.816666666666666</v>
      </c>
    </row>
    <row r="13490" spans="1:6" x14ac:dyDescent="0.25">
      <c r="A13490" s="1">
        <v>43221</v>
      </c>
      <c r="B13490" t="s">
        <v>19</v>
      </c>
      <c r="C13490" t="s">
        <v>7</v>
      </c>
      <c r="D13490">
        <v>23</v>
      </c>
      <c r="E13490" s="2">
        <v>3.2731481481481479E-2</v>
      </c>
      <c r="F13490">
        <v>47.133333333333333</v>
      </c>
    </row>
    <row r="13491" spans="1:6" x14ac:dyDescent="0.25">
      <c r="A13491" s="1">
        <v>43221</v>
      </c>
      <c r="B13491" t="s">
        <v>19</v>
      </c>
      <c r="C13491" t="s">
        <v>8</v>
      </c>
      <c r="D13491">
        <v>14</v>
      </c>
      <c r="E13491" s="2">
        <v>1.1342592592592593E-2</v>
      </c>
      <c r="F13491">
        <v>16.333333333333332</v>
      </c>
    </row>
    <row r="13492" spans="1:6" x14ac:dyDescent="0.25">
      <c r="A13492" s="1">
        <v>43221</v>
      </c>
      <c r="B13492" t="s">
        <v>19</v>
      </c>
      <c r="C13492" t="s">
        <v>9</v>
      </c>
      <c r="D13492">
        <v>6</v>
      </c>
      <c r="E13492" s="2">
        <v>4.2129629629629626E-3</v>
      </c>
      <c r="F13492">
        <v>6.0666666666666664</v>
      </c>
    </row>
    <row r="13493" spans="1:6" x14ac:dyDescent="0.25">
      <c r="A13493" s="1">
        <v>43221</v>
      </c>
      <c r="B13493" t="s">
        <v>19</v>
      </c>
      <c r="C13493" t="s">
        <v>10</v>
      </c>
      <c r="D13493">
        <v>6</v>
      </c>
      <c r="E13493" s="2">
        <v>6.3657407407407404E-3</v>
      </c>
      <c r="F13493">
        <v>9.1666666666666661</v>
      </c>
    </row>
    <row r="13494" spans="1:6" x14ac:dyDescent="0.25">
      <c r="A13494" s="1">
        <v>43221</v>
      </c>
      <c r="B13494" t="s">
        <v>19</v>
      </c>
      <c r="C13494" t="s">
        <v>11</v>
      </c>
      <c r="D13494">
        <v>22</v>
      </c>
      <c r="E13494" s="2">
        <v>1.8287037037037036E-2</v>
      </c>
      <c r="F13494">
        <v>26.333333333333332</v>
      </c>
    </row>
    <row r="13495" spans="1:6" x14ac:dyDescent="0.25">
      <c r="A13495" s="1">
        <v>43221</v>
      </c>
      <c r="B13495" t="s">
        <v>20</v>
      </c>
      <c r="C13495" t="s">
        <v>6</v>
      </c>
      <c r="D13495">
        <v>49</v>
      </c>
      <c r="E13495" s="2">
        <v>6.5219907407407407E-2</v>
      </c>
      <c r="F13495">
        <v>93.916666666666671</v>
      </c>
    </row>
    <row r="13496" spans="1:6" x14ac:dyDescent="0.25">
      <c r="A13496" s="1">
        <v>43221</v>
      </c>
      <c r="B13496" t="s">
        <v>20</v>
      </c>
      <c r="C13496" t="s">
        <v>7</v>
      </c>
      <c r="D13496">
        <v>54</v>
      </c>
      <c r="E13496" s="2">
        <v>6.7511574074074071E-2</v>
      </c>
      <c r="F13496">
        <v>97.216666666666669</v>
      </c>
    </row>
    <row r="13497" spans="1:6" x14ac:dyDescent="0.25">
      <c r="A13497" s="1">
        <v>43221</v>
      </c>
      <c r="B13497" t="s">
        <v>20</v>
      </c>
      <c r="C13497" t="s">
        <v>8</v>
      </c>
      <c r="D13497">
        <v>55</v>
      </c>
      <c r="E13497" s="2">
        <v>7.0081018518518515E-2</v>
      </c>
      <c r="F13497">
        <v>100.91666666666667</v>
      </c>
    </row>
    <row r="13498" spans="1:6" x14ac:dyDescent="0.25">
      <c r="A13498" s="1">
        <v>43221</v>
      </c>
      <c r="B13498" t="s">
        <v>20</v>
      </c>
      <c r="C13498" t="s">
        <v>9</v>
      </c>
      <c r="D13498">
        <v>10</v>
      </c>
      <c r="E13498" s="2">
        <v>8.5532407407407415E-3</v>
      </c>
      <c r="F13498">
        <v>12.316666666666666</v>
      </c>
    </row>
    <row r="13499" spans="1:6" x14ac:dyDescent="0.25">
      <c r="A13499" s="1">
        <v>43221</v>
      </c>
      <c r="B13499" t="s">
        <v>20</v>
      </c>
      <c r="C13499" t="s">
        <v>10</v>
      </c>
      <c r="D13499">
        <v>15</v>
      </c>
      <c r="E13499" s="2">
        <v>2.2094907407407407E-2</v>
      </c>
      <c r="F13499">
        <v>31.816666666666666</v>
      </c>
    </row>
    <row r="13500" spans="1:6" x14ac:dyDescent="0.25">
      <c r="A13500" s="1">
        <v>43221</v>
      </c>
      <c r="B13500" t="s">
        <v>20</v>
      </c>
      <c r="C13500" t="s">
        <v>11</v>
      </c>
      <c r="D13500">
        <v>32</v>
      </c>
      <c r="E13500" s="2">
        <v>2.8888888888888888E-2</v>
      </c>
      <c r="F13500">
        <v>41.6</v>
      </c>
    </row>
    <row r="13501" spans="1:6" x14ac:dyDescent="0.25">
      <c r="A13501" s="1">
        <v>43221</v>
      </c>
      <c r="B13501" t="s">
        <v>21</v>
      </c>
      <c r="C13501" t="s">
        <v>6</v>
      </c>
      <c r="D13501">
        <v>16</v>
      </c>
      <c r="E13501" s="2">
        <v>2.119212962962963E-2</v>
      </c>
      <c r="F13501">
        <v>30.516666666666666</v>
      </c>
    </row>
    <row r="13502" spans="1:6" x14ac:dyDescent="0.25">
      <c r="A13502" s="1">
        <v>43221</v>
      </c>
      <c r="B13502" t="s">
        <v>21</v>
      </c>
      <c r="C13502" t="s">
        <v>7</v>
      </c>
      <c r="D13502">
        <v>17</v>
      </c>
      <c r="E13502" s="2">
        <v>3.0347222222222223E-2</v>
      </c>
      <c r="F13502">
        <v>43.7</v>
      </c>
    </row>
    <row r="13503" spans="1:6" x14ac:dyDescent="0.25">
      <c r="A13503" s="1">
        <v>43221</v>
      </c>
      <c r="B13503" t="s">
        <v>21</v>
      </c>
      <c r="C13503" t="s">
        <v>8</v>
      </c>
      <c r="D13503">
        <v>10</v>
      </c>
      <c r="E13503" s="2">
        <v>1.4212962962962964E-2</v>
      </c>
      <c r="F13503">
        <v>20.466666666666665</v>
      </c>
    </row>
    <row r="13504" spans="1:6" x14ac:dyDescent="0.25">
      <c r="A13504" s="1">
        <v>43221</v>
      </c>
      <c r="B13504" t="s">
        <v>21</v>
      </c>
      <c r="C13504" t="s">
        <v>9</v>
      </c>
      <c r="D13504">
        <v>7</v>
      </c>
      <c r="E13504" s="2">
        <v>4.2824074074074075E-3</v>
      </c>
      <c r="F13504">
        <v>6.166666666666667</v>
      </c>
    </row>
    <row r="13505" spans="1:6" x14ac:dyDescent="0.25">
      <c r="A13505" s="1">
        <v>43221</v>
      </c>
      <c r="B13505" t="s">
        <v>21</v>
      </c>
      <c r="C13505" t="s">
        <v>10</v>
      </c>
      <c r="D13505">
        <v>12</v>
      </c>
      <c r="E13505" s="2">
        <v>1.4108796296296296E-2</v>
      </c>
      <c r="F13505">
        <v>20.316666666666666</v>
      </c>
    </row>
    <row r="13506" spans="1:6" x14ac:dyDescent="0.25">
      <c r="A13506" s="1">
        <v>43221</v>
      </c>
      <c r="B13506" t="s">
        <v>21</v>
      </c>
      <c r="C13506" t="s">
        <v>11</v>
      </c>
      <c r="D13506">
        <v>23</v>
      </c>
      <c r="E13506" s="2">
        <v>2.7465277777777779E-2</v>
      </c>
      <c r="F13506">
        <v>39.549999999999997</v>
      </c>
    </row>
    <row r="13507" spans="1:6" x14ac:dyDescent="0.25">
      <c r="A13507" s="1">
        <v>43221</v>
      </c>
      <c r="B13507" t="s">
        <v>22</v>
      </c>
      <c r="C13507" t="s">
        <v>6</v>
      </c>
      <c r="D13507">
        <v>17</v>
      </c>
      <c r="E13507" s="2">
        <v>3.1678240740740743E-2</v>
      </c>
      <c r="F13507">
        <v>45.616666666666667</v>
      </c>
    </row>
    <row r="13508" spans="1:6" x14ac:dyDescent="0.25">
      <c r="A13508" s="1">
        <v>43221</v>
      </c>
      <c r="B13508" t="s">
        <v>22</v>
      </c>
      <c r="C13508" t="s">
        <v>7</v>
      </c>
      <c r="D13508">
        <v>4</v>
      </c>
      <c r="E13508" s="2">
        <v>4.5023148148148149E-3</v>
      </c>
      <c r="F13508">
        <v>6.4833333333333334</v>
      </c>
    </row>
    <row r="13509" spans="1:6" x14ac:dyDescent="0.25">
      <c r="A13509" s="1">
        <v>43221</v>
      </c>
      <c r="B13509" t="s">
        <v>22</v>
      </c>
      <c r="C13509" t="s">
        <v>8</v>
      </c>
      <c r="D13509">
        <v>2</v>
      </c>
      <c r="E13509" s="2">
        <v>2.8587962962962963E-3</v>
      </c>
      <c r="F13509">
        <v>4.1166666666666663</v>
      </c>
    </row>
    <row r="13510" spans="1:6" x14ac:dyDescent="0.25">
      <c r="A13510" s="1">
        <v>43221</v>
      </c>
      <c r="B13510" t="s">
        <v>22</v>
      </c>
      <c r="C13510" t="s">
        <v>9</v>
      </c>
      <c r="D13510">
        <v>3</v>
      </c>
      <c r="E13510" s="2">
        <v>2.7199074074074074E-3</v>
      </c>
      <c r="F13510">
        <v>3.9166666666666665</v>
      </c>
    </row>
    <row r="13511" spans="1:6" x14ac:dyDescent="0.25">
      <c r="A13511" s="1">
        <v>43221</v>
      </c>
      <c r="B13511" t="s">
        <v>22</v>
      </c>
      <c r="C13511" t="s">
        <v>10</v>
      </c>
      <c r="D13511">
        <v>8</v>
      </c>
      <c r="E13511" s="2">
        <v>8.0787037037037043E-3</v>
      </c>
      <c r="F13511">
        <v>11.633333333333333</v>
      </c>
    </row>
    <row r="13512" spans="1:6" x14ac:dyDescent="0.25">
      <c r="A13512" s="1">
        <v>43221</v>
      </c>
      <c r="B13512" t="s">
        <v>22</v>
      </c>
      <c r="C13512" t="s">
        <v>11</v>
      </c>
      <c r="D13512">
        <v>13</v>
      </c>
      <c r="E13512" s="2">
        <v>1.9050925925925926E-2</v>
      </c>
      <c r="F13512">
        <v>27.433333333333334</v>
      </c>
    </row>
    <row r="13513" spans="1:6" x14ac:dyDescent="0.25">
      <c r="A13513" s="1">
        <v>43221</v>
      </c>
      <c r="B13513" t="s">
        <v>23</v>
      </c>
      <c r="C13513" t="s">
        <v>6</v>
      </c>
      <c r="D13513">
        <v>170</v>
      </c>
      <c r="E13513" s="2">
        <v>0.22409722222222223</v>
      </c>
      <c r="F13513">
        <v>322.7</v>
      </c>
    </row>
    <row r="13514" spans="1:6" x14ac:dyDescent="0.25">
      <c r="A13514" s="1">
        <v>43221</v>
      </c>
      <c r="B13514" t="s">
        <v>23</v>
      </c>
      <c r="C13514" t="s">
        <v>7</v>
      </c>
      <c r="D13514">
        <v>169</v>
      </c>
      <c r="E13514" s="2">
        <v>0.25422453703703701</v>
      </c>
      <c r="F13514">
        <v>366.08333333333331</v>
      </c>
    </row>
    <row r="13515" spans="1:6" x14ac:dyDescent="0.25">
      <c r="A13515" s="1">
        <v>43221</v>
      </c>
      <c r="B13515" t="s">
        <v>23</v>
      </c>
      <c r="C13515" t="s">
        <v>8</v>
      </c>
      <c r="D13515">
        <v>112</v>
      </c>
      <c r="E13515" s="2">
        <v>0.14479166666666668</v>
      </c>
      <c r="F13515">
        <v>208.5</v>
      </c>
    </row>
    <row r="13516" spans="1:6" x14ac:dyDescent="0.25">
      <c r="A13516" s="1">
        <v>43221</v>
      </c>
      <c r="B13516" t="s">
        <v>23</v>
      </c>
      <c r="C13516" t="s">
        <v>9</v>
      </c>
      <c r="D13516">
        <v>28</v>
      </c>
      <c r="E13516" s="2">
        <v>1.9803240740740739E-2</v>
      </c>
      <c r="F13516">
        <v>28.516666666666666</v>
      </c>
    </row>
    <row r="13517" spans="1:6" x14ac:dyDescent="0.25">
      <c r="A13517" s="1">
        <v>43221</v>
      </c>
      <c r="B13517" t="s">
        <v>23</v>
      </c>
      <c r="C13517" t="s">
        <v>10</v>
      </c>
      <c r="D13517">
        <v>39</v>
      </c>
      <c r="E13517" s="2">
        <v>6.0775462962962962E-2</v>
      </c>
      <c r="F13517">
        <v>87.516666666666666</v>
      </c>
    </row>
    <row r="13518" spans="1:6" x14ac:dyDescent="0.25">
      <c r="A13518" s="1">
        <v>43221</v>
      </c>
      <c r="B13518" t="s">
        <v>23</v>
      </c>
      <c r="C13518" t="s">
        <v>11</v>
      </c>
      <c r="D13518">
        <v>142</v>
      </c>
      <c r="E13518" s="2">
        <v>0.12711805555555555</v>
      </c>
      <c r="F13518">
        <v>183.05</v>
      </c>
    </row>
    <row r="13519" spans="1:6" x14ac:dyDescent="0.25">
      <c r="A13519" s="1">
        <v>43221</v>
      </c>
      <c r="B13519" t="s">
        <v>24</v>
      </c>
      <c r="C13519" t="s">
        <v>6</v>
      </c>
      <c r="D13519">
        <v>37</v>
      </c>
      <c r="E13519" s="2">
        <v>4.8298611111111112E-2</v>
      </c>
      <c r="F13519">
        <v>69.55</v>
      </c>
    </row>
    <row r="13520" spans="1:6" x14ac:dyDescent="0.25">
      <c r="A13520" s="1">
        <v>43221</v>
      </c>
      <c r="B13520" t="s">
        <v>24</v>
      </c>
      <c r="C13520" t="s">
        <v>7</v>
      </c>
      <c r="D13520">
        <v>30</v>
      </c>
      <c r="E13520" s="2">
        <v>2.7129629629629629E-2</v>
      </c>
      <c r="F13520">
        <v>39.06666666666667</v>
      </c>
    </row>
    <row r="13521" spans="1:6" x14ac:dyDescent="0.25">
      <c r="A13521" s="1">
        <v>43221</v>
      </c>
      <c r="B13521" t="s">
        <v>24</v>
      </c>
      <c r="C13521" t="s">
        <v>8</v>
      </c>
      <c r="D13521">
        <v>15</v>
      </c>
      <c r="E13521" s="2">
        <v>1.3703703703703704E-2</v>
      </c>
      <c r="F13521">
        <v>19.733333333333334</v>
      </c>
    </row>
    <row r="13522" spans="1:6" x14ac:dyDescent="0.25">
      <c r="A13522" s="1">
        <v>43221</v>
      </c>
      <c r="B13522" t="s">
        <v>24</v>
      </c>
      <c r="C13522" t="s">
        <v>9</v>
      </c>
      <c r="D13522">
        <v>6</v>
      </c>
      <c r="E13522" s="2">
        <v>5.1736111111111115E-3</v>
      </c>
      <c r="F13522">
        <v>7.45</v>
      </c>
    </row>
    <row r="13523" spans="1:6" x14ac:dyDescent="0.25">
      <c r="A13523" s="1">
        <v>43221</v>
      </c>
      <c r="B13523" t="s">
        <v>24</v>
      </c>
      <c r="C13523" t="s">
        <v>10</v>
      </c>
      <c r="D13523">
        <v>0</v>
      </c>
      <c r="E13523" s="2">
        <v>0</v>
      </c>
      <c r="F13523">
        <v>0</v>
      </c>
    </row>
    <row r="13524" spans="1:6" x14ac:dyDescent="0.25">
      <c r="A13524" s="1">
        <v>43221</v>
      </c>
      <c r="B13524" t="s">
        <v>24</v>
      </c>
      <c r="C13524" t="s">
        <v>11</v>
      </c>
      <c r="D13524">
        <v>70</v>
      </c>
      <c r="E13524" s="2">
        <v>5.1655092592592593E-2</v>
      </c>
      <c r="F13524">
        <v>74.38333333333334</v>
      </c>
    </row>
    <row r="13525" spans="1:6" x14ac:dyDescent="0.25">
      <c r="A13525" s="1">
        <v>43252</v>
      </c>
      <c r="B13525" t="s">
        <v>5</v>
      </c>
      <c r="C13525" t="s">
        <v>6</v>
      </c>
      <c r="D13525">
        <v>35</v>
      </c>
      <c r="E13525" s="2">
        <v>3.7013888888888888E-2</v>
      </c>
      <c r="F13525">
        <v>53.3</v>
      </c>
    </row>
    <row r="13526" spans="1:6" x14ac:dyDescent="0.25">
      <c r="A13526" s="1">
        <v>43252</v>
      </c>
      <c r="B13526" t="s">
        <v>5</v>
      </c>
      <c r="C13526" t="s">
        <v>7</v>
      </c>
      <c r="D13526">
        <v>39</v>
      </c>
      <c r="E13526" s="2">
        <v>4.0844907407407406E-2</v>
      </c>
      <c r="F13526">
        <v>58.81666666666667</v>
      </c>
    </row>
    <row r="13527" spans="1:6" x14ac:dyDescent="0.25">
      <c r="A13527" s="1">
        <v>43252</v>
      </c>
      <c r="B13527" t="s">
        <v>5</v>
      </c>
      <c r="C13527" t="s">
        <v>8</v>
      </c>
      <c r="D13527">
        <v>53</v>
      </c>
      <c r="E13527" s="2">
        <v>5.3356481481481484E-2</v>
      </c>
      <c r="F13527">
        <v>76.833333333333329</v>
      </c>
    </row>
    <row r="13528" spans="1:6" x14ac:dyDescent="0.25">
      <c r="A13528" s="1">
        <v>43252</v>
      </c>
      <c r="B13528" t="s">
        <v>5</v>
      </c>
      <c r="C13528" t="s">
        <v>9</v>
      </c>
      <c r="D13528">
        <v>5</v>
      </c>
      <c r="E13528" s="2">
        <v>3.5995370370370369E-3</v>
      </c>
      <c r="F13528">
        <v>5.1833333333333336</v>
      </c>
    </row>
    <row r="13529" spans="1:6" x14ac:dyDescent="0.25">
      <c r="A13529" s="1">
        <v>43252</v>
      </c>
      <c r="B13529" t="s">
        <v>5</v>
      </c>
      <c r="C13529" t="s">
        <v>10</v>
      </c>
      <c r="D13529">
        <v>5</v>
      </c>
      <c r="E13529" s="2">
        <v>7.1180555555555554E-3</v>
      </c>
      <c r="F13529">
        <v>10.25</v>
      </c>
    </row>
    <row r="13530" spans="1:6" x14ac:dyDescent="0.25">
      <c r="A13530" s="1">
        <v>43252</v>
      </c>
      <c r="B13530" t="s">
        <v>5</v>
      </c>
      <c r="C13530" t="s">
        <v>11</v>
      </c>
      <c r="D13530">
        <v>24</v>
      </c>
      <c r="E13530" s="2">
        <v>1.9884259259259258E-2</v>
      </c>
      <c r="F13530">
        <v>28.633333333333333</v>
      </c>
    </row>
    <row r="13531" spans="1:6" x14ac:dyDescent="0.25">
      <c r="A13531" s="1">
        <v>43252</v>
      </c>
      <c r="B13531" t="s">
        <v>12</v>
      </c>
      <c r="C13531" t="s">
        <v>6</v>
      </c>
      <c r="D13531">
        <v>17</v>
      </c>
      <c r="E13531" s="2">
        <v>2.2685185185185187E-2</v>
      </c>
      <c r="F13531">
        <v>32.666666666666664</v>
      </c>
    </row>
    <row r="13532" spans="1:6" x14ac:dyDescent="0.25">
      <c r="A13532" s="1">
        <v>43252</v>
      </c>
      <c r="B13532" t="s">
        <v>12</v>
      </c>
      <c r="C13532" t="s">
        <v>7</v>
      </c>
      <c r="D13532">
        <v>20</v>
      </c>
      <c r="E13532" s="2">
        <v>4.1782407407407407E-2</v>
      </c>
      <c r="F13532">
        <v>60.166666666666664</v>
      </c>
    </row>
    <row r="13533" spans="1:6" x14ac:dyDescent="0.25">
      <c r="A13533" s="1">
        <v>43252</v>
      </c>
      <c r="B13533" t="s">
        <v>12</v>
      </c>
      <c r="C13533" t="s">
        <v>8</v>
      </c>
      <c r="D13533">
        <v>15</v>
      </c>
      <c r="E13533" s="2">
        <v>2.4456018518518519E-2</v>
      </c>
      <c r="F13533">
        <v>35.216666666666669</v>
      </c>
    </row>
    <row r="13534" spans="1:6" x14ac:dyDescent="0.25">
      <c r="A13534" s="1">
        <v>43252</v>
      </c>
      <c r="B13534" t="s">
        <v>12</v>
      </c>
      <c r="C13534" t="s">
        <v>9</v>
      </c>
      <c r="D13534">
        <v>4</v>
      </c>
      <c r="E13534" s="2">
        <v>2.5115740740740741E-3</v>
      </c>
      <c r="F13534">
        <v>3.6166666666666667</v>
      </c>
    </row>
    <row r="13535" spans="1:6" x14ac:dyDescent="0.25">
      <c r="A13535" s="1">
        <v>43252</v>
      </c>
      <c r="B13535" t="s">
        <v>12</v>
      </c>
      <c r="C13535" t="s">
        <v>10</v>
      </c>
      <c r="D13535">
        <v>20</v>
      </c>
      <c r="E13535" s="2">
        <v>3.2002314814814817E-2</v>
      </c>
      <c r="F13535">
        <v>46.083333333333336</v>
      </c>
    </row>
    <row r="13536" spans="1:6" x14ac:dyDescent="0.25">
      <c r="A13536" s="1">
        <v>43252</v>
      </c>
      <c r="B13536" t="s">
        <v>12</v>
      </c>
      <c r="C13536" t="s">
        <v>11</v>
      </c>
      <c r="D13536">
        <v>49</v>
      </c>
      <c r="E13536" s="2">
        <v>5.6990740740740738E-2</v>
      </c>
      <c r="F13536">
        <v>82.066666666666663</v>
      </c>
    </row>
    <row r="13537" spans="1:6" x14ac:dyDescent="0.25">
      <c r="A13537" s="1">
        <v>43252</v>
      </c>
      <c r="B13537" t="s">
        <v>13</v>
      </c>
      <c r="C13537" t="s">
        <v>6</v>
      </c>
      <c r="D13537">
        <v>41</v>
      </c>
      <c r="E13537" s="2">
        <v>6.1851851851851852E-2</v>
      </c>
      <c r="F13537">
        <v>89.066666666666663</v>
      </c>
    </row>
    <row r="13538" spans="1:6" x14ac:dyDescent="0.25">
      <c r="A13538" s="1">
        <v>43252</v>
      </c>
      <c r="B13538" t="s">
        <v>13</v>
      </c>
      <c r="C13538" t="s">
        <v>7</v>
      </c>
      <c r="D13538">
        <v>61</v>
      </c>
      <c r="E13538" s="2">
        <v>7.7245370370370367E-2</v>
      </c>
      <c r="F13538">
        <v>111.23333333333333</v>
      </c>
    </row>
    <row r="13539" spans="1:6" x14ac:dyDescent="0.25">
      <c r="A13539" s="1">
        <v>43252</v>
      </c>
      <c r="B13539" t="s">
        <v>13</v>
      </c>
      <c r="C13539" t="s">
        <v>8</v>
      </c>
      <c r="D13539">
        <v>32</v>
      </c>
      <c r="E13539" s="2">
        <v>4.1851851851851848E-2</v>
      </c>
      <c r="F13539">
        <v>60.266666666666666</v>
      </c>
    </row>
    <row r="13540" spans="1:6" x14ac:dyDescent="0.25">
      <c r="A13540" s="1">
        <v>43252</v>
      </c>
      <c r="B13540" t="s">
        <v>13</v>
      </c>
      <c r="C13540" t="s">
        <v>9</v>
      </c>
      <c r="D13540">
        <v>11</v>
      </c>
      <c r="E13540" s="2">
        <v>9.0393518518518522E-3</v>
      </c>
      <c r="F13540">
        <v>13.016666666666667</v>
      </c>
    </row>
    <row r="13541" spans="1:6" x14ac:dyDescent="0.25">
      <c r="A13541" s="1">
        <v>43252</v>
      </c>
      <c r="B13541" t="s">
        <v>13</v>
      </c>
      <c r="C13541" t="s">
        <v>10</v>
      </c>
      <c r="D13541">
        <v>8</v>
      </c>
      <c r="E13541" s="2">
        <v>1.1018518518518518E-2</v>
      </c>
      <c r="F13541">
        <v>15.866666666666667</v>
      </c>
    </row>
    <row r="13542" spans="1:6" x14ac:dyDescent="0.25">
      <c r="A13542" s="1">
        <v>43252</v>
      </c>
      <c r="B13542" t="s">
        <v>13</v>
      </c>
      <c r="C13542" t="s">
        <v>11</v>
      </c>
      <c r="D13542">
        <v>29</v>
      </c>
      <c r="E13542" s="2">
        <v>3.1342592592592596E-2</v>
      </c>
      <c r="F13542">
        <v>45.133333333333333</v>
      </c>
    </row>
    <row r="13543" spans="1:6" x14ac:dyDescent="0.25">
      <c r="A13543" s="1">
        <v>43252</v>
      </c>
      <c r="B13543" t="s">
        <v>14</v>
      </c>
      <c r="C13543" t="s">
        <v>6</v>
      </c>
      <c r="D13543">
        <v>12</v>
      </c>
      <c r="E13543" s="2">
        <v>1.5578703703703704E-2</v>
      </c>
      <c r="F13543">
        <v>22.433333333333334</v>
      </c>
    </row>
    <row r="13544" spans="1:6" x14ac:dyDescent="0.25">
      <c r="A13544" s="1">
        <v>43252</v>
      </c>
      <c r="B13544" t="s">
        <v>14</v>
      </c>
      <c r="C13544" t="s">
        <v>7</v>
      </c>
      <c r="D13544">
        <v>9</v>
      </c>
      <c r="E13544" s="2">
        <v>1.7465277777777777E-2</v>
      </c>
      <c r="F13544">
        <v>25.15</v>
      </c>
    </row>
    <row r="13545" spans="1:6" x14ac:dyDescent="0.25">
      <c r="A13545" s="1">
        <v>43252</v>
      </c>
      <c r="B13545" t="s">
        <v>14</v>
      </c>
      <c r="C13545" t="s">
        <v>8</v>
      </c>
      <c r="D13545">
        <v>8</v>
      </c>
      <c r="E13545" s="2">
        <v>1.3946759259259259E-2</v>
      </c>
      <c r="F13545">
        <v>20.083333333333332</v>
      </c>
    </row>
    <row r="13546" spans="1:6" x14ac:dyDescent="0.25">
      <c r="A13546" s="1">
        <v>43252</v>
      </c>
      <c r="B13546" t="s">
        <v>14</v>
      </c>
      <c r="C13546" t="s">
        <v>9</v>
      </c>
      <c r="D13546">
        <v>3</v>
      </c>
      <c r="E13546" s="2">
        <v>1.9907407407407408E-3</v>
      </c>
      <c r="F13546">
        <v>2.8666666666666667</v>
      </c>
    </row>
    <row r="13547" spans="1:6" x14ac:dyDescent="0.25">
      <c r="A13547" s="1">
        <v>43252</v>
      </c>
      <c r="B13547" t="s">
        <v>14</v>
      </c>
      <c r="C13547" t="s">
        <v>10</v>
      </c>
      <c r="D13547">
        <v>3</v>
      </c>
      <c r="E13547" s="2">
        <v>3.9699074074074072E-3</v>
      </c>
      <c r="F13547">
        <v>5.7166666666666668</v>
      </c>
    </row>
    <row r="13548" spans="1:6" x14ac:dyDescent="0.25">
      <c r="A13548" s="1">
        <v>43252</v>
      </c>
      <c r="B13548" t="s">
        <v>14</v>
      </c>
      <c r="C13548" t="s">
        <v>11</v>
      </c>
      <c r="D13548">
        <v>16</v>
      </c>
      <c r="E13548" s="2">
        <v>1.8414351851851852E-2</v>
      </c>
      <c r="F13548">
        <v>26.516666666666666</v>
      </c>
    </row>
    <row r="13549" spans="1:6" x14ac:dyDescent="0.25">
      <c r="A13549" s="1">
        <v>43252</v>
      </c>
      <c r="B13549" t="s">
        <v>15</v>
      </c>
      <c r="C13549" t="s">
        <v>6</v>
      </c>
      <c r="D13549">
        <v>17</v>
      </c>
      <c r="E13549" s="2">
        <v>1.8587962962962962E-2</v>
      </c>
      <c r="F13549">
        <v>26.766666666666666</v>
      </c>
    </row>
    <row r="13550" spans="1:6" x14ac:dyDescent="0.25">
      <c r="A13550" s="1">
        <v>43252</v>
      </c>
      <c r="B13550" t="s">
        <v>15</v>
      </c>
      <c r="C13550" t="s">
        <v>7</v>
      </c>
      <c r="D13550">
        <v>38</v>
      </c>
      <c r="E13550" s="2">
        <v>6.1226851851851852E-2</v>
      </c>
      <c r="F13550">
        <v>88.166666666666671</v>
      </c>
    </row>
    <row r="13551" spans="1:6" x14ac:dyDescent="0.25">
      <c r="A13551" s="1">
        <v>43252</v>
      </c>
      <c r="B13551" t="s">
        <v>15</v>
      </c>
      <c r="C13551" t="s">
        <v>8</v>
      </c>
      <c r="D13551">
        <v>18</v>
      </c>
      <c r="E13551" s="2">
        <v>2.5208333333333333E-2</v>
      </c>
      <c r="F13551">
        <v>36.299999999999997</v>
      </c>
    </row>
    <row r="13552" spans="1:6" x14ac:dyDescent="0.25">
      <c r="A13552" s="1">
        <v>43252</v>
      </c>
      <c r="B13552" t="s">
        <v>15</v>
      </c>
      <c r="C13552" t="s">
        <v>9</v>
      </c>
      <c r="D13552">
        <v>4</v>
      </c>
      <c r="E13552" s="2">
        <v>2.1527777777777778E-3</v>
      </c>
      <c r="F13552">
        <v>3.1</v>
      </c>
    </row>
    <row r="13553" spans="1:6" x14ac:dyDescent="0.25">
      <c r="A13553" s="1">
        <v>43252</v>
      </c>
      <c r="B13553" t="s">
        <v>15</v>
      </c>
      <c r="C13553" t="s">
        <v>10</v>
      </c>
      <c r="D13553">
        <v>7</v>
      </c>
      <c r="E13553" s="2">
        <v>1.6770833333333332E-2</v>
      </c>
      <c r="F13553">
        <v>24.15</v>
      </c>
    </row>
    <row r="13554" spans="1:6" x14ac:dyDescent="0.25">
      <c r="A13554" s="1">
        <v>43252</v>
      </c>
      <c r="B13554" t="s">
        <v>15</v>
      </c>
      <c r="C13554" t="s">
        <v>11</v>
      </c>
      <c r="D13554">
        <v>12</v>
      </c>
      <c r="E13554" s="2">
        <v>1.0729166666666666E-2</v>
      </c>
      <c r="F13554">
        <v>15.45</v>
      </c>
    </row>
    <row r="13555" spans="1:6" x14ac:dyDescent="0.25">
      <c r="A13555" s="1">
        <v>43252</v>
      </c>
      <c r="B13555" t="s">
        <v>16</v>
      </c>
      <c r="C13555" t="s">
        <v>6</v>
      </c>
      <c r="D13555">
        <v>15</v>
      </c>
      <c r="E13555" s="2">
        <v>1.653935185185185E-2</v>
      </c>
      <c r="F13555">
        <v>23.816666666666666</v>
      </c>
    </row>
    <row r="13556" spans="1:6" x14ac:dyDescent="0.25">
      <c r="A13556" s="1">
        <v>43252</v>
      </c>
      <c r="B13556" t="s">
        <v>16</v>
      </c>
      <c r="C13556" t="s">
        <v>7</v>
      </c>
      <c r="D13556">
        <v>15</v>
      </c>
      <c r="E13556" s="2">
        <v>1.6203703703703703E-2</v>
      </c>
      <c r="F13556">
        <v>23.333333333333332</v>
      </c>
    </row>
    <row r="13557" spans="1:6" x14ac:dyDescent="0.25">
      <c r="A13557" s="1">
        <v>43252</v>
      </c>
      <c r="B13557" t="s">
        <v>16</v>
      </c>
      <c r="C13557" t="s">
        <v>8</v>
      </c>
      <c r="D13557">
        <v>24</v>
      </c>
      <c r="E13557" s="2">
        <v>2.2905092592592591E-2</v>
      </c>
      <c r="F13557">
        <v>32.983333333333334</v>
      </c>
    </row>
    <row r="13558" spans="1:6" x14ac:dyDescent="0.25">
      <c r="A13558" s="1">
        <v>43252</v>
      </c>
      <c r="B13558" t="s">
        <v>16</v>
      </c>
      <c r="C13558" t="s">
        <v>9</v>
      </c>
      <c r="D13558">
        <v>7</v>
      </c>
      <c r="E13558" s="2">
        <v>4.9884259259259257E-3</v>
      </c>
      <c r="F13558">
        <v>7.1833333333333336</v>
      </c>
    </row>
    <row r="13559" spans="1:6" x14ac:dyDescent="0.25">
      <c r="A13559" s="1">
        <v>43252</v>
      </c>
      <c r="B13559" t="s">
        <v>16</v>
      </c>
      <c r="C13559" t="s">
        <v>10</v>
      </c>
      <c r="D13559">
        <v>4</v>
      </c>
      <c r="E13559" s="2">
        <v>4.7453703703703703E-3</v>
      </c>
      <c r="F13559">
        <v>6.833333333333333</v>
      </c>
    </row>
    <row r="13560" spans="1:6" x14ac:dyDescent="0.25">
      <c r="A13560" s="1">
        <v>43252</v>
      </c>
      <c r="B13560" t="s">
        <v>16</v>
      </c>
      <c r="C13560" t="s">
        <v>11</v>
      </c>
      <c r="D13560">
        <v>36</v>
      </c>
      <c r="E13560" s="2">
        <v>3.0752314814814816E-2</v>
      </c>
      <c r="F13560">
        <v>44.283333333333331</v>
      </c>
    </row>
    <row r="13561" spans="1:6" x14ac:dyDescent="0.25">
      <c r="A13561" s="1">
        <v>43252</v>
      </c>
      <c r="B13561" t="s">
        <v>17</v>
      </c>
      <c r="C13561" t="s">
        <v>6</v>
      </c>
      <c r="D13561">
        <v>6</v>
      </c>
      <c r="E13561" s="2">
        <v>7.6851851851851855E-3</v>
      </c>
      <c r="F13561">
        <v>11.066666666666666</v>
      </c>
    </row>
    <row r="13562" spans="1:6" x14ac:dyDescent="0.25">
      <c r="A13562" s="1">
        <v>43252</v>
      </c>
      <c r="B13562" t="s">
        <v>17</v>
      </c>
      <c r="C13562" t="s">
        <v>7</v>
      </c>
      <c r="D13562">
        <v>10</v>
      </c>
      <c r="E13562" s="2">
        <v>1.1469907407407408E-2</v>
      </c>
      <c r="F13562">
        <v>16.516666666666666</v>
      </c>
    </row>
    <row r="13563" spans="1:6" x14ac:dyDescent="0.25">
      <c r="A13563" s="1">
        <v>43252</v>
      </c>
      <c r="B13563" t="s">
        <v>17</v>
      </c>
      <c r="C13563" t="s">
        <v>8</v>
      </c>
      <c r="D13563">
        <v>6</v>
      </c>
      <c r="E13563" s="2">
        <v>1.1597222222222222E-2</v>
      </c>
      <c r="F13563">
        <v>16.7</v>
      </c>
    </row>
    <row r="13564" spans="1:6" x14ac:dyDescent="0.25">
      <c r="A13564" s="1">
        <v>43252</v>
      </c>
      <c r="B13564" t="s">
        <v>17</v>
      </c>
      <c r="C13564" t="s">
        <v>9</v>
      </c>
      <c r="D13564">
        <v>3</v>
      </c>
      <c r="E13564" s="2">
        <v>3.1250000000000002E-3</v>
      </c>
      <c r="F13564">
        <v>4.5</v>
      </c>
    </row>
    <row r="13565" spans="1:6" x14ac:dyDescent="0.25">
      <c r="A13565" s="1">
        <v>43252</v>
      </c>
      <c r="B13565" t="s">
        <v>17</v>
      </c>
      <c r="C13565" t="s">
        <v>10</v>
      </c>
      <c r="D13565">
        <v>4</v>
      </c>
      <c r="E13565" s="2">
        <v>6.0185185185185185E-3</v>
      </c>
      <c r="F13565">
        <v>8.6666666666666661</v>
      </c>
    </row>
    <row r="13566" spans="1:6" x14ac:dyDescent="0.25">
      <c r="A13566" s="1">
        <v>43252</v>
      </c>
      <c r="B13566" t="s">
        <v>17</v>
      </c>
      <c r="C13566" t="s">
        <v>11</v>
      </c>
      <c r="D13566">
        <v>1</v>
      </c>
      <c r="E13566" s="2">
        <v>1.5046296296296296E-3</v>
      </c>
      <c r="F13566">
        <v>2.1666666666666665</v>
      </c>
    </row>
    <row r="13567" spans="1:6" x14ac:dyDescent="0.25">
      <c r="A13567" s="1">
        <v>43252</v>
      </c>
      <c r="B13567" t="s">
        <v>18</v>
      </c>
      <c r="C13567" t="s">
        <v>6</v>
      </c>
      <c r="D13567">
        <v>65</v>
      </c>
      <c r="E13567" s="2">
        <v>7.3587962962962966E-2</v>
      </c>
      <c r="F13567">
        <v>105.96666666666667</v>
      </c>
    </row>
    <row r="13568" spans="1:6" x14ac:dyDescent="0.25">
      <c r="A13568" s="1">
        <v>43252</v>
      </c>
      <c r="B13568" t="s">
        <v>18</v>
      </c>
      <c r="C13568" t="s">
        <v>7</v>
      </c>
      <c r="D13568">
        <v>97</v>
      </c>
      <c r="E13568" s="2">
        <v>0.11534722222222223</v>
      </c>
      <c r="F13568">
        <v>166.1</v>
      </c>
    </row>
    <row r="13569" spans="1:6" x14ac:dyDescent="0.25">
      <c r="A13569" s="1">
        <v>43252</v>
      </c>
      <c r="B13569" t="s">
        <v>18</v>
      </c>
      <c r="C13569" t="s">
        <v>8</v>
      </c>
      <c r="D13569">
        <v>53</v>
      </c>
      <c r="E13569" s="2">
        <v>4.449074074074074E-2</v>
      </c>
      <c r="F13569">
        <v>64.066666666666663</v>
      </c>
    </row>
    <row r="13570" spans="1:6" x14ac:dyDescent="0.25">
      <c r="A13570" s="1">
        <v>43252</v>
      </c>
      <c r="B13570" t="s">
        <v>18</v>
      </c>
      <c r="C13570" t="s">
        <v>9</v>
      </c>
      <c r="D13570">
        <v>17</v>
      </c>
      <c r="E13570" s="2">
        <v>1.4710648148148148E-2</v>
      </c>
      <c r="F13570">
        <v>21.183333333333334</v>
      </c>
    </row>
    <row r="13571" spans="1:6" x14ac:dyDescent="0.25">
      <c r="A13571" s="1">
        <v>43252</v>
      </c>
      <c r="B13571" t="s">
        <v>18</v>
      </c>
      <c r="C13571" t="s">
        <v>10</v>
      </c>
      <c r="D13571">
        <v>137</v>
      </c>
      <c r="E13571" s="2">
        <v>0.19112268518518519</v>
      </c>
      <c r="F13571">
        <v>275.21666666666664</v>
      </c>
    </row>
    <row r="13572" spans="1:6" x14ac:dyDescent="0.25">
      <c r="A13572" s="1">
        <v>43252</v>
      </c>
      <c r="B13572" t="s">
        <v>18</v>
      </c>
      <c r="C13572" t="s">
        <v>11</v>
      </c>
      <c r="D13572">
        <v>49</v>
      </c>
      <c r="E13572" s="2">
        <v>4.1863425925925929E-2</v>
      </c>
      <c r="F13572">
        <v>60.283333333333331</v>
      </c>
    </row>
    <row r="13573" spans="1:6" x14ac:dyDescent="0.25">
      <c r="A13573" s="1">
        <v>43252</v>
      </c>
      <c r="B13573" t="s">
        <v>19</v>
      </c>
      <c r="C13573" t="s">
        <v>6</v>
      </c>
      <c r="D13573">
        <v>14</v>
      </c>
      <c r="E13573" s="2">
        <v>1.6435185185185185E-2</v>
      </c>
      <c r="F13573">
        <v>23.666666666666668</v>
      </c>
    </row>
    <row r="13574" spans="1:6" x14ac:dyDescent="0.25">
      <c r="A13574" s="1">
        <v>43252</v>
      </c>
      <c r="B13574" t="s">
        <v>19</v>
      </c>
      <c r="C13574" t="s">
        <v>7</v>
      </c>
      <c r="D13574">
        <v>17</v>
      </c>
      <c r="E13574" s="2">
        <v>1.8530092592592591E-2</v>
      </c>
      <c r="F13574">
        <v>26.683333333333334</v>
      </c>
    </row>
    <row r="13575" spans="1:6" x14ac:dyDescent="0.25">
      <c r="A13575" s="1">
        <v>43252</v>
      </c>
      <c r="B13575" t="s">
        <v>19</v>
      </c>
      <c r="C13575" t="s">
        <v>8</v>
      </c>
      <c r="D13575">
        <v>16</v>
      </c>
      <c r="E13575" s="2">
        <v>1.8229166666666668E-2</v>
      </c>
      <c r="F13575">
        <v>26.25</v>
      </c>
    </row>
    <row r="13576" spans="1:6" x14ac:dyDescent="0.25">
      <c r="A13576" s="1">
        <v>43252</v>
      </c>
      <c r="B13576" t="s">
        <v>19</v>
      </c>
      <c r="C13576" t="s">
        <v>9</v>
      </c>
      <c r="D13576">
        <v>3</v>
      </c>
      <c r="E13576" s="2">
        <v>2.7546296296296294E-3</v>
      </c>
      <c r="F13576">
        <v>3.9666666666666668</v>
      </c>
    </row>
    <row r="13577" spans="1:6" x14ac:dyDescent="0.25">
      <c r="A13577" s="1">
        <v>43252</v>
      </c>
      <c r="B13577" t="s">
        <v>19</v>
      </c>
      <c r="C13577" t="s">
        <v>10</v>
      </c>
      <c r="D13577">
        <v>8</v>
      </c>
      <c r="E13577" s="2">
        <v>1.105324074074074E-2</v>
      </c>
      <c r="F13577">
        <v>15.916666666666666</v>
      </c>
    </row>
    <row r="13578" spans="1:6" x14ac:dyDescent="0.25">
      <c r="A13578" s="1">
        <v>43252</v>
      </c>
      <c r="B13578" t="s">
        <v>19</v>
      </c>
      <c r="C13578" t="s">
        <v>11</v>
      </c>
      <c r="D13578">
        <v>16</v>
      </c>
      <c r="E13578" s="2">
        <v>1.3414351851851853E-2</v>
      </c>
      <c r="F13578">
        <v>19.316666666666666</v>
      </c>
    </row>
    <row r="13579" spans="1:6" x14ac:dyDescent="0.25">
      <c r="A13579" s="1">
        <v>43252</v>
      </c>
      <c r="B13579" t="s">
        <v>20</v>
      </c>
      <c r="C13579" t="s">
        <v>6</v>
      </c>
      <c r="D13579">
        <v>24</v>
      </c>
      <c r="E13579" s="2">
        <v>3.4062500000000002E-2</v>
      </c>
      <c r="F13579">
        <v>49.05</v>
      </c>
    </row>
    <row r="13580" spans="1:6" x14ac:dyDescent="0.25">
      <c r="A13580" s="1">
        <v>43252</v>
      </c>
      <c r="B13580" t="s">
        <v>20</v>
      </c>
      <c r="C13580" t="s">
        <v>7</v>
      </c>
      <c r="D13580">
        <v>41</v>
      </c>
      <c r="E13580" s="2">
        <v>5.5243055555555552E-2</v>
      </c>
      <c r="F13580">
        <v>79.55</v>
      </c>
    </row>
    <row r="13581" spans="1:6" x14ac:dyDescent="0.25">
      <c r="A13581" s="1">
        <v>43252</v>
      </c>
      <c r="B13581" t="s">
        <v>20</v>
      </c>
      <c r="C13581" t="s">
        <v>8</v>
      </c>
      <c r="D13581">
        <v>29</v>
      </c>
      <c r="E13581" s="2">
        <v>3.4143518518518517E-2</v>
      </c>
      <c r="F13581">
        <v>49.166666666666664</v>
      </c>
    </row>
    <row r="13582" spans="1:6" x14ac:dyDescent="0.25">
      <c r="A13582" s="1">
        <v>43252</v>
      </c>
      <c r="B13582" t="s">
        <v>20</v>
      </c>
      <c r="C13582" t="s">
        <v>9</v>
      </c>
      <c r="D13582">
        <v>6</v>
      </c>
      <c r="E13582" s="2">
        <v>4.0740740740740737E-3</v>
      </c>
      <c r="F13582">
        <v>5.8666666666666671</v>
      </c>
    </row>
    <row r="13583" spans="1:6" x14ac:dyDescent="0.25">
      <c r="A13583" s="1">
        <v>43252</v>
      </c>
      <c r="B13583" t="s">
        <v>20</v>
      </c>
      <c r="C13583" t="s">
        <v>10</v>
      </c>
      <c r="D13583">
        <v>8</v>
      </c>
      <c r="E13583" s="2">
        <v>1.0034722222222223E-2</v>
      </c>
      <c r="F13583">
        <v>14.45</v>
      </c>
    </row>
    <row r="13584" spans="1:6" x14ac:dyDescent="0.25">
      <c r="A13584" s="1">
        <v>43252</v>
      </c>
      <c r="B13584" t="s">
        <v>20</v>
      </c>
      <c r="C13584" t="s">
        <v>11</v>
      </c>
      <c r="D13584">
        <v>20</v>
      </c>
      <c r="E13584" s="2">
        <v>1.6689814814814814E-2</v>
      </c>
      <c r="F13584">
        <v>24.033333333333335</v>
      </c>
    </row>
    <row r="13585" spans="1:6" x14ac:dyDescent="0.25">
      <c r="A13585" s="1">
        <v>43252</v>
      </c>
      <c r="B13585" t="s">
        <v>21</v>
      </c>
      <c r="C13585" t="s">
        <v>6</v>
      </c>
      <c r="D13585">
        <v>12</v>
      </c>
      <c r="E13585" s="2">
        <v>1.5532407407407408E-2</v>
      </c>
      <c r="F13585">
        <v>22.366666666666667</v>
      </c>
    </row>
    <row r="13586" spans="1:6" x14ac:dyDescent="0.25">
      <c r="A13586" s="1">
        <v>43252</v>
      </c>
      <c r="B13586" t="s">
        <v>21</v>
      </c>
      <c r="C13586" t="s">
        <v>7</v>
      </c>
      <c r="D13586">
        <v>9</v>
      </c>
      <c r="E13586" s="2">
        <v>2.0833333333333332E-2</v>
      </c>
      <c r="F13586">
        <v>30</v>
      </c>
    </row>
    <row r="13587" spans="1:6" x14ac:dyDescent="0.25">
      <c r="A13587" s="1">
        <v>43252</v>
      </c>
      <c r="B13587" t="s">
        <v>21</v>
      </c>
      <c r="C13587" t="s">
        <v>8</v>
      </c>
      <c r="D13587">
        <v>9</v>
      </c>
      <c r="E13587" s="2">
        <v>1.0659722222222221E-2</v>
      </c>
      <c r="F13587">
        <v>15.35</v>
      </c>
    </row>
    <row r="13588" spans="1:6" x14ac:dyDescent="0.25">
      <c r="A13588" s="1">
        <v>43252</v>
      </c>
      <c r="B13588" t="s">
        <v>21</v>
      </c>
      <c r="C13588" t="s">
        <v>9</v>
      </c>
      <c r="D13588">
        <v>1</v>
      </c>
      <c r="E13588" s="2">
        <v>6.3657407407407413E-4</v>
      </c>
      <c r="F13588">
        <v>0.91666666666666663</v>
      </c>
    </row>
    <row r="13589" spans="1:6" x14ac:dyDescent="0.25">
      <c r="A13589" s="1">
        <v>43252</v>
      </c>
      <c r="B13589" t="s">
        <v>21</v>
      </c>
      <c r="C13589" t="s">
        <v>10</v>
      </c>
      <c r="D13589">
        <v>6</v>
      </c>
      <c r="E13589" s="2">
        <v>1.1238425925925926E-2</v>
      </c>
      <c r="F13589">
        <v>16.183333333333334</v>
      </c>
    </row>
    <row r="13590" spans="1:6" x14ac:dyDescent="0.25">
      <c r="A13590" s="1">
        <v>43252</v>
      </c>
      <c r="B13590" t="s">
        <v>21</v>
      </c>
      <c r="C13590" t="s">
        <v>11</v>
      </c>
      <c r="D13590">
        <v>15</v>
      </c>
      <c r="E13590" s="2">
        <v>2.1122685185185185E-2</v>
      </c>
      <c r="F13590">
        <v>30.416666666666668</v>
      </c>
    </row>
    <row r="13591" spans="1:6" x14ac:dyDescent="0.25">
      <c r="A13591" s="1">
        <v>43252</v>
      </c>
      <c r="B13591" t="s">
        <v>22</v>
      </c>
      <c r="C13591" t="s">
        <v>6</v>
      </c>
      <c r="D13591">
        <v>10</v>
      </c>
      <c r="E13591" s="2">
        <v>1.3865740740740741E-2</v>
      </c>
      <c r="F13591">
        <v>19.966666666666665</v>
      </c>
    </row>
    <row r="13592" spans="1:6" x14ac:dyDescent="0.25">
      <c r="A13592" s="1">
        <v>43252</v>
      </c>
      <c r="B13592" t="s">
        <v>22</v>
      </c>
      <c r="C13592" t="s">
        <v>7</v>
      </c>
      <c r="D13592">
        <v>7</v>
      </c>
      <c r="E13592" s="2">
        <v>1.3263888888888889E-2</v>
      </c>
      <c r="F13592">
        <v>19.100000000000001</v>
      </c>
    </row>
    <row r="13593" spans="1:6" x14ac:dyDescent="0.25">
      <c r="A13593" s="1">
        <v>43252</v>
      </c>
      <c r="B13593" t="s">
        <v>22</v>
      </c>
      <c r="C13593" t="s">
        <v>8</v>
      </c>
      <c r="D13593">
        <v>5</v>
      </c>
      <c r="E13593" s="2">
        <v>1.0648148148148148E-2</v>
      </c>
      <c r="F13593">
        <v>15.333333333333334</v>
      </c>
    </row>
    <row r="13594" spans="1:6" x14ac:dyDescent="0.25">
      <c r="A13594" s="1">
        <v>43252</v>
      </c>
      <c r="B13594" t="s">
        <v>22</v>
      </c>
      <c r="C13594" t="s">
        <v>9</v>
      </c>
      <c r="D13594">
        <v>4</v>
      </c>
      <c r="E13594" s="2">
        <v>2.9861111111111113E-3</v>
      </c>
      <c r="F13594">
        <v>4.3</v>
      </c>
    </row>
    <row r="13595" spans="1:6" x14ac:dyDescent="0.25">
      <c r="A13595" s="1">
        <v>43252</v>
      </c>
      <c r="B13595" t="s">
        <v>22</v>
      </c>
      <c r="C13595" t="s">
        <v>10</v>
      </c>
      <c r="D13595">
        <v>6</v>
      </c>
      <c r="E13595" s="2">
        <v>6.3657407407407404E-3</v>
      </c>
      <c r="F13595">
        <v>9.1666666666666661</v>
      </c>
    </row>
    <row r="13596" spans="1:6" x14ac:dyDescent="0.25">
      <c r="A13596" s="1">
        <v>43252</v>
      </c>
      <c r="B13596" t="s">
        <v>22</v>
      </c>
      <c r="C13596" t="s">
        <v>11</v>
      </c>
      <c r="D13596">
        <v>7</v>
      </c>
      <c r="E13596" s="2">
        <v>1.2060185185185186E-2</v>
      </c>
      <c r="F13596">
        <v>17.366666666666667</v>
      </c>
    </row>
    <row r="13597" spans="1:6" x14ac:dyDescent="0.25">
      <c r="A13597" s="1">
        <v>43252</v>
      </c>
      <c r="B13597" t="s">
        <v>23</v>
      </c>
      <c r="C13597" t="s">
        <v>6</v>
      </c>
      <c r="D13597">
        <v>72</v>
      </c>
      <c r="E13597" s="2">
        <v>8.7835648148148149E-2</v>
      </c>
      <c r="F13597">
        <v>126.48333333333333</v>
      </c>
    </row>
    <row r="13598" spans="1:6" x14ac:dyDescent="0.25">
      <c r="A13598" s="1">
        <v>43252</v>
      </c>
      <c r="B13598" t="s">
        <v>23</v>
      </c>
      <c r="C13598" t="s">
        <v>7</v>
      </c>
      <c r="D13598">
        <v>87</v>
      </c>
      <c r="E13598" s="2">
        <v>0.11658564814814815</v>
      </c>
      <c r="F13598">
        <v>167.88333333333333</v>
      </c>
    </row>
    <row r="13599" spans="1:6" x14ac:dyDescent="0.25">
      <c r="A13599" s="1">
        <v>43252</v>
      </c>
      <c r="B13599" t="s">
        <v>23</v>
      </c>
      <c r="C13599" t="s">
        <v>8</v>
      </c>
      <c r="D13599">
        <v>64</v>
      </c>
      <c r="E13599" s="2">
        <v>6.6238425925925923E-2</v>
      </c>
      <c r="F13599">
        <v>95.38333333333334</v>
      </c>
    </row>
    <row r="13600" spans="1:6" x14ac:dyDescent="0.25">
      <c r="A13600" s="1">
        <v>43252</v>
      </c>
      <c r="B13600" t="s">
        <v>23</v>
      </c>
      <c r="C13600" t="s">
        <v>9</v>
      </c>
      <c r="D13600">
        <v>12</v>
      </c>
      <c r="E13600" s="2">
        <v>7.8009259259259256E-3</v>
      </c>
      <c r="F13600">
        <v>11.233333333333333</v>
      </c>
    </row>
    <row r="13601" spans="1:6" x14ac:dyDescent="0.25">
      <c r="A13601" s="1">
        <v>43252</v>
      </c>
      <c r="B13601" t="s">
        <v>23</v>
      </c>
      <c r="C13601" t="s">
        <v>10</v>
      </c>
      <c r="D13601">
        <v>26</v>
      </c>
      <c r="E13601" s="2">
        <v>3.4328703703703702E-2</v>
      </c>
      <c r="F13601">
        <v>49.43333333333333</v>
      </c>
    </row>
    <row r="13602" spans="1:6" x14ac:dyDescent="0.25">
      <c r="A13602" s="1">
        <v>43252</v>
      </c>
      <c r="B13602" t="s">
        <v>23</v>
      </c>
      <c r="C13602" t="s">
        <v>11</v>
      </c>
      <c r="D13602">
        <v>75</v>
      </c>
      <c r="E13602" s="2">
        <v>8.0509259259259253E-2</v>
      </c>
      <c r="F13602">
        <v>115.93333333333334</v>
      </c>
    </row>
    <row r="13603" spans="1:6" x14ac:dyDescent="0.25">
      <c r="A13603" s="1">
        <v>43252</v>
      </c>
      <c r="B13603" t="s">
        <v>24</v>
      </c>
      <c r="C13603" t="s">
        <v>6</v>
      </c>
      <c r="D13603">
        <v>117</v>
      </c>
      <c r="E13603" s="2">
        <v>0.12438657407407408</v>
      </c>
      <c r="F13603">
        <v>179.11666666666667</v>
      </c>
    </row>
    <row r="13604" spans="1:6" x14ac:dyDescent="0.25">
      <c r="A13604" s="1">
        <v>43252</v>
      </c>
      <c r="B13604" t="s">
        <v>24</v>
      </c>
      <c r="C13604" t="s">
        <v>7</v>
      </c>
      <c r="D13604">
        <v>53</v>
      </c>
      <c r="E13604" s="2">
        <v>4.7858796296296295E-2</v>
      </c>
      <c r="F13604">
        <v>68.916666666666671</v>
      </c>
    </row>
    <row r="13605" spans="1:6" x14ac:dyDescent="0.25">
      <c r="A13605" s="1">
        <v>43252</v>
      </c>
      <c r="B13605" t="s">
        <v>24</v>
      </c>
      <c r="C13605" t="s">
        <v>8</v>
      </c>
      <c r="D13605">
        <v>45</v>
      </c>
      <c r="E13605" s="2">
        <v>3.4224537037037039E-2</v>
      </c>
      <c r="F13605">
        <v>49.283333333333331</v>
      </c>
    </row>
    <row r="13606" spans="1:6" x14ac:dyDescent="0.25">
      <c r="A13606" s="1">
        <v>43252</v>
      </c>
      <c r="B13606" t="s">
        <v>24</v>
      </c>
      <c r="C13606" t="s">
        <v>9</v>
      </c>
      <c r="D13606">
        <v>14</v>
      </c>
      <c r="E13606" s="2">
        <v>9.6874999999999999E-3</v>
      </c>
      <c r="F13606">
        <v>13.95</v>
      </c>
    </row>
    <row r="13607" spans="1:6" x14ac:dyDescent="0.25">
      <c r="A13607" s="1">
        <v>43252</v>
      </c>
      <c r="B13607" t="s">
        <v>24</v>
      </c>
      <c r="C13607" t="s">
        <v>10</v>
      </c>
      <c r="D13607">
        <v>4</v>
      </c>
      <c r="E13607" s="2">
        <v>5.9259259259259256E-3</v>
      </c>
      <c r="F13607">
        <v>8.5333333333333332</v>
      </c>
    </row>
    <row r="13608" spans="1:6" x14ac:dyDescent="0.25">
      <c r="A13608" s="1">
        <v>43252</v>
      </c>
      <c r="B13608" t="s">
        <v>24</v>
      </c>
      <c r="C13608" t="s">
        <v>11</v>
      </c>
      <c r="D13608">
        <v>61</v>
      </c>
      <c r="E13608" s="2">
        <v>4.6412037037037036E-2</v>
      </c>
      <c r="F13608">
        <v>66.833333333333329</v>
      </c>
    </row>
    <row r="13609" spans="1:6" x14ac:dyDescent="0.25">
      <c r="A13609" s="1">
        <v>43282</v>
      </c>
      <c r="B13609" t="s">
        <v>5</v>
      </c>
      <c r="C13609" t="s">
        <v>6</v>
      </c>
      <c r="D13609">
        <v>53</v>
      </c>
      <c r="E13609" s="2">
        <v>4.4583333333333336E-2</v>
      </c>
      <c r="F13609">
        <v>64.2</v>
      </c>
    </row>
    <row r="13610" spans="1:6" x14ac:dyDescent="0.25">
      <c r="A13610" s="1">
        <v>43282</v>
      </c>
      <c r="B13610" t="s">
        <v>5</v>
      </c>
      <c r="C13610" t="s">
        <v>7</v>
      </c>
      <c r="D13610">
        <v>40</v>
      </c>
      <c r="E13610" s="2">
        <v>3.5127314814814813E-2</v>
      </c>
      <c r="F13610">
        <v>50.583333333333336</v>
      </c>
    </row>
    <row r="13611" spans="1:6" x14ac:dyDescent="0.25">
      <c r="A13611" s="1">
        <v>43282</v>
      </c>
      <c r="B13611" t="s">
        <v>5</v>
      </c>
      <c r="C13611" t="s">
        <v>8</v>
      </c>
      <c r="D13611">
        <v>46</v>
      </c>
      <c r="E13611" s="2">
        <v>3.2106481481481479E-2</v>
      </c>
      <c r="F13611">
        <v>46.233333333333334</v>
      </c>
    </row>
    <row r="13612" spans="1:6" x14ac:dyDescent="0.25">
      <c r="A13612" s="1">
        <v>43282</v>
      </c>
      <c r="B13612" t="s">
        <v>5</v>
      </c>
      <c r="C13612" t="s">
        <v>9</v>
      </c>
      <c r="D13612">
        <v>0</v>
      </c>
      <c r="E13612" s="2">
        <v>0</v>
      </c>
      <c r="F13612">
        <v>0</v>
      </c>
    </row>
    <row r="13613" spans="1:6" x14ac:dyDescent="0.25">
      <c r="A13613" s="1">
        <v>43282</v>
      </c>
      <c r="B13613" t="s">
        <v>5</v>
      </c>
      <c r="C13613" t="s">
        <v>10</v>
      </c>
      <c r="D13613">
        <v>10</v>
      </c>
      <c r="E13613" s="2">
        <v>9.4097222222222221E-3</v>
      </c>
      <c r="F13613">
        <v>13.55</v>
      </c>
    </row>
    <row r="13614" spans="1:6" x14ac:dyDescent="0.25">
      <c r="A13614" s="1">
        <v>43282</v>
      </c>
      <c r="B13614" t="s">
        <v>5</v>
      </c>
      <c r="C13614" t="s">
        <v>11</v>
      </c>
      <c r="D13614">
        <v>60</v>
      </c>
      <c r="E13614" s="2">
        <v>4.8009259259259258E-2</v>
      </c>
      <c r="F13614">
        <v>69.13333333333334</v>
      </c>
    </row>
    <row r="13615" spans="1:6" x14ac:dyDescent="0.25">
      <c r="A13615" s="1">
        <v>43282</v>
      </c>
      <c r="B13615" t="s">
        <v>12</v>
      </c>
      <c r="C13615" t="s">
        <v>6</v>
      </c>
      <c r="D13615">
        <v>28</v>
      </c>
      <c r="E13615" s="2">
        <v>4.6215277777777779E-2</v>
      </c>
      <c r="F13615">
        <v>66.55</v>
      </c>
    </row>
    <row r="13616" spans="1:6" x14ac:dyDescent="0.25">
      <c r="A13616" s="1">
        <v>43282</v>
      </c>
      <c r="B13616" t="s">
        <v>12</v>
      </c>
      <c r="C13616" t="s">
        <v>7</v>
      </c>
      <c r="D13616">
        <v>20</v>
      </c>
      <c r="E13616" s="2">
        <v>4.7743055555555552E-2</v>
      </c>
      <c r="F13616">
        <v>68.75</v>
      </c>
    </row>
    <row r="13617" spans="1:6" x14ac:dyDescent="0.25">
      <c r="A13617" s="1">
        <v>43282</v>
      </c>
      <c r="B13617" t="s">
        <v>12</v>
      </c>
      <c r="C13617" t="s">
        <v>8</v>
      </c>
      <c r="D13617">
        <v>23</v>
      </c>
      <c r="E13617" s="2">
        <v>4.3055555555555555E-2</v>
      </c>
      <c r="F13617">
        <v>62</v>
      </c>
    </row>
    <row r="13618" spans="1:6" x14ac:dyDescent="0.25">
      <c r="A13618" s="1">
        <v>43282</v>
      </c>
      <c r="B13618" t="s">
        <v>12</v>
      </c>
      <c r="C13618" t="s">
        <v>9</v>
      </c>
      <c r="D13618">
        <v>0</v>
      </c>
      <c r="E13618" s="2">
        <v>0</v>
      </c>
      <c r="F13618">
        <v>0</v>
      </c>
    </row>
    <row r="13619" spans="1:6" x14ac:dyDescent="0.25">
      <c r="A13619" s="1">
        <v>43282</v>
      </c>
      <c r="B13619" t="s">
        <v>12</v>
      </c>
      <c r="C13619" t="s">
        <v>10</v>
      </c>
      <c r="D13619">
        <v>32</v>
      </c>
      <c r="E13619" s="2">
        <v>5.4722222222222221E-2</v>
      </c>
      <c r="F13619">
        <v>78.8</v>
      </c>
    </row>
    <row r="13620" spans="1:6" x14ac:dyDescent="0.25">
      <c r="A13620" s="1">
        <v>43282</v>
      </c>
      <c r="B13620" t="s">
        <v>12</v>
      </c>
      <c r="C13620" t="s">
        <v>11</v>
      </c>
      <c r="D13620">
        <v>52</v>
      </c>
      <c r="E13620" s="2">
        <v>6.4375000000000002E-2</v>
      </c>
      <c r="F13620">
        <v>92.7</v>
      </c>
    </row>
    <row r="13621" spans="1:6" x14ac:dyDescent="0.25">
      <c r="A13621" s="1">
        <v>43282</v>
      </c>
      <c r="B13621" t="s">
        <v>13</v>
      </c>
      <c r="C13621" t="s">
        <v>6</v>
      </c>
      <c r="D13621">
        <v>66</v>
      </c>
      <c r="E13621" s="2">
        <v>0.10968749999999999</v>
      </c>
      <c r="F13621">
        <v>157.94999999999999</v>
      </c>
    </row>
    <row r="13622" spans="1:6" x14ac:dyDescent="0.25">
      <c r="A13622" s="1">
        <v>43282</v>
      </c>
      <c r="B13622" t="s">
        <v>13</v>
      </c>
      <c r="C13622" t="s">
        <v>7</v>
      </c>
      <c r="D13622">
        <v>76</v>
      </c>
      <c r="E13622" s="2">
        <v>0.13908564814814814</v>
      </c>
      <c r="F13622">
        <v>200.28333333333333</v>
      </c>
    </row>
    <row r="13623" spans="1:6" x14ac:dyDescent="0.25">
      <c r="A13623" s="1">
        <v>43282</v>
      </c>
      <c r="B13623" t="s">
        <v>13</v>
      </c>
      <c r="C13623" t="s">
        <v>8</v>
      </c>
      <c r="D13623">
        <v>35</v>
      </c>
      <c r="E13623" s="2">
        <v>4.9814814814814812E-2</v>
      </c>
      <c r="F13623">
        <v>71.733333333333334</v>
      </c>
    </row>
    <row r="13624" spans="1:6" x14ac:dyDescent="0.25">
      <c r="A13624" s="1">
        <v>43282</v>
      </c>
      <c r="B13624" t="s">
        <v>13</v>
      </c>
      <c r="C13624" t="s">
        <v>9</v>
      </c>
      <c r="D13624">
        <v>0</v>
      </c>
      <c r="E13624" s="2">
        <v>0</v>
      </c>
      <c r="F13624">
        <v>0</v>
      </c>
    </row>
    <row r="13625" spans="1:6" x14ac:dyDescent="0.25">
      <c r="A13625" s="1">
        <v>43282</v>
      </c>
      <c r="B13625" t="s">
        <v>13</v>
      </c>
      <c r="C13625" t="s">
        <v>10</v>
      </c>
      <c r="D13625">
        <v>7</v>
      </c>
      <c r="E13625" s="2">
        <v>1.1412037037037037E-2</v>
      </c>
      <c r="F13625">
        <v>16.433333333333334</v>
      </c>
    </row>
    <row r="13626" spans="1:6" x14ac:dyDescent="0.25">
      <c r="A13626" s="1">
        <v>43282</v>
      </c>
      <c r="B13626" t="s">
        <v>13</v>
      </c>
      <c r="C13626" t="s">
        <v>11</v>
      </c>
      <c r="D13626">
        <v>23</v>
      </c>
      <c r="E13626" s="2">
        <v>2.4155092592592593E-2</v>
      </c>
      <c r="F13626">
        <v>34.783333333333331</v>
      </c>
    </row>
    <row r="13627" spans="1:6" x14ac:dyDescent="0.25">
      <c r="A13627" s="1">
        <v>43282</v>
      </c>
      <c r="B13627" t="s">
        <v>14</v>
      </c>
      <c r="C13627" t="s">
        <v>6</v>
      </c>
      <c r="D13627">
        <v>10</v>
      </c>
      <c r="E13627" s="2">
        <v>1.5462962962962963E-2</v>
      </c>
      <c r="F13627">
        <v>22.266666666666666</v>
      </c>
    </row>
    <row r="13628" spans="1:6" x14ac:dyDescent="0.25">
      <c r="A13628" s="1">
        <v>43282</v>
      </c>
      <c r="B13628" t="s">
        <v>14</v>
      </c>
      <c r="C13628" t="s">
        <v>7</v>
      </c>
      <c r="D13628">
        <v>4</v>
      </c>
      <c r="E13628" s="2">
        <v>5.2662037037037035E-3</v>
      </c>
      <c r="F13628">
        <v>7.583333333333333</v>
      </c>
    </row>
    <row r="13629" spans="1:6" x14ac:dyDescent="0.25">
      <c r="A13629" s="1">
        <v>43282</v>
      </c>
      <c r="B13629" t="s">
        <v>14</v>
      </c>
      <c r="C13629" t="s">
        <v>8</v>
      </c>
      <c r="D13629">
        <v>3</v>
      </c>
      <c r="E13629" s="2">
        <v>3.2060185185185186E-3</v>
      </c>
      <c r="F13629">
        <v>4.6166666666666671</v>
      </c>
    </row>
    <row r="13630" spans="1:6" x14ac:dyDescent="0.25">
      <c r="A13630" s="1">
        <v>43282</v>
      </c>
      <c r="B13630" t="s">
        <v>14</v>
      </c>
      <c r="C13630" t="s">
        <v>9</v>
      </c>
      <c r="D13630">
        <v>0</v>
      </c>
      <c r="E13630" s="2">
        <v>0</v>
      </c>
      <c r="F13630">
        <v>0</v>
      </c>
    </row>
    <row r="13631" spans="1:6" x14ac:dyDescent="0.25">
      <c r="A13631" s="1">
        <v>43282</v>
      </c>
      <c r="B13631" t="s">
        <v>14</v>
      </c>
      <c r="C13631" t="s">
        <v>10</v>
      </c>
      <c r="D13631">
        <v>0</v>
      </c>
      <c r="E13631" s="2">
        <v>0</v>
      </c>
      <c r="F13631">
        <v>0</v>
      </c>
    </row>
    <row r="13632" spans="1:6" x14ac:dyDescent="0.25">
      <c r="A13632" s="1">
        <v>43282</v>
      </c>
      <c r="B13632" t="s">
        <v>14</v>
      </c>
      <c r="C13632" t="s">
        <v>11</v>
      </c>
      <c r="D13632">
        <v>6</v>
      </c>
      <c r="E13632" s="2">
        <v>6.053240740740741E-3</v>
      </c>
      <c r="F13632">
        <v>8.7166666666666668</v>
      </c>
    </row>
    <row r="13633" spans="1:6" x14ac:dyDescent="0.25">
      <c r="A13633" s="1">
        <v>43282</v>
      </c>
      <c r="B13633" t="s">
        <v>15</v>
      </c>
      <c r="C13633" t="s">
        <v>6</v>
      </c>
      <c r="D13633">
        <v>43</v>
      </c>
      <c r="E13633" s="2">
        <v>5.3402777777777778E-2</v>
      </c>
      <c r="F13633">
        <v>76.900000000000006</v>
      </c>
    </row>
    <row r="13634" spans="1:6" x14ac:dyDescent="0.25">
      <c r="A13634" s="1">
        <v>43282</v>
      </c>
      <c r="B13634" t="s">
        <v>15</v>
      </c>
      <c r="C13634" t="s">
        <v>7</v>
      </c>
      <c r="D13634">
        <v>40</v>
      </c>
      <c r="E13634" s="2">
        <v>6.8773148148148153E-2</v>
      </c>
      <c r="F13634">
        <v>99.033333333333331</v>
      </c>
    </row>
    <row r="13635" spans="1:6" x14ac:dyDescent="0.25">
      <c r="A13635" s="1">
        <v>43282</v>
      </c>
      <c r="B13635" t="s">
        <v>15</v>
      </c>
      <c r="C13635" t="s">
        <v>8</v>
      </c>
      <c r="D13635">
        <v>33</v>
      </c>
      <c r="E13635" s="2">
        <v>4.1840277777777775E-2</v>
      </c>
      <c r="F13635">
        <v>60.25</v>
      </c>
    </row>
    <row r="13636" spans="1:6" x14ac:dyDescent="0.25">
      <c r="A13636" s="1">
        <v>43282</v>
      </c>
      <c r="B13636" t="s">
        <v>15</v>
      </c>
      <c r="C13636" t="s">
        <v>9</v>
      </c>
      <c r="D13636">
        <v>0</v>
      </c>
      <c r="E13636" s="2">
        <v>0</v>
      </c>
      <c r="F13636">
        <v>0</v>
      </c>
    </row>
    <row r="13637" spans="1:6" x14ac:dyDescent="0.25">
      <c r="A13637" s="1">
        <v>43282</v>
      </c>
      <c r="B13637" t="s">
        <v>15</v>
      </c>
      <c r="C13637" t="s">
        <v>10</v>
      </c>
      <c r="D13637">
        <v>19</v>
      </c>
      <c r="E13637" s="2">
        <v>3.349537037037037E-2</v>
      </c>
      <c r="F13637">
        <v>48.233333333333334</v>
      </c>
    </row>
    <row r="13638" spans="1:6" x14ac:dyDescent="0.25">
      <c r="A13638" s="1">
        <v>43282</v>
      </c>
      <c r="B13638" t="s">
        <v>15</v>
      </c>
      <c r="C13638" t="s">
        <v>11</v>
      </c>
      <c r="D13638">
        <v>26</v>
      </c>
      <c r="E13638" s="2">
        <v>2.3414351851851853E-2</v>
      </c>
      <c r="F13638">
        <v>33.716666666666669</v>
      </c>
    </row>
    <row r="13639" spans="1:6" x14ac:dyDescent="0.25">
      <c r="A13639" s="1">
        <v>43282</v>
      </c>
      <c r="B13639" t="s">
        <v>16</v>
      </c>
      <c r="C13639" t="s">
        <v>6</v>
      </c>
      <c r="D13639">
        <v>36</v>
      </c>
      <c r="E13639" s="2">
        <v>3.7314814814814815E-2</v>
      </c>
      <c r="F13639">
        <v>53.733333333333334</v>
      </c>
    </row>
    <row r="13640" spans="1:6" x14ac:dyDescent="0.25">
      <c r="A13640" s="1">
        <v>43282</v>
      </c>
      <c r="B13640" t="s">
        <v>16</v>
      </c>
      <c r="C13640" t="s">
        <v>7</v>
      </c>
      <c r="D13640">
        <v>38</v>
      </c>
      <c r="E13640" s="2">
        <v>3.7060185185185182E-2</v>
      </c>
      <c r="F13640">
        <v>53.366666666666667</v>
      </c>
    </row>
    <row r="13641" spans="1:6" x14ac:dyDescent="0.25">
      <c r="A13641" s="1">
        <v>43282</v>
      </c>
      <c r="B13641" t="s">
        <v>16</v>
      </c>
      <c r="C13641" t="s">
        <v>8</v>
      </c>
      <c r="D13641">
        <v>38</v>
      </c>
      <c r="E13641" s="2">
        <v>3.363425925925926E-2</v>
      </c>
      <c r="F13641">
        <v>48.43333333333333</v>
      </c>
    </row>
    <row r="13642" spans="1:6" x14ac:dyDescent="0.25">
      <c r="A13642" s="1">
        <v>43282</v>
      </c>
      <c r="B13642" t="s">
        <v>16</v>
      </c>
      <c r="C13642" t="s">
        <v>9</v>
      </c>
      <c r="D13642">
        <v>0</v>
      </c>
      <c r="E13642" s="2">
        <v>0</v>
      </c>
      <c r="F13642">
        <v>0</v>
      </c>
    </row>
    <row r="13643" spans="1:6" x14ac:dyDescent="0.25">
      <c r="A13643" s="1">
        <v>43282</v>
      </c>
      <c r="B13643" t="s">
        <v>16</v>
      </c>
      <c r="C13643" t="s">
        <v>10</v>
      </c>
      <c r="D13643">
        <v>5</v>
      </c>
      <c r="E13643" s="2">
        <v>4.6180555555555558E-3</v>
      </c>
      <c r="F13643">
        <v>6.65</v>
      </c>
    </row>
    <row r="13644" spans="1:6" x14ac:dyDescent="0.25">
      <c r="A13644" s="1">
        <v>43282</v>
      </c>
      <c r="B13644" t="s">
        <v>16</v>
      </c>
      <c r="C13644" t="s">
        <v>11</v>
      </c>
      <c r="D13644">
        <v>27</v>
      </c>
      <c r="E13644" s="2">
        <v>2.5208333333333333E-2</v>
      </c>
      <c r="F13644">
        <v>36.299999999999997</v>
      </c>
    </row>
    <row r="13645" spans="1:6" x14ac:dyDescent="0.25">
      <c r="A13645" s="1">
        <v>43282</v>
      </c>
      <c r="B13645" t="s">
        <v>17</v>
      </c>
      <c r="C13645" t="s">
        <v>6</v>
      </c>
      <c r="D13645">
        <v>4</v>
      </c>
      <c r="E13645" s="2">
        <v>2.3842592592592591E-3</v>
      </c>
      <c r="F13645">
        <v>3.4333333333333336</v>
      </c>
    </row>
    <row r="13646" spans="1:6" x14ac:dyDescent="0.25">
      <c r="A13646" s="1">
        <v>43282</v>
      </c>
      <c r="B13646" t="s">
        <v>17</v>
      </c>
      <c r="C13646" t="s">
        <v>7</v>
      </c>
      <c r="D13646">
        <v>10</v>
      </c>
      <c r="E13646" s="2">
        <v>8.1712962962962963E-3</v>
      </c>
      <c r="F13646">
        <v>11.766666666666667</v>
      </c>
    </row>
    <row r="13647" spans="1:6" x14ac:dyDescent="0.25">
      <c r="A13647" s="1">
        <v>43282</v>
      </c>
      <c r="B13647" t="s">
        <v>17</v>
      </c>
      <c r="C13647" t="s">
        <v>8</v>
      </c>
      <c r="D13647">
        <v>4</v>
      </c>
      <c r="E13647" s="2">
        <v>2.8703703703703703E-3</v>
      </c>
      <c r="F13647">
        <v>4.1333333333333337</v>
      </c>
    </row>
    <row r="13648" spans="1:6" x14ac:dyDescent="0.25">
      <c r="A13648" s="1">
        <v>43282</v>
      </c>
      <c r="B13648" t="s">
        <v>17</v>
      </c>
      <c r="C13648" t="s">
        <v>9</v>
      </c>
      <c r="D13648">
        <v>0</v>
      </c>
      <c r="E13648" s="2">
        <v>0</v>
      </c>
      <c r="F13648">
        <v>0</v>
      </c>
    </row>
    <row r="13649" spans="1:6" x14ac:dyDescent="0.25">
      <c r="A13649" s="1">
        <v>43282</v>
      </c>
      <c r="B13649" t="s">
        <v>17</v>
      </c>
      <c r="C13649" t="s">
        <v>10</v>
      </c>
      <c r="D13649">
        <v>4</v>
      </c>
      <c r="E13649" s="2">
        <v>5.8796296296296296E-3</v>
      </c>
      <c r="F13649">
        <v>8.4666666666666668</v>
      </c>
    </row>
    <row r="13650" spans="1:6" x14ac:dyDescent="0.25">
      <c r="A13650" s="1">
        <v>43282</v>
      </c>
      <c r="B13650" t="s">
        <v>17</v>
      </c>
      <c r="C13650" t="s">
        <v>11</v>
      </c>
      <c r="D13650">
        <v>4</v>
      </c>
      <c r="E13650" s="2">
        <v>2.7430555555555554E-3</v>
      </c>
      <c r="F13650">
        <v>3.95</v>
      </c>
    </row>
    <row r="13651" spans="1:6" x14ac:dyDescent="0.25">
      <c r="A13651" s="1">
        <v>43282</v>
      </c>
      <c r="B13651" t="s">
        <v>18</v>
      </c>
      <c r="C13651" t="s">
        <v>6</v>
      </c>
      <c r="D13651">
        <v>17</v>
      </c>
      <c r="E13651" s="2">
        <v>1.8819444444444444E-2</v>
      </c>
      <c r="F13651">
        <v>27.1</v>
      </c>
    </row>
    <row r="13652" spans="1:6" x14ac:dyDescent="0.25">
      <c r="A13652" s="1">
        <v>43282</v>
      </c>
      <c r="B13652" t="s">
        <v>18</v>
      </c>
      <c r="C13652" t="s">
        <v>7</v>
      </c>
      <c r="D13652">
        <v>57</v>
      </c>
      <c r="E13652" s="2">
        <v>6.2615740740740736E-2</v>
      </c>
      <c r="F13652">
        <v>90.166666666666671</v>
      </c>
    </row>
    <row r="13653" spans="1:6" x14ac:dyDescent="0.25">
      <c r="A13653" s="1">
        <v>43282</v>
      </c>
      <c r="B13653" t="s">
        <v>18</v>
      </c>
      <c r="C13653" t="s">
        <v>8</v>
      </c>
      <c r="D13653">
        <v>13</v>
      </c>
      <c r="E13653" s="2">
        <v>1.0231481481481482E-2</v>
      </c>
      <c r="F13653">
        <v>14.733333333333333</v>
      </c>
    </row>
    <row r="13654" spans="1:6" x14ac:dyDescent="0.25">
      <c r="A13654" s="1">
        <v>43282</v>
      </c>
      <c r="B13654" t="s">
        <v>18</v>
      </c>
      <c r="C13654" t="s">
        <v>9</v>
      </c>
      <c r="D13654">
        <v>0</v>
      </c>
      <c r="E13654" s="2">
        <v>0</v>
      </c>
      <c r="F13654">
        <v>0</v>
      </c>
    </row>
    <row r="13655" spans="1:6" x14ac:dyDescent="0.25">
      <c r="A13655" s="1">
        <v>43282</v>
      </c>
      <c r="B13655" t="s">
        <v>18</v>
      </c>
      <c r="C13655" t="s">
        <v>10</v>
      </c>
      <c r="D13655">
        <v>137</v>
      </c>
      <c r="E13655" s="2">
        <v>0.18899305555555557</v>
      </c>
      <c r="F13655">
        <v>272.14999999999998</v>
      </c>
    </row>
    <row r="13656" spans="1:6" x14ac:dyDescent="0.25">
      <c r="A13656" s="1">
        <v>43282</v>
      </c>
      <c r="B13656" t="s">
        <v>18</v>
      </c>
      <c r="C13656" t="s">
        <v>11</v>
      </c>
      <c r="D13656">
        <v>33</v>
      </c>
      <c r="E13656" s="2">
        <v>2.0810185185185185E-2</v>
      </c>
      <c r="F13656">
        <v>29.966666666666665</v>
      </c>
    </row>
    <row r="13657" spans="1:6" x14ac:dyDescent="0.25">
      <c r="A13657" s="1">
        <v>43282</v>
      </c>
      <c r="B13657" t="s">
        <v>19</v>
      </c>
      <c r="C13657" t="s">
        <v>6</v>
      </c>
      <c r="D13657">
        <v>46</v>
      </c>
      <c r="E13657" s="2">
        <v>5.4699074074074074E-2</v>
      </c>
      <c r="F13657">
        <v>78.766666666666666</v>
      </c>
    </row>
    <row r="13658" spans="1:6" x14ac:dyDescent="0.25">
      <c r="A13658" s="1">
        <v>43282</v>
      </c>
      <c r="B13658" t="s">
        <v>19</v>
      </c>
      <c r="C13658" t="s">
        <v>7</v>
      </c>
      <c r="D13658">
        <v>69</v>
      </c>
      <c r="E13658" s="2">
        <v>7.2870370370370377E-2</v>
      </c>
      <c r="F13658">
        <v>104.93333333333334</v>
      </c>
    </row>
    <row r="13659" spans="1:6" x14ac:dyDescent="0.25">
      <c r="A13659" s="1">
        <v>43282</v>
      </c>
      <c r="B13659" t="s">
        <v>19</v>
      </c>
      <c r="C13659" t="s">
        <v>8</v>
      </c>
      <c r="D13659">
        <v>57</v>
      </c>
      <c r="E13659" s="2">
        <v>5.5671296296296295E-2</v>
      </c>
      <c r="F13659">
        <v>80.166666666666671</v>
      </c>
    </row>
    <row r="13660" spans="1:6" x14ac:dyDescent="0.25">
      <c r="A13660" s="1">
        <v>43282</v>
      </c>
      <c r="B13660" t="s">
        <v>19</v>
      </c>
      <c r="C13660" t="s">
        <v>9</v>
      </c>
      <c r="D13660">
        <v>0</v>
      </c>
      <c r="E13660" s="2">
        <v>0</v>
      </c>
      <c r="F13660">
        <v>0</v>
      </c>
    </row>
    <row r="13661" spans="1:6" x14ac:dyDescent="0.25">
      <c r="A13661" s="1">
        <v>43282</v>
      </c>
      <c r="B13661" t="s">
        <v>19</v>
      </c>
      <c r="C13661" t="s">
        <v>10</v>
      </c>
      <c r="D13661">
        <v>24</v>
      </c>
      <c r="E13661" s="2">
        <v>3.2430555555555553E-2</v>
      </c>
      <c r="F13661">
        <v>46.7</v>
      </c>
    </row>
    <row r="13662" spans="1:6" x14ac:dyDescent="0.25">
      <c r="A13662" s="1">
        <v>43282</v>
      </c>
      <c r="B13662" t="s">
        <v>19</v>
      </c>
      <c r="C13662" t="s">
        <v>11</v>
      </c>
      <c r="D13662">
        <v>48</v>
      </c>
      <c r="E13662" s="2">
        <v>4.2013888888888892E-2</v>
      </c>
      <c r="F13662">
        <v>60.5</v>
      </c>
    </row>
    <row r="13663" spans="1:6" x14ac:dyDescent="0.25">
      <c r="A13663" s="1">
        <v>43282</v>
      </c>
      <c r="B13663" t="s">
        <v>20</v>
      </c>
      <c r="C13663" t="s">
        <v>6</v>
      </c>
      <c r="D13663">
        <v>17</v>
      </c>
      <c r="E13663" s="2">
        <v>2.1666666666666667E-2</v>
      </c>
      <c r="F13663">
        <v>31.2</v>
      </c>
    </row>
    <row r="13664" spans="1:6" x14ac:dyDescent="0.25">
      <c r="A13664" s="1">
        <v>43282</v>
      </c>
      <c r="B13664" t="s">
        <v>20</v>
      </c>
      <c r="C13664" t="s">
        <v>7</v>
      </c>
      <c r="D13664">
        <v>37</v>
      </c>
      <c r="E13664" s="2">
        <v>4.027777777777778E-2</v>
      </c>
      <c r="F13664">
        <v>58</v>
      </c>
    </row>
    <row r="13665" spans="1:6" x14ac:dyDescent="0.25">
      <c r="A13665" s="1">
        <v>43282</v>
      </c>
      <c r="B13665" t="s">
        <v>20</v>
      </c>
      <c r="C13665" t="s">
        <v>8</v>
      </c>
      <c r="D13665">
        <v>28</v>
      </c>
      <c r="E13665" s="2">
        <v>3.2881944444444443E-2</v>
      </c>
      <c r="F13665">
        <v>47.35</v>
      </c>
    </row>
    <row r="13666" spans="1:6" x14ac:dyDescent="0.25">
      <c r="A13666" s="1">
        <v>43282</v>
      </c>
      <c r="B13666" t="s">
        <v>20</v>
      </c>
      <c r="C13666" t="s">
        <v>9</v>
      </c>
      <c r="D13666">
        <v>0</v>
      </c>
      <c r="E13666" s="2">
        <v>0</v>
      </c>
      <c r="F13666">
        <v>0</v>
      </c>
    </row>
    <row r="13667" spans="1:6" x14ac:dyDescent="0.25">
      <c r="A13667" s="1">
        <v>43282</v>
      </c>
      <c r="B13667" t="s">
        <v>20</v>
      </c>
      <c r="C13667" t="s">
        <v>10</v>
      </c>
      <c r="D13667">
        <v>8</v>
      </c>
      <c r="E13667" s="2">
        <v>7.4305555555555557E-3</v>
      </c>
      <c r="F13667">
        <v>10.7</v>
      </c>
    </row>
    <row r="13668" spans="1:6" x14ac:dyDescent="0.25">
      <c r="A13668" s="1">
        <v>43282</v>
      </c>
      <c r="B13668" t="s">
        <v>20</v>
      </c>
      <c r="C13668" t="s">
        <v>11</v>
      </c>
      <c r="D13668">
        <v>17</v>
      </c>
      <c r="E13668" s="2">
        <v>1.6006944444444445E-2</v>
      </c>
      <c r="F13668">
        <v>23.05</v>
      </c>
    </row>
    <row r="13669" spans="1:6" x14ac:dyDescent="0.25">
      <c r="A13669" s="1">
        <v>43282</v>
      </c>
      <c r="B13669" t="s">
        <v>21</v>
      </c>
      <c r="C13669" t="s">
        <v>6</v>
      </c>
      <c r="D13669">
        <v>15</v>
      </c>
      <c r="E13669" s="2">
        <v>1.9965277777777776E-2</v>
      </c>
      <c r="F13669">
        <v>28.75</v>
      </c>
    </row>
    <row r="13670" spans="1:6" x14ac:dyDescent="0.25">
      <c r="A13670" s="1">
        <v>43282</v>
      </c>
      <c r="B13670" t="s">
        <v>21</v>
      </c>
      <c r="C13670" t="s">
        <v>7</v>
      </c>
      <c r="D13670">
        <v>13</v>
      </c>
      <c r="E13670" s="2">
        <v>1.9189814814814816E-2</v>
      </c>
      <c r="F13670">
        <v>27.633333333333333</v>
      </c>
    </row>
    <row r="13671" spans="1:6" x14ac:dyDescent="0.25">
      <c r="A13671" s="1">
        <v>43282</v>
      </c>
      <c r="B13671" t="s">
        <v>21</v>
      </c>
      <c r="C13671" t="s">
        <v>8</v>
      </c>
      <c r="D13671">
        <v>10</v>
      </c>
      <c r="E13671" s="2">
        <v>1.2465277777777778E-2</v>
      </c>
      <c r="F13671">
        <v>17.95</v>
      </c>
    </row>
    <row r="13672" spans="1:6" x14ac:dyDescent="0.25">
      <c r="A13672" s="1">
        <v>43282</v>
      </c>
      <c r="B13672" t="s">
        <v>21</v>
      </c>
      <c r="C13672" t="s">
        <v>9</v>
      </c>
      <c r="D13672">
        <v>0</v>
      </c>
      <c r="E13672" s="2">
        <v>0</v>
      </c>
      <c r="F13672">
        <v>0</v>
      </c>
    </row>
    <row r="13673" spans="1:6" x14ac:dyDescent="0.25">
      <c r="A13673" s="1">
        <v>43282</v>
      </c>
      <c r="B13673" t="s">
        <v>21</v>
      </c>
      <c r="C13673" t="s">
        <v>10</v>
      </c>
      <c r="D13673">
        <v>7</v>
      </c>
      <c r="E13673" s="2">
        <v>1.2789351851851852E-2</v>
      </c>
      <c r="F13673">
        <v>18.416666666666668</v>
      </c>
    </row>
    <row r="13674" spans="1:6" x14ac:dyDescent="0.25">
      <c r="A13674" s="1">
        <v>43282</v>
      </c>
      <c r="B13674" t="s">
        <v>21</v>
      </c>
      <c r="C13674" t="s">
        <v>11</v>
      </c>
      <c r="D13674">
        <v>9</v>
      </c>
      <c r="E13674" s="2">
        <v>1.0960648148148148E-2</v>
      </c>
      <c r="F13674">
        <v>15.783333333333333</v>
      </c>
    </row>
    <row r="13675" spans="1:6" x14ac:dyDescent="0.25">
      <c r="A13675" s="1">
        <v>43282</v>
      </c>
      <c r="B13675" t="s">
        <v>22</v>
      </c>
      <c r="C13675" t="s">
        <v>6</v>
      </c>
      <c r="D13675">
        <v>9</v>
      </c>
      <c r="E13675" s="2">
        <v>1.4895833333333334E-2</v>
      </c>
      <c r="F13675">
        <v>21.45</v>
      </c>
    </row>
    <row r="13676" spans="1:6" x14ac:dyDescent="0.25">
      <c r="A13676" s="1">
        <v>43282</v>
      </c>
      <c r="B13676" t="s">
        <v>22</v>
      </c>
      <c r="C13676" t="s">
        <v>7</v>
      </c>
      <c r="D13676">
        <v>10</v>
      </c>
      <c r="E13676" s="2">
        <v>1.2418981481481482E-2</v>
      </c>
      <c r="F13676">
        <v>17.883333333333333</v>
      </c>
    </row>
    <row r="13677" spans="1:6" x14ac:dyDescent="0.25">
      <c r="A13677" s="1">
        <v>43282</v>
      </c>
      <c r="B13677" t="s">
        <v>22</v>
      </c>
      <c r="C13677" t="s">
        <v>8</v>
      </c>
      <c r="D13677">
        <v>4</v>
      </c>
      <c r="E13677" s="2">
        <v>5.5208333333333333E-3</v>
      </c>
      <c r="F13677">
        <v>7.95</v>
      </c>
    </row>
    <row r="13678" spans="1:6" x14ac:dyDescent="0.25">
      <c r="A13678" s="1">
        <v>43282</v>
      </c>
      <c r="B13678" t="s">
        <v>22</v>
      </c>
      <c r="C13678" t="s">
        <v>9</v>
      </c>
      <c r="D13678">
        <v>0</v>
      </c>
      <c r="E13678" s="2">
        <v>0</v>
      </c>
      <c r="F13678">
        <v>0</v>
      </c>
    </row>
    <row r="13679" spans="1:6" x14ac:dyDescent="0.25">
      <c r="A13679" s="1">
        <v>43282</v>
      </c>
      <c r="B13679" t="s">
        <v>22</v>
      </c>
      <c r="C13679" t="s">
        <v>10</v>
      </c>
      <c r="D13679">
        <v>15</v>
      </c>
      <c r="E13679" s="2">
        <v>1.8055555555555554E-2</v>
      </c>
      <c r="F13679">
        <v>26</v>
      </c>
    </row>
    <row r="13680" spans="1:6" x14ac:dyDescent="0.25">
      <c r="A13680" s="1">
        <v>43282</v>
      </c>
      <c r="B13680" t="s">
        <v>22</v>
      </c>
      <c r="C13680" t="s">
        <v>11</v>
      </c>
      <c r="D13680">
        <v>7</v>
      </c>
      <c r="E13680" s="2">
        <v>5.5208333333333333E-3</v>
      </c>
      <c r="F13680">
        <v>7.95</v>
      </c>
    </row>
    <row r="13681" spans="1:6" x14ac:dyDescent="0.25">
      <c r="A13681" s="1">
        <v>43282</v>
      </c>
      <c r="B13681" t="s">
        <v>23</v>
      </c>
      <c r="C13681" t="s">
        <v>6</v>
      </c>
      <c r="D13681">
        <v>97</v>
      </c>
      <c r="E13681" s="2">
        <v>0.1225</v>
      </c>
      <c r="F13681">
        <v>176.4</v>
      </c>
    </row>
    <row r="13682" spans="1:6" x14ac:dyDescent="0.25">
      <c r="A13682" s="1">
        <v>43282</v>
      </c>
      <c r="B13682" t="s">
        <v>23</v>
      </c>
      <c r="C13682" t="s">
        <v>7</v>
      </c>
      <c r="D13682">
        <v>80</v>
      </c>
      <c r="E13682" s="2">
        <v>0.10423611111111111</v>
      </c>
      <c r="F13682">
        <v>150.1</v>
      </c>
    </row>
    <row r="13683" spans="1:6" x14ac:dyDescent="0.25">
      <c r="A13683" s="1">
        <v>43282</v>
      </c>
      <c r="B13683" t="s">
        <v>23</v>
      </c>
      <c r="C13683" t="s">
        <v>8</v>
      </c>
      <c r="D13683">
        <v>60</v>
      </c>
      <c r="E13683" s="2">
        <v>7.4837962962962967E-2</v>
      </c>
      <c r="F13683">
        <v>107.76666666666667</v>
      </c>
    </row>
    <row r="13684" spans="1:6" x14ac:dyDescent="0.25">
      <c r="A13684" s="1">
        <v>43282</v>
      </c>
      <c r="B13684" t="s">
        <v>23</v>
      </c>
      <c r="C13684" t="s">
        <v>9</v>
      </c>
      <c r="D13684">
        <v>0</v>
      </c>
      <c r="E13684" s="2">
        <v>0</v>
      </c>
      <c r="F13684">
        <v>0</v>
      </c>
    </row>
    <row r="13685" spans="1:6" x14ac:dyDescent="0.25">
      <c r="A13685" s="1">
        <v>43282</v>
      </c>
      <c r="B13685" t="s">
        <v>23</v>
      </c>
      <c r="C13685" t="s">
        <v>10</v>
      </c>
      <c r="D13685">
        <v>33</v>
      </c>
      <c r="E13685" s="2">
        <v>4.5034722222222219E-2</v>
      </c>
      <c r="F13685">
        <v>64.849999999999994</v>
      </c>
    </row>
    <row r="13686" spans="1:6" x14ac:dyDescent="0.25">
      <c r="A13686" s="1">
        <v>43282</v>
      </c>
      <c r="B13686" t="s">
        <v>23</v>
      </c>
      <c r="C13686" t="s">
        <v>11</v>
      </c>
      <c r="D13686">
        <v>83</v>
      </c>
      <c r="E13686" s="2">
        <v>7.7152777777777778E-2</v>
      </c>
      <c r="F13686">
        <v>111.1</v>
      </c>
    </row>
    <row r="13687" spans="1:6" x14ac:dyDescent="0.25">
      <c r="A13687" s="1">
        <v>43282</v>
      </c>
      <c r="B13687" t="s">
        <v>24</v>
      </c>
      <c r="C13687" t="s">
        <v>6</v>
      </c>
      <c r="D13687">
        <v>168</v>
      </c>
      <c r="E13687" s="2">
        <v>0.19237268518518519</v>
      </c>
      <c r="F13687">
        <v>277.01666666666665</v>
      </c>
    </row>
    <row r="13688" spans="1:6" x14ac:dyDescent="0.25">
      <c r="A13688" s="1">
        <v>43282</v>
      </c>
      <c r="B13688" t="s">
        <v>24</v>
      </c>
      <c r="C13688" t="s">
        <v>7</v>
      </c>
      <c r="D13688">
        <v>134</v>
      </c>
      <c r="E13688" s="2">
        <v>0.16847222222222222</v>
      </c>
      <c r="F13688">
        <v>242.6</v>
      </c>
    </row>
    <row r="13689" spans="1:6" x14ac:dyDescent="0.25">
      <c r="A13689" s="1">
        <v>43282</v>
      </c>
      <c r="B13689" t="s">
        <v>24</v>
      </c>
      <c r="C13689" t="s">
        <v>8</v>
      </c>
      <c r="D13689">
        <v>121</v>
      </c>
      <c r="E13689" s="2">
        <v>0.11133101851851852</v>
      </c>
      <c r="F13689">
        <v>160.31666666666666</v>
      </c>
    </row>
    <row r="13690" spans="1:6" x14ac:dyDescent="0.25">
      <c r="A13690" s="1">
        <v>43282</v>
      </c>
      <c r="B13690" t="s">
        <v>24</v>
      </c>
      <c r="C13690" t="s">
        <v>9</v>
      </c>
      <c r="D13690">
        <v>0</v>
      </c>
      <c r="E13690" s="2">
        <v>0</v>
      </c>
      <c r="F13690">
        <v>0</v>
      </c>
    </row>
    <row r="13691" spans="1:6" x14ac:dyDescent="0.25">
      <c r="A13691" s="1">
        <v>43282</v>
      </c>
      <c r="B13691" t="s">
        <v>24</v>
      </c>
      <c r="C13691" t="s">
        <v>10</v>
      </c>
      <c r="D13691">
        <v>6</v>
      </c>
      <c r="E13691" s="2">
        <v>8.1365740740740738E-3</v>
      </c>
      <c r="F13691">
        <v>11.716666666666667</v>
      </c>
    </row>
    <row r="13692" spans="1:6" x14ac:dyDescent="0.25">
      <c r="A13692" s="1">
        <v>43282</v>
      </c>
      <c r="B13692" t="s">
        <v>24</v>
      </c>
      <c r="C13692" t="s">
        <v>11</v>
      </c>
      <c r="D13692">
        <v>109</v>
      </c>
      <c r="E13692" s="2">
        <v>0.10251157407407407</v>
      </c>
      <c r="F13692">
        <v>147.61666666666667</v>
      </c>
    </row>
    <row r="13693" spans="1:6" x14ac:dyDescent="0.25">
      <c r="A13693" s="1">
        <v>43313</v>
      </c>
      <c r="B13693" t="s">
        <v>5</v>
      </c>
      <c r="C13693" t="s">
        <v>6</v>
      </c>
      <c r="D13693">
        <v>75</v>
      </c>
      <c r="E13693" s="2">
        <v>7.4664351851851857E-2</v>
      </c>
      <c r="F13693">
        <v>107.51666666666667</v>
      </c>
    </row>
    <row r="13694" spans="1:6" x14ac:dyDescent="0.25">
      <c r="A13694" s="1">
        <v>43313</v>
      </c>
      <c r="B13694" t="s">
        <v>5</v>
      </c>
      <c r="C13694" t="s">
        <v>7</v>
      </c>
      <c r="D13694">
        <v>75</v>
      </c>
      <c r="E13694" s="2">
        <v>7.3645833333333327E-2</v>
      </c>
      <c r="F13694">
        <v>106.05</v>
      </c>
    </row>
    <row r="13695" spans="1:6" x14ac:dyDescent="0.25">
      <c r="A13695" s="1">
        <v>43313</v>
      </c>
      <c r="B13695" t="s">
        <v>5</v>
      </c>
      <c r="C13695" t="s">
        <v>8</v>
      </c>
      <c r="D13695">
        <v>60</v>
      </c>
      <c r="E13695" s="2">
        <v>5.3298611111111109E-2</v>
      </c>
      <c r="F13695">
        <v>76.75</v>
      </c>
    </row>
    <row r="13696" spans="1:6" x14ac:dyDescent="0.25">
      <c r="A13696" s="1">
        <v>43313</v>
      </c>
      <c r="B13696" t="s">
        <v>5</v>
      </c>
      <c r="C13696" t="s">
        <v>9</v>
      </c>
      <c r="D13696">
        <v>0</v>
      </c>
      <c r="E13696" s="2">
        <v>0</v>
      </c>
      <c r="F13696">
        <v>0</v>
      </c>
    </row>
    <row r="13697" spans="1:6" x14ac:dyDescent="0.25">
      <c r="A13697" s="1">
        <v>43313</v>
      </c>
      <c r="B13697" t="s">
        <v>5</v>
      </c>
      <c r="C13697" t="s">
        <v>10</v>
      </c>
      <c r="D13697">
        <v>19</v>
      </c>
      <c r="E13697" s="2">
        <v>1.9895833333333335E-2</v>
      </c>
      <c r="F13697">
        <v>28.65</v>
      </c>
    </row>
    <row r="13698" spans="1:6" x14ac:dyDescent="0.25">
      <c r="A13698" s="1">
        <v>43313</v>
      </c>
      <c r="B13698" t="s">
        <v>5</v>
      </c>
      <c r="C13698" t="s">
        <v>11</v>
      </c>
      <c r="D13698">
        <v>58</v>
      </c>
      <c r="E13698" s="2">
        <v>4.4016203703703703E-2</v>
      </c>
      <c r="F13698">
        <v>63.383333333333333</v>
      </c>
    </row>
    <row r="13699" spans="1:6" x14ac:dyDescent="0.25">
      <c r="A13699" s="1">
        <v>43313</v>
      </c>
      <c r="B13699" t="s">
        <v>12</v>
      </c>
      <c r="C13699" t="s">
        <v>6</v>
      </c>
      <c r="D13699">
        <v>35</v>
      </c>
      <c r="E13699" s="2">
        <v>6.4652777777777781E-2</v>
      </c>
      <c r="F13699">
        <v>93.1</v>
      </c>
    </row>
    <row r="13700" spans="1:6" x14ac:dyDescent="0.25">
      <c r="A13700" s="1">
        <v>43313</v>
      </c>
      <c r="B13700" t="s">
        <v>12</v>
      </c>
      <c r="C13700" t="s">
        <v>7</v>
      </c>
      <c r="D13700">
        <v>29</v>
      </c>
      <c r="E13700" s="2">
        <v>6.3437499999999994E-2</v>
      </c>
      <c r="F13700">
        <v>91.35</v>
      </c>
    </row>
    <row r="13701" spans="1:6" x14ac:dyDescent="0.25">
      <c r="A13701" s="1">
        <v>43313</v>
      </c>
      <c r="B13701" t="s">
        <v>12</v>
      </c>
      <c r="C13701" t="s">
        <v>8</v>
      </c>
      <c r="D13701">
        <v>26</v>
      </c>
      <c r="E13701" s="2">
        <v>4.704861111111111E-2</v>
      </c>
      <c r="F13701">
        <v>67.75</v>
      </c>
    </row>
    <row r="13702" spans="1:6" x14ac:dyDescent="0.25">
      <c r="A13702" s="1">
        <v>43313</v>
      </c>
      <c r="B13702" t="s">
        <v>12</v>
      </c>
      <c r="C13702" t="s">
        <v>9</v>
      </c>
      <c r="D13702">
        <v>0</v>
      </c>
      <c r="E13702" s="2">
        <v>0</v>
      </c>
      <c r="F13702">
        <v>0</v>
      </c>
    </row>
    <row r="13703" spans="1:6" x14ac:dyDescent="0.25">
      <c r="A13703" s="1">
        <v>43313</v>
      </c>
      <c r="B13703" t="s">
        <v>12</v>
      </c>
      <c r="C13703" t="s">
        <v>10</v>
      </c>
      <c r="D13703">
        <v>24</v>
      </c>
      <c r="E13703" s="2">
        <v>4.1215277777777781E-2</v>
      </c>
      <c r="F13703">
        <v>59.35</v>
      </c>
    </row>
    <row r="13704" spans="1:6" x14ac:dyDescent="0.25">
      <c r="A13704" s="1">
        <v>43313</v>
      </c>
      <c r="B13704" t="s">
        <v>12</v>
      </c>
      <c r="C13704" t="s">
        <v>11</v>
      </c>
      <c r="D13704">
        <v>48</v>
      </c>
      <c r="E13704" s="2">
        <v>5.935185185185185E-2</v>
      </c>
      <c r="F13704">
        <v>85.466666666666669</v>
      </c>
    </row>
    <row r="13705" spans="1:6" x14ac:dyDescent="0.25">
      <c r="A13705" s="1">
        <v>43313</v>
      </c>
      <c r="B13705" t="s">
        <v>13</v>
      </c>
      <c r="C13705" t="s">
        <v>6</v>
      </c>
      <c r="D13705">
        <v>80</v>
      </c>
      <c r="E13705" s="2">
        <v>0.13130787037037037</v>
      </c>
      <c r="F13705">
        <v>189.08333333333334</v>
      </c>
    </row>
    <row r="13706" spans="1:6" x14ac:dyDescent="0.25">
      <c r="A13706" s="1">
        <v>43313</v>
      </c>
      <c r="B13706" t="s">
        <v>13</v>
      </c>
      <c r="C13706" t="s">
        <v>7</v>
      </c>
      <c r="D13706">
        <v>81</v>
      </c>
      <c r="E13706" s="2">
        <v>0.1335648148148148</v>
      </c>
      <c r="F13706">
        <v>192.33333333333334</v>
      </c>
    </row>
    <row r="13707" spans="1:6" x14ac:dyDescent="0.25">
      <c r="A13707" s="1">
        <v>43313</v>
      </c>
      <c r="B13707" t="s">
        <v>13</v>
      </c>
      <c r="C13707" t="s">
        <v>8</v>
      </c>
      <c r="D13707">
        <v>42</v>
      </c>
      <c r="E13707" s="2">
        <v>5.8518518518518518E-2</v>
      </c>
      <c r="F13707">
        <v>84.266666666666666</v>
      </c>
    </row>
    <row r="13708" spans="1:6" x14ac:dyDescent="0.25">
      <c r="A13708" s="1">
        <v>43313</v>
      </c>
      <c r="B13708" t="s">
        <v>13</v>
      </c>
      <c r="C13708" t="s">
        <v>9</v>
      </c>
      <c r="D13708">
        <v>0</v>
      </c>
      <c r="E13708" s="2">
        <v>0</v>
      </c>
      <c r="F13708">
        <v>0</v>
      </c>
    </row>
    <row r="13709" spans="1:6" x14ac:dyDescent="0.25">
      <c r="A13709" s="1">
        <v>43313</v>
      </c>
      <c r="B13709" t="s">
        <v>13</v>
      </c>
      <c r="C13709" t="s">
        <v>10</v>
      </c>
      <c r="D13709">
        <v>18</v>
      </c>
      <c r="E13709" s="2">
        <v>2.9664351851851851E-2</v>
      </c>
      <c r="F13709">
        <v>42.716666666666669</v>
      </c>
    </row>
    <row r="13710" spans="1:6" x14ac:dyDescent="0.25">
      <c r="A13710" s="1">
        <v>43313</v>
      </c>
      <c r="B13710" t="s">
        <v>13</v>
      </c>
      <c r="C13710" t="s">
        <v>11</v>
      </c>
      <c r="D13710">
        <v>33</v>
      </c>
      <c r="E13710" s="2">
        <v>3.815972222222222E-2</v>
      </c>
      <c r="F13710">
        <v>54.95</v>
      </c>
    </row>
    <row r="13711" spans="1:6" x14ac:dyDescent="0.25">
      <c r="A13711" s="1">
        <v>43313</v>
      </c>
      <c r="B13711" t="s">
        <v>14</v>
      </c>
      <c r="C13711" t="s">
        <v>6</v>
      </c>
      <c r="D13711">
        <v>18</v>
      </c>
      <c r="E13711" s="2">
        <v>2.568287037037037E-2</v>
      </c>
      <c r="F13711">
        <v>36.983333333333334</v>
      </c>
    </row>
    <row r="13712" spans="1:6" x14ac:dyDescent="0.25">
      <c r="A13712" s="1">
        <v>43313</v>
      </c>
      <c r="B13712" t="s">
        <v>14</v>
      </c>
      <c r="C13712" t="s">
        <v>7</v>
      </c>
      <c r="D13712">
        <v>3</v>
      </c>
      <c r="E13712" s="2">
        <v>4.3518518518518515E-3</v>
      </c>
      <c r="F13712">
        <v>6.2666666666666666</v>
      </c>
    </row>
    <row r="13713" spans="1:6" x14ac:dyDescent="0.25">
      <c r="A13713" s="1">
        <v>43313</v>
      </c>
      <c r="B13713" t="s">
        <v>14</v>
      </c>
      <c r="C13713" t="s">
        <v>8</v>
      </c>
      <c r="D13713">
        <v>3</v>
      </c>
      <c r="E13713" s="2">
        <v>4.43287037037037E-3</v>
      </c>
      <c r="F13713">
        <v>6.3833333333333337</v>
      </c>
    </row>
    <row r="13714" spans="1:6" x14ac:dyDescent="0.25">
      <c r="A13714" s="1">
        <v>43313</v>
      </c>
      <c r="B13714" t="s">
        <v>14</v>
      </c>
      <c r="C13714" t="s">
        <v>9</v>
      </c>
      <c r="D13714">
        <v>0</v>
      </c>
      <c r="E13714" s="2">
        <v>0</v>
      </c>
      <c r="F13714">
        <v>0</v>
      </c>
    </row>
    <row r="13715" spans="1:6" x14ac:dyDescent="0.25">
      <c r="A13715" s="1">
        <v>43313</v>
      </c>
      <c r="B13715" t="s">
        <v>14</v>
      </c>
      <c r="C13715" t="s">
        <v>10</v>
      </c>
      <c r="D13715">
        <v>0</v>
      </c>
      <c r="E13715" s="2">
        <v>0</v>
      </c>
      <c r="F13715">
        <v>0</v>
      </c>
    </row>
    <row r="13716" spans="1:6" x14ac:dyDescent="0.25">
      <c r="A13716" s="1">
        <v>43313</v>
      </c>
      <c r="B13716" t="s">
        <v>14</v>
      </c>
      <c r="C13716" t="s">
        <v>11</v>
      </c>
      <c r="D13716">
        <v>8</v>
      </c>
      <c r="E13716" s="2">
        <v>8.7962962962962968E-3</v>
      </c>
      <c r="F13716">
        <v>12.666666666666666</v>
      </c>
    </row>
    <row r="13717" spans="1:6" x14ac:dyDescent="0.25">
      <c r="A13717" s="1">
        <v>43313</v>
      </c>
      <c r="B13717" t="s">
        <v>15</v>
      </c>
      <c r="C13717" t="s">
        <v>6</v>
      </c>
      <c r="D13717">
        <v>50</v>
      </c>
      <c r="E13717" s="2">
        <v>7.947916666666667E-2</v>
      </c>
      <c r="F13717">
        <v>114.45</v>
      </c>
    </row>
    <row r="13718" spans="1:6" x14ac:dyDescent="0.25">
      <c r="A13718" s="1">
        <v>43313</v>
      </c>
      <c r="B13718" t="s">
        <v>15</v>
      </c>
      <c r="C13718" t="s">
        <v>7</v>
      </c>
      <c r="D13718">
        <v>28</v>
      </c>
      <c r="E13718" s="2">
        <v>5.1655092592592593E-2</v>
      </c>
      <c r="F13718">
        <v>74.38333333333334</v>
      </c>
    </row>
    <row r="13719" spans="1:6" x14ac:dyDescent="0.25">
      <c r="A13719" s="1">
        <v>43313</v>
      </c>
      <c r="B13719" t="s">
        <v>15</v>
      </c>
      <c r="C13719" t="s">
        <v>8</v>
      </c>
      <c r="D13719">
        <v>30</v>
      </c>
      <c r="E13719" s="2">
        <v>4.4201388888888887E-2</v>
      </c>
      <c r="F13719">
        <v>63.65</v>
      </c>
    </row>
    <row r="13720" spans="1:6" x14ac:dyDescent="0.25">
      <c r="A13720" s="1">
        <v>43313</v>
      </c>
      <c r="B13720" t="s">
        <v>15</v>
      </c>
      <c r="C13720" t="s">
        <v>9</v>
      </c>
      <c r="D13720">
        <v>0</v>
      </c>
      <c r="E13720" s="2">
        <v>0</v>
      </c>
      <c r="F13720">
        <v>0</v>
      </c>
    </row>
    <row r="13721" spans="1:6" x14ac:dyDescent="0.25">
      <c r="A13721" s="1">
        <v>43313</v>
      </c>
      <c r="B13721" t="s">
        <v>15</v>
      </c>
      <c r="C13721" t="s">
        <v>10</v>
      </c>
      <c r="D13721">
        <v>5</v>
      </c>
      <c r="E13721" s="2">
        <v>7.5578703703703702E-3</v>
      </c>
      <c r="F13721">
        <v>10.883333333333333</v>
      </c>
    </row>
    <row r="13722" spans="1:6" x14ac:dyDescent="0.25">
      <c r="A13722" s="1">
        <v>43313</v>
      </c>
      <c r="B13722" t="s">
        <v>15</v>
      </c>
      <c r="C13722" t="s">
        <v>11</v>
      </c>
      <c r="D13722">
        <v>24</v>
      </c>
      <c r="E13722" s="2">
        <v>2.3229166666666665E-2</v>
      </c>
      <c r="F13722">
        <v>33.450000000000003</v>
      </c>
    </row>
    <row r="13723" spans="1:6" x14ac:dyDescent="0.25">
      <c r="A13723" s="1">
        <v>43313</v>
      </c>
      <c r="B13723" t="s">
        <v>16</v>
      </c>
      <c r="C13723" t="s">
        <v>6</v>
      </c>
      <c r="D13723">
        <v>22</v>
      </c>
      <c r="E13723" s="2">
        <v>2.0127314814814813E-2</v>
      </c>
      <c r="F13723">
        <v>28.983333333333334</v>
      </c>
    </row>
    <row r="13724" spans="1:6" x14ac:dyDescent="0.25">
      <c r="A13724" s="1">
        <v>43313</v>
      </c>
      <c r="B13724" t="s">
        <v>16</v>
      </c>
      <c r="C13724" t="s">
        <v>7</v>
      </c>
      <c r="D13724">
        <v>23</v>
      </c>
      <c r="E13724" s="2">
        <v>2.6655092592592591E-2</v>
      </c>
      <c r="F13724">
        <v>38.383333333333333</v>
      </c>
    </row>
    <row r="13725" spans="1:6" x14ac:dyDescent="0.25">
      <c r="A13725" s="1">
        <v>43313</v>
      </c>
      <c r="B13725" t="s">
        <v>16</v>
      </c>
      <c r="C13725" t="s">
        <v>8</v>
      </c>
      <c r="D13725">
        <v>34</v>
      </c>
      <c r="E13725" s="2">
        <v>2.5833333333333333E-2</v>
      </c>
      <c r="F13725">
        <v>37.200000000000003</v>
      </c>
    </row>
    <row r="13726" spans="1:6" x14ac:dyDescent="0.25">
      <c r="A13726" s="1">
        <v>43313</v>
      </c>
      <c r="B13726" t="s">
        <v>16</v>
      </c>
      <c r="C13726" t="s">
        <v>9</v>
      </c>
      <c r="D13726">
        <v>0</v>
      </c>
      <c r="E13726" s="2">
        <v>0</v>
      </c>
      <c r="F13726">
        <v>0</v>
      </c>
    </row>
    <row r="13727" spans="1:6" x14ac:dyDescent="0.25">
      <c r="A13727" s="1">
        <v>43313</v>
      </c>
      <c r="B13727" t="s">
        <v>16</v>
      </c>
      <c r="C13727" t="s">
        <v>10</v>
      </c>
      <c r="D13727">
        <v>4</v>
      </c>
      <c r="E13727" s="2">
        <v>8.2638888888888883E-3</v>
      </c>
      <c r="F13727">
        <v>11.9</v>
      </c>
    </row>
    <row r="13728" spans="1:6" x14ac:dyDescent="0.25">
      <c r="A13728" s="1">
        <v>43313</v>
      </c>
      <c r="B13728" t="s">
        <v>16</v>
      </c>
      <c r="C13728" t="s">
        <v>11</v>
      </c>
      <c r="D13728">
        <v>32</v>
      </c>
      <c r="E13728" s="2">
        <v>2.7256944444444445E-2</v>
      </c>
      <c r="F13728">
        <v>39.25</v>
      </c>
    </row>
    <row r="13729" spans="1:6" x14ac:dyDescent="0.25">
      <c r="A13729" s="1">
        <v>43313</v>
      </c>
      <c r="B13729" t="s">
        <v>17</v>
      </c>
      <c r="C13729" t="s">
        <v>6</v>
      </c>
      <c r="D13729">
        <v>13</v>
      </c>
      <c r="E13729" s="2">
        <v>1.861111111111111E-2</v>
      </c>
      <c r="F13729">
        <v>26.8</v>
      </c>
    </row>
    <row r="13730" spans="1:6" x14ac:dyDescent="0.25">
      <c r="A13730" s="1">
        <v>43313</v>
      </c>
      <c r="B13730" t="s">
        <v>17</v>
      </c>
      <c r="C13730" t="s">
        <v>7</v>
      </c>
      <c r="D13730">
        <v>18</v>
      </c>
      <c r="E13730" s="2">
        <v>2.1400462962962961E-2</v>
      </c>
      <c r="F13730">
        <v>30.816666666666666</v>
      </c>
    </row>
    <row r="13731" spans="1:6" x14ac:dyDescent="0.25">
      <c r="A13731" s="1">
        <v>43313</v>
      </c>
      <c r="B13731" t="s">
        <v>17</v>
      </c>
      <c r="C13731" t="s">
        <v>8</v>
      </c>
      <c r="D13731">
        <v>18</v>
      </c>
      <c r="E13731" s="2">
        <v>2.2997685185185184E-2</v>
      </c>
      <c r="F13731">
        <v>33.116666666666667</v>
      </c>
    </row>
    <row r="13732" spans="1:6" x14ac:dyDescent="0.25">
      <c r="A13732" s="1">
        <v>43313</v>
      </c>
      <c r="B13732" t="s">
        <v>17</v>
      </c>
      <c r="C13732" t="s">
        <v>9</v>
      </c>
      <c r="D13732">
        <v>0</v>
      </c>
      <c r="E13732" s="2">
        <v>0</v>
      </c>
      <c r="F13732">
        <v>0</v>
      </c>
    </row>
    <row r="13733" spans="1:6" x14ac:dyDescent="0.25">
      <c r="A13733" s="1">
        <v>43313</v>
      </c>
      <c r="B13733" t="s">
        <v>17</v>
      </c>
      <c r="C13733" t="s">
        <v>10</v>
      </c>
      <c r="D13733">
        <v>10</v>
      </c>
      <c r="E13733" s="2">
        <v>1.361111111111111E-2</v>
      </c>
      <c r="F13733">
        <v>19.600000000000001</v>
      </c>
    </row>
    <row r="13734" spans="1:6" x14ac:dyDescent="0.25">
      <c r="A13734" s="1">
        <v>43313</v>
      </c>
      <c r="B13734" t="s">
        <v>17</v>
      </c>
      <c r="C13734" t="s">
        <v>11</v>
      </c>
      <c r="D13734">
        <v>17</v>
      </c>
      <c r="E13734" s="2">
        <v>1.4247685185185184E-2</v>
      </c>
      <c r="F13734">
        <v>20.516666666666666</v>
      </c>
    </row>
    <row r="13735" spans="1:6" x14ac:dyDescent="0.25">
      <c r="A13735" s="1">
        <v>43313</v>
      </c>
      <c r="B13735" t="s">
        <v>18</v>
      </c>
      <c r="C13735" t="s">
        <v>6</v>
      </c>
      <c r="D13735">
        <v>22</v>
      </c>
      <c r="E13735" s="2">
        <v>2.5277777777777777E-2</v>
      </c>
      <c r="F13735">
        <v>36.4</v>
      </c>
    </row>
    <row r="13736" spans="1:6" x14ac:dyDescent="0.25">
      <c r="A13736" s="1">
        <v>43313</v>
      </c>
      <c r="B13736" t="s">
        <v>18</v>
      </c>
      <c r="C13736" t="s">
        <v>7</v>
      </c>
      <c r="D13736">
        <v>48</v>
      </c>
      <c r="E13736" s="2">
        <v>5.9861111111111108E-2</v>
      </c>
      <c r="F13736">
        <v>86.2</v>
      </c>
    </row>
    <row r="13737" spans="1:6" x14ac:dyDescent="0.25">
      <c r="A13737" s="1">
        <v>43313</v>
      </c>
      <c r="B13737" t="s">
        <v>18</v>
      </c>
      <c r="C13737" t="s">
        <v>8</v>
      </c>
      <c r="D13737">
        <v>29</v>
      </c>
      <c r="E13737" s="2">
        <v>2.7280092592592592E-2</v>
      </c>
      <c r="F13737">
        <v>39.283333333333331</v>
      </c>
    </row>
    <row r="13738" spans="1:6" x14ac:dyDescent="0.25">
      <c r="A13738" s="1">
        <v>43313</v>
      </c>
      <c r="B13738" t="s">
        <v>18</v>
      </c>
      <c r="C13738" t="s">
        <v>9</v>
      </c>
      <c r="D13738">
        <v>0</v>
      </c>
      <c r="E13738" s="2">
        <v>0</v>
      </c>
      <c r="F13738">
        <v>0</v>
      </c>
    </row>
    <row r="13739" spans="1:6" x14ac:dyDescent="0.25">
      <c r="A13739" s="1">
        <v>43313</v>
      </c>
      <c r="B13739" t="s">
        <v>18</v>
      </c>
      <c r="C13739" t="s">
        <v>10</v>
      </c>
      <c r="D13739">
        <v>99</v>
      </c>
      <c r="E13739" s="2">
        <v>0.12777777777777777</v>
      </c>
      <c r="F13739">
        <v>184</v>
      </c>
    </row>
    <row r="13740" spans="1:6" x14ac:dyDescent="0.25">
      <c r="A13740" s="1">
        <v>43313</v>
      </c>
      <c r="B13740" t="s">
        <v>18</v>
      </c>
      <c r="C13740" t="s">
        <v>11</v>
      </c>
      <c r="D13740">
        <v>28</v>
      </c>
      <c r="E13740" s="2">
        <v>1.9861111111111111E-2</v>
      </c>
      <c r="F13740">
        <v>28.6</v>
      </c>
    </row>
    <row r="13741" spans="1:6" x14ac:dyDescent="0.25">
      <c r="A13741" s="1">
        <v>43313</v>
      </c>
      <c r="B13741" t="s">
        <v>19</v>
      </c>
      <c r="C13741" t="s">
        <v>6</v>
      </c>
      <c r="D13741">
        <v>10</v>
      </c>
      <c r="E13741" s="2">
        <v>1.3599537037037037E-2</v>
      </c>
      <c r="F13741">
        <v>19.583333333333332</v>
      </c>
    </row>
    <row r="13742" spans="1:6" x14ac:dyDescent="0.25">
      <c r="A13742" s="1">
        <v>43313</v>
      </c>
      <c r="B13742" t="s">
        <v>19</v>
      </c>
      <c r="C13742" t="s">
        <v>7</v>
      </c>
      <c r="D13742">
        <v>12</v>
      </c>
      <c r="E13742" s="2">
        <v>1.6770833333333332E-2</v>
      </c>
      <c r="F13742">
        <v>24.15</v>
      </c>
    </row>
    <row r="13743" spans="1:6" x14ac:dyDescent="0.25">
      <c r="A13743" s="1">
        <v>43313</v>
      </c>
      <c r="B13743" t="s">
        <v>19</v>
      </c>
      <c r="C13743" t="s">
        <v>8</v>
      </c>
      <c r="D13743">
        <v>9</v>
      </c>
      <c r="E13743" s="2">
        <v>1.1840277777777778E-2</v>
      </c>
      <c r="F13743">
        <v>17.05</v>
      </c>
    </row>
    <row r="13744" spans="1:6" x14ac:dyDescent="0.25">
      <c r="A13744" s="1">
        <v>43313</v>
      </c>
      <c r="B13744" t="s">
        <v>19</v>
      </c>
      <c r="C13744" t="s">
        <v>9</v>
      </c>
      <c r="D13744">
        <v>0</v>
      </c>
      <c r="E13744" s="2">
        <v>0</v>
      </c>
      <c r="F13744">
        <v>0</v>
      </c>
    </row>
    <row r="13745" spans="1:6" x14ac:dyDescent="0.25">
      <c r="A13745" s="1">
        <v>43313</v>
      </c>
      <c r="B13745" t="s">
        <v>19</v>
      </c>
      <c r="C13745" t="s">
        <v>10</v>
      </c>
      <c r="D13745">
        <v>7</v>
      </c>
      <c r="E13745" s="2">
        <v>1.2141203703703704E-2</v>
      </c>
      <c r="F13745">
        <v>17.483333333333334</v>
      </c>
    </row>
    <row r="13746" spans="1:6" x14ac:dyDescent="0.25">
      <c r="A13746" s="1">
        <v>43313</v>
      </c>
      <c r="B13746" t="s">
        <v>19</v>
      </c>
      <c r="C13746" t="s">
        <v>11</v>
      </c>
      <c r="D13746">
        <v>13</v>
      </c>
      <c r="E13746" s="2">
        <v>1.0127314814814815E-2</v>
      </c>
      <c r="F13746">
        <v>14.583333333333334</v>
      </c>
    </row>
    <row r="13747" spans="1:6" x14ac:dyDescent="0.25">
      <c r="A13747" s="1">
        <v>43313</v>
      </c>
      <c r="B13747" t="s">
        <v>20</v>
      </c>
      <c r="C13747" t="s">
        <v>6</v>
      </c>
      <c r="D13747">
        <v>22</v>
      </c>
      <c r="E13747" s="2">
        <v>2.5763888888888888E-2</v>
      </c>
      <c r="F13747">
        <v>37.1</v>
      </c>
    </row>
    <row r="13748" spans="1:6" x14ac:dyDescent="0.25">
      <c r="A13748" s="1">
        <v>43313</v>
      </c>
      <c r="B13748" t="s">
        <v>20</v>
      </c>
      <c r="C13748" t="s">
        <v>7</v>
      </c>
      <c r="D13748">
        <v>37</v>
      </c>
      <c r="E13748" s="2">
        <v>4.8425925925925928E-2</v>
      </c>
      <c r="F13748">
        <v>69.733333333333334</v>
      </c>
    </row>
    <row r="13749" spans="1:6" x14ac:dyDescent="0.25">
      <c r="A13749" s="1">
        <v>43313</v>
      </c>
      <c r="B13749" t="s">
        <v>20</v>
      </c>
      <c r="C13749" t="s">
        <v>8</v>
      </c>
      <c r="D13749">
        <v>33</v>
      </c>
      <c r="E13749" s="2">
        <v>3.1365740740740743E-2</v>
      </c>
      <c r="F13749">
        <v>45.166666666666664</v>
      </c>
    </row>
    <row r="13750" spans="1:6" x14ac:dyDescent="0.25">
      <c r="A13750" s="1">
        <v>43313</v>
      </c>
      <c r="B13750" t="s">
        <v>20</v>
      </c>
      <c r="C13750" t="s">
        <v>9</v>
      </c>
      <c r="D13750">
        <v>0</v>
      </c>
      <c r="E13750" s="2">
        <v>0</v>
      </c>
      <c r="F13750">
        <v>0</v>
      </c>
    </row>
    <row r="13751" spans="1:6" x14ac:dyDescent="0.25">
      <c r="A13751" s="1">
        <v>43313</v>
      </c>
      <c r="B13751" t="s">
        <v>20</v>
      </c>
      <c r="C13751" t="s">
        <v>10</v>
      </c>
      <c r="D13751">
        <v>2</v>
      </c>
      <c r="E13751" s="2">
        <v>2.8935185185185184E-3</v>
      </c>
      <c r="F13751">
        <v>4.166666666666667</v>
      </c>
    </row>
    <row r="13752" spans="1:6" x14ac:dyDescent="0.25">
      <c r="A13752" s="1">
        <v>43313</v>
      </c>
      <c r="B13752" t="s">
        <v>20</v>
      </c>
      <c r="C13752" t="s">
        <v>11</v>
      </c>
      <c r="D13752">
        <v>34</v>
      </c>
      <c r="E13752" s="2">
        <v>2.4432870370370369E-2</v>
      </c>
      <c r="F13752">
        <v>35.18333333333333</v>
      </c>
    </row>
    <row r="13753" spans="1:6" x14ac:dyDescent="0.25">
      <c r="A13753" s="1">
        <v>43313</v>
      </c>
      <c r="B13753" t="s">
        <v>21</v>
      </c>
      <c r="C13753" t="s">
        <v>6</v>
      </c>
      <c r="D13753">
        <v>23</v>
      </c>
      <c r="E13753" s="2">
        <v>3.2777777777777781E-2</v>
      </c>
      <c r="F13753">
        <v>47.2</v>
      </c>
    </row>
    <row r="13754" spans="1:6" x14ac:dyDescent="0.25">
      <c r="A13754" s="1">
        <v>43313</v>
      </c>
      <c r="B13754" t="s">
        <v>21</v>
      </c>
      <c r="C13754" t="s">
        <v>7</v>
      </c>
      <c r="D13754">
        <v>13</v>
      </c>
      <c r="E13754" s="2">
        <v>2.224537037037037E-2</v>
      </c>
      <c r="F13754">
        <v>32.033333333333331</v>
      </c>
    </row>
    <row r="13755" spans="1:6" x14ac:dyDescent="0.25">
      <c r="A13755" s="1">
        <v>43313</v>
      </c>
      <c r="B13755" t="s">
        <v>21</v>
      </c>
      <c r="C13755" t="s">
        <v>8</v>
      </c>
      <c r="D13755">
        <v>10</v>
      </c>
      <c r="E13755" s="2">
        <v>1.3252314814814814E-2</v>
      </c>
      <c r="F13755">
        <v>19.083333333333332</v>
      </c>
    </row>
    <row r="13756" spans="1:6" x14ac:dyDescent="0.25">
      <c r="A13756" s="1">
        <v>43313</v>
      </c>
      <c r="B13756" t="s">
        <v>21</v>
      </c>
      <c r="C13756" t="s">
        <v>9</v>
      </c>
      <c r="D13756">
        <v>0</v>
      </c>
      <c r="E13756" s="2">
        <v>0</v>
      </c>
      <c r="F13756">
        <v>0</v>
      </c>
    </row>
    <row r="13757" spans="1:6" x14ac:dyDescent="0.25">
      <c r="A13757" s="1">
        <v>43313</v>
      </c>
      <c r="B13757" t="s">
        <v>21</v>
      </c>
      <c r="C13757" t="s">
        <v>10</v>
      </c>
      <c r="D13757">
        <v>3</v>
      </c>
      <c r="E13757" s="2">
        <v>3.5069444444444445E-3</v>
      </c>
      <c r="F13757">
        <v>5.05</v>
      </c>
    </row>
    <row r="13758" spans="1:6" x14ac:dyDescent="0.25">
      <c r="A13758" s="1">
        <v>43313</v>
      </c>
      <c r="B13758" t="s">
        <v>21</v>
      </c>
      <c r="C13758" t="s">
        <v>11</v>
      </c>
      <c r="D13758">
        <v>11</v>
      </c>
      <c r="E13758" s="2">
        <v>1.2152777777777778E-2</v>
      </c>
      <c r="F13758">
        <v>17.5</v>
      </c>
    </row>
    <row r="13759" spans="1:6" x14ac:dyDescent="0.25">
      <c r="A13759" s="1">
        <v>43313</v>
      </c>
      <c r="B13759" t="s">
        <v>22</v>
      </c>
      <c r="C13759" t="s">
        <v>6</v>
      </c>
      <c r="D13759">
        <v>13</v>
      </c>
      <c r="E13759" s="2">
        <v>1.7546296296296296E-2</v>
      </c>
      <c r="F13759">
        <v>25.266666666666666</v>
      </c>
    </row>
    <row r="13760" spans="1:6" x14ac:dyDescent="0.25">
      <c r="A13760" s="1">
        <v>43313</v>
      </c>
      <c r="B13760" t="s">
        <v>22</v>
      </c>
      <c r="C13760" t="s">
        <v>7</v>
      </c>
      <c r="D13760">
        <v>7</v>
      </c>
      <c r="E13760" s="2">
        <v>1.3055555555555556E-2</v>
      </c>
      <c r="F13760">
        <v>18.8</v>
      </c>
    </row>
    <row r="13761" spans="1:6" x14ac:dyDescent="0.25">
      <c r="A13761" s="1">
        <v>43313</v>
      </c>
      <c r="B13761" t="s">
        <v>22</v>
      </c>
      <c r="C13761" t="s">
        <v>8</v>
      </c>
      <c r="D13761">
        <v>9</v>
      </c>
      <c r="E13761" s="2">
        <v>1.4664351851851852E-2</v>
      </c>
      <c r="F13761">
        <v>21.116666666666667</v>
      </c>
    </row>
    <row r="13762" spans="1:6" x14ac:dyDescent="0.25">
      <c r="A13762" s="1">
        <v>43313</v>
      </c>
      <c r="B13762" t="s">
        <v>22</v>
      </c>
      <c r="C13762" t="s">
        <v>9</v>
      </c>
      <c r="D13762">
        <v>0</v>
      </c>
      <c r="E13762" s="2">
        <v>0</v>
      </c>
      <c r="F13762">
        <v>0</v>
      </c>
    </row>
    <row r="13763" spans="1:6" x14ac:dyDescent="0.25">
      <c r="A13763" s="1">
        <v>43313</v>
      </c>
      <c r="B13763" t="s">
        <v>22</v>
      </c>
      <c r="C13763" t="s">
        <v>10</v>
      </c>
      <c r="D13763">
        <v>12</v>
      </c>
      <c r="E13763" s="2">
        <v>1.699074074074074E-2</v>
      </c>
      <c r="F13763">
        <v>24.466666666666665</v>
      </c>
    </row>
    <row r="13764" spans="1:6" x14ac:dyDescent="0.25">
      <c r="A13764" s="1">
        <v>43313</v>
      </c>
      <c r="B13764" t="s">
        <v>22</v>
      </c>
      <c r="C13764" t="s">
        <v>11</v>
      </c>
      <c r="D13764">
        <v>14</v>
      </c>
      <c r="E13764" s="2">
        <v>1.6863425925925928E-2</v>
      </c>
      <c r="F13764">
        <v>24.283333333333335</v>
      </c>
    </row>
    <row r="13765" spans="1:6" x14ac:dyDescent="0.25">
      <c r="A13765" s="1">
        <v>43313</v>
      </c>
      <c r="B13765" t="s">
        <v>23</v>
      </c>
      <c r="C13765" t="s">
        <v>6</v>
      </c>
      <c r="D13765">
        <v>94</v>
      </c>
      <c r="E13765" s="2">
        <v>0.13901620370370371</v>
      </c>
      <c r="F13765">
        <v>200.18333333333334</v>
      </c>
    </row>
    <row r="13766" spans="1:6" x14ac:dyDescent="0.25">
      <c r="A13766" s="1">
        <v>43313</v>
      </c>
      <c r="B13766" t="s">
        <v>23</v>
      </c>
      <c r="C13766" t="s">
        <v>7</v>
      </c>
      <c r="D13766">
        <v>81</v>
      </c>
      <c r="E13766" s="2">
        <v>0.12613425925925925</v>
      </c>
      <c r="F13766">
        <v>181.63333333333333</v>
      </c>
    </row>
    <row r="13767" spans="1:6" x14ac:dyDescent="0.25">
      <c r="A13767" s="1">
        <v>43313</v>
      </c>
      <c r="B13767" t="s">
        <v>23</v>
      </c>
      <c r="C13767" t="s">
        <v>8</v>
      </c>
      <c r="D13767">
        <v>47</v>
      </c>
      <c r="E13767" s="2">
        <v>5.2187499999999998E-2</v>
      </c>
      <c r="F13767">
        <v>75.150000000000006</v>
      </c>
    </row>
    <row r="13768" spans="1:6" x14ac:dyDescent="0.25">
      <c r="A13768" s="1">
        <v>43313</v>
      </c>
      <c r="B13768" t="s">
        <v>23</v>
      </c>
      <c r="C13768" t="s">
        <v>9</v>
      </c>
      <c r="D13768">
        <v>0</v>
      </c>
      <c r="E13768" s="2">
        <v>0</v>
      </c>
      <c r="F13768">
        <v>0</v>
      </c>
    </row>
    <row r="13769" spans="1:6" x14ac:dyDescent="0.25">
      <c r="A13769" s="1">
        <v>43313</v>
      </c>
      <c r="B13769" t="s">
        <v>23</v>
      </c>
      <c r="C13769" t="s">
        <v>10</v>
      </c>
      <c r="D13769">
        <v>40</v>
      </c>
      <c r="E13769" s="2">
        <v>6.3969907407407406E-2</v>
      </c>
      <c r="F13769">
        <v>92.11666666666666</v>
      </c>
    </row>
    <row r="13770" spans="1:6" x14ac:dyDescent="0.25">
      <c r="A13770" s="1">
        <v>43313</v>
      </c>
      <c r="B13770" t="s">
        <v>23</v>
      </c>
      <c r="C13770" t="s">
        <v>11</v>
      </c>
      <c r="D13770">
        <v>72</v>
      </c>
      <c r="E13770" s="2">
        <v>6.6886574074074071E-2</v>
      </c>
      <c r="F13770">
        <v>96.316666666666663</v>
      </c>
    </row>
    <row r="13771" spans="1:6" x14ac:dyDescent="0.25">
      <c r="A13771" s="1">
        <v>43313</v>
      </c>
      <c r="B13771" t="s">
        <v>24</v>
      </c>
      <c r="C13771" t="s">
        <v>6</v>
      </c>
      <c r="D13771">
        <v>10</v>
      </c>
      <c r="E13771" s="2">
        <v>1.2951388888888889E-2</v>
      </c>
      <c r="F13771">
        <v>18.649999999999999</v>
      </c>
    </row>
    <row r="13772" spans="1:6" x14ac:dyDescent="0.25">
      <c r="A13772" s="1">
        <v>43313</v>
      </c>
      <c r="B13772" t="s">
        <v>24</v>
      </c>
      <c r="C13772" t="s">
        <v>7</v>
      </c>
      <c r="D13772">
        <v>18</v>
      </c>
      <c r="E13772" s="2">
        <v>1.7615740740740741E-2</v>
      </c>
      <c r="F13772">
        <v>25.366666666666667</v>
      </c>
    </row>
    <row r="13773" spans="1:6" x14ac:dyDescent="0.25">
      <c r="A13773" s="1">
        <v>43313</v>
      </c>
      <c r="B13773" t="s">
        <v>24</v>
      </c>
      <c r="C13773" t="s">
        <v>8</v>
      </c>
      <c r="D13773">
        <v>21</v>
      </c>
      <c r="E13773" s="2">
        <v>1.4606481481481481E-2</v>
      </c>
      <c r="F13773">
        <v>21.033333333333335</v>
      </c>
    </row>
    <row r="13774" spans="1:6" x14ac:dyDescent="0.25">
      <c r="A13774" s="1">
        <v>43313</v>
      </c>
      <c r="B13774" t="s">
        <v>24</v>
      </c>
      <c r="C13774" t="s">
        <v>9</v>
      </c>
      <c r="D13774">
        <v>0</v>
      </c>
      <c r="E13774" s="2">
        <v>0</v>
      </c>
      <c r="F13774">
        <v>0</v>
      </c>
    </row>
    <row r="13775" spans="1:6" x14ac:dyDescent="0.25">
      <c r="A13775" s="1">
        <v>43313</v>
      </c>
      <c r="B13775" t="s">
        <v>24</v>
      </c>
      <c r="C13775" t="s">
        <v>10</v>
      </c>
      <c r="D13775">
        <v>1</v>
      </c>
      <c r="E13775" s="2">
        <v>2.3379629629629631E-3</v>
      </c>
      <c r="F13775">
        <v>3.3666666666666667</v>
      </c>
    </row>
    <row r="13776" spans="1:6" x14ac:dyDescent="0.25">
      <c r="A13776" s="1">
        <v>43313</v>
      </c>
      <c r="B13776" t="s">
        <v>24</v>
      </c>
      <c r="C13776" t="s">
        <v>11</v>
      </c>
      <c r="D13776">
        <v>25</v>
      </c>
      <c r="E13776" s="2">
        <v>1.695601851851852E-2</v>
      </c>
      <c r="F13776">
        <v>24.416666666666668</v>
      </c>
    </row>
    <row r="13777" spans="1:6" x14ac:dyDescent="0.25">
      <c r="A13777" s="1">
        <v>43344</v>
      </c>
      <c r="B13777" t="s">
        <v>5</v>
      </c>
      <c r="C13777" t="s">
        <v>6</v>
      </c>
      <c r="D13777">
        <v>28</v>
      </c>
      <c r="E13777" s="2">
        <v>3.2569444444444443E-2</v>
      </c>
      <c r="F13777">
        <v>46.9</v>
      </c>
    </row>
    <row r="13778" spans="1:6" x14ac:dyDescent="0.25">
      <c r="A13778" s="1">
        <v>43344</v>
      </c>
      <c r="B13778" t="s">
        <v>5</v>
      </c>
      <c r="C13778" t="s">
        <v>7</v>
      </c>
      <c r="D13778">
        <v>32</v>
      </c>
      <c r="E13778" s="2">
        <v>3.2303240740740743E-2</v>
      </c>
      <c r="F13778">
        <v>46.516666666666666</v>
      </c>
    </row>
    <row r="13779" spans="1:6" x14ac:dyDescent="0.25">
      <c r="A13779" s="1">
        <v>43344</v>
      </c>
      <c r="B13779" t="s">
        <v>5</v>
      </c>
      <c r="C13779" t="s">
        <v>8</v>
      </c>
      <c r="D13779">
        <v>39</v>
      </c>
      <c r="E13779" s="2">
        <v>4.1944444444444444E-2</v>
      </c>
      <c r="F13779">
        <v>60.4</v>
      </c>
    </row>
    <row r="13780" spans="1:6" x14ac:dyDescent="0.25">
      <c r="A13780" s="1">
        <v>43344</v>
      </c>
      <c r="B13780" t="s">
        <v>5</v>
      </c>
      <c r="C13780" t="s">
        <v>9</v>
      </c>
      <c r="D13780">
        <v>0</v>
      </c>
      <c r="E13780" s="2">
        <v>0</v>
      </c>
      <c r="F13780">
        <v>0</v>
      </c>
    </row>
    <row r="13781" spans="1:6" x14ac:dyDescent="0.25">
      <c r="A13781" s="1">
        <v>43344</v>
      </c>
      <c r="B13781" t="s">
        <v>5</v>
      </c>
      <c r="C13781" t="s">
        <v>10</v>
      </c>
      <c r="D13781">
        <v>7</v>
      </c>
      <c r="E13781" s="2">
        <v>6.9675925925925929E-3</v>
      </c>
      <c r="F13781">
        <v>10.033333333333333</v>
      </c>
    </row>
    <row r="13782" spans="1:6" x14ac:dyDescent="0.25">
      <c r="A13782" s="1">
        <v>43344</v>
      </c>
      <c r="B13782" t="s">
        <v>5</v>
      </c>
      <c r="C13782" t="s">
        <v>11</v>
      </c>
      <c r="D13782">
        <v>30</v>
      </c>
      <c r="E13782" s="2">
        <v>1.9432870370370371E-2</v>
      </c>
      <c r="F13782">
        <v>27.983333333333334</v>
      </c>
    </row>
    <row r="13783" spans="1:6" x14ac:dyDescent="0.25">
      <c r="A13783" s="1">
        <v>43344</v>
      </c>
      <c r="B13783" t="s">
        <v>12</v>
      </c>
      <c r="C13783" t="s">
        <v>6</v>
      </c>
      <c r="D13783">
        <v>28</v>
      </c>
      <c r="E13783" s="2">
        <v>4.1400462962962965E-2</v>
      </c>
      <c r="F13783">
        <v>59.616666666666667</v>
      </c>
    </row>
    <row r="13784" spans="1:6" x14ac:dyDescent="0.25">
      <c r="A13784" s="1">
        <v>43344</v>
      </c>
      <c r="B13784" t="s">
        <v>12</v>
      </c>
      <c r="C13784" t="s">
        <v>7</v>
      </c>
      <c r="D13784">
        <v>22</v>
      </c>
      <c r="E13784" s="2">
        <v>3.667824074074074E-2</v>
      </c>
      <c r="F13784">
        <v>52.81666666666667</v>
      </c>
    </row>
    <row r="13785" spans="1:6" x14ac:dyDescent="0.25">
      <c r="A13785" s="1">
        <v>43344</v>
      </c>
      <c r="B13785" t="s">
        <v>12</v>
      </c>
      <c r="C13785" t="s">
        <v>8</v>
      </c>
      <c r="D13785">
        <v>25</v>
      </c>
      <c r="E13785" s="2">
        <v>3.9143518518518522E-2</v>
      </c>
      <c r="F13785">
        <v>56.366666666666667</v>
      </c>
    </row>
    <row r="13786" spans="1:6" x14ac:dyDescent="0.25">
      <c r="A13786" s="1">
        <v>43344</v>
      </c>
      <c r="B13786" t="s">
        <v>12</v>
      </c>
      <c r="C13786" t="s">
        <v>9</v>
      </c>
      <c r="D13786">
        <v>0</v>
      </c>
      <c r="E13786" s="2">
        <v>0</v>
      </c>
      <c r="F13786">
        <v>0</v>
      </c>
    </row>
    <row r="13787" spans="1:6" x14ac:dyDescent="0.25">
      <c r="A13787" s="1">
        <v>43344</v>
      </c>
      <c r="B13787" t="s">
        <v>12</v>
      </c>
      <c r="C13787" t="s">
        <v>10</v>
      </c>
      <c r="D13787">
        <v>20</v>
      </c>
      <c r="E13787" s="2">
        <v>3.321759259259259E-2</v>
      </c>
      <c r="F13787">
        <v>47.833333333333336</v>
      </c>
    </row>
    <row r="13788" spans="1:6" x14ac:dyDescent="0.25">
      <c r="A13788" s="1">
        <v>43344</v>
      </c>
      <c r="B13788" t="s">
        <v>12</v>
      </c>
      <c r="C13788" t="s">
        <v>11</v>
      </c>
      <c r="D13788">
        <v>55</v>
      </c>
      <c r="E13788" s="2">
        <v>7.4756944444444445E-2</v>
      </c>
      <c r="F13788">
        <v>107.65</v>
      </c>
    </row>
    <row r="13789" spans="1:6" x14ac:dyDescent="0.25">
      <c r="A13789" s="1">
        <v>43344</v>
      </c>
      <c r="B13789" t="s">
        <v>13</v>
      </c>
      <c r="C13789" t="s">
        <v>6</v>
      </c>
      <c r="D13789">
        <v>78</v>
      </c>
      <c r="E13789" s="2">
        <v>0.12472222222222222</v>
      </c>
      <c r="F13789">
        <v>179.6</v>
      </c>
    </row>
    <row r="13790" spans="1:6" x14ac:dyDescent="0.25">
      <c r="A13790" s="1">
        <v>43344</v>
      </c>
      <c r="B13790" t="s">
        <v>13</v>
      </c>
      <c r="C13790" t="s">
        <v>7</v>
      </c>
      <c r="D13790">
        <v>72</v>
      </c>
      <c r="E13790" s="2">
        <v>0.10232638888888888</v>
      </c>
      <c r="F13790">
        <v>147.35</v>
      </c>
    </row>
    <row r="13791" spans="1:6" x14ac:dyDescent="0.25">
      <c r="A13791" s="1">
        <v>43344</v>
      </c>
      <c r="B13791" t="s">
        <v>13</v>
      </c>
      <c r="C13791" t="s">
        <v>8</v>
      </c>
      <c r="D13791">
        <v>45</v>
      </c>
      <c r="E13791" s="2">
        <v>6.232638888888889E-2</v>
      </c>
      <c r="F13791">
        <v>89.75</v>
      </c>
    </row>
    <row r="13792" spans="1:6" x14ac:dyDescent="0.25">
      <c r="A13792" s="1">
        <v>43344</v>
      </c>
      <c r="B13792" t="s">
        <v>13</v>
      </c>
      <c r="C13792" t="s">
        <v>9</v>
      </c>
      <c r="D13792">
        <v>0</v>
      </c>
      <c r="E13792" s="2">
        <v>0</v>
      </c>
      <c r="F13792">
        <v>0</v>
      </c>
    </row>
    <row r="13793" spans="1:6" x14ac:dyDescent="0.25">
      <c r="A13793" s="1">
        <v>43344</v>
      </c>
      <c r="B13793" t="s">
        <v>13</v>
      </c>
      <c r="C13793" t="s">
        <v>10</v>
      </c>
      <c r="D13793">
        <v>15</v>
      </c>
      <c r="E13793" s="2">
        <v>2.4143518518518519E-2</v>
      </c>
      <c r="F13793">
        <v>34.766666666666666</v>
      </c>
    </row>
    <row r="13794" spans="1:6" x14ac:dyDescent="0.25">
      <c r="A13794" s="1">
        <v>43344</v>
      </c>
      <c r="B13794" t="s">
        <v>13</v>
      </c>
      <c r="C13794" t="s">
        <v>11</v>
      </c>
      <c r="D13794">
        <v>36</v>
      </c>
      <c r="E13794" s="2">
        <v>4.1747685185185186E-2</v>
      </c>
      <c r="F13794">
        <v>60.116666666666667</v>
      </c>
    </row>
    <row r="13795" spans="1:6" x14ac:dyDescent="0.25">
      <c r="A13795" s="1">
        <v>43344</v>
      </c>
      <c r="B13795" t="s">
        <v>14</v>
      </c>
      <c r="C13795" t="s">
        <v>6</v>
      </c>
      <c r="D13795">
        <v>21</v>
      </c>
      <c r="E13795" s="2">
        <v>2.9872685185185186E-2</v>
      </c>
      <c r="F13795">
        <v>43.016666666666666</v>
      </c>
    </row>
    <row r="13796" spans="1:6" x14ac:dyDescent="0.25">
      <c r="A13796" s="1">
        <v>43344</v>
      </c>
      <c r="B13796" t="s">
        <v>14</v>
      </c>
      <c r="C13796" t="s">
        <v>7</v>
      </c>
      <c r="D13796">
        <v>19</v>
      </c>
      <c r="E13796" s="2">
        <v>3.3472222222222223E-2</v>
      </c>
      <c r="F13796">
        <v>48.2</v>
      </c>
    </row>
    <row r="13797" spans="1:6" x14ac:dyDescent="0.25">
      <c r="A13797" s="1">
        <v>43344</v>
      </c>
      <c r="B13797" t="s">
        <v>14</v>
      </c>
      <c r="C13797" t="s">
        <v>8</v>
      </c>
      <c r="D13797">
        <v>6</v>
      </c>
      <c r="E13797" s="2">
        <v>6.6319444444444446E-3</v>
      </c>
      <c r="F13797">
        <v>9.5500000000000007</v>
      </c>
    </row>
    <row r="13798" spans="1:6" x14ac:dyDescent="0.25">
      <c r="A13798" s="1">
        <v>43344</v>
      </c>
      <c r="B13798" t="s">
        <v>14</v>
      </c>
      <c r="C13798" t="s">
        <v>9</v>
      </c>
      <c r="D13798">
        <v>0</v>
      </c>
      <c r="E13798" s="2">
        <v>0</v>
      </c>
      <c r="F13798">
        <v>0</v>
      </c>
    </row>
    <row r="13799" spans="1:6" x14ac:dyDescent="0.25">
      <c r="A13799" s="1">
        <v>43344</v>
      </c>
      <c r="B13799" t="s">
        <v>14</v>
      </c>
      <c r="C13799" t="s">
        <v>10</v>
      </c>
      <c r="D13799">
        <v>2</v>
      </c>
      <c r="E13799" s="2">
        <v>4.178240740740741E-3</v>
      </c>
      <c r="F13799">
        <v>6.0166666666666666</v>
      </c>
    </row>
    <row r="13800" spans="1:6" x14ac:dyDescent="0.25">
      <c r="A13800" s="1">
        <v>43344</v>
      </c>
      <c r="B13800" t="s">
        <v>14</v>
      </c>
      <c r="C13800" t="s">
        <v>11</v>
      </c>
      <c r="D13800">
        <v>18</v>
      </c>
      <c r="E13800" s="2">
        <v>2.3333333333333334E-2</v>
      </c>
      <c r="F13800">
        <v>33.6</v>
      </c>
    </row>
    <row r="13801" spans="1:6" x14ac:dyDescent="0.25">
      <c r="A13801" s="1">
        <v>43344</v>
      </c>
      <c r="B13801" t="s">
        <v>15</v>
      </c>
      <c r="C13801" t="s">
        <v>6</v>
      </c>
      <c r="D13801">
        <v>29</v>
      </c>
      <c r="E13801" s="2">
        <v>4.4930555555555557E-2</v>
      </c>
      <c r="F13801">
        <v>64.7</v>
      </c>
    </row>
    <row r="13802" spans="1:6" x14ac:dyDescent="0.25">
      <c r="A13802" s="1">
        <v>43344</v>
      </c>
      <c r="B13802" t="s">
        <v>15</v>
      </c>
      <c r="C13802" t="s">
        <v>7</v>
      </c>
      <c r="D13802">
        <v>28</v>
      </c>
      <c r="E13802" s="2">
        <v>4.5011574074074072E-2</v>
      </c>
      <c r="F13802">
        <v>64.816666666666663</v>
      </c>
    </row>
    <row r="13803" spans="1:6" x14ac:dyDescent="0.25">
      <c r="A13803" s="1">
        <v>43344</v>
      </c>
      <c r="B13803" t="s">
        <v>15</v>
      </c>
      <c r="C13803" t="s">
        <v>8</v>
      </c>
      <c r="D13803">
        <v>23</v>
      </c>
      <c r="E13803" s="2">
        <v>2.855324074074074E-2</v>
      </c>
      <c r="F13803">
        <v>41.116666666666667</v>
      </c>
    </row>
    <row r="13804" spans="1:6" x14ac:dyDescent="0.25">
      <c r="A13804" s="1">
        <v>43344</v>
      </c>
      <c r="B13804" t="s">
        <v>15</v>
      </c>
      <c r="C13804" t="s">
        <v>9</v>
      </c>
      <c r="D13804">
        <v>0</v>
      </c>
      <c r="E13804" s="2">
        <v>0</v>
      </c>
      <c r="F13804">
        <v>0</v>
      </c>
    </row>
    <row r="13805" spans="1:6" x14ac:dyDescent="0.25">
      <c r="A13805" s="1">
        <v>43344</v>
      </c>
      <c r="B13805" t="s">
        <v>15</v>
      </c>
      <c r="C13805" t="s">
        <v>10</v>
      </c>
      <c r="D13805">
        <v>14</v>
      </c>
      <c r="E13805" s="2">
        <v>1.5659722222222221E-2</v>
      </c>
      <c r="F13805">
        <v>22.55</v>
      </c>
    </row>
    <row r="13806" spans="1:6" x14ac:dyDescent="0.25">
      <c r="A13806" s="1">
        <v>43344</v>
      </c>
      <c r="B13806" t="s">
        <v>15</v>
      </c>
      <c r="C13806" t="s">
        <v>11</v>
      </c>
      <c r="D13806">
        <v>15</v>
      </c>
      <c r="E13806" s="2">
        <v>1.5509259259259259E-2</v>
      </c>
      <c r="F13806">
        <v>22.333333333333332</v>
      </c>
    </row>
    <row r="13807" spans="1:6" x14ac:dyDescent="0.25">
      <c r="A13807" s="1">
        <v>43344</v>
      </c>
      <c r="B13807" t="s">
        <v>16</v>
      </c>
      <c r="C13807" t="s">
        <v>6</v>
      </c>
      <c r="D13807">
        <v>12</v>
      </c>
      <c r="E13807" s="2">
        <v>1.6736111111111111E-2</v>
      </c>
      <c r="F13807">
        <v>24.1</v>
      </c>
    </row>
    <row r="13808" spans="1:6" x14ac:dyDescent="0.25">
      <c r="A13808" s="1">
        <v>43344</v>
      </c>
      <c r="B13808" t="s">
        <v>16</v>
      </c>
      <c r="C13808" t="s">
        <v>7</v>
      </c>
      <c r="D13808">
        <v>16</v>
      </c>
      <c r="E13808" s="2">
        <v>2.0717592592592593E-2</v>
      </c>
      <c r="F13808">
        <v>29.833333333333332</v>
      </c>
    </row>
    <row r="13809" spans="1:6" x14ac:dyDescent="0.25">
      <c r="A13809" s="1">
        <v>43344</v>
      </c>
      <c r="B13809" t="s">
        <v>16</v>
      </c>
      <c r="C13809" t="s">
        <v>8</v>
      </c>
      <c r="D13809">
        <v>32</v>
      </c>
      <c r="E13809" s="2">
        <v>3.1944444444444442E-2</v>
      </c>
      <c r="F13809">
        <v>46</v>
      </c>
    </row>
    <row r="13810" spans="1:6" x14ac:dyDescent="0.25">
      <c r="A13810" s="1">
        <v>43344</v>
      </c>
      <c r="B13810" t="s">
        <v>16</v>
      </c>
      <c r="C13810" t="s">
        <v>9</v>
      </c>
      <c r="D13810">
        <v>0</v>
      </c>
      <c r="E13810" s="2">
        <v>0</v>
      </c>
      <c r="F13810">
        <v>0</v>
      </c>
    </row>
    <row r="13811" spans="1:6" x14ac:dyDescent="0.25">
      <c r="A13811" s="1">
        <v>43344</v>
      </c>
      <c r="B13811" t="s">
        <v>16</v>
      </c>
      <c r="C13811" t="s">
        <v>10</v>
      </c>
      <c r="D13811">
        <v>2</v>
      </c>
      <c r="E13811" s="2">
        <v>3.2523148148148147E-3</v>
      </c>
      <c r="F13811">
        <v>4.6833333333333336</v>
      </c>
    </row>
    <row r="13812" spans="1:6" x14ac:dyDescent="0.25">
      <c r="A13812" s="1">
        <v>43344</v>
      </c>
      <c r="B13812" t="s">
        <v>16</v>
      </c>
      <c r="C13812" t="s">
        <v>11</v>
      </c>
      <c r="D13812">
        <v>27</v>
      </c>
      <c r="E13812" s="2">
        <v>2.388888888888889E-2</v>
      </c>
      <c r="F13812">
        <v>34.4</v>
      </c>
    </row>
    <row r="13813" spans="1:6" x14ac:dyDescent="0.25">
      <c r="A13813" s="1">
        <v>43344</v>
      </c>
      <c r="B13813" t="s">
        <v>17</v>
      </c>
      <c r="C13813" t="s">
        <v>6</v>
      </c>
      <c r="D13813">
        <v>6</v>
      </c>
      <c r="E13813" s="2">
        <v>1.0150462962962964E-2</v>
      </c>
      <c r="F13813">
        <v>14.616666666666667</v>
      </c>
    </row>
    <row r="13814" spans="1:6" x14ac:dyDescent="0.25">
      <c r="A13814" s="1">
        <v>43344</v>
      </c>
      <c r="B13814" t="s">
        <v>17</v>
      </c>
      <c r="C13814" t="s">
        <v>7</v>
      </c>
      <c r="D13814">
        <v>15</v>
      </c>
      <c r="E13814" s="2">
        <v>1.4027777777777778E-2</v>
      </c>
      <c r="F13814">
        <v>20.2</v>
      </c>
    </row>
    <row r="13815" spans="1:6" x14ac:dyDescent="0.25">
      <c r="A13815" s="1">
        <v>43344</v>
      </c>
      <c r="B13815" t="s">
        <v>17</v>
      </c>
      <c r="C13815" t="s">
        <v>8</v>
      </c>
      <c r="D13815">
        <v>13</v>
      </c>
      <c r="E13815" s="2">
        <v>1.3819444444444445E-2</v>
      </c>
      <c r="F13815">
        <v>19.899999999999999</v>
      </c>
    </row>
    <row r="13816" spans="1:6" x14ac:dyDescent="0.25">
      <c r="A13816" s="1">
        <v>43344</v>
      </c>
      <c r="B13816" t="s">
        <v>17</v>
      </c>
      <c r="C13816" t="s">
        <v>9</v>
      </c>
      <c r="D13816">
        <v>0</v>
      </c>
      <c r="E13816" s="2">
        <v>0</v>
      </c>
      <c r="F13816">
        <v>0</v>
      </c>
    </row>
    <row r="13817" spans="1:6" x14ac:dyDescent="0.25">
      <c r="A13817" s="1">
        <v>43344</v>
      </c>
      <c r="B13817" t="s">
        <v>17</v>
      </c>
      <c r="C13817" t="s">
        <v>10</v>
      </c>
      <c r="D13817">
        <v>5</v>
      </c>
      <c r="E13817" s="2">
        <v>5.185185185185185E-3</v>
      </c>
      <c r="F13817">
        <v>7.4666666666666668</v>
      </c>
    </row>
    <row r="13818" spans="1:6" x14ac:dyDescent="0.25">
      <c r="A13818" s="1">
        <v>43344</v>
      </c>
      <c r="B13818" t="s">
        <v>17</v>
      </c>
      <c r="C13818" t="s">
        <v>11</v>
      </c>
      <c r="D13818">
        <v>9</v>
      </c>
      <c r="E13818" s="2">
        <v>7.2569444444444443E-3</v>
      </c>
      <c r="F13818">
        <v>10.45</v>
      </c>
    </row>
    <row r="13819" spans="1:6" x14ac:dyDescent="0.25">
      <c r="A13819" s="1">
        <v>43344</v>
      </c>
      <c r="B13819" t="s">
        <v>18</v>
      </c>
      <c r="C13819" t="s">
        <v>6</v>
      </c>
      <c r="D13819">
        <v>33</v>
      </c>
      <c r="E13819" s="2">
        <v>4.2106481481481481E-2</v>
      </c>
      <c r="F13819">
        <v>60.633333333333333</v>
      </c>
    </row>
    <row r="13820" spans="1:6" x14ac:dyDescent="0.25">
      <c r="A13820" s="1">
        <v>43344</v>
      </c>
      <c r="B13820" t="s">
        <v>18</v>
      </c>
      <c r="C13820" t="s">
        <v>7</v>
      </c>
      <c r="D13820">
        <v>71</v>
      </c>
      <c r="E13820" s="2">
        <v>7.3113425925925929E-2</v>
      </c>
      <c r="F13820">
        <v>105.28333333333333</v>
      </c>
    </row>
    <row r="13821" spans="1:6" x14ac:dyDescent="0.25">
      <c r="A13821" s="1">
        <v>43344</v>
      </c>
      <c r="B13821" t="s">
        <v>18</v>
      </c>
      <c r="C13821" t="s">
        <v>8</v>
      </c>
      <c r="D13821">
        <v>33</v>
      </c>
      <c r="E13821" s="2">
        <v>2.6516203703703705E-2</v>
      </c>
      <c r="F13821">
        <v>38.18333333333333</v>
      </c>
    </row>
    <row r="13822" spans="1:6" x14ac:dyDescent="0.25">
      <c r="A13822" s="1">
        <v>43344</v>
      </c>
      <c r="B13822" t="s">
        <v>18</v>
      </c>
      <c r="C13822" t="s">
        <v>9</v>
      </c>
      <c r="D13822">
        <v>0</v>
      </c>
      <c r="E13822" s="2">
        <v>0</v>
      </c>
      <c r="F13822">
        <v>0</v>
      </c>
    </row>
    <row r="13823" spans="1:6" x14ac:dyDescent="0.25">
      <c r="A13823" s="1">
        <v>43344</v>
      </c>
      <c r="B13823" t="s">
        <v>18</v>
      </c>
      <c r="C13823" t="s">
        <v>10</v>
      </c>
      <c r="D13823">
        <v>112</v>
      </c>
      <c r="E13823" s="2">
        <v>0.15892361111111111</v>
      </c>
      <c r="F13823">
        <v>228.85</v>
      </c>
    </row>
    <row r="13824" spans="1:6" x14ac:dyDescent="0.25">
      <c r="A13824" s="1">
        <v>43344</v>
      </c>
      <c r="B13824" t="s">
        <v>18</v>
      </c>
      <c r="C13824" t="s">
        <v>11</v>
      </c>
      <c r="D13824">
        <v>34</v>
      </c>
      <c r="E13824" s="2">
        <v>2.045138888888889E-2</v>
      </c>
      <c r="F13824">
        <v>29.45</v>
      </c>
    </row>
    <row r="13825" spans="1:6" x14ac:dyDescent="0.25">
      <c r="A13825" s="1">
        <v>43344</v>
      </c>
      <c r="B13825" t="s">
        <v>19</v>
      </c>
      <c r="C13825" t="s">
        <v>6</v>
      </c>
      <c r="D13825">
        <v>20</v>
      </c>
      <c r="E13825" s="2">
        <v>2.5486111111111112E-2</v>
      </c>
      <c r="F13825">
        <v>36.700000000000003</v>
      </c>
    </row>
    <row r="13826" spans="1:6" x14ac:dyDescent="0.25">
      <c r="A13826" s="1">
        <v>43344</v>
      </c>
      <c r="B13826" t="s">
        <v>19</v>
      </c>
      <c r="C13826" t="s">
        <v>7</v>
      </c>
      <c r="D13826">
        <v>20</v>
      </c>
      <c r="E13826" s="2">
        <v>2.6921296296296297E-2</v>
      </c>
      <c r="F13826">
        <v>38.766666666666666</v>
      </c>
    </row>
    <row r="13827" spans="1:6" x14ac:dyDescent="0.25">
      <c r="A13827" s="1">
        <v>43344</v>
      </c>
      <c r="B13827" t="s">
        <v>19</v>
      </c>
      <c r="C13827" t="s">
        <v>8</v>
      </c>
      <c r="D13827">
        <v>19</v>
      </c>
      <c r="E13827" s="2">
        <v>2.0324074074074074E-2</v>
      </c>
      <c r="F13827">
        <v>29.266666666666666</v>
      </c>
    </row>
    <row r="13828" spans="1:6" x14ac:dyDescent="0.25">
      <c r="A13828" s="1">
        <v>43344</v>
      </c>
      <c r="B13828" t="s">
        <v>19</v>
      </c>
      <c r="C13828" t="s">
        <v>9</v>
      </c>
      <c r="D13828">
        <v>0</v>
      </c>
      <c r="E13828" s="2">
        <v>0</v>
      </c>
      <c r="F13828">
        <v>0</v>
      </c>
    </row>
    <row r="13829" spans="1:6" x14ac:dyDescent="0.25">
      <c r="A13829" s="1">
        <v>43344</v>
      </c>
      <c r="B13829" t="s">
        <v>19</v>
      </c>
      <c r="C13829" t="s">
        <v>10</v>
      </c>
      <c r="D13829">
        <v>8</v>
      </c>
      <c r="E13829" s="2">
        <v>1.1284722222222222E-2</v>
      </c>
      <c r="F13829">
        <v>16.25</v>
      </c>
    </row>
    <row r="13830" spans="1:6" x14ac:dyDescent="0.25">
      <c r="A13830" s="1">
        <v>43344</v>
      </c>
      <c r="B13830" t="s">
        <v>19</v>
      </c>
      <c r="C13830" t="s">
        <v>11</v>
      </c>
      <c r="D13830">
        <v>35</v>
      </c>
      <c r="E13830" s="2">
        <v>2.7673611111111111E-2</v>
      </c>
      <c r="F13830">
        <v>39.85</v>
      </c>
    </row>
    <row r="13831" spans="1:6" x14ac:dyDescent="0.25">
      <c r="A13831" s="1">
        <v>43344</v>
      </c>
      <c r="B13831" t="s">
        <v>20</v>
      </c>
      <c r="C13831" t="s">
        <v>6</v>
      </c>
      <c r="D13831">
        <v>32</v>
      </c>
      <c r="E13831" s="2">
        <v>4.8923611111111112E-2</v>
      </c>
      <c r="F13831">
        <v>70.45</v>
      </c>
    </row>
    <row r="13832" spans="1:6" x14ac:dyDescent="0.25">
      <c r="A13832" s="1">
        <v>43344</v>
      </c>
      <c r="B13832" t="s">
        <v>20</v>
      </c>
      <c r="C13832" t="s">
        <v>7</v>
      </c>
      <c r="D13832">
        <v>38</v>
      </c>
      <c r="E13832" s="2">
        <v>4.1956018518518517E-2</v>
      </c>
      <c r="F13832">
        <v>60.416666666666664</v>
      </c>
    </row>
    <row r="13833" spans="1:6" x14ac:dyDescent="0.25">
      <c r="A13833" s="1">
        <v>43344</v>
      </c>
      <c r="B13833" t="s">
        <v>20</v>
      </c>
      <c r="C13833" t="s">
        <v>8</v>
      </c>
      <c r="D13833">
        <v>41</v>
      </c>
      <c r="E13833" s="2">
        <v>3.5358796296296298E-2</v>
      </c>
      <c r="F13833">
        <v>50.916666666666664</v>
      </c>
    </row>
    <row r="13834" spans="1:6" x14ac:dyDescent="0.25">
      <c r="A13834" s="1">
        <v>43344</v>
      </c>
      <c r="B13834" t="s">
        <v>20</v>
      </c>
      <c r="C13834" t="s">
        <v>9</v>
      </c>
      <c r="D13834">
        <v>0</v>
      </c>
      <c r="E13834" s="2">
        <v>0</v>
      </c>
      <c r="F13834">
        <v>0</v>
      </c>
    </row>
    <row r="13835" spans="1:6" x14ac:dyDescent="0.25">
      <c r="A13835" s="1">
        <v>43344</v>
      </c>
      <c r="B13835" t="s">
        <v>20</v>
      </c>
      <c r="C13835" t="s">
        <v>10</v>
      </c>
      <c r="D13835">
        <v>9</v>
      </c>
      <c r="E13835" s="2">
        <v>1.2511574074074074E-2</v>
      </c>
      <c r="F13835">
        <v>18.016666666666666</v>
      </c>
    </row>
    <row r="13836" spans="1:6" x14ac:dyDescent="0.25">
      <c r="A13836" s="1">
        <v>43344</v>
      </c>
      <c r="B13836" t="s">
        <v>20</v>
      </c>
      <c r="C13836" t="s">
        <v>11</v>
      </c>
      <c r="D13836">
        <v>27</v>
      </c>
      <c r="E13836" s="2">
        <v>2.2314814814814815E-2</v>
      </c>
      <c r="F13836">
        <v>32.133333333333333</v>
      </c>
    </row>
    <row r="13837" spans="1:6" x14ac:dyDescent="0.25">
      <c r="A13837" s="1">
        <v>43344</v>
      </c>
      <c r="B13837" t="s">
        <v>21</v>
      </c>
      <c r="C13837" t="s">
        <v>6</v>
      </c>
      <c r="D13837">
        <v>17</v>
      </c>
      <c r="E13837" s="2">
        <v>2.7314814814814816E-2</v>
      </c>
      <c r="F13837">
        <v>39.333333333333336</v>
      </c>
    </row>
    <row r="13838" spans="1:6" x14ac:dyDescent="0.25">
      <c r="A13838" s="1">
        <v>43344</v>
      </c>
      <c r="B13838" t="s">
        <v>21</v>
      </c>
      <c r="C13838" t="s">
        <v>7</v>
      </c>
      <c r="D13838">
        <v>15</v>
      </c>
      <c r="E13838" s="2">
        <v>2.4675925925925928E-2</v>
      </c>
      <c r="F13838">
        <v>35.533333333333331</v>
      </c>
    </row>
    <row r="13839" spans="1:6" x14ac:dyDescent="0.25">
      <c r="A13839" s="1">
        <v>43344</v>
      </c>
      <c r="B13839" t="s">
        <v>21</v>
      </c>
      <c r="C13839" t="s">
        <v>8</v>
      </c>
      <c r="D13839">
        <v>20</v>
      </c>
      <c r="E13839" s="2">
        <v>2.2685185185185187E-2</v>
      </c>
      <c r="F13839">
        <v>32.666666666666664</v>
      </c>
    </row>
    <row r="13840" spans="1:6" x14ac:dyDescent="0.25">
      <c r="A13840" s="1">
        <v>43344</v>
      </c>
      <c r="B13840" t="s">
        <v>21</v>
      </c>
      <c r="C13840" t="s">
        <v>9</v>
      </c>
      <c r="D13840">
        <v>0</v>
      </c>
      <c r="E13840" s="2">
        <v>0</v>
      </c>
      <c r="F13840">
        <v>0</v>
      </c>
    </row>
    <row r="13841" spans="1:6" x14ac:dyDescent="0.25">
      <c r="A13841" s="1">
        <v>43344</v>
      </c>
      <c r="B13841" t="s">
        <v>21</v>
      </c>
      <c r="C13841" t="s">
        <v>10</v>
      </c>
      <c r="D13841">
        <v>7</v>
      </c>
      <c r="E13841" s="2">
        <v>1.170138888888889E-2</v>
      </c>
      <c r="F13841">
        <v>16.850000000000001</v>
      </c>
    </row>
    <row r="13842" spans="1:6" x14ac:dyDescent="0.25">
      <c r="A13842" s="1">
        <v>43344</v>
      </c>
      <c r="B13842" t="s">
        <v>21</v>
      </c>
      <c r="C13842" t="s">
        <v>11</v>
      </c>
      <c r="D13842">
        <v>14</v>
      </c>
      <c r="E13842" s="2">
        <v>1.556712962962963E-2</v>
      </c>
      <c r="F13842">
        <v>22.416666666666668</v>
      </c>
    </row>
    <row r="13843" spans="1:6" x14ac:dyDescent="0.25">
      <c r="A13843" s="1">
        <v>43344</v>
      </c>
      <c r="B13843" t="s">
        <v>22</v>
      </c>
      <c r="C13843" t="s">
        <v>6</v>
      </c>
      <c r="D13843">
        <v>14</v>
      </c>
      <c r="E13843" s="2">
        <v>2.5868055555555554E-2</v>
      </c>
      <c r="F13843">
        <v>37.25</v>
      </c>
    </row>
    <row r="13844" spans="1:6" x14ac:dyDescent="0.25">
      <c r="A13844" s="1">
        <v>43344</v>
      </c>
      <c r="B13844" t="s">
        <v>22</v>
      </c>
      <c r="C13844" t="s">
        <v>7</v>
      </c>
      <c r="D13844">
        <v>5</v>
      </c>
      <c r="E13844" s="2">
        <v>9.8611111111111104E-3</v>
      </c>
      <c r="F13844">
        <v>14.2</v>
      </c>
    </row>
    <row r="13845" spans="1:6" x14ac:dyDescent="0.25">
      <c r="A13845" s="1">
        <v>43344</v>
      </c>
      <c r="B13845" t="s">
        <v>22</v>
      </c>
      <c r="C13845" t="s">
        <v>8</v>
      </c>
      <c r="D13845">
        <v>2</v>
      </c>
      <c r="E13845" s="2">
        <v>3.4837962962962965E-3</v>
      </c>
      <c r="F13845">
        <v>5.0166666666666666</v>
      </c>
    </row>
    <row r="13846" spans="1:6" x14ac:dyDescent="0.25">
      <c r="A13846" s="1">
        <v>43344</v>
      </c>
      <c r="B13846" t="s">
        <v>22</v>
      </c>
      <c r="C13846" t="s">
        <v>9</v>
      </c>
      <c r="D13846">
        <v>0</v>
      </c>
      <c r="E13846" s="2">
        <v>0</v>
      </c>
      <c r="F13846">
        <v>0</v>
      </c>
    </row>
    <row r="13847" spans="1:6" x14ac:dyDescent="0.25">
      <c r="A13847" s="1">
        <v>43344</v>
      </c>
      <c r="B13847" t="s">
        <v>22</v>
      </c>
      <c r="C13847" t="s">
        <v>10</v>
      </c>
      <c r="D13847">
        <v>3</v>
      </c>
      <c r="E13847" s="2">
        <v>2.2106481481481482E-3</v>
      </c>
      <c r="F13847">
        <v>3.1833333333333331</v>
      </c>
    </row>
    <row r="13848" spans="1:6" x14ac:dyDescent="0.25">
      <c r="A13848" s="1">
        <v>43344</v>
      </c>
      <c r="B13848" t="s">
        <v>22</v>
      </c>
      <c r="C13848" t="s">
        <v>11</v>
      </c>
      <c r="D13848">
        <v>8</v>
      </c>
      <c r="E13848" s="2">
        <v>9.5023148148148141E-3</v>
      </c>
      <c r="F13848">
        <v>13.683333333333334</v>
      </c>
    </row>
    <row r="13849" spans="1:6" x14ac:dyDescent="0.25">
      <c r="A13849" s="1">
        <v>43344</v>
      </c>
      <c r="B13849" t="s">
        <v>23</v>
      </c>
      <c r="C13849" t="s">
        <v>6</v>
      </c>
      <c r="D13849">
        <v>88</v>
      </c>
      <c r="E13849" s="2">
        <v>0.14200231481481482</v>
      </c>
      <c r="F13849">
        <v>204.48333333333332</v>
      </c>
    </row>
    <row r="13850" spans="1:6" x14ac:dyDescent="0.25">
      <c r="A13850" s="1">
        <v>43344</v>
      </c>
      <c r="B13850" t="s">
        <v>23</v>
      </c>
      <c r="C13850" t="s">
        <v>7</v>
      </c>
      <c r="D13850">
        <v>95</v>
      </c>
      <c r="E13850" s="2">
        <v>0.15996527777777778</v>
      </c>
      <c r="F13850">
        <v>230.35</v>
      </c>
    </row>
    <row r="13851" spans="1:6" x14ac:dyDescent="0.25">
      <c r="A13851" s="1">
        <v>43344</v>
      </c>
      <c r="B13851" t="s">
        <v>23</v>
      </c>
      <c r="C13851" t="s">
        <v>8</v>
      </c>
      <c r="D13851">
        <v>60</v>
      </c>
      <c r="E13851" s="2">
        <v>0.08</v>
      </c>
      <c r="F13851">
        <v>115.2</v>
      </c>
    </row>
    <row r="13852" spans="1:6" x14ac:dyDescent="0.25">
      <c r="A13852" s="1">
        <v>43344</v>
      </c>
      <c r="B13852" t="s">
        <v>23</v>
      </c>
      <c r="C13852" t="s">
        <v>9</v>
      </c>
      <c r="D13852">
        <v>0</v>
      </c>
      <c r="E13852" s="2">
        <v>0</v>
      </c>
      <c r="F13852">
        <v>0</v>
      </c>
    </row>
    <row r="13853" spans="1:6" x14ac:dyDescent="0.25">
      <c r="A13853" s="1">
        <v>43344</v>
      </c>
      <c r="B13853" t="s">
        <v>23</v>
      </c>
      <c r="C13853" t="s">
        <v>10</v>
      </c>
      <c r="D13853">
        <v>38</v>
      </c>
      <c r="E13853" s="2">
        <v>5.1203703703703703E-2</v>
      </c>
      <c r="F13853">
        <v>73.733333333333334</v>
      </c>
    </row>
    <row r="13854" spans="1:6" x14ac:dyDescent="0.25">
      <c r="A13854" s="1">
        <v>43344</v>
      </c>
      <c r="B13854" t="s">
        <v>23</v>
      </c>
      <c r="C13854" t="s">
        <v>11</v>
      </c>
      <c r="D13854">
        <v>72</v>
      </c>
      <c r="E13854" s="2">
        <v>7.5763888888888895E-2</v>
      </c>
      <c r="F13854">
        <v>109.1</v>
      </c>
    </row>
    <row r="13855" spans="1:6" x14ac:dyDescent="0.25">
      <c r="A13855" s="1">
        <v>43344</v>
      </c>
      <c r="B13855" t="s">
        <v>24</v>
      </c>
      <c r="C13855" t="s">
        <v>6</v>
      </c>
      <c r="D13855">
        <v>13</v>
      </c>
      <c r="E13855" s="2">
        <v>1.6944444444444446E-2</v>
      </c>
      <c r="F13855">
        <v>24.4</v>
      </c>
    </row>
    <row r="13856" spans="1:6" x14ac:dyDescent="0.25">
      <c r="A13856" s="1">
        <v>43344</v>
      </c>
      <c r="B13856" t="s">
        <v>24</v>
      </c>
      <c r="C13856" t="s">
        <v>7</v>
      </c>
      <c r="D13856">
        <v>15</v>
      </c>
      <c r="E13856" s="2">
        <v>1.3877314814814815E-2</v>
      </c>
      <c r="F13856">
        <v>19.983333333333334</v>
      </c>
    </row>
    <row r="13857" spans="1:6" x14ac:dyDescent="0.25">
      <c r="A13857" s="1">
        <v>43344</v>
      </c>
      <c r="B13857" t="s">
        <v>24</v>
      </c>
      <c r="C13857" t="s">
        <v>8</v>
      </c>
      <c r="D13857">
        <v>12</v>
      </c>
      <c r="E13857" s="2">
        <v>9.618055555555555E-3</v>
      </c>
      <c r="F13857">
        <v>13.85</v>
      </c>
    </row>
    <row r="13858" spans="1:6" x14ac:dyDescent="0.25">
      <c r="A13858" s="1">
        <v>43344</v>
      </c>
      <c r="B13858" t="s">
        <v>24</v>
      </c>
      <c r="C13858" t="s">
        <v>9</v>
      </c>
      <c r="D13858">
        <v>0</v>
      </c>
      <c r="E13858" s="2">
        <v>0</v>
      </c>
      <c r="F13858">
        <v>0</v>
      </c>
    </row>
    <row r="13859" spans="1:6" x14ac:dyDescent="0.25">
      <c r="A13859" s="1">
        <v>43344</v>
      </c>
      <c r="B13859" t="s">
        <v>24</v>
      </c>
      <c r="C13859" t="s">
        <v>10</v>
      </c>
      <c r="D13859">
        <v>3</v>
      </c>
      <c r="E13859" s="2">
        <v>4.43287037037037E-3</v>
      </c>
      <c r="F13859">
        <v>6.3833333333333337</v>
      </c>
    </row>
    <row r="13860" spans="1:6" x14ac:dyDescent="0.25">
      <c r="A13860" s="1">
        <v>43344</v>
      </c>
      <c r="B13860" t="s">
        <v>24</v>
      </c>
      <c r="C13860" t="s">
        <v>11</v>
      </c>
      <c r="D13860">
        <v>30</v>
      </c>
      <c r="E13860" s="2">
        <v>3.1400462962962963E-2</v>
      </c>
      <c r="F13860">
        <v>45.216666666666669</v>
      </c>
    </row>
    <row r="13861" spans="1:6" x14ac:dyDescent="0.25">
      <c r="A13861" s="1">
        <v>43374</v>
      </c>
      <c r="B13861" t="s">
        <v>5</v>
      </c>
      <c r="C13861" t="s">
        <v>6</v>
      </c>
      <c r="D13861">
        <v>98</v>
      </c>
      <c r="E13861" s="2">
        <v>0.11034722222222222</v>
      </c>
      <c r="F13861">
        <v>158.9</v>
      </c>
    </row>
    <row r="13862" spans="1:6" x14ac:dyDescent="0.25">
      <c r="A13862" s="1">
        <v>43374</v>
      </c>
      <c r="B13862" t="s">
        <v>5</v>
      </c>
      <c r="C13862" t="s">
        <v>7</v>
      </c>
      <c r="D13862">
        <v>98</v>
      </c>
      <c r="E13862" s="2">
        <v>0.10346064814814815</v>
      </c>
      <c r="F13862">
        <v>148.98333333333332</v>
      </c>
    </row>
    <row r="13863" spans="1:6" x14ac:dyDescent="0.25">
      <c r="A13863" s="1">
        <v>43374</v>
      </c>
      <c r="B13863" t="s">
        <v>5</v>
      </c>
      <c r="C13863" t="s">
        <v>8</v>
      </c>
      <c r="D13863">
        <v>92</v>
      </c>
      <c r="E13863" s="2">
        <v>8.6724537037037031E-2</v>
      </c>
      <c r="F13863">
        <v>124.88333333333334</v>
      </c>
    </row>
    <row r="13864" spans="1:6" x14ac:dyDescent="0.25">
      <c r="A13864" s="1">
        <v>43374</v>
      </c>
      <c r="B13864" t="s">
        <v>5</v>
      </c>
      <c r="C13864" t="s">
        <v>9</v>
      </c>
      <c r="D13864">
        <v>0</v>
      </c>
      <c r="E13864" s="2">
        <v>0</v>
      </c>
      <c r="F13864">
        <v>0</v>
      </c>
    </row>
    <row r="13865" spans="1:6" x14ac:dyDescent="0.25">
      <c r="A13865" s="1">
        <v>43374</v>
      </c>
      <c r="B13865" t="s">
        <v>5</v>
      </c>
      <c r="C13865" t="s">
        <v>10</v>
      </c>
      <c r="D13865">
        <v>7</v>
      </c>
      <c r="E13865" s="2">
        <v>9.525462962962963E-3</v>
      </c>
      <c r="F13865">
        <v>13.716666666666667</v>
      </c>
    </row>
    <row r="13866" spans="1:6" x14ac:dyDescent="0.25">
      <c r="A13866" s="1">
        <v>43374</v>
      </c>
      <c r="B13866" t="s">
        <v>5</v>
      </c>
      <c r="C13866" t="s">
        <v>11</v>
      </c>
      <c r="D13866">
        <v>67</v>
      </c>
      <c r="E13866" s="2">
        <v>5.1249999999999997E-2</v>
      </c>
      <c r="F13866">
        <v>73.8</v>
      </c>
    </row>
    <row r="13867" spans="1:6" x14ac:dyDescent="0.25">
      <c r="A13867" s="1">
        <v>43374</v>
      </c>
      <c r="B13867" t="s">
        <v>12</v>
      </c>
      <c r="C13867" t="s">
        <v>6</v>
      </c>
      <c r="D13867">
        <v>39</v>
      </c>
      <c r="E13867" s="2">
        <v>6.3344907407407405E-2</v>
      </c>
      <c r="F13867">
        <v>91.216666666666669</v>
      </c>
    </row>
    <row r="13868" spans="1:6" x14ac:dyDescent="0.25">
      <c r="A13868" s="1">
        <v>43374</v>
      </c>
      <c r="B13868" t="s">
        <v>12</v>
      </c>
      <c r="C13868" t="s">
        <v>7</v>
      </c>
      <c r="D13868">
        <v>27</v>
      </c>
      <c r="E13868" s="2">
        <v>4.6064814814814815E-2</v>
      </c>
      <c r="F13868">
        <v>66.333333333333329</v>
      </c>
    </row>
    <row r="13869" spans="1:6" x14ac:dyDescent="0.25">
      <c r="A13869" s="1">
        <v>43374</v>
      </c>
      <c r="B13869" t="s">
        <v>12</v>
      </c>
      <c r="C13869" t="s">
        <v>8</v>
      </c>
      <c r="D13869">
        <v>17</v>
      </c>
      <c r="E13869" s="2">
        <v>2.6967592592592592E-2</v>
      </c>
      <c r="F13869">
        <v>38.833333333333336</v>
      </c>
    </row>
    <row r="13870" spans="1:6" x14ac:dyDescent="0.25">
      <c r="A13870" s="1">
        <v>43374</v>
      </c>
      <c r="B13870" t="s">
        <v>12</v>
      </c>
      <c r="C13870" t="s">
        <v>9</v>
      </c>
      <c r="D13870">
        <v>0</v>
      </c>
      <c r="E13870" s="2">
        <v>0</v>
      </c>
      <c r="F13870">
        <v>0</v>
      </c>
    </row>
    <row r="13871" spans="1:6" x14ac:dyDescent="0.25">
      <c r="A13871" s="1">
        <v>43374</v>
      </c>
      <c r="B13871" t="s">
        <v>12</v>
      </c>
      <c r="C13871" t="s">
        <v>10</v>
      </c>
      <c r="D13871">
        <v>26</v>
      </c>
      <c r="E13871" s="2">
        <v>4.5671296296296293E-2</v>
      </c>
      <c r="F13871">
        <v>65.766666666666666</v>
      </c>
    </row>
    <row r="13872" spans="1:6" x14ac:dyDescent="0.25">
      <c r="A13872" s="1">
        <v>43374</v>
      </c>
      <c r="B13872" t="s">
        <v>12</v>
      </c>
      <c r="C13872" t="s">
        <v>11</v>
      </c>
      <c r="D13872">
        <v>59</v>
      </c>
      <c r="E13872" s="2">
        <v>8.2372685185185188E-2</v>
      </c>
      <c r="F13872">
        <v>118.61666666666666</v>
      </c>
    </row>
    <row r="13873" spans="1:6" x14ac:dyDescent="0.25">
      <c r="A13873" s="1">
        <v>43374</v>
      </c>
      <c r="B13873" t="s">
        <v>13</v>
      </c>
      <c r="C13873" t="s">
        <v>6</v>
      </c>
      <c r="D13873">
        <v>85</v>
      </c>
      <c r="E13873" s="2">
        <v>0.14002314814814815</v>
      </c>
      <c r="F13873">
        <v>201.63333333333333</v>
      </c>
    </row>
    <row r="13874" spans="1:6" x14ac:dyDescent="0.25">
      <c r="A13874" s="1">
        <v>43374</v>
      </c>
      <c r="B13874" t="s">
        <v>13</v>
      </c>
      <c r="C13874" t="s">
        <v>7</v>
      </c>
      <c r="D13874">
        <v>67</v>
      </c>
      <c r="E13874" s="2">
        <v>0.10755787037037037</v>
      </c>
      <c r="F13874">
        <v>154.88333333333333</v>
      </c>
    </row>
    <row r="13875" spans="1:6" x14ac:dyDescent="0.25">
      <c r="A13875" s="1">
        <v>43374</v>
      </c>
      <c r="B13875" t="s">
        <v>13</v>
      </c>
      <c r="C13875" t="s">
        <v>8</v>
      </c>
      <c r="D13875">
        <v>41</v>
      </c>
      <c r="E13875" s="2">
        <v>5.9050925925925923E-2</v>
      </c>
      <c r="F13875">
        <v>85.033333333333331</v>
      </c>
    </row>
    <row r="13876" spans="1:6" x14ac:dyDescent="0.25">
      <c r="A13876" s="1">
        <v>43374</v>
      </c>
      <c r="B13876" t="s">
        <v>13</v>
      </c>
      <c r="C13876" t="s">
        <v>9</v>
      </c>
      <c r="D13876">
        <v>0</v>
      </c>
      <c r="E13876" s="2">
        <v>0</v>
      </c>
      <c r="F13876">
        <v>0</v>
      </c>
    </row>
    <row r="13877" spans="1:6" x14ac:dyDescent="0.25">
      <c r="A13877" s="1">
        <v>43374</v>
      </c>
      <c r="B13877" t="s">
        <v>13</v>
      </c>
      <c r="C13877" t="s">
        <v>10</v>
      </c>
      <c r="D13877">
        <v>8</v>
      </c>
      <c r="E13877" s="2">
        <v>9.2361111111111116E-3</v>
      </c>
      <c r="F13877">
        <v>13.3</v>
      </c>
    </row>
    <row r="13878" spans="1:6" x14ac:dyDescent="0.25">
      <c r="A13878" s="1">
        <v>43374</v>
      </c>
      <c r="B13878" t="s">
        <v>13</v>
      </c>
      <c r="C13878" t="s">
        <v>11</v>
      </c>
      <c r="D13878">
        <v>38</v>
      </c>
      <c r="E13878" s="2">
        <v>4.296296296296296E-2</v>
      </c>
      <c r="F13878">
        <v>61.866666666666667</v>
      </c>
    </row>
    <row r="13879" spans="1:6" x14ac:dyDescent="0.25">
      <c r="A13879" s="1">
        <v>43374</v>
      </c>
      <c r="B13879" t="s">
        <v>14</v>
      </c>
      <c r="C13879" t="s">
        <v>6</v>
      </c>
      <c r="D13879">
        <v>8</v>
      </c>
      <c r="E13879" s="2">
        <v>1.3078703703703703E-2</v>
      </c>
      <c r="F13879">
        <v>18.833333333333332</v>
      </c>
    </row>
    <row r="13880" spans="1:6" x14ac:dyDescent="0.25">
      <c r="A13880" s="1">
        <v>43374</v>
      </c>
      <c r="B13880" t="s">
        <v>14</v>
      </c>
      <c r="C13880" t="s">
        <v>7</v>
      </c>
      <c r="D13880">
        <v>10</v>
      </c>
      <c r="E13880" s="2">
        <v>1.7141203703703704E-2</v>
      </c>
      <c r="F13880">
        <v>24.683333333333334</v>
      </c>
    </row>
    <row r="13881" spans="1:6" x14ac:dyDescent="0.25">
      <c r="A13881" s="1">
        <v>43374</v>
      </c>
      <c r="B13881" t="s">
        <v>14</v>
      </c>
      <c r="C13881" t="s">
        <v>8</v>
      </c>
      <c r="D13881">
        <v>7</v>
      </c>
      <c r="E13881" s="2">
        <v>7.6041666666666671E-3</v>
      </c>
      <c r="F13881">
        <v>10.95</v>
      </c>
    </row>
    <row r="13882" spans="1:6" x14ac:dyDescent="0.25">
      <c r="A13882" s="1">
        <v>43374</v>
      </c>
      <c r="B13882" t="s">
        <v>14</v>
      </c>
      <c r="C13882" t="s">
        <v>9</v>
      </c>
      <c r="D13882">
        <v>0</v>
      </c>
      <c r="E13882" s="2">
        <v>0</v>
      </c>
      <c r="F13882">
        <v>0</v>
      </c>
    </row>
    <row r="13883" spans="1:6" x14ac:dyDescent="0.25">
      <c r="A13883" s="1">
        <v>43374</v>
      </c>
      <c r="B13883" t="s">
        <v>14</v>
      </c>
      <c r="C13883" t="s">
        <v>10</v>
      </c>
      <c r="D13883">
        <v>4</v>
      </c>
      <c r="E13883" s="2">
        <v>5.9027777777777776E-3</v>
      </c>
      <c r="F13883">
        <v>8.5</v>
      </c>
    </row>
    <row r="13884" spans="1:6" x14ac:dyDescent="0.25">
      <c r="A13884" s="1">
        <v>43374</v>
      </c>
      <c r="B13884" t="s">
        <v>14</v>
      </c>
      <c r="C13884" t="s">
        <v>11</v>
      </c>
      <c r="D13884">
        <v>11</v>
      </c>
      <c r="E13884" s="2">
        <v>1.3194444444444444E-2</v>
      </c>
      <c r="F13884">
        <v>19</v>
      </c>
    </row>
    <row r="13885" spans="1:6" x14ac:dyDescent="0.25">
      <c r="A13885" s="1">
        <v>43374</v>
      </c>
      <c r="B13885" t="s">
        <v>15</v>
      </c>
      <c r="C13885" t="s">
        <v>6</v>
      </c>
      <c r="D13885">
        <v>36</v>
      </c>
      <c r="E13885" s="2">
        <v>4.0671296296296296E-2</v>
      </c>
      <c r="F13885">
        <v>58.56666666666667</v>
      </c>
    </row>
    <row r="13886" spans="1:6" x14ac:dyDescent="0.25">
      <c r="A13886" s="1">
        <v>43374</v>
      </c>
      <c r="B13886" t="s">
        <v>15</v>
      </c>
      <c r="C13886" t="s">
        <v>7</v>
      </c>
      <c r="D13886">
        <v>40</v>
      </c>
      <c r="E13886" s="2">
        <v>6.0578703703703704E-2</v>
      </c>
      <c r="F13886">
        <v>87.233333333333334</v>
      </c>
    </row>
    <row r="13887" spans="1:6" x14ac:dyDescent="0.25">
      <c r="A13887" s="1">
        <v>43374</v>
      </c>
      <c r="B13887" t="s">
        <v>15</v>
      </c>
      <c r="C13887" t="s">
        <v>8</v>
      </c>
      <c r="D13887">
        <v>32</v>
      </c>
      <c r="E13887" s="2">
        <v>3.7002314814814814E-2</v>
      </c>
      <c r="F13887">
        <v>53.283333333333331</v>
      </c>
    </row>
    <row r="13888" spans="1:6" x14ac:dyDescent="0.25">
      <c r="A13888" s="1">
        <v>43374</v>
      </c>
      <c r="B13888" t="s">
        <v>15</v>
      </c>
      <c r="C13888" t="s">
        <v>9</v>
      </c>
      <c r="D13888">
        <v>0</v>
      </c>
      <c r="E13888" s="2">
        <v>0</v>
      </c>
      <c r="F13888">
        <v>0</v>
      </c>
    </row>
    <row r="13889" spans="1:6" x14ac:dyDescent="0.25">
      <c r="A13889" s="1">
        <v>43374</v>
      </c>
      <c r="B13889" t="s">
        <v>15</v>
      </c>
      <c r="C13889" t="s">
        <v>10</v>
      </c>
      <c r="D13889">
        <v>17</v>
      </c>
      <c r="E13889" s="2">
        <v>2.0578703703703703E-2</v>
      </c>
      <c r="F13889">
        <v>29.633333333333333</v>
      </c>
    </row>
    <row r="13890" spans="1:6" x14ac:dyDescent="0.25">
      <c r="A13890" s="1">
        <v>43374</v>
      </c>
      <c r="B13890" t="s">
        <v>15</v>
      </c>
      <c r="C13890" t="s">
        <v>11</v>
      </c>
      <c r="D13890">
        <v>16</v>
      </c>
      <c r="E13890" s="2">
        <v>2.1608796296296296E-2</v>
      </c>
      <c r="F13890">
        <v>31.116666666666667</v>
      </c>
    </row>
    <row r="13891" spans="1:6" x14ac:dyDescent="0.25">
      <c r="A13891" s="1">
        <v>43374</v>
      </c>
      <c r="B13891" t="s">
        <v>16</v>
      </c>
      <c r="C13891" t="s">
        <v>6</v>
      </c>
      <c r="D13891">
        <v>22</v>
      </c>
      <c r="E13891" s="2">
        <v>2.4953703703703704E-2</v>
      </c>
      <c r="F13891">
        <v>35.93333333333333</v>
      </c>
    </row>
    <row r="13892" spans="1:6" x14ac:dyDescent="0.25">
      <c r="A13892" s="1">
        <v>43374</v>
      </c>
      <c r="B13892" t="s">
        <v>16</v>
      </c>
      <c r="C13892" t="s">
        <v>7</v>
      </c>
      <c r="D13892">
        <v>28</v>
      </c>
      <c r="E13892" s="2">
        <v>3.0787037037037036E-2</v>
      </c>
      <c r="F13892">
        <v>44.333333333333336</v>
      </c>
    </row>
    <row r="13893" spans="1:6" x14ac:dyDescent="0.25">
      <c r="A13893" s="1">
        <v>43374</v>
      </c>
      <c r="B13893" t="s">
        <v>16</v>
      </c>
      <c r="C13893" t="s">
        <v>8</v>
      </c>
      <c r="D13893">
        <v>25</v>
      </c>
      <c r="E13893" s="2">
        <v>2.2638888888888889E-2</v>
      </c>
      <c r="F13893">
        <v>32.6</v>
      </c>
    </row>
    <row r="13894" spans="1:6" x14ac:dyDescent="0.25">
      <c r="A13894" s="1">
        <v>43374</v>
      </c>
      <c r="B13894" t="s">
        <v>16</v>
      </c>
      <c r="C13894" t="s">
        <v>9</v>
      </c>
      <c r="D13894">
        <v>0</v>
      </c>
      <c r="E13894" s="2">
        <v>0</v>
      </c>
      <c r="F13894">
        <v>0</v>
      </c>
    </row>
    <row r="13895" spans="1:6" x14ac:dyDescent="0.25">
      <c r="A13895" s="1">
        <v>43374</v>
      </c>
      <c r="B13895" t="s">
        <v>16</v>
      </c>
      <c r="C13895" t="s">
        <v>10</v>
      </c>
      <c r="D13895">
        <v>6</v>
      </c>
      <c r="E13895" s="2">
        <v>6.2500000000000003E-3</v>
      </c>
      <c r="F13895">
        <v>9</v>
      </c>
    </row>
    <row r="13896" spans="1:6" x14ac:dyDescent="0.25">
      <c r="A13896" s="1">
        <v>43374</v>
      </c>
      <c r="B13896" t="s">
        <v>16</v>
      </c>
      <c r="C13896" t="s">
        <v>11</v>
      </c>
      <c r="D13896">
        <v>36</v>
      </c>
      <c r="E13896" s="2">
        <v>3.2650462962962964E-2</v>
      </c>
      <c r="F13896">
        <v>47.016666666666666</v>
      </c>
    </row>
    <row r="13897" spans="1:6" x14ac:dyDescent="0.25">
      <c r="A13897" s="1">
        <v>43374</v>
      </c>
      <c r="B13897" t="s">
        <v>17</v>
      </c>
      <c r="C13897" t="s">
        <v>6</v>
      </c>
      <c r="D13897">
        <v>32</v>
      </c>
      <c r="E13897" s="2">
        <v>4.2569444444444444E-2</v>
      </c>
      <c r="F13897">
        <v>61.3</v>
      </c>
    </row>
    <row r="13898" spans="1:6" x14ac:dyDescent="0.25">
      <c r="A13898" s="1">
        <v>43374</v>
      </c>
      <c r="B13898" t="s">
        <v>17</v>
      </c>
      <c r="C13898" t="s">
        <v>7</v>
      </c>
      <c r="D13898">
        <v>27</v>
      </c>
      <c r="E13898" s="2">
        <v>4.8229166666666663E-2</v>
      </c>
      <c r="F13898">
        <v>69.45</v>
      </c>
    </row>
    <row r="13899" spans="1:6" x14ac:dyDescent="0.25">
      <c r="A13899" s="1">
        <v>43374</v>
      </c>
      <c r="B13899" t="s">
        <v>17</v>
      </c>
      <c r="C13899" t="s">
        <v>8</v>
      </c>
      <c r="D13899">
        <v>25</v>
      </c>
      <c r="E13899" s="2">
        <v>2.974537037037037E-2</v>
      </c>
      <c r="F13899">
        <v>42.833333333333336</v>
      </c>
    </row>
    <row r="13900" spans="1:6" x14ac:dyDescent="0.25">
      <c r="A13900" s="1">
        <v>43374</v>
      </c>
      <c r="B13900" t="s">
        <v>17</v>
      </c>
      <c r="C13900" t="s">
        <v>9</v>
      </c>
      <c r="D13900">
        <v>0</v>
      </c>
      <c r="E13900" s="2">
        <v>0</v>
      </c>
      <c r="F13900">
        <v>0</v>
      </c>
    </row>
    <row r="13901" spans="1:6" x14ac:dyDescent="0.25">
      <c r="A13901" s="1">
        <v>43374</v>
      </c>
      <c r="B13901" t="s">
        <v>17</v>
      </c>
      <c r="C13901" t="s">
        <v>10</v>
      </c>
      <c r="D13901">
        <v>10</v>
      </c>
      <c r="E13901" s="2">
        <v>1.125E-2</v>
      </c>
      <c r="F13901">
        <v>16.2</v>
      </c>
    </row>
    <row r="13902" spans="1:6" x14ac:dyDescent="0.25">
      <c r="A13902" s="1">
        <v>43374</v>
      </c>
      <c r="B13902" t="s">
        <v>17</v>
      </c>
      <c r="C13902" t="s">
        <v>11</v>
      </c>
      <c r="D13902">
        <v>21</v>
      </c>
      <c r="E13902" s="2">
        <v>2.8645833333333332E-2</v>
      </c>
      <c r="F13902">
        <v>41.25</v>
      </c>
    </row>
    <row r="13903" spans="1:6" x14ac:dyDescent="0.25">
      <c r="A13903" s="1">
        <v>43374</v>
      </c>
      <c r="B13903" t="s">
        <v>18</v>
      </c>
      <c r="C13903" t="s">
        <v>6</v>
      </c>
      <c r="D13903">
        <v>46</v>
      </c>
      <c r="E13903" s="2">
        <v>4.7280092592592596E-2</v>
      </c>
      <c r="F13903">
        <v>68.083333333333329</v>
      </c>
    </row>
    <row r="13904" spans="1:6" x14ac:dyDescent="0.25">
      <c r="A13904" s="1">
        <v>43374</v>
      </c>
      <c r="B13904" t="s">
        <v>18</v>
      </c>
      <c r="C13904" t="s">
        <v>7</v>
      </c>
      <c r="D13904">
        <v>84</v>
      </c>
      <c r="E13904" s="2">
        <v>0.10476851851851852</v>
      </c>
      <c r="F13904">
        <v>150.86666666666667</v>
      </c>
    </row>
    <row r="13905" spans="1:6" x14ac:dyDescent="0.25">
      <c r="A13905" s="1">
        <v>43374</v>
      </c>
      <c r="B13905" t="s">
        <v>18</v>
      </c>
      <c r="C13905" t="s">
        <v>8</v>
      </c>
      <c r="D13905">
        <v>38</v>
      </c>
      <c r="E13905" s="2">
        <v>3.2951388888888891E-2</v>
      </c>
      <c r="F13905">
        <v>47.45</v>
      </c>
    </row>
    <row r="13906" spans="1:6" x14ac:dyDescent="0.25">
      <c r="A13906" s="1">
        <v>43374</v>
      </c>
      <c r="B13906" t="s">
        <v>18</v>
      </c>
      <c r="C13906" t="s">
        <v>9</v>
      </c>
      <c r="D13906">
        <v>0</v>
      </c>
      <c r="E13906" s="2">
        <v>0</v>
      </c>
      <c r="F13906">
        <v>0</v>
      </c>
    </row>
    <row r="13907" spans="1:6" x14ac:dyDescent="0.25">
      <c r="A13907" s="1">
        <v>43374</v>
      </c>
      <c r="B13907" t="s">
        <v>18</v>
      </c>
      <c r="C13907" t="s">
        <v>10</v>
      </c>
      <c r="D13907">
        <v>150</v>
      </c>
      <c r="E13907" s="2">
        <v>0.22092592592592591</v>
      </c>
      <c r="F13907">
        <v>318.13333333333333</v>
      </c>
    </row>
    <row r="13908" spans="1:6" x14ac:dyDescent="0.25">
      <c r="A13908" s="1">
        <v>43374</v>
      </c>
      <c r="B13908" t="s">
        <v>18</v>
      </c>
      <c r="C13908" t="s">
        <v>11</v>
      </c>
      <c r="D13908">
        <v>52</v>
      </c>
      <c r="E13908" s="2">
        <v>3.471064814814815E-2</v>
      </c>
      <c r="F13908">
        <v>49.983333333333334</v>
      </c>
    </row>
    <row r="13909" spans="1:6" x14ac:dyDescent="0.25">
      <c r="A13909" s="1">
        <v>43374</v>
      </c>
      <c r="B13909" t="s">
        <v>19</v>
      </c>
      <c r="C13909" t="s">
        <v>6</v>
      </c>
      <c r="D13909">
        <v>21</v>
      </c>
      <c r="E13909" s="2">
        <v>3.6655092592592593E-2</v>
      </c>
      <c r="F13909">
        <v>52.783333333333331</v>
      </c>
    </row>
    <row r="13910" spans="1:6" x14ac:dyDescent="0.25">
      <c r="A13910" s="1">
        <v>43374</v>
      </c>
      <c r="B13910" t="s">
        <v>19</v>
      </c>
      <c r="C13910" t="s">
        <v>7</v>
      </c>
      <c r="D13910">
        <v>21</v>
      </c>
      <c r="E13910" s="2">
        <v>2.9236111111111112E-2</v>
      </c>
      <c r="F13910">
        <v>42.1</v>
      </c>
    </row>
    <row r="13911" spans="1:6" x14ac:dyDescent="0.25">
      <c r="A13911" s="1">
        <v>43374</v>
      </c>
      <c r="B13911" t="s">
        <v>19</v>
      </c>
      <c r="C13911" t="s">
        <v>8</v>
      </c>
      <c r="D13911">
        <v>28</v>
      </c>
      <c r="E13911" s="2">
        <v>2.7557870370370371E-2</v>
      </c>
      <c r="F13911">
        <v>39.68333333333333</v>
      </c>
    </row>
    <row r="13912" spans="1:6" x14ac:dyDescent="0.25">
      <c r="A13912" s="1">
        <v>43374</v>
      </c>
      <c r="B13912" t="s">
        <v>19</v>
      </c>
      <c r="C13912" t="s">
        <v>9</v>
      </c>
      <c r="D13912">
        <v>0</v>
      </c>
      <c r="E13912" s="2">
        <v>0</v>
      </c>
      <c r="F13912">
        <v>0</v>
      </c>
    </row>
    <row r="13913" spans="1:6" x14ac:dyDescent="0.25">
      <c r="A13913" s="1">
        <v>43374</v>
      </c>
      <c r="B13913" t="s">
        <v>19</v>
      </c>
      <c r="C13913" t="s">
        <v>10</v>
      </c>
      <c r="D13913">
        <v>6</v>
      </c>
      <c r="E13913" s="2">
        <v>8.3912037037037045E-3</v>
      </c>
      <c r="F13913">
        <v>12.083333333333334</v>
      </c>
    </row>
    <row r="13914" spans="1:6" x14ac:dyDescent="0.25">
      <c r="A13914" s="1">
        <v>43374</v>
      </c>
      <c r="B13914" t="s">
        <v>19</v>
      </c>
      <c r="C13914" t="s">
        <v>11</v>
      </c>
      <c r="D13914">
        <v>26</v>
      </c>
      <c r="E13914" s="2">
        <v>2.2719907407407407E-2</v>
      </c>
      <c r="F13914">
        <v>32.716666666666669</v>
      </c>
    </row>
    <row r="13915" spans="1:6" x14ac:dyDescent="0.25">
      <c r="A13915" s="1">
        <v>43374</v>
      </c>
      <c r="B13915" t="s">
        <v>20</v>
      </c>
      <c r="C13915" t="s">
        <v>6</v>
      </c>
      <c r="D13915">
        <v>32</v>
      </c>
      <c r="E13915" s="2">
        <v>5.3402777777777778E-2</v>
      </c>
      <c r="F13915">
        <v>76.900000000000006</v>
      </c>
    </row>
    <row r="13916" spans="1:6" x14ac:dyDescent="0.25">
      <c r="A13916" s="1">
        <v>43374</v>
      </c>
      <c r="B13916" t="s">
        <v>20</v>
      </c>
      <c r="C13916" t="s">
        <v>7</v>
      </c>
      <c r="D13916">
        <v>38</v>
      </c>
      <c r="E13916" s="2">
        <v>4.5416666666666668E-2</v>
      </c>
      <c r="F13916">
        <v>65.400000000000006</v>
      </c>
    </row>
    <row r="13917" spans="1:6" x14ac:dyDescent="0.25">
      <c r="A13917" s="1">
        <v>43374</v>
      </c>
      <c r="B13917" t="s">
        <v>20</v>
      </c>
      <c r="C13917" t="s">
        <v>8</v>
      </c>
      <c r="D13917">
        <v>44</v>
      </c>
      <c r="E13917" s="2">
        <v>4.5648148148148146E-2</v>
      </c>
      <c r="F13917">
        <v>65.733333333333334</v>
      </c>
    </row>
    <row r="13918" spans="1:6" x14ac:dyDescent="0.25">
      <c r="A13918" s="1">
        <v>43374</v>
      </c>
      <c r="B13918" t="s">
        <v>20</v>
      </c>
      <c r="C13918" t="s">
        <v>9</v>
      </c>
      <c r="D13918">
        <v>0</v>
      </c>
      <c r="E13918" s="2">
        <v>0</v>
      </c>
      <c r="F13918">
        <v>0</v>
      </c>
    </row>
    <row r="13919" spans="1:6" x14ac:dyDescent="0.25">
      <c r="A13919" s="1">
        <v>43374</v>
      </c>
      <c r="B13919" t="s">
        <v>20</v>
      </c>
      <c r="C13919" t="s">
        <v>10</v>
      </c>
      <c r="D13919">
        <v>7</v>
      </c>
      <c r="E13919" s="2">
        <v>9.2708333333333341E-3</v>
      </c>
      <c r="F13919">
        <v>13.35</v>
      </c>
    </row>
    <row r="13920" spans="1:6" x14ac:dyDescent="0.25">
      <c r="A13920" s="1">
        <v>43374</v>
      </c>
      <c r="B13920" t="s">
        <v>20</v>
      </c>
      <c r="C13920" t="s">
        <v>11</v>
      </c>
      <c r="D13920">
        <v>30</v>
      </c>
      <c r="E13920" s="2">
        <v>2.9907407407407407E-2</v>
      </c>
      <c r="F13920">
        <v>43.06666666666667</v>
      </c>
    </row>
    <row r="13921" spans="1:6" x14ac:dyDescent="0.25">
      <c r="A13921" s="1">
        <v>43374</v>
      </c>
      <c r="B13921" t="s">
        <v>21</v>
      </c>
      <c r="C13921" t="s">
        <v>6</v>
      </c>
      <c r="D13921">
        <v>19</v>
      </c>
      <c r="E13921" s="2">
        <v>2.3784722222222221E-2</v>
      </c>
      <c r="F13921">
        <v>34.25</v>
      </c>
    </row>
    <row r="13922" spans="1:6" x14ac:dyDescent="0.25">
      <c r="A13922" s="1">
        <v>43374</v>
      </c>
      <c r="B13922" t="s">
        <v>21</v>
      </c>
      <c r="C13922" t="s">
        <v>7</v>
      </c>
      <c r="D13922">
        <v>20</v>
      </c>
      <c r="E13922" s="2">
        <v>3.0127314814814815E-2</v>
      </c>
      <c r="F13922">
        <v>43.383333333333333</v>
      </c>
    </row>
    <row r="13923" spans="1:6" x14ac:dyDescent="0.25">
      <c r="A13923" s="1">
        <v>43374</v>
      </c>
      <c r="B13923" t="s">
        <v>21</v>
      </c>
      <c r="C13923" t="s">
        <v>8</v>
      </c>
      <c r="D13923">
        <v>21</v>
      </c>
      <c r="E13923" s="2">
        <v>3.0520833333333334E-2</v>
      </c>
      <c r="F13923">
        <v>43.95</v>
      </c>
    </row>
    <row r="13924" spans="1:6" x14ac:dyDescent="0.25">
      <c r="A13924" s="1">
        <v>43374</v>
      </c>
      <c r="B13924" t="s">
        <v>21</v>
      </c>
      <c r="C13924" t="s">
        <v>9</v>
      </c>
      <c r="D13924">
        <v>0</v>
      </c>
      <c r="E13924" s="2">
        <v>0</v>
      </c>
      <c r="F13924">
        <v>0</v>
      </c>
    </row>
    <row r="13925" spans="1:6" x14ac:dyDescent="0.25">
      <c r="A13925" s="1">
        <v>43374</v>
      </c>
      <c r="B13925" t="s">
        <v>21</v>
      </c>
      <c r="C13925" t="s">
        <v>10</v>
      </c>
      <c r="D13925">
        <v>11</v>
      </c>
      <c r="E13925" s="2">
        <v>1.638888888888889E-2</v>
      </c>
      <c r="F13925">
        <v>23.6</v>
      </c>
    </row>
    <row r="13926" spans="1:6" x14ac:dyDescent="0.25">
      <c r="A13926" s="1">
        <v>43374</v>
      </c>
      <c r="B13926" t="s">
        <v>21</v>
      </c>
      <c r="C13926" t="s">
        <v>11</v>
      </c>
      <c r="D13926">
        <v>30</v>
      </c>
      <c r="E13926" s="2">
        <v>3.2384259259259258E-2</v>
      </c>
      <c r="F13926">
        <v>46.633333333333333</v>
      </c>
    </row>
    <row r="13927" spans="1:6" x14ac:dyDescent="0.25">
      <c r="A13927" s="1">
        <v>43374</v>
      </c>
      <c r="B13927" t="s">
        <v>22</v>
      </c>
      <c r="C13927" t="s">
        <v>6</v>
      </c>
      <c r="D13927">
        <v>14</v>
      </c>
      <c r="E13927" s="2">
        <v>2.1597222222222223E-2</v>
      </c>
      <c r="F13927">
        <v>31.1</v>
      </c>
    </row>
    <row r="13928" spans="1:6" x14ac:dyDescent="0.25">
      <c r="A13928" s="1">
        <v>43374</v>
      </c>
      <c r="B13928" t="s">
        <v>22</v>
      </c>
      <c r="C13928" t="s">
        <v>7</v>
      </c>
      <c r="D13928">
        <v>5</v>
      </c>
      <c r="E13928" s="2">
        <v>5.9953703703703705E-3</v>
      </c>
      <c r="F13928">
        <v>8.6333333333333329</v>
      </c>
    </row>
    <row r="13929" spans="1:6" x14ac:dyDescent="0.25">
      <c r="A13929" s="1">
        <v>43374</v>
      </c>
      <c r="B13929" t="s">
        <v>22</v>
      </c>
      <c r="C13929" t="s">
        <v>8</v>
      </c>
      <c r="D13929">
        <v>5</v>
      </c>
      <c r="E13929" s="2">
        <v>8.1134259259259267E-3</v>
      </c>
      <c r="F13929">
        <v>11.683333333333334</v>
      </c>
    </row>
    <row r="13930" spans="1:6" x14ac:dyDescent="0.25">
      <c r="A13930" s="1">
        <v>43374</v>
      </c>
      <c r="B13930" t="s">
        <v>22</v>
      </c>
      <c r="C13930" t="s">
        <v>9</v>
      </c>
      <c r="D13930">
        <v>0</v>
      </c>
      <c r="E13930" s="2">
        <v>0</v>
      </c>
      <c r="F13930">
        <v>0</v>
      </c>
    </row>
    <row r="13931" spans="1:6" x14ac:dyDescent="0.25">
      <c r="A13931" s="1">
        <v>43374</v>
      </c>
      <c r="B13931" t="s">
        <v>22</v>
      </c>
      <c r="C13931" t="s">
        <v>10</v>
      </c>
      <c r="D13931">
        <v>9</v>
      </c>
      <c r="E13931" s="2">
        <v>8.472222222222223E-3</v>
      </c>
      <c r="F13931">
        <v>12.2</v>
      </c>
    </row>
    <row r="13932" spans="1:6" x14ac:dyDescent="0.25">
      <c r="A13932" s="1">
        <v>43374</v>
      </c>
      <c r="B13932" t="s">
        <v>22</v>
      </c>
      <c r="C13932" t="s">
        <v>11</v>
      </c>
      <c r="D13932">
        <v>8</v>
      </c>
      <c r="E13932" s="2">
        <v>1.1342592592592593E-2</v>
      </c>
      <c r="F13932">
        <v>16.333333333333332</v>
      </c>
    </row>
    <row r="13933" spans="1:6" x14ac:dyDescent="0.25">
      <c r="A13933" s="1">
        <v>43374</v>
      </c>
      <c r="B13933" t="s">
        <v>23</v>
      </c>
      <c r="C13933" t="s">
        <v>6</v>
      </c>
      <c r="D13933">
        <v>98</v>
      </c>
      <c r="E13933" s="2">
        <v>0.14811342592592591</v>
      </c>
      <c r="F13933">
        <v>213.28333333333333</v>
      </c>
    </row>
    <row r="13934" spans="1:6" x14ac:dyDescent="0.25">
      <c r="A13934" s="1">
        <v>43374</v>
      </c>
      <c r="B13934" t="s">
        <v>23</v>
      </c>
      <c r="C13934" t="s">
        <v>7</v>
      </c>
      <c r="D13934">
        <v>96</v>
      </c>
      <c r="E13934" s="2">
        <v>0.17467592592592593</v>
      </c>
      <c r="F13934">
        <v>251.53333333333333</v>
      </c>
    </row>
    <row r="13935" spans="1:6" x14ac:dyDescent="0.25">
      <c r="A13935" s="1">
        <v>43374</v>
      </c>
      <c r="B13935" t="s">
        <v>23</v>
      </c>
      <c r="C13935" t="s">
        <v>8</v>
      </c>
      <c r="D13935">
        <v>69</v>
      </c>
      <c r="E13935" s="2">
        <v>9.7534722222222217E-2</v>
      </c>
      <c r="F13935">
        <v>140.44999999999999</v>
      </c>
    </row>
    <row r="13936" spans="1:6" x14ac:dyDescent="0.25">
      <c r="A13936" s="1">
        <v>43374</v>
      </c>
      <c r="B13936" t="s">
        <v>23</v>
      </c>
      <c r="C13936" t="s">
        <v>9</v>
      </c>
      <c r="D13936">
        <v>0</v>
      </c>
      <c r="E13936" s="2">
        <v>0</v>
      </c>
      <c r="F13936">
        <v>0</v>
      </c>
    </row>
    <row r="13937" spans="1:6" x14ac:dyDescent="0.25">
      <c r="A13937" s="1">
        <v>43374</v>
      </c>
      <c r="B13937" t="s">
        <v>23</v>
      </c>
      <c r="C13937" t="s">
        <v>10</v>
      </c>
      <c r="D13937">
        <v>38</v>
      </c>
      <c r="E13937" s="2">
        <v>6.5289351851851848E-2</v>
      </c>
      <c r="F13937">
        <v>94.016666666666666</v>
      </c>
    </row>
    <row r="13938" spans="1:6" x14ac:dyDescent="0.25">
      <c r="A13938" s="1">
        <v>43374</v>
      </c>
      <c r="B13938" t="s">
        <v>23</v>
      </c>
      <c r="C13938" t="s">
        <v>11</v>
      </c>
      <c r="D13938">
        <v>80</v>
      </c>
      <c r="E13938" s="2">
        <v>8.5069444444444448E-2</v>
      </c>
      <c r="F13938">
        <v>122.5</v>
      </c>
    </row>
    <row r="13939" spans="1:6" x14ac:dyDescent="0.25">
      <c r="A13939" s="1">
        <v>43374</v>
      </c>
      <c r="B13939" t="s">
        <v>24</v>
      </c>
      <c r="C13939" t="s">
        <v>6</v>
      </c>
      <c r="D13939">
        <v>9</v>
      </c>
      <c r="E13939" s="2">
        <v>1.2662037037037038E-2</v>
      </c>
      <c r="F13939">
        <v>18.233333333333334</v>
      </c>
    </row>
    <row r="13940" spans="1:6" x14ac:dyDescent="0.25">
      <c r="A13940" s="1">
        <v>43374</v>
      </c>
      <c r="B13940" t="s">
        <v>24</v>
      </c>
      <c r="C13940" t="s">
        <v>7</v>
      </c>
      <c r="D13940">
        <v>11</v>
      </c>
      <c r="E13940" s="2">
        <v>1.0729166666666666E-2</v>
      </c>
      <c r="F13940">
        <v>15.45</v>
      </c>
    </row>
    <row r="13941" spans="1:6" x14ac:dyDescent="0.25">
      <c r="A13941" s="1">
        <v>43374</v>
      </c>
      <c r="B13941" t="s">
        <v>24</v>
      </c>
      <c r="C13941" t="s">
        <v>8</v>
      </c>
      <c r="D13941">
        <v>8</v>
      </c>
      <c r="E13941" s="2">
        <v>6.3194444444444444E-3</v>
      </c>
      <c r="F13941">
        <v>9.1</v>
      </c>
    </row>
    <row r="13942" spans="1:6" x14ac:dyDescent="0.25">
      <c r="A13942" s="1">
        <v>43374</v>
      </c>
      <c r="B13942" t="s">
        <v>24</v>
      </c>
      <c r="C13942" t="s">
        <v>9</v>
      </c>
      <c r="D13942">
        <v>0</v>
      </c>
      <c r="E13942" s="2">
        <v>0</v>
      </c>
      <c r="F13942">
        <v>0</v>
      </c>
    </row>
    <row r="13943" spans="1:6" x14ac:dyDescent="0.25">
      <c r="A13943" s="1">
        <v>43374</v>
      </c>
      <c r="B13943" t="s">
        <v>24</v>
      </c>
      <c r="C13943" t="s">
        <v>10</v>
      </c>
      <c r="D13943">
        <v>0</v>
      </c>
      <c r="E13943" s="2">
        <v>0</v>
      </c>
      <c r="F13943">
        <v>0</v>
      </c>
    </row>
    <row r="13944" spans="1:6" x14ac:dyDescent="0.25">
      <c r="A13944" s="1">
        <v>43374</v>
      </c>
      <c r="B13944" t="s">
        <v>24</v>
      </c>
      <c r="C13944" t="s">
        <v>11</v>
      </c>
      <c r="D13944">
        <v>25</v>
      </c>
      <c r="E13944" s="2">
        <v>2.4733796296296295E-2</v>
      </c>
      <c r="F13944">
        <v>35.616666666666667</v>
      </c>
    </row>
    <row r="13945" spans="1:6" x14ac:dyDescent="0.25">
      <c r="A13945" s="1">
        <v>43405</v>
      </c>
      <c r="B13945" t="s">
        <v>5</v>
      </c>
      <c r="C13945" t="s">
        <v>6</v>
      </c>
      <c r="D13945">
        <v>22</v>
      </c>
      <c r="E13945" s="2">
        <v>2.2766203703703705E-2</v>
      </c>
      <c r="F13945">
        <v>32.783333333333331</v>
      </c>
    </row>
    <row r="13946" spans="1:6" x14ac:dyDescent="0.25">
      <c r="A13946" s="1">
        <v>43405</v>
      </c>
      <c r="B13946" t="s">
        <v>5</v>
      </c>
      <c r="C13946" t="s">
        <v>7</v>
      </c>
      <c r="D13946">
        <v>20</v>
      </c>
      <c r="E13946" s="2">
        <v>1.8402777777777778E-2</v>
      </c>
      <c r="F13946">
        <v>26.5</v>
      </c>
    </row>
    <row r="13947" spans="1:6" x14ac:dyDescent="0.25">
      <c r="A13947" s="1">
        <v>43405</v>
      </c>
      <c r="B13947" t="s">
        <v>5</v>
      </c>
      <c r="C13947" t="s">
        <v>8</v>
      </c>
      <c r="D13947">
        <v>19</v>
      </c>
      <c r="E13947" s="2">
        <v>1.8587962962962962E-2</v>
      </c>
      <c r="F13947">
        <v>26.766666666666666</v>
      </c>
    </row>
    <row r="13948" spans="1:6" x14ac:dyDescent="0.25">
      <c r="A13948" s="1">
        <v>43405</v>
      </c>
      <c r="B13948" t="s">
        <v>5</v>
      </c>
      <c r="C13948" t="s">
        <v>9</v>
      </c>
      <c r="D13948">
        <v>0</v>
      </c>
      <c r="E13948" s="2">
        <v>0</v>
      </c>
      <c r="F13948">
        <v>0</v>
      </c>
    </row>
    <row r="13949" spans="1:6" x14ac:dyDescent="0.25">
      <c r="A13949" s="1">
        <v>43405</v>
      </c>
      <c r="B13949" t="s">
        <v>5</v>
      </c>
      <c r="C13949" t="s">
        <v>10</v>
      </c>
      <c r="D13949">
        <v>8</v>
      </c>
      <c r="E13949" s="2">
        <v>7.0486111111111114E-3</v>
      </c>
      <c r="F13949">
        <v>10.15</v>
      </c>
    </row>
    <row r="13950" spans="1:6" x14ac:dyDescent="0.25">
      <c r="A13950" s="1">
        <v>43405</v>
      </c>
      <c r="B13950" t="s">
        <v>5</v>
      </c>
      <c r="C13950" t="s">
        <v>11</v>
      </c>
      <c r="D13950">
        <v>24</v>
      </c>
      <c r="E13950" s="2">
        <v>1.7615740740740741E-2</v>
      </c>
      <c r="F13950">
        <v>25.366666666666667</v>
      </c>
    </row>
    <row r="13951" spans="1:6" x14ac:dyDescent="0.25">
      <c r="A13951" s="1">
        <v>43405</v>
      </c>
      <c r="B13951" t="s">
        <v>12</v>
      </c>
      <c r="C13951" t="s">
        <v>6</v>
      </c>
      <c r="D13951">
        <v>23</v>
      </c>
      <c r="E13951" s="2">
        <v>3.2395833333333332E-2</v>
      </c>
      <c r="F13951">
        <v>46.65</v>
      </c>
    </row>
    <row r="13952" spans="1:6" x14ac:dyDescent="0.25">
      <c r="A13952" s="1">
        <v>43405</v>
      </c>
      <c r="B13952" t="s">
        <v>12</v>
      </c>
      <c r="C13952" t="s">
        <v>7</v>
      </c>
      <c r="D13952">
        <v>23</v>
      </c>
      <c r="E13952" s="2">
        <v>4.971064814814815E-2</v>
      </c>
      <c r="F13952">
        <v>71.583333333333329</v>
      </c>
    </row>
    <row r="13953" spans="1:6" x14ac:dyDescent="0.25">
      <c r="A13953" s="1">
        <v>43405</v>
      </c>
      <c r="B13953" t="s">
        <v>12</v>
      </c>
      <c r="C13953" t="s">
        <v>8</v>
      </c>
      <c r="D13953">
        <v>16</v>
      </c>
      <c r="E13953" s="2">
        <v>2.4155092592592593E-2</v>
      </c>
      <c r="F13953">
        <v>34.783333333333331</v>
      </c>
    </row>
    <row r="13954" spans="1:6" x14ac:dyDescent="0.25">
      <c r="A13954" s="1">
        <v>43405</v>
      </c>
      <c r="B13954" t="s">
        <v>12</v>
      </c>
      <c r="C13954" t="s">
        <v>9</v>
      </c>
      <c r="D13954">
        <v>0</v>
      </c>
      <c r="E13954" s="2">
        <v>0</v>
      </c>
      <c r="F13954">
        <v>0</v>
      </c>
    </row>
    <row r="13955" spans="1:6" x14ac:dyDescent="0.25">
      <c r="A13955" s="1">
        <v>43405</v>
      </c>
      <c r="B13955" t="s">
        <v>12</v>
      </c>
      <c r="C13955" t="s">
        <v>10</v>
      </c>
      <c r="D13955">
        <v>21</v>
      </c>
      <c r="E13955" s="2">
        <v>3.229166666666667E-2</v>
      </c>
      <c r="F13955">
        <v>46.5</v>
      </c>
    </row>
    <row r="13956" spans="1:6" x14ac:dyDescent="0.25">
      <c r="A13956" s="1">
        <v>43405</v>
      </c>
      <c r="B13956" t="s">
        <v>12</v>
      </c>
      <c r="C13956" t="s">
        <v>11</v>
      </c>
      <c r="D13956">
        <v>42</v>
      </c>
      <c r="E13956" s="2">
        <v>5.9328703703703703E-2</v>
      </c>
      <c r="F13956">
        <v>85.433333333333337</v>
      </c>
    </row>
    <row r="13957" spans="1:6" x14ac:dyDescent="0.25">
      <c r="A13957" s="1">
        <v>43405</v>
      </c>
      <c r="B13957" t="s">
        <v>13</v>
      </c>
      <c r="C13957" t="s">
        <v>6</v>
      </c>
      <c r="D13957">
        <v>80</v>
      </c>
      <c r="E13957" s="2">
        <v>0.11818287037037037</v>
      </c>
      <c r="F13957">
        <v>170.18333333333334</v>
      </c>
    </row>
    <row r="13958" spans="1:6" x14ac:dyDescent="0.25">
      <c r="A13958" s="1">
        <v>43405</v>
      </c>
      <c r="B13958" t="s">
        <v>13</v>
      </c>
      <c r="C13958" t="s">
        <v>7</v>
      </c>
      <c r="D13958">
        <v>93</v>
      </c>
      <c r="E13958" s="2">
        <v>0.12292824074074074</v>
      </c>
      <c r="F13958">
        <v>177.01666666666668</v>
      </c>
    </row>
    <row r="13959" spans="1:6" x14ac:dyDescent="0.25">
      <c r="A13959" s="1">
        <v>43405</v>
      </c>
      <c r="B13959" t="s">
        <v>13</v>
      </c>
      <c r="C13959" t="s">
        <v>8</v>
      </c>
      <c r="D13959">
        <v>47</v>
      </c>
      <c r="E13959" s="2">
        <v>5.258101851851852E-2</v>
      </c>
      <c r="F13959">
        <v>75.716666666666669</v>
      </c>
    </row>
    <row r="13960" spans="1:6" x14ac:dyDescent="0.25">
      <c r="A13960" s="1">
        <v>43405</v>
      </c>
      <c r="B13960" t="s">
        <v>13</v>
      </c>
      <c r="C13960" t="s">
        <v>9</v>
      </c>
      <c r="D13960">
        <v>0</v>
      </c>
      <c r="E13960" s="2">
        <v>0</v>
      </c>
      <c r="F13960">
        <v>0</v>
      </c>
    </row>
    <row r="13961" spans="1:6" x14ac:dyDescent="0.25">
      <c r="A13961" s="1">
        <v>43405</v>
      </c>
      <c r="B13961" t="s">
        <v>13</v>
      </c>
      <c r="C13961" t="s">
        <v>10</v>
      </c>
      <c r="D13961">
        <v>12</v>
      </c>
      <c r="E13961" s="2">
        <v>2.042824074074074E-2</v>
      </c>
      <c r="F13961">
        <v>29.416666666666668</v>
      </c>
    </row>
    <row r="13962" spans="1:6" x14ac:dyDescent="0.25">
      <c r="A13962" s="1">
        <v>43405</v>
      </c>
      <c r="B13962" t="s">
        <v>13</v>
      </c>
      <c r="C13962" t="s">
        <v>11</v>
      </c>
      <c r="D13962">
        <v>55</v>
      </c>
      <c r="E13962" s="2">
        <v>5.966435185185185E-2</v>
      </c>
      <c r="F13962">
        <v>85.916666666666671</v>
      </c>
    </row>
    <row r="13963" spans="1:6" x14ac:dyDescent="0.25">
      <c r="A13963" s="1">
        <v>43405</v>
      </c>
      <c r="B13963" t="s">
        <v>14</v>
      </c>
      <c r="C13963" t="s">
        <v>6</v>
      </c>
      <c r="D13963">
        <v>7</v>
      </c>
      <c r="E13963" s="2">
        <v>1.1423611111111112E-2</v>
      </c>
      <c r="F13963">
        <v>16.45</v>
      </c>
    </row>
    <row r="13964" spans="1:6" x14ac:dyDescent="0.25">
      <c r="A13964" s="1">
        <v>43405</v>
      </c>
      <c r="B13964" t="s">
        <v>14</v>
      </c>
      <c r="C13964" t="s">
        <v>7</v>
      </c>
      <c r="D13964">
        <v>5</v>
      </c>
      <c r="E13964" s="2">
        <v>6.7013888888888887E-3</v>
      </c>
      <c r="F13964">
        <v>9.65</v>
      </c>
    </row>
    <row r="13965" spans="1:6" x14ac:dyDescent="0.25">
      <c r="A13965" s="1">
        <v>43405</v>
      </c>
      <c r="B13965" t="s">
        <v>14</v>
      </c>
      <c r="C13965" t="s">
        <v>8</v>
      </c>
      <c r="D13965">
        <v>5</v>
      </c>
      <c r="E13965" s="2">
        <v>5.4861111111111109E-3</v>
      </c>
      <c r="F13965">
        <v>7.9</v>
      </c>
    </row>
    <row r="13966" spans="1:6" x14ac:dyDescent="0.25">
      <c r="A13966" s="1">
        <v>43405</v>
      </c>
      <c r="B13966" t="s">
        <v>14</v>
      </c>
      <c r="C13966" t="s">
        <v>9</v>
      </c>
      <c r="D13966">
        <v>0</v>
      </c>
      <c r="E13966" s="2">
        <v>0</v>
      </c>
      <c r="F13966">
        <v>0</v>
      </c>
    </row>
    <row r="13967" spans="1:6" x14ac:dyDescent="0.25">
      <c r="A13967" s="1">
        <v>43405</v>
      </c>
      <c r="B13967" t="s">
        <v>14</v>
      </c>
      <c r="C13967" t="s">
        <v>10</v>
      </c>
      <c r="D13967">
        <v>1</v>
      </c>
      <c r="E13967" s="2">
        <v>1.7476851851851852E-3</v>
      </c>
      <c r="F13967">
        <v>2.5166666666666666</v>
      </c>
    </row>
    <row r="13968" spans="1:6" x14ac:dyDescent="0.25">
      <c r="A13968" s="1">
        <v>43405</v>
      </c>
      <c r="B13968" t="s">
        <v>14</v>
      </c>
      <c r="C13968" t="s">
        <v>11</v>
      </c>
      <c r="D13968">
        <v>8</v>
      </c>
      <c r="E13968" s="2">
        <v>9.0162037037037034E-3</v>
      </c>
      <c r="F13968">
        <v>12.983333333333333</v>
      </c>
    </row>
    <row r="13969" spans="1:6" x14ac:dyDescent="0.25">
      <c r="A13969" s="1">
        <v>43405</v>
      </c>
      <c r="B13969" t="s">
        <v>15</v>
      </c>
      <c r="C13969" t="s">
        <v>6</v>
      </c>
      <c r="D13969">
        <v>15</v>
      </c>
      <c r="E13969" s="2">
        <v>2.6192129629629631E-2</v>
      </c>
      <c r="F13969">
        <v>37.716666666666669</v>
      </c>
    </row>
    <row r="13970" spans="1:6" x14ac:dyDescent="0.25">
      <c r="A13970" s="1">
        <v>43405</v>
      </c>
      <c r="B13970" t="s">
        <v>15</v>
      </c>
      <c r="C13970" t="s">
        <v>7</v>
      </c>
      <c r="D13970">
        <v>14</v>
      </c>
      <c r="E13970" s="2">
        <v>2.8969907407407406E-2</v>
      </c>
      <c r="F13970">
        <v>41.716666666666669</v>
      </c>
    </row>
    <row r="13971" spans="1:6" x14ac:dyDescent="0.25">
      <c r="A13971" s="1">
        <v>43405</v>
      </c>
      <c r="B13971" t="s">
        <v>15</v>
      </c>
      <c r="C13971" t="s">
        <v>8</v>
      </c>
      <c r="D13971">
        <v>10</v>
      </c>
      <c r="E13971" s="2">
        <v>1.5613425925925926E-2</v>
      </c>
      <c r="F13971">
        <v>22.483333333333334</v>
      </c>
    </row>
    <row r="13972" spans="1:6" x14ac:dyDescent="0.25">
      <c r="A13972" s="1">
        <v>43405</v>
      </c>
      <c r="B13972" t="s">
        <v>15</v>
      </c>
      <c r="C13972" t="s">
        <v>9</v>
      </c>
      <c r="D13972">
        <v>0</v>
      </c>
      <c r="E13972" s="2">
        <v>0</v>
      </c>
      <c r="F13972">
        <v>0</v>
      </c>
    </row>
    <row r="13973" spans="1:6" x14ac:dyDescent="0.25">
      <c r="A13973" s="1">
        <v>43405</v>
      </c>
      <c r="B13973" t="s">
        <v>15</v>
      </c>
      <c r="C13973" t="s">
        <v>10</v>
      </c>
      <c r="D13973">
        <v>8</v>
      </c>
      <c r="E13973" s="2">
        <v>1.7905092592592594E-2</v>
      </c>
      <c r="F13973">
        <v>25.783333333333335</v>
      </c>
    </row>
    <row r="13974" spans="1:6" x14ac:dyDescent="0.25">
      <c r="A13974" s="1">
        <v>43405</v>
      </c>
      <c r="B13974" t="s">
        <v>15</v>
      </c>
      <c r="C13974" t="s">
        <v>11</v>
      </c>
      <c r="D13974">
        <v>11</v>
      </c>
      <c r="E13974" s="2">
        <v>1.1516203703703704E-2</v>
      </c>
      <c r="F13974">
        <v>16.583333333333332</v>
      </c>
    </row>
    <row r="13975" spans="1:6" x14ac:dyDescent="0.25">
      <c r="A13975" s="1">
        <v>43405</v>
      </c>
      <c r="B13975" t="s">
        <v>16</v>
      </c>
      <c r="C13975" t="s">
        <v>6</v>
      </c>
      <c r="D13975">
        <v>20</v>
      </c>
      <c r="E13975" s="2">
        <v>6.5787037037037033E-2</v>
      </c>
      <c r="F13975">
        <v>94.733333333333334</v>
      </c>
    </row>
    <row r="13976" spans="1:6" x14ac:dyDescent="0.25">
      <c r="A13976" s="1">
        <v>43405</v>
      </c>
      <c r="B13976" t="s">
        <v>16</v>
      </c>
      <c r="C13976" t="s">
        <v>7</v>
      </c>
      <c r="D13976">
        <v>15</v>
      </c>
      <c r="E13976" s="2">
        <v>1.8171296296296297E-2</v>
      </c>
      <c r="F13976">
        <v>26.166666666666668</v>
      </c>
    </row>
    <row r="13977" spans="1:6" x14ac:dyDescent="0.25">
      <c r="A13977" s="1">
        <v>43405</v>
      </c>
      <c r="B13977" t="s">
        <v>16</v>
      </c>
      <c r="C13977" t="s">
        <v>8</v>
      </c>
      <c r="D13977">
        <v>24</v>
      </c>
      <c r="E13977" s="2">
        <v>2.3993055555555556E-2</v>
      </c>
      <c r="F13977">
        <v>34.549999999999997</v>
      </c>
    </row>
    <row r="13978" spans="1:6" x14ac:dyDescent="0.25">
      <c r="A13978" s="1">
        <v>43405</v>
      </c>
      <c r="B13978" t="s">
        <v>16</v>
      </c>
      <c r="C13978" t="s">
        <v>9</v>
      </c>
      <c r="D13978">
        <v>0</v>
      </c>
      <c r="E13978" s="2">
        <v>0</v>
      </c>
      <c r="F13978">
        <v>0</v>
      </c>
    </row>
    <row r="13979" spans="1:6" x14ac:dyDescent="0.25">
      <c r="A13979" s="1">
        <v>43405</v>
      </c>
      <c r="B13979" t="s">
        <v>16</v>
      </c>
      <c r="C13979" t="s">
        <v>10</v>
      </c>
      <c r="D13979">
        <v>2</v>
      </c>
      <c r="E13979" s="2">
        <v>2.638888888888889E-3</v>
      </c>
      <c r="F13979">
        <v>3.8</v>
      </c>
    </row>
    <row r="13980" spans="1:6" x14ac:dyDescent="0.25">
      <c r="A13980" s="1">
        <v>43405</v>
      </c>
      <c r="B13980" t="s">
        <v>16</v>
      </c>
      <c r="C13980" t="s">
        <v>11</v>
      </c>
      <c r="D13980">
        <v>27</v>
      </c>
      <c r="E13980" s="2">
        <v>2.2638888888888889E-2</v>
      </c>
      <c r="F13980">
        <v>32.6</v>
      </c>
    </row>
    <row r="13981" spans="1:6" x14ac:dyDescent="0.25">
      <c r="A13981" s="1">
        <v>43405</v>
      </c>
      <c r="B13981" t="s">
        <v>17</v>
      </c>
      <c r="C13981" t="s">
        <v>6</v>
      </c>
      <c r="D13981">
        <v>24</v>
      </c>
      <c r="E13981" s="2">
        <v>3.0949074074074073E-2</v>
      </c>
      <c r="F13981">
        <v>44.56666666666667</v>
      </c>
    </row>
    <row r="13982" spans="1:6" x14ac:dyDescent="0.25">
      <c r="A13982" s="1">
        <v>43405</v>
      </c>
      <c r="B13982" t="s">
        <v>17</v>
      </c>
      <c r="C13982" t="s">
        <v>7</v>
      </c>
      <c r="D13982">
        <v>29</v>
      </c>
      <c r="E13982" s="2">
        <v>3.709490740740741E-2</v>
      </c>
      <c r="F13982">
        <v>53.416666666666664</v>
      </c>
    </row>
    <row r="13983" spans="1:6" x14ac:dyDescent="0.25">
      <c r="A13983" s="1">
        <v>43405</v>
      </c>
      <c r="B13983" t="s">
        <v>17</v>
      </c>
      <c r="C13983" t="s">
        <v>8</v>
      </c>
      <c r="D13983">
        <v>35</v>
      </c>
      <c r="E13983" s="2">
        <v>4.3460648148148151E-2</v>
      </c>
      <c r="F13983">
        <v>62.583333333333336</v>
      </c>
    </row>
    <row r="13984" spans="1:6" x14ac:dyDescent="0.25">
      <c r="A13984" s="1">
        <v>43405</v>
      </c>
      <c r="B13984" t="s">
        <v>17</v>
      </c>
      <c r="C13984" t="s">
        <v>9</v>
      </c>
      <c r="D13984">
        <v>0</v>
      </c>
      <c r="E13984" s="2">
        <v>0</v>
      </c>
      <c r="F13984">
        <v>0</v>
      </c>
    </row>
    <row r="13985" spans="1:6" x14ac:dyDescent="0.25">
      <c r="A13985" s="1">
        <v>43405</v>
      </c>
      <c r="B13985" t="s">
        <v>17</v>
      </c>
      <c r="C13985" t="s">
        <v>10</v>
      </c>
      <c r="D13985">
        <v>17</v>
      </c>
      <c r="E13985" s="2">
        <v>2.2361111111111109E-2</v>
      </c>
      <c r="F13985">
        <v>32.200000000000003</v>
      </c>
    </row>
    <row r="13986" spans="1:6" x14ac:dyDescent="0.25">
      <c r="A13986" s="1">
        <v>43405</v>
      </c>
      <c r="B13986" t="s">
        <v>17</v>
      </c>
      <c r="C13986" t="s">
        <v>11</v>
      </c>
      <c r="D13986">
        <v>26</v>
      </c>
      <c r="E13986" s="2">
        <v>2.3101851851851853E-2</v>
      </c>
      <c r="F13986">
        <v>33.266666666666666</v>
      </c>
    </row>
    <row r="13987" spans="1:6" x14ac:dyDescent="0.25">
      <c r="A13987" s="1">
        <v>43405</v>
      </c>
      <c r="B13987" t="s">
        <v>18</v>
      </c>
      <c r="C13987" t="s">
        <v>6</v>
      </c>
      <c r="D13987">
        <v>26</v>
      </c>
      <c r="E13987" s="2">
        <v>4.9942129629629628E-2</v>
      </c>
      <c r="F13987">
        <v>71.916666666666671</v>
      </c>
    </row>
    <row r="13988" spans="1:6" x14ac:dyDescent="0.25">
      <c r="A13988" s="1">
        <v>43405</v>
      </c>
      <c r="B13988" t="s">
        <v>18</v>
      </c>
      <c r="C13988" t="s">
        <v>7</v>
      </c>
      <c r="D13988">
        <v>43</v>
      </c>
      <c r="E13988" s="2">
        <v>5.6851851851851855E-2</v>
      </c>
      <c r="F13988">
        <v>81.86666666666666</v>
      </c>
    </row>
    <row r="13989" spans="1:6" x14ac:dyDescent="0.25">
      <c r="A13989" s="1">
        <v>43405</v>
      </c>
      <c r="B13989" t="s">
        <v>18</v>
      </c>
      <c r="C13989" t="s">
        <v>8</v>
      </c>
      <c r="D13989">
        <v>13</v>
      </c>
      <c r="E13989" s="2">
        <v>9.1666666666666667E-3</v>
      </c>
      <c r="F13989">
        <v>13.2</v>
      </c>
    </row>
    <row r="13990" spans="1:6" x14ac:dyDescent="0.25">
      <c r="A13990" s="1">
        <v>43405</v>
      </c>
      <c r="B13990" t="s">
        <v>18</v>
      </c>
      <c r="C13990" t="s">
        <v>9</v>
      </c>
      <c r="D13990">
        <v>0</v>
      </c>
      <c r="E13990" s="2">
        <v>0</v>
      </c>
      <c r="F13990">
        <v>0</v>
      </c>
    </row>
    <row r="13991" spans="1:6" x14ac:dyDescent="0.25">
      <c r="A13991" s="1">
        <v>43405</v>
      </c>
      <c r="B13991" t="s">
        <v>18</v>
      </c>
      <c r="C13991" t="s">
        <v>10</v>
      </c>
      <c r="D13991">
        <v>111</v>
      </c>
      <c r="E13991" s="2">
        <v>0.15230324074074075</v>
      </c>
      <c r="F13991">
        <v>219.31666666666666</v>
      </c>
    </row>
    <row r="13992" spans="1:6" x14ac:dyDescent="0.25">
      <c r="A13992" s="1">
        <v>43405</v>
      </c>
      <c r="B13992" t="s">
        <v>18</v>
      </c>
      <c r="C13992" t="s">
        <v>11</v>
      </c>
      <c r="D13992">
        <v>21</v>
      </c>
      <c r="E13992" s="2">
        <v>1.3171296296296296E-2</v>
      </c>
      <c r="F13992">
        <v>18.966666666666665</v>
      </c>
    </row>
    <row r="13993" spans="1:6" x14ac:dyDescent="0.25">
      <c r="A13993" s="1">
        <v>43405</v>
      </c>
      <c r="B13993" t="s">
        <v>19</v>
      </c>
      <c r="C13993" t="s">
        <v>6</v>
      </c>
      <c r="D13993">
        <v>13</v>
      </c>
      <c r="E13993" s="2">
        <v>1.8287037037037036E-2</v>
      </c>
      <c r="F13993">
        <v>26.333333333333332</v>
      </c>
    </row>
    <row r="13994" spans="1:6" x14ac:dyDescent="0.25">
      <c r="A13994" s="1">
        <v>43405</v>
      </c>
      <c r="B13994" t="s">
        <v>19</v>
      </c>
      <c r="C13994" t="s">
        <v>7</v>
      </c>
      <c r="D13994">
        <v>19</v>
      </c>
      <c r="E13994" s="2">
        <v>2.0416666666666666E-2</v>
      </c>
      <c r="F13994">
        <v>29.4</v>
      </c>
    </row>
    <row r="13995" spans="1:6" x14ac:dyDescent="0.25">
      <c r="A13995" s="1">
        <v>43405</v>
      </c>
      <c r="B13995" t="s">
        <v>19</v>
      </c>
      <c r="C13995" t="s">
        <v>8</v>
      </c>
      <c r="D13995">
        <v>19</v>
      </c>
      <c r="E13995" s="2">
        <v>2.1377314814814814E-2</v>
      </c>
      <c r="F13995">
        <v>30.783333333333335</v>
      </c>
    </row>
    <row r="13996" spans="1:6" x14ac:dyDescent="0.25">
      <c r="A13996" s="1">
        <v>43405</v>
      </c>
      <c r="B13996" t="s">
        <v>19</v>
      </c>
      <c r="C13996" t="s">
        <v>9</v>
      </c>
      <c r="D13996">
        <v>0</v>
      </c>
      <c r="E13996" s="2">
        <v>0</v>
      </c>
      <c r="F13996">
        <v>0</v>
      </c>
    </row>
    <row r="13997" spans="1:6" x14ac:dyDescent="0.25">
      <c r="A13997" s="1">
        <v>43405</v>
      </c>
      <c r="B13997" t="s">
        <v>19</v>
      </c>
      <c r="C13997" t="s">
        <v>10</v>
      </c>
      <c r="D13997">
        <v>15</v>
      </c>
      <c r="E13997" s="2">
        <v>2.1134259259259259E-2</v>
      </c>
      <c r="F13997">
        <v>30.433333333333334</v>
      </c>
    </row>
    <row r="13998" spans="1:6" x14ac:dyDescent="0.25">
      <c r="A13998" s="1">
        <v>43405</v>
      </c>
      <c r="B13998" t="s">
        <v>19</v>
      </c>
      <c r="C13998" t="s">
        <v>11</v>
      </c>
      <c r="D13998">
        <v>23</v>
      </c>
      <c r="E13998" s="2">
        <v>2.1631944444444443E-2</v>
      </c>
      <c r="F13998">
        <v>31.15</v>
      </c>
    </row>
    <row r="13999" spans="1:6" x14ac:dyDescent="0.25">
      <c r="A13999" s="1">
        <v>43405</v>
      </c>
      <c r="B13999" t="s">
        <v>20</v>
      </c>
      <c r="C13999" t="s">
        <v>6</v>
      </c>
      <c r="D13999">
        <v>30</v>
      </c>
      <c r="E13999" s="2">
        <v>2.9062500000000002E-2</v>
      </c>
      <c r="F13999">
        <v>41.85</v>
      </c>
    </row>
    <row r="14000" spans="1:6" x14ac:dyDescent="0.25">
      <c r="A14000" s="1">
        <v>43405</v>
      </c>
      <c r="B14000" t="s">
        <v>20</v>
      </c>
      <c r="C14000" t="s">
        <v>7</v>
      </c>
      <c r="D14000">
        <v>40</v>
      </c>
      <c r="E14000" s="2">
        <v>4.5902777777777778E-2</v>
      </c>
      <c r="F14000">
        <v>66.099999999999994</v>
      </c>
    </row>
    <row r="14001" spans="1:6" x14ac:dyDescent="0.25">
      <c r="A14001" s="1">
        <v>43405</v>
      </c>
      <c r="B14001" t="s">
        <v>20</v>
      </c>
      <c r="C14001" t="s">
        <v>8</v>
      </c>
      <c r="D14001">
        <v>35</v>
      </c>
      <c r="E14001" s="2">
        <v>4.0381944444444443E-2</v>
      </c>
      <c r="F14001">
        <v>58.15</v>
      </c>
    </row>
    <row r="14002" spans="1:6" x14ac:dyDescent="0.25">
      <c r="A14002" s="1">
        <v>43405</v>
      </c>
      <c r="B14002" t="s">
        <v>20</v>
      </c>
      <c r="C14002" t="s">
        <v>9</v>
      </c>
      <c r="D14002">
        <v>0</v>
      </c>
      <c r="E14002" s="2">
        <v>0</v>
      </c>
      <c r="F14002">
        <v>0</v>
      </c>
    </row>
    <row r="14003" spans="1:6" x14ac:dyDescent="0.25">
      <c r="A14003" s="1">
        <v>43405</v>
      </c>
      <c r="B14003" t="s">
        <v>20</v>
      </c>
      <c r="C14003" t="s">
        <v>10</v>
      </c>
      <c r="D14003">
        <v>6</v>
      </c>
      <c r="E14003" s="2">
        <v>7.3611111111111108E-3</v>
      </c>
      <c r="F14003">
        <v>10.6</v>
      </c>
    </row>
    <row r="14004" spans="1:6" x14ac:dyDescent="0.25">
      <c r="A14004" s="1">
        <v>43405</v>
      </c>
      <c r="B14004" t="s">
        <v>20</v>
      </c>
      <c r="C14004" t="s">
        <v>11</v>
      </c>
      <c r="D14004">
        <v>32</v>
      </c>
      <c r="E14004" s="2">
        <v>3.0405092592592591E-2</v>
      </c>
      <c r="F14004">
        <v>43.783333333333331</v>
      </c>
    </row>
    <row r="14005" spans="1:6" x14ac:dyDescent="0.25">
      <c r="A14005" s="1">
        <v>43405</v>
      </c>
      <c r="B14005" t="s">
        <v>21</v>
      </c>
      <c r="C14005" t="s">
        <v>6</v>
      </c>
      <c r="D14005">
        <v>8</v>
      </c>
      <c r="E14005" s="2">
        <v>1.1423611111111112E-2</v>
      </c>
      <c r="F14005">
        <v>16.45</v>
      </c>
    </row>
    <row r="14006" spans="1:6" x14ac:dyDescent="0.25">
      <c r="A14006" s="1">
        <v>43405</v>
      </c>
      <c r="B14006" t="s">
        <v>21</v>
      </c>
      <c r="C14006" t="s">
        <v>7</v>
      </c>
      <c r="D14006">
        <v>9</v>
      </c>
      <c r="E14006" s="2">
        <v>2.1631944444444443E-2</v>
      </c>
      <c r="F14006">
        <v>31.15</v>
      </c>
    </row>
    <row r="14007" spans="1:6" x14ac:dyDescent="0.25">
      <c r="A14007" s="1">
        <v>43405</v>
      </c>
      <c r="B14007" t="s">
        <v>21</v>
      </c>
      <c r="C14007" t="s">
        <v>8</v>
      </c>
      <c r="D14007">
        <v>9</v>
      </c>
      <c r="E14007" s="2">
        <v>1.4560185185185185E-2</v>
      </c>
      <c r="F14007">
        <v>20.966666666666665</v>
      </c>
    </row>
    <row r="14008" spans="1:6" x14ac:dyDescent="0.25">
      <c r="A14008" s="1">
        <v>43405</v>
      </c>
      <c r="B14008" t="s">
        <v>21</v>
      </c>
      <c r="C14008" t="s">
        <v>9</v>
      </c>
      <c r="D14008">
        <v>0</v>
      </c>
      <c r="E14008" s="2">
        <v>0</v>
      </c>
      <c r="F14008">
        <v>0</v>
      </c>
    </row>
    <row r="14009" spans="1:6" x14ac:dyDescent="0.25">
      <c r="A14009" s="1">
        <v>43405</v>
      </c>
      <c r="B14009" t="s">
        <v>21</v>
      </c>
      <c r="C14009" t="s">
        <v>10</v>
      </c>
      <c r="D14009">
        <v>4</v>
      </c>
      <c r="E14009" s="2">
        <v>6.9097222222222225E-3</v>
      </c>
      <c r="F14009">
        <v>9.9499999999999993</v>
      </c>
    </row>
    <row r="14010" spans="1:6" x14ac:dyDescent="0.25">
      <c r="A14010" s="1">
        <v>43405</v>
      </c>
      <c r="B14010" t="s">
        <v>21</v>
      </c>
      <c r="C14010" t="s">
        <v>11</v>
      </c>
      <c r="D14010">
        <v>10</v>
      </c>
      <c r="E14010" s="2">
        <v>1.6134259259259258E-2</v>
      </c>
      <c r="F14010">
        <v>23.233333333333334</v>
      </c>
    </row>
    <row r="14011" spans="1:6" x14ac:dyDescent="0.25">
      <c r="A14011" s="1">
        <v>43405</v>
      </c>
      <c r="B14011" t="s">
        <v>22</v>
      </c>
      <c r="C14011" t="s">
        <v>6</v>
      </c>
      <c r="D14011">
        <v>5</v>
      </c>
      <c r="E14011" s="2">
        <v>9.6296296296296303E-3</v>
      </c>
      <c r="F14011">
        <v>13.866666666666667</v>
      </c>
    </row>
    <row r="14012" spans="1:6" x14ac:dyDescent="0.25">
      <c r="A14012" s="1">
        <v>43405</v>
      </c>
      <c r="B14012" t="s">
        <v>22</v>
      </c>
      <c r="C14012" t="s">
        <v>7</v>
      </c>
      <c r="D14012">
        <v>4</v>
      </c>
      <c r="E14012" s="2">
        <v>6.898148148148148E-3</v>
      </c>
      <c r="F14012">
        <v>9.9333333333333336</v>
      </c>
    </row>
    <row r="14013" spans="1:6" x14ac:dyDescent="0.25">
      <c r="A14013" s="1">
        <v>43405</v>
      </c>
      <c r="B14013" t="s">
        <v>22</v>
      </c>
      <c r="C14013" t="s">
        <v>8</v>
      </c>
      <c r="D14013">
        <v>0</v>
      </c>
      <c r="E14013" s="2">
        <v>0</v>
      </c>
      <c r="F14013">
        <v>0</v>
      </c>
    </row>
    <row r="14014" spans="1:6" x14ac:dyDescent="0.25">
      <c r="A14014" s="1">
        <v>43405</v>
      </c>
      <c r="B14014" t="s">
        <v>22</v>
      </c>
      <c r="C14014" t="s">
        <v>9</v>
      </c>
      <c r="D14014">
        <v>0</v>
      </c>
      <c r="E14014" s="2">
        <v>0</v>
      </c>
      <c r="F14014">
        <v>0</v>
      </c>
    </row>
    <row r="14015" spans="1:6" x14ac:dyDescent="0.25">
      <c r="A14015" s="1">
        <v>43405</v>
      </c>
      <c r="B14015" t="s">
        <v>22</v>
      </c>
      <c r="C14015" t="s">
        <v>10</v>
      </c>
      <c r="D14015">
        <v>16</v>
      </c>
      <c r="E14015" s="2">
        <v>1.8854166666666668E-2</v>
      </c>
      <c r="F14015">
        <v>27.15</v>
      </c>
    </row>
    <row r="14016" spans="1:6" x14ac:dyDescent="0.25">
      <c r="A14016" s="1">
        <v>43405</v>
      </c>
      <c r="B14016" t="s">
        <v>22</v>
      </c>
      <c r="C14016" t="s">
        <v>11</v>
      </c>
      <c r="D14016">
        <v>9</v>
      </c>
      <c r="E14016" s="2">
        <v>1.0393518518518519E-2</v>
      </c>
      <c r="F14016">
        <v>14.966666666666667</v>
      </c>
    </row>
    <row r="14017" spans="1:6" x14ac:dyDescent="0.25">
      <c r="A14017" s="1">
        <v>43405</v>
      </c>
      <c r="B14017" t="s">
        <v>23</v>
      </c>
      <c r="C14017" t="s">
        <v>6</v>
      </c>
      <c r="D14017">
        <v>143</v>
      </c>
      <c r="E14017" s="2">
        <v>0.21487268518518518</v>
      </c>
      <c r="F14017">
        <v>309.41666666666669</v>
      </c>
    </row>
    <row r="14018" spans="1:6" x14ac:dyDescent="0.25">
      <c r="A14018" s="1">
        <v>43405</v>
      </c>
      <c r="B14018" t="s">
        <v>23</v>
      </c>
      <c r="C14018" t="s">
        <v>7</v>
      </c>
      <c r="D14018">
        <v>128</v>
      </c>
      <c r="E14018" s="2">
        <v>0.19342592592592592</v>
      </c>
      <c r="F14018">
        <v>278.53333333333336</v>
      </c>
    </row>
    <row r="14019" spans="1:6" x14ac:dyDescent="0.25">
      <c r="A14019" s="1">
        <v>43405</v>
      </c>
      <c r="B14019" t="s">
        <v>23</v>
      </c>
      <c r="C14019" t="s">
        <v>8</v>
      </c>
      <c r="D14019">
        <v>135</v>
      </c>
      <c r="E14019" s="2">
        <v>0.15206018518518519</v>
      </c>
      <c r="F14019">
        <v>218.96666666666667</v>
      </c>
    </row>
    <row r="14020" spans="1:6" x14ac:dyDescent="0.25">
      <c r="A14020" s="1">
        <v>43405</v>
      </c>
      <c r="B14020" t="s">
        <v>23</v>
      </c>
      <c r="C14020" t="s">
        <v>9</v>
      </c>
      <c r="D14020">
        <v>0</v>
      </c>
      <c r="E14020" s="2">
        <v>0</v>
      </c>
      <c r="F14020">
        <v>0</v>
      </c>
    </row>
    <row r="14021" spans="1:6" x14ac:dyDescent="0.25">
      <c r="A14021" s="1">
        <v>43405</v>
      </c>
      <c r="B14021" t="s">
        <v>23</v>
      </c>
      <c r="C14021" t="s">
        <v>10</v>
      </c>
      <c r="D14021">
        <v>23</v>
      </c>
      <c r="E14021" s="2">
        <v>3.4490740740740738E-2</v>
      </c>
      <c r="F14021">
        <v>49.666666666666664</v>
      </c>
    </row>
    <row r="14022" spans="1:6" x14ac:dyDescent="0.25">
      <c r="A14022" s="1">
        <v>43405</v>
      </c>
      <c r="B14022" t="s">
        <v>23</v>
      </c>
      <c r="C14022" t="s">
        <v>11</v>
      </c>
      <c r="D14022">
        <v>92</v>
      </c>
      <c r="E14022" s="2">
        <v>0.10055555555555555</v>
      </c>
      <c r="F14022">
        <v>144.80000000000001</v>
      </c>
    </row>
    <row r="14023" spans="1:6" x14ac:dyDescent="0.25">
      <c r="A14023" s="1">
        <v>43405</v>
      </c>
      <c r="B14023" t="s">
        <v>24</v>
      </c>
      <c r="C14023" t="s">
        <v>6</v>
      </c>
      <c r="D14023">
        <v>9</v>
      </c>
      <c r="E14023" s="2">
        <v>1.369212962962963E-2</v>
      </c>
      <c r="F14023">
        <v>19.716666666666665</v>
      </c>
    </row>
    <row r="14024" spans="1:6" x14ac:dyDescent="0.25">
      <c r="A14024" s="1">
        <v>43405</v>
      </c>
      <c r="B14024" t="s">
        <v>24</v>
      </c>
      <c r="C14024" t="s">
        <v>7</v>
      </c>
      <c r="D14024">
        <v>14</v>
      </c>
      <c r="E14024" s="2">
        <v>9.2129629629629627E-3</v>
      </c>
      <c r="F14024">
        <v>13.266666666666667</v>
      </c>
    </row>
    <row r="14025" spans="1:6" x14ac:dyDescent="0.25">
      <c r="A14025" s="1">
        <v>43405</v>
      </c>
      <c r="B14025" t="s">
        <v>24</v>
      </c>
      <c r="C14025" t="s">
        <v>8</v>
      </c>
      <c r="D14025">
        <v>10</v>
      </c>
      <c r="E14025" s="2">
        <v>9.6759259259259264E-3</v>
      </c>
      <c r="F14025">
        <v>13.933333333333334</v>
      </c>
    </row>
    <row r="14026" spans="1:6" x14ac:dyDescent="0.25">
      <c r="A14026" s="1">
        <v>43405</v>
      </c>
      <c r="B14026" t="s">
        <v>24</v>
      </c>
      <c r="C14026" t="s">
        <v>9</v>
      </c>
      <c r="D14026">
        <v>0</v>
      </c>
      <c r="E14026" s="2">
        <v>0</v>
      </c>
      <c r="F14026">
        <v>0</v>
      </c>
    </row>
    <row r="14027" spans="1:6" x14ac:dyDescent="0.25">
      <c r="A14027" s="1">
        <v>43405</v>
      </c>
      <c r="B14027" t="s">
        <v>24</v>
      </c>
      <c r="C14027" t="s">
        <v>10</v>
      </c>
      <c r="D14027">
        <v>1</v>
      </c>
      <c r="E14027" s="2">
        <v>5.0925925925925921E-4</v>
      </c>
      <c r="F14027">
        <v>0.73333333333333328</v>
      </c>
    </row>
    <row r="14028" spans="1:6" x14ac:dyDescent="0.25">
      <c r="A14028" s="1">
        <v>43405</v>
      </c>
      <c r="B14028" t="s">
        <v>24</v>
      </c>
      <c r="C14028" t="s">
        <v>11</v>
      </c>
      <c r="D14028">
        <v>33</v>
      </c>
      <c r="E14028" s="2">
        <v>2.6354166666666668E-2</v>
      </c>
      <c r="F14028">
        <v>37.950000000000003</v>
      </c>
    </row>
    <row r="14029" spans="1:6" x14ac:dyDescent="0.25">
      <c r="A14029" s="1">
        <v>43435</v>
      </c>
      <c r="B14029" t="s">
        <v>5</v>
      </c>
      <c r="C14029" t="s">
        <v>6</v>
      </c>
      <c r="D14029">
        <v>16</v>
      </c>
      <c r="E14029" s="2">
        <v>1.6886574074074075E-2</v>
      </c>
      <c r="F14029">
        <v>24.316666666666666</v>
      </c>
    </row>
    <row r="14030" spans="1:6" x14ac:dyDescent="0.25">
      <c r="A14030" s="1">
        <v>43435</v>
      </c>
      <c r="B14030" t="s">
        <v>5</v>
      </c>
      <c r="C14030" t="s">
        <v>7</v>
      </c>
      <c r="D14030">
        <v>13</v>
      </c>
      <c r="E14030" s="2">
        <v>8.4143518518518517E-3</v>
      </c>
      <c r="F14030">
        <v>12.116666666666667</v>
      </c>
    </row>
    <row r="14031" spans="1:6" x14ac:dyDescent="0.25">
      <c r="A14031" s="1">
        <v>43435</v>
      </c>
      <c r="B14031" t="s">
        <v>5</v>
      </c>
      <c r="C14031" t="s">
        <v>8</v>
      </c>
      <c r="D14031">
        <v>15</v>
      </c>
      <c r="E14031" s="2">
        <v>1.0717592592592593E-2</v>
      </c>
      <c r="F14031">
        <v>15.433333333333334</v>
      </c>
    </row>
    <row r="14032" spans="1:6" x14ac:dyDescent="0.25">
      <c r="A14032" s="1">
        <v>43435</v>
      </c>
      <c r="B14032" t="s">
        <v>5</v>
      </c>
      <c r="C14032" t="s">
        <v>9</v>
      </c>
      <c r="D14032">
        <v>0</v>
      </c>
      <c r="E14032" s="2">
        <v>0</v>
      </c>
      <c r="F14032">
        <v>0</v>
      </c>
    </row>
    <row r="14033" spans="1:6" x14ac:dyDescent="0.25">
      <c r="A14033" s="1">
        <v>43435</v>
      </c>
      <c r="B14033" t="s">
        <v>5</v>
      </c>
      <c r="C14033" t="s">
        <v>10</v>
      </c>
      <c r="D14033">
        <v>5</v>
      </c>
      <c r="E14033" s="2">
        <v>6.8171296296296296E-3</v>
      </c>
      <c r="F14033">
        <v>9.8166666666666664</v>
      </c>
    </row>
    <row r="14034" spans="1:6" x14ac:dyDescent="0.25">
      <c r="A14034" s="1">
        <v>43435</v>
      </c>
      <c r="B14034" t="s">
        <v>5</v>
      </c>
      <c r="C14034" t="s">
        <v>11</v>
      </c>
      <c r="D14034">
        <v>15</v>
      </c>
      <c r="E14034" s="2">
        <v>1.1203703703703704E-2</v>
      </c>
      <c r="F14034">
        <v>16.133333333333333</v>
      </c>
    </row>
    <row r="14035" spans="1:6" x14ac:dyDescent="0.25">
      <c r="A14035" s="1">
        <v>43435</v>
      </c>
      <c r="B14035" t="s">
        <v>12</v>
      </c>
      <c r="C14035" t="s">
        <v>6</v>
      </c>
      <c r="D14035">
        <v>19</v>
      </c>
      <c r="E14035" s="2">
        <v>3.3703703703703701E-2</v>
      </c>
      <c r="F14035">
        <v>48.533333333333331</v>
      </c>
    </row>
    <row r="14036" spans="1:6" x14ac:dyDescent="0.25">
      <c r="A14036" s="1">
        <v>43435</v>
      </c>
      <c r="B14036" t="s">
        <v>12</v>
      </c>
      <c r="C14036" t="s">
        <v>7</v>
      </c>
      <c r="D14036">
        <v>17</v>
      </c>
      <c r="E14036" s="2">
        <v>3.8171296296296293E-2</v>
      </c>
      <c r="F14036">
        <v>54.966666666666669</v>
      </c>
    </row>
    <row r="14037" spans="1:6" x14ac:dyDescent="0.25">
      <c r="A14037" s="1">
        <v>43435</v>
      </c>
      <c r="B14037" t="s">
        <v>12</v>
      </c>
      <c r="C14037" t="s">
        <v>8</v>
      </c>
      <c r="D14037">
        <v>13</v>
      </c>
      <c r="E14037" s="2">
        <v>1.818287037037037E-2</v>
      </c>
      <c r="F14037">
        <v>26.183333333333334</v>
      </c>
    </row>
    <row r="14038" spans="1:6" x14ac:dyDescent="0.25">
      <c r="A14038" s="1">
        <v>43435</v>
      </c>
      <c r="B14038" t="s">
        <v>12</v>
      </c>
      <c r="C14038" t="s">
        <v>9</v>
      </c>
      <c r="D14038">
        <v>0</v>
      </c>
      <c r="E14038" s="2">
        <v>0</v>
      </c>
      <c r="F14038">
        <v>0</v>
      </c>
    </row>
    <row r="14039" spans="1:6" x14ac:dyDescent="0.25">
      <c r="A14039" s="1">
        <v>43435</v>
      </c>
      <c r="B14039" t="s">
        <v>12</v>
      </c>
      <c r="C14039" t="s">
        <v>10</v>
      </c>
      <c r="D14039">
        <v>18</v>
      </c>
      <c r="E14039" s="2">
        <v>2.9768518518518517E-2</v>
      </c>
      <c r="F14039">
        <v>42.866666666666667</v>
      </c>
    </row>
    <row r="14040" spans="1:6" x14ac:dyDescent="0.25">
      <c r="A14040" s="1">
        <v>43435</v>
      </c>
      <c r="B14040" t="s">
        <v>12</v>
      </c>
      <c r="C14040" t="s">
        <v>11</v>
      </c>
      <c r="D14040">
        <v>35</v>
      </c>
      <c r="E14040" s="2">
        <v>5.0995370370370371E-2</v>
      </c>
      <c r="F14040">
        <v>73.433333333333337</v>
      </c>
    </row>
    <row r="14041" spans="1:6" x14ac:dyDescent="0.25">
      <c r="A14041" s="1">
        <v>43435</v>
      </c>
      <c r="B14041" t="s">
        <v>13</v>
      </c>
      <c r="C14041" t="s">
        <v>6</v>
      </c>
      <c r="D14041">
        <v>129</v>
      </c>
      <c r="E14041" s="2">
        <v>0.18982638888888889</v>
      </c>
      <c r="F14041">
        <v>273.35000000000002</v>
      </c>
    </row>
    <row r="14042" spans="1:6" x14ac:dyDescent="0.25">
      <c r="A14042" s="1">
        <v>43435</v>
      </c>
      <c r="B14042" t="s">
        <v>13</v>
      </c>
      <c r="C14042" t="s">
        <v>7</v>
      </c>
      <c r="D14042">
        <v>114</v>
      </c>
      <c r="E14042" s="2">
        <v>0.17456018518518518</v>
      </c>
      <c r="F14042">
        <v>251.36666666666667</v>
      </c>
    </row>
    <row r="14043" spans="1:6" x14ac:dyDescent="0.25">
      <c r="A14043" s="1">
        <v>43435</v>
      </c>
      <c r="B14043" t="s">
        <v>13</v>
      </c>
      <c r="C14043" t="s">
        <v>8</v>
      </c>
      <c r="D14043">
        <v>79</v>
      </c>
      <c r="E14043" s="2">
        <v>0.10884259259259259</v>
      </c>
      <c r="F14043">
        <v>156.73333333333332</v>
      </c>
    </row>
    <row r="14044" spans="1:6" x14ac:dyDescent="0.25">
      <c r="A14044" s="1">
        <v>43435</v>
      </c>
      <c r="B14044" t="s">
        <v>13</v>
      </c>
      <c r="C14044" t="s">
        <v>9</v>
      </c>
      <c r="D14044">
        <v>0</v>
      </c>
      <c r="E14044" s="2">
        <v>0</v>
      </c>
      <c r="F14044">
        <v>0</v>
      </c>
    </row>
    <row r="14045" spans="1:6" x14ac:dyDescent="0.25">
      <c r="A14045" s="1">
        <v>43435</v>
      </c>
      <c r="B14045" t="s">
        <v>13</v>
      </c>
      <c r="C14045" t="s">
        <v>10</v>
      </c>
      <c r="D14045">
        <v>16</v>
      </c>
      <c r="E14045" s="2">
        <v>2.1238425925925924E-2</v>
      </c>
      <c r="F14045">
        <v>30.583333333333332</v>
      </c>
    </row>
    <row r="14046" spans="1:6" x14ac:dyDescent="0.25">
      <c r="A14046" s="1">
        <v>43435</v>
      </c>
      <c r="B14046" t="s">
        <v>13</v>
      </c>
      <c r="C14046" t="s">
        <v>11</v>
      </c>
      <c r="D14046">
        <v>67</v>
      </c>
      <c r="E14046" s="2">
        <v>8.0914351851851848E-2</v>
      </c>
      <c r="F14046">
        <v>116.51666666666667</v>
      </c>
    </row>
    <row r="14047" spans="1:6" x14ac:dyDescent="0.25">
      <c r="A14047" s="1">
        <v>43435</v>
      </c>
      <c r="B14047" t="s">
        <v>14</v>
      </c>
      <c r="C14047" t="s">
        <v>6</v>
      </c>
      <c r="D14047">
        <v>10</v>
      </c>
      <c r="E14047" s="2">
        <v>1.224537037037037E-2</v>
      </c>
      <c r="F14047">
        <v>17.633333333333333</v>
      </c>
    </row>
    <row r="14048" spans="1:6" x14ac:dyDescent="0.25">
      <c r="A14048" s="1">
        <v>43435</v>
      </c>
      <c r="B14048" t="s">
        <v>14</v>
      </c>
      <c r="C14048" t="s">
        <v>7</v>
      </c>
      <c r="D14048">
        <v>8</v>
      </c>
      <c r="E14048" s="2">
        <v>1.0150462962962964E-2</v>
      </c>
      <c r="F14048">
        <v>14.616666666666667</v>
      </c>
    </row>
    <row r="14049" spans="1:6" x14ac:dyDescent="0.25">
      <c r="A14049" s="1">
        <v>43435</v>
      </c>
      <c r="B14049" t="s">
        <v>14</v>
      </c>
      <c r="C14049" t="s">
        <v>8</v>
      </c>
      <c r="D14049">
        <v>10</v>
      </c>
      <c r="E14049" s="2">
        <v>1.1481481481481481E-2</v>
      </c>
      <c r="F14049">
        <v>16.533333333333335</v>
      </c>
    </row>
    <row r="14050" spans="1:6" x14ac:dyDescent="0.25">
      <c r="A14050" s="1">
        <v>43435</v>
      </c>
      <c r="B14050" t="s">
        <v>14</v>
      </c>
      <c r="C14050" t="s">
        <v>9</v>
      </c>
      <c r="D14050">
        <v>0</v>
      </c>
      <c r="E14050" s="2">
        <v>0</v>
      </c>
      <c r="F14050">
        <v>0</v>
      </c>
    </row>
    <row r="14051" spans="1:6" x14ac:dyDescent="0.25">
      <c r="A14051" s="1">
        <v>43435</v>
      </c>
      <c r="B14051" t="s">
        <v>14</v>
      </c>
      <c r="C14051" t="s">
        <v>10</v>
      </c>
      <c r="D14051">
        <v>6</v>
      </c>
      <c r="E14051" s="2">
        <v>9.7453703703703695E-3</v>
      </c>
      <c r="F14051">
        <v>14.033333333333333</v>
      </c>
    </row>
    <row r="14052" spans="1:6" x14ac:dyDescent="0.25">
      <c r="A14052" s="1">
        <v>43435</v>
      </c>
      <c r="B14052" t="s">
        <v>14</v>
      </c>
      <c r="C14052" t="s">
        <v>11</v>
      </c>
      <c r="D14052">
        <v>14</v>
      </c>
      <c r="E14052" s="2">
        <v>1.4849537037037038E-2</v>
      </c>
      <c r="F14052">
        <v>21.383333333333333</v>
      </c>
    </row>
    <row r="14053" spans="1:6" x14ac:dyDescent="0.25">
      <c r="A14053" s="1">
        <v>43435</v>
      </c>
      <c r="B14053" t="s">
        <v>15</v>
      </c>
      <c r="C14053" t="s">
        <v>6</v>
      </c>
      <c r="D14053">
        <v>13</v>
      </c>
      <c r="E14053" s="2">
        <v>2.3310185185185184E-2</v>
      </c>
      <c r="F14053">
        <v>33.56666666666667</v>
      </c>
    </row>
    <row r="14054" spans="1:6" x14ac:dyDescent="0.25">
      <c r="A14054" s="1">
        <v>43435</v>
      </c>
      <c r="B14054" t="s">
        <v>15</v>
      </c>
      <c r="C14054" t="s">
        <v>7</v>
      </c>
      <c r="D14054">
        <v>21</v>
      </c>
      <c r="E14054" s="2">
        <v>3.3252314814814818E-2</v>
      </c>
      <c r="F14054">
        <v>47.883333333333333</v>
      </c>
    </row>
    <row r="14055" spans="1:6" x14ac:dyDescent="0.25">
      <c r="A14055" s="1">
        <v>43435</v>
      </c>
      <c r="B14055" t="s">
        <v>15</v>
      </c>
      <c r="C14055" t="s">
        <v>8</v>
      </c>
      <c r="D14055">
        <v>11</v>
      </c>
      <c r="E14055" s="2">
        <v>1.4675925925925926E-2</v>
      </c>
      <c r="F14055">
        <v>21.133333333333333</v>
      </c>
    </row>
    <row r="14056" spans="1:6" x14ac:dyDescent="0.25">
      <c r="A14056" s="1">
        <v>43435</v>
      </c>
      <c r="B14056" t="s">
        <v>15</v>
      </c>
      <c r="C14056" t="s">
        <v>9</v>
      </c>
      <c r="D14056">
        <v>0</v>
      </c>
      <c r="E14056" s="2">
        <v>0</v>
      </c>
      <c r="F14056">
        <v>0</v>
      </c>
    </row>
    <row r="14057" spans="1:6" x14ac:dyDescent="0.25">
      <c r="A14057" s="1">
        <v>43435</v>
      </c>
      <c r="B14057" t="s">
        <v>15</v>
      </c>
      <c r="C14057" t="s">
        <v>10</v>
      </c>
      <c r="D14057">
        <v>24</v>
      </c>
      <c r="E14057" s="2">
        <v>3.7465277777777778E-2</v>
      </c>
      <c r="F14057">
        <v>53.95</v>
      </c>
    </row>
    <row r="14058" spans="1:6" x14ac:dyDescent="0.25">
      <c r="A14058" s="1">
        <v>43435</v>
      </c>
      <c r="B14058" t="s">
        <v>15</v>
      </c>
      <c r="C14058" t="s">
        <v>11</v>
      </c>
      <c r="D14058">
        <v>10</v>
      </c>
      <c r="E14058" s="2">
        <v>1.0023148148148147E-2</v>
      </c>
      <c r="F14058">
        <v>14.433333333333334</v>
      </c>
    </row>
    <row r="14059" spans="1:6" x14ac:dyDescent="0.25">
      <c r="A14059" s="1">
        <v>43435</v>
      </c>
      <c r="B14059" t="s">
        <v>16</v>
      </c>
      <c r="C14059" t="s">
        <v>6</v>
      </c>
      <c r="D14059">
        <v>5</v>
      </c>
      <c r="E14059" s="2">
        <v>7.2685185185185188E-3</v>
      </c>
      <c r="F14059">
        <v>10.466666666666667</v>
      </c>
    </row>
    <row r="14060" spans="1:6" x14ac:dyDescent="0.25">
      <c r="A14060" s="1">
        <v>43435</v>
      </c>
      <c r="B14060" t="s">
        <v>16</v>
      </c>
      <c r="C14060" t="s">
        <v>7</v>
      </c>
      <c r="D14060">
        <v>7</v>
      </c>
      <c r="E14060" s="2">
        <v>1.0034722222222223E-2</v>
      </c>
      <c r="F14060">
        <v>14.45</v>
      </c>
    </row>
    <row r="14061" spans="1:6" x14ac:dyDescent="0.25">
      <c r="A14061" s="1">
        <v>43435</v>
      </c>
      <c r="B14061" t="s">
        <v>16</v>
      </c>
      <c r="C14061" t="s">
        <v>8</v>
      </c>
      <c r="D14061">
        <v>3</v>
      </c>
      <c r="E14061" s="2">
        <v>3.8657407407407408E-3</v>
      </c>
      <c r="F14061">
        <v>5.5666666666666664</v>
      </c>
    </row>
    <row r="14062" spans="1:6" x14ac:dyDescent="0.25">
      <c r="A14062" s="1">
        <v>43435</v>
      </c>
      <c r="B14062" t="s">
        <v>16</v>
      </c>
      <c r="C14062" t="s">
        <v>9</v>
      </c>
      <c r="D14062">
        <v>0</v>
      </c>
      <c r="E14062" s="2">
        <v>0</v>
      </c>
      <c r="F14062">
        <v>0</v>
      </c>
    </row>
    <row r="14063" spans="1:6" x14ac:dyDescent="0.25">
      <c r="A14063" s="1">
        <v>43435</v>
      </c>
      <c r="B14063" t="s">
        <v>16</v>
      </c>
      <c r="C14063" t="s">
        <v>10</v>
      </c>
      <c r="D14063">
        <v>1</v>
      </c>
      <c r="E14063" s="2">
        <v>2.5115740740740741E-3</v>
      </c>
      <c r="F14063">
        <v>3.6166666666666667</v>
      </c>
    </row>
    <row r="14064" spans="1:6" x14ac:dyDescent="0.25">
      <c r="A14064" s="1">
        <v>43435</v>
      </c>
      <c r="B14064" t="s">
        <v>16</v>
      </c>
      <c r="C14064" t="s">
        <v>11</v>
      </c>
      <c r="D14064">
        <v>15</v>
      </c>
      <c r="E14064" s="2">
        <v>1.1944444444444445E-2</v>
      </c>
      <c r="F14064">
        <v>17.2</v>
      </c>
    </row>
    <row r="14065" spans="1:6" x14ac:dyDescent="0.25">
      <c r="A14065" s="1">
        <v>43435</v>
      </c>
      <c r="B14065" t="s">
        <v>17</v>
      </c>
      <c r="C14065" t="s">
        <v>6</v>
      </c>
      <c r="D14065">
        <v>3</v>
      </c>
      <c r="E14065" s="2">
        <v>5.7638888888888887E-3</v>
      </c>
      <c r="F14065">
        <v>8.3000000000000007</v>
      </c>
    </row>
    <row r="14066" spans="1:6" x14ac:dyDescent="0.25">
      <c r="A14066" s="1">
        <v>43435</v>
      </c>
      <c r="B14066" t="s">
        <v>17</v>
      </c>
      <c r="C14066" t="s">
        <v>7</v>
      </c>
      <c r="D14066">
        <v>6</v>
      </c>
      <c r="E14066" s="2">
        <v>6.7476851851851856E-3</v>
      </c>
      <c r="F14066">
        <v>9.7166666666666668</v>
      </c>
    </row>
    <row r="14067" spans="1:6" x14ac:dyDescent="0.25">
      <c r="A14067" s="1">
        <v>43435</v>
      </c>
      <c r="B14067" t="s">
        <v>17</v>
      </c>
      <c r="C14067" t="s">
        <v>8</v>
      </c>
      <c r="D14067">
        <v>8</v>
      </c>
      <c r="E14067" s="2">
        <v>6.6782407407407407E-3</v>
      </c>
      <c r="F14067">
        <v>9.6166666666666671</v>
      </c>
    </row>
    <row r="14068" spans="1:6" x14ac:dyDescent="0.25">
      <c r="A14068" s="1">
        <v>43435</v>
      </c>
      <c r="B14068" t="s">
        <v>17</v>
      </c>
      <c r="C14068" t="s">
        <v>9</v>
      </c>
      <c r="D14068">
        <v>0</v>
      </c>
      <c r="E14068" s="2">
        <v>0</v>
      </c>
      <c r="F14068">
        <v>0</v>
      </c>
    </row>
    <row r="14069" spans="1:6" x14ac:dyDescent="0.25">
      <c r="A14069" s="1">
        <v>43435</v>
      </c>
      <c r="B14069" t="s">
        <v>17</v>
      </c>
      <c r="C14069" t="s">
        <v>10</v>
      </c>
      <c r="D14069">
        <v>2</v>
      </c>
      <c r="E14069" s="2">
        <v>2.0254629629629629E-3</v>
      </c>
      <c r="F14069">
        <v>2.9166666666666665</v>
      </c>
    </row>
    <row r="14070" spans="1:6" x14ac:dyDescent="0.25">
      <c r="A14070" s="1">
        <v>43435</v>
      </c>
      <c r="B14070" t="s">
        <v>17</v>
      </c>
      <c r="C14070" t="s">
        <v>11</v>
      </c>
      <c r="D14070">
        <v>8</v>
      </c>
      <c r="E14070" s="2">
        <v>4.7453703703703703E-3</v>
      </c>
      <c r="F14070">
        <v>6.833333333333333</v>
      </c>
    </row>
    <row r="14071" spans="1:6" x14ac:dyDescent="0.25">
      <c r="A14071" s="1">
        <v>43435</v>
      </c>
      <c r="B14071" t="s">
        <v>18</v>
      </c>
      <c r="C14071" t="s">
        <v>6</v>
      </c>
      <c r="D14071">
        <v>20</v>
      </c>
      <c r="E14071" s="2">
        <v>1.8530092592592591E-2</v>
      </c>
      <c r="F14071">
        <v>26.683333333333334</v>
      </c>
    </row>
    <row r="14072" spans="1:6" x14ac:dyDescent="0.25">
      <c r="A14072" s="1">
        <v>43435</v>
      </c>
      <c r="B14072" t="s">
        <v>18</v>
      </c>
      <c r="C14072" t="s">
        <v>7</v>
      </c>
      <c r="D14072">
        <v>44</v>
      </c>
      <c r="E14072" s="2">
        <v>4.1527777777777775E-2</v>
      </c>
      <c r="F14072">
        <v>59.8</v>
      </c>
    </row>
    <row r="14073" spans="1:6" x14ac:dyDescent="0.25">
      <c r="A14073" s="1">
        <v>43435</v>
      </c>
      <c r="B14073" t="s">
        <v>18</v>
      </c>
      <c r="C14073" t="s">
        <v>8</v>
      </c>
      <c r="D14073">
        <v>14</v>
      </c>
      <c r="E14073" s="2">
        <v>8.9351851851851849E-3</v>
      </c>
      <c r="F14073">
        <v>12.866666666666667</v>
      </c>
    </row>
    <row r="14074" spans="1:6" x14ac:dyDescent="0.25">
      <c r="A14074" s="1">
        <v>43435</v>
      </c>
      <c r="B14074" t="s">
        <v>18</v>
      </c>
      <c r="C14074" t="s">
        <v>9</v>
      </c>
      <c r="D14074">
        <v>0</v>
      </c>
      <c r="E14074" s="2">
        <v>0</v>
      </c>
      <c r="F14074">
        <v>0</v>
      </c>
    </row>
    <row r="14075" spans="1:6" x14ac:dyDescent="0.25">
      <c r="A14075" s="1">
        <v>43435</v>
      </c>
      <c r="B14075" t="s">
        <v>18</v>
      </c>
      <c r="C14075" t="s">
        <v>10</v>
      </c>
      <c r="D14075">
        <v>99</v>
      </c>
      <c r="E14075" s="2">
        <v>0.13136574074074073</v>
      </c>
      <c r="F14075">
        <v>189.16666666666666</v>
      </c>
    </row>
    <row r="14076" spans="1:6" x14ac:dyDescent="0.25">
      <c r="A14076" s="1">
        <v>43435</v>
      </c>
      <c r="B14076" t="s">
        <v>18</v>
      </c>
      <c r="C14076" t="s">
        <v>11</v>
      </c>
      <c r="D14076">
        <v>23</v>
      </c>
      <c r="E14076" s="2">
        <v>1.5335648148148149E-2</v>
      </c>
      <c r="F14076">
        <v>22.083333333333332</v>
      </c>
    </row>
    <row r="14077" spans="1:6" x14ac:dyDescent="0.25">
      <c r="A14077" s="1">
        <v>43435</v>
      </c>
      <c r="B14077" t="s">
        <v>19</v>
      </c>
      <c r="C14077" t="s">
        <v>6</v>
      </c>
      <c r="D14077">
        <v>5</v>
      </c>
      <c r="E14077" s="2">
        <v>4.8611111111111112E-3</v>
      </c>
      <c r="F14077">
        <v>7</v>
      </c>
    </row>
    <row r="14078" spans="1:6" x14ac:dyDescent="0.25">
      <c r="A14078" s="1">
        <v>43435</v>
      </c>
      <c r="B14078" t="s">
        <v>19</v>
      </c>
      <c r="C14078" t="s">
        <v>7</v>
      </c>
      <c r="D14078">
        <v>14</v>
      </c>
      <c r="E14078" s="2">
        <v>1.8865740740740742E-2</v>
      </c>
      <c r="F14078">
        <v>27.166666666666668</v>
      </c>
    </row>
    <row r="14079" spans="1:6" x14ac:dyDescent="0.25">
      <c r="A14079" s="1">
        <v>43435</v>
      </c>
      <c r="B14079" t="s">
        <v>19</v>
      </c>
      <c r="C14079" t="s">
        <v>8</v>
      </c>
      <c r="D14079">
        <v>13</v>
      </c>
      <c r="E14079" s="2">
        <v>1.8773148148148146E-2</v>
      </c>
      <c r="F14079">
        <v>27.033333333333335</v>
      </c>
    </row>
    <row r="14080" spans="1:6" x14ac:dyDescent="0.25">
      <c r="A14080" s="1">
        <v>43435</v>
      </c>
      <c r="B14080" t="s">
        <v>19</v>
      </c>
      <c r="C14080" t="s">
        <v>9</v>
      </c>
      <c r="D14080">
        <v>0</v>
      </c>
      <c r="E14080" s="2">
        <v>0</v>
      </c>
      <c r="F14080">
        <v>0</v>
      </c>
    </row>
    <row r="14081" spans="1:6" x14ac:dyDescent="0.25">
      <c r="A14081" s="1">
        <v>43435</v>
      </c>
      <c r="B14081" t="s">
        <v>19</v>
      </c>
      <c r="C14081" t="s">
        <v>10</v>
      </c>
      <c r="D14081">
        <v>6</v>
      </c>
      <c r="E14081" s="2">
        <v>1.0358796296296297E-2</v>
      </c>
      <c r="F14081">
        <v>14.916666666666666</v>
      </c>
    </row>
    <row r="14082" spans="1:6" x14ac:dyDescent="0.25">
      <c r="A14082" s="1">
        <v>43435</v>
      </c>
      <c r="B14082" t="s">
        <v>19</v>
      </c>
      <c r="C14082" t="s">
        <v>11</v>
      </c>
      <c r="D14082">
        <v>21</v>
      </c>
      <c r="E14082" s="2">
        <v>1.1435185185185185E-2</v>
      </c>
      <c r="F14082">
        <v>16.466666666666665</v>
      </c>
    </row>
    <row r="14083" spans="1:6" x14ac:dyDescent="0.25">
      <c r="A14083" s="1">
        <v>43435</v>
      </c>
      <c r="B14083" t="s">
        <v>20</v>
      </c>
      <c r="C14083" t="s">
        <v>6</v>
      </c>
      <c r="D14083">
        <v>93</v>
      </c>
      <c r="E14083" s="2">
        <v>0.13021990740740741</v>
      </c>
      <c r="F14083">
        <v>187.51666666666668</v>
      </c>
    </row>
    <row r="14084" spans="1:6" x14ac:dyDescent="0.25">
      <c r="A14084" s="1">
        <v>43435</v>
      </c>
      <c r="B14084" t="s">
        <v>20</v>
      </c>
      <c r="C14084" t="s">
        <v>7</v>
      </c>
      <c r="D14084">
        <v>125</v>
      </c>
      <c r="E14084" s="2">
        <v>0.14855324074074075</v>
      </c>
      <c r="F14084">
        <v>213.91666666666666</v>
      </c>
    </row>
    <row r="14085" spans="1:6" x14ac:dyDescent="0.25">
      <c r="A14085" s="1">
        <v>43435</v>
      </c>
      <c r="B14085" t="s">
        <v>20</v>
      </c>
      <c r="C14085" t="s">
        <v>8</v>
      </c>
      <c r="D14085">
        <v>85</v>
      </c>
      <c r="E14085" s="2">
        <v>8.5694444444444448E-2</v>
      </c>
      <c r="F14085">
        <v>123.4</v>
      </c>
    </row>
    <row r="14086" spans="1:6" x14ac:dyDescent="0.25">
      <c r="A14086" s="1">
        <v>43435</v>
      </c>
      <c r="B14086" t="s">
        <v>20</v>
      </c>
      <c r="C14086" t="s">
        <v>9</v>
      </c>
      <c r="D14086">
        <v>0</v>
      </c>
      <c r="E14086" s="2">
        <v>0</v>
      </c>
      <c r="F14086">
        <v>0</v>
      </c>
    </row>
    <row r="14087" spans="1:6" x14ac:dyDescent="0.25">
      <c r="A14087" s="1">
        <v>43435</v>
      </c>
      <c r="B14087" t="s">
        <v>20</v>
      </c>
      <c r="C14087" t="s">
        <v>10</v>
      </c>
      <c r="D14087">
        <v>16</v>
      </c>
      <c r="E14087" s="2">
        <v>1.9409722222222221E-2</v>
      </c>
      <c r="F14087">
        <v>27.95</v>
      </c>
    </row>
    <row r="14088" spans="1:6" x14ac:dyDescent="0.25">
      <c r="A14088" s="1">
        <v>43435</v>
      </c>
      <c r="B14088" t="s">
        <v>20</v>
      </c>
      <c r="C14088" t="s">
        <v>11</v>
      </c>
      <c r="D14088">
        <v>75</v>
      </c>
      <c r="E14088" s="2">
        <v>8.5752314814814809E-2</v>
      </c>
      <c r="F14088">
        <v>123.48333333333333</v>
      </c>
    </row>
    <row r="14089" spans="1:6" x14ac:dyDescent="0.25">
      <c r="A14089" s="1">
        <v>43435</v>
      </c>
      <c r="B14089" t="s">
        <v>21</v>
      </c>
      <c r="C14089" t="s">
        <v>6</v>
      </c>
      <c r="D14089">
        <v>4</v>
      </c>
      <c r="E14089" s="2">
        <v>5.6481481481481478E-3</v>
      </c>
      <c r="F14089">
        <v>8.1333333333333329</v>
      </c>
    </row>
    <row r="14090" spans="1:6" x14ac:dyDescent="0.25">
      <c r="A14090" s="1">
        <v>43435</v>
      </c>
      <c r="B14090" t="s">
        <v>21</v>
      </c>
      <c r="C14090" t="s">
        <v>7</v>
      </c>
      <c r="D14090">
        <v>6</v>
      </c>
      <c r="E14090" s="2">
        <v>7.1412037037037034E-3</v>
      </c>
      <c r="F14090">
        <v>10.283333333333333</v>
      </c>
    </row>
    <row r="14091" spans="1:6" x14ac:dyDescent="0.25">
      <c r="A14091" s="1">
        <v>43435</v>
      </c>
      <c r="B14091" t="s">
        <v>21</v>
      </c>
      <c r="C14091" t="s">
        <v>8</v>
      </c>
      <c r="D14091">
        <v>7</v>
      </c>
      <c r="E14091" s="2">
        <v>9.9768518518518513E-3</v>
      </c>
      <c r="F14091">
        <v>14.366666666666667</v>
      </c>
    </row>
    <row r="14092" spans="1:6" x14ac:dyDescent="0.25">
      <c r="A14092" s="1">
        <v>43435</v>
      </c>
      <c r="B14092" t="s">
        <v>21</v>
      </c>
      <c r="C14092" t="s">
        <v>9</v>
      </c>
      <c r="D14092">
        <v>0</v>
      </c>
      <c r="E14092" s="2">
        <v>0</v>
      </c>
      <c r="F14092">
        <v>0</v>
      </c>
    </row>
    <row r="14093" spans="1:6" x14ac:dyDescent="0.25">
      <c r="A14093" s="1">
        <v>43435</v>
      </c>
      <c r="B14093" t="s">
        <v>21</v>
      </c>
      <c r="C14093" t="s">
        <v>10</v>
      </c>
      <c r="D14093">
        <v>2</v>
      </c>
      <c r="E14093" s="2">
        <v>4.2013888888888891E-3</v>
      </c>
      <c r="F14093">
        <v>6.05</v>
      </c>
    </row>
    <row r="14094" spans="1:6" x14ac:dyDescent="0.25">
      <c r="A14094" s="1">
        <v>43435</v>
      </c>
      <c r="B14094" t="s">
        <v>21</v>
      </c>
      <c r="C14094" t="s">
        <v>11</v>
      </c>
      <c r="D14094">
        <v>9</v>
      </c>
      <c r="E14094" s="2">
        <v>1.15625E-2</v>
      </c>
      <c r="F14094">
        <v>16.649999999999999</v>
      </c>
    </row>
    <row r="14095" spans="1:6" x14ac:dyDescent="0.25">
      <c r="A14095" s="1">
        <v>43435</v>
      </c>
      <c r="B14095" t="s">
        <v>22</v>
      </c>
      <c r="C14095" t="s">
        <v>6</v>
      </c>
      <c r="D14095">
        <v>3</v>
      </c>
      <c r="E14095" s="2">
        <v>5.5324074074074078E-3</v>
      </c>
      <c r="F14095">
        <v>7.9666666666666668</v>
      </c>
    </row>
    <row r="14096" spans="1:6" x14ac:dyDescent="0.25">
      <c r="A14096" s="1">
        <v>43435</v>
      </c>
      <c r="B14096" t="s">
        <v>22</v>
      </c>
      <c r="C14096" t="s">
        <v>7</v>
      </c>
      <c r="D14096">
        <v>5</v>
      </c>
      <c r="E14096" s="2">
        <v>9.3865740740740732E-3</v>
      </c>
      <c r="F14096">
        <v>13.516666666666667</v>
      </c>
    </row>
    <row r="14097" spans="1:6" x14ac:dyDescent="0.25">
      <c r="A14097" s="1">
        <v>43435</v>
      </c>
      <c r="B14097" t="s">
        <v>22</v>
      </c>
      <c r="C14097" t="s">
        <v>8</v>
      </c>
      <c r="D14097">
        <v>3</v>
      </c>
      <c r="E14097" s="2">
        <v>6.2384259259259259E-3</v>
      </c>
      <c r="F14097">
        <v>8.9833333333333325</v>
      </c>
    </row>
    <row r="14098" spans="1:6" x14ac:dyDescent="0.25">
      <c r="A14098" s="1">
        <v>43435</v>
      </c>
      <c r="B14098" t="s">
        <v>22</v>
      </c>
      <c r="C14098" t="s">
        <v>9</v>
      </c>
      <c r="D14098">
        <v>0</v>
      </c>
      <c r="E14098" s="2">
        <v>0</v>
      </c>
      <c r="F14098">
        <v>0</v>
      </c>
    </row>
    <row r="14099" spans="1:6" x14ac:dyDescent="0.25">
      <c r="A14099" s="1">
        <v>43435</v>
      </c>
      <c r="B14099" t="s">
        <v>22</v>
      </c>
      <c r="C14099" t="s">
        <v>10</v>
      </c>
      <c r="D14099">
        <v>5</v>
      </c>
      <c r="E14099" s="2">
        <v>7.083333333333333E-3</v>
      </c>
      <c r="F14099">
        <v>10.199999999999999</v>
      </c>
    </row>
    <row r="14100" spans="1:6" x14ac:dyDescent="0.25">
      <c r="A14100" s="1">
        <v>43435</v>
      </c>
      <c r="B14100" t="s">
        <v>22</v>
      </c>
      <c r="C14100" t="s">
        <v>11</v>
      </c>
      <c r="D14100">
        <v>3</v>
      </c>
      <c r="E14100" s="2">
        <v>3.1250000000000002E-3</v>
      </c>
      <c r="F14100">
        <v>4.5</v>
      </c>
    </row>
    <row r="14101" spans="1:6" x14ac:dyDescent="0.25">
      <c r="A14101" s="1">
        <v>43435</v>
      </c>
      <c r="B14101" t="s">
        <v>23</v>
      </c>
      <c r="C14101" t="s">
        <v>6</v>
      </c>
      <c r="D14101">
        <v>136</v>
      </c>
      <c r="E14101" s="2">
        <v>0.19422453703703704</v>
      </c>
      <c r="F14101">
        <v>279.68333333333334</v>
      </c>
    </row>
    <row r="14102" spans="1:6" x14ac:dyDescent="0.25">
      <c r="A14102" s="1">
        <v>43435</v>
      </c>
      <c r="B14102" t="s">
        <v>23</v>
      </c>
      <c r="C14102" t="s">
        <v>7</v>
      </c>
      <c r="D14102">
        <v>108</v>
      </c>
      <c r="E14102" s="2">
        <v>0.14622685185185186</v>
      </c>
      <c r="F14102">
        <v>210.56666666666666</v>
      </c>
    </row>
    <row r="14103" spans="1:6" x14ac:dyDescent="0.25">
      <c r="A14103" s="1">
        <v>43435</v>
      </c>
      <c r="B14103" t="s">
        <v>23</v>
      </c>
      <c r="C14103" t="s">
        <v>8</v>
      </c>
      <c r="D14103">
        <v>109</v>
      </c>
      <c r="E14103" s="2">
        <v>0.12706018518518519</v>
      </c>
      <c r="F14103">
        <v>182.96666666666667</v>
      </c>
    </row>
    <row r="14104" spans="1:6" x14ac:dyDescent="0.25">
      <c r="A14104" s="1">
        <v>43435</v>
      </c>
      <c r="B14104" t="s">
        <v>23</v>
      </c>
      <c r="C14104" t="s">
        <v>9</v>
      </c>
      <c r="D14104">
        <v>0</v>
      </c>
      <c r="E14104" s="2">
        <v>0</v>
      </c>
      <c r="F14104">
        <v>0</v>
      </c>
    </row>
    <row r="14105" spans="1:6" x14ac:dyDescent="0.25">
      <c r="A14105" s="1">
        <v>43435</v>
      </c>
      <c r="B14105" t="s">
        <v>23</v>
      </c>
      <c r="C14105" t="s">
        <v>10</v>
      </c>
      <c r="D14105">
        <v>36</v>
      </c>
      <c r="E14105" s="2">
        <v>6.1562499999999999E-2</v>
      </c>
      <c r="F14105">
        <v>88.65</v>
      </c>
    </row>
    <row r="14106" spans="1:6" x14ac:dyDescent="0.25">
      <c r="A14106" s="1">
        <v>43435</v>
      </c>
      <c r="B14106" t="s">
        <v>23</v>
      </c>
      <c r="C14106" t="s">
        <v>11</v>
      </c>
      <c r="D14106">
        <v>127</v>
      </c>
      <c r="E14106" s="2">
        <v>0.1315162037037037</v>
      </c>
      <c r="F14106">
        <v>189.38333333333333</v>
      </c>
    </row>
    <row r="14107" spans="1:6" x14ac:dyDescent="0.25">
      <c r="A14107" s="1">
        <v>43435</v>
      </c>
      <c r="B14107" t="s">
        <v>24</v>
      </c>
      <c r="C14107" t="s">
        <v>6</v>
      </c>
      <c r="D14107">
        <v>6</v>
      </c>
      <c r="E14107" s="2">
        <v>8.3564814814814821E-3</v>
      </c>
      <c r="F14107">
        <v>12.033333333333333</v>
      </c>
    </row>
    <row r="14108" spans="1:6" x14ac:dyDescent="0.25">
      <c r="A14108" s="1">
        <v>43435</v>
      </c>
      <c r="B14108" t="s">
        <v>24</v>
      </c>
      <c r="C14108" t="s">
        <v>7</v>
      </c>
      <c r="D14108">
        <v>4</v>
      </c>
      <c r="E14108" s="2">
        <v>6.4930555555555557E-3</v>
      </c>
      <c r="F14108">
        <v>9.35</v>
      </c>
    </row>
    <row r="14109" spans="1:6" x14ac:dyDescent="0.25">
      <c r="A14109" s="1">
        <v>43435</v>
      </c>
      <c r="B14109" t="s">
        <v>24</v>
      </c>
      <c r="C14109" t="s">
        <v>8</v>
      </c>
      <c r="D14109">
        <v>3</v>
      </c>
      <c r="E14109" s="2">
        <v>1.7476851851851852E-3</v>
      </c>
      <c r="F14109">
        <v>2.5166666666666666</v>
      </c>
    </row>
    <row r="14110" spans="1:6" x14ac:dyDescent="0.25">
      <c r="A14110" s="1">
        <v>43435</v>
      </c>
      <c r="B14110" t="s">
        <v>24</v>
      </c>
      <c r="C14110" t="s">
        <v>9</v>
      </c>
      <c r="D14110">
        <v>0</v>
      </c>
      <c r="E14110" s="2">
        <v>0</v>
      </c>
      <c r="F14110">
        <v>0</v>
      </c>
    </row>
    <row r="14111" spans="1:6" x14ac:dyDescent="0.25">
      <c r="A14111" s="1">
        <v>43435</v>
      </c>
      <c r="B14111" t="s">
        <v>24</v>
      </c>
      <c r="C14111" t="s">
        <v>10</v>
      </c>
      <c r="D14111">
        <v>1</v>
      </c>
      <c r="E14111" s="2">
        <v>9.9537037037037042E-4</v>
      </c>
      <c r="F14111">
        <v>1.4333333333333333</v>
      </c>
    </row>
    <row r="14112" spans="1:6" x14ac:dyDescent="0.25">
      <c r="A14112" s="1">
        <v>43435</v>
      </c>
      <c r="B14112" t="s">
        <v>24</v>
      </c>
      <c r="C14112" t="s">
        <v>11</v>
      </c>
      <c r="D14112">
        <v>10</v>
      </c>
      <c r="E14112" s="2">
        <v>8.2407407407407412E-3</v>
      </c>
      <c r="F14112">
        <v>11.866666666666667</v>
      </c>
    </row>
    <row r="14113" spans="1:6" x14ac:dyDescent="0.25">
      <c r="A14113" s="1">
        <v>43466</v>
      </c>
      <c r="B14113" t="s">
        <v>5</v>
      </c>
      <c r="C14113" t="s">
        <v>6</v>
      </c>
      <c r="D14113">
        <v>36</v>
      </c>
      <c r="E14113" s="2">
        <v>3.8680555555555558E-2</v>
      </c>
      <c r="F14113">
        <v>55.7</v>
      </c>
    </row>
    <row r="14114" spans="1:6" x14ac:dyDescent="0.25">
      <c r="A14114" s="1">
        <v>43466</v>
      </c>
      <c r="B14114" t="s">
        <v>5</v>
      </c>
      <c r="C14114" t="s">
        <v>7</v>
      </c>
      <c r="D14114">
        <v>43</v>
      </c>
      <c r="E14114" s="2">
        <v>3.4918981481481481E-2</v>
      </c>
      <c r="F14114">
        <v>50.283333333333331</v>
      </c>
    </row>
    <row r="14115" spans="1:6" x14ac:dyDescent="0.25">
      <c r="A14115" s="1">
        <v>43466</v>
      </c>
      <c r="B14115" t="s">
        <v>5</v>
      </c>
      <c r="C14115" t="s">
        <v>8</v>
      </c>
      <c r="D14115">
        <v>39</v>
      </c>
      <c r="E14115" s="2">
        <v>2.9490740740740741E-2</v>
      </c>
      <c r="F14115">
        <v>42.466666666666669</v>
      </c>
    </row>
    <row r="14116" spans="1:6" x14ac:dyDescent="0.25">
      <c r="A14116" s="1">
        <v>43466</v>
      </c>
      <c r="B14116" t="s">
        <v>5</v>
      </c>
      <c r="C14116" t="s">
        <v>9</v>
      </c>
      <c r="D14116">
        <v>0</v>
      </c>
      <c r="E14116" s="2">
        <v>0</v>
      </c>
      <c r="F14116">
        <v>0</v>
      </c>
    </row>
    <row r="14117" spans="1:6" x14ac:dyDescent="0.25">
      <c r="A14117" s="1">
        <v>43466</v>
      </c>
      <c r="B14117" t="s">
        <v>5</v>
      </c>
      <c r="C14117" t="s">
        <v>10</v>
      </c>
      <c r="D14117">
        <v>5</v>
      </c>
      <c r="E14117" s="2">
        <v>4.9189814814814816E-3</v>
      </c>
      <c r="F14117">
        <v>7.083333333333333</v>
      </c>
    </row>
    <row r="14118" spans="1:6" x14ac:dyDescent="0.25">
      <c r="A14118" s="1">
        <v>43466</v>
      </c>
      <c r="B14118" t="s">
        <v>5</v>
      </c>
      <c r="C14118" t="s">
        <v>11</v>
      </c>
      <c r="D14118">
        <v>30</v>
      </c>
      <c r="E14118" s="2">
        <v>2.1701388888888888E-2</v>
      </c>
      <c r="F14118">
        <v>31.25</v>
      </c>
    </row>
    <row r="14119" spans="1:6" x14ac:dyDescent="0.25">
      <c r="A14119" s="1">
        <v>43466</v>
      </c>
      <c r="B14119" t="s">
        <v>12</v>
      </c>
      <c r="C14119" t="s">
        <v>6</v>
      </c>
      <c r="D14119">
        <v>25</v>
      </c>
      <c r="E14119" s="2">
        <v>4.5844907407407411E-2</v>
      </c>
      <c r="F14119">
        <v>66.016666666666666</v>
      </c>
    </row>
    <row r="14120" spans="1:6" x14ac:dyDescent="0.25">
      <c r="A14120" s="1">
        <v>43466</v>
      </c>
      <c r="B14120" t="s">
        <v>12</v>
      </c>
      <c r="C14120" t="s">
        <v>7</v>
      </c>
      <c r="D14120">
        <v>30</v>
      </c>
      <c r="E14120" s="2">
        <v>5.4606481481481478E-2</v>
      </c>
      <c r="F14120">
        <v>78.63333333333334</v>
      </c>
    </row>
    <row r="14121" spans="1:6" x14ac:dyDescent="0.25">
      <c r="A14121" s="1">
        <v>43466</v>
      </c>
      <c r="B14121" t="s">
        <v>12</v>
      </c>
      <c r="C14121" t="s">
        <v>8</v>
      </c>
      <c r="D14121">
        <v>29</v>
      </c>
      <c r="E14121" s="2">
        <v>4.5462962962962962E-2</v>
      </c>
      <c r="F14121">
        <v>65.466666666666669</v>
      </c>
    </row>
    <row r="14122" spans="1:6" x14ac:dyDescent="0.25">
      <c r="A14122" s="1">
        <v>43466</v>
      </c>
      <c r="B14122" t="s">
        <v>12</v>
      </c>
      <c r="C14122" t="s">
        <v>9</v>
      </c>
      <c r="D14122">
        <v>0</v>
      </c>
      <c r="E14122" s="2">
        <v>0</v>
      </c>
      <c r="F14122">
        <v>0</v>
      </c>
    </row>
    <row r="14123" spans="1:6" x14ac:dyDescent="0.25">
      <c r="A14123" s="1">
        <v>43466</v>
      </c>
      <c r="B14123" t="s">
        <v>12</v>
      </c>
      <c r="C14123" t="s">
        <v>10</v>
      </c>
      <c r="D14123">
        <v>26</v>
      </c>
      <c r="E14123" s="2">
        <v>4.0069444444444442E-2</v>
      </c>
      <c r="F14123">
        <v>57.7</v>
      </c>
    </row>
    <row r="14124" spans="1:6" x14ac:dyDescent="0.25">
      <c r="A14124" s="1">
        <v>43466</v>
      </c>
      <c r="B14124" t="s">
        <v>12</v>
      </c>
      <c r="C14124" t="s">
        <v>11</v>
      </c>
      <c r="D14124">
        <v>58</v>
      </c>
      <c r="E14124" s="2">
        <v>7.2905092592592591E-2</v>
      </c>
      <c r="F14124">
        <v>104.98333333333333</v>
      </c>
    </row>
    <row r="14125" spans="1:6" x14ac:dyDescent="0.25">
      <c r="A14125" s="1">
        <v>43466</v>
      </c>
      <c r="B14125" t="s">
        <v>13</v>
      </c>
      <c r="C14125" t="s">
        <v>6</v>
      </c>
      <c r="D14125">
        <v>100</v>
      </c>
      <c r="E14125" s="2">
        <v>0.171875</v>
      </c>
      <c r="F14125">
        <v>247.5</v>
      </c>
    </row>
    <row r="14126" spans="1:6" x14ac:dyDescent="0.25">
      <c r="A14126" s="1">
        <v>43466</v>
      </c>
      <c r="B14126" t="s">
        <v>13</v>
      </c>
      <c r="C14126" t="s">
        <v>7</v>
      </c>
      <c r="D14126">
        <v>90</v>
      </c>
      <c r="E14126" s="2">
        <v>0.12770833333333334</v>
      </c>
      <c r="F14126">
        <v>183.9</v>
      </c>
    </row>
    <row r="14127" spans="1:6" x14ac:dyDescent="0.25">
      <c r="A14127" s="1">
        <v>43466</v>
      </c>
      <c r="B14127" t="s">
        <v>13</v>
      </c>
      <c r="C14127" t="s">
        <v>8</v>
      </c>
      <c r="D14127">
        <v>54</v>
      </c>
      <c r="E14127" s="2">
        <v>6.3506944444444449E-2</v>
      </c>
      <c r="F14127">
        <v>91.45</v>
      </c>
    </row>
    <row r="14128" spans="1:6" x14ac:dyDescent="0.25">
      <c r="A14128" s="1">
        <v>43466</v>
      </c>
      <c r="B14128" t="s">
        <v>13</v>
      </c>
      <c r="C14128" t="s">
        <v>9</v>
      </c>
      <c r="D14128">
        <v>0</v>
      </c>
      <c r="E14128" s="2">
        <v>0</v>
      </c>
      <c r="F14128">
        <v>0</v>
      </c>
    </row>
    <row r="14129" spans="1:6" x14ac:dyDescent="0.25">
      <c r="A14129" s="1">
        <v>43466</v>
      </c>
      <c r="B14129" t="s">
        <v>13</v>
      </c>
      <c r="C14129" t="s">
        <v>10</v>
      </c>
      <c r="D14129">
        <v>9</v>
      </c>
      <c r="E14129" s="2">
        <v>1.3263888888888889E-2</v>
      </c>
      <c r="F14129">
        <v>19.100000000000001</v>
      </c>
    </row>
    <row r="14130" spans="1:6" x14ac:dyDescent="0.25">
      <c r="A14130" s="1">
        <v>43466</v>
      </c>
      <c r="B14130" t="s">
        <v>13</v>
      </c>
      <c r="C14130" t="s">
        <v>11</v>
      </c>
      <c r="D14130">
        <v>39</v>
      </c>
      <c r="E14130" s="2">
        <v>5.2048611111111108E-2</v>
      </c>
      <c r="F14130">
        <v>74.95</v>
      </c>
    </row>
    <row r="14131" spans="1:6" x14ac:dyDescent="0.25">
      <c r="A14131" s="1">
        <v>43466</v>
      </c>
      <c r="B14131" t="s">
        <v>14</v>
      </c>
      <c r="C14131" t="s">
        <v>6</v>
      </c>
      <c r="D14131">
        <v>7</v>
      </c>
      <c r="E14131" s="2">
        <v>1.1157407407407408E-2</v>
      </c>
      <c r="F14131">
        <v>16.066666666666666</v>
      </c>
    </row>
    <row r="14132" spans="1:6" x14ac:dyDescent="0.25">
      <c r="A14132" s="1">
        <v>43466</v>
      </c>
      <c r="B14132" t="s">
        <v>14</v>
      </c>
      <c r="C14132" t="s">
        <v>7</v>
      </c>
      <c r="D14132">
        <v>8</v>
      </c>
      <c r="E14132" s="2">
        <v>1.1319444444444444E-2</v>
      </c>
      <c r="F14132">
        <v>16.3</v>
      </c>
    </row>
    <row r="14133" spans="1:6" x14ac:dyDescent="0.25">
      <c r="A14133" s="1">
        <v>43466</v>
      </c>
      <c r="B14133" t="s">
        <v>14</v>
      </c>
      <c r="C14133" t="s">
        <v>8</v>
      </c>
      <c r="D14133">
        <v>3</v>
      </c>
      <c r="E14133" s="2">
        <v>3.1944444444444446E-3</v>
      </c>
      <c r="F14133">
        <v>4.5999999999999996</v>
      </c>
    </row>
    <row r="14134" spans="1:6" x14ac:dyDescent="0.25">
      <c r="A14134" s="1">
        <v>43466</v>
      </c>
      <c r="B14134" t="s">
        <v>14</v>
      </c>
      <c r="C14134" t="s">
        <v>9</v>
      </c>
      <c r="D14134">
        <v>0</v>
      </c>
      <c r="E14134" s="2">
        <v>0</v>
      </c>
      <c r="F14134">
        <v>0</v>
      </c>
    </row>
    <row r="14135" spans="1:6" x14ac:dyDescent="0.25">
      <c r="A14135" s="1">
        <v>43466</v>
      </c>
      <c r="B14135" t="s">
        <v>14</v>
      </c>
      <c r="C14135" t="s">
        <v>10</v>
      </c>
      <c r="D14135">
        <v>2</v>
      </c>
      <c r="E14135" s="2">
        <v>4.3981481481481484E-3</v>
      </c>
      <c r="F14135">
        <v>6.333333333333333</v>
      </c>
    </row>
    <row r="14136" spans="1:6" x14ac:dyDescent="0.25">
      <c r="A14136" s="1">
        <v>43466</v>
      </c>
      <c r="B14136" t="s">
        <v>14</v>
      </c>
      <c r="C14136" t="s">
        <v>11</v>
      </c>
      <c r="D14136">
        <v>8</v>
      </c>
      <c r="E14136" s="2">
        <v>1.2766203703703703E-2</v>
      </c>
      <c r="F14136">
        <v>18.383333333333333</v>
      </c>
    </row>
    <row r="14137" spans="1:6" x14ac:dyDescent="0.25">
      <c r="A14137" s="1">
        <v>43466</v>
      </c>
      <c r="B14137" t="s">
        <v>15</v>
      </c>
      <c r="C14137" t="s">
        <v>6</v>
      </c>
      <c r="D14137">
        <v>19</v>
      </c>
      <c r="E14137" s="2">
        <v>3.2615740740740744E-2</v>
      </c>
      <c r="F14137">
        <v>46.966666666666669</v>
      </c>
    </row>
    <row r="14138" spans="1:6" x14ac:dyDescent="0.25">
      <c r="A14138" s="1">
        <v>43466</v>
      </c>
      <c r="B14138" t="s">
        <v>15</v>
      </c>
      <c r="C14138" t="s">
        <v>7</v>
      </c>
      <c r="D14138">
        <v>18</v>
      </c>
      <c r="E14138" s="2">
        <v>2.9340277777777778E-2</v>
      </c>
      <c r="F14138">
        <v>42.25</v>
      </c>
    </row>
    <row r="14139" spans="1:6" x14ac:dyDescent="0.25">
      <c r="A14139" s="1">
        <v>43466</v>
      </c>
      <c r="B14139" t="s">
        <v>15</v>
      </c>
      <c r="C14139" t="s">
        <v>8</v>
      </c>
      <c r="D14139">
        <v>18</v>
      </c>
      <c r="E14139" s="2">
        <v>1.9247685185185184E-2</v>
      </c>
      <c r="F14139">
        <v>27.716666666666665</v>
      </c>
    </row>
    <row r="14140" spans="1:6" x14ac:dyDescent="0.25">
      <c r="A14140" s="1">
        <v>43466</v>
      </c>
      <c r="B14140" t="s">
        <v>15</v>
      </c>
      <c r="C14140" t="s">
        <v>9</v>
      </c>
      <c r="D14140">
        <v>0</v>
      </c>
      <c r="E14140" s="2">
        <v>0</v>
      </c>
      <c r="F14140">
        <v>0</v>
      </c>
    </row>
    <row r="14141" spans="1:6" x14ac:dyDescent="0.25">
      <c r="A14141" s="1">
        <v>43466</v>
      </c>
      <c r="B14141" t="s">
        <v>15</v>
      </c>
      <c r="C14141" t="s">
        <v>10</v>
      </c>
      <c r="D14141">
        <v>11</v>
      </c>
      <c r="E14141" s="2">
        <v>2.0555555555555556E-2</v>
      </c>
      <c r="F14141">
        <v>29.6</v>
      </c>
    </row>
    <row r="14142" spans="1:6" x14ac:dyDescent="0.25">
      <c r="A14142" s="1">
        <v>43466</v>
      </c>
      <c r="B14142" t="s">
        <v>15</v>
      </c>
      <c r="C14142" t="s">
        <v>11</v>
      </c>
      <c r="D14142">
        <v>25</v>
      </c>
      <c r="E14142" s="2">
        <v>1.9016203703703705E-2</v>
      </c>
      <c r="F14142">
        <v>27.383333333333333</v>
      </c>
    </row>
    <row r="14143" spans="1:6" x14ac:dyDescent="0.25">
      <c r="A14143" s="1">
        <v>43466</v>
      </c>
      <c r="B14143" t="s">
        <v>16</v>
      </c>
      <c r="C14143" t="s">
        <v>6</v>
      </c>
      <c r="D14143">
        <v>28</v>
      </c>
      <c r="E14143" s="2">
        <v>3.4641203703703702E-2</v>
      </c>
      <c r="F14143">
        <v>49.883333333333333</v>
      </c>
    </row>
    <row r="14144" spans="1:6" x14ac:dyDescent="0.25">
      <c r="A14144" s="1">
        <v>43466</v>
      </c>
      <c r="B14144" t="s">
        <v>16</v>
      </c>
      <c r="C14144" t="s">
        <v>7</v>
      </c>
      <c r="D14144">
        <v>33</v>
      </c>
      <c r="E14144" s="2">
        <v>3.8391203703703705E-2</v>
      </c>
      <c r="F14144">
        <v>55.283333333333331</v>
      </c>
    </row>
    <row r="14145" spans="1:6" x14ac:dyDescent="0.25">
      <c r="A14145" s="1">
        <v>43466</v>
      </c>
      <c r="B14145" t="s">
        <v>16</v>
      </c>
      <c r="C14145" t="s">
        <v>8</v>
      </c>
      <c r="D14145">
        <v>37</v>
      </c>
      <c r="E14145" s="2">
        <v>4.4467592592592593E-2</v>
      </c>
      <c r="F14145">
        <v>64.033333333333331</v>
      </c>
    </row>
    <row r="14146" spans="1:6" x14ac:dyDescent="0.25">
      <c r="A14146" s="1">
        <v>43466</v>
      </c>
      <c r="B14146" t="s">
        <v>16</v>
      </c>
      <c r="C14146" t="s">
        <v>9</v>
      </c>
      <c r="D14146">
        <v>0</v>
      </c>
      <c r="E14146" s="2">
        <v>0</v>
      </c>
      <c r="F14146">
        <v>0</v>
      </c>
    </row>
    <row r="14147" spans="1:6" x14ac:dyDescent="0.25">
      <c r="A14147" s="1">
        <v>43466</v>
      </c>
      <c r="B14147" t="s">
        <v>16</v>
      </c>
      <c r="C14147" t="s">
        <v>10</v>
      </c>
      <c r="D14147">
        <v>6</v>
      </c>
      <c r="E14147" s="2">
        <v>7.3495370370370372E-3</v>
      </c>
      <c r="F14147">
        <v>10.583333333333334</v>
      </c>
    </row>
    <row r="14148" spans="1:6" x14ac:dyDescent="0.25">
      <c r="A14148" s="1">
        <v>43466</v>
      </c>
      <c r="B14148" t="s">
        <v>16</v>
      </c>
      <c r="C14148" t="s">
        <v>11</v>
      </c>
      <c r="D14148">
        <v>35</v>
      </c>
      <c r="E14148" s="2">
        <v>3.0648148148148147E-2</v>
      </c>
      <c r="F14148">
        <v>44.133333333333333</v>
      </c>
    </row>
    <row r="14149" spans="1:6" x14ac:dyDescent="0.25">
      <c r="A14149" s="1">
        <v>43466</v>
      </c>
      <c r="B14149" t="s">
        <v>17</v>
      </c>
      <c r="C14149" t="s">
        <v>6</v>
      </c>
      <c r="D14149">
        <v>9</v>
      </c>
      <c r="E14149" s="2">
        <v>1.579861111111111E-2</v>
      </c>
      <c r="F14149">
        <v>22.75</v>
      </c>
    </row>
    <row r="14150" spans="1:6" x14ac:dyDescent="0.25">
      <c r="A14150" s="1">
        <v>43466</v>
      </c>
      <c r="B14150" t="s">
        <v>17</v>
      </c>
      <c r="C14150" t="s">
        <v>7</v>
      </c>
      <c r="D14150">
        <v>14</v>
      </c>
      <c r="E14150" s="2">
        <v>2.3321759259259261E-2</v>
      </c>
      <c r="F14150">
        <v>33.583333333333336</v>
      </c>
    </row>
    <row r="14151" spans="1:6" x14ac:dyDescent="0.25">
      <c r="A14151" s="1">
        <v>43466</v>
      </c>
      <c r="B14151" t="s">
        <v>17</v>
      </c>
      <c r="C14151" t="s">
        <v>8</v>
      </c>
      <c r="D14151">
        <v>18</v>
      </c>
      <c r="E14151" s="2">
        <v>1.7546296296296296E-2</v>
      </c>
      <c r="F14151">
        <v>25.266666666666666</v>
      </c>
    </row>
    <row r="14152" spans="1:6" x14ac:dyDescent="0.25">
      <c r="A14152" s="1">
        <v>43466</v>
      </c>
      <c r="B14152" t="s">
        <v>17</v>
      </c>
      <c r="C14152" t="s">
        <v>9</v>
      </c>
      <c r="D14152">
        <v>0</v>
      </c>
      <c r="E14152" s="2">
        <v>0</v>
      </c>
      <c r="F14152">
        <v>0</v>
      </c>
    </row>
    <row r="14153" spans="1:6" x14ac:dyDescent="0.25">
      <c r="A14153" s="1">
        <v>43466</v>
      </c>
      <c r="B14153" t="s">
        <v>17</v>
      </c>
      <c r="C14153" t="s">
        <v>10</v>
      </c>
      <c r="D14153">
        <v>15</v>
      </c>
      <c r="E14153" s="2">
        <v>1.7453703703703704E-2</v>
      </c>
      <c r="F14153">
        <v>25.133333333333333</v>
      </c>
    </row>
    <row r="14154" spans="1:6" x14ac:dyDescent="0.25">
      <c r="A14154" s="1">
        <v>43466</v>
      </c>
      <c r="B14154" t="s">
        <v>17</v>
      </c>
      <c r="C14154" t="s">
        <v>11</v>
      </c>
      <c r="D14154">
        <v>7</v>
      </c>
      <c r="E14154" s="2">
        <v>5.1273148148148146E-3</v>
      </c>
      <c r="F14154">
        <v>7.3833333333333337</v>
      </c>
    </row>
    <row r="14155" spans="1:6" x14ac:dyDescent="0.25">
      <c r="A14155" s="1">
        <v>43466</v>
      </c>
      <c r="B14155" t="s">
        <v>18</v>
      </c>
      <c r="C14155" t="s">
        <v>6</v>
      </c>
      <c r="D14155">
        <v>30</v>
      </c>
      <c r="E14155" s="2">
        <v>3.9884259259259258E-2</v>
      </c>
      <c r="F14155">
        <v>57.43333333333333</v>
      </c>
    </row>
    <row r="14156" spans="1:6" x14ac:dyDescent="0.25">
      <c r="A14156" s="1">
        <v>43466</v>
      </c>
      <c r="B14156" t="s">
        <v>18</v>
      </c>
      <c r="C14156" t="s">
        <v>7</v>
      </c>
      <c r="D14156">
        <v>58</v>
      </c>
      <c r="E14156" s="2">
        <v>5.9756944444444446E-2</v>
      </c>
      <c r="F14156">
        <v>86.05</v>
      </c>
    </row>
    <row r="14157" spans="1:6" x14ac:dyDescent="0.25">
      <c r="A14157" s="1">
        <v>43466</v>
      </c>
      <c r="B14157" t="s">
        <v>18</v>
      </c>
      <c r="C14157" t="s">
        <v>8</v>
      </c>
      <c r="D14157">
        <v>20</v>
      </c>
      <c r="E14157" s="2">
        <v>1.5069444444444444E-2</v>
      </c>
      <c r="F14157">
        <v>21.7</v>
      </c>
    </row>
    <row r="14158" spans="1:6" x14ac:dyDescent="0.25">
      <c r="A14158" s="1">
        <v>43466</v>
      </c>
      <c r="B14158" t="s">
        <v>18</v>
      </c>
      <c r="C14158" t="s">
        <v>9</v>
      </c>
      <c r="D14158">
        <v>0</v>
      </c>
      <c r="E14158" s="2">
        <v>0</v>
      </c>
      <c r="F14158">
        <v>0</v>
      </c>
    </row>
    <row r="14159" spans="1:6" x14ac:dyDescent="0.25">
      <c r="A14159" s="1">
        <v>43466</v>
      </c>
      <c r="B14159" t="s">
        <v>18</v>
      </c>
      <c r="C14159" t="s">
        <v>10</v>
      </c>
      <c r="D14159">
        <v>142</v>
      </c>
      <c r="E14159" s="2">
        <v>0.20392361111111112</v>
      </c>
      <c r="F14159">
        <v>293.64999999999998</v>
      </c>
    </row>
    <row r="14160" spans="1:6" x14ac:dyDescent="0.25">
      <c r="A14160" s="1">
        <v>43466</v>
      </c>
      <c r="B14160" t="s">
        <v>18</v>
      </c>
      <c r="C14160" t="s">
        <v>11</v>
      </c>
      <c r="D14160">
        <v>46</v>
      </c>
      <c r="E14160" s="2">
        <v>3.0011574074074072E-2</v>
      </c>
      <c r="F14160">
        <v>43.216666666666669</v>
      </c>
    </row>
    <row r="14161" spans="1:6" x14ac:dyDescent="0.25">
      <c r="A14161" s="1">
        <v>43466</v>
      </c>
      <c r="B14161" t="s">
        <v>19</v>
      </c>
      <c r="C14161" t="s">
        <v>6</v>
      </c>
      <c r="D14161">
        <v>14</v>
      </c>
      <c r="E14161" s="2">
        <v>1.4131944444444445E-2</v>
      </c>
      <c r="F14161">
        <v>20.350000000000001</v>
      </c>
    </row>
    <row r="14162" spans="1:6" x14ac:dyDescent="0.25">
      <c r="A14162" s="1">
        <v>43466</v>
      </c>
      <c r="B14162" t="s">
        <v>19</v>
      </c>
      <c r="C14162" t="s">
        <v>7</v>
      </c>
      <c r="D14162">
        <v>31</v>
      </c>
      <c r="E14162" s="2">
        <v>4.6979166666666669E-2</v>
      </c>
      <c r="F14162">
        <v>67.650000000000006</v>
      </c>
    </row>
    <row r="14163" spans="1:6" x14ac:dyDescent="0.25">
      <c r="A14163" s="1">
        <v>43466</v>
      </c>
      <c r="B14163" t="s">
        <v>19</v>
      </c>
      <c r="C14163" t="s">
        <v>8</v>
      </c>
      <c r="D14163">
        <v>34</v>
      </c>
      <c r="E14163" s="2">
        <v>3.439814814814815E-2</v>
      </c>
      <c r="F14163">
        <v>49.533333333333331</v>
      </c>
    </row>
    <row r="14164" spans="1:6" x14ac:dyDescent="0.25">
      <c r="A14164" s="1">
        <v>43466</v>
      </c>
      <c r="B14164" t="s">
        <v>19</v>
      </c>
      <c r="C14164" t="s">
        <v>9</v>
      </c>
      <c r="D14164">
        <v>0</v>
      </c>
      <c r="E14164" s="2">
        <v>0</v>
      </c>
      <c r="F14164">
        <v>0</v>
      </c>
    </row>
    <row r="14165" spans="1:6" x14ac:dyDescent="0.25">
      <c r="A14165" s="1">
        <v>43466</v>
      </c>
      <c r="B14165" t="s">
        <v>19</v>
      </c>
      <c r="C14165" t="s">
        <v>10</v>
      </c>
      <c r="D14165">
        <v>10</v>
      </c>
      <c r="E14165" s="2">
        <v>1.3796296296296296E-2</v>
      </c>
      <c r="F14165">
        <v>19.866666666666667</v>
      </c>
    </row>
    <row r="14166" spans="1:6" x14ac:dyDescent="0.25">
      <c r="A14166" s="1">
        <v>43466</v>
      </c>
      <c r="B14166" t="s">
        <v>19</v>
      </c>
      <c r="C14166" t="s">
        <v>11</v>
      </c>
      <c r="D14166">
        <v>34</v>
      </c>
      <c r="E14166" s="2">
        <v>2.900462962962963E-2</v>
      </c>
      <c r="F14166">
        <v>41.766666666666666</v>
      </c>
    </row>
    <row r="14167" spans="1:6" x14ac:dyDescent="0.25">
      <c r="A14167" s="1">
        <v>43466</v>
      </c>
      <c r="B14167" t="s">
        <v>20</v>
      </c>
      <c r="C14167" t="s">
        <v>6</v>
      </c>
      <c r="D14167">
        <v>88</v>
      </c>
      <c r="E14167" s="2">
        <v>0.12550925925925926</v>
      </c>
      <c r="F14167">
        <v>180.73333333333332</v>
      </c>
    </row>
    <row r="14168" spans="1:6" x14ac:dyDescent="0.25">
      <c r="A14168" s="1">
        <v>43466</v>
      </c>
      <c r="B14168" t="s">
        <v>20</v>
      </c>
      <c r="C14168" t="s">
        <v>7</v>
      </c>
      <c r="D14168">
        <v>102</v>
      </c>
      <c r="E14168" s="2">
        <v>0.14811342592592591</v>
      </c>
      <c r="F14168">
        <v>213.28333333333333</v>
      </c>
    </row>
    <row r="14169" spans="1:6" x14ac:dyDescent="0.25">
      <c r="A14169" s="1">
        <v>43466</v>
      </c>
      <c r="B14169" t="s">
        <v>20</v>
      </c>
      <c r="C14169" t="s">
        <v>8</v>
      </c>
      <c r="D14169">
        <v>105</v>
      </c>
      <c r="E14169" s="2">
        <v>0.12959490740740739</v>
      </c>
      <c r="F14169">
        <v>186.61666666666667</v>
      </c>
    </row>
    <row r="14170" spans="1:6" x14ac:dyDescent="0.25">
      <c r="A14170" s="1">
        <v>43466</v>
      </c>
      <c r="B14170" t="s">
        <v>20</v>
      </c>
      <c r="C14170" t="s">
        <v>9</v>
      </c>
      <c r="D14170">
        <v>0</v>
      </c>
      <c r="E14170" s="2">
        <v>0</v>
      </c>
      <c r="F14170">
        <v>0</v>
      </c>
    </row>
    <row r="14171" spans="1:6" x14ac:dyDescent="0.25">
      <c r="A14171" s="1">
        <v>43466</v>
      </c>
      <c r="B14171" t="s">
        <v>20</v>
      </c>
      <c r="C14171" t="s">
        <v>10</v>
      </c>
      <c r="D14171">
        <v>16</v>
      </c>
      <c r="E14171" s="2">
        <v>2.3391203703703702E-2</v>
      </c>
      <c r="F14171">
        <v>33.68333333333333</v>
      </c>
    </row>
    <row r="14172" spans="1:6" x14ac:dyDescent="0.25">
      <c r="A14172" s="1">
        <v>43466</v>
      </c>
      <c r="B14172" t="s">
        <v>20</v>
      </c>
      <c r="C14172" t="s">
        <v>11</v>
      </c>
      <c r="D14172">
        <v>64</v>
      </c>
      <c r="E14172" s="2">
        <v>6.0590277777777778E-2</v>
      </c>
      <c r="F14172">
        <v>87.25</v>
      </c>
    </row>
    <row r="14173" spans="1:6" x14ac:dyDescent="0.25">
      <c r="A14173" s="1">
        <v>43466</v>
      </c>
      <c r="B14173" t="s">
        <v>21</v>
      </c>
      <c r="C14173" t="s">
        <v>6</v>
      </c>
      <c r="D14173">
        <v>21</v>
      </c>
      <c r="E14173" s="2">
        <v>3.4074074074074076E-2</v>
      </c>
      <c r="F14173">
        <v>49.06666666666667</v>
      </c>
    </row>
    <row r="14174" spans="1:6" x14ac:dyDescent="0.25">
      <c r="A14174" s="1">
        <v>43466</v>
      </c>
      <c r="B14174" t="s">
        <v>21</v>
      </c>
      <c r="C14174" t="s">
        <v>7</v>
      </c>
      <c r="D14174">
        <v>16</v>
      </c>
      <c r="E14174" s="2">
        <v>2.4976851851851851E-2</v>
      </c>
      <c r="F14174">
        <v>35.966666666666669</v>
      </c>
    </row>
    <row r="14175" spans="1:6" x14ac:dyDescent="0.25">
      <c r="A14175" s="1">
        <v>43466</v>
      </c>
      <c r="B14175" t="s">
        <v>21</v>
      </c>
      <c r="C14175" t="s">
        <v>8</v>
      </c>
      <c r="D14175">
        <v>13</v>
      </c>
      <c r="E14175" s="2">
        <v>1.6689814814814814E-2</v>
      </c>
      <c r="F14175">
        <v>24.033333333333335</v>
      </c>
    </row>
    <row r="14176" spans="1:6" x14ac:dyDescent="0.25">
      <c r="A14176" s="1">
        <v>43466</v>
      </c>
      <c r="B14176" t="s">
        <v>21</v>
      </c>
      <c r="C14176" t="s">
        <v>9</v>
      </c>
      <c r="D14176">
        <v>0</v>
      </c>
      <c r="E14176" s="2">
        <v>0</v>
      </c>
      <c r="F14176">
        <v>0</v>
      </c>
    </row>
    <row r="14177" spans="1:6" x14ac:dyDescent="0.25">
      <c r="A14177" s="1">
        <v>43466</v>
      </c>
      <c r="B14177" t="s">
        <v>21</v>
      </c>
      <c r="C14177" t="s">
        <v>10</v>
      </c>
      <c r="D14177">
        <v>3</v>
      </c>
      <c r="E14177" s="2">
        <v>6.5509259259259262E-3</v>
      </c>
      <c r="F14177">
        <v>9.4333333333333336</v>
      </c>
    </row>
    <row r="14178" spans="1:6" x14ac:dyDescent="0.25">
      <c r="A14178" s="1">
        <v>43466</v>
      </c>
      <c r="B14178" t="s">
        <v>21</v>
      </c>
      <c r="C14178" t="s">
        <v>11</v>
      </c>
      <c r="D14178">
        <v>21</v>
      </c>
      <c r="E14178" s="2">
        <v>2.988425925925926E-2</v>
      </c>
      <c r="F14178">
        <v>43.033333333333331</v>
      </c>
    </row>
    <row r="14179" spans="1:6" x14ac:dyDescent="0.25">
      <c r="A14179" s="1">
        <v>43466</v>
      </c>
      <c r="B14179" t="s">
        <v>22</v>
      </c>
      <c r="C14179" t="s">
        <v>6</v>
      </c>
      <c r="D14179">
        <v>17</v>
      </c>
      <c r="E14179" s="2">
        <v>2.6886574074074073E-2</v>
      </c>
      <c r="F14179">
        <v>38.716666666666669</v>
      </c>
    </row>
    <row r="14180" spans="1:6" x14ac:dyDescent="0.25">
      <c r="A14180" s="1">
        <v>43466</v>
      </c>
      <c r="B14180" t="s">
        <v>22</v>
      </c>
      <c r="C14180" t="s">
        <v>7</v>
      </c>
      <c r="D14180">
        <v>5</v>
      </c>
      <c r="E14180" s="2">
        <v>8.6458333333333335E-3</v>
      </c>
      <c r="F14180">
        <v>12.45</v>
      </c>
    </row>
    <row r="14181" spans="1:6" x14ac:dyDescent="0.25">
      <c r="A14181" s="1">
        <v>43466</v>
      </c>
      <c r="B14181" t="s">
        <v>22</v>
      </c>
      <c r="C14181" t="s">
        <v>8</v>
      </c>
      <c r="D14181">
        <v>6</v>
      </c>
      <c r="E14181" s="2">
        <v>9.3518518518518525E-3</v>
      </c>
      <c r="F14181">
        <v>13.466666666666667</v>
      </c>
    </row>
    <row r="14182" spans="1:6" x14ac:dyDescent="0.25">
      <c r="A14182" s="1">
        <v>43466</v>
      </c>
      <c r="B14182" t="s">
        <v>22</v>
      </c>
      <c r="C14182" t="s">
        <v>9</v>
      </c>
      <c r="D14182">
        <v>0</v>
      </c>
      <c r="E14182" s="2">
        <v>0</v>
      </c>
      <c r="F14182">
        <v>0</v>
      </c>
    </row>
    <row r="14183" spans="1:6" x14ac:dyDescent="0.25">
      <c r="A14183" s="1">
        <v>43466</v>
      </c>
      <c r="B14183" t="s">
        <v>22</v>
      </c>
      <c r="C14183" t="s">
        <v>10</v>
      </c>
      <c r="D14183">
        <v>15</v>
      </c>
      <c r="E14183" s="2">
        <v>2.3912037037037037E-2</v>
      </c>
      <c r="F14183">
        <v>34.43333333333333</v>
      </c>
    </row>
    <row r="14184" spans="1:6" x14ac:dyDescent="0.25">
      <c r="A14184" s="1">
        <v>43466</v>
      </c>
      <c r="B14184" t="s">
        <v>22</v>
      </c>
      <c r="C14184" t="s">
        <v>11</v>
      </c>
      <c r="D14184">
        <v>17</v>
      </c>
      <c r="E14184" s="2">
        <v>1.8877314814814816E-2</v>
      </c>
      <c r="F14184">
        <v>27.183333333333334</v>
      </c>
    </row>
    <row r="14185" spans="1:6" x14ac:dyDescent="0.25">
      <c r="A14185" s="1">
        <v>43466</v>
      </c>
      <c r="B14185" t="s">
        <v>23</v>
      </c>
      <c r="C14185" t="s">
        <v>6</v>
      </c>
      <c r="D14185">
        <v>116</v>
      </c>
      <c r="E14185" s="2">
        <v>0.18172453703703703</v>
      </c>
      <c r="F14185">
        <v>261.68333333333334</v>
      </c>
    </row>
    <row r="14186" spans="1:6" x14ac:dyDescent="0.25">
      <c r="A14186" s="1">
        <v>43466</v>
      </c>
      <c r="B14186" t="s">
        <v>23</v>
      </c>
      <c r="C14186" t="s">
        <v>7</v>
      </c>
      <c r="D14186">
        <v>128</v>
      </c>
      <c r="E14186" s="2">
        <v>0.21795138888888888</v>
      </c>
      <c r="F14186">
        <v>313.85000000000002</v>
      </c>
    </row>
    <row r="14187" spans="1:6" x14ac:dyDescent="0.25">
      <c r="A14187" s="1">
        <v>43466</v>
      </c>
      <c r="B14187" t="s">
        <v>23</v>
      </c>
      <c r="C14187" t="s">
        <v>8</v>
      </c>
      <c r="D14187">
        <v>77</v>
      </c>
      <c r="E14187" s="2">
        <v>0.10928240740740741</v>
      </c>
      <c r="F14187">
        <v>157.36666666666667</v>
      </c>
    </row>
    <row r="14188" spans="1:6" x14ac:dyDescent="0.25">
      <c r="A14188" s="1">
        <v>43466</v>
      </c>
      <c r="B14188" t="s">
        <v>23</v>
      </c>
      <c r="C14188" t="s">
        <v>9</v>
      </c>
      <c r="D14188">
        <v>0</v>
      </c>
      <c r="E14188" s="2">
        <v>0</v>
      </c>
      <c r="F14188">
        <v>0</v>
      </c>
    </row>
    <row r="14189" spans="1:6" x14ac:dyDescent="0.25">
      <c r="A14189" s="1">
        <v>43466</v>
      </c>
      <c r="B14189" t="s">
        <v>23</v>
      </c>
      <c r="C14189" t="s">
        <v>10</v>
      </c>
      <c r="D14189">
        <v>33</v>
      </c>
      <c r="E14189" s="2">
        <v>5.6307870370370369E-2</v>
      </c>
      <c r="F14189">
        <v>81.083333333333329</v>
      </c>
    </row>
    <row r="14190" spans="1:6" x14ac:dyDescent="0.25">
      <c r="A14190" s="1">
        <v>43466</v>
      </c>
      <c r="B14190" t="s">
        <v>23</v>
      </c>
      <c r="C14190" t="s">
        <v>11</v>
      </c>
      <c r="D14190">
        <v>91</v>
      </c>
      <c r="E14190" s="2">
        <v>9.5486111111111105E-2</v>
      </c>
      <c r="F14190">
        <v>137.5</v>
      </c>
    </row>
    <row r="14191" spans="1:6" x14ac:dyDescent="0.25">
      <c r="A14191" s="1">
        <v>43466</v>
      </c>
      <c r="B14191" t="s">
        <v>24</v>
      </c>
      <c r="C14191" t="s">
        <v>6</v>
      </c>
      <c r="D14191">
        <v>8</v>
      </c>
      <c r="E14191" s="2">
        <v>1.3738425925925926E-2</v>
      </c>
      <c r="F14191">
        <v>19.783333333333335</v>
      </c>
    </row>
    <row r="14192" spans="1:6" x14ac:dyDescent="0.25">
      <c r="A14192" s="1">
        <v>43466</v>
      </c>
      <c r="B14192" t="s">
        <v>24</v>
      </c>
      <c r="C14192" t="s">
        <v>7</v>
      </c>
      <c r="D14192">
        <v>12</v>
      </c>
      <c r="E14192" s="2">
        <v>1.1481481481481481E-2</v>
      </c>
      <c r="F14192">
        <v>16.533333333333335</v>
      </c>
    </row>
    <row r="14193" spans="1:6" x14ac:dyDescent="0.25">
      <c r="A14193" s="1">
        <v>43466</v>
      </c>
      <c r="B14193" t="s">
        <v>24</v>
      </c>
      <c r="C14193" t="s">
        <v>8</v>
      </c>
      <c r="D14193">
        <v>13</v>
      </c>
      <c r="E14193" s="2">
        <v>8.3449074074074068E-3</v>
      </c>
      <c r="F14193">
        <v>12.016666666666667</v>
      </c>
    </row>
    <row r="14194" spans="1:6" x14ac:dyDescent="0.25">
      <c r="A14194" s="1">
        <v>43466</v>
      </c>
      <c r="B14194" t="s">
        <v>24</v>
      </c>
      <c r="C14194" t="s">
        <v>9</v>
      </c>
      <c r="D14194">
        <v>0</v>
      </c>
      <c r="E14194" s="2">
        <v>0</v>
      </c>
      <c r="F14194">
        <v>0</v>
      </c>
    </row>
    <row r="14195" spans="1:6" x14ac:dyDescent="0.25">
      <c r="A14195" s="1">
        <v>43466</v>
      </c>
      <c r="B14195" t="s">
        <v>24</v>
      </c>
      <c r="C14195" t="s">
        <v>10</v>
      </c>
      <c r="D14195">
        <v>0</v>
      </c>
      <c r="E14195" s="2">
        <v>0</v>
      </c>
      <c r="F14195">
        <v>0</v>
      </c>
    </row>
    <row r="14196" spans="1:6" x14ac:dyDescent="0.25">
      <c r="A14196" s="1">
        <v>43466</v>
      </c>
      <c r="B14196" t="s">
        <v>24</v>
      </c>
      <c r="C14196" t="s">
        <v>11</v>
      </c>
      <c r="D14196">
        <v>17</v>
      </c>
      <c r="E14196" s="2">
        <v>1.0520833333333333E-2</v>
      </c>
      <c r="F14196">
        <v>15.15</v>
      </c>
    </row>
    <row r="14197" spans="1:6" x14ac:dyDescent="0.25">
      <c r="A14197" s="1">
        <v>43497</v>
      </c>
      <c r="B14197" t="s">
        <v>5</v>
      </c>
      <c r="C14197" t="s">
        <v>6</v>
      </c>
      <c r="D14197">
        <v>28</v>
      </c>
      <c r="E14197" s="2">
        <v>3.0277777777777778E-2</v>
      </c>
      <c r="F14197">
        <v>43.6</v>
      </c>
    </row>
    <row r="14198" spans="1:6" x14ac:dyDescent="0.25">
      <c r="A14198" s="1">
        <v>43497</v>
      </c>
      <c r="B14198" t="s">
        <v>5</v>
      </c>
      <c r="C14198" t="s">
        <v>7</v>
      </c>
      <c r="D14198">
        <v>17</v>
      </c>
      <c r="E14198" s="2">
        <v>1.6712962962962964E-2</v>
      </c>
      <c r="F14198">
        <v>24.066666666666666</v>
      </c>
    </row>
    <row r="14199" spans="1:6" x14ac:dyDescent="0.25">
      <c r="A14199" s="1">
        <v>43497</v>
      </c>
      <c r="B14199" t="s">
        <v>5</v>
      </c>
      <c r="C14199" t="s">
        <v>8</v>
      </c>
      <c r="D14199">
        <v>25</v>
      </c>
      <c r="E14199" s="2">
        <v>2.3518518518518518E-2</v>
      </c>
      <c r="F14199">
        <v>33.866666666666667</v>
      </c>
    </row>
    <row r="14200" spans="1:6" x14ac:dyDescent="0.25">
      <c r="A14200" s="1">
        <v>43497</v>
      </c>
      <c r="B14200" t="s">
        <v>5</v>
      </c>
      <c r="C14200" t="s">
        <v>9</v>
      </c>
      <c r="D14200">
        <v>0</v>
      </c>
      <c r="E14200" s="2">
        <v>0</v>
      </c>
      <c r="F14200">
        <v>0</v>
      </c>
    </row>
    <row r="14201" spans="1:6" x14ac:dyDescent="0.25">
      <c r="A14201" s="1">
        <v>43497</v>
      </c>
      <c r="B14201" t="s">
        <v>5</v>
      </c>
      <c r="C14201" t="s">
        <v>10</v>
      </c>
      <c r="D14201">
        <v>0</v>
      </c>
      <c r="E14201" s="2">
        <v>0</v>
      </c>
      <c r="F14201">
        <v>0</v>
      </c>
    </row>
    <row r="14202" spans="1:6" x14ac:dyDescent="0.25">
      <c r="A14202" s="1">
        <v>43497</v>
      </c>
      <c r="B14202" t="s">
        <v>5</v>
      </c>
      <c r="C14202" t="s">
        <v>11</v>
      </c>
      <c r="D14202">
        <v>22</v>
      </c>
      <c r="E14202" s="2">
        <v>1.5914351851851853E-2</v>
      </c>
      <c r="F14202">
        <v>22.916666666666668</v>
      </c>
    </row>
    <row r="14203" spans="1:6" x14ac:dyDescent="0.25">
      <c r="A14203" s="1">
        <v>43497</v>
      </c>
      <c r="B14203" t="s">
        <v>12</v>
      </c>
      <c r="C14203" t="s">
        <v>6</v>
      </c>
      <c r="D14203">
        <v>18</v>
      </c>
      <c r="E14203" s="2">
        <v>2.9074074074074075E-2</v>
      </c>
      <c r="F14203">
        <v>41.866666666666667</v>
      </c>
    </row>
    <row r="14204" spans="1:6" x14ac:dyDescent="0.25">
      <c r="A14204" s="1">
        <v>43497</v>
      </c>
      <c r="B14204" t="s">
        <v>12</v>
      </c>
      <c r="C14204" t="s">
        <v>7</v>
      </c>
      <c r="D14204">
        <v>28</v>
      </c>
      <c r="E14204" s="2">
        <v>4.2824074074074077E-2</v>
      </c>
      <c r="F14204">
        <v>61.666666666666664</v>
      </c>
    </row>
    <row r="14205" spans="1:6" x14ac:dyDescent="0.25">
      <c r="A14205" s="1">
        <v>43497</v>
      </c>
      <c r="B14205" t="s">
        <v>12</v>
      </c>
      <c r="C14205" t="s">
        <v>8</v>
      </c>
      <c r="D14205">
        <v>20</v>
      </c>
      <c r="E14205" s="2">
        <v>3.0173611111111109E-2</v>
      </c>
      <c r="F14205">
        <v>43.45</v>
      </c>
    </row>
    <row r="14206" spans="1:6" x14ac:dyDescent="0.25">
      <c r="A14206" s="1">
        <v>43497</v>
      </c>
      <c r="B14206" t="s">
        <v>12</v>
      </c>
      <c r="C14206" t="s">
        <v>9</v>
      </c>
      <c r="D14206">
        <v>0</v>
      </c>
      <c r="E14206" s="2">
        <v>0</v>
      </c>
      <c r="F14206">
        <v>0</v>
      </c>
    </row>
    <row r="14207" spans="1:6" x14ac:dyDescent="0.25">
      <c r="A14207" s="1">
        <v>43497</v>
      </c>
      <c r="B14207" t="s">
        <v>12</v>
      </c>
      <c r="C14207" t="s">
        <v>10</v>
      </c>
      <c r="D14207">
        <v>29</v>
      </c>
      <c r="E14207" s="2">
        <v>4.565972222222222E-2</v>
      </c>
      <c r="F14207">
        <v>65.75</v>
      </c>
    </row>
    <row r="14208" spans="1:6" x14ac:dyDescent="0.25">
      <c r="A14208" s="1">
        <v>43497</v>
      </c>
      <c r="B14208" t="s">
        <v>12</v>
      </c>
      <c r="C14208" t="s">
        <v>11</v>
      </c>
      <c r="D14208">
        <v>47</v>
      </c>
      <c r="E14208" s="2">
        <v>6.716435185185185E-2</v>
      </c>
      <c r="F14208">
        <v>96.716666666666669</v>
      </c>
    </row>
    <row r="14209" spans="1:6" x14ac:dyDescent="0.25">
      <c r="A14209" s="1">
        <v>43497</v>
      </c>
      <c r="B14209" t="s">
        <v>13</v>
      </c>
      <c r="C14209" t="s">
        <v>6</v>
      </c>
      <c r="D14209">
        <v>85</v>
      </c>
      <c r="E14209" s="2">
        <v>0.15231481481481482</v>
      </c>
      <c r="F14209">
        <v>219.33333333333334</v>
      </c>
    </row>
    <row r="14210" spans="1:6" x14ac:dyDescent="0.25">
      <c r="A14210" s="1">
        <v>43497</v>
      </c>
      <c r="B14210" t="s">
        <v>13</v>
      </c>
      <c r="C14210" t="s">
        <v>7</v>
      </c>
      <c r="D14210">
        <v>69</v>
      </c>
      <c r="E14210" s="2">
        <v>0.10643518518518519</v>
      </c>
      <c r="F14210">
        <v>153.26666666666668</v>
      </c>
    </row>
    <row r="14211" spans="1:6" x14ac:dyDescent="0.25">
      <c r="A14211" s="1">
        <v>43497</v>
      </c>
      <c r="B14211" t="s">
        <v>13</v>
      </c>
      <c r="C14211" t="s">
        <v>8</v>
      </c>
      <c r="D14211">
        <v>54</v>
      </c>
      <c r="E14211" s="2">
        <v>7.3321759259259253E-2</v>
      </c>
      <c r="F14211">
        <v>105.58333333333333</v>
      </c>
    </row>
    <row r="14212" spans="1:6" x14ac:dyDescent="0.25">
      <c r="A14212" s="1">
        <v>43497</v>
      </c>
      <c r="B14212" t="s">
        <v>13</v>
      </c>
      <c r="C14212" t="s">
        <v>9</v>
      </c>
      <c r="D14212">
        <v>0</v>
      </c>
      <c r="E14212" s="2">
        <v>0</v>
      </c>
      <c r="F14212">
        <v>0</v>
      </c>
    </row>
    <row r="14213" spans="1:6" x14ac:dyDescent="0.25">
      <c r="A14213" s="1">
        <v>43497</v>
      </c>
      <c r="B14213" t="s">
        <v>13</v>
      </c>
      <c r="C14213" t="s">
        <v>10</v>
      </c>
      <c r="D14213">
        <v>14</v>
      </c>
      <c r="E14213" s="2">
        <v>2.6898148148148147E-2</v>
      </c>
      <c r="F14213">
        <v>38.733333333333334</v>
      </c>
    </row>
    <row r="14214" spans="1:6" x14ac:dyDescent="0.25">
      <c r="A14214" s="1">
        <v>43497</v>
      </c>
      <c r="B14214" t="s">
        <v>13</v>
      </c>
      <c r="C14214" t="s">
        <v>11</v>
      </c>
      <c r="D14214">
        <v>51</v>
      </c>
      <c r="E14214" s="2">
        <v>5.7951388888888886E-2</v>
      </c>
      <c r="F14214">
        <v>83.45</v>
      </c>
    </row>
    <row r="14215" spans="1:6" x14ac:dyDescent="0.25">
      <c r="A14215" s="1">
        <v>43497</v>
      </c>
      <c r="B14215" t="s">
        <v>14</v>
      </c>
      <c r="C14215" t="s">
        <v>6</v>
      </c>
      <c r="D14215">
        <v>9</v>
      </c>
      <c r="E14215" s="2">
        <v>1.894675925925926E-2</v>
      </c>
      <c r="F14215">
        <v>27.283333333333335</v>
      </c>
    </row>
    <row r="14216" spans="1:6" x14ac:dyDescent="0.25">
      <c r="A14216" s="1">
        <v>43497</v>
      </c>
      <c r="B14216" t="s">
        <v>14</v>
      </c>
      <c r="C14216" t="s">
        <v>7</v>
      </c>
      <c r="D14216">
        <v>5</v>
      </c>
      <c r="E14216" s="2">
        <v>8.2754629629629636E-3</v>
      </c>
      <c r="F14216">
        <v>11.916666666666666</v>
      </c>
    </row>
    <row r="14217" spans="1:6" x14ac:dyDescent="0.25">
      <c r="A14217" s="1">
        <v>43497</v>
      </c>
      <c r="B14217" t="s">
        <v>14</v>
      </c>
      <c r="C14217" t="s">
        <v>8</v>
      </c>
      <c r="D14217">
        <v>1</v>
      </c>
      <c r="E14217" s="2">
        <v>1.712962962962963E-3</v>
      </c>
      <c r="F14217">
        <v>2.4666666666666668</v>
      </c>
    </row>
    <row r="14218" spans="1:6" x14ac:dyDescent="0.25">
      <c r="A14218" s="1">
        <v>43497</v>
      </c>
      <c r="B14218" t="s">
        <v>14</v>
      </c>
      <c r="C14218" t="s">
        <v>9</v>
      </c>
      <c r="D14218">
        <v>0</v>
      </c>
      <c r="E14218" s="2">
        <v>0</v>
      </c>
      <c r="F14218">
        <v>0</v>
      </c>
    </row>
    <row r="14219" spans="1:6" x14ac:dyDescent="0.25">
      <c r="A14219" s="1">
        <v>43497</v>
      </c>
      <c r="B14219" t="s">
        <v>14</v>
      </c>
      <c r="C14219" t="s">
        <v>10</v>
      </c>
      <c r="D14219">
        <v>1</v>
      </c>
      <c r="E14219" s="2">
        <v>2.0601851851851853E-3</v>
      </c>
      <c r="F14219">
        <v>2.9666666666666668</v>
      </c>
    </row>
    <row r="14220" spans="1:6" x14ac:dyDescent="0.25">
      <c r="A14220" s="1">
        <v>43497</v>
      </c>
      <c r="B14220" t="s">
        <v>14</v>
      </c>
      <c r="C14220" t="s">
        <v>11</v>
      </c>
      <c r="D14220">
        <v>7</v>
      </c>
      <c r="E14220" s="2">
        <v>7.6388888888888886E-3</v>
      </c>
      <c r="F14220">
        <v>11</v>
      </c>
    </row>
    <row r="14221" spans="1:6" x14ac:dyDescent="0.25">
      <c r="A14221" s="1">
        <v>43497</v>
      </c>
      <c r="B14221" t="s">
        <v>15</v>
      </c>
      <c r="C14221" t="s">
        <v>6</v>
      </c>
      <c r="D14221">
        <v>27</v>
      </c>
      <c r="E14221" s="2">
        <v>4.2303240740740738E-2</v>
      </c>
      <c r="F14221">
        <v>60.916666666666664</v>
      </c>
    </row>
    <row r="14222" spans="1:6" x14ac:dyDescent="0.25">
      <c r="A14222" s="1">
        <v>43497</v>
      </c>
      <c r="B14222" t="s">
        <v>15</v>
      </c>
      <c r="C14222" t="s">
        <v>7</v>
      </c>
      <c r="D14222">
        <v>20</v>
      </c>
      <c r="E14222" s="2">
        <v>2.3553240740740739E-2</v>
      </c>
      <c r="F14222">
        <v>33.916666666666664</v>
      </c>
    </row>
    <row r="14223" spans="1:6" x14ac:dyDescent="0.25">
      <c r="A14223" s="1">
        <v>43497</v>
      </c>
      <c r="B14223" t="s">
        <v>15</v>
      </c>
      <c r="C14223" t="s">
        <v>8</v>
      </c>
      <c r="D14223">
        <v>25</v>
      </c>
      <c r="E14223" s="2">
        <v>3.2766203703703707E-2</v>
      </c>
      <c r="F14223">
        <v>47.18333333333333</v>
      </c>
    </row>
    <row r="14224" spans="1:6" x14ac:dyDescent="0.25">
      <c r="A14224" s="1">
        <v>43497</v>
      </c>
      <c r="B14224" t="s">
        <v>15</v>
      </c>
      <c r="C14224" t="s">
        <v>9</v>
      </c>
      <c r="D14224">
        <v>0</v>
      </c>
      <c r="E14224" s="2">
        <v>0</v>
      </c>
      <c r="F14224">
        <v>0</v>
      </c>
    </row>
    <row r="14225" spans="1:6" x14ac:dyDescent="0.25">
      <c r="A14225" s="1">
        <v>43497</v>
      </c>
      <c r="B14225" t="s">
        <v>15</v>
      </c>
      <c r="C14225" t="s">
        <v>10</v>
      </c>
      <c r="D14225">
        <v>9</v>
      </c>
      <c r="E14225" s="2">
        <v>1.2037037037037037E-2</v>
      </c>
      <c r="F14225">
        <v>17.333333333333332</v>
      </c>
    </row>
    <row r="14226" spans="1:6" x14ac:dyDescent="0.25">
      <c r="A14226" s="1">
        <v>43497</v>
      </c>
      <c r="B14226" t="s">
        <v>15</v>
      </c>
      <c r="C14226" t="s">
        <v>11</v>
      </c>
      <c r="D14226">
        <v>19</v>
      </c>
      <c r="E14226" s="2">
        <v>2.0034722222222221E-2</v>
      </c>
      <c r="F14226">
        <v>28.85</v>
      </c>
    </row>
    <row r="14227" spans="1:6" x14ac:dyDescent="0.25">
      <c r="A14227" s="1">
        <v>43497</v>
      </c>
      <c r="B14227" t="s">
        <v>16</v>
      </c>
      <c r="C14227" t="s">
        <v>6</v>
      </c>
      <c r="D14227">
        <v>27</v>
      </c>
      <c r="E14227" s="2">
        <v>3.5844907407407409E-2</v>
      </c>
      <c r="F14227">
        <v>51.616666666666667</v>
      </c>
    </row>
    <row r="14228" spans="1:6" x14ac:dyDescent="0.25">
      <c r="A14228" s="1">
        <v>43497</v>
      </c>
      <c r="B14228" t="s">
        <v>16</v>
      </c>
      <c r="C14228" t="s">
        <v>7</v>
      </c>
      <c r="D14228">
        <v>19</v>
      </c>
      <c r="E14228" s="2">
        <v>2.3368055555555555E-2</v>
      </c>
      <c r="F14228">
        <v>33.65</v>
      </c>
    </row>
    <row r="14229" spans="1:6" x14ac:dyDescent="0.25">
      <c r="A14229" s="1">
        <v>43497</v>
      </c>
      <c r="B14229" t="s">
        <v>16</v>
      </c>
      <c r="C14229" t="s">
        <v>8</v>
      </c>
      <c r="D14229">
        <v>25</v>
      </c>
      <c r="E14229" s="2">
        <v>2.2708333333333334E-2</v>
      </c>
      <c r="F14229">
        <v>32.700000000000003</v>
      </c>
    </row>
    <row r="14230" spans="1:6" x14ac:dyDescent="0.25">
      <c r="A14230" s="1">
        <v>43497</v>
      </c>
      <c r="B14230" t="s">
        <v>16</v>
      </c>
      <c r="C14230" t="s">
        <v>9</v>
      </c>
      <c r="D14230">
        <v>0</v>
      </c>
      <c r="E14230" s="2">
        <v>0</v>
      </c>
      <c r="F14230">
        <v>0</v>
      </c>
    </row>
    <row r="14231" spans="1:6" x14ac:dyDescent="0.25">
      <c r="A14231" s="1">
        <v>43497</v>
      </c>
      <c r="B14231" t="s">
        <v>16</v>
      </c>
      <c r="C14231" t="s">
        <v>10</v>
      </c>
      <c r="D14231">
        <v>2</v>
      </c>
      <c r="E14231" s="2">
        <v>2.8124999999999999E-3</v>
      </c>
      <c r="F14231">
        <v>4.05</v>
      </c>
    </row>
    <row r="14232" spans="1:6" x14ac:dyDescent="0.25">
      <c r="A14232" s="1">
        <v>43497</v>
      </c>
      <c r="B14232" t="s">
        <v>16</v>
      </c>
      <c r="C14232" t="s">
        <v>11</v>
      </c>
      <c r="D14232">
        <v>38</v>
      </c>
      <c r="E14232" s="2">
        <v>3.1597222222222221E-2</v>
      </c>
      <c r="F14232">
        <v>45.5</v>
      </c>
    </row>
    <row r="14233" spans="1:6" x14ac:dyDescent="0.25">
      <c r="A14233" s="1">
        <v>43497</v>
      </c>
      <c r="B14233" t="s">
        <v>17</v>
      </c>
      <c r="C14233" t="s">
        <v>6</v>
      </c>
      <c r="D14233">
        <v>6</v>
      </c>
      <c r="E14233" s="2">
        <v>1.2604166666666666E-2</v>
      </c>
      <c r="F14233">
        <v>18.149999999999999</v>
      </c>
    </row>
    <row r="14234" spans="1:6" x14ac:dyDescent="0.25">
      <c r="A14234" s="1">
        <v>43497</v>
      </c>
      <c r="B14234" t="s">
        <v>17</v>
      </c>
      <c r="C14234" t="s">
        <v>7</v>
      </c>
      <c r="D14234">
        <v>11</v>
      </c>
      <c r="E14234" s="2">
        <v>1.4143518518518519E-2</v>
      </c>
      <c r="F14234">
        <v>20.366666666666667</v>
      </c>
    </row>
    <row r="14235" spans="1:6" x14ac:dyDescent="0.25">
      <c r="A14235" s="1">
        <v>43497</v>
      </c>
      <c r="B14235" t="s">
        <v>17</v>
      </c>
      <c r="C14235" t="s">
        <v>8</v>
      </c>
      <c r="D14235">
        <v>4</v>
      </c>
      <c r="E14235" s="2">
        <v>4.2708333333333331E-3</v>
      </c>
      <c r="F14235">
        <v>6.15</v>
      </c>
    </row>
    <row r="14236" spans="1:6" x14ac:dyDescent="0.25">
      <c r="A14236" s="1">
        <v>43497</v>
      </c>
      <c r="B14236" t="s">
        <v>17</v>
      </c>
      <c r="C14236" t="s">
        <v>9</v>
      </c>
      <c r="D14236">
        <v>0</v>
      </c>
      <c r="E14236" s="2">
        <v>0</v>
      </c>
      <c r="F14236">
        <v>0</v>
      </c>
    </row>
    <row r="14237" spans="1:6" x14ac:dyDescent="0.25">
      <c r="A14237" s="1">
        <v>43497</v>
      </c>
      <c r="B14237" t="s">
        <v>17</v>
      </c>
      <c r="C14237" t="s">
        <v>10</v>
      </c>
      <c r="D14237">
        <v>7</v>
      </c>
      <c r="E14237" s="2">
        <v>1.1226851851851852E-2</v>
      </c>
      <c r="F14237">
        <v>16.166666666666668</v>
      </c>
    </row>
    <row r="14238" spans="1:6" x14ac:dyDescent="0.25">
      <c r="A14238" s="1">
        <v>43497</v>
      </c>
      <c r="B14238" t="s">
        <v>17</v>
      </c>
      <c r="C14238" t="s">
        <v>11</v>
      </c>
      <c r="D14238">
        <v>4</v>
      </c>
      <c r="E14238" s="2">
        <v>4.0509259259259257E-3</v>
      </c>
      <c r="F14238">
        <v>5.833333333333333</v>
      </c>
    </row>
    <row r="14239" spans="1:6" x14ac:dyDescent="0.25">
      <c r="A14239" s="1">
        <v>43497</v>
      </c>
      <c r="B14239" t="s">
        <v>18</v>
      </c>
      <c r="C14239" t="s">
        <v>6</v>
      </c>
      <c r="D14239">
        <v>30</v>
      </c>
      <c r="E14239" s="2">
        <v>3.4895833333333334E-2</v>
      </c>
      <c r="F14239">
        <v>50.25</v>
      </c>
    </row>
    <row r="14240" spans="1:6" x14ac:dyDescent="0.25">
      <c r="A14240" s="1">
        <v>43497</v>
      </c>
      <c r="B14240" t="s">
        <v>18</v>
      </c>
      <c r="C14240" t="s">
        <v>7</v>
      </c>
      <c r="D14240">
        <v>64</v>
      </c>
      <c r="E14240" s="2">
        <v>7.7800925925925926E-2</v>
      </c>
      <c r="F14240">
        <v>112.03333333333333</v>
      </c>
    </row>
    <row r="14241" spans="1:6" x14ac:dyDescent="0.25">
      <c r="A14241" s="1">
        <v>43497</v>
      </c>
      <c r="B14241" t="s">
        <v>18</v>
      </c>
      <c r="C14241" t="s">
        <v>8</v>
      </c>
      <c r="D14241">
        <v>22</v>
      </c>
      <c r="E14241" s="2">
        <v>1.8553240740740742E-2</v>
      </c>
      <c r="F14241">
        <v>26.716666666666665</v>
      </c>
    </row>
    <row r="14242" spans="1:6" x14ac:dyDescent="0.25">
      <c r="A14242" s="1">
        <v>43497</v>
      </c>
      <c r="B14242" t="s">
        <v>18</v>
      </c>
      <c r="C14242" t="s">
        <v>9</v>
      </c>
      <c r="D14242">
        <v>0</v>
      </c>
      <c r="E14242" s="2">
        <v>0</v>
      </c>
      <c r="F14242">
        <v>0</v>
      </c>
    </row>
    <row r="14243" spans="1:6" x14ac:dyDescent="0.25">
      <c r="A14243" s="1">
        <v>43497</v>
      </c>
      <c r="B14243" t="s">
        <v>18</v>
      </c>
      <c r="C14243" t="s">
        <v>10</v>
      </c>
      <c r="D14243">
        <v>115</v>
      </c>
      <c r="E14243" s="2">
        <v>0.16302083333333334</v>
      </c>
      <c r="F14243">
        <v>234.75</v>
      </c>
    </row>
    <row r="14244" spans="1:6" x14ac:dyDescent="0.25">
      <c r="A14244" s="1">
        <v>43497</v>
      </c>
      <c r="B14244" t="s">
        <v>18</v>
      </c>
      <c r="C14244" t="s">
        <v>11</v>
      </c>
      <c r="D14244">
        <v>51</v>
      </c>
      <c r="E14244" s="2">
        <v>3.6608796296296299E-2</v>
      </c>
      <c r="F14244">
        <v>52.716666666666669</v>
      </c>
    </row>
    <row r="14245" spans="1:6" x14ac:dyDescent="0.25">
      <c r="A14245" s="1">
        <v>43497</v>
      </c>
      <c r="B14245" t="s">
        <v>19</v>
      </c>
      <c r="C14245" t="s">
        <v>6</v>
      </c>
      <c r="D14245">
        <v>12</v>
      </c>
      <c r="E14245" s="2">
        <v>1.0393518518518519E-2</v>
      </c>
      <c r="F14245">
        <v>14.966666666666667</v>
      </c>
    </row>
    <row r="14246" spans="1:6" x14ac:dyDescent="0.25">
      <c r="A14246" s="1">
        <v>43497</v>
      </c>
      <c r="B14246" t="s">
        <v>19</v>
      </c>
      <c r="C14246" t="s">
        <v>7</v>
      </c>
      <c r="D14246">
        <v>20</v>
      </c>
      <c r="E14246" s="2">
        <v>2.5532407407407406E-2</v>
      </c>
      <c r="F14246">
        <v>36.766666666666666</v>
      </c>
    </row>
    <row r="14247" spans="1:6" x14ac:dyDescent="0.25">
      <c r="A14247" s="1">
        <v>43497</v>
      </c>
      <c r="B14247" t="s">
        <v>19</v>
      </c>
      <c r="C14247" t="s">
        <v>8</v>
      </c>
      <c r="D14247">
        <v>27</v>
      </c>
      <c r="E14247" s="2">
        <v>3.1655092592592596E-2</v>
      </c>
      <c r="F14247">
        <v>45.583333333333336</v>
      </c>
    </row>
    <row r="14248" spans="1:6" x14ac:dyDescent="0.25">
      <c r="A14248" s="1">
        <v>43497</v>
      </c>
      <c r="B14248" t="s">
        <v>19</v>
      </c>
      <c r="C14248" t="s">
        <v>9</v>
      </c>
      <c r="D14248">
        <v>0</v>
      </c>
      <c r="E14248" s="2">
        <v>0</v>
      </c>
      <c r="F14248">
        <v>0</v>
      </c>
    </row>
    <row r="14249" spans="1:6" x14ac:dyDescent="0.25">
      <c r="A14249" s="1">
        <v>43497</v>
      </c>
      <c r="B14249" t="s">
        <v>19</v>
      </c>
      <c r="C14249" t="s">
        <v>10</v>
      </c>
      <c r="D14249">
        <v>8</v>
      </c>
      <c r="E14249" s="2">
        <v>1.1655092592592592E-2</v>
      </c>
      <c r="F14249">
        <v>16.783333333333335</v>
      </c>
    </row>
    <row r="14250" spans="1:6" x14ac:dyDescent="0.25">
      <c r="A14250" s="1">
        <v>43497</v>
      </c>
      <c r="B14250" t="s">
        <v>19</v>
      </c>
      <c r="C14250" t="s">
        <v>11</v>
      </c>
      <c r="D14250">
        <v>29</v>
      </c>
      <c r="E14250" s="2">
        <v>2.2766203703703705E-2</v>
      </c>
      <c r="F14250">
        <v>32.783333333333331</v>
      </c>
    </row>
    <row r="14251" spans="1:6" x14ac:dyDescent="0.25">
      <c r="A14251" s="1">
        <v>43497</v>
      </c>
      <c r="B14251" t="s">
        <v>20</v>
      </c>
      <c r="C14251" t="s">
        <v>6</v>
      </c>
      <c r="D14251">
        <v>40</v>
      </c>
      <c r="E14251" s="2">
        <v>5.1273148148148151E-2</v>
      </c>
      <c r="F14251">
        <v>73.833333333333329</v>
      </c>
    </row>
    <row r="14252" spans="1:6" x14ac:dyDescent="0.25">
      <c r="A14252" s="1">
        <v>43497</v>
      </c>
      <c r="B14252" t="s">
        <v>20</v>
      </c>
      <c r="C14252" t="s">
        <v>7</v>
      </c>
      <c r="D14252">
        <v>42</v>
      </c>
      <c r="E14252" s="2">
        <v>5.4976851851851853E-2</v>
      </c>
      <c r="F14252">
        <v>79.166666666666671</v>
      </c>
    </row>
    <row r="14253" spans="1:6" x14ac:dyDescent="0.25">
      <c r="A14253" s="1">
        <v>43497</v>
      </c>
      <c r="B14253" t="s">
        <v>20</v>
      </c>
      <c r="C14253" t="s">
        <v>8</v>
      </c>
      <c r="D14253">
        <v>50</v>
      </c>
      <c r="E14253" s="2">
        <v>6.7083333333333328E-2</v>
      </c>
      <c r="F14253">
        <v>96.6</v>
      </c>
    </row>
    <row r="14254" spans="1:6" x14ac:dyDescent="0.25">
      <c r="A14254" s="1">
        <v>43497</v>
      </c>
      <c r="B14254" t="s">
        <v>20</v>
      </c>
      <c r="C14254" t="s">
        <v>9</v>
      </c>
      <c r="D14254">
        <v>0</v>
      </c>
      <c r="E14254" s="2">
        <v>0</v>
      </c>
      <c r="F14254">
        <v>0</v>
      </c>
    </row>
    <row r="14255" spans="1:6" x14ac:dyDescent="0.25">
      <c r="A14255" s="1">
        <v>43497</v>
      </c>
      <c r="B14255" t="s">
        <v>20</v>
      </c>
      <c r="C14255" t="s">
        <v>10</v>
      </c>
      <c r="D14255">
        <v>7</v>
      </c>
      <c r="E14255" s="2">
        <v>8.1250000000000003E-3</v>
      </c>
      <c r="F14255">
        <v>11.7</v>
      </c>
    </row>
    <row r="14256" spans="1:6" x14ac:dyDescent="0.25">
      <c r="A14256" s="1">
        <v>43497</v>
      </c>
      <c r="B14256" t="s">
        <v>20</v>
      </c>
      <c r="C14256" t="s">
        <v>11</v>
      </c>
      <c r="D14256">
        <v>31</v>
      </c>
      <c r="E14256" s="2">
        <v>2.7523148148148147E-2</v>
      </c>
      <c r="F14256">
        <v>39.633333333333333</v>
      </c>
    </row>
    <row r="14257" spans="1:6" x14ac:dyDescent="0.25">
      <c r="A14257" s="1">
        <v>43497</v>
      </c>
      <c r="B14257" t="s">
        <v>21</v>
      </c>
      <c r="C14257" t="s">
        <v>6</v>
      </c>
      <c r="D14257">
        <v>21</v>
      </c>
      <c r="E14257" s="2">
        <v>3.0624999999999999E-2</v>
      </c>
      <c r="F14257">
        <v>44.1</v>
      </c>
    </row>
    <row r="14258" spans="1:6" x14ac:dyDescent="0.25">
      <c r="A14258" s="1">
        <v>43497</v>
      </c>
      <c r="B14258" t="s">
        <v>21</v>
      </c>
      <c r="C14258" t="s">
        <v>7</v>
      </c>
      <c r="D14258">
        <v>16</v>
      </c>
      <c r="E14258" s="2">
        <v>2.5601851851851851E-2</v>
      </c>
      <c r="F14258">
        <v>36.866666666666667</v>
      </c>
    </row>
    <row r="14259" spans="1:6" x14ac:dyDescent="0.25">
      <c r="A14259" s="1">
        <v>43497</v>
      </c>
      <c r="B14259" t="s">
        <v>21</v>
      </c>
      <c r="C14259" t="s">
        <v>8</v>
      </c>
      <c r="D14259">
        <v>10</v>
      </c>
      <c r="E14259" s="2">
        <v>1.2002314814814815E-2</v>
      </c>
      <c r="F14259">
        <v>17.283333333333335</v>
      </c>
    </row>
    <row r="14260" spans="1:6" x14ac:dyDescent="0.25">
      <c r="A14260" s="1">
        <v>43497</v>
      </c>
      <c r="B14260" t="s">
        <v>21</v>
      </c>
      <c r="C14260" t="s">
        <v>9</v>
      </c>
      <c r="D14260">
        <v>0</v>
      </c>
      <c r="E14260" s="2">
        <v>0</v>
      </c>
      <c r="F14260">
        <v>0</v>
      </c>
    </row>
    <row r="14261" spans="1:6" x14ac:dyDescent="0.25">
      <c r="A14261" s="1">
        <v>43497</v>
      </c>
      <c r="B14261" t="s">
        <v>21</v>
      </c>
      <c r="C14261" t="s">
        <v>10</v>
      </c>
      <c r="D14261">
        <v>3</v>
      </c>
      <c r="E14261" s="2">
        <v>3.2407407407407406E-3</v>
      </c>
      <c r="F14261">
        <v>4.666666666666667</v>
      </c>
    </row>
    <row r="14262" spans="1:6" x14ac:dyDescent="0.25">
      <c r="A14262" s="1">
        <v>43497</v>
      </c>
      <c r="B14262" t="s">
        <v>21</v>
      </c>
      <c r="C14262" t="s">
        <v>11</v>
      </c>
      <c r="D14262">
        <v>17</v>
      </c>
      <c r="E14262" s="2">
        <v>1.863425925925926E-2</v>
      </c>
      <c r="F14262">
        <v>26.833333333333332</v>
      </c>
    </row>
    <row r="14263" spans="1:6" x14ac:dyDescent="0.25">
      <c r="A14263" s="1">
        <v>43497</v>
      </c>
      <c r="B14263" t="s">
        <v>22</v>
      </c>
      <c r="C14263" t="s">
        <v>6</v>
      </c>
      <c r="D14263">
        <v>12</v>
      </c>
      <c r="E14263" s="2">
        <v>1.8252314814814815E-2</v>
      </c>
      <c r="F14263">
        <v>26.283333333333335</v>
      </c>
    </row>
    <row r="14264" spans="1:6" x14ac:dyDescent="0.25">
      <c r="A14264" s="1">
        <v>43497</v>
      </c>
      <c r="B14264" t="s">
        <v>22</v>
      </c>
      <c r="C14264" t="s">
        <v>7</v>
      </c>
      <c r="D14264">
        <v>5</v>
      </c>
      <c r="E14264" s="2">
        <v>5.7291666666666663E-3</v>
      </c>
      <c r="F14264">
        <v>8.25</v>
      </c>
    </row>
    <row r="14265" spans="1:6" x14ac:dyDescent="0.25">
      <c r="A14265" s="1">
        <v>43497</v>
      </c>
      <c r="B14265" t="s">
        <v>22</v>
      </c>
      <c r="C14265" t="s">
        <v>8</v>
      </c>
      <c r="D14265">
        <v>4</v>
      </c>
      <c r="E14265" s="2">
        <v>6.828703703703704E-3</v>
      </c>
      <c r="F14265">
        <v>9.8333333333333339</v>
      </c>
    </row>
    <row r="14266" spans="1:6" x14ac:dyDescent="0.25">
      <c r="A14266" s="1">
        <v>43497</v>
      </c>
      <c r="B14266" t="s">
        <v>22</v>
      </c>
      <c r="C14266" t="s">
        <v>9</v>
      </c>
      <c r="D14266">
        <v>0</v>
      </c>
      <c r="E14266" s="2">
        <v>0</v>
      </c>
      <c r="F14266">
        <v>0</v>
      </c>
    </row>
    <row r="14267" spans="1:6" x14ac:dyDescent="0.25">
      <c r="A14267" s="1">
        <v>43497</v>
      </c>
      <c r="B14267" t="s">
        <v>22</v>
      </c>
      <c r="C14267" t="s">
        <v>10</v>
      </c>
      <c r="D14267">
        <v>12</v>
      </c>
      <c r="E14267" s="2">
        <v>9.8148148148148144E-3</v>
      </c>
      <c r="F14267">
        <v>14.133333333333333</v>
      </c>
    </row>
    <row r="14268" spans="1:6" x14ac:dyDescent="0.25">
      <c r="A14268" s="1">
        <v>43497</v>
      </c>
      <c r="B14268" t="s">
        <v>22</v>
      </c>
      <c r="C14268" t="s">
        <v>11</v>
      </c>
      <c r="D14268">
        <v>6</v>
      </c>
      <c r="E14268" s="2">
        <v>8.7152777777777784E-3</v>
      </c>
      <c r="F14268">
        <v>12.55</v>
      </c>
    </row>
    <row r="14269" spans="1:6" x14ac:dyDescent="0.25">
      <c r="A14269" s="1">
        <v>43497</v>
      </c>
      <c r="B14269" t="s">
        <v>23</v>
      </c>
      <c r="C14269" t="s">
        <v>6</v>
      </c>
      <c r="D14269">
        <v>93</v>
      </c>
      <c r="E14269" s="2">
        <v>0.14526620370370372</v>
      </c>
      <c r="F14269">
        <v>209.18333333333334</v>
      </c>
    </row>
    <row r="14270" spans="1:6" x14ac:dyDescent="0.25">
      <c r="A14270" s="1">
        <v>43497</v>
      </c>
      <c r="B14270" t="s">
        <v>23</v>
      </c>
      <c r="C14270" t="s">
        <v>7</v>
      </c>
      <c r="D14270">
        <v>132</v>
      </c>
      <c r="E14270" s="2">
        <v>0.19965277777777779</v>
      </c>
      <c r="F14270">
        <v>287.5</v>
      </c>
    </row>
    <row r="14271" spans="1:6" x14ac:dyDescent="0.25">
      <c r="A14271" s="1">
        <v>43497</v>
      </c>
      <c r="B14271" t="s">
        <v>23</v>
      </c>
      <c r="C14271" t="s">
        <v>8</v>
      </c>
      <c r="D14271">
        <v>80</v>
      </c>
      <c r="E14271" s="2">
        <v>9.2719907407407404E-2</v>
      </c>
      <c r="F14271">
        <v>133.51666666666668</v>
      </c>
    </row>
    <row r="14272" spans="1:6" x14ac:dyDescent="0.25">
      <c r="A14272" s="1">
        <v>43497</v>
      </c>
      <c r="B14272" t="s">
        <v>23</v>
      </c>
      <c r="C14272" t="s">
        <v>9</v>
      </c>
      <c r="D14272">
        <v>0</v>
      </c>
      <c r="E14272" s="2">
        <v>0</v>
      </c>
      <c r="F14272">
        <v>0</v>
      </c>
    </row>
    <row r="14273" spans="1:6" x14ac:dyDescent="0.25">
      <c r="A14273" s="1">
        <v>43497</v>
      </c>
      <c r="B14273" t="s">
        <v>23</v>
      </c>
      <c r="C14273" t="s">
        <v>10</v>
      </c>
      <c r="D14273">
        <v>30</v>
      </c>
      <c r="E14273" s="2">
        <v>4.7071759259259258E-2</v>
      </c>
      <c r="F14273">
        <v>67.783333333333331</v>
      </c>
    </row>
    <row r="14274" spans="1:6" x14ac:dyDescent="0.25">
      <c r="A14274" s="1">
        <v>43497</v>
      </c>
      <c r="B14274" t="s">
        <v>23</v>
      </c>
      <c r="C14274" t="s">
        <v>11</v>
      </c>
      <c r="D14274">
        <v>90</v>
      </c>
      <c r="E14274" s="2">
        <v>9.6516203703703701E-2</v>
      </c>
      <c r="F14274">
        <v>138.98333333333332</v>
      </c>
    </row>
    <row r="14275" spans="1:6" x14ac:dyDescent="0.25">
      <c r="A14275" s="1">
        <v>43497</v>
      </c>
      <c r="B14275" t="s">
        <v>24</v>
      </c>
      <c r="C14275" t="s">
        <v>6</v>
      </c>
      <c r="D14275">
        <v>7</v>
      </c>
      <c r="E14275" s="2">
        <v>1.269675925925926E-2</v>
      </c>
      <c r="F14275">
        <v>18.283333333333335</v>
      </c>
    </row>
    <row r="14276" spans="1:6" x14ac:dyDescent="0.25">
      <c r="A14276" s="1">
        <v>43497</v>
      </c>
      <c r="B14276" t="s">
        <v>24</v>
      </c>
      <c r="C14276" t="s">
        <v>7</v>
      </c>
      <c r="D14276">
        <v>11</v>
      </c>
      <c r="E14276" s="2">
        <v>1.0173611111111111E-2</v>
      </c>
      <c r="F14276">
        <v>14.65</v>
      </c>
    </row>
    <row r="14277" spans="1:6" x14ac:dyDescent="0.25">
      <c r="A14277" s="1">
        <v>43497</v>
      </c>
      <c r="B14277" t="s">
        <v>24</v>
      </c>
      <c r="C14277" t="s">
        <v>8</v>
      </c>
      <c r="D14277">
        <v>8</v>
      </c>
      <c r="E14277" s="2">
        <v>8.4143518518518517E-3</v>
      </c>
      <c r="F14277">
        <v>12.116666666666667</v>
      </c>
    </row>
    <row r="14278" spans="1:6" x14ac:dyDescent="0.25">
      <c r="A14278" s="1">
        <v>43497</v>
      </c>
      <c r="B14278" t="s">
        <v>24</v>
      </c>
      <c r="C14278" t="s">
        <v>9</v>
      </c>
      <c r="D14278">
        <v>0</v>
      </c>
      <c r="E14278" s="2">
        <v>0</v>
      </c>
      <c r="F14278">
        <v>0</v>
      </c>
    </row>
    <row r="14279" spans="1:6" x14ac:dyDescent="0.25">
      <c r="A14279" s="1">
        <v>43497</v>
      </c>
      <c r="B14279" t="s">
        <v>24</v>
      </c>
      <c r="C14279" t="s">
        <v>10</v>
      </c>
      <c r="D14279">
        <v>0</v>
      </c>
      <c r="E14279" s="2">
        <v>0</v>
      </c>
      <c r="F14279">
        <v>0</v>
      </c>
    </row>
    <row r="14280" spans="1:6" x14ac:dyDescent="0.25">
      <c r="A14280" s="1">
        <v>43497</v>
      </c>
      <c r="B14280" t="s">
        <v>24</v>
      </c>
      <c r="C14280" t="s">
        <v>11</v>
      </c>
      <c r="D14280">
        <v>20</v>
      </c>
      <c r="E14280" s="2">
        <v>1.6041666666666666E-2</v>
      </c>
      <c r="F14280">
        <v>23.1</v>
      </c>
    </row>
    <row r="14281" spans="1:6" x14ac:dyDescent="0.25">
      <c r="A14281" s="1">
        <v>43525</v>
      </c>
      <c r="B14281" t="s">
        <v>5</v>
      </c>
      <c r="C14281" t="s">
        <v>6</v>
      </c>
      <c r="D14281">
        <v>18</v>
      </c>
      <c r="E14281" s="2">
        <v>2.6539351851851852E-2</v>
      </c>
      <c r="F14281">
        <v>38.216666666666669</v>
      </c>
    </row>
    <row r="14282" spans="1:6" x14ac:dyDescent="0.25">
      <c r="A14282" s="1">
        <v>43525</v>
      </c>
      <c r="B14282" t="s">
        <v>5</v>
      </c>
      <c r="C14282" t="s">
        <v>7</v>
      </c>
      <c r="D14282">
        <v>30</v>
      </c>
      <c r="E14282" s="2">
        <v>2.9374999999999998E-2</v>
      </c>
      <c r="F14282">
        <v>42.3</v>
      </c>
    </row>
    <row r="14283" spans="1:6" x14ac:dyDescent="0.25">
      <c r="A14283" s="1">
        <v>43525</v>
      </c>
      <c r="B14283" t="s">
        <v>5</v>
      </c>
      <c r="C14283" t="s">
        <v>8</v>
      </c>
      <c r="D14283">
        <v>26</v>
      </c>
      <c r="E14283" s="2">
        <v>2.6261574074074073E-2</v>
      </c>
      <c r="F14283">
        <v>37.81666666666667</v>
      </c>
    </row>
    <row r="14284" spans="1:6" x14ac:dyDescent="0.25">
      <c r="A14284" s="1">
        <v>43525</v>
      </c>
      <c r="B14284" t="s">
        <v>5</v>
      </c>
      <c r="C14284" t="s">
        <v>9</v>
      </c>
      <c r="D14284">
        <v>0</v>
      </c>
      <c r="E14284" s="2">
        <v>0</v>
      </c>
      <c r="F14284">
        <v>0</v>
      </c>
    </row>
    <row r="14285" spans="1:6" x14ac:dyDescent="0.25">
      <c r="A14285" s="1">
        <v>43525</v>
      </c>
      <c r="B14285" t="s">
        <v>5</v>
      </c>
      <c r="C14285" t="s">
        <v>10</v>
      </c>
      <c r="D14285">
        <v>5</v>
      </c>
      <c r="E14285" s="2">
        <v>7.9745370370370369E-3</v>
      </c>
      <c r="F14285">
        <v>11.483333333333333</v>
      </c>
    </row>
    <row r="14286" spans="1:6" x14ac:dyDescent="0.25">
      <c r="A14286" s="1">
        <v>43525</v>
      </c>
      <c r="B14286" t="s">
        <v>5</v>
      </c>
      <c r="C14286" t="s">
        <v>11</v>
      </c>
      <c r="D14286">
        <v>19</v>
      </c>
      <c r="E14286" s="2">
        <v>1.1527777777777777E-2</v>
      </c>
      <c r="F14286">
        <v>16.600000000000001</v>
      </c>
    </row>
    <row r="14287" spans="1:6" x14ac:dyDescent="0.25">
      <c r="A14287" s="1">
        <v>43525</v>
      </c>
      <c r="B14287" t="s">
        <v>12</v>
      </c>
      <c r="C14287" t="s">
        <v>6</v>
      </c>
      <c r="D14287">
        <v>24</v>
      </c>
      <c r="E14287" s="2">
        <v>4.4502314814814814E-2</v>
      </c>
      <c r="F14287">
        <v>64.083333333333329</v>
      </c>
    </row>
    <row r="14288" spans="1:6" x14ac:dyDescent="0.25">
      <c r="A14288" s="1">
        <v>43525</v>
      </c>
      <c r="B14288" t="s">
        <v>12</v>
      </c>
      <c r="C14288" t="s">
        <v>7</v>
      </c>
      <c r="D14288">
        <v>19</v>
      </c>
      <c r="E14288" s="2">
        <v>2.9872685185185186E-2</v>
      </c>
      <c r="F14288">
        <v>43.016666666666666</v>
      </c>
    </row>
    <row r="14289" spans="1:6" x14ac:dyDescent="0.25">
      <c r="A14289" s="1">
        <v>43525</v>
      </c>
      <c r="B14289" t="s">
        <v>12</v>
      </c>
      <c r="C14289" t="s">
        <v>8</v>
      </c>
      <c r="D14289">
        <v>24</v>
      </c>
      <c r="E14289" s="2">
        <v>3.8425925925925926E-2</v>
      </c>
      <c r="F14289">
        <v>55.333333333333336</v>
      </c>
    </row>
    <row r="14290" spans="1:6" x14ac:dyDescent="0.25">
      <c r="A14290" s="1">
        <v>43525</v>
      </c>
      <c r="B14290" t="s">
        <v>12</v>
      </c>
      <c r="C14290" t="s">
        <v>9</v>
      </c>
      <c r="D14290">
        <v>0</v>
      </c>
      <c r="E14290" s="2">
        <v>0</v>
      </c>
      <c r="F14290">
        <v>0</v>
      </c>
    </row>
    <row r="14291" spans="1:6" x14ac:dyDescent="0.25">
      <c r="A14291" s="1">
        <v>43525</v>
      </c>
      <c r="B14291" t="s">
        <v>12</v>
      </c>
      <c r="C14291" t="s">
        <v>10</v>
      </c>
      <c r="D14291">
        <v>22</v>
      </c>
      <c r="E14291" s="2">
        <v>3.3831018518518517E-2</v>
      </c>
      <c r="F14291">
        <v>48.716666666666669</v>
      </c>
    </row>
    <row r="14292" spans="1:6" x14ac:dyDescent="0.25">
      <c r="A14292" s="1">
        <v>43525</v>
      </c>
      <c r="B14292" t="s">
        <v>12</v>
      </c>
      <c r="C14292" t="s">
        <v>11</v>
      </c>
      <c r="D14292">
        <v>48</v>
      </c>
      <c r="E14292" s="2">
        <v>6.4259259259259266E-2</v>
      </c>
      <c r="F14292">
        <v>92.533333333333331</v>
      </c>
    </row>
    <row r="14293" spans="1:6" x14ac:dyDescent="0.25">
      <c r="A14293" s="1">
        <v>43525</v>
      </c>
      <c r="B14293" t="s">
        <v>13</v>
      </c>
      <c r="C14293" t="s">
        <v>6</v>
      </c>
      <c r="D14293">
        <v>53</v>
      </c>
      <c r="E14293" s="2">
        <v>9.2488425925925932E-2</v>
      </c>
      <c r="F14293">
        <v>133.18333333333334</v>
      </c>
    </row>
    <row r="14294" spans="1:6" x14ac:dyDescent="0.25">
      <c r="A14294" s="1">
        <v>43525</v>
      </c>
      <c r="B14294" t="s">
        <v>13</v>
      </c>
      <c r="C14294" t="s">
        <v>7</v>
      </c>
      <c r="D14294">
        <v>55</v>
      </c>
      <c r="E14294" s="2">
        <v>9.6064814814814811E-2</v>
      </c>
      <c r="F14294">
        <v>138.33333333333334</v>
      </c>
    </row>
    <row r="14295" spans="1:6" x14ac:dyDescent="0.25">
      <c r="A14295" s="1">
        <v>43525</v>
      </c>
      <c r="B14295" t="s">
        <v>13</v>
      </c>
      <c r="C14295" t="s">
        <v>8</v>
      </c>
      <c r="D14295">
        <v>36</v>
      </c>
      <c r="E14295" s="2">
        <v>5.0752314814814813E-2</v>
      </c>
      <c r="F14295">
        <v>73.083333333333329</v>
      </c>
    </row>
    <row r="14296" spans="1:6" x14ac:dyDescent="0.25">
      <c r="A14296" s="1">
        <v>43525</v>
      </c>
      <c r="B14296" t="s">
        <v>13</v>
      </c>
      <c r="C14296" t="s">
        <v>9</v>
      </c>
      <c r="D14296">
        <v>0</v>
      </c>
      <c r="E14296" s="2">
        <v>0</v>
      </c>
      <c r="F14296">
        <v>0</v>
      </c>
    </row>
    <row r="14297" spans="1:6" x14ac:dyDescent="0.25">
      <c r="A14297" s="1">
        <v>43525</v>
      </c>
      <c r="B14297" t="s">
        <v>13</v>
      </c>
      <c r="C14297" t="s">
        <v>10</v>
      </c>
      <c r="D14297">
        <v>10</v>
      </c>
      <c r="E14297" s="2">
        <v>1.7175925925925924E-2</v>
      </c>
      <c r="F14297">
        <v>24.733333333333334</v>
      </c>
    </row>
    <row r="14298" spans="1:6" x14ac:dyDescent="0.25">
      <c r="A14298" s="1">
        <v>43525</v>
      </c>
      <c r="B14298" t="s">
        <v>13</v>
      </c>
      <c r="C14298" t="s">
        <v>11</v>
      </c>
      <c r="D14298">
        <v>20</v>
      </c>
      <c r="E14298" s="2">
        <v>2.5289351851851851E-2</v>
      </c>
      <c r="F14298">
        <v>36.416666666666664</v>
      </c>
    </row>
    <row r="14299" spans="1:6" x14ac:dyDescent="0.25">
      <c r="A14299" s="1">
        <v>43525</v>
      </c>
      <c r="B14299" t="s">
        <v>14</v>
      </c>
      <c r="C14299" t="s">
        <v>6</v>
      </c>
      <c r="D14299">
        <v>11</v>
      </c>
      <c r="E14299" s="2">
        <v>2.0046296296296295E-2</v>
      </c>
      <c r="F14299">
        <v>28.866666666666667</v>
      </c>
    </row>
    <row r="14300" spans="1:6" x14ac:dyDescent="0.25">
      <c r="A14300" s="1">
        <v>43525</v>
      </c>
      <c r="B14300" t="s">
        <v>14</v>
      </c>
      <c r="C14300" t="s">
        <v>7</v>
      </c>
      <c r="D14300">
        <v>2</v>
      </c>
      <c r="E14300" s="2">
        <v>3.2870370370370371E-3</v>
      </c>
      <c r="F14300">
        <v>4.7333333333333334</v>
      </c>
    </row>
    <row r="14301" spans="1:6" x14ac:dyDescent="0.25">
      <c r="A14301" s="1">
        <v>43525</v>
      </c>
      <c r="B14301" t="s">
        <v>14</v>
      </c>
      <c r="C14301" t="s">
        <v>8</v>
      </c>
      <c r="D14301">
        <v>3</v>
      </c>
      <c r="E14301" s="2">
        <v>9.2939814814814812E-3</v>
      </c>
      <c r="F14301">
        <v>13.383333333333333</v>
      </c>
    </row>
    <row r="14302" spans="1:6" x14ac:dyDescent="0.25">
      <c r="A14302" s="1">
        <v>43525</v>
      </c>
      <c r="B14302" t="s">
        <v>14</v>
      </c>
      <c r="C14302" t="s">
        <v>9</v>
      </c>
      <c r="D14302">
        <v>0</v>
      </c>
      <c r="E14302" s="2">
        <v>0</v>
      </c>
      <c r="F14302">
        <v>0</v>
      </c>
    </row>
    <row r="14303" spans="1:6" x14ac:dyDescent="0.25">
      <c r="A14303" s="1">
        <v>43525</v>
      </c>
      <c r="B14303" t="s">
        <v>14</v>
      </c>
      <c r="C14303" t="s">
        <v>10</v>
      </c>
      <c r="D14303">
        <v>2</v>
      </c>
      <c r="E14303" s="2">
        <v>6.0416666666666665E-3</v>
      </c>
      <c r="F14303">
        <v>8.6999999999999993</v>
      </c>
    </row>
    <row r="14304" spans="1:6" x14ac:dyDescent="0.25">
      <c r="A14304" s="1">
        <v>43525</v>
      </c>
      <c r="B14304" t="s">
        <v>14</v>
      </c>
      <c r="C14304" t="s">
        <v>11</v>
      </c>
      <c r="D14304">
        <v>6</v>
      </c>
      <c r="E14304" s="2">
        <v>6.9907407407407409E-3</v>
      </c>
      <c r="F14304">
        <v>10.066666666666666</v>
      </c>
    </row>
    <row r="14305" spans="1:6" x14ac:dyDescent="0.25">
      <c r="A14305" s="1">
        <v>43525</v>
      </c>
      <c r="B14305" t="s">
        <v>15</v>
      </c>
      <c r="C14305" t="s">
        <v>6</v>
      </c>
      <c r="D14305">
        <v>27</v>
      </c>
      <c r="E14305" s="2">
        <v>4.2905092592592592E-2</v>
      </c>
      <c r="F14305">
        <v>61.783333333333331</v>
      </c>
    </row>
    <row r="14306" spans="1:6" x14ac:dyDescent="0.25">
      <c r="A14306" s="1">
        <v>43525</v>
      </c>
      <c r="B14306" t="s">
        <v>15</v>
      </c>
      <c r="C14306" t="s">
        <v>7</v>
      </c>
      <c r="D14306">
        <v>28</v>
      </c>
      <c r="E14306" s="2">
        <v>3.833333333333333E-2</v>
      </c>
      <c r="F14306">
        <v>55.2</v>
      </c>
    </row>
    <row r="14307" spans="1:6" x14ac:dyDescent="0.25">
      <c r="A14307" s="1">
        <v>43525</v>
      </c>
      <c r="B14307" t="s">
        <v>15</v>
      </c>
      <c r="C14307" t="s">
        <v>8</v>
      </c>
      <c r="D14307">
        <v>28</v>
      </c>
      <c r="E14307" s="2">
        <v>3.8425925925925926E-2</v>
      </c>
      <c r="F14307">
        <v>55.333333333333336</v>
      </c>
    </row>
    <row r="14308" spans="1:6" x14ac:dyDescent="0.25">
      <c r="A14308" s="1">
        <v>43525</v>
      </c>
      <c r="B14308" t="s">
        <v>15</v>
      </c>
      <c r="C14308" t="s">
        <v>9</v>
      </c>
      <c r="D14308">
        <v>0</v>
      </c>
      <c r="E14308" s="2">
        <v>0</v>
      </c>
      <c r="F14308">
        <v>0</v>
      </c>
    </row>
    <row r="14309" spans="1:6" x14ac:dyDescent="0.25">
      <c r="A14309" s="1">
        <v>43525</v>
      </c>
      <c r="B14309" t="s">
        <v>15</v>
      </c>
      <c r="C14309" t="s">
        <v>10</v>
      </c>
      <c r="D14309">
        <v>13</v>
      </c>
      <c r="E14309" s="2">
        <v>2.0243055555555556E-2</v>
      </c>
      <c r="F14309">
        <v>29.15</v>
      </c>
    </row>
    <row r="14310" spans="1:6" x14ac:dyDescent="0.25">
      <c r="A14310" s="1">
        <v>43525</v>
      </c>
      <c r="B14310" t="s">
        <v>15</v>
      </c>
      <c r="C14310" t="s">
        <v>11</v>
      </c>
      <c r="D14310">
        <v>24</v>
      </c>
      <c r="E14310" s="2">
        <v>2.5150462962962961E-2</v>
      </c>
      <c r="F14310">
        <v>36.216666666666669</v>
      </c>
    </row>
    <row r="14311" spans="1:6" x14ac:dyDescent="0.25">
      <c r="A14311" s="1">
        <v>43525</v>
      </c>
      <c r="B14311" t="s">
        <v>16</v>
      </c>
      <c r="C14311" t="s">
        <v>6</v>
      </c>
      <c r="D14311">
        <v>15</v>
      </c>
      <c r="E14311" s="2">
        <v>1.9710648148148147E-2</v>
      </c>
      <c r="F14311">
        <v>28.383333333333333</v>
      </c>
    </row>
    <row r="14312" spans="1:6" x14ac:dyDescent="0.25">
      <c r="A14312" s="1">
        <v>43525</v>
      </c>
      <c r="B14312" t="s">
        <v>16</v>
      </c>
      <c r="C14312" t="s">
        <v>7</v>
      </c>
      <c r="D14312">
        <v>12</v>
      </c>
      <c r="E14312" s="2">
        <v>1.2800925925925926E-2</v>
      </c>
      <c r="F14312">
        <v>18.433333333333334</v>
      </c>
    </row>
    <row r="14313" spans="1:6" x14ac:dyDescent="0.25">
      <c r="A14313" s="1">
        <v>43525</v>
      </c>
      <c r="B14313" t="s">
        <v>16</v>
      </c>
      <c r="C14313" t="s">
        <v>8</v>
      </c>
      <c r="D14313">
        <v>22</v>
      </c>
      <c r="E14313" s="2">
        <v>1.9074074074074073E-2</v>
      </c>
      <c r="F14313">
        <v>27.466666666666665</v>
      </c>
    </row>
    <row r="14314" spans="1:6" x14ac:dyDescent="0.25">
      <c r="A14314" s="1">
        <v>43525</v>
      </c>
      <c r="B14314" t="s">
        <v>16</v>
      </c>
      <c r="C14314" t="s">
        <v>9</v>
      </c>
      <c r="D14314">
        <v>0</v>
      </c>
      <c r="E14314" s="2">
        <v>0</v>
      </c>
      <c r="F14314">
        <v>0</v>
      </c>
    </row>
    <row r="14315" spans="1:6" x14ac:dyDescent="0.25">
      <c r="A14315" s="1">
        <v>43525</v>
      </c>
      <c r="B14315" t="s">
        <v>16</v>
      </c>
      <c r="C14315" t="s">
        <v>10</v>
      </c>
      <c r="D14315">
        <v>1</v>
      </c>
      <c r="E14315" s="2">
        <v>5.7870370370370367E-4</v>
      </c>
      <c r="F14315">
        <v>0.83333333333333337</v>
      </c>
    </row>
    <row r="14316" spans="1:6" x14ac:dyDescent="0.25">
      <c r="A14316" s="1">
        <v>43525</v>
      </c>
      <c r="B14316" t="s">
        <v>16</v>
      </c>
      <c r="C14316" t="s">
        <v>11</v>
      </c>
      <c r="D14316">
        <v>29</v>
      </c>
      <c r="E14316" s="2">
        <v>2.2488425925925926E-2</v>
      </c>
      <c r="F14316">
        <v>32.383333333333333</v>
      </c>
    </row>
    <row r="14317" spans="1:6" x14ac:dyDescent="0.25">
      <c r="A14317" s="1">
        <v>43525</v>
      </c>
      <c r="B14317" t="s">
        <v>17</v>
      </c>
      <c r="C14317" t="s">
        <v>6</v>
      </c>
      <c r="D14317">
        <v>3</v>
      </c>
      <c r="E14317" s="2">
        <v>6.7245370370370367E-3</v>
      </c>
      <c r="F14317">
        <v>9.6833333333333336</v>
      </c>
    </row>
    <row r="14318" spans="1:6" x14ac:dyDescent="0.25">
      <c r="A14318" s="1">
        <v>43525</v>
      </c>
      <c r="B14318" t="s">
        <v>17</v>
      </c>
      <c r="C14318" t="s">
        <v>7</v>
      </c>
      <c r="D14318">
        <v>7</v>
      </c>
      <c r="E14318" s="2">
        <v>1.1087962962962963E-2</v>
      </c>
      <c r="F14318">
        <v>15.966666666666667</v>
      </c>
    </row>
    <row r="14319" spans="1:6" x14ac:dyDescent="0.25">
      <c r="A14319" s="1">
        <v>43525</v>
      </c>
      <c r="B14319" t="s">
        <v>17</v>
      </c>
      <c r="C14319" t="s">
        <v>8</v>
      </c>
      <c r="D14319">
        <v>2</v>
      </c>
      <c r="E14319" s="2">
        <v>2.7662037037037039E-3</v>
      </c>
      <c r="F14319">
        <v>3.9833333333333334</v>
      </c>
    </row>
    <row r="14320" spans="1:6" x14ac:dyDescent="0.25">
      <c r="A14320" s="1">
        <v>43525</v>
      </c>
      <c r="B14320" t="s">
        <v>17</v>
      </c>
      <c r="C14320" t="s">
        <v>9</v>
      </c>
      <c r="D14320">
        <v>0</v>
      </c>
      <c r="E14320" s="2">
        <v>0</v>
      </c>
      <c r="F14320">
        <v>0</v>
      </c>
    </row>
    <row r="14321" spans="1:6" x14ac:dyDescent="0.25">
      <c r="A14321" s="1">
        <v>43525</v>
      </c>
      <c r="B14321" t="s">
        <v>17</v>
      </c>
      <c r="C14321" t="s">
        <v>10</v>
      </c>
      <c r="D14321">
        <v>5</v>
      </c>
      <c r="E14321" s="2">
        <v>7.3726851851851852E-3</v>
      </c>
      <c r="F14321">
        <v>10.616666666666667</v>
      </c>
    </row>
    <row r="14322" spans="1:6" x14ac:dyDescent="0.25">
      <c r="A14322" s="1">
        <v>43525</v>
      </c>
      <c r="B14322" t="s">
        <v>17</v>
      </c>
      <c r="C14322" t="s">
        <v>11</v>
      </c>
      <c r="D14322">
        <v>3</v>
      </c>
      <c r="E14322" s="2">
        <v>3.8078703703703703E-3</v>
      </c>
      <c r="F14322">
        <v>5.4833333333333334</v>
      </c>
    </row>
    <row r="14323" spans="1:6" x14ac:dyDescent="0.25">
      <c r="A14323" s="1">
        <v>43525</v>
      </c>
      <c r="B14323" t="s">
        <v>18</v>
      </c>
      <c r="C14323" t="s">
        <v>6</v>
      </c>
      <c r="D14323">
        <v>42</v>
      </c>
      <c r="E14323" s="2">
        <v>5.2951388888888888E-2</v>
      </c>
      <c r="F14323">
        <v>76.25</v>
      </c>
    </row>
    <row r="14324" spans="1:6" x14ac:dyDescent="0.25">
      <c r="A14324" s="1">
        <v>43525</v>
      </c>
      <c r="B14324" t="s">
        <v>18</v>
      </c>
      <c r="C14324" t="s">
        <v>7</v>
      </c>
      <c r="D14324">
        <v>93</v>
      </c>
      <c r="E14324" s="2">
        <v>9.9097222222222225E-2</v>
      </c>
      <c r="F14324">
        <v>142.69999999999999</v>
      </c>
    </row>
    <row r="14325" spans="1:6" x14ac:dyDescent="0.25">
      <c r="A14325" s="1">
        <v>43525</v>
      </c>
      <c r="B14325" t="s">
        <v>18</v>
      </c>
      <c r="C14325" t="s">
        <v>8</v>
      </c>
      <c r="D14325">
        <v>48</v>
      </c>
      <c r="E14325" s="2">
        <v>3.8368055555555558E-2</v>
      </c>
      <c r="F14325">
        <v>55.25</v>
      </c>
    </row>
    <row r="14326" spans="1:6" x14ac:dyDescent="0.25">
      <c r="A14326" s="1">
        <v>43525</v>
      </c>
      <c r="B14326" t="s">
        <v>18</v>
      </c>
      <c r="C14326" t="s">
        <v>9</v>
      </c>
      <c r="D14326">
        <v>0</v>
      </c>
      <c r="E14326" s="2">
        <v>0</v>
      </c>
      <c r="F14326">
        <v>0</v>
      </c>
    </row>
    <row r="14327" spans="1:6" x14ac:dyDescent="0.25">
      <c r="A14327" s="1">
        <v>43525</v>
      </c>
      <c r="B14327" t="s">
        <v>18</v>
      </c>
      <c r="C14327" t="s">
        <v>10</v>
      </c>
      <c r="D14327">
        <v>116</v>
      </c>
      <c r="E14327" s="2">
        <v>0.17218749999999999</v>
      </c>
      <c r="F14327">
        <v>247.95</v>
      </c>
    </row>
    <row r="14328" spans="1:6" x14ac:dyDescent="0.25">
      <c r="A14328" s="1">
        <v>43525</v>
      </c>
      <c r="B14328" t="s">
        <v>18</v>
      </c>
      <c r="C14328" t="s">
        <v>11</v>
      </c>
      <c r="D14328">
        <v>55</v>
      </c>
      <c r="E14328" s="2">
        <v>4.462962962962963E-2</v>
      </c>
      <c r="F14328">
        <v>64.266666666666666</v>
      </c>
    </row>
    <row r="14329" spans="1:6" x14ac:dyDescent="0.25">
      <c r="A14329" s="1">
        <v>43525</v>
      </c>
      <c r="B14329" t="s">
        <v>19</v>
      </c>
      <c r="C14329" t="s">
        <v>6</v>
      </c>
      <c r="D14329">
        <v>16</v>
      </c>
      <c r="E14329" s="2">
        <v>2.1261574074074075E-2</v>
      </c>
      <c r="F14329">
        <v>30.616666666666667</v>
      </c>
    </row>
    <row r="14330" spans="1:6" x14ac:dyDescent="0.25">
      <c r="A14330" s="1">
        <v>43525</v>
      </c>
      <c r="B14330" t="s">
        <v>19</v>
      </c>
      <c r="C14330" t="s">
        <v>7</v>
      </c>
      <c r="D14330">
        <v>24</v>
      </c>
      <c r="E14330" s="2">
        <v>2.9085648148148149E-2</v>
      </c>
      <c r="F14330">
        <v>41.883333333333333</v>
      </c>
    </row>
    <row r="14331" spans="1:6" x14ac:dyDescent="0.25">
      <c r="A14331" s="1">
        <v>43525</v>
      </c>
      <c r="B14331" t="s">
        <v>19</v>
      </c>
      <c r="C14331" t="s">
        <v>8</v>
      </c>
      <c r="D14331">
        <v>18</v>
      </c>
      <c r="E14331" s="2">
        <v>1.9178240740740742E-2</v>
      </c>
      <c r="F14331">
        <v>27.616666666666667</v>
      </c>
    </row>
    <row r="14332" spans="1:6" x14ac:dyDescent="0.25">
      <c r="A14332" s="1">
        <v>43525</v>
      </c>
      <c r="B14332" t="s">
        <v>19</v>
      </c>
      <c r="C14332" t="s">
        <v>9</v>
      </c>
      <c r="D14332">
        <v>0</v>
      </c>
      <c r="E14332" s="2">
        <v>0</v>
      </c>
      <c r="F14332">
        <v>0</v>
      </c>
    </row>
    <row r="14333" spans="1:6" x14ac:dyDescent="0.25">
      <c r="A14333" s="1">
        <v>43525</v>
      </c>
      <c r="B14333" t="s">
        <v>19</v>
      </c>
      <c r="C14333" t="s">
        <v>10</v>
      </c>
      <c r="D14333">
        <v>15</v>
      </c>
      <c r="E14333" s="2">
        <v>1.8148148148148149E-2</v>
      </c>
      <c r="F14333">
        <v>26.133333333333333</v>
      </c>
    </row>
    <row r="14334" spans="1:6" x14ac:dyDescent="0.25">
      <c r="A14334" s="1">
        <v>43525</v>
      </c>
      <c r="B14334" t="s">
        <v>19</v>
      </c>
      <c r="C14334" t="s">
        <v>11</v>
      </c>
      <c r="D14334">
        <v>28</v>
      </c>
      <c r="E14334" s="2">
        <v>2.1423611111111112E-2</v>
      </c>
      <c r="F14334">
        <v>30.85</v>
      </c>
    </row>
    <row r="14335" spans="1:6" x14ac:dyDescent="0.25">
      <c r="A14335" s="1">
        <v>43525</v>
      </c>
      <c r="B14335" t="s">
        <v>20</v>
      </c>
      <c r="C14335" t="s">
        <v>6</v>
      </c>
      <c r="D14335">
        <v>60</v>
      </c>
      <c r="E14335" s="2">
        <v>7.1770833333333339E-2</v>
      </c>
      <c r="F14335">
        <v>103.35</v>
      </c>
    </row>
    <row r="14336" spans="1:6" x14ac:dyDescent="0.25">
      <c r="A14336" s="1">
        <v>43525</v>
      </c>
      <c r="B14336" t="s">
        <v>20</v>
      </c>
      <c r="C14336" t="s">
        <v>7</v>
      </c>
      <c r="D14336">
        <v>51</v>
      </c>
      <c r="E14336" s="2">
        <v>7.2592592592592597E-2</v>
      </c>
      <c r="F14336">
        <v>104.53333333333333</v>
      </c>
    </row>
    <row r="14337" spans="1:6" x14ac:dyDescent="0.25">
      <c r="A14337" s="1">
        <v>43525</v>
      </c>
      <c r="B14337" t="s">
        <v>20</v>
      </c>
      <c r="C14337" t="s">
        <v>8</v>
      </c>
      <c r="D14337">
        <v>71</v>
      </c>
      <c r="E14337" s="2">
        <v>7.6006944444444446E-2</v>
      </c>
      <c r="F14337">
        <v>109.45</v>
      </c>
    </row>
    <row r="14338" spans="1:6" x14ac:dyDescent="0.25">
      <c r="A14338" s="1">
        <v>43525</v>
      </c>
      <c r="B14338" t="s">
        <v>20</v>
      </c>
      <c r="C14338" t="s">
        <v>9</v>
      </c>
      <c r="D14338">
        <v>0</v>
      </c>
      <c r="E14338" s="2">
        <v>0</v>
      </c>
      <c r="F14338">
        <v>0</v>
      </c>
    </row>
    <row r="14339" spans="1:6" x14ac:dyDescent="0.25">
      <c r="A14339" s="1">
        <v>43525</v>
      </c>
      <c r="B14339" t="s">
        <v>20</v>
      </c>
      <c r="C14339" t="s">
        <v>10</v>
      </c>
      <c r="D14339">
        <v>10</v>
      </c>
      <c r="E14339" s="2">
        <v>1.1851851851851851E-2</v>
      </c>
      <c r="F14339">
        <v>17.066666666666666</v>
      </c>
    </row>
    <row r="14340" spans="1:6" x14ac:dyDescent="0.25">
      <c r="A14340" s="1">
        <v>43525</v>
      </c>
      <c r="B14340" t="s">
        <v>20</v>
      </c>
      <c r="C14340" t="s">
        <v>11</v>
      </c>
      <c r="D14340">
        <v>45</v>
      </c>
      <c r="E14340" s="2">
        <v>4.1087962962962965E-2</v>
      </c>
      <c r="F14340">
        <v>59.166666666666664</v>
      </c>
    </row>
    <row r="14341" spans="1:6" x14ac:dyDescent="0.25">
      <c r="A14341" s="1">
        <v>43525</v>
      </c>
      <c r="B14341" t="s">
        <v>21</v>
      </c>
      <c r="C14341" t="s">
        <v>6</v>
      </c>
      <c r="D14341">
        <v>24</v>
      </c>
      <c r="E14341" s="2">
        <v>3.7314814814814815E-2</v>
      </c>
      <c r="F14341">
        <v>53.733333333333334</v>
      </c>
    </row>
    <row r="14342" spans="1:6" x14ac:dyDescent="0.25">
      <c r="A14342" s="1">
        <v>43525</v>
      </c>
      <c r="B14342" t="s">
        <v>21</v>
      </c>
      <c r="C14342" t="s">
        <v>7</v>
      </c>
      <c r="D14342">
        <v>16</v>
      </c>
      <c r="E14342" s="2">
        <v>2.5613425925925925E-2</v>
      </c>
      <c r="F14342">
        <v>36.883333333333333</v>
      </c>
    </row>
    <row r="14343" spans="1:6" x14ac:dyDescent="0.25">
      <c r="A14343" s="1">
        <v>43525</v>
      </c>
      <c r="B14343" t="s">
        <v>21</v>
      </c>
      <c r="C14343" t="s">
        <v>8</v>
      </c>
      <c r="D14343">
        <v>17</v>
      </c>
      <c r="E14343" s="2">
        <v>2.6747685185185187E-2</v>
      </c>
      <c r="F14343">
        <v>38.516666666666666</v>
      </c>
    </row>
    <row r="14344" spans="1:6" x14ac:dyDescent="0.25">
      <c r="A14344" s="1">
        <v>43525</v>
      </c>
      <c r="B14344" t="s">
        <v>21</v>
      </c>
      <c r="C14344" t="s">
        <v>9</v>
      </c>
      <c r="D14344">
        <v>0</v>
      </c>
      <c r="E14344" s="2">
        <v>0</v>
      </c>
      <c r="F14344">
        <v>0</v>
      </c>
    </row>
    <row r="14345" spans="1:6" x14ac:dyDescent="0.25">
      <c r="A14345" s="1">
        <v>43525</v>
      </c>
      <c r="B14345" t="s">
        <v>21</v>
      </c>
      <c r="C14345" t="s">
        <v>10</v>
      </c>
      <c r="D14345">
        <v>6</v>
      </c>
      <c r="E14345" s="2">
        <v>1.2430555555555556E-2</v>
      </c>
      <c r="F14345">
        <v>17.899999999999999</v>
      </c>
    </row>
    <row r="14346" spans="1:6" x14ac:dyDescent="0.25">
      <c r="A14346" s="1">
        <v>43525</v>
      </c>
      <c r="B14346" t="s">
        <v>21</v>
      </c>
      <c r="C14346" t="s">
        <v>11</v>
      </c>
      <c r="D14346">
        <v>20</v>
      </c>
      <c r="E14346" s="2">
        <v>2.5092592592592593E-2</v>
      </c>
      <c r="F14346">
        <v>36.133333333333333</v>
      </c>
    </row>
    <row r="14347" spans="1:6" x14ac:dyDescent="0.25">
      <c r="A14347" s="1">
        <v>43525</v>
      </c>
      <c r="B14347" t="s">
        <v>22</v>
      </c>
      <c r="C14347" t="s">
        <v>6</v>
      </c>
      <c r="D14347">
        <v>14</v>
      </c>
      <c r="E14347" s="2">
        <v>2.5162037037037038E-2</v>
      </c>
      <c r="F14347">
        <v>36.233333333333334</v>
      </c>
    </row>
    <row r="14348" spans="1:6" x14ac:dyDescent="0.25">
      <c r="A14348" s="1">
        <v>43525</v>
      </c>
      <c r="B14348" t="s">
        <v>22</v>
      </c>
      <c r="C14348" t="s">
        <v>7</v>
      </c>
      <c r="D14348">
        <v>6</v>
      </c>
      <c r="E14348" s="2">
        <v>1.3425925925925926E-2</v>
      </c>
      <c r="F14348">
        <v>19.333333333333332</v>
      </c>
    </row>
    <row r="14349" spans="1:6" x14ac:dyDescent="0.25">
      <c r="A14349" s="1">
        <v>43525</v>
      </c>
      <c r="B14349" t="s">
        <v>22</v>
      </c>
      <c r="C14349" t="s">
        <v>8</v>
      </c>
      <c r="D14349">
        <v>3</v>
      </c>
      <c r="E14349" s="2">
        <v>6.6550925925925927E-3</v>
      </c>
      <c r="F14349">
        <v>9.5833333333333339</v>
      </c>
    </row>
    <row r="14350" spans="1:6" x14ac:dyDescent="0.25">
      <c r="A14350" s="1">
        <v>43525</v>
      </c>
      <c r="B14350" t="s">
        <v>22</v>
      </c>
      <c r="C14350" t="s">
        <v>9</v>
      </c>
      <c r="D14350">
        <v>0</v>
      </c>
      <c r="E14350" s="2">
        <v>0</v>
      </c>
      <c r="F14350">
        <v>0</v>
      </c>
    </row>
    <row r="14351" spans="1:6" x14ac:dyDescent="0.25">
      <c r="A14351" s="1">
        <v>43525</v>
      </c>
      <c r="B14351" t="s">
        <v>22</v>
      </c>
      <c r="C14351" t="s">
        <v>10</v>
      </c>
      <c r="D14351">
        <v>7</v>
      </c>
      <c r="E14351" s="2">
        <v>1.005787037037037E-2</v>
      </c>
      <c r="F14351">
        <v>14.483333333333333</v>
      </c>
    </row>
    <row r="14352" spans="1:6" x14ac:dyDescent="0.25">
      <c r="A14352" s="1">
        <v>43525</v>
      </c>
      <c r="B14352" t="s">
        <v>22</v>
      </c>
      <c r="C14352" t="s">
        <v>11</v>
      </c>
      <c r="D14352">
        <v>8</v>
      </c>
      <c r="E14352" s="2">
        <v>1.1770833333333333E-2</v>
      </c>
      <c r="F14352">
        <v>16.95</v>
      </c>
    </row>
    <row r="14353" spans="1:6" x14ac:dyDescent="0.25">
      <c r="A14353" s="1">
        <v>43525</v>
      </c>
      <c r="B14353" t="s">
        <v>23</v>
      </c>
      <c r="C14353" t="s">
        <v>6</v>
      </c>
      <c r="D14353">
        <v>94</v>
      </c>
      <c r="E14353" s="2">
        <v>0.1404050925925926</v>
      </c>
      <c r="F14353">
        <v>202.18333333333334</v>
      </c>
    </row>
    <row r="14354" spans="1:6" x14ac:dyDescent="0.25">
      <c r="A14354" s="1">
        <v>43525</v>
      </c>
      <c r="B14354" t="s">
        <v>23</v>
      </c>
      <c r="C14354" t="s">
        <v>7</v>
      </c>
      <c r="D14354">
        <v>106</v>
      </c>
      <c r="E14354" s="2">
        <v>0.1647800925925926</v>
      </c>
      <c r="F14354">
        <v>237.28333333333333</v>
      </c>
    </row>
    <row r="14355" spans="1:6" x14ac:dyDescent="0.25">
      <c r="A14355" s="1">
        <v>43525</v>
      </c>
      <c r="B14355" t="s">
        <v>23</v>
      </c>
      <c r="C14355" t="s">
        <v>8</v>
      </c>
      <c r="D14355">
        <v>62</v>
      </c>
      <c r="E14355" s="2">
        <v>7.3124999999999996E-2</v>
      </c>
      <c r="F14355">
        <v>105.3</v>
      </c>
    </row>
    <row r="14356" spans="1:6" x14ac:dyDescent="0.25">
      <c r="A14356" s="1">
        <v>43525</v>
      </c>
      <c r="B14356" t="s">
        <v>23</v>
      </c>
      <c r="C14356" t="s">
        <v>9</v>
      </c>
      <c r="D14356">
        <v>0</v>
      </c>
      <c r="E14356" s="2">
        <v>0</v>
      </c>
      <c r="F14356">
        <v>0</v>
      </c>
    </row>
    <row r="14357" spans="1:6" x14ac:dyDescent="0.25">
      <c r="A14357" s="1">
        <v>43525</v>
      </c>
      <c r="B14357" t="s">
        <v>23</v>
      </c>
      <c r="C14357" t="s">
        <v>10</v>
      </c>
      <c r="D14357">
        <v>21</v>
      </c>
      <c r="E14357" s="2">
        <v>3.1041666666666665E-2</v>
      </c>
      <c r="F14357">
        <v>44.7</v>
      </c>
    </row>
    <row r="14358" spans="1:6" x14ac:dyDescent="0.25">
      <c r="A14358" s="1">
        <v>43525</v>
      </c>
      <c r="B14358" t="s">
        <v>23</v>
      </c>
      <c r="C14358" t="s">
        <v>11</v>
      </c>
      <c r="D14358">
        <v>76</v>
      </c>
      <c r="E14358" s="2">
        <v>8.1481481481481488E-2</v>
      </c>
      <c r="F14358">
        <v>117.33333333333333</v>
      </c>
    </row>
    <row r="14359" spans="1:6" x14ac:dyDescent="0.25">
      <c r="A14359" s="1">
        <v>43525</v>
      </c>
      <c r="B14359" t="s">
        <v>24</v>
      </c>
      <c r="C14359" t="s">
        <v>6</v>
      </c>
      <c r="D14359">
        <v>7</v>
      </c>
      <c r="E14359" s="2">
        <v>8.2175925925925923E-3</v>
      </c>
      <c r="F14359">
        <v>11.833333333333334</v>
      </c>
    </row>
    <row r="14360" spans="1:6" x14ac:dyDescent="0.25">
      <c r="A14360" s="1">
        <v>43525</v>
      </c>
      <c r="B14360" t="s">
        <v>24</v>
      </c>
      <c r="C14360" t="s">
        <v>7</v>
      </c>
      <c r="D14360">
        <v>14</v>
      </c>
      <c r="E14360" s="2">
        <v>7.743055555555556E-3</v>
      </c>
      <c r="F14360">
        <v>11.15</v>
      </c>
    </row>
    <row r="14361" spans="1:6" x14ac:dyDescent="0.25">
      <c r="A14361" s="1">
        <v>43525</v>
      </c>
      <c r="B14361" t="s">
        <v>24</v>
      </c>
      <c r="C14361" t="s">
        <v>8</v>
      </c>
      <c r="D14361">
        <v>5</v>
      </c>
      <c r="E14361" s="2">
        <v>2.3263888888888887E-3</v>
      </c>
      <c r="F14361">
        <v>3.35</v>
      </c>
    </row>
    <row r="14362" spans="1:6" x14ac:dyDescent="0.25">
      <c r="A14362" s="1">
        <v>43525</v>
      </c>
      <c r="B14362" t="s">
        <v>24</v>
      </c>
      <c r="C14362" t="s">
        <v>9</v>
      </c>
      <c r="D14362">
        <v>0</v>
      </c>
      <c r="E14362" s="2">
        <v>0</v>
      </c>
      <c r="F14362">
        <v>0</v>
      </c>
    </row>
    <row r="14363" spans="1:6" x14ac:dyDescent="0.25">
      <c r="A14363" s="1">
        <v>43525</v>
      </c>
      <c r="B14363" t="s">
        <v>24</v>
      </c>
      <c r="C14363" t="s">
        <v>10</v>
      </c>
      <c r="D14363">
        <v>0</v>
      </c>
      <c r="E14363" s="2">
        <v>0</v>
      </c>
      <c r="F14363">
        <v>0</v>
      </c>
    </row>
    <row r="14364" spans="1:6" x14ac:dyDescent="0.25">
      <c r="A14364" s="1">
        <v>43525</v>
      </c>
      <c r="B14364" t="s">
        <v>24</v>
      </c>
      <c r="C14364" t="s">
        <v>11</v>
      </c>
      <c r="D14364">
        <v>30</v>
      </c>
      <c r="E14364" s="2">
        <v>2.8032407407407409E-2</v>
      </c>
      <c r="F14364">
        <v>40.366666666666667</v>
      </c>
    </row>
    <row r="14365" spans="1:6" x14ac:dyDescent="0.25">
      <c r="A14365" s="1">
        <v>43556</v>
      </c>
      <c r="B14365" t="s">
        <v>5</v>
      </c>
      <c r="C14365" t="s">
        <v>6</v>
      </c>
      <c r="D14365">
        <v>9</v>
      </c>
      <c r="E14365" s="2">
        <v>1.0011574074074074E-2</v>
      </c>
      <c r="F14365">
        <v>14.416666666666666</v>
      </c>
    </row>
    <row r="14366" spans="1:6" x14ac:dyDescent="0.25">
      <c r="A14366" s="1">
        <v>43556</v>
      </c>
      <c r="B14366" t="s">
        <v>5</v>
      </c>
      <c r="C14366" t="s">
        <v>7</v>
      </c>
      <c r="D14366">
        <v>7</v>
      </c>
      <c r="E14366" s="2">
        <v>6.2384259259259259E-3</v>
      </c>
      <c r="F14366">
        <v>8.9833333333333325</v>
      </c>
    </row>
    <row r="14367" spans="1:6" x14ac:dyDescent="0.25">
      <c r="A14367" s="1">
        <v>43556</v>
      </c>
      <c r="B14367" t="s">
        <v>5</v>
      </c>
      <c r="C14367" t="s">
        <v>8</v>
      </c>
      <c r="D14367">
        <v>13</v>
      </c>
      <c r="E14367" s="2">
        <v>8.9120370370370378E-3</v>
      </c>
      <c r="F14367">
        <v>12.833333333333334</v>
      </c>
    </row>
    <row r="14368" spans="1:6" x14ac:dyDescent="0.25">
      <c r="A14368" s="1">
        <v>43556</v>
      </c>
      <c r="B14368" t="s">
        <v>5</v>
      </c>
      <c r="C14368" t="s">
        <v>9</v>
      </c>
      <c r="D14368">
        <v>0</v>
      </c>
      <c r="E14368" s="2">
        <v>0</v>
      </c>
      <c r="F14368">
        <v>0</v>
      </c>
    </row>
    <row r="14369" spans="1:6" x14ac:dyDescent="0.25">
      <c r="A14369" s="1">
        <v>43556</v>
      </c>
      <c r="B14369" t="s">
        <v>5</v>
      </c>
      <c r="C14369" t="s">
        <v>10</v>
      </c>
      <c r="D14369">
        <v>2</v>
      </c>
      <c r="E14369" s="2">
        <v>2.7546296296296294E-3</v>
      </c>
      <c r="F14369">
        <v>3.9666666666666668</v>
      </c>
    </row>
    <row r="14370" spans="1:6" x14ac:dyDescent="0.25">
      <c r="A14370" s="1">
        <v>43556</v>
      </c>
      <c r="B14370" t="s">
        <v>5</v>
      </c>
      <c r="C14370" t="s">
        <v>11</v>
      </c>
      <c r="D14370">
        <v>14</v>
      </c>
      <c r="E14370" s="2">
        <v>9.9537037037037042E-3</v>
      </c>
      <c r="F14370">
        <v>14.333333333333334</v>
      </c>
    </row>
    <row r="14371" spans="1:6" x14ac:dyDescent="0.25">
      <c r="A14371" s="1">
        <v>43556</v>
      </c>
      <c r="B14371" t="s">
        <v>12</v>
      </c>
      <c r="C14371" t="s">
        <v>6</v>
      </c>
      <c r="D14371">
        <v>51</v>
      </c>
      <c r="E14371" s="2">
        <v>7.947916666666667E-2</v>
      </c>
      <c r="F14371">
        <v>114.45</v>
      </c>
    </row>
    <row r="14372" spans="1:6" x14ac:dyDescent="0.25">
      <c r="A14372" s="1">
        <v>43556</v>
      </c>
      <c r="B14372" t="s">
        <v>12</v>
      </c>
      <c r="C14372" t="s">
        <v>7</v>
      </c>
      <c r="D14372">
        <v>47</v>
      </c>
      <c r="E14372" s="2">
        <v>7.5231481481481483E-2</v>
      </c>
      <c r="F14372">
        <v>108.33333333333333</v>
      </c>
    </row>
    <row r="14373" spans="1:6" x14ac:dyDescent="0.25">
      <c r="A14373" s="1">
        <v>43556</v>
      </c>
      <c r="B14373" t="s">
        <v>12</v>
      </c>
      <c r="C14373" t="s">
        <v>8</v>
      </c>
      <c r="D14373">
        <v>29</v>
      </c>
      <c r="E14373" s="2">
        <v>4.0972222222222222E-2</v>
      </c>
      <c r="F14373">
        <v>59</v>
      </c>
    </row>
    <row r="14374" spans="1:6" x14ac:dyDescent="0.25">
      <c r="A14374" s="1">
        <v>43556</v>
      </c>
      <c r="B14374" t="s">
        <v>12</v>
      </c>
      <c r="C14374" t="s">
        <v>9</v>
      </c>
      <c r="D14374">
        <v>0</v>
      </c>
      <c r="E14374" s="2">
        <v>0</v>
      </c>
      <c r="F14374">
        <v>0</v>
      </c>
    </row>
    <row r="14375" spans="1:6" x14ac:dyDescent="0.25">
      <c r="A14375" s="1">
        <v>43556</v>
      </c>
      <c r="B14375" t="s">
        <v>12</v>
      </c>
      <c r="C14375" t="s">
        <v>10</v>
      </c>
      <c r="D14375">
        <v>26</v>
      </c>
      <c r="E14375" s="2">
        <v>4.1203703703703701E-2</v>
      </c>
      <c r="F14375">
        <v>59.333333333333336</v>
      </c>
    </row>
    <row r="14376" spans="1:6" x14ac:dyDescent="0.25">
      <c r="A14376" s="1">
        <v>43556</v>
      </c>
      <c r="B14376" t="s">
        <v>12</v>
      </c>
      <c r="C14376" t="s">
        <v>11</v>
      </c>
      <c r="D14376">
        <v>69</v>
      </c>
      <c r="E14376" s="2">
        <v>8.8773148148148143E-2</v>
      </c>
      <c r="F14376">
        <v>127.83333333333333</v>
      </c>
    </row>
    <row r="14377" spans="1:6" x14ac:dyDescent="0.25">
      <c r="A14377" s="1">
        <v>43556</v>
      </c>
      <c r="B14377" t="s">
        <v>13</v>
      </c>
      <c r="C14377" t="s">
        <v>6</v>
      </c>
      <c r="D14377">
        <v>84</v>
      </c>
      <c r="E14377" s="2">
        <v>0.13493055555555555</v>
      </c>
      <c r="F14377">
        <v>194.3</v>
      </c>
    </row>
    <row r="14378" spans="1:6" x14ac:dyDescent="0.25">
      <c r="A14378" s="1">
        <v>43556</v>
      </c>
      <c r="B14378" t="s">
        <v>13</v>
      </c>
      <c r="C14378" t="s">
        <v>7</v>
      </c>
      <c r="D14378">
        <v>76</v>
      </c>
      <c r="E14378" s="2">
        <v>0.13104166666666667</v>
      </c>
      <c r="F14378">
        <v>188.7</v>
      </c>
    </row>
    <row r="14379" spans="1:6" x14ac:dyDescent="0.25">
      <c r="A14379" s="1">
        <v>43556</v>
      </c>
      <c r="B14379" t="s">
        <v>13</v>
      </c>
      <c r="C14379" t="s">
        <v>8</v>
      </c>
      <c r="D14379">
        <v>62</v>
      </c>
      <c r="E14379" s="2">
        <v>9.3842592592592589E-2</v>
      </c>
      <c r="F14379">
        <v>135.13333333333333</v>
      </c>
    </row>
    <row r="14380" spans="1:6" x14ac:dyDescent="0.25">
      <c r="A14380" s="1">
        <v>43556</v>
      </c>
      <c r="B14380" t="s">
        <v>13</v>
      </c>
      <c r="C14380" t="s">
        <v>9</v>
      </c>
      <c r="D14380">
        <v>0</v>
      </c>
      <c r="E14380" s="2">
        <v>0</v>
      </c>
      <c r="F14380">
        <v>0</v>
      </c>
    </row>
    <row r="14381" spans="1:6" x14ac:dyDescent="0.25">
      <c r="A14381" s="1">
        <v>43556</v>
      </c>
      <c r="B14381" t="s">
        <v>13</v>
      </c>
      <c r="C14381" t="s">
        <v>10</v>
      </c>
      <c r="D14381">
        <v>5</v>
      </c>
      <c r="E14381" s="2">
        <v>8.7152777777777784E-3</v>
      </c>
      <c r="F14381">
        <v>12.55</v>
      </c>
    </row>
    <row r="14382" spans="1:6" x14ac:dyDescent="0.25">
      <c r="A14382" s="1">
        <v>43556</v>
      </c>
      <c r="B14382" t="s">
        <v>13</v>
      </c>
      <c r="C14382" t="s">
        <v>11</v>
      </c>
      <c r="D14382">
        <v>36</v>
      </c>
      <c r="E14382" s="2">
        <v>4.3483796296296298E-2</v>
      </c>
      <c r="F14382">
        <v>62.616666666666667</v>
      </c>
    </row>
    <row r="14383" spans="1:6" x14ac:dyDescent="0.25">
      <c r="A14383" s="1">
        <v>43556</v>
      </c>
      <c r="B14383" t="s">
        <v>14</v>
      </c>
      <c r="C14383" t="s">
        <v>6</v>
      </c>
      <c r="D14383">
        <v>15</v>
      </c>
      <c r="E14383" s="2">
        <v>2.1215277777777777E-2</v>
      </c>
      <c r="F14383">
        <v>30.55</v>
      </c>
    </row>
    <row r="14384" spans="1:6" x14ac:dyDescent="0.25">
      <c r="A14384" s="1">
        <v>43556</v>
      </c>
      <c r="B14384" t="s">
        <v>14</v>
      </c>
      <c r="C14384" t="s">
        <v>7</v>
      </c>
      <c r="D14384">
        <v>16</v>
      </c>
      <c r="E14384" s="2">
        <v>2.375E-2</v>
      </c>
      <c r="F14384">
        <v>34.200000000000003</v>
      </c>
    </row>
    <row r="14385" spans="1:6" x14ac:dyDescent="0.25">
      <c r="A14385" s="1">
        <v>43556</v>
      </c>
      <c r="B14385" t="s">
        <v>14</v>
      </c>
      <c r="C14385" t="s">
        <v>8</v>
      </c>
      <c r="D14385">
        <v>5</v>
      </c>
      <c r="E14385" s="2">
        <v>7.905092592592592E-3</v>
      </c>
      <c r="F14385">
        <v>11.383333333333333</v>
      </c>
    </row>
    <row r="14386" spans="1:6" x14ac:dyDescent="0.25">
      <c r="A14386" s="1">
        <v>43556</v>
      </c>
      <c r="B14386" t="s">
        <v>14</v>
      </c>
      <c r="C14386" t="s">
        <v>9</v>
      </c>
      <c r="D14386">
        <v>0</v>
      </c>
      <c r="E14386" s="2">
        <v>0</v>
      </c>
      <c r="F14386">
        <v>0</v>
      </c>
    </row>
    <row r="14387" spans="1:6" x14ac:dyDescent="0.25">
      <c r="A14387" s="1">
        <v>43556</v>
      </c>
      <c r="B14387" t="s">
        <v>14</v>
      </c>
      <c r="C14387" t="s">
        <v>10</v>
      </c>
      <c r="D14387">
        <v>1</v>
      </c>
      <c r="E14387" s="2">
        <v>1.7708333333333332E-3</v>
      </c>
      <c r="F14387">
        <v>2.5499999999999998</v>
      </c>
    </row>
    <row r="14388" spans="1:6" x14ac:dyDescent="0.25">
      <c r="A14388" s="1">
        <v>43556</v>
      </c>
      <c r="B14388" t="s">
        <v>14</v>
      </c>
      <c r="C14388" t="s">
        <v>11</v>
      </c>
      <c r="D14388">
        <v>13</v>
      </c>
      <c r="E14388" s="2">
        <v>1.4004629629629629E-2</v>
      </c>
      <c r="F14388">
        <v>20.166666666666668</v>
      </c>
    </row>
    <row r="14389" spans="1:6" x14ac:dyDescent="0.25">
      <c r="A14389" s="1">
        <v>43556</v>
      </c>
      <c r="B14389" t="s">
        <v>15</v>
      </c>
      <c r="C14389" t="s">
        <v>6</v>
      </c>
      <c r="D14389">
        <v>20</v>
      </c>
      <c r="E14389" s="2">
        <v>3.3993055555555554E-2</v>
      </c>
      <c r="F14389">
        <v>48.95</v>
      </c>
    </row>
    <row r="14390" spans="1:6" x14ac:dyDescent="0.25">
      <c r="A14390" s="1">
        <v>43556</v>
      </c>
      <c r="B14390" t="s">
        <v>15</v>
      </c>
      <c r="C14390" t="s">
        <v>7</v>
      </c>
      <c r="D14390">
        <v>30</v>
      </c>
      <c r="E14390" s="2">
        <v>5.4629629629629632E-2</v>
      </c>
      <c r="F14390">
        <v>78.666666666666671</v>
      </c>
    </row>
    <row r="14391" spans="1:6" x14ac:dyDescent="0.25">
      <c r="A14391" s="1">
        <v>43556</v>
      </c>
      <c r="B14391" t="s">
        <v>15</v>
      </c>
      <c r="C14391" t="s">
        <v>8</v>
      </c>
      <c r="D14391">
        <v>19</v>
      </c>
      <c r="E14391" s="2">
        <v>2.7083333333333334E-2</v>
      </c>
      <c r="F14391">
        <v>39</v>
      </c>
    </row>
    <row r="14392" spans="1:6" x14ac:dyDescent="0.25">
      <c r="A14392" s="1">
        <v>43556</v>
      </c>
      <c r="B14392" t="s">
        <v>15</v>
      </c>
      <c r="C14392" t="s">
        <v>9</v>
      </c>
      <c r="D14392">
        <v>0</v>
      </c>
      <c r="E14392" s="2">
        <v>0</v>
      </c>
      <c r="F14392">
        <v>0</v>
      </c>
    </row>
    <row r="14393" spans="1:6" x14ac:dyDescent="0.25">
      <c r="A14393" s="1">
        <v>43556</v>
      </c>
      <c r="B14393" t="s">
        <v>15</v>
      </c>
      <c r="C14393" t="s">
        <v>10</v>
      </c>
      <c r="D14393">
        <v>11</v>
      </c>
      <c r="E14393" s="2">
        <v>1.2592592592592593E-2</v>
      </c>
      <c r="F14393">
        <v>18.133333333333333</v>
      </c>
    </row>
    <row r="14394" spans="1:6" x14ac:dyDescent="0.25">
      <c r="A14394" s="1">
        <v>43556</v>
      </c>
      <c r="B14394" t="s">
        <v>15</v>
      </c>
      <c r="C14394" t="s">
        <v>11</v>
      </c>
      <c r="D14394">
        <v>17</v>
      </c>
      <c r="E14394" s="2">
        <v>1.6180555555555556E-2</v>
      </c>
      <c r="F14394">
        <v>23.3</v>
      </c>
    </row>
    <row r="14395" spans="1:6" x14ac:dyDescent="0.25">
      <c r="A14395" s="1">
        <v>43556</v>
      </c>
      <c r="B14395" t="s">
        <v>16</v>
      </c>
      <c r="C14395" t="s">
        <v>6</v>
      </c>
      <c r="D14395">
        <v>90</v>
      </c>
      <c r="E14395" s="2">
        <v>0.12957175925925926</v>
      </c>
      <c r="F14395">
        <v>186.58333333333334</v>
      </c>
    </row>
    <row r="14396" spans="1:6" x14ac:dyDescent="0.25">
      <c r="A14396" s="1">
        <v>43556</v>
      </c>
      <c r="B14396" t="s">
        <v>16</v>
      </c>
      <c r="C14396" t="s">
        <v>7</v>
      </c>
      <c r="D14396">
        <v>111</v>
      </c>
      <c r="E14396" s="2">
        <v>0.12255787037037037</v>
      </c>
      <c r="F14396">
        <v>176.48333333333332</v>
      </c>
    </row>
    <row r="14397" spans="1:6" x14ac:dyDescent="0.25">
      <c r="A14397" s="1">
        <v>43556</v>
      </c>
      <c r="B14397" t="s">
        <v>16</v>
      </c>
      <c r="C14397" t="s">
        <v>8</v>
      </c>
      <c r="D14397">
        <v>46</v>
      </c>
      <c r="E14397" s="2">
        <v>4.4305555555555556E-2</v>
      </c>
      <c r="F14397">
        <v>63.8</v>
      </c>
    </row>
    <row r="14398" spans="1:6" x14ac:dyDescent="0.25">
      <c r="A14398" s="1">
        <v>43556</v>
      </c>
      <c r="B14398" t="s">
        <v>16</v>
      </c>
      <c r="C14398" t="s">
        <v>9</v>
      </c>
      <c r="D14398">
        <v>0</v>
      </c>
      <c r="E14398" s="2">
        <v>0</v>
      </c>
      <c r="F14398">
        <v>0</v>
      </c>
    </row>
    <row r="14399" spans="1:6" x14ac:dyDescent="0.25">
      <c r="A14399" s="1">
        <v>43556</v>
      </c>
      <c r="B14399" t="s">
        <v>16</v>
      </c>
      <c r="C14399" t="s">
        <v>10</v>
      </c>
      <c r="D14399">
        <v>8</v>
      </c>
      <c r="E14399" s="2">
        <v>9.4675925925925934E-3</v>
      </c>
      <c r="F14399">
        <v>13.633333333333333</v>
      </c>
    </row>
    <row r="14400" spans="1:6" x14ac:dyDescent="0.25">
      <c r="A14400" s="1">
        <v>43556</v>
      </c>
      <c r="B14400" t="s">
        <v>16</v>
      </c>
      <c r="C14400" t="s">
        <v>11</v>
      </c>
      <c r="D14400">
        <v>88</v>
      </c>
      <c r="E14400" s="2">
        <v>8.188657407407407E-2</v>
      </c>
      <c r="F14400">
        <v>117.91666666666667</v>
      </c>
    </row>
    <row r="14401" spans="1:6" x14ac:dyDescent="0.25">
      <c r="A14401" s="1">
        <v>43556</v>
      </c>
      <c r="B14401" t="s">
        <v>17</v>
      </c>
      <c r="C14401" t="s">
        <v>6</v>
      </c>
      <c r="D14401">
        <v>12</v>
      </c>
      <c r="E14401" s="2">
        <v>1.4826388888888889E-2</v>
      </c>
      <c r="F14401">
        <v>21.35</v>
      </c>
    </row>
    <row r="14402" spans="1:6" x14ac:dyDescent="0.25">
      <c r="A14402" s="1">
        <v>43556</v>
      </c>
      <c r="B14402" t="s">
        <v>17</v>
      </c>
      <c r="C14402" t="s">
        <v>7</v>
      </c>
      <c r="D14402">
        <v>11</v>
      </c>
      <c r="E14402" s="2">
        <v>1.2291666666666666E-2</v>
      </c>
      <c r="F14402">
        <v>17.7</v>
      </c>
    </row>
    <row r="14403" spans="1:6" x14ac:dyDescent="0.25">
      <c r="A14403" s="1">
        <v>43556</v>
      </c>
      <c r="B14403" t="s">
        <v>17</v>
      </c>
      <c r="C14403" t="s">
        <v>8</v>
      </c>
      <c r="D14403">
        <v>14</v>
      </c>
      <c r="E14403" s="2">
        <v>1.954861111111111E-2</v>
      </c>
      <c r="F14403">
        <v>28.15</v>
      </c>
    </row>
    <row r="14404" spans="1:6" x14ac:dyDescent="0.25">
      <c r="A14404" s="1">
        <v>43556</v>
      </c>
      <c r="B14404" t="s">
        <v>17</v>
      </c>
      <c r="C14404" t="s">
        <v>9</v>
      </c>
      <c r="D14404">
        <v>0</v>
      </c>
      <c r="E14404" s="2">
        <v>0</v>
      </c>
      <c r="F14404">
        <v>0</v>
      </c>
    </row>
    <row r="14405" spans="1:6" x14ac:dyDescent="0.25">
      <c r="A14405" s="1">
        <v>43556</v>
      </c>
      <c r="B14405" t="s">
        <v>17</v>
      </c>
      <c r="C14405" t="s">
        <v>10</v>
      </c>
      <c r="D14405">
        <v>12</v>
      </c>
      <c r="E14405" s="2">
        <v>1.5046296296296295E-2</v>
      </c>
      <c r="F14405">
        <v>21.666666666666668</v>
      </c>
    </row>
    <row r="14406" spans="1:6" x14ac:dyDescent="0.25">
      <c r="A14406" s="1">
        <v>43556</v>
      </c>
      <c r="B14406" t="s">
        <v>17</v>
      </c>
      <c r="C14406" t="s">
        <v>11</v>
      </c>
      <c r="D14406">
        <v>15</v>
      </c>
      <c r="E14406" s="2">
        <v>1.6122685185185184E-2</v>
      </c>
      <c r="F14406">
        <v>23.216666666666665</v>
      </c>
    </row>
    <row r="14407" spans="1:6" x14ac:dyDescent="0.25">
      <c r="A14407" s="1">
        <v>43556</v>
      </c>
      <c r="B14407" t="s">
        <v>18</v>
      </c>
      <c r="C14407" t="s">
        <v>6</v>
      </c>
      <c r="D14407">
        <v>38</v>
      </c>
      <c r="E14407" s="2">
        <v>4.2893518518518518E-2</v>
      </c>
      <c r="F14407">
        <v>61.766666666666666</v>
      </c>
    </row>
    <row r="14408" spans="1:6" x14ac:dyDescent="0.25">
      <c r="A14408" s="1">
        <v>43556</v>
      </c>
      <c r="B14408" t="s">
        <v>18</v>
      </c>
      <c r="C14408" t="s">
        <v>7</v>
      </c>
      <c r="D14408">
        <v>77</v>
      </c>
      <c r="E14408" s="2">
        <v>9.0231481481481482E-2</v>
      </c>
      <c r="F14408">
        <v>129.93333333333334</v>
      </c>
    </row>
    <row r="14409" spans="1:6" x14ac:dyDescent="0.25">
      <c r="A14409" s="1">
        <v>43556</v>
      </c>
      <c r="B14409" t="s">
        <v>18</v>
      </c>
      <c r="C14409" t="s">
        <v>8</v>
      </c>
      <c r="D14409">
        <v>51</v>
      </c>
      <c r="E14409" s="2">
        <v>4.8275462962962964E-2</v>
      </c>
      <c r="F14409">
        <v>69.516666666666666</v>
      </c>
    </row>
    <row r="14410" spans="1:6" x14ac:dyDescent="0.25">
      <c r="A14410" s="1">
        <v>43556</v>
      </c>
      <c r="B14410" t="s">
        <v>18</v>
      </c>
      <c r="C14410" t="s">
        <v>9</v>
      </c>
      <c r="D14410">
        <v>0</v>
      </c>
      <c r="E14410" s="2">
        <v>0</v>
      </c>
      <c r="F14410">
        <v>0</v>
      </c>
    </row>
    <row r="14411" spans="1:6" x14ac:dyDescent="0.25">
      <c r="A14411" s="1">
        <v>43556</v>
      </c>
      <c r="B14411" t="s">
        <v>18</v>
      </c>
      <c r="C14411" t="s">
        <v>10</v>
      </c>
      <c r="D14411">
        <v>169</v>
      </c>
      <c r="E14411" s="2">
        <v>0.25350694444444444</v>
      </c>
      <c r="F14411">
        <v>365.05</v>
      </c>
    </row>
    <row r="14412" spans="1:6" x14ac:dyDescent="0.25">
      <c r="A14412" s="1">
        <v>43556</v>
      </c>
      <c r="B14412" t="s">
        <v>18</v>
      </c>
      <c r="C14412" t="s">
        <v>11</v>
      </c>
      <c r="D14412">
        <v>73</v>
      </c>
      <c r="E14412" s="2">
        <v>5.0092592592592591E-2</v>
      </c>
      <c r="F14412">
        <v>72.13333333333334</v>
      </c>
    </row>
    <row r="14413" spans="1:6" x14ac:dyDescent="0.25">
      <c r="A14413" s="1">
        <v>43556</v>
      </c>
      <c r="B14413" t="s">
        <v>19</v>
      </c>
      <c r="C14413" t="s">
        <v>6</v>
      </c>
      <c r="D14413">
        <v>13</v>
      </c>
      <c r="E14413" s="2">
        <v>1.8541666666666668E-2</v>
      </c>
      <c r="F14413">
        <v>26.7</v>
      </c>
    </row>
    <row r="14414" spans="1:6" x14ac:dyDescent="0.25">
      <c r="A14414" s="1">
        <v>43556</v>
      </c>
      <c r="B14414" t="s">
        <v>19</v>
      </c>
      <c r="C14414" t="s">
        <v>7</v>
      </c>
      <c r="D14414">
        <v>21</v>
      </c>
      <c r="E14414" s="2">
        <v>2.4756944444444446E-2</v>
      </c>
      <c r="F14414">
        <v>35.65</v>
      </c>
    </row>
    <row r="14415" spans="1:6" x14ac:dyDescent="0.25">
      <c r="A14415" s="1">
        <v>43556</v>
      </c>
      <c r="B14415" t="s">
        <v>19</v>
      </c>
      <c r="C14415" t="s">
        <v>8</v>
      </c>
      <c r="D14415">
        <v>29</v>
      </c>
      <c r="E14415" s="2">
        <v>2.6666666666666668E-2</v>
      </c>
      <c r="F14415">
        <v>38.4</v>
      </c>
    </row>
    <row r="14416" spans="1:6" x14ac:dyDescent="0.25">
      <c r="A14416" s="1">
        <v>43556</v>
      </c>
      <c r="B14416" t="s">
        <v>19</v>
      </c>
      <c r="C14416" t="s">
        <v>9</v>
      </c>
      <c r="D14416">
        <v>0</v>
      </c>
      <c r="E14416" s="2">
        <v>0</v>
      </c>
      <c r="F14416">
        <v>0</v>
      </c>
    </row>
    <row r="14417" spans="1:6" x14ac:dyDescent="0.25">
      <c r="A14417" s="1">
        <v>43556</v>
      </c>
      <c r="B14417" t="s">
        <v>19</v>
      </c>
      <c r="C14417" t="s">
        <v>10</v>
      </c>
      <c r="D14417">
        <v>9</v>
      </c>
      <c r="E14417" s="2">
        <v>1.2118055555555556E-2</v>
      </c>
      <c r="F14417">
        <v>17.45</v>
      </c>
    </row>
    <row r="14418" spans="1:6" x14ac:dyDescent="0.25">
      <c r="A14418" s="1">
        <v>43556</v>
      </c>
      <c r="B14418" t="s">
        <v>19</v>
      </c>
      <c r="C14418" t="s">
        <v>11</v>
      </c>
      <c r="D14418">
        <v>33</v>
      </c>
      <c r="E14418" s="2">
        <v>2.8287037037037038E-2</v>
      </c>
      <c r="F14418">
        <v>40.733333333333334</v>
      </c>
    </row>
    <row r="14419" spans="1:6" x14ac:dyDescent="0.25">
      <c r="A14419" s="1">
        <v>43556</v>
      </c>
      <c r="B14419" t="s">
        <v>20</v>
      </c>
      <c r="C14419" t="s">
        <v>6</v>
      </c>
      <c r="D14419">
        <v>58</v>
      </c>
      <c r="E14419" s="2">
        <v>6.9513888888888889E-2</v>
      </c>
      <c r="F14419">
        <v>100.1</v>
      </c>
    </row>
    <row r="14420" spans="1:6" x14ac:dyDescent="0.25">
      <c r="A14420" s="1">
        <v>43556</v>
      </c>
      <c r="B14420" t="s">
        <v>20</v>
      </c>
      <c r="C14420" t="s">
        <v>7</v>
      </c>
      <c r="D14420">
        <v>68</v>
      </c>
      <c r="E14420" s="2">
        <v>8.4004629629629624E-2</v>
      </c>
      <c r="F14420">
        <v>120.96666666666667</v>
      </c>
    </row>
    <row r="14421" spans="1:6" x14ac:dyDescent="0.25">
      <c r="A14421" s="1">
        <v>43556</v>
      </c>
      <c r="B14421" t="s">
        <v>20</v>
      </c>
      <c r="C14421" t="s">
        <v>8</v>
      </c>
      <c r="D14421">
        <v>46</v>
      </c>
      <c r="E14421" s="2">
        <v>4.5578703703703705E-2</v>
      </c>
      <c r="F14421">
        <v>65.63333333333334</v>
      </c>
    </row>
    <row r="14422" spans="1:6" x14ac:dyDescent="0.25">
      <c r="A14422" s="1">
        <v>43556</v>
      </c>
      <c r="B14422" t="s">
        <v>20</v>
      </c>
      <c r="C14422" t="s">
        <v>9</v>
      </c>
      <c r="D14422">
        <v>0</v>
      </c>
      <c r="E14422" s="2">
        <v>0</v>
      </c>
      <c r="F14422">
        <v>0</v>
      </c>
    </row>
    <row r="14423" spans="1:6" x14ac:dyDescent="0.25">
      <c r="A14423" s="1">
        <v>43556</v>
      </c>
      <c r="B14423" t="s">
        <v>20</v>
      </c>
      <c r="C14423" t="s">
        <v>10</v>
      </c>
      <c r="D14423">
        <v>10</v>
      </c>
      <c r="E14423" s="2">
        <v>1.3472222222222222E-2</v>
      </c>
      <c r="F14423">
        <v>19.399999999999999</v>
      </c>
    </row>
    <row r="14424" spans="1:6" x14ac:dyDescent="0.25">
      <c r="A14424" s="1">
        <v>43556</v>
      </c>
      <c r="B14424" t="s">
        <v>20</v>
      </c>
      <c r="C14424" t="s">
        <v>11</v>
      </c>
      <c r="D14424">
        <v>45</v>
      </c>
      <c r="E14424" s="2">
        <v>4.4641203703703704E-2</v>
      </c>
      <c r="F14424">
        <v>64.283333333333331</v>
      </c>
    </row>
    <row r="14425" spans="1:6" x14ac:dyDescent="0.25">
      <c r="A14425" s="1">
        <v>43556</v>
      </c>
      <c r="B14425" t="s">
        <v>21</v>
      </c>
      <c r="C14425" t="s">
        <v>6</v>
      </c>
      <c r="D14425">
        <v>17</v>
      </c>
      <c r="E14425" s="2">
        <v>2.6365740740740742E-2</v>
      </c>
      <c r="F14425">
        <v>37.966666666666669</v>
      </c>
    </row>
    <row r="14426" spans="1:6" x14ac:dyDescent="0.25">
      <c r="A14426" s="1">
        <v>43556</v>
      </c>
      <c r="B14426" t="s">
        <v>21</v>
      </c>
      <c r="C14426" t="s">
        <v>7</v>
      </c>
      <c r="D14426">
        <v>15</v>
      </c>
      <c r="E14426" s="2">
        <v>2.4687500000000001E-2</v>
      </c>
      <c r="F14426">
        <v>35.549999999999997</v>
      </c>
    </row>
    <row r="14427" spans="1:6" x14ac:dyDescent="0.25">
      <c r="A14427" s="1">
        <v>43556</v>
      </c>
      <c r="B14427" t="s">
        <v>21</v>
      </c>
      <c r="C14427" t="s">
        <v>8</v>
      </c>
      <c r="D14427">
        <v>18</v>
      </c>
      <c r="E14427" s="2">
        <v>2.5613425925925925E-2</v>
      </c>
      <c r="F14427">
        <v>36.883333333333333</v>
      </c>
    </row>
    <row r="14428" spans="1:6" x14ac:dyDescent="0.25">
      <c r="A14428" s="1">
        <v>43556</v>
      </c>
      <c r="B14428" t="s">
        <v>21</v>
      </c>
      <c r="C14428" t="s">
        <v>9</v>
      </c>
      <c r="D14428">
        <v>0</v>
      </c>
      <c r="E14428" s="2">
        <v>0</v>
      </c>
      <c r="F14428">
        <v>0</v>
      </c>
    </row>
    <row r="14429" spans="1:6" x14ac:dyDescent="0.25">
      <c r="A14429" s="1">
        <v>43556</v>
      </c>
      <c r="B14429" t="s">
        <v>21</v>
      </c>
      <c r="C14429" t="s">
        <v>10</v>
      </c>
      <c r="D14429">
        <v>10</v>
      </c>
      <c r="E14429" s="2">
        <v>1.5613425925925926E-2</v>
      </c>
      <c r="F14429">
        <v>22.483333333333334</v>
      </c>
    </row>
    <row r="14430" spans="1:6" x14ac:dyDescent="0.25">
      <c r="A14430" s="1">
        <v>43556</v>
      </c>
      <c r="B14430" t="s">
        <v>21</v>
      </c>
      <c r="C14430" t="s">
        <v>11</v>
      </c>
      <c r="D14430">
        <v>20</v>
      </c>
      <c r="E14430" s="2">
        <v>2.4120370370370372E-2</v>
      </c>
      <c r="F14430">
        <v>34.733333333333334</v>
      </c>
    </row>
    <row r="14431" spans="1:6" x14ac:dyDescent="0.25">
      <c r="A14431" s="1">
        <v>43556</v>
      </c>
      <c r="B14431" t="s">
        <v>22</v>
      </c>
      <c r="C14431" t="s">
        <v>6</v>
      </c>
      <c r="D14431">
        <v>17</v>
      </c>
      <c r="E14431" s="2">
        <v>2.9502314814814815E-2</v>
      </c>
      <c r="F14431">
        <v>42.483333333333334</v>
      </c>
    </row>
    <row r="14432" spans="1:6" x14ac:dyDescent="0.25">
      <c r="A14432" s="1">
        <v>43556</v>
      </c>
      <c r="B14432" t="s">
        <v>22</v>
      </c>
      <c r="C14432" t="s">
        <v>7</v>
      </c>
      <c r="D14432">
        <v>12</v>
      </c>
      <c r="E14432" s="2">
        <v>2.1967592592592594E-2</v>
      </c>
      <c r="F14432">
        <v>31.633333333333333</v>
      </c>
    </row>
    <row r="14433" spans="1:6" x14ac:dyDescent="0.25">
      <c r="A14433" s="1">
        <v>43556</v>
      </c>
      <c r="B14433" t="s">
        <v>22</v>
      </c>
      <c r="C14433" t="s">
        <v>8</v>
      </c>
      <c r="D14433">
        <v>4</v>
      </c>
      <c r="E14433" s="2">
        <v>5.5555555555555558E-3</v>
      </c>
      <c r="F14433">
        <v>8</v>
      </c>
    </row>
    <row r="14434" spans="1:6" x14ac:dyDescent="0.25">
      <c r="A14434" s="1">
        <v>43556</v>
      </c>
      <c r="B14434" t="s">
        <v>22</v>
      </c>
      <c r="C14434" t="s">
        <v>9</v>
      </c>
      <c r="D14434">
        <v>0</v>
      </c>
      <c r="E14434" s="2">
        <v>0</v>
      </c>
      <c r="F14434">
        <v>0</v>
      </c>
    </row>
    <row r="14435" spans="1:6" x14ac:dyDescent="0.25">
      <c r="A14435" s="1">
        <v>43556</v>
      </c>
      <c r="B14435" t="s">
        <v>22</v>
      </c>
      <c r="C14435" t="s">
        <v>10</v>
      </c>
      <c r="D14435">
        <v>13</v>
      </c>
      <c r="E14435" s="2">
        <v>1.3495370370370371E-2</v>
      </c>
      <c r="F14435">
        <v>19.433333333333334</v>
      </c>
    </row>
    <row r="14436" spans="1:6" x14ac:dyDescent="0.25">
      <c r="A14436" s="1">
        <v>43556</v>
      </c>
      <c r="B14436" t="s">
        <v>22</v>
      </c>
      <c r="C14436" t="s">
        <v>11</v>
      </c>
      <c r="D14436">
        <v>10</v>
      </c>
      <c r="E14436" s="2">
        <v>1.0555555555555556E-2</v>
      </c>
      <c r="F14436">
        <v>15.2</v>
      </c>
    </row>
    <row r="14437" spans="1:6" x14ac:dyDescent="0.25">
      <c r="A14437" s="1">
        <v>43556</v>
      </c>
      <c r="B14437" t="s">
        <v>23</v>
      </c>
      <c r="C14437" t="s">
        <v>6</v>
      </c>
      <c r="D14437">
        <v>135</v>
      </c>
      <c r="E14437" s="2">
        <v>0.21753472222222223</v>
      </c>
      <c r="F14437">
        <v>313.25</v>
      </c>
    </row>
    <row r="14438" spans="1:6" x14ac:dyDescent="0.25">
      <c r="A14438" s="1">
        <v>43556</v>
      </c>
      <c r="B14438" t="s">
        <v>23</v>
      </c>
      <c r="C14438" t="s">
        <v>7</v>
      </c>
      <c r="D14438">
        <v>108</v>
      </c>
      <c r="E14438" s="2">
        <v>0.15461805555555555</v>
      </c>
      <c r="F14438">
        <v>222.65</v>
      </c>
    </row>
    <row r="14439" spans="1:6" x14ac:dyDescent="0.25">
      <c r="A14439" s="1">
        <v>43556</v>
      </c>
      <c r="B14439" t="s">
        <v>23</v>
      </c>
      <c r="C14439" t="s">
        <v>8</v>
      </c>
      <c r="D14439">
        <v>95</v>
      </c>
      <c r="E14439" s="2">
        <v>0.11618055555555555</v>
      </c>
      <c r="F14439">
        <v>167.3</v>
      </c>
    </row>
    <row r="14440" spans="1:6" x14ac:dyDescent="0.25">
      <c r="A14440" s="1">
        <v>43556</v>
      </c>
      <c r="B14440" t="s">
        <v>23</v>
      </c>
      <c r="C14440" t="s">
        <v>9</v>
      </c>
      <c r="D14440">
        <v>0</v>
      </c>
      <c r="E14440" s="2">
        <v>0</v>
      </c>
      <c r="F14440">
        <v>0</v>
      </c>
    </row>
    <row r="14441" spans="1:6" x14ac:dyDescent="0.25">
      <c r="A14441" s="1">
        <v>43556</v>
      </c>
      <c r="B14441" t="s">
        <v>23</v>
      </c>
      <c r="C14441" t="s">
        <v>10</v>
      </c>
      <c r="D14441">
        <v>33</v>
      </c>
      <c r="E14441" s="2">
        <v>3.8668981481481485E-2</v>
      </c>
      <c r="F14441">
        <v>55.68333333333333</v>
      </c>
    </row>
    <row r="14442" spans="1:6" x14ac:dyDescent="0.25">
      <c r="A14442" s="1">
        <v>43556</v>
      </c>
      <c r="B14442" t="s">
        <v>23</v>
      </c>
      <c r="C14442" t="s">
        <v>11</v>
      </c>
      <c r="D14442">
        <v>106</v>
      </c>
      <c r="E14442" s="2">
        <v>0.11271990740740741</v>
      </c>
      <c r="F14442">
        <v>162.31666666666666</v>
      </c>
    </row>
    <row r="14443" spans="1:6" x14ac:dyDescent="0.25">
      <c r="A14443" s="1">
        <v>43556</v>
      </c>
      <c r="B14443" t="s">
        <v>24</v>
      </c>
      <c r="C14443" t="s">
        <v>6</v>
      </c>
      <c r="D14443">
        <v>10</v>
      </c>
      <c r="E14443" s="2">
        <v>1.6111111111111111E-2</v>
      </c>
      <c r="F14443">
        <v>23.2</v>
      </c>
    </row>
    <row r="14444" spans="1:6" x14ac:dyDescent="0.25">
      <c r="A14444" s="1">
        <v>43556</v>
      </c>
      <c r="B14444" t="s">
        <v>24</v>
      </c>
      <c r="C14444" t="s">
        <v>7</v>
      </c>
      <c r="D14444">
        <v>16</v>
      </c>
      <c r="E14444" s="2">
        <v>2.101851851851852E-2</v>
      </c>
      <c r="F14444">
        <v>30.266666666666666</v>
      </c>
    </row>
    <row r="14445" spans="1:6" x14ac:dyDescent="0.25">
      <c r="A14445" s="1">
        <v>43556</v>
      </c>
      <c r="B14445" t="s">
        <v>24</v>
      </c>
      <c r="C14445" t="s">
        <v>8</v>
      </c>
      <c r="D14445">
        <v>12</v>
      </c>
      <c r="E14445" s="2">
        <v>1.6030092592592592E-2</v>
      </c>
      <c r="F14445">
        <v>23.083333333333332</v>
      </c>
    </row>
    <row r="14446" spans="1:6" x14ac:dyDescent="0.25">
      <c r="A14446" s="1">
        <v>43556</v>
      </c>
      <c r="B14446" t="s">
        <v>24</v>
      </c>
      <c r="C14446" t="s">
        <v>9</v>
      </c>
      <c r="D14446">
        <v>0</v>
      </c>
      <c r="E14446" s="2">
        <v>0</v>
      </c>
      <c r="F14446">
        <v>0</v>
      </c>
    </row>
    <row r="14447" spans="1:6" x14ac:dyDescent="0.25">
      <c r="A14447" s="1">
        <v>43556</v>
      </c>
      <c r="B14447" t="s">
        <v>24</v>
      </c>
      <c r="C14447" t="s">
        <v>10</v>
      </c>
      <c r="D14447">
        <v>1</v>
      </c>
      <c r="E14447" s="2">
        <v>1.7939814814814815E-3</v>
      </c>
      <c r="F14447">
        <v>2.5833333333333335</v>
      </c>
    </row>
    <row r="14448" spans="1:6" x14ac:dyDescent="0.25">
      <c r="A14448" s="1">
        <v>43556</v>
      </c>
      <c r="B14448" t="s">
        <v>24</v>
      </c>
      <c r="C14448" t="s">
        <v>11</v>
      </c>
      <c r="D14448">
        <v>21</v>
      </c>
      <c r="E14448" s="2">
        <v>1.7719907407407406E-2</v>
      </c>
      <c r="F14448">
        <v>25.516666666666666</v>
      </c>
    </row>
    <row r="14449" spans="1:6" x14ac:dyDescent="0.25">
      <c r="A14449" s="1">
        <v>43586</v>
      </c>
      <c r="B14449" t="s">
        <v>5</v>
      </c>
      <c r="C14449" t="s">
        <v>6</v>
      </c>
      <c r="D14449">
        <v>12</v>
      </c>
      <c r="E14449" s="2">
        <v>1.3321759259259259E-2</v>
      </c>
      <c r="F14449">
        <v>19.183333333333334</v>
      </c>
    </row>
    <row r="14450" spans="1:6" x14ac:dyDescent="0.25">
      <c r="A14450" s="1">
        <v>43586</v>
      </c>
      <c r="B14450" t="s">
        <v>5</v>
      </c>
      <c r="C14450" t="s">
        <v>7</v>
      </c>
      <c r="D14450">
        <v>9</v>
      </c>
      <c r="E14450" s="2">
        <v>7.083333333333333E-3</v>
      </c>
      <c r="F14450">
        <v>10.199999999999999</v>
      </c>
    </row>
    <row r="14451" spans="1:6" x14ac:dyDescent="0.25">
      <c r="A14451" s="1">
        <v>43586</v>
      </c>
      <c r="B14451" t="s">
        <v>5</v>
      </c>
      <c r="C14451" t="s">
        <v>8</v>
      </c>
      <c r="D14451">
        <v>10</v>
      </c>
      <c r="E14451" s="2">
        <v>9.479166666666667E-3</v>
      </c>
      <c r="F14451">
        <v>13.65</v>
      </c>
    </row>
    <row r="14452" spans="1:6" x14ac:dyDescent="0.25">
      <c r="A14452" s="1">
        <v>43586</v>
      </c>
      <c r="B14452" t="s">
        <v>5</v>
      </c>
      <c r="C14452" t="s">
        <v>9</v>
      </c>
      <c r="D14452">
        <v>0</v>
      </c>
      <c r="E14452" s="2">
        <v>0</v>
      </c>
      <c r="F14452">
        <v>0</v>
      </c>
    </row>
    <row r="14453" spans="1:6" x14ac:dyDescent="0.25">
      <c r="A14453" s="1">
        <v>43586</v>
      </c>
      <c r="B14453" t="s">
        <v>5</v>
      </c>
      <c r="C14453" t="s">
        <v>10</v>
      </c>
      <c r="D14453">
        <v>1</v>
      </c>
      <c r="E14453" s="2">
        <v>1.0763888888888889E-3</v>
      </c>
      <c r="F14453">
        <v>1.55</v>
      </c>
    </row>
    <row r="14454" spans="1:6" x14ac:dyDescent="0.25">
      <c r="A14454" s="1">
        <v>43586</v>
      </c>
      <c r="B14454" t="s">
        <v>5</v>
      </c>
      <c r="C14454" t="s">
        <v>11</v>
      </c>
      <c r="D14454">
        <v>9</v>
      </c>
      <c r="E14454" s="2">
        <v>5.8101851851851856E-3</v>
      </c>
      <c r="F14454">
        <v>8.3666666666666671</v>
      </c>
    </row>
    <row r="14455" spans="1:6" x14ac:dyDescent="0.25">
      <c r="A14455" s="1">
        <v>43586</v>
      </c>
      <c r="B14455" t="s">
        <v>12</v>
      </c>
      <c r="C14455" t="s">
        <v>6</v>
      </c>
      <c r="D14455">
        <v>22</v>
      </c>
      <c r="E14455" s="2">
        <v>3.6851851851851851E-2</v>
      </c>
      <c r="F14455">
        <v>53.06666666666667</v>
      </c>
    </row>
    <row r="14456" spans="1:6" x14ac:dyDescent="0.25">
      <c r="A14456" s="1">
        <v>43586</v>
      </c>
      <c r="B14456" t="s">
        <v>12</v>
      </c>
      <c r="C14456" t="s">
        <v>7</v>
      </c>
      <c r="D14456">
        <v>21</v>
      </c>
      <c r="E14456" s="2">
        <v>3.2962962962962965E-2</v>
      </c>
      <c r="F14456">
        <v>47.466666666666669</v>
      </c>
    </row>
    <row r="14457" spans="1:6" x14ac:dyDescent="0.25">
      <c r="A14457" s="1">
        <v>43586</v>
      </c>
      <c r="B14457" t="s">
        <v>12</v>
      </c>
      <c r="C14457" t="s">
        <v>8</v>
      </c>
      <c r="D14457">
        <v>33</v>
      </c>
      <c r="E14457" s="2">
        <v>4.3969907407407409E-2</v>
      </c>
      <c r="F14457">
        <v>63.31666666666667</v>
      </c>
    </row>
    <row r="14458" spans="1:6" x14ac:dyDescent="0.25">
      <c r="A14458" s="1">
        <v>43586</v>
      </c>
      <c r="B14458" t="s">
        <v>12</v>
      </c>
      <c r="C14458" t="s">
        <v>9</v>
      </c>
      <c r="D14458">
        <v>0</v>
      </c>
      <c r="E14458" s="2">
        <v>0</v>
      </c>
      <c r="F14458">
        <v>0</v>
      </c>
    </row>
    <row r="14459" spans="1:6" x14ac:dyDescent="0.25">
      <c r="A14459" s="1">
        <v>43586</v>
      </c>
      <c r="B14459" t="s">
        <v>12</v>
      </c>
      <c r="C14459" t="s">
        <v>10</v>
      </c>
      <c r="D14459">
        <v>25</v>
      </c>
      <c r="E14459" s="2">
        <v>3.7870370370370374E-2</v>
      </c>
      <c r="F14459">
        <v>54.533333333333331</v>
      </c>
    </row>
    <row r="14460" spans="1:6" x14ac:dyDescent="0.25">
      <c r="A14460" s="1">
        <v>43586</v>
      </c>
      <c r="B14460" t="s">
        <v>12</v>
      </c>
      <c r="C14460" t="s">
        <v>11</v>
      </c>
      <c r="D14460">
        <v>54</v>
      </c>
      <c r="E14460" s="2">
        <v>5.8784722222222224E-2</v>
      </c>
      <c r="F14460">
        <v>84.65</v>
      </c>
    </row>
    <row r="14461" spans="1:6" x14ac:dyDescent="0.25">
      <c r="A14461" s="1">
        <v>43586</v>
      </c>
      <c r="B14461" t="s">
        <v>13</v>
      </c>
      <c r="C14461" t="s">
        <v>6</v>
      </c>
      <c r="D14461">
        <v>88</v>
      </c>
      <c r="E14461" s="2">
        <v>0.15412037037037038</v>
      </c>
      <c r="F14461">
        <v>221.93333333333334</v>
      </c>
    </row>
    <row r="14462" spans="1:6" x14ac:dyDescent="0.25">
      <c r="A14462" s="1">
        <v>43586</v>
      </c>
      <c r="B14462" t="s">
        <v>13</v>
      </c>
      <c r="C14462" t="s">
        <v>7</v>
      </c>
      <c r="D14462">
        <v>73</v>
      </c>
      <c r="E14462" s="2">
        <v>0.11770833333333333</v>
      </c>
      <c r="F14462">
        <v>169.5</v>
      </c>
    </row>
    <row r="14463" spans="1:6" x14ac:dyDescent="0.25">
      <c r="A14463" s="1">
        <v>43586</v>
      </c>
      <c r="B14463" t="s">
        <v>13</v>
      </c>
      <c r="C14463" t="s">
        <v>8</v>
      </c>
      <c r="D14463">
        <v>48</v>
      </c>
      <c r="E14463" s="2">
        <v>6.1331018518518521E-2</v>
      </c>
      <c r="F14463">
        <v>88.316666666666663</v>
      </c>
    </row>
    <row r="14464" spans="1:6" x14ac:dyDescent="0.25">
      <c r="A14464" s="1">
        <v>43586</v>
      </c>
      <c r="B14464" t="s">
        <v>13</v>
      </c>
      <c r="C14464" t="s">
        <v>9</v>
      </c>
      <c r="D14464">
        <v>0</v>
      </c>
      <c r="E14464" s="2">
        <v>0</v>
      </c>
      <c r="F14464">
        <v>0</v>
      </c>
    </row>
    <row r="14465" spans="1:6" x14ac:dyDescent="0.25">
      <c r="A14465" s="1">
        <v>43586</v>
      </c>
      <c r="B14465" t="s">
        <v>13</v>
      </c>
      <c r="C14465" t="s">
        <v>10</v>
      </c>
      <c r="D14465">
        <v>13</v>
      </c>
      <c r="E14465" s="2">
        <v>1.6932870370370369E-2</v>
      </c>
      <c r="F14465">
        <v>24.383333333333333</v>
      </c>
    </row>
    <row r="14466" spans="1:6" x14ac:dyDescent="0.25">
      <c r="A14466" s="1">
        <v>43586</v>
      </c>
      <c r="B14466" t="s">
        <v>13</v>
      </c>
      <c r="C14466" t="s">
        <v>11</v>
      </c>
      <c r="D14466">
        <v>28</v>
      </c>
      <c r="E14466" s="2">
        <v>3.0185185185185186E-2</v>
      </c>
      <c r="F14466">
        <v>43.466666666666669</v>
      </c>
    </row>
    <row r="14467" spans="1:6" x14ac:dyDescent="0.25">
      <c r="A14467" s="1">
        <v>43586</v>
      </c>
      <c r="B14467" t="s">
        <v>14</v>
      </c>
      <c r="C14467" t="s">
        <v>6</v>
      </c>
      <c r="D14467">
        <v>9</v>
      </c>
      <c r="E14467" s="2">
        <v>1.3634259259259259E-2</v>
      </c>
      <c r="F14467">
        <v>19.633333333333333</v>
      </c>
    </row>
    <row r="14468" spans="1:6" x14ac:dyDescent="0.25">
      <c r="A14468" s="1">
        <v>43586</v>
      </c>
      <c r="B14468" t="s">
        <v>14</v>
      </c>
      <c r="C14468" t="s">
        <v>7</v>
      </c>
      <c r="D14468">
        <v>5</v>
      </c>
      <c r="E14468" s="2">
        <v>7.1643518518518514E-3</v>
      </c>
      <c r="F14468">
        <v>10.316666666666666</v>
      </c>
    </row>
    <row r="14469" spans="1:6" x14ac:dyDescent="0.25">
      <c r="A14469" s="1">
        <v>43586</v>
      </c>
      <c r="B14469" t="s">
        <v>14</v>
      </c>
      <c r="C14469" t="s">
        <v>8</v>
      </c>
      <c r="D14469">
        <v>4</v>
      </c>
      <c r="E14469" s="2">
        <v>5.3125000000000004E-3</v>
      </c>
      <c r="F14469">
        <v>7.65</v>
      </c>
    </row>
    <row r="14470" spans="1:6" x14ac:dyDescent="0.25">
      <c r="A14470" s="1">
        <v>43586</v>
      </c>
      <c r="B14470" t="s">
        <v>14</v>
      </c>
      <c r="C14470" t="s">
        <v>9</v>
      </c>
      <c r="D14470">
        <v>0</v>
      </c>
      <c r="E14470" s="2">
        <v>0</v>
      </c>
      <c r="F14470">
        <v>0</v>
      </c>
    </row>
    <row r="14471" spans="1:6" x14ac:dyDescent="0.25">
      <c r="A14471" s="1">
        <v>43586</v>
      </c>
      <c r="B14471" t="s">
        <v>14</v>
      </c>
      <c r="C14471" t="s">
        <v>10</v>
      </c>
      <c r="D14471">
        <v>3</v>
      </c>
      <c r="E14471" s="2">
        <v>4.5949074074074078E-3</v>
      </c>
      <c r="F14471">
        <v>6.6166666666666671</v>
      </c>
    </row>
    <row r="14472" spans="1:6" x14ac:dyDescent="0.25">
      <c r="A14472" s="1">
        <v>43586</v>
      </c>
      <c r="B14472" t="s">
        <v>14</v>
      </c>
      <c r="C14472" t="s">
        <v>11</v>
      </c>
      <c r="D14472">
        <v>5</v>
      </c>
      <c r="E14472" s="2">
        <v>6.5740740740740742E-3</v>
      </c>
      <c r="F14472">
        <v>9.4666666666666668</v>
      </c>
    </row>
    <row r="14473" spans="1:6" x14ac:dyDescent="0.25">
      <c r="A14473" s="1">
        <v>43586</v>
      </c>
      <c r="B14473" t="s">
        <v>15</v>
      </c>
      <c r="C14473" t="s">
        <v>6</v>
      </c>
      <c r="D14473">
        <v>21</v>
      </c>
      <c r="E14473" s="2">
        <v>3.802083333333333E-2</v>
      </c>
      <c r="F14473">
        <v>54.75</v>
      </c>
    </row>
    <row r="14474" spans="1:6" x14ac:dyDescent="0.25">
      <c r="A14474" s="1">
        <v>43586</v>
      </c>
      <c r="B14474" t="s">
        <v>15</v>
      </c>
      <c r="C14474" t="s">
        <v>7</v>
      </c>
      <c r="D14474">
        <v>19</v>
      </c>
      <c r="E14474" s="2">
        <v>3.1921296296296295E-2</v>
      </c>
      <c r="F14474">
        <v>45.966666666666669</v>
      </c>
    </row>
    <row r="14475" spans="1:6" x14ac:dyDescent="0.25">
      <c r="A14475" s="1">
        <v>43586</v>
      </c>
      <c r="B14475" t="s">
        <v>15</v>
      </c>
      <c r="C14475" t="s">
        <v>8</v>
      </c>
      <c r="D14475">
        <v>23</v>
      </c>
      <c r="E14475" s="2">
        <v>3.1400462962962963E-2</v>
      </c>
      <c r="F14475">
        <v>45.216666666666669</v>
      </c>
    </row>
    <row r="14476" spans="1:6" x14ac:dyDescent="0.25">
      <c r="A14476" s="1">
        <v>43586</v>
      </c>
      <c r="B14476" t="s">
        <v>15</v>
      </c>
      <c r="C14476" t="s">
        <v>9</v>
      </c>
      <c r="D14476">
        <v>0</v>
      </c>
      <c r="E14476" s="2">
        <v>0</v>
      </c>
      <c r="F14476">
        <v>0</v>
      </c>
    </row>
    <row r="14477" spans="1:6" x14ac:dyDescent="0.25">
      <c r="A14477" s="1">
        <v>43586</v>
      </c>
      <c r="B14477" t="s">
        <v>15</v>
      </c>
      <c r="C14477" t="s">
        <v>10</v>
      </c>
      <c r="D14477">
        <v>13</v>
      </c>
      <c r="E14477" s="2">
        <v>1.758101851851852E-2</v>
      </c>
      <c r="F14477">
        <v>25.316666666666666</v>
      </c>
    </row>
    <row r="14478" spans="1:6" x14ac:dyDescent="0.25">
      <c r="A14478" s="1">
        <v>43586</v>
      </c>
      <c r="B14478" t="s">
        <v>15</v>
      </c>
      <c r="C14478" t="s">
        <v>11</v>
      </c>
      <c r="D14478">
        <v>15</v>
      </c>
      <c r="E14478" s="2">
        <v>1.5833333333333335E-2</v>
      </c>
      <c r="F14478">
        <v>22.8</v>
      </c>
    </row>
    <row r="14479" spans="1:6" x14ac:dyDescent="0.25">
      <c r="A14479" s="1">
        <v>43586</v>
      </c>
      <c r="B14479" t="s">
        <v>16</v>
      </c>
      <c r="C14479" t="s">
        <v>6</v>
      </c>
      <c r="D14479">
        <v>16</v>
      </c>
      <c r="E14479" s="2">
        <v>2.2534722222222223E-2</v>
      </c>
      <c r="F14479">
        <v>32.450000000000003</v>
      </c>
    </row>
    <row r="14480" spans="1:6" x14ac:dyDescent="0.25">
      <c r="A14480" s="1">
        <v>43586</v>
      </c>
      <c r="B14480" t="s">
        <v>16</v>
      </c>
      <c r="C14480" t="s">
        <v>7</v>
      </c>
      <c r="D14480">
        <v>20</v>
      </c>
      <c r="E14480" s="2">
        <v>1.8831018518518518E-2</v>
      </c>
      <c r="F14480">
        <v>27.116666666666667</v>
      </c>
    </row>
    <row r="14481" spans="1:6" x14ac:dyDescent="0.25">
      <c r="A14481" s="1">
        <v>43586</v>
      </c>
      <c r="B14481" t="s">
        <v>16</v>
      </c>
      <c r="C14481" t="s">
        <v>8</v>
      </c>
      <c r="D14481">
        <v>25</v>
      </c>
      <c r="E14481" s="2">
        <v>2.3414351851851853E-2</v>
      </c>
      <c r="F14481">
        <v>33.716666666666669</v>
      </c>
    </row>
    <row r="14482" spans="1:6" x14ac:dyDescent="0.25">
      <c r="A14482" s="1">
        <v>43586</v>
      </c>
      <c r="B14482" t="s">
        <v>16</v>
      </c>
      <c r="C14482" t="s">
        <v>9</v>
      </c>
      <c r="D14482">
        <v>0</v>
      </c>
      <c r="E14482" s="2">
        <v>0</v>
      </c>
      <c r="F14482">
        <v>0</v>
      </c>
    </row>
    <row r="14483" spans="1:6" x14ac:dyDescent="0.25">
      <c r="A14483" s="1">
        <v>43586</v>
      </c>
      <c r="B14483" t="s">
        <v>16</v>
      </c>
      <c r="C14483" t="s">
        <v>10</v>
      </c>
      <c r="D14483">
        <v>1</v>
      </c>
      <c r="E14483" s="2">
        <v>2.4305555555555555E-4</v>
      </c>
      <c r="F14483">
        <v>0.35</v>
      </c>
    </row>
    <row r="14484" spans="1:6" x14ac:dyDescent="0.25">
      <c r="A14484" s="1">
        <v>43586</v>
      </c>
      <c r="B14484" t="s">
        <v>16</v>
      </c>
      <c r="C14484" t="s">
        <v>11</v>
      </c>
      <c r="D14484">
        <v>25</v>
      </c>
      <c r="E14484" s="2">
        <v>1.9756944444444445E-2</v>
      </c>
      <c r="F14484">
        <v>28.45</v>
      </c>
    </row>
    <row r="14485" spans="1:6" x14ac:dyDescent="0.25">
      <c r="A14485" s="1">
        <v>43586</v>
      </c>
      <c r="B14485" t="s">
        <v>17</v>
      </c>
      <c r="C14485" t="s">
        <v>6</v>
      </c>
      <c r="D14485">
        <v>6</v>
      </c>
      <c r="E14485" s="2">
        <v>1.8171296296296297E-2</v>
      </c>
      <c r="F14485">
        <v>26.166666666666668</v>
      </c>
    </row>
    <row r="14486" spans="1:6" x14ac:dyDescent="0.25">
      <c r="A14486" s="1">
        <v>43586</v>
      </c>
      <c r="B14486" t="s">
        <v>17</v>
      </c>
      <c r="C14486" t="s">
        <v>7</v>
      </c>
      <c r="D14486">
        <v>7</v>
      </c>
      <c r="E14486" s="2">
        <v>1.2152777777777778E-2</v>
      </c>
      <c r="F14486">
        <v>17.5</v>
      </c>
    </row>
    <row r="14487" spans="1:6" x14ac:dyDescent="0.25">
      <c r="A14487" s="1">
        <v>43586</v>
      </c>
      <c r="B14487" t="s">
        <v>17</v>
      </c>
      <c r="C14487" t="s">
        <v>8</v>
      </c>
      <c r="D14487">
        <v>10</v>
      </c>
      <c r="E14487" s="2">
        <v>1.0995370370370371E-2</v>
      </c>
      <c r="F14487">
        <v>15.833333333333334</v>
      </c>
    </row>
    <row r="14488" spans="1:6" x14ac:dyDescent="0.25">
      <c r="A14488" s="1">
        <v>43586</v>
      </c>
      <c r="B14488" t="s">
        <v>17</v>
      </c>
      <c r="C14488" t="s">
        <v>9</v>
      </c>
      <c r="D14488">
        <v>0</v>
      </c>
      <c r="E14488" s="2">
        <v>0</v>
      </c>
      <c r="F14488">
        <v>0</v>
      </c>
    </row>
    <row r="14489" spans="1:6" x14ac:dyDescent="0.25">
      <c r="A14489" s="1">
        <v>43586</v>
      </c>
      <c r="B14489" t="s">
        <v>17</v>
      </c>
      <c r="C14489" t="s">
        <v>10</v>
      </c>
      <c r="D14489">
        <v>11</v>
      </c>
      <c r="E14489" s="2">
        <v>1.2615740740740742E-2</v>
      </c>
      <c r="F14489">
        <v>18.166666666666668</v>
      </c>
    </row>
    <row r="14490" spans="1:6" x14ac:dyDescent="0.25">
      <c r="A14490" s="1">
        <v>43586</v>
      </c>
      <c r="B14490" t="s">
        <v>17</v>
      </c>
      <c r="C14490" t="s">
        <v>11</v>
      </c>
      <c r="D14490">
        <v>3</v>
      </c>
      <c r="E14490" s="2">
        <v>2.8472222222222223E-3</v>
      </c>
      <c r="F14490">
        <v>4.0999999999999996</v>
      </c>
    </row>
    <row r="14491" spans="1:6" x14ac:dyDescent="0.25">
      <c r="A14491" s="1">
        <v>43586</v>
      </c>
      <c r="B14491" t="s">
        <v>18</v>
      </c>
      <c r="C14491" t="s">
        <v>6</v>
      </c>
      <c r="D14491">
        <v>78</v>
      </c>
      <c r="E14491" s="2">
        <v>9.8171296296296298E-2</v>
      </c>
      <c r="F14491">
        <v>141.36666666666667</v>
      </c>
    </row>
    <row r="14492" spans="1:6" x14ac:dyDescent="0.25">
      <c r="A14492" s="1">
        <v>43586</v>
      </c>
      <c r="B14492" t="s">
        <v>18</v>
      </c>
      <c r="C14492" t="s">
        <v>7</v>
      </c>
      <c r="D14492">
        <v>82</v>
      </c>
      <c r="E14492" s="2">
        <v>0.10596064814814815</v>
      </c>
      <c r="F14492">
        <v>152.58333333333334</v>
      </c>
    </row>
    <row r="14493" spans="1:6" x14ac:dyDescent="0.25">
      <c r="A14493" s="1">
        <v>43586</v>
      </c>
      <c r="B14493" t="s">
        <v>18</v>
      </c>
      <c r="C14493" t="s">
        <v>8</v>
      </c>
      <c r="D14493">
        <v>71</v>
      </c>
      <c r="E14493" s="2">
        <v>7.9166666666666663E-2</v>
      </c>
      <c r="F14493">
        <v>114</v>
      </c>
    </row>
    <row r="14494" spans="1:6" x14ac:dyDescent="0.25">
      <c r="A14494" s="1">
        <v>43586</v>
      </c>
      <c r="B14494" t="s">
        <v>18</v>
      </c>
      <c r="C14494" t="s">
        <v>9</v>
      </c>
      <c r="D14494">
        <v>0</v>
      </c>
      <c r="E14494" s="2">
        <v>0</v>
      </c>
      <c r="F14494">
        <v>0</v>
      </c>
    </row>
    <row r="14495" spans="1:6" x14ac:dyDescent="0.25">
      <c r="A14495" s="1">
        <v>43586</v>
      </c>
      <c r="B14495" t="s">
        <v>18</v>
      </c>
      <c r="C14495" t="s">
        <v>10</v>
      </c>
      <c r="D14495">
        <v>156</v>
      </c>
      <c r="E14495" s="2">
        <v>0.21917824074074074</v>
      </c>
      <c r="F14495">
        <v>315.61666666666667</v>
      </c>
    </row>
    <row r="14496" spans="1:6" x14ac:dyDescent="0.25">
      <c r="A14496" s="1">
        <v>43586</v>
      </c>
      <c r="B14496" t="s">
        <v>18</v>
      </c>
      <c r="C14496" t="s">
        <v>11</v>
      </c>
      <c r="D14496">
        <v>104</v>
      </c>
      <c r="E14496" s="2">
        <v>0.10680555555555556</v>
      </c>
      <c r="F14496">
        <v>153.80000000000001</v>
      </c>
    </row>
    <row r="14497" spans="1:6" x14ac:dyDescent="0.25">
      <c r="A14497" s="1">
        <v>43586</v>
      </c>
      <c r="B14497" t="s">
        <v>19</v>
      </c>
      <c r="C14497" t="s">
        <v>6</v>
      </c>
      <c r="D14497">
        <v>21</v>
      </c>
      <c r="E14497" s="2">
        <v>3.0578703703703705E-2</v>
      </c>
      <c r="F14497">
        <v>44.033333333333331</v>
      </c>
    </row>
    <row r="14498" spans="1:6" x14ac:dyDescent="0.25">
      <c r="A14498" s="1">
        <v>43586</v>
      </c>
      <c r="B14498" t="s">
        <v>19</v>
      </c>
      <c r="C14498" t="s">
        <v>7</v>
      </c>
      <c r="D14498">
        <v>22</v>
      </c>
      <c r="E14498" s="2">
        <v>2.5219907407407406E-2</v>
      </c>
      <c r="F14498">
        <v>36.31666666666667</v>
      </c>
    </row>
    <row r="14499" spans="1:6" x14ac:dyDescent="0.25">
      <c r="A14499" s="1">
        <v>43586</v>
      </c>
      <c r="B14499" t="s">
        <v>19</v>
      </c>
      <c r="C14499" t="s">
        <v>8</v>
      </c>
      <c r="D14499">
        <v>28</v>
      </c>
      <c r="E14499" s="2">
        <v>3.0312499999999999E-2</v>
      </c>
      <c r="F14499">
        <v>43.65</v>
      </c>
    </row>
    <row r="14500" spans="1:6" x14ac:dyDescent="0.25">
      <c r="A14500" s="1">
        <v>43586</v>
      </c>
      <c r="B14500" t="s">
        <v>19</v>
      </c>
      <c r="C14500" t="s">
        <v>9</v>
      </c>
      <c r="D14500">
        <v>0</v>
      </c>
      <c r="E14500" s="2">
        <v>0</v>
      </c>
      <c r="F14500">
        <v>0</v>
      </c>
    </row>
    <row r="14501" spans="1:6" x14ac:dyDescent="0.25">
      <c r="A14501" s="1">
        <v>43586</v>
      </c>
      <c r="B14501" t="s">
        <v>19</v>
      </c>
      <c r="C14501" t="s">
        <v>10</v>
      </c>
      <c r="D14501">
        <v>9</v>
      </c>
      <c r="E14501" s="2">
        <v>1.2303240740740741E-2</v>
      </c>
      <c r="F14501">
        <v>17.716666666666665</v>
      </c>
    </row>
    <row r="14502" spans="1:6" x14ac:dyDescent="0.25">
      <c r="A14502" s="1">
        <v>43586</v>
      </c>
      <c r="B14502" t="s">
        <v>19</v>
      </c>
      <c r="C14502" t="s">
        <v>11</v>
      </c>
      <c r="D14502">
        <v>31</v>
      </c>
      <c r="E14502" s="2">
        <v>2.8055555555555556E-2</v>
      </c>
      <c r="F14502">
        <v>40.4</v>
      </c>
    </row>
    <row r="14503" spans="1:6" x14ac:dyDescent="0.25">
      <c r="A14503" s="1">
        <v>43586</v>
      </c>
      <c r="B14503" t="s">
        <v>20</v>
      </c>
      <c r="C14503" t="s">
        <v>6</v>
      </c>
      <c r="D14503">
        <v>33</v>
      </c>
      <c r="E14503" s="2">
        <v>4.238425925925926E-2</v>
      </c>
      <c r="F14503">
        <v>61.033333333333331</v>
      </c>
    </row>
    <row r="14504" spans="1:6" x14ac:dyDescent="0.25">
      <c r="A14504" s="1">
        <v>43586</v>
      </c>
      <c r="B14504" t="s">
        <v>20</v>
      </c>
      <c r="C14504" t="s">
        <v>7</v>
      </c>
      <c r="D14504">
        <v>40</v>
      </c>
      <c r="E14504" s="2">
        <v>4.327546296296296E-2</v>
      </c>
      <c r="F14504">
        <v>62.31666666666667</v>
      </c>
    </row>
    <row r="14505" spans="1:6" x14ac:dyDescent="0.25">
      <c r="A14505" s="1">
        <v>43586</v>
      </c>
      <c r="B14505" t="s">
        <v>20</v>
      </c>
      <c r="C14505" t="s">
        <v>8</v>
      </c>
      <c r="D14505">
        <v>39</v>
      </c>
      <c r="E14505" s="2">
        <v>4.221064814814815E-2</v>
      </c>
      <c r="F14505">
        <v>60.783333333333331</v>
      </c>
    </row>
    <row r="14506" spans="1:6" x14ac:dyDescent="0.25">
      <c r="A14506" s="1">
        <v>43586</v>
      </c>
      <c r="B14506" t="s">
        <v>20</v>
      </c>
      <c r="C14506" t="s">
        <v>9</v>
      </c>
      <c r="D14506">
        <v>0</v>
      </c>
      <c r="E14506" s="2">
        <v>0</v>
      </c>
      <c r="F14506">
        <v>0</v>
      </c>
    </row>
    <row r="14507" spans="1:6" x14ac:dyDescent="0.25">
      <c r="A14507" s="1">
        <v>43586</v>
      </c>
      <c r="B14507" t="s">
        <v>20</v>
      </c>
      <c r="C14507" t="s">
        <v>10</v>
      </c>
      <c r="D14507">
        <v>6</v>
      </c>
      <c r="E14507" s="2">
        <v>7.9745370370370369E-3</v>
      </c>
      <c r="F14507">
        <v>11.483333333333333</v>
      </c>
    </row>
    <row r="14508" spans="1:6" x14ac:dyDescent="0.25">
      <c r="A14508" s="1">
        <v>43586</v>
      </c>
      <c r="B14508" t="s">
        <v>20</v>
      </c>
      <c r="C14508" t="s">
        <v>11</v>
      </c>
      <c r="D14508">
        <v>36</v>
      </c>
      <c r="E14508" s="2">
        <v>3.1226851851851853E-2</v>
      </c>
      <c r="F14508">
        <v>44.966666666666669</v>
      </c>
    </row>
    <row r="14509" spans="1:6" x14ac:dyDescent="0.25">
      <c r="A14509" s="1">
        <v>43586</v>
      </c>
      <c r="B14509" t="s">
        <v>21</v>
      </c>
      <c r="C14509" t="s">
        <v>6</v>
      </c>
      <c r="D14509">
        <v>11</v>
      </c>
      <c r="E14509" s="2">
        <v>1.8819444444444444E-2</v>
      </c>
      <c r="F14509">
        <v>27.1</v>
      </c>
    </row>
    <row r="14510" spans="1:6" x14ac:dyDescent="0.25">
      <c r="A14510" s="1">
        <v>43586</v>
      </c>
      <c r="B14510" t="s">
        <v>21</v>
      </c>
      <c r="C14510" t="s">
        <v>7</v>
      </c>
      <c r="D14510">
        <v>15</v>
      </c>
      <c r="E14510" s="2">
        <v>3.2349537037037038E-2</v>
      </c>
      <c r="F14510">
        <v>46.583333333333336</v>
      </c>
    </row>
    <row r="14511" spans="1:6" x14ac:dyDescent="0.25">
      <c r="A14511" s="1">
        <v>43586</v>
      </c>
      <c r="B14511" t="s">
        <v>21</v>
      </c>
      <c r="C14511" t="s">
        <v>8</v>
      </c>
      <c r="D14511">
        <v>10</v>
      </c>
      <c r="E14511" s="2">
        <v>1.2199074074074074E-2</v>
      </c>
      <c r="F14511">
        <v>17.566666666666666</v>
      </c>
    </row>
    <row r="14512" spans="1:6" x14ac:dyDescent="0.25">
      <c r="A14512" s="1">
        <v>43586</v>
      </c>
      <c r="B14512" t="s">
        <v>21</v>
      </c>
      <c r="C14512" t="s">
        <v>9</v>
      </c>
      <c r="D14512">
        <v>0</v>
      </c>
      <c r="E14512" s="2">
        <v>0</v>
      </c>
      <c r="F14512">
        <v>0</v>
      </c>
    </row>
    <row r="14513" spans="1:6" x14ac:dyDescent="0.25">
      <c r="A14513" s="1">
        <v>43586</v>
      </c>
      <c r="B14513" t="s">
        <v>21</v>
      </c>
      <c r="C14513" t="s">
        <v>10</v>
      </c>
      <c r="D14513">
        <v>2</v>
      </c>
      <c r="E14513" s="2">
        <v>2.3842592592592591E-3</v>
      </c>
      <c r="F14513">
        <v>3.4333333333333336</v>
      </c>
    </row>
    <row r="14514" spans="1:6" x14ac:dyDescent="0.25">
      <c r="A14514" s="1">
        <v>43586</v>
      </c>
      <c r="B14514" t="s">
        <v>21</v>
      </c>
      <c r="C14514" t="s">
        <v>11</v>
      </c>
      <c r="D14514">
        <v>13</v>
      </c>
      <c r="E14514" s="2">
        <v>1.7766203703703704E-2</v>
      </c>
      <c r="F14514">
        <v>25.583333333333332</v>
      </c>
    </row>
    <row r="14515" spans="1:6" x14ac:dyDescent="0.25">
      <c r="A14515" s="1">
        <v>43586</v>
      </c>
      <c r="B14515" t="s">
        <v>22</v>
      </c>
      <c r="C14515" t="s">
        <v>6</v>
      </c>
      <c r="D14515">
        <v>19</v>
      </c>
      <c r="E14515" s="2">
        <v>3.8645833333333331E-2</v>
      </c>
      <c r="F14515">
        <v>55.65</v>
      </c>
    </row>
    <row r="14516" spans="1:6" x14ac:dyDescent="0.25">
      <c r="A14516" s="1">
        <v>43586</v>
      </c>
      <c r="B14516" t="s">
        <v>22</v>
      </c>
      <c r="C14516" t="s">
        <v>7</v>
      </c>
      <c r="D14516">
        <v>7</v>
      </c>
      <c r="E14516" s="2">
        <v>1.1481481481481481E-2</v>
      </c>
      <c r="F14516">
        <v>16.533333333333335</v>
      </c>
    </row>
    <row r="14517" spans="1:6" x14ac:dyDescent="0.25">
      <c r="A14517" s="1">
        <v>43586</v>
      </c>
      <c r="B14517" t="s">
        <v>22</v>
      </c>
      <c r="C14517" t="s">
        <v>8</v>
      </c>
      <c r="D14517">
        <v>9</v>
      </c>
      <c r="E14517" s="2">
        <v>1.7650462962962962E-2</v>
      </c>
      <c r="F14517">
        <v>25.416666666666668</v>
      </c>
    </row>
    <row r="14518" spans="1:6" x14ac:dyDescent="0.25">
      <c r="A14518" s="1">
        <v>43586</v>
      </c>
      <c r="B14518" t="s">
        <v>22</v>
      </c>
      <c r="C14518" t="s">
        <v>9</v>
      </c>
      <c r="D14518">
        <v>0</v>
      </c>
      <c r="E14518" s="2">
        <v>0</v>
      </c>
      <c r="F14518">
        <v>0</v>
      </c>
    </row>
    <row r="14519" spans="1:6" x14ac:dyDescent="0.25">
      <c r="A14519" s="1">
        <v>43586</v>
      </c>
      <c r="B14519" t="s">
        <v>22</v>
      </c>
      <c r="C14519" t="s">
        <v>10</v>
      </c>
      <c r="D14519">
        <v>3</v>
      </c>
      <c r="E14519" s="2">
        <v>3.6805555555555554E-3</v>
      </c>
      <c r="F14519">
        <v>5.3</v>
      </c>
    </row>
    <row r="14520" spans="1:6" x14ac:dyDescent="0.25">
      <c r="A14520" s="1">
        <v>43586</v>
      </c>
      <c r="B14520" t="s">
        <v>22</v>
      </c>
      <c r="C14520" t="s">
        <v>11</v>
      </c>
      <c r="D14520">
        <v>10</v>
      </c>
      <c r="E14520" s="2">
        <v>1.3414351851851853E-2</v>
      </c>
      <c r="F14520">
        <v>19.316666666666666</v>
      </c>
    </row>
    <row r="14521" spans="1:6" x14ac:dyDescent="0.25">
      <c r="A14521" s="1">
        <v>43586</v>
      </c>
      <c r="B14521" t="s">
        <v>23</v>
      </c>
      <c r="C14521" t="s">
        <v>6</v>
      </c>
      <c r="D14521">
        <v>70</v>
      </c>
      <c r="E14521" s="2">
        <v>9.5520833333333333E-2</v>
      </c>
      <c r="F14521">
        <v>137.55000000000001</v>
      </c>
    </row>
    <row r="14522" spans="1:6" x14ac:dyDescent="0.25">
      <c r="A14522" s="1">
        <v>43586</v>
      </c>
      <c r="B14522" t="s">
        <v>23</v>
      </c>
      <c r="C14522" t="s">
        <v>7</v>
      </c>
      <c r="D14522">
        <v>80</v>
      </c>
      <c r="E14522" s="2">
        <v>0.13916666666666666</v>
      </c>
      <c r="F14522">
        <v>200.4</v>
      </c>
    </row>
    <row r="14523" spans="1:6" x14ac:dyDescent="0.25">
      <c r="A14523" s="1">
        <v>43586</v>
      </c>
      <c r="B14523" t="s">
        <v>23</v>
      </c>
      <c r="C14523" t="s">
        <v>8</v>
      </c>
      <c r="D14523">
        <v>54</v>
      </c>
      <c r="E14523" s="2">
        <v>6.3587962962962957E-2</v>
      </c>
      <c r="F14523">
        <v>91.566666666666663</v>
      </c>
    </row>
    <row r="14524" spans="1:6" x14ac:dyDescent="0.25">
      <c r="A14524" s="1">
        <v>43586</v>
      </c>
      <c r="B14524" t="s">
        <v>23</v>
      </c>
      <c r="C14524" t="s">
        <v>9</v>
      </c>
      <c r="D14524">
        <v>0</v>
      </c>
      <c r="E14524" s="2">
        <v>0</v>
      </c>
      <c r="F14524">
        <v>0</v>
      </c>
    </row>
    <row r="14525" spans="1:6" x14ac:dyDescent="0.25">
      <c r="A14525" s="1">
        <v>43586</v>
      </c>
      <c r="B14525" t="s">
        <v>23</v>
      </c>
      <c r="C14525" t="s">
        <v>10</v>
      </c>
      <c r="D14525">
        <v>21</v>
      </c>
      <c r="E14525" s="2">
        <v>2.9305555555555557E-2</v>
      </c>
      <c r="F14525">
        <v>42.2</v>
      </c>
    </row>
    <row r="14526" spans="1:6" x14ac:dyDescent="0.25">
      <c r="A14526" s="1">
        <v>43586</v>
      </c>
      <c r="B14526" t="s">
        <v>23</v>
      </c>
      <c r="C14526" t="s">
        <v>11</v>
      </c>
      <c r="D14526">
        <v>72</v>
      </c>
      <c r="E14526" s="2">
        <v>7.3877314814814812E-2</v>
      </c>
      <c r="F14526">
        <v>106.38333333333334</v>
      </c>
    </row>
    <row r="14527" spans="1:6" x14ac:dyDescent="0.25">
      <c r="A14527" s="1">
        <v>43586</v>
      </c>
      <c r="B14527" t="s">
        <v>24</v>
      </c>
      <c r="C14527" t="s">
        <v>6</v>
      </c>
      <c r="D14527">
        <v>9</v>
      </c>
      <c r="E14527" s="2">
        <v>1.0150462962962964E-2</v>
      </c>
      <c r="F14527">
        <v>14.616666666666667</v>
      </c>
    </row>
    <row r="14528" spans="1:6" x14ac:dyDescent="0.25">
      <c r="A14528" s="1">
        <v>43586</v>
      </c>
      <c r="B14528" t="s">
        <v>24</v>
      </c>
      <c r="C14528" t="s">
        <v>7</v>
      </c>
      <c r="D14528">
        <v>11</v>
      </c>
      <c r="E14528" s="2">
        <v>1.2164351851851852E-2</v>
      </c>
      <c r="F14528">
        <v>17.516666666666666</v>
      </c>
    </row>
    <row r="14529" spans="1:6" x14ac:dyDescent="0.25">
      <c r="A14529" s="1">
        <v>43586</v>
      </c>
      <c r="B14529" t="s">
        <v>24</v>
      </c>
      <c r="C14529" t="s">
        <v>8</v>
      </c>
      <c r="D14529">
        <v>6</v>
      </c>
      <c r="E14529" s="2">
        <v>1.3657407407407407E-3</v>
      </c>
      <c r="F14529">
        <v>1.9666666666666668</v>
      </c>
    </row>
    <row r="14530" spans="1:6" x14ac:dyDescent="0.25">
      <c r="A14530" s="1">
        <v>43586</v>
      </c>
      <c r="B14530" t="s">
        <v>24</v>
      </c>
      <c r="C14530" t="s">
        <v>9</v>
      </c>
      <c r="D14530">
        <v>0</v>
      </c>
      <c r="E14530" s="2">
        <v>0</v>
      </c>
      <c r="F14530">
        <v>0</v>
      </c>
    </row>
    <row r="14531" spans="1:6" x14ac:dyDescent="0.25">
      <c r="A14531" s="1">
        <v>43586</v>
      </c>
      <c r="B14531" t="s">
        <v>24</v>
      </c>
      <c r="C14531" t="s">
        <v>10</v>
      </c>
      <c r="D14531">
        <v>0</v>
      </c>
      <c r="E14531" s="2">
        <v>0</v>
      </c>
      <c r="F14531">
        <v>0</v>
      </c>
    </row>
    <row r="14532" spans="1:6" x14ac:dyDescent="0.25">
      <c r="A14532" s="1">
        <v>43586</v>
      </c>
      <c r="B14532" t="s">
        <v>24</v>
      </c>
      <c r="C14532" t="s">
        <v>11</v>
      </c>
      <c r="D14532">
        <v>30</v>
      </c>
      <c r="E14532" s="2">
        <v>2.4363425925925927E-2</v>
      </c>
      <c r="F14532">
        <v>35.083333333333336</v>
      </c>
    </row>
    <row r="14533" spans="1:6" x14ac:dyDescent="0.25">
      <c r="A14533" s="1">
        <v>43617</v>
      </c>
      <c r="B14533" t="s">
        <v>5</v>
      </c>
      <c r="C14533" t="s">
        <v>6</v>
      </c>
      <c r="D14533">
        <v>50</v>
      </c>
      <c r="E14533" s="2">
        <v>5.0671296296296298E-2</v>
      </c>
      <c r="F14533">
        <v>72.966666666666669</v>
      </c>
    </row>
    <row r="14534" spans="1:6" x14ac:dyDescent="0.25">
      <c r="A14534" s="1">
        <v>43617</v>
      </c>
      <c r="B14534" t="s">
        <v>5</v>
      </c>
      <c r="C14534" t="s">
        <v>7</v>
      </c>
      <c r="D14534">
        <v>57</v>
      </c>
      <c r="E14534" s="2">
        <v>5.7858796296296297E-2</v>
      </c>
      <c r="F14534">
        <v>83.316666666666663</v>
      </c>
    </row>
    <row r="14535" spans="1:6" x14ac:dyDescent="0.25">
      <c r="A14535" s="1">
        <v>43617</v>
      </c>
      <c r="B14535" t="s">
        <v>5</v>
      </c>
      <c r="C14535" t="s">
        <v>8</v>
      </c>
      <c r="D14535">
        <v>27</v>
      </c>
      <c r="E14535" s="2">
        <v>2.8194444444444446E-2</v>
      </c>
      <c r="F14535">
        <v>40.6</v>
      </c>
    </row>
    <row r="14536" spans="1:6" x14ac:dyDescent="0.25">
      <c r="A14536" s="1">
        <v>43617</v>
      </c>
      <c r="B14536" t="s">
        <v>5</v>
      </c>
      <c r="C14536" t="s">
        <v>9</v>
      </c>
      <c r="D14536">
        <v>0</v>
      </c>
      <c r="E14536" s="2">
        <v>0</v>
      </c>
      <c r="F14536">
        <v>0</v>
      </c>
    </row>
    <row r="14537" spans="1:6" x14ac:dyDescent="0.25">
      <c r="A14537" s="1">
        <v>43617</v>
      </c>
      <c r="B14537" t="s">
        <v>5</v>
      </c>
      <c r="C14537" t="s">
        <v>10</v>
      </c>
      <c r="D14537">
        <v>1</v>
      </c>
      <c r="E14537" s="2">
        <v>1.8287037037037037E-3</v>
      </c>
      <c r="F14537">
        <v>2.6333333333333333</v>
      </c>
    </row>
    <row r="14538" spans="1:6" x14ac:dyDescent="0.25">
      <c r="A14538" s="1">
        <v>43617</v>
      </c>
      <c r="B14538" t="s">
        <v>5</v>
      </c>
      <c r="C14538" t="s">
        <v>11</v>
      </c>
      <c r="D14538">
        <v>41</v>
      </c>
      <c r="E14538" s="2">
        <v>3.4687500000000003E-2</v>
      </c>
      <c r="F14538">
        <v>49.95</v>
      </c>
    </row>
    <row r="14539" spans="1:6" x14ac:dyDescent="0.25">
      <c r="A14539" s="1">
        <v>43617</v>
      </c>
      <c r="B14539" t="s">
        <v>12</v>
      </c>
      <c r="C14539" t="s">
        <v>6</v>
      </c>
      <c r="D14539">
        <v>19</v>
      </c>
      <c r="E14539" s="2">
        <v>3.3055555555555553E-2</v>
      </c>
      <c r="F14539">
        <v>47.6</v>
      </c>
    </row>
    <row r="14540" spans="1:6" x14ac:dyDescent="0.25">
      <c r="A14540" s="1">
        <v>43617</v>
      </c>
      <c r="B14540" t="s">
        <v>12</v>
      </c>
      <c r="C14540" t="s">
        <v>7</v>
      </c>
      <c r="D14540">
        <v>22</v>
      </c>
      <c r="E14540" s="2">
        <v>4.3437499999999997E-2</v>
      </c>
      <c r="F14540">
        <v>62.55</v>
      </c>
    </row>
    <row r="14541" spans="1:6" x14ac:dyDescent="0.25">
      <c r="A14541" s="1">
        <v>43617</v>
      </c>
      <c r="B14541" t="s">
        <v>12</v>
      </c>
      <c r="C14541" t="s">
        <v>8</v>
      </c>
      <c r="D14541">
        <v>21</v>
      </c>
      <c r="E14541" s="2">
        <v>3.0439814814814815E-2</v>
      </c>
      <c r="F14541">
        <v>43.833333333333336</v>
      </c>
    </row>
    <row r="14542" spans="1:6" x14ac:dyDescent="0.25">
      <c r="A14542" s="1">
        <v>43617</v>
      </c>
      <c r="B14542" t="s">
        <v>12</v>
      </c>
      <c r="C14542" t="s">
        <v>9</v>
      </c>
      <c r="D14542">
        <v>0</v>
      </c>
      <c r="E14542" s="2">
        <v>0</v>
      </c>
      <c r="F14542">
        <v>0</v>
      </c>
    </row>
    <row r="14543" spans="1:6" x14ac:dyDescent="0.25">
      <c r="A14543" s="1">
        <v>43617</v>
      </c>
      <c r="B14543" t="s">
        <v>12</v>
      </c>
      <c r="C14543" t="s">
        <v>10</v>
      </c>
      <c r="D14543">
        <v>23</v>
      </c>
      <c r="E14543" s="2">
        <v>3.1666666666666669E-2</v>
      </c>
      <c r="F14543">
        <v>45.6</v>
      </c>
    </row>
    <row r="14544" spans="1:6" x14ac:dyDescent="0.25">
      <c r="A14544" s="1">
        <v>43617</v>
      </c>
      <c r="B14544" t="s">
        <v>12</v>
      </c>
      <c r="C14544" t="s">
        <v>11</v>
      </c>
      <c r="D14544">
        <v>39</v>
      </c>
      <c r="E14544" s="2">
        <v>4.8425925925925928E-2</v>
      </c>
      <c r="F14544">
        <v>69.733333333333334</v>
      </c>
    </row>
    <row r="14545" spans="1:6" x14ac:dyDescent="0.25">
      <c r="A14545" s="1">
        <v>43617</v>
      </c>
      <c r="B14545" t="s">
        <v>13</v>
      </c>
      <c r="C14545" t="s">
        <v>6</v>
      </c>
      <c r="D14545">
        <v>50</v>
      </c>
      <c r="E14545" s="2">
        <v>8.1574074074074077E-2</v>
      </c>
      <c r="F14545">
        <v>117.46666666666667</v>
      </c>
    </row>
    <row r="14546" spans="1:6" x14ac:dyDescent="0.25">
      <c r="A14546" s="1">
        <v>43617</v>
      </c>
      <c r="B14546" t="s">
        <v>13</v>
      </c>
      <c r="C14546" t="s">
        <v>7</v>
      </c>
      <c r="D14546">
        <v>55</v>
      </c>
      <c r="E14546" s="2">
        <v>8.728009259259259E-2</v>
      </c>
      <c r="F14546">
        <v>125.68333333333334</v>
      </c>
    </row>
    <row r="14547" spans="1:6" x14ac:dyDescent="0.25">
      <c r="A14547" s="1">
        <v>43617</v>
      </c>
      <c r="B14547" t="s">
        <v>13</v>
      </c>
      <c r="C14547" t="s">
        <v>8</v>
      </c>
      <c r="D14547">
        <v>40</v>
      </c>
      <c r="E14547" s="2">
        <v>5.693287037037037E-2</v>
      </c>
      <c r="F14547">
        <v>81.983333333333334</v>
      </c>
    </row>
    <row r="14548" spans="1:6" x14ac:dyDescent="0.25">
      <c r="A14548" s="1">
        <v>43617</v>
      </c>
      <c r="B14548" t="s">
        <v>13</v>
      </c>
      <c r="C14548" t="s">
        <v>9</v>
      </c>
      <c r="D14548">
        <v>0</v>
      </c>
      <c r="E14548" s="2">
        <v>0</v>
      </c>
      <c r="F14548">
        <v>0</v>
      </c>
    </row>
    <row r="14549" spans="1:6" x14ac:dyDescent="0.25">
      <c r="A14549" s="1">
        <v>43617</v>
      </c>
      <c r="B14549" t="s">
        <v>13</v>
      </c>
      <c r="C14549" t="s">
        <v>10</v>
      </c>
      <c r="D14549">
        <v>18</v>
      </c>
      <c r="E14549" s="2">
        <v>2.2858796296296297E-2</v>
      </c>
      <c r="F14549">
        <v>32.916666666666664</v>
      </c>
    </row>
    <row r="14550" spans="1:6" x14ac:dyDescent="0.25">
      <c r="A14550" s="1">
        <v>43617</v>
      </c>
      <c r="B14550" t="s">
        <v>13</v>
      </c>
      <c r="C14550" t="s">
        <v>11</v>
      </c>
      <c r="D14550">
        <v>34</v>
      </c>
      <c r="E14550" s="2">
        <v>4.0694444444444443E-2</v>
      </c>
      <c r="F14550">
        <v>58.6</v>
      </c>
    </row>
    <row r="14551" spans="1:6" x14ac:dyDescent="0.25">
      <c r="A14551" s="1">
        <v>43617</v>
      </c>
      <c r="B14551" t="s">
        <v>14</v>
      </c>
      <c r="C14551" t="s">
        <v>6</v>
      </c>
      <c r="D14551">
        <v>15</v>
      </c>
      <c r="E14551" s="2">
        <v>2.0243055555555556E-2</v>
      </c>
      <c r="F14551">
        <v>29.15</v>
      </c>
    </row>
    <row r="14552" spans="1:6" x14ac:dyDescent="0.25">
      <c r="A14552" s="1">
        <v>43617</v>
      </c>
      <c r="B14552" t="s">
        <v>14</v>
      </c>
      <c r="C14552" t="s">
        <v>7</v>
      </c>
      <c r="D14552">
        <v>16</v>
      </c>
      <c r="E14552" s="2">
        <v>2.9305555555555557E-2</v>
      </c>
      <c r="F14552">
        <v>42.2</v>
      </c>
    </row>
    <row r="14553" spans="1:6" x14ac:dyDescent="0.25">
      <c r="A14553" s="1">
        <v>43617</v>
      </c>
      <c r="B14553" t="s">
        <v>14</v>
      </c>
      <c r="C14553" t="s">
        <v>8</v>
      </c>
      <c r="D14553">
        <v>4</v>
      </c>
      <c r="E14553" s="2">
        <v>4.0046296296296297E-3</v>
      </c>
      <c r="F14553">
        <v>5.7666666666666666</v>
      </c>
    </row>
    <row r="14554" spans="1:6" x14ac:dyDescent="0.25">
      <c r="A14554" s="1">
        <v>43617</v>
      </c>
      <c r="B14554" t="s">
        <v>14</v>
      </c>
      <c r="C14554" t="s">
        <v>9</v>
      </c>
      <c r="D14554">
        <v>0</v>
      </c>
      <c r="E14554" s="2">
        <v>0</v>
      </c>
      <c r="F14554">
        <v>0</v>
      </c>
    </row>
    <row r="14555" spans="1:6" x14ac:dyDescent="0.25">
      <c r="A14555" s="1">
        <v>43617</v>
      </c>
      <c r="B14555" t="s">
        <v>14</v>
      </c>
      <c r="C14555" t="s">
        <v>10</v>
      </c>
      <c r="D14555">
        <v>3</v>
      </c>
      <c r="E14555" s="2">
        <v>7.0023148148148145E-3</v>
      </c>
      <c r="F14555">
        <v>10.083333333333334</v>
      </c>
    </row>
    <row r="14556" spans="1:6" x14ac:dyDescent="0.25">
      <c r="A14556" s="1">
        <v>43617</v>
      </c>
      <c r="B14556" t="s">
        <v>14</v>
      </c>
      <c r="C14556" t="s">
        <v>11</v>
      </c>
      <c r="D14556">
        <v>12</v>
      </c>
      <c r="E14556" s="2">
        <v>1.3425925925925926E-2</v>
      </c>
      <c r="F14556">
        <v>19.333333333333332</v>
      </c>
    </row>
    <row r="14557" spans="1:6" x14ac:dyDescent="0.25">
      <c r="A14557" s="1">
        <v>43617</v>
      </c>
      <c r="B14557" t="s">
        <v>15</v>
      </c>
      <c r="C14557" t="s">
        <v>6</v>
      </c>
      <c r="D14557">
        <v>56</v>
      </c>
      <c r="E14557" s="2">
        <v>7.3981481481481481E-2</v>
      </c>
      <c r="F14557">
        <v>106.53333333333333</v>
      </c>
    </row>
    <row r="14558" spans="1:6" x14ac:dyDescent="0.25">
      <c r="A14558" s="1">
        <v>43617</v>
      </c>
      <c r="B14558" t="s">
        <v>15</v>
      </c>
      <c r="C14558" t="s">
        <v>7</v>
      </c>
      <c r="D14558">
        <v>52</v>
      </c>
      <c r="E14558" s="2">
        <v>7.4733796296296298E-2</v>
      </c>
      <c r="F14558">
        <v>107.61666666666666</v>
      </c>
    </row>
    <row r="14559" spans="1:6" x14ac:dyDescent="0.25">
      <c r="A14559" s="1">
        <v>43617</v>
      </c>
      <c r="B14559" t="s">
        <v>15</v>
      </c>
      <c r="C14559" t="s">
        <v>8</v>
      </c>
      <c r="D14559">
        <v>32</v>
      </c>
      <c r="E14559" s="2">
        <v>4.297453703703704E-2</v>
      </c>
      <c r="F14559">
        <v>61.883333333333333</v>
      </c>
    </row>
    <row r="14560" spans="1:6" x14ac:dyDescent="0.25">
      <c r="A14560" s="1">
        <v>43617</v>
      </c>
      <c r="B14560" t="s">
        <v>15</v>
      </c>
      <c r="C14560" t="s">
        <v>9</v>
      </c>
      <c r="D14560">
        <v>0</v>
      </c>
      <c r="E14560" s="2">
        <v>0</v>
      </c>
      <c r="F14560">
        <v>0</v>
      </c>
    </row>
    <row r="14561" spans="1:6" x14ac:dyDescent="0.25">
      <c r="A14561" s="1">
        <v>43617</v>
      </c>
      <c r="B14561" t="s">
        <v>15</v>
      </c>
      <c r="C14561" t="s">
        <v>10</v>
      </c>
      <c r="D14561">
        <v>19</v>
      </c>
      <c r="E14561" s="2">
        <v>2.6574074074074073E-2</v>
      </c>
      <c r="F14561">
        <v>38.266666666666666</v>
      </c>
    </row>
    <row r="14562" spans="1:6" x14ac:dyDescent="0.25">
      <c r="A14562" s="1">
        <v>43617</v>
      </c>
      <c r="B14562" t="s">
        <v>15</v>
      </c>
      <c r="C14562" t="s">
        <v>11</v>
      </c>
      <c r="D14562">
        <v>27</v>
      </c>
      <c r="E14562" s="2">
        <v>2.6655092592592591E-2</v>
      </c>
      <c r="F14562">
        <v>38.383333333333333</v>
      </c>
    </row>
    <row r="14563" spans="1:6" x14ac:dyDescent="0.25">
      <c r="A14563" s="1">
        <v>43617</v>
      </c>
      <c r="B14563" t="s">
        <v>16</v>
      </c>
      <c r="C14563" t="s">
        <v>6</v>
      </c>
      <c r="D14563">
        <v>23</v>
      </c>
      <c r="E14563" s="2">
        <v>2.417824074074074E-2</v>
      </c>
      <c r="F14563">
        <v>34.81666666666667</v>
      </c>
    </row>
    <row r="14564" spans="1:6" x14ac:dyDescent="0.25">
      <c r="A14564" s="1">
        <v>43617</v>
      </c>
      <c r="B14564" t="s">
        <v>16</v>
      </c>
      <c r="C14564" t="s">
        <v>7</v>
      </c>
      <c r="D14564">
        <v>21</v>
      </c>
      <c r="E14564" s="2">
        <v>1.846064814814815E-2</v>
      </c>
      <c r="F14564">
        <v>26.583333333333332</v>
      </c>
    </row>
    <row r="14565" spans="1:6" x14ac:dyDescent="0.25">
      <c r="A14565" s="1">
        <v>43617</v>
      </c>
      <c r="B14565" t="s">
        <v>16</v>
      </c>
      <c r="C14565" t="s">
        <v>8</v>
      </c>
      <c r="D14565">
        <v>28</v>
      </c>
      <c r="E14565" s="2">
        <v>2.4606481481481483E-2</v>
      </c>
      <c r="F14565">
        <v>35.43333333333333</v>
      </c>
    </row>
    <row r="14566" spans="1:6" x14ac:dyDescent="0.25">
      <c r="A14566" s="1">
        <v>43617</v>
      </c>
      <c r="B14566" t="s">
        <v>16</v>
      </c>
      <c r="C14566" t="s">
        <v>9</v>
      </c>
      <c r="D14566">
        <v>0</v>
      </c>
      <c r="E14566" s="2">
        <v>0</v>
      </c>
      <c r="F14566">
        <v>0</v>
      </c>
    </row>
    <row r="14567" spans="1:6" x14ac:dyDescent="0.25">
      <c r="A14567" s="1">
        <v>43617</v>
      </c>
      <c r="B14567" t="s">
        <v>16</v>
      </c>
      <c r="C14567" t="s">
        <v>10</v>
      </c>
      <c r="D14567">
        <v>8</v>
      </c>
      <c r="E14567" s="2">
        <v>9.8611111111111104E-3</v>
      </c>
      <c r="F14567">
        <v>14.2</v>
      </c>
    </row>
    <row r="14568" spans="1:6" x14ac:dyDescent="0.25">
      <c r="A14568" s="1">
        <v>43617</v>
      </c>
      <c r="B14568" t="s">
        <v>16</v>
      </c>
      <c r="C14568" t="s">
        <v>11</v>
      </c>
      <c r="D14568">
        <v>33</v>
      </c>
      <c r="E14568" s="2">
        <v>2.8344907407407409E-2</v>
      </c>
      <c r="F14568">
        <v>40.81666666666667</v>
      </c>
    </row>
    <row r="14569" spans="1:6" x14ac:dyDescent="0.25">
      <c r="A14569" s="1">
        <v>43617</v>
      </c>
      <c r="B14569" t="s">
        <v>17</v>
      </c>
      <c r="C14569" t="s">
        <v>6</v>
      </c>
      <c r="D14569">
        <v>26</v>
      </c>
      <c r="E14569" s="2">
        <v>3.3912037037037039E-2</v>
      </c>
      <c r="F14569">
        <v>48.833333333333336</v>
      </c>
    </row>
    <row r="14570" spans="1:6" x14ac:dyDescent="0.25">
      <c r="A14570" s="1">
        <v>43617</v>
      </c>
      <c r="B14570" t="s">
        <v>17</v>
      </c>
      <c r="C14570" t="s">
        <v>7</v>
      </c>
      <c r="D14570">
        <v>18</v>
      </c>
      <c r="E14570" s="2">
        <v>2.8668981481481483E-2</v>
      </c>
      <c r="F14570">
        <v>41.283333333333331</v>
      </c>
    </row>
    <row r="14571" spans="1:6" x14ac:dyDescent="0.25">
      <c r="A14571" s="1">
        <v>43617</v>
      </c>
      <c r="B14571" t="s">
        <v>17</v>
      </c>
      <c r="C14571" t="s">
        <v>8</v>
      </c>
      <c r="D14571">
        <v>24</v>
      </c>
      <c r="E14571" s="2">
        <v>2.824074074074074E-2</v>
      </c>
      <c r="F14571">
        <v>40.666666666666664</v>
      </c>
    </row>
    <row r="14572" spans="1:6" x14ac:dyDescent="0.25">
      <c r="A14572" s="1">
        <v>43617</v>
      </c>
      <c r="B14572" t="s">
        <v>17</v>
      </c>
      <c r="C14572" t="s">
        <v>9</v>
      </c>
      <c r="D14572">
        <v>0</v>
      </c>
      <c r="E14572" s="2">
        <v>0</v>
      </c>
      <c r="F14572">
        <v>0</v>
      </c>
    </row>
    <row r="14573" spans="1:6" x14ac:dyDescent="0.25">
      <c r="A14573" s="1">
        <v>43617</v>
      </c>
      <c r="B14573" t="s">
        <v>17</v>
      </c>
      <c r="C14573" t="s">
        <v>10</v>
      </c>
      <c r="D14573">
        <v>10</v>
      </c>
      <c r="E14573" s="2">
        <v>1.5648148148148147E-2</v>
      </c>
      <c r="F14573">
        <v>22.533333333333335</v>
      </c>
    </row>
    <row r="14574" spans="1:6" x14ac:dyDescent="0.25">
      <c r="A14574" s="1">
        <v>43617</v>
      </c>
      <c r="B14574" t="s">
        <v>17</v>
      </c>
      <c r="C14574" t="s">
        <v>11</v>
      </c>
      <c r="D14574">
        <v>24</v>
      </c>
      <c r="E14574" s="2">
        <v>2.8946759259259259E-2</v>
      </c>
      <c r="F14574">
        <v>41.68333333333333</v>
      </c>
    </row>
    <row r="14575" spans="1:6" x14ac:dyDescent="0.25">
      <c r="A14575" s="1">
        <v>43617</v>
      </c>
      <c r="B14575" t="s">
        <v>18</v>
      </c>
      <c r="C14575" t="s">
        <v>6</v>
      </c>
      <c r="D14575">
        <v>18</v>
      </c>
      <c r="E14575" s="2">
        <v>2.388888888888889E-2</v>
      </c>
      <c r="F14575">
        <v>34.4</v>
      </c>
    </row>
    <row r="14576" spans="1:6" x14ac:dyDescent="0.25">
      <c r="A14576" s="1">
        <v>43617</v>
      </c>
      <c r="B14576" t="s">
        <v>18</v>
      </c>
      <c r="C14576" t="s">
        <v>7</v>
      </c>
      <c r="D14576">
        <v>40</v>
      </c>
      <c r="E14576" s="2">
        <v>4.0243055555555553E-2</v>
      </c>
      <c r="F14576">
        <v>57.95</v>
      </c>
    </row>
    <row r="14577" spans="1:6" x14ac:dyDescent="0.25">
      <c r="A14577" s="1">
        <v>43617</v>
      </c>
      <c r="B14577" t="s">
        <v>18</v>
      </c>
      <c r="C14577" t="s">
        <v>8</v>
      </c>
      <c r="D14577">
        <v>17</v>
      </c>
      <c r="E14577" s="2">
        <v>1.4918981481481481E-2</v>
      </c>
      <c r="F14577">
        <v>21.483333333333334</v>
      </c>
    </row>
    <row r="14578" spans="1:6" x14ac:dyDescent="0.25">
      <c r="A14578" s="1">
        <v>43617</v>
      </c>
      <c r="B14578" t="s">
        <v>18</v>
      </c>
      <c r="C14578" t="s">
        <v>9</v>
      </c>
      <c r="D14578">
        <v>0</v>
      </c>
      <c r="E14578" s="2">
        <v>0</v>
      </c>
      <c r="F14578">
        <v>0</v>
      </c>
    </row>
    <row r="14579" spans="1:6" x14ac:dyDescent="0.25">
      <c r="A14579" s="1">
        <v>43617</v>
      </c>
      <c r="B14579" t="s">
        <v>18</v>
      </c>
      <c r="C14579" t="s">
        <v>10</v>
      </c>
      <c r="D14579">
        <v>114</v>
      </c>
      <c r="E14579" s="2">
        <v>0.14526620370370372</v>
      </c>
      <c r="F14579">
        <v>209.18333333333334</v>
      </c>
    </row>
    <row r="14580" spans="1:6" x14ac:dyDescent="0.25">
      <c r="A14580" s="1">
        <v>43617</v>
      </c>
      <c r="B14580" t="s">
        <v>18</v>
      </c>
      <c r="C14580" t="s">
        <v>11</v>
      </c>
      <c r="D14580">
        <v>38</v>
      </c>
      <c r="E14580" s="2">
        <v>2.7708333333333335E-2</v>
      </c>
      <c r="F14580">
        <v>39.9</v>
      </c>
    </row>
    <row r="14581" spans="1:6" x14ac:dyDescent="0.25">
      <c r="A14581" s="1">
        <v>43617</v>
      </c>
      <c r="B14581" t="s">
        <v>19</v>
      </c>
      <c r="C14581" t="s">
        <v>6</v>
      </c>
      <c r="D14581">
        <v>14</v>
      </c>
      <c r="E14581" s="2">
        <v>1.8518518518518517E-2</v>
      </c>
      <c r="F14581">
        <v>26.666666666666668</v>
      </c>
    </row>
    <row r="14582" spans="1:6" x14ac:dyDescent="0.25">
      <c r="A14582" s="1">
        <v>43617</v>
      </c>
      <c r="B14582" t="s">
        <v>19</v>
      </c>
      <c r="C14582" t="s">
        <v>7</v>
      </c>
      <c r="D14582">
        <v>21</v>
      </c>
      <c r="E14582" s="2">
        <v>2.9895833333333333E-2</v>
      </c>
      <c r="F14582">
        <v>43.05</v>
      </c>
    </row>
    <row r="14583" spans="1:6" x14ac:dyDescent="0.25">
      <c r="A14583" s="1">
        <v>43617</v>
      </c>
      <c r="B14583" t="s">
        <v>19</v>
      </c>
      <c r="C14583" t="s">
        <v>8</v>
      </c>
      <c r="D14583">
        <v>19</v>
      </c>
      <c r="E14583" s="2">
        <v>2.6469907407407407E-2</v>
      </c>
      <c r="F14583">
        <v>38.116666666666667</v>
      </c>
    </row>
    <row r="14584" spans="1:6" x14ac:dyDescent="0.25">
      <c r="A14584" s="1">
        <v>43617</v>
      </c>
      <c r="B14584" t="s">
        <v>19</v>
      </c>
      <c r="C14584" t="s">
        <v>9</v>
      </c>
      <c r="D14584">
        <v>0</v>
      </c>
      <c r="E14584" s="2">
        <v>0</v>
      </c>
      <c r="F14584">
        <v>0</v>
      </c>
    </row>
    <row r="14585" spans="1:6" x14ac:dyDescent="0.25">
      <c r="A14585" s="1">
        <v>43617</v>
      </c>
      <c r="B14585" t="s">
        <v>19</v>
      </c>
      <c r="C14585" t="s">
        <v>10</v>
      </c>
      <c r="D14585">
        <v>10</v>
      </c>
      <c r="E14585" s="2">
        <v>1.5266203703703704E-2</v>
      </c>
      <c r="F14585">
        <v>21.983333333333334</v>
      </c>
    </row>
    <row r="14586" spans="1:6" x14ac:dyDescent="0.25">
      <c r="A14586" s="1">
        <v>43617</v>
      </c>
      <c r="B14586" t="s">
        <v>19</v>
      </c>
      <c r="C14586" t="s">
        <v>11</v>
      </c>
      <c r="D14586">
        <v>20</v>
      </c>
      <c r="E14586" s="2">
        <v>1.8425925925925925E-2</v>
      </c>
      <c r="F14586">
        <v>26.533333333333335</v>
      </c>
    </row>
    <row r="14587" spans="1:6" x14ac:dyDescent="0.25">
      <c r="A14587" s="1">
        <v>43617</v>
      </c>
      <c r="B14587" t="s">
        <v>20</v>
      </c>
      <c r="C14587" t="s">
        <v>6</v>
      </c>
      <c r="D14587">
        <v>33</v>
      </c>
      <c r="E14587" s="2">
        <v>4.3217592592592592E-2</v>
      </c>
      <c r="F14587">
        <v>62.233333333333334</v>
      </c>
    </row>
    <row r="14588" spans="1:6" x14ac:dyDescent="0.25">
      <c r="A14588" s="1">
        <v>43617</v>
      </c>
      <c r="B14588" t="s">
        <v>20</v>
      </c>
      <c r="C14588" t="s">
        <v>7</v>
      </c>
      <c r="D14588">
        <v>28</v>
      </c>
      <c r="E14588" s="2">
        <v>4.2685185185185187E-2</v>
      </c>
      <c r="F14588">
        <v>61.466666666666669</v>
      </c>
    </row>
    <row r="14589" spans="1:6" x14ac:dyDescent="0.25">
      <c r="A14589" s="1">
        <v>43617</v>
      </c>
      <c r="B14589" t="s">
        <v>20</v>
      </c>
      <c r="C14589" t="s">
        <v>8</v>
      </c>
      <c r="D14589">
        <v>30</v>
      </c>
      <c r="E14589" s="2">
        <v>3.8912037037037037E-2</v>
      </c>
      <c r="F14589">
        <v>56.033333333333331</v>
      </c>
    </row>
    <row r="14590" spans="1:6" x14ac:dyDescent="0.25">
      <c r="A14590" s="1">
        <v>43617</v>
      </c>
      <c r="B14590" t="s">
        <v>20</v>
      </c>
      <c r="C14590" t="s">
        <v>9</v>
      </c>
      <c r="D14590">
        <v>0</v>
      </c>
      <c r="E14590" s="2">
        <v>0</v>
      </c>
      <c r="F14590">
        <v>0</v>
      </c>
    </row>
    <row r="14591" spans="1:6" x14ac:dyDescent="0.25">
      <c r="A14591" s="1">
        <v>43617</v>
      </c>
      <c r="B14591" t="s">
        <v>20</v>
      </c>
      <c r="C14591" t="s">
        <v>10</v>
      </c>
      <c r="D14591">
        <v>5</v>
      </c>
      <c r="E14591" s="2">
        <v>5.2430555555555555E-3</v>
      </c>
      <c r="F14591">
        <v>7.55</v>
      </c>
    </row>
    <row r="14592" spans="1:6" x14ac:dyDescent="0.25">
      <c r="A14592" s="1">
        <v>43617</v>
      </c>
      <c r="B14592" t="s">
        <v>20</v>
      </c>
      <c r="C14592" t="s">
        <v>11</v>
      </c>
      <c r="D14592">
        <v>21</v>
      </c>
      <c r="E14592" s="2">
        <v>1.7546296296296296E-2</v>
      </c>
      <c r="F14592">
        <v>25.266666666666666</v>
      </c>
    </row>
    <row r="14593" spans="1:6" x14ac:dyDescent="0.25">
      <c r="A14593" s="1">
        <v>43617</v>
      </c>
      <c r="B14593" t="s">
        <v>21</v>
      </c>
      <c r="C14593" t="s">
        <v>6</v>
      </c>
      <c r="D14593">
        <v>25</v>
      </c>
      <c r="E14593" s="2">
        <v>3.5613425925925923E-2</v>
      </c>
      <c r="F14593">
        <v>51.283333333333331</v>
      </c>
    </row>
    <row r="14594" spans="1:6" x14ac:dyDescent="0.25">
      <c r="A14594" s="1">
        <v>43617</v>
      </c>
      <c r="B14594" t="s">
        <v>21</v>
      </c>
      <c r="C14594" t="s">
        <v>7</v>
      </c>
      <c r="D14594">
        <v>19</v>
      </c>
      <c r="E14594" s="2">
        <v>2.4594907407407409E-2</v>
      </c>
      <c r="F14594">
        <v>35.416666666666664</v>
      </c>
    </row>
    <row r="14595" spans="1:6" x14ac:dyDescent="0.25">
      <c r="A14595" s="1">
        <v>43617</v>
      </c>
      <c r="B14595" t="s">
        <v>21</v>
      </c>
      <c r="C14595" t="s">
        <v>8</v>
      </c>
      <c r="D14595">
        <v>21</v>
      </c>
      <c r="E14595" s="2">
        <v>2.5312500000000002E-2</v>
      </c>
      <c r="F14595">
        <v>36.450000000000003</v>
      </c>
    </row>
    <row r="14596" spans="1:6" x14ac:dyDescent="0.25">
      <c r="A14596" s="1">
        <v>43617</v>
      </c>
      <c r="B14596" t="s">
        <v>21</v>
      </c>
      <c r="C14596" t="s">
        <v>9</v>
      </c>
      <c r="D14596">
        <v>0</v>
      </c>
      <c r="E14596" s="2">
        <v>0</v>
      </c>
      <c r="F14596">
        <v>0</v>
      </c>
    </row>
    <row r="14597" spans="1:6" x14ac:dyDescent="0.25">
      <c r="A14597" s="1">
        <v>43617</v>
      </c>
      <c r="B14597" t="s">
        <v>21</v>
      </c>
      <c r="C14597" t="s">
        <v>10</v>
      </c>
      <c r="D14597">
        <v>13</v>
      </c>
      <c r="E14597" s="2">
        <v>1.7488425925925925E-2</v>
      </c>
      <c r="F14597">
        <v>25.183333333333334</v>
      </c>
    </row>
    <row r="14598" spans="1:6" x14ac:dyDescent="0.25">
      <c r="A14598" s="1">
        <v>43617</v>
      </c>
      <c r="B14598" t="s">
        <v>21</v>
      </c>
      <c r="C14598" t="s">
        <v>11</v>
      </c>
      <c r="D14598">
        <v>31</v>
      </c>
      <c r="E14598" s="2">
        <v>3.5891203703703703E-2</v>
      </c>
      <c r="F14598">
        <v>51.68333333333333</v>
      </c>
    </row>
    <row r="14599" spans="1:6" x14ac:dyDescent="0.25">
      <c r="A14599" s="1">
        <v>43617</v>
      </c>
      <c r="B14599" t="s">
        <v>22</v>
      </c>
      <c r="C14599" t="s">
        <v>6</v>
      </c>
      <c r="D14599">
        <v>10</v>
      </c>
      <c r="E14599" s="2">
        <v>2.0497685185185185E-2</v>
      </c>
      <c r="F14599">
        <v>29.516666666666666</v>
      </c>
    </row>
    <row r="14600" spans="1:6" x14ac:dyDescent="0.25">
      <c r="A14600" s="1">
        <v>43617</v>
      </c>
      <c r="B14600" t="s">
        <v>22</v>
      </c>
      <c r="C14600" t="s">
        <v>7</v>
      </c>
      <c r="D14600">
        <v>11</v>
      </c>
      <c r="E14600" s="2">
        <v>1.7430555555555557E-2</v>
      </c>
      <c r="F14600">
        <v>25.1</v>
      </c>
    </row>
    <row r="14601" spans="1:6" x14ac:dyDescent="0.25">
      <c r="A14601" s="1">
        <v>43617</v>
      </c>
      <c r="B14601" t="s">
        <v>22</v>
      </c>
      <c r="C14601" t="s">
        <v>8</v>
      </c>
      <c r="D14601">
        <v>3</v>
      </c>
      <c r="E14601" s="2">
        <v>2.2106481481481482E-3</v>
      </c>
      <c r="F14601">
        <v>3.1833333333333331</v>
      </c>
    </row>
    <row r="14602" spans="1:6" x14ac:dyDescent="0.25">
      <c r="A14602" s="1">
        <v>43617</v>
      </c>
      <c r="B14602" t="s">
        <v>22</v>
      </c>
      <c r="C14602" t="s">
        <v>9</v>
      </c>
      <c r="D14602">
        <v>0</v>
      </c>
      <c r="E14602" s="2">
        <v>0</v>
      </c>
      <c r="F14602">
        <v>0</v>
      </c>
    </row>
    <row r="14603" spans="1:6" x14ac:dyDescent="0.25">
      <c r="A14603" s="1">
        <v>43617</v>
      </c>
      <c r="B14603" t="s">
        <v>22</v>
      </c>
      <c r="C14603" t="s">
        <v>10</v>
      </c>
      <c r="D14603">
        <v>10</v>
      </c>
      <c r="E14603" s="2">
        <v>8.6342592592592599E-3</v>
      </c>
      <c r="F14603">
        <v>12.433333333333334</v>
      </c>
    </row>
    <row r="14604" spans="1:6" x14ac:dyDescent="0.25">
      <c r="A14604" s="1">
        <v>43617</v>
      </c>
      <c r="B14604" t="s">
        <v>22</v>
      </c>
      <c r="C14604" t="s">
        <v>11</v>
      </c>
      <c r="D14604">
        <v>6</v>
      </c>
      <c r="E14604" s="2">
        <v>5.0231481481481481E-3</v>
      </c>
      <c r="F14604">
        <v>7.2333333333333334</v>
      </c>
    </row>
    <row r="14605" spans="1:6" x14ac:dyDescent="0.25">
      <c r="A14605" s="1">
        <v>43617</v>
      </c>
      <c r="B14605" t="s">
        <v>23</v>
      </c>
      <c r="C14605" t="s">
        <v>6</v>
      </c>
      <c r="D14605">
        <v>77</v>
      </c>
      <c r="E14605" s="2">
        <v>0.10679398148148148</v>
      </c>
      <c r="F14605">
        <v>153.78333333333333</v>
      </c>
    </row>
    <row r="14606" spans="1:6" x14ac:dyDescent="0.25">
      <c r="A14606" s="1">
        <v>43617</v>
      </c>
      <c r="B14606" t="s">
        <v>23</v>
      </c>
      <c r="C14606" t="s">
        <v>7</v>
      </c>
      <c r="D14606">
        <v>84</v>
      </c>
      <c r="E14606" s="2">
        <v>0.12402777777777778</v>
      </c>
      <c r="F14606">
        <v>178.6</v>
      </c>
    </row>
    <row r="14607" spans="1:6" x14ac:dyDescent="0.25">
      <c r="A14607" s="1">
        <v>43617</v>
      </c>
      <c r="B14607" t="s">
        <v>23</v>
      </c>
      <c r="C14607" t="s">
        <v>8</v>
      </c>
      <c r="D14607">
        <v>64</v>
      </c>
      <c r="E14607" s="2">
        <v>8.0069444444444443E-2</v>
      </c>
      <c r="F14607">
        <v>115.3</v>
      </c>
    </row>
    <row r="14608" spans="1:6" x14ac:dyDescent="0.25">
      <c r="A14608" s="1">
        <v>43617</v>
      </c>
      <c r="B14608" t="s">
        <v>23</v>
      </c>
      <c r="C14608" t="s">
        <v>9</v>
      </c>
      <c r="D14608">
        <v>0</v>
      </c>
      <c r="E14608" s="2">
        <v>0</v>
      </c>
      <c r="F14608">
        <v>0</v>
      </c>
    </row>
    <row r="14609" spans="1:6" x14ac:dyDescent="0.25">
      <c r="A14609" s="1">
        <v>43617</v>
      </c>
      <c r="B14609" t="s">
        <v>23</v>
      </c>
      <c r="C14609" t="s">
        <v>10</v>
      </c>
      <c r="D14609">
        <v>19</v>
      </c>
      <c r="E14609" s="2">
        <v>2.5023148148148149E-2</v>
      </c>
      <c r="F14609">
        <v>36.033333333333331</v>
      </c>
    </row>
    <row r="14610" spans="1:6" x14ac:dyDescent="0.25">
      <c r="A14610" s="1">
        <v>43617</v>
      </c>
      <c r="B14610" t="s">
        <v>23</v>
      </c>
      <c r="C14610" t="s">
        <v>11</v>
      </c>
      <c r="D14610">
        <v>59</v>
      </c>
      <c r="E14610" s="2">
        <v>5.9652777777777777E-2</v>
      </c>
      <c r="F14610">
        <v>85.9</v>
      </c>
    </row>
    <row r="14611" spans="1:6" x14ac:dyDescent="0.25">
      <c r="A14611" s="1">
        <v>43617</v>
      </c>
      <c r="B14611" t="s">
        <v>24</v>
      </c>
      <c r="C14611" t="s">
        <v>6</v>
      </c>
      <c r="D14611">
        <v>52</v>
      </c>
      <c r="E14611" s="2">
        <v>4.659722222222222E-2</v>
      </c>
      <c r="F14611">
        <v>67.099999999999994</v>
      </c>
    </row>
    <row r="14612" spans="1:6" x14ac:dyDescent="0.25">
      <c r="A14612" s="1">
        <v>43617</v>
      </c>
      <c r="B14612" t="s">
        <v>24</v>
      </c>
      <c r="C14612" t="s">
        <v>7</v>
      </c>
      <c r="D14612">
        <v>23</v>
      </c>
      <c r="E14612" s="2">
        <v>2.3645833333333335E-2</v>
      </c>
      <c r="F14612">
        <v>34.049999999999997</v>
      </c>
    </row>
    <row r="14613" spans="1:6" x14ac:dyDescent="0.25">
      <c r="A14613" s="1">
        <v>43617</v>
      </c>
      <c r="B14613" t="s">
        <v>24</v>
      </c>
      <c r="C14613" t="s">
        <v>8</v>
      </c>
      <c r="D14613">
        <v>22</v>
      </c>
      <c r="E14613" s="2">
        <v>1.7002314814814814E-2</v>
      </c>
      <c r="F14613">
        <v>24.483333333333334</v>
      </c>
    </row>
    <row r="14614" spans="1:6" x14ac:dyDescent="0.25">
      <c r="A14614" s="1">
        <v>43617</v>
      </c>
      <c r="B14614" t="s">
        <v>24</v>
      </c>
      <c r="C14614" t="s">
        <v>9</v>
      </c>
      <c r="D14614">
        <v>0</v>
      </c>
      <c r="E14614" s="2">
        <v>0</v>
      </c>
      <c r="F14614">
        <v>0</v>
      </c>
    </row>
    <row r="14615" spans="1:6" x14ac:dyDescent="0.25">
      <c r="A14615" s="1">
        <v>43617</v>
      </c>
      <c r="B14615" t="s">
        <v>24</v>
      </c>
      <c r="C14615" t="s">
        <v>10</v>
      </c>
      <c r="D14615">
        <v>3</v>
      </c>
      <c r="E14615" s="2">
        <v>4.6296296296296294E-3</v>
      </c>
      <c r="F14615">
        <v>6.666666666666667</v>
      </c>
    </row>
    <row r="14616" spans="1:6" x14ac:dyDescent="0.25">
      <c r="A14616" s="1">
        <v>43617</v>
      </c>
      <c r="B14616" t="s">
        <v>24</v>
      </c>
      <c r="C14616" t="s">
        <v>11</v>
      </c>
      <c r="D14616">
        <v>31</v>
      </c>
      <c r="E14616" s="2">
        <v>2.9907407407407407E-2</v>
      </c>
      <c r="F14616">
        <v>43.06666666666667</v>
      </c>
    </row>
    <row r="14617" spans="1:6" x14ac:dyDescent="0.25">
      <c r="A14617" s="1">
        <v>43647</v>
      </c>
      <c r="B14617" t="s">
        <v>5</v>
      </c>
      <c r="C14617" t="s">
        <v>6</v>
      </c>
      <c r="D14617">
        <v>61</v>
      </c>
      <c r="E14617" s="2">
        <v>6.4062499999999994E-2</v>
      </c>
      <c r="F14617">
        <v>92.25</v>
      </c>
    </row>
    <row r="14618" spans="1:6" x14ac:dyDescent="0.25">
      <c r="A14618" s="1">
        <v>43647</v>
      </c>
      <c r="B14618" t="s">
        <v>5</v>
      </c>
      <c r="C14618" t="s">
        <v>7</v>
      </c>
      <c r="D14618">
        <v>54</v>
      </c>
      <c r="E14618" s="2">
        <v>6.2314814814814816E-2</v>
      </c>
      <c r="F14618">
        <v>89.733333333333334</v>
      </c>
    </row>
    <row r="14619" spans="1:6" x14ac:dyDescent="0.25">
      <c r="A14619" s="1">
        <v>43647</v>
      </c>
      <c r="B14619" t="s">
        <v>5</v>
      </c>
      <c r="C14619" t="s">
        <v>8</v>
      </c>
      <c r="D14619">
        <v>52</v>
      </c>
      <c r="E14619" s="2">
        <v>4.6620370370370368E-2</v>
      </c>
      <c r="F14619">
        <v>67.13333333333334</v>
      </c>
    </row>
    <row r="14620" spans="1:6" x14ac:dyDescent="0.25">
      <c r="A14620" s="1">
        <v>43647</v>
      </c>
      <c r="B14620" t="s">
        <v>5</v>
      </c>
      <c r="C14620" t="s">
        <v>9</v>
      </c>
      <c r="D14620">
        <v>0</v>
      </c>
      <c r="E14620" s="2">
        <v>0</v>
      </c>
      <c r="F14620">
        <v>0</v>
      </c>
    </row>
    <row r="14621" spans="1:6" x14ac:dyDescent="0.25">
      <c r="A14621" s="1">
        <v>43647</v>
      </c>
      <c r="B14621" t="s">
        <v>5</v>
      </c>
      <c r="C14621" t="s">
        <v>10</v>
      </c>
      <c r="D14621">
        <v>3</v>
      </c>
      <c r="E14621" s="2">
        <v>2.5694444444444445E-3</v>
      </c>
      <c r="F14621">
        <v>3.7</v>
      </c>
    </row>
    <row r="14622" spans="1:6" x14ac:dyDescent="0.25">
      <c r="A14622" s="1">
        <v>43647</v>
      </c>
      <c r="B14622" t="s">
        <v>5</v>
      </c>
      <c r="C14622" t="s">
        <v>11</v>
      </c>
      <c r="D14622">
        <v>58</v>
      </c>
      <c r="E14622" s="2">
        <v>4.6331018518518521E-2</v>
      </c>
      <c r="F14622">
        <v>66.716666666666669</v>
      </c>
    </row>
    <row r="14623" spans="1:6" x14ac:dyDescent="0.25">
      <c r="A14623" s="1">
        <v>43647</v>
      </c>
      <c r="B14623" t="s">
        <v>12</v>
      </c>
      <c r="C14623" t="s">
        <v>6</v>
      </c>
      <c r="D14623">
        <v>25</v>
      </c>
      <c r="E14623" s="2">
        <v>4.3912037037037034E-2</v>
      </c>
      <c r="F14623">
        <v>63.233333333333334</v>
      </c>
    </row>
    <row r="14624" spans="1:6" x14ac:dyDescent="0.25">
      <c r="A14624" s="1">
        <v>43647</v>
      </c>
      <c r="B14624" t="s">
        <v>12</v>
      </c>
      <c r="C14624" t="s">
        <v>7</v>
      </c>
      <c r="D14624">
        <v>26</v>
      </c>
      <c r="E14624" s="2">
        <v>5.7442129629629628E-2</v>
      </c>
      <c r="F14624">
        <v>82.716666666666669</v>
      </c>
    </row>
    <row r="14625" spans="1:6" x14ac:dyDescent="0.25">
      <c r="A14625" s="1">
        <v>43647</v>
      </c>
      <c r="B14625" t="s">
        <v>12</v>
      </c>
      <c r="C14625" t="s">
        <v>8</v>
      </c>
      <c r="D14625">
        <v>27</v>
      </c>
      <c r="E14625" s="2">
        <v>4.6620370370370368E-2</v>
      </c>
      <c r="F14625">
        <v>67.13333333333334</v>
      </c>
    </row>
    <row r="14626" spans="1:6" x14ac:dyDescent="0.25">
      <c r="A14626" s="1">
        <v>43647</v>
      </c>
      <c r="B14626" t="s">
        <v>12</v>
      </c>
      <c r="C14626" t="s">
        <v>9</v>
      </c>
      <c r="D14626">
        <v>0</v>
      </c>
      <c r="E14626" s="2">
        <v>0</v>
      </c>
      <c r="F14626">
        <v>0</v>
      </c>
    </row>
    <row r="14627" spans="1:6" x14ac:dyDescent="0.25">
      <c r="A14627" s="1">
        <v>43647</v>
      </c>
      <c r="B14627" t="s">
        <v>12</v>
      </c>
      <c r="C14627" t="s">
        <v>10</v>
      </c>
      <c r="D14627">
        <v>34</v>
      </c>
      <c r="E14627" s="2">
        <v>5.4375E-2</v>
      </c>
      <c r="F14627">
        <v>78.3</v>
      </c>
    </row>
    <row r="14628" spans="1:6" x14ac:dyDescent="0.25">
      <c r="A14628" s="1">
        <v>43647</v>
      </c>
      <c r="B14628" t="s">
        <v>12</v>
      </c>
      <c r="C14628" t="s">
        <v>11</v>
      </c>
      <c r="D14628">
        <v>50</v>
      </c>
      <c r="E14628" s="2">
        <v>6.2094907407407404E-2</v>
      </c>
      <c r="F14628">
        <v>89.416666666666671</v>
      </c>
    </row>
    <row r="14629" spans="1:6" x14ac:dyDescent="0.25">
      <c r="A14629" s="1">
        <v>43647</v>
      </c>
      <c r="B14629" t="s">
        <v>13</v>
      </c>
      <c r="C14629" t="s">
        <v>6</v>
      </c>
      <c r="D14629">
        <v>97</v>
      </c>
      <c r="E14629" s="2">
        <v>0.16444444444444445</v>
      </c>
      <c r="F14629">
        <v>236.8</v>
      </c>
    </row>
    <row r="14630" spans="1:6" x14ac:dyDescent="0.25">
      <c r="A14630" s="1">
        <v>43647</v>
      </c>
      <c r="B14630" t="s">
        <v>13</v>
      </c>
      <c r="C14630" t="s">
        <v>7</v>
      </c>
      <c r="D14630">
        <v>81</v>
      </c>
      <c r="E14630" s="2">
        <v>0.13532407407407407</v>
      </c>
      <c r="F14630">
        <v>194.86666666666667</v>
      </c>
    </row>
    <row r="14631" spans="1:6" x14ac:dyDescent="0.25">
      <c r="A14631" s="1">
        <v>43647</v>
      </c>
      <c r="B14631" t="s">
        <v>13</v>
      </c>
      <c r="C14631" t="s">
        <v>8</v>
      </c>
      <c r="D14631">
        <v>49</v>
      </c>
      <c r="E14631" s="2">
        <v>6.9259259259259257E-2</v>
      </c>
      <c r="F14631">
        <v>99.733333333333334</v>
      </c>
    </row>
    <row r="14632" spans="1:6" x14ac:dyDescent="0.25">
      <c r="A14632" s="1">
        <v>43647</v>
      </c>
      <c r="B14632" t="s">
        <v>13</v>
      </c>
      <c r="C14632" t="s">
        <v>9</v>
      </c>
      <c r="D14632">
        <v>0</v>
      </c>
      <c r="E14632" s="2">
        <v>0</v>
      </c>
      <c r="F14632">
        <v>0</v>
      </c>
    </row>
    <row r="14633" spans="1:6" x14ac:dyDescent="0.25">
      <c r="A14633" s="1">
        <v>43647</v>
      </c>
      <c r="B14633" t="s">
        <v>13</v>
      </c>
      <c r="C14633" t="s">
        <v>10</v>
      </c>
      <c r="D14633">
        <v>12</v>
      </c>
      <c r="E14633" s="2">
        <v>1.3229166666666667E-2</v>
      </c>
      <c r="F14633">
        <v>19.05</v>
      </c>
    </row>
    <row r="14634" spans="1:6" x14ac:dyDescent="0.25">
      <c r="A14634" s="1">
        <v>43647</v>
      </c>
      <c r="B14634" t="s">
        <v>13</v>
      </c>
      <c r="C14634" t="s">
        <v>11</v>
      </c>
      <c r="D14634">
        <v>30</v>
      </c>
      <c r="E14634" s="2">
        <v>3.4282407407407407E-2</v>
      </c>
      <c r="F14634">
        <v>49.366666666666667</v>
      </c>
    </row>
    <row r="14635" spans="1:6" x14ac:dyDescent="0.25">
      <c r="A14635" s="1">
        <v>43647</v>
      </c>
      <c r="B14635" t="s">
        <v>14</v>
      </c>
      <c r="C14635" t="s">
        <v>6</v>
      </c>
      <c r="D14635">
        <v>19</v>
      </c>
      <c r="E14635" s="2">
        <v>2.7164351851851853E-2</v>
      </c>
      <c r="F14635">
        <v>39.116666666666667</v>
      </c>
    </row>
    <row r="14636" spans="1:6" x14ac:dyDescent="0.25">
      <c r="A14636" s="1">
        <v>43647</v>
      </c>
      <c r="B14636" t="s">
        <v>14</v>
      </c>
      <c r="C14636" t="s">
        <v>7</v>
      </c>
      <c r="D14636">
        <v>11</v>
      </c>
      <c r="E14636" s="2">
        <v>1.2974537037037038E-2</v>
      </c>
      <c r="F14636">
        <v>18.683333333333334</v>
      </c>
    </row>
    <row r="14637" spans="1:6" x14ac:dyDescent="0.25">
      <c r="A14637" s="1">
        <v>43647</v>
      </c>
      <c r="B14637" t="s">
        <v>14</v>
      </c>
      <c r="C14637" t="s">
        <v>8</v>
      </c>
      <c r="D14637">
        <v>14</v>
      </c>
      <c r="E14637" s="2">
        <v>9.571759259259259E-3</v>
      </c>
      <c r="F14637">
        <v>13.783333333333333</v>
      </c>
    </row>
    <row r="14638" spans="1:6" x14ac:dyDescent="0.25">
      <c r="A14638" s="1">
        <v>43647</v>
      </c>
      <c r="B14638" t="s">
        <v>14</v>
      </c>
      <c r="C14638" t="s">
        <v>9</v>
      </c>
      <c r="D14638">
        <v>0</v>
      </c>
      <c r="E14638" s="2">
        <v>0</v>
      </c>
      <c r="F14638">
        <v>0</v>
      </c>
    </row>
    <row r="14639" spans="1:6" x14ac:dyDescent="0.25">
      <c r="A14639" s="1">
        <v>43647</v>
      </c>
      <c r="B14639" t="s">
        <v>14</v>
      </c>
      <c r="C14639" t="s">
        <v>10</v>
      </c>
      <c r="D14639">
        <v>1</v>
      </c>
      <c r="E14639" s="2">
        <v>3.3564814814814812E-4</v>
      </c>
      <c r="F14639">
        <v>0.48333333333333334</v>
      </c>
    </row>
    <row r="14640" spans="1:6" x14ac:dyDescent="0.25">
      <c r="A14640" s="1">
        <v>43647</v>
      </c>
      <c r="B14640" t="s">
        <v>14</v>
      </c>
      <c r="C14640" t="s">
        <v>11</v>
      </c>
      <c r="D14640">
        <v>18</v>
      </c>
      <c r="E14640" s="2">
        <v>1.9699074074074074E-2</v>
      </c>
      <c r="F14640">
        <v>28.366666666666667</v>
      </c>
    </row>
    <row r="14641" spans="1:6" x14ac:dyDescent="0.25">
      <c r="A14641" s="1">
        <v>43647</v>
      </c>
      <c r="B14641" t="s">
        <v>15</v>
      </c>
      <c r="C14641" t="s">
        <v>6</v>
      </c>
      <c r="D14641">
        <v>85</v>
      </c>
      <c r="E14641" s="2">
        <v>0.11128472222222222</v>
      </c>
      <c r="F14641">
        <v>160.25</v>
      </c>
    </row>
    <row r="14642" spans="1:6" x14ac:dyDescent="0.25">
      <c r="A14642" s="1">
        <v>43647</v>
      </c>
      <c r="B14642" t="s">
        <v>15</v>
      </c>
      <c r="C14642" t="s">
        <v>7</v>
      </c>
      <c r="D14642">
        <v>66</v>
      </c>
      <c r="E14642" s="2">
        <v>0.1131712962962963</v>
      </c>
      <c r="F14642">
        <v>162.96666666666667</v>
      </c>
    </row>
    <row r="14643" spans="1:6" x14ac:dyDescent="0.25">
      <c r="A14643" s="1">
        <v>43647</v>
      </c>
      <c r="B14643" t="s">
        <v>15</v>
      </c>
      <c r="C14643" t="s">
        <v>8</v>
      </c>
      <c r="D14643">
        <v>51</v>
      </c>
      <c r="E14643" s="2">
        <v>5.9108796296296298E-2</v>
      </c>
      <c r="F14643">
        <v>85.11666666666666</v>
      </c>
    </row>
    <row r="14644" spans="1:6" x14ac:dyDescent="0.25">
      <c r="A14644" s="1">
        <v>43647</v>
      </c>
      <c r="B14644" t="s">
        <v>15</v>
      </c>
      <c r="C14644" t="s">
        <v>9</v>
      </c>
      <c r="D14644">
        <v>0</v>
      </c>
      <c r="E14644" s="2">
        <v>0</v>
      </c>
      <c r="F14644">
        <v>0</v>
      </c>
    </row>
    <row r="14645" spans="1:6" x14ac:dyDescent="0.25">
      <c r="A14645" s="1">
        <v>43647</v>
      </c>
      <c r="B14645" t="s">
        <v>15</v>
      </c>
      <c r="C14645" t="s">
        <v>10</v>
      </c>
      <c r="D14645">
        <v>22</v>
      </c>
      <c r="E14645" s="2">
        <v>3.7465277777777778E-2</v>
      </c>
      <c r="F14645">
        <v>53.95</v>
      </c>
    </row>
    <row r="14646" spans="1:6" x14ac:dyDescent="0.25">
      <c r="A14646" s="1">
        <v>43647</v>
      </c>
      <c r="B14646" t="s">
        <v>15</v>
      </c>
      <c r="C14646" t="s">
        <v>11</v>
      </c>
      <c r="D14646">
        <v>48</v>
      </c>
      <c r="E14646" s="2">
        <v>4.3217592592592592E-2</v>
      </c>
      <c r="F14646">
        <v>62.233333333333334</v>
      </c>
    </row>
    <row r="14647" spans="1:6" x14ac:dyDescent="0.25">
      <c r="A14647" s="1">
        <v>43647</v>
      </c>
      <c r="B14647" t="s">
        <v>16</v>
      </c>
      <c r="C14647" t="s">
        <v>6</v>
      </c>
      <c r="D14647">
        <v>21</v>
      </c>
      <c r="E14647" s="2">
        <v>2.5057870370370369E-2</v>
      </c>
      <c r="F14647">
        <v>36.083333333333336</v>
      </c>
    </row>
    <row r="14648" spans="1:6" x14ac:dyDescent="0.25">
      <c r="A14648" s="1">
        <v>43647</v>
      </c>
      <c r="B14648" t="s">
        <v>16</v>
      </c>
      <c r="C14648" t="s">
        <v>7</v>
      </c>
      <c r="D14648">
        <v>18</v>
      </c>
      <c r="E14648" s="2">
        <v>1.8229166666666668E-2</v>
      </c>
      <c r="F14648">
        <v>26.25</v>
      </c>
    </row>
    <row r="14649" spans="1:6" x14ac:dyDescent="0.25">
      <c r="A14649" s="1">
        <v>43647</v>
      </c>
      <c r="B14649" t="s">
        <v>16</v>
      </c>
      <c r="C14649" t="s">
        <v>8</v>
      </c>
      <c r="D14649">
        <v>27</v>
      </c>
      <c r="E14649" s="2">
        <v>2.3240740740740742E-2</v>
      </c>
      <c r="F14649">
        <v>33.466666666666669</v>
      </c>
    </row>
    <row r="14650" spans="1:6" x14ac:dyDescent="0.25">
      <c r="A14650" s="1">
        <v>43647</v>
      </c>
      <c r="B14650" t="s">
        <v>16</v>
      </c>
      <c r="C14650" t="s">
        <v>9</v>
      </c>
      <c r="D14650">
        <v>0</v>
      </c>
      <c r="E14650" s="2">
        <v>0</v>
      </c>
      <c r="F14650">
        <v>0</v>
      </c>
    </row>
    <row r="14651" spans="1:6" x14ac:dyDescent="0.25">
      <c r="A14651" s="1">
        <v>43647</v>
      </c>
      <c r="B14651" t="s">
        <v>16</v>
      </c>
      <c r="C14651" t="s">
        <v>10</v>
      </c>
      <c r="D14651">
        <v>0</v>
      </c>
      <c r="E14651" s="2">
        <v>0</v>
      </c>
      <c r="F14651">
        <v>0</v>
      </c>
    </row>
    <row r="14652" spans="1:6" x14ac:dyDescent="0.25">
      <c r="A14652" s="1">
        <v>43647</v>
      </c>
      <c r="B14652" t="s">
        <v>16</v>
      </c>
      <c r="C14652" t="s">
        <v>11</v>
      </c>
      <c r="D14652">
        <v>32</v>
      </c>
      <c r="E14652" s="2">
        <v>2.5266203703703704E-2</v>
      </c>
      <c r="F14652">
        <v>36.383333333333333</v>
      </c>
    </row>
    <row r="14653" spans="1:6" x14ac:dyDescent="0.25">
      <c r="A14653" s="1">
        <v>43647</v>
      </c>
      <c r="B14653" t="s">
        <v>17</v>
      </c>
      <c r="C14653" t="s">
        <v>6</v>
      </c>
      <c r="D14653">
        <v>5</v>
      </c>
      <c r="E14653" s="2">
        <v>5.3125000000000004E-3</v>
      </c>
      <c r="F14653">
        <v>7.65</v>
      </c>
    </row>
    <row r="14654" spans="1:6" x14ac:dyDescent="0.25">
      <c r="A14654" s="1">
        <v>43647</v>
      </c>
      <c r="B14654" t="s">
        <v>17</v>
      </c>
      <c r="C14654" t="s">
        <v>7</v>
      </c>
      <c r="D14654">
        <v>4</v>
      </c>
      <c r="E14654" s="2">
        <v>5.7175925925925927E-3</v>
      </c>
      <c r="F14654">
        <v>8.2333333333333325</v>
      </c>
    </row>
    <row r="14655" spans="1:6" x14ac:dyDescent="0.25">
      <c r="A14655" s="1">
        <v>43647</v>
      </c>
      <c r="B14655" t="s">
        <v>17</v>
      </c>
      <c r="C14655" t="s">
        <v>8</v>
      </c>
      <c r="D14655">
        <v>3</v>
      </c>
      <c r="E14655" s="2">
        <v>8.1250000000000003E-3</v>
      </c>
      <c r="F14655">
        <v>11.7</v>
      </c>
    </row>
    <row r="14656" spans="1:6" x14ac:dyDescent="0.25">
      <c r="A14656" s="1">
        <v>43647</v>
      </c>
      <c r="B14656" t="s">
        <v>17</v>
      </c>
      <c r="C14656" t="s">
        <v>9</v>
      </c>
      <c r="D14656">
        <v>0</v>
      </c>
      <c r="E14656" s="2">
        <v>0</v>
      </c>
      <c r="F14656">
        <v>0</v>
      </c>
    </row>
    <row r="14657" spans="1:6" x14ac:dyDescent="0.25">
      <c r="A14657" s="1">
        <v>43647</v>
      </c>
      <c r="B14657" t="s">
        <v>17</v>
      </c>
      <c r="C14657" t="s">
        <v>10</v>
      </c>
      <c r="D14657">
        <v>7</v>
      </c>
      <c r="E14657" s="2">
        <v>8.7500000000000008E-3</v>
      </c>
      <c r="F14657">
        <v>12.6</v>
      </c>
    </row>
    <row r="14658" spans="1:6" x14ac:dyDescent="0.25">
      <c r="A14658" s="1">
        <v>43647</v>
      </c>
      <c r="B14658" t="s">
        <v>17</v>
      </c>
      <c r="C14658" t="s">
        <v>11</v>
      </c>
      <c r="D14658">
        <v>5</v>
      </c>
      <c r="E14658" s="2">
        <v>2.4305555555555556E-3</v>
      </c>
      <c r="F14658">
        <v>3.5</v>
      </c>
    </row>
    <row r="14659" spans="1:6" x14ac:dyDescent="0.25">
      <c r="A14659" s="1">
        <v>43647</v>
      </c>
      <c r="B14659" t="s">
        <v>18</v>
      </c>
      <c r="C14659" t="s">
        <v>6</v>
      </c>
      <c r="D14659">
        <v>22</v>
      </c>
      <c r="E14659" s="2">
        <v>2.4456018518518519E-2</v>
      </c>
      <c r="F14659">
        <v>35.216666666666669</v>
      </c>
    </row>
    <row r="14660" spans="1:6" x14ac:dyDescent="0.25">
      <c r="A14660" s="1">
        <v>43647</v>
      </c>
      <c r="B14660" t="s">
        <v>18</v>
      </c>
      <c r="C14660" t="s">
        <v>7</v>
      </c>
      <c r="D14660">
        <v>59</v>
      </c>
      <c r="E14660" s="2">
        <v>5.9953703703703703E-2</v>
      </c>
      <c r="F14660">
        <v>86.333333333333329</v>
      </c>
    </row>
    <row r="14661" spans="1:6" x14ac:dyDescent="0.25">
      <c r="A14661" s="1">
        <v>43647</v>
      </c>
      <c r="B14661" t="s">
        <v>18</v>
      </c>
      <c r="C14661" t="s">
        <v>8</v>
      </c>
      <c r="D14661">
        <v>29</v>
      </c>
      <c r="E14661" s="2">
        <v>2.4236111111111111E-2</v>
      </c>
      <c r="F14661">
        <v>34.9</v>
      </c>
    </row>
    <row r="14662" spans="1:6" x14ac:dyDescent="0.25">
      <c r="A14662" s="1">
        <v>43647</v>
      </c>
      <c r="B14662" t="s">
        <v>18</v>
      </c>
      <c r="C14662" t="s">
        <v>9</v>
      </c>
      <c r="D14662">
        <v>0</v>
      </c>
      <c r="E14662" s="2">
        <v>0</v>
      </c>
      <c r="F14662">
        <v>0</v>
      </c>
    </row>
    <row r="14663" spans="1:6" x14ac:dyDescent="0.25">
      <c r="A14663" s="1">
        <v>43647</v>
      </c>
      <c r="B14663" t="s">
        <v>18</v>
      </c>
      <c r="C14663" t="s">
        <v>10</v>
      </c>
      <c r="D14663">
        <v>151</v>
      </c>
      <c r="E14663" s="2">
        <v>0.2003125</v>
      </c>
      <c r="F14663">
        <v>288.45</v>
      </c>
    </row>
    <row r="14664" spans="1:6" x14ac:dyDescent="0.25">
      <c r="A14664" s="1">
        <v>43647</v>
      </c>
      <c r="B14664" t="s">
        <v>18</v>
      </c>
      <c r="C14664" t="s">
        <v>11</v>
      </c>
      <c r="D14664">
        <v>39</v>
      </c>
      <c r="E14664" s="2">
        <v>2.3923611111111111E-2</v>
      </c>
      <c r="F14664">
        <v>34.450000000000003</v>
      </c>
    </row>
    <row r="14665" spans="1:6" x14ac:dyDescent="0.25">
      <c r="A14665" s="1">
        <v>43647</v>
      </c>
      <c r="B14665" t="s">
        <v>19</v>
      </c>
      <c r="C14665" t="s">
        <v>6</v>
      </c>
      <c r="D14665">
        <v>13</v>
      </c>
      <c r="E14665" s="2">
        <v>1.6377314814814813E-2</v>
      </c>
      <c r="F14665">
        <v>23.583333333333332</v>
      </c>
    </row>
    <row r="14666" spans="1:6" x14ac:dyDescent="0.25">
      <c r="A14666" s="1">
        <v>43647</v>
      </c>
      <c r="B14666" t="s">
        <v>19</v>
      </c>
      <c r="C14666" t="s">
        <v>7</v>
      </c>
      <c r="D14666">
        <v>17</v>
      </c>
      <c r="E14666" s="2">
        <v>1.7002314814814814E-2</v>
      </c>
      <c r="F14666">
        <v>24.483333333333334</v>
      </c>
    </row>
    <row r="14667" spans="1:6" x14ac:dyDescent="0.25">
      <c r="A14667" s="1">
        <v>43647</v>
      </c>
      <c r="B14667" t="s">
        <v>19</v>
      </c>
      <c r="C14667" t="s">
        <v>8</v>
      </c>
      <c r="D14667">
        <v>14</v>
      </c>
      <c r="E14667" s="2">
        <v>1.1168981481481481E-2</v>
      </c>
      <c r="F14667">
        <v>16.083333333333332</v>
      </c>
    </row>
    <row r="14668" spans="1:6" x14ac:dyDescent="0.25">
      <c r="A14668" s="1">
        <v>43647</v>
      </c>
      <c r="B14668" t="s">
        <v>19</v>
      </c>
      <c r="C14668" t="s">
        <v>9</v>
      </c>
      <c r="D14668">
        <v>0</v>
      </c>
      <c r="E14668" s="2">
        <v>0</v>
      </c>
      <c r="F14668">
        <v>0</v>
      </c>
    </row>
    <row r="14669" spans="1:6" x14ac:dyDescent="0.25">
      <c r="A14669" s="1">
        <v>43647</v>
      </c>
      <c r="B14669" t="s">
        <v>19</v>
      </c>
      <c r="C14669" t="s">
        <v>10</v>
      </c>
      <c r="D14669">
        <v>10</v>
      </c>
      <c r="E14669" s="2">
        <v>1.3773148148148149E-2</v>
      </c>
      <c r="F14669">
        <v>19.833333333333332</v>
      </c>
    </row>
    <row r="14670" spans="1:6" x14ac:dyDescent="0.25">
      <c r="A14670" s="1">
        <v>43647</v>
      </c>
      <c r="B14670" t="s">
        <v>19</v>
      </c>
      <c r="C14670" t="s">
        <v>11</v>
      </c>
      <c r="D14670">
        <v>27</v>
      </c>
      <c r="E14670" s="2">
        <v>2.5162037037037038E-2</v>
      </c>
      <c r="F14670">
        <v>36.233333333333334</v>
      </c>
    </row>
    <row r="14671" spans="1:6" x14ac:dyDescent="0.25">
      <c r="A14671" s="1">
        <v>43647</v>
      </c>
      <c r="B14671" t="s">
        <v>20</v>
      </c>
      <c r="C14671" t="s">
        <v>6</v>
      </c>
      <c r="D14671">
        <v>43</v>
      </c>
      <c r="E14671" s="2">
        <v>5.5092592592592596E-2</v>
      </c>
      <c r="F14671">
        <v>79.333333333333329</v>
      </c>
    </row>
    <row r="14672" spans="1:6" x14ac:dyDescent="0.25">
      <c r="A14672" s="1">
        <v>43647</v>
      </c>
      <c r="B14672" t="s">
        <v>20</v>
      </c>
      <c r="C14672" t="s">
        <v>7</v>
      </c>
      <c r="D14672">
        <v>64</v>
      </c>
      <c r="E14672" s="2">
        <v>8.655092592592592E-2</v>
      </c>
      <c r="F14672">
        <v>124.63333333333334</v>
      </c>
    </row>
    <row r="14673" spans="1:6" x14ac:dyDescent="0.25">
      <c r="A14673" s="1">
        <v>43647</v>
      </c>
      <c r="B14673" t="s">
        <v>20</v>
      </c>
      <c r="C14673" t="s">
        <v>8</v>
      </c>
      <c r="D14673">
        <v>56</v>
      </c>
      <c r="E14673" s="2">
        <v>5.9456018518518519E-2</v>
      </c>
      <c r="F14673">
        <v>85.61666666666666</v>
      </c>
    </row>
    <row r="14674" spans="1:6" x14ac:dyDescent="0.25">
      <c r="A14674" s="1">
        <v>43647</v>
      </c>
      <c r="B14674" t="s">
        <v>20</v>
      </c>
      <c r="C14674" t="s">
        <v>9</v>
      </c>
      <c r="D14674">
        <v>0</v>
      </c>
      <c r="E14674" s="2">
        <v>0</v>
      </c>
      <c r="F14674">
        <v>0</v>
      </c>
    </row>
    <row r="14675" spans="1:6" x14ac:dyDescent="0.25">
      <c r="A14675" s="1">
        <v>43647</v>
      </c>
      <c r="B14675" t="s">
        <v>20</v>
      </c>
      <c r="C14675" t="s">
        <v>10</v>
      </c>
      <c r="D14675">
        <v>9</v>
      </c>
      <c r="E14675" s="2">
        <v>1.1979166666666667E-2</v>
      </c>
      <c r="F14675">
        <v>17.25</v>
      </c>
    </row>
    <row r="14676" spans="1:6" x14ac:dyDescent="0.25">
      <c r="A14676" s="1">
        <v>43647</v>
      </c>
      <c r="B14676" t="s">
        <v>20</v>
      </c>
      <c r="C14676" t="s">
        <v>11</v>
      </c>
      <c r="D14676">
        <v>44</v>
      </c>
      <c r="E14676" s="2">
        <v>4.1365740740740738E-2</v>
      </c>
      <c r="F14676">
        <v>59.56666666666667</v>
      </c>
    </row>
    <row r="14677" spans="1:6" x14ac:dyDescent="0.25">
      <c r="A14677" s="1">
        <v>43647</v>
      </c>
      <c r="B14677" t="s">
        <v>21</v>
      </c>
      <c r="C14677" t="s">
        <v>6</v>
      </c>
      <c r="D14677">
        <v>25</v>
      </c>
      <c r="E14677" s="2">
        <v>3.4062500000000002E-2</v>
      </c>
      <c r="F14677">
        <v>49.05</v>
      </c>
    </row>
    <row r="14678" spans="1:6" x14ac:dyDescent="0.25">
      <c r="A14678" s="1">
        <v>43647</v>
      </c>
      <c r="B14678" t="s">
        <v>21</v>
      </c>
      <c r="C14678" t="s">
        <v>7</v>
      </c>
      <c r="D14678">
        <v>15</v>
      </c>
      <c r="E14678" s="2">
        <v>2.732638888888889E-2</v>
      </c>
      <c r="F14678">
        <v>39.35</v>
      </c>
    </row>
    <row r="14679" spans="1:6" x14ac:dyDescent="0.25">
      <c r="A14679" s="1">
        <v>43647</v>
      </c>
      <c r="B14679" t="s">
        <v>21</v>
      </c>
      <c r="C14679" t="s">
        <v>8</v>
      </c>
      <c r="D14679">
        <v>14</v>
      </c>
      <c r="E14679" s="2">
        <v>1.9803240740740739E-2</v>
      </c>
      <c r="F14679">
        <v>28.516666666666666</v>
      </c>
    </row>
    <row r="14680" spans="1:6" x14ac:dyDescent="0.25">
      <c r="A14680" s="1">
        <v>43647</v>
      </c>
      <c r="B14680" t="s">
        <v>21</v>
      </c>
      <c r="C14680" t="s">
        <v>9</v>
      </c>
      <c r="D14680">
        <v>0</v>
      </c>
      <c r="E14680" s="2">
        <v>0</v>
      </c>
      <c r="F14680">
        <v>0</v>
      </c>
    </row>
    <row r="14681" spans="1:6" x14ac:dyDescent="0.25">
      <c r="A14681" s="1">
        <v>43647</v>
      </c>
      <c r="B14681" t="s">
        <v>21</v>
      </c>
      <c r="C14681" t="s">
        <v>10</v>
      </c>
      <c r="D14681">
        <v>7</v>
      </c>
      <c r="E14681" s="2">
        <v>8.518518518518519E-3</v>
      </c>
      <c r="F14681">
        <v>12.266666666666667</v>
      </c>
    </row>
    <row r="14682" spans="1:6" x14ac:dyDescent="0.25">
      <c r="A14682" s="1">
        <v>43647</v>
      </c>
      <c r="B14682" t="s">
        <v>21</v>
      </c>
      <c r="C14682" t="s">
        <v>11</v>
      </c>
      <c r="D14682">
        <v>19</v>
      </c>
      <c r="E14682" s="2">
        <v>1.9814814814814816E-2</v>
      </c>
      <c r="F14682">
        <v>28.533333333333335</v>
      </c>
    </row>
    <row r="14683" spans="1:6" x14ac:dyDescent="0.25">
      <c r="A14683" s="1">
        <v>43647</v>
      </c>
      <c r="B14683" t="s">
        <v>22</v>
      </c>
      <c r="C14683" t="s">
        <v>6</v>
      </c>
      <c r="D14683">
        <v>28</v>
      </c>
      <c r="E14683" s="2">
        <v>4.9317129629629627E-2</v>
      </c>
      <c r="F14683">
        <v>71.016666666666666</v>
      </c>
    </row>
    <row r="14684" spans="1:6" x14ac:dyDescent="0.25">
      <c r="A14684" s="1">
        <v>43647</v>
      </c>
      <c r="B14684" t="s">
        <v>22</v>
      </c>
      <c r="C14684" t="s">
        <v>7</v>
      </c>
      <c r="D14684">
        <v>19</v>
      </c>
      <c r="E14684" s="2">
        <v>3.4930555555555555E-2</v>
      </c>
      <c r="F14684">
        <v>50.3</v>
      </c>
    </row>
    <row r="14685" spans="1:6" x14ac:dyDescent="0.25">
      <c r="A14685" s="1">
        <v>43647</v>
      </c>
      <c r="B14685" t="s">
        <v>22</v>
      </c>
      <c r="C14685" t="s">
        <v>8</v>
      </c>
      <c r="D14685">
        <v>6</v>
      </c>
      <c r="E14685" s="2">
        <v>1.0868055555555556E-2</v>
      </c>
      <c r="F14685">
        <v>15.65</v>
      </c>
    </row>
    <row r="14686" spans="1:6" x14ac:dyDescent="0.25">
      <c r="A14686" s="1">
        <v>43647</v>
      </c>
      <c r="B14686" t="s">
        <v>22</v>
      </c>
      <c r="C14686" t="s">
        <v>9</v>
      </c>
      <c r="D14686">
        <v>0</v>
      </c>
      <c r="E14686" s="2">
        <v>0</v>
      </c>
      <c r="F14686">
        <v>0</v>
      </c>
    </row>
    <row r="14687" spans="1:6" x14ac:dyDescent="0.25">
      <c r="A14687" s="1">
        <v>43647</v>
      </c>
      <c r="B14687" t="s">
        <v>22</v>
      </c>
      <c r="C14687" t="s">
        <v>10</v>
      </c>
      <c r="D14687">
        <v>12</v>
      </c>
      <c r="E14687" s="2">
        <v>1.3645833333333333E-2</v>
      </c>
      <c r="F14687">
        <v>19.649999999999999</v>
      </c>
    </row>
    <row r="14688" spans="1:6" x14ac:dyDescent="0.25">
      <c r="A14688" s="1">
        <v>43647</v>
      </c>
      <c r="B14688" t="s">
        <v>22</v>
      </c>
      <c r="C14688" t="s">
        <v>11</v>
      </c>
      <c r="D14688">
        <v>17</v>
      </c>
      <c r="E14688" s="2">
        <v>1.7650462962962962E-2</v>
      </c>
      <c r="F14688">
        <v>25.416666666666668</v>
      </c>
    </row>
    <row r="14689" spans="1:6" x14ac:dyDescent="0.25">
      <c r="A14689" s="1">
        <v>43647</v>
      </c>
      <c r="B14689" t="s">
        <v>23</v>
      </c>
      <c r="C14689" t="s">
        <v>6</v>
      </c>
      <c r="D14689">
        <v>101</v>
      </c>
      <c r="E14689" s="2">
        <v>0.14340277777777777</v>
      </c>
      <c r="F14689">
        <v>206.5</v>
      </c>
    </row>
    <row r="14690" spans="1:6" x14ac:dyDescent="0.25">
      <c r="A14690" s="1">
        <v>43647</v>
      </c>
      <c r="B14690" t="s">
        <v>23</v>
      </c>
      <c r="C14690" t="s">
        <v>7</v>
      </c>
      <c r="D14690">
        <v>94</v>
      </c>
      <c r="E14690" s="2">
        <v>0.15971064814814814</v>
      </c>
      <c r="F14690">
        <v>229.98333333333332</v>
      </c>
    </row>
    <row r="14691" spans="1:6" x14ac:dyDescent="0.25">
      <c r="A14691" s="1">
        <v>43647</v>
      </c>
      <c r="B14691" t="s">
        <v>23</v>
      </c>
      <c r="C14691" t="s">
        <v>8</v>
      </c>
      <c r="D14691">
        <v>79</v>
      </c>
      <c r="E14691" s="2">
        <v>9.5694444444444443E-2</v>
      </c>
      <c r="F14691">
        <v>137.80000000000001</v>
      </c>
    </row>
    <row r="14692" spans="1:6" x14ac:dyDescent="0.25">
      <c r="A14692" s="1">
        <v>43647</v>
      </c>
      <c r="B14692" t="s">
        <v>23</v>
      </c>
      <c r="C14692" t="s">
        <v>9</v>
      </c>
      <c r="D14692">
        <v>0</v>
      </c>
      <c r="E14692" s="2">
        <v>0</v>
      </c>
      <c r="F14692">
        <v>0</v>
      </c>
    </row>
    <row r="14693" spans="1:6" x14ac:dyDescent="0.25">
      <c r="A14693" s="1">
        <v>43647</v>
      </c>
      <c r="B14693" t="s">
        <v>23</v>
      </c>
      <c r="C14693" t="s">
        <v>10</v>
      </c>
      <c r="D14693">
        <v>33</v>
      </c>
      <c r="E14693" s="2">
        <v>5.9791666666666667E-2</v>
      </c>
      <c r="F14693">
        <v>86.1</v>
      </c>
    </row>
    <row r="14694" spans="1:6" x14ac:dyDescent="0.25">
      <c r="A14694" s="1">
        <v>43647</v>
      </c>
      <c r="B14694" t="s">
        <v>23</v>
      </c>
      <c r="C14694" t="s">
        <v>11</v>
      </c>
      <c r="D14694">
        <v>74</v>
      </c>
      <c r="E14694" s="2">
        <v>7.90162037037037E-2</v>
      </c>
      <c r="F14694">
        <v>113.78333333333333</v>
      </c>
    </row>
    <row r="14695" spans="1:6" x14ac:dyDescent="0.25">
      <c r="A14695" s="1">
        <v>43647</v>
      </c>
      <c r="B14695" t="s">
        <v>24</v>
      </c>
      <c r="C14695" t="s">
        <v>6</v>
      </c>
      <c r="D14695">
        <v>23</v>
      </c>
      <c r="E14695" s="2">
        <v>2.6539351851851852E-2</v>
      </c>
      <c r="F14695">
        <v>38.216666666666669</v>
      </c>
    </row>
    <row r="14696" spans="1:6" x14ac:dyDescent="0.25">
      <c r="A14696" s="1">
        <v>43647</v>
      </c>
      <c r="B14696" t="s">
        <v>24</v>
      </c>
      <c r="C14696" t="s">
        <v>7</v>
      </c>
      <c r="D14696">
        <v>39</v>
      </c>
      <c r="E14696" s="2">
        <v>5.2523148148148145E-2</v>
      </c>
      <c r="F14696">
        <v>75.63333333333334</v>
      </c>
    </row>
    <row r="14697" spans="1:6" x14ac:dyDescent="0.25">
      <c r="A14697" s="1">
        <v>43647</v>
      </c>
      <c r="B14697" t="s">
        <v>24</v>
      </c>
      <c r="C14697" t="s">
        <v>8</v>
      </c>
      <c r="D14697">
        <v>45</v>
      </c>
      <c r="E14697" s="2">
        <v>3.5659722222222225E-2</v>
      </c>
      <c r="F14697">
        <v>51.35</v>
      </c>
    </row>
    <row r="14698" spans="1:6" x14ac:dyDescent="0.25">
      <c r="A14698" s="1">
        <v>43647</v>
      </c>
      <c r="B14698" t="s">
        <v>24</v>
      </c>
      <c r="C14698" t="s">
        <v>9</v>
      </c>
      <c r="D14698">
        <v>0</v>
      </c>
      <c r="E14698" s="2">
        <v>0</v>
      </c>
      <c r="F14698">
        <v>0</v>
      </c>
    </row>
    <row r="14699" spans="1:6" x14ac:dyDescent="0.25">
      <c r="A14699" s="1">
        <v>43647</v>
      </c>
      <c r="B14699" t="s">
        <v>24</v>
      </c>
      <c r="C14699" t="s">
        <v>10</v>
      </c>
      <c r="D14699">
        <v>5</v>
      </c>
      <c r="E14699" s="2">
        <v>7.1412037037037034E-3</v>
      </c>
      <c r="F14699">
        <v>10.283333333333333</v>
      </c>
    </row>
    <row r="14700" spans="1:6" x14ac:dyDescent="0.25">
      <c r="A14700" s="1">
        <v>43647</v>
      </c>
      <c r="B14700" t="s">
        <v>24</v>
      </c>
      <c r="C14700" t="s">
        <v>11</v>
      </c>
      <c r="D14700">
        <v>35</v>
      </c>
      <c r="E14700" s="2">
        <v>3.1828703703703706E-2</v>
      </c>
      <c r="F14700">
        <v>45.833333333333336</v>
      </c>
    </row>
    <row r="14701" spans="1:6" x14ac:dyDescent="0.25">
      <c r="A14701" s="1">
        <v>43678</v>
      </c>
      <c r="B14701" t="s">
        <v>5</v>
      </c>
      <c r="C14701" t="s">
        <v>6</v>
      </c>
      <c r="D14701">
        <v>57</v>
      </c>
      <c r="E14701" s="2">
        <v>6.3090277777777773E-2</v>
      </c>
      <c r="F14701">
        <v>90.85</v>
      </c>
    </row>
    <row r="14702" spans="1:6" x14ac:dyDescent="0.25">
      <c r="A14702" s="1">
        <v>43678</v>
      </c>
      <c r="B14702" t="s">
        <v>5</v>
      </c>
      <c r="C14702" t="s">
        <v>7</v>
      </c>
      <c r="D14702">
        <v>55</v>
      </c>
      <c r="E14702" s="2">
        <v>4.9652777777777775E-2</v>
      </c>
      <c r="F14702">
        <v>71.5</v>
      </c>
    </row>
    <row r="14703" spans="1:6" x14ac:dyDescent="0.25">
      <c r="A14703" s="1">
        <v>43678</v>
      </c>
      <c r="B14703" t="s">
        <v>5</v>
      </c>
      <c r="C14703" t="s">
        <v>8</v>
      </c>
      <c r="D14703">
        <v>47</v>
      </c>
      <c r="E14703" s="2">
        <v>3.8090277777777778E-2</v>
      </c>
      <c r="F14703">
        <v>54.85</v>
      </c>
    </row>
    <row r="14704" spans="1:6" x14ac:dyDescent="0.25">
      <c r="A14704" s="1">
        <v>43678</v>
      </c>
      <c r="B14704" t="s">
        <v>5</v>
      </c>
      <c r="C14704" t="s">
        <v>9</v>
      </c>
      <c r="D14704">
        <v>0</v>
      </c>
      <c r="E14704" s="2">
        <v>0</v>
      </c>
      <c r="F14704">
        <v>0</v>
      </c>
    </row>
    <row r="14705" spans="1:6" x14ac:dyDescent="0.25">
      <c r="A14705" s="1">
        <v>43678</v>
      </c>
      <c r="B14705" t="s">
        <v>5</v>
      </c>
      <c r="C14705" t="s">
        <v>10</v>
      </c>
      <c r="D14705">
        <v>13</v>
      </c>
      <c r="E14705" s="2">
        <v>1.474537037037037E-2</v>
      </c>
      <c r="F14705">
        <v>21.233333333333334</v>
      </c>
    </row>
    <row r="14706" spans="1:6" x14ac:dyDescent="0.25">
      <c r="A14706" s="1">
        <v>43678</v>
      </c>
      <c r="B14706" t="s">
        <v>5</v>
      </c>
      <c r="C14706" t="s">
        <v>11</v>
      </c>
      <c r="D14706">
        <v>54</v>
      </c>
      <c r="E14706" s="2">
        <v>4.2326388888888886E-2</v>
      </c>
      <c r="F14706">
        <v>60.95</v>
      </c>
    </row>
    <row r="14707" spans="1:6" x14ac:dyDescent="0.25">
      <c r="A14707" s="1">
        <v>43678</v>
      </c>
      <c r="B14707" t="s">
        <v>12</v>
      </c>
      <c r="C14707" t="s">
        <v>6</v>
      </c>
      <c r="D14707">
        <v>21</v>
      </c>
      <c r="E14707" s="2">
        <v>3.9537037037037037E-2</v>
      </c>
      <c r="F14707">
        <v>56.93333333333333</v>
      </c>
    </row>
    <row r="14708" spans="1:6" x14ac:dyDescent="0.25">
      <c r="A14708" s="1">
        <v>43678</v>
      </c>
      <c r="B14708" t="s">
        <v>12</v>
      </c>
      <c r="C14708" t="s">
        <v>7</v>
      </c>
      <c r="D14708">
        <v>19</v>
      </c>
      <c r="E14708" s="2">
        <v>4.8715277777777781E-2</v>
      </c>
      <c r="F14708">
        <v>70.150000000000006</v>
      </c>
    </row>
    <row r="14709" spans="1:6" x14ac:dyDescent="0.25">
      <c r="A14709" s="1">
        <v>43678</v>
      </c>
      <c r="B14709" t="s">
        <v>12</v>
      </c>
      <c r="C14709" t="s">
        <v>8</v>
      </c>
      <c r="D14709">
        <v>22</v>
      </c>
      <c r="E14709" s="2">
        <v>4.3634259259259262E-2</v>
      </c>
      <c r="F14709">
        <v>62.833333333333336</v>
      </c>
    </row>
    <row r="14710" spans="1:6" x14ac:dyDescent="0.25">
      <c r="A14710" s="1">
        <v>43678</v>
      </c>
      <c r="B14710" t="s">
        <v>12</v>
      </c>
      <c r="C14710" t="s">
        <v>9</v>
      </c>
      <c r="D14710">
        <v>0</v>
      </c>
      <c r="E14710" s="2">
        <v>0</v>
      </c>
      <c r="F14710">
        <v>0</v>
      </c>
    </row>
    <row r="14711" spans="1:6" x14ac:dyDescent="0.25">
      <c r="A14711" s="1">
        <v>43678</v>
      </c>
      <c r="B14711" t="s">
        <v>12</v>
      </c>
      <c r="C14711" t="s">
        <v>10</v>
      </c>
      <c r="D14711">
        <v>22</v>
      </c>
      <c r="E14711" s="2">
        <v>3.4062500000000002E-2</v>
      </c>
      <c r="F14711">
        <v>49.05</v>
      </c>
    </row>
    <row r="14712" spans="1:6" x14ac:dyDescent="0.25">
      <c r="A14712" s="1">
        <v>43678</v>
      </c>
      <c r="B14712" t="s">
        <v>12</v>
      </c>
      <c r="C14712" t="s">
        <v>11</v>
      </c>
      <c r="D14712">
        <v>39</v>
      </c>
      <c r="E14712" s="2">
        <v>5.1307870370370372E-2</v>
      </c>
      <c r="F14712">
        <v>73.88333333333334</v>
      </c>
    </row>
    <row r="14713" spans="1:6" x14ac:dyDescent="0.25">
      <c r="A14713" s="1">
        <v>43678</v>
      </c>
      <c r="B14713" t="s">
        <v>13</v>
      </c>
      <c r="C14713" t="s">
        <v>6</v>
      </c>
      <c r="D14713">
        <v>65</v>
      </c>
      <c r="E14713" s="2">
        <v>0.11929398148148149</v>
      </c>
      <c r="F14713">
        <v>171.78333333333333</v>
      </c>
    </row>
    <row r="14714" spans="1:6" x14ac:dyDescent="0.25">
      <c r="A14714" s="1">
        <v>43678</v>
      </c>
      <c r="B14714" t="s">
        <v>13</v>
      </c>
      <c r="C14714" t="s">
        <v>7</v>
      </c>
      <c r="D14714">
        <v>63</v>
      </c>
      <c r="E14714" s="2">
        <v>0.10997685185185185</v>
      </c>
      <c r="F14714">
        <v>158.36666666666667</v>
      </c>
    </row>
    <row r="14715" spans="1:6" x14ac:dyDescent="0.25">
      <c r="A14715" s="1">
        <v>43678</v>
      </c>
      <c r="B14715" t="s">
        <v>13</v>
      </c>
      <c r="C14715" t="s">
        <v>8</v>
      </c>
      <c r="D14715">
        <v>44</v>
      </c>
      <c r="E14715" s="2">
        <v>5.9641203703703703E-2</v>
      </c>
      <c r="F14715">
        <v>85.88333333333334</v>
      </c>
    </row>
    <row r="14716" spans="1:6" x14ac:dyDescent="0.25">
      <c r="A14716" s="1">
        <v>43678</v>
      </c>
      <c r="B14716" t="s">
        <v>13</v>
      </c>
      <c r="C14716" t="s">
        <v>9</v>
      </c>
      <c r="D14716">
        <v>0</v>
      </c>
      <c r="E14716" s="2">
        <v>0</v>
      </c>
      <c r="F14716">
        <v>0</v>
      </c>
    </row>
    <row r="14717" spans="1:6" x14ac:dyDescent="0.25">
      <c r="A14717" s="1">
        <v>43678</v>
      </c>
      <c r="B14717" t="s">
        <v>13</v>
      </c>
      <c r="C14717" t="s">
        <v>10</v>
      </c>
      <c r="D14717">
        <v>6</v>
      </c>
      <c r="E14717" s="2">
        <v>9.0393518518518522E-3</v>
      </c>
      <c r="F14717">
        <v>13.016666666666667</v>
      </c>
    </row>
    <row r="14718" spans="1:6" x14ac:dyDescent="0.25">
      <c r="A14718" s="1">
        <v>43678</v>
      </c>
      <c r="B14718" t="s">
        <v>13</v>
      </c>
      <c r="C14718" t="s">
        <v>11</v>
      </c>
      <c r="D14718">
        <v>18</v>
      </c>
      <c r="E14718" s="2">
        <v>2.2048611111111113E-2</v>
      </c>
      <c r="F14718">
        <v>31.75</v>
      </c>
    </row>
    <row r="14719" spans="1:6" x14ac:dyDescent="0.25">
      <c r="A14719" s="1">
        <v>43678</v>
      </c>
      <c r="B14719" t="s">
        <v>14</v>
      </c>
      <c r="C14719" t="s">
        <v>6</v>
      </c>
      <c r="D14719">
        <v>13</v>
      </c>
      <c r="E14719" s="2">
        <v>1.3969907407407407E-2</v>
      </c>
      <c r="F14719">
        <v>20.116666666666667</v>
      </c>
    </row>
    <row r="14720" spans="1:6" x14ac:dyDescent="0.25">
      <c r="A14720" s="1">
        <v>43678</v>
      </c>
      <c r="B14720" t="s">
        <v>14</v>
      </c>
      <c r="C14720" t="s">
        <v>7</v>
      </c>
      <c r="D14720">
        <v>6</v>
      </c>
      <c r="E14720" s="2">
        <v>8.7384259259259255E-3</v>
      </c>
      <c r="F14720">
        <v>12.583333333333334</v>
      </c>
    </row>
    <row r="14721" spans="1:6" x14ac:dyDescent="0.25">
      <c r="A14721" s="1">
        <v>43678</v>
      </c>
      <c r="B14721" t="s">
        <v>14</v>
      </c>
      <c r="C14721" t="s">
        <v>8</v>
      </c>
      <c r="D14721">
        <v>6</v>
      </c>
      <c r="E14721" s="2">
        <v>6.2500000000000003E-3</v>
      </c>
      <c r="F14721">
        <v>9</v>
      </c>
    </row>
    <row r="14722" spans="1:6" x14ac:dyDescent="0.25">
      <c r="A14722" s="1">
        <v>43678</v>
      </c>
      <c r="B14722" t="s">
        <v>14</v>
      </c>
      <c r="C14722" t="s">
        <v>9</v>
      </c>
      <c r="D14722">
        <v>0</v>
      </c>
      <c r="E14722" s="2">
        <v>0</v>
      </c>
      <c r="F14722">
        <v>0</v>
      </c>
    </row>
    <row r="14723" spans="1:6" x14ac:dyDescent="0.25">
      <c r="A14723" s="1">
        <v>43678</v>
      </c>
      <c r="B14723" t="s">
        <v>14</v>
      </c>
      <c r="C14723" t="s">
        <v>10</v>
      </c>
      <c r="D14723">
        <v>0</v>
      </c>
      <c r="E14723" s="2">
        <v>0</v>
      </c>
      <c r="F14723">
        <v>0</v>
      </c>
    </row>
    <row r="14724" spans="1:6" x14ac:dyDescent="0.25">
      <c r="A14724" s="1">
        <v>43678</v>
      </c>
      <c r="B14724" t="s">
        <v>14</v>
      </c>
      <c r="C14724" t="s">
        <v>11</v>
      </c>
      <c r="D14724">
        <v>11</v>
      </c>
      <c r="E14724" s="2">
        <v>1.0358796296296297E-2</v>
      </c>
      <c r="F14724">
        <v>14.916666666666666</v>
      </c>
    </row>
    <row r="14725" spans="1:6" x14ac:dyDescent="0.25">
      <c r="A14725" s="1">
        <v>43678</v>
      </c>
      <c r="B14725" t="s">
        <v>15</v>
      </c>
      <c r="C14725" t="s">
        <v>6</v>
      </c>
      <c r="D14725">
        <v>52</v>
      </c>
      <c r="E14725" s="2">
        <v>9.7418981481481481E-2</v>
      </c>
      <c r="F14725">
        <v>140.28333333333333</v>
      </c>
    </row>
    <row r="14726" spans="1:6" x14ac:dyDescent="0.25">
      <c r="A14726" s="1">
        <v>43678</v>
      </c>
      <c r="B14726" t="s">
        <v>15</v>
      </c>
      <c r="C14726" t="s">
        <v>7</v>
      </c>
      <c r="D14726">
        <v>35</v>
      </c>
      <c r="E14726" s="2">
        <v>6.322916666666667E-2</v>
      </c>
      <c r="F14726">
        <v>91.05</v>
      </c>
    </row>
    <row r="14727" spans="1:6" x14ac:dyDescent="0.25">
      <c r="A14727" s="1">
        <v>43678</v>
      </c>
      <c r="B14727" t="s">
        <v>15</v>
      </c>
      <c r="C14727" t="s">
        <v>8</v>
      </c>
      <c r="D14727">
        <v>29</v>
      </c>
      <c r="E14727" s="2">
        <v>3.923611111111111E-2</v>
      </c>
      <c r="F14727">
        <v>56.5</v>
      </c>
    </row>
    <row r="14728" spans="1:6" x14ac:dyDescent="0.25">
      <c r="A14728" s="1">
        <v>43678</v>
      </c>
      <c r="B14728" t="s">
        <v>15</v>
      </c>
      <c r="C14728" t="s">
        <v>9</v>
      </c>
      <c r="D14728">
        <v>0</v>
      </c>
      <c r="E14728" s="2">
        <v>0</v>
      </c>
      <c r="F14728">
        <v>0</v>
      </c>
    </row>
    <row r="14729" spans="1:6" x14ac:dyDescent="0.25">
      <c r="A14729" s="1">
        <v>43678</v>
      </c>
      <c r="B14729" t="s">
        <v>15</v>
      </c>
      <c r="C14729" t="s">
        <v>10</v>
      </c>
      <c r="D14729">
        <v>19</v>
      </c>
      <c r="E14729" s="2">
        <v>3.1180555555555555E-2</v>
      </c>
      <c r="F14729">
        <v>44.9</v>
      </c>
    </row>
    <row r="14730" spans="1:6" x14ac:dyDescent="0.25">
      <c r="A14730" s="1">
        <v>43678</v>
      </c>
      <c r="B14730" t="s">
        <v>15</v>
      </c>
      <c r="C14730" t="s">
        <v>11</v>
      </c>
      <c r="D14730">
        <v>22</v>
      </c>
      <c r="E14730" s="2">
        <v>1.7303240740740741E-2</v>
      </c>
      <c r="F14730">
        <v>24.916666666666668</v>
      </c>
    </row>
    <row r="14731" spans="1:6" x14ac:dyDescent="0.25">
      <c r="A14731" s="1">
        <v>43678</v>
      </c>
      <c r="B14731" t="s">
        <v>16</v>
      </c>
      <c r="C14731" t="s">
        <v>6</v>
      </c>
      <c r="D14731">
        <v>34</v>
      </c>
      <c r="E14731" s="2">
        <v>3.6550925925925924E-2</v>
      </c>
      <c r="F14731">
        <v>52.633333333333333</v>
      </c>
    </row>
    <row r="14732" spans="1:6" x14ac:dyDescent="0.25">
      <c r="A14732" s="1">
        <v>43678</v>
      </c>
      <c r="B14732" t="s">
        <v>16</v>
      </c>
      <c r="C14732" t="s">
        <v>7</v>
      </c>
      <c r="D14732">
        <v>30</v>
      </c>
      <c r="E14732" s="2">
        <v>3.2372685185185185E-2</v>
      </c>
      <c r="F14732">
        <v>46.616666666666667</v>
      </c>
    </row>
    <row r="14733" spans="1:6" x14ac:dyDescent="0.25">
      <c r="A14733" s="1">
        <v>43678</v>
      </c>
      <c r="B14733" t="s">
        <v>16</v>
      </c>
      <c r="C14733" t="s">
        <v>8</v>
      </c>
      <c r="D14733">
        <v>36</v>
      </c>
      <c r="E14733" s="2">
        <v>2.6539351851851852E-2</v>
      </c>
      <c r="F14733">
        <v>38.216666666666669</v>
      </c>
    </row>
    <row r="14734" spans="1:6" x14ac:dyDescent="0.25">
      <c r="A14734" s="1">
        <v>43678</v>
      </c>
      <c r="B14734" t="s">
        <v>16</v>
      </c>
      <c r="C14734" t="s">
        <v>9</v>
      </c>
      <c r="D14734">
        <v>0</v>
      </c>
      <c r="E14734" s="2">
        <v>0</v>
      </c>
      <c r="F14734">
        <v>0</v>
      </c>
    </row>
    <row r="14735" spans="1:6" x14ac:dyDescent="0.25">
      <c r="A14735" s="1">
        <v>43678</v>
      </c>
      <c r="B14735" t="s">
        <v>16</v>
      </c>
      <c r="C14735" t="s">
        <v>10</v>
      </c>
      <c r="D14735">
        <v>2</v>
      </c>
      <c r="E14735" s="2">
        <v>3.7962962962962963E-3</v>
      </c>
      <c r="F14735">
        <v>5.4666666666666668</v>
      </c>
    </row>
    <row r="14736" spans="1:6" x14ac:dyDescent="0.25">
      <c r="A14736" s="1">
        <v>43678</v>
      </c>
      <c r="B14736" t="s">
        <v>16</v>
      </c>
      <c r="C14736" t="s">
        <v>11</v>
      </c>
      <c r="D14736">
        <v>42</v>
      </c>
      <c r="E14736" s="2">
        <v>3.6018518518518519E-2</v>
      </c>
      <c r="F14736">
        <v>51.866666666666667</v>
      </c>
    </row>
    <row r="14737" spans="1:6" x14ac:dyDescent="0.25">
      <c r="A14737" s="1">
        <v>43678</v>
      </c>
      <c r="B14737" t="s">
        <v>17</v>
      </c>
      <c r="C14737" t="s">
        <v>6</v>
      </c>
      <c r="D14737">
        <v>8</v>
      </c>
      <c r="E14737" s="2">
        <v>6.7592592592592591E-3</v>
      </c>
      <c r="F14737">
        <v>9.7333333333333325</v>
      </c>
    </row>
    <row r="14738" spans="1:6" x14ac:dyDescent="0.25">
      <c r="A14738" s="1">
        <v>43678</v>
      </c>
      <c r="B14738" t="s">
        <v>17</v>
      </c>
      <c r="C14738" t="s">
        <v>7</v>
      </c>
      <c r="D14738">
        <v>13</v>
      </c>
      <c r="E14738" s="2">
        <v>1.40625E-2</v>
      </c>
      <c r="F14738">
        <v>20.25</v>
      </c>
    </row>
    <row r="14739" spans="1:6" x14ac:dyDescent="0.25">
      <c r="A14739" s="1">
        <v>43678</v>
      </c>
      <c r="B14739" t="s">
        <v>17</v>
      </c>
      <c r="C14739" t="s">
        <v>8</v>
      </c>
      <c r="D14739">
        <v>19</v>
      </c>
      <c r="E14739" s="2">
        <v>2.5185185185185185E-2</v>
      </c>
      <c r="F14739">
        <v>36.266666666666666</v>
      </c>
    </row>
    <row r="14740" spans="1:6" x14ac:dyDescent="0.25">
      <c r="A14740" s="1">
        <v>43678</v>
      </c>
      <c r="B14740" t="s">
        <v>17</v>
      </c>
      <c r="C14740" t="s">
        <v>9</v>
      </c>
      <c r="D14740">
        <v>0</v>
      </c>
      <c r="E14740" s="2">
        <v>0</v>
      </c>
      <c r="F14740">
        <v>0</v>
      </c>
    </row>
    <row r="14741" spans="1:6" x14ac:dyDescent="0.25">
      <c r="A14741" s="1">
        <v>43678</v>
      </c>
      <c r="B14741" t="s">
        <v>17</v>
      </c>
      <c r="C14741" t="s">
        <v>10</v>
      </c>
      <c r="D14741">
        <v>8</v>
      </c>
      <c r="E14741" s="2">
        <v>8.3796296296296292E-3</v>
      </c>
      <c r="F14741">
        <v>12.066666666666666</v>
      </c>
    </row>
    <row r="14742" spans="1:6" x14ac:dyDescent="0.25">
      <c r="A14742" s="1">
        <v>43678</v>
      </c>
      <c r="B14742" t="s">
        <v>17</v>
      </c>
      <c r="C14742" t="s">
        <v>11</v>
      </c>
      <c r="D14742">
        <v>12</v>
      </c>
      <c r="E14742" s="2">
        <v>8.8773148148148153E-3</v>
      </c>
      <c r="F14742">
        <v>12.783333333333333</v>
      </c>
    </row>
    <row r="14743" spans="1:6" x14ac:dyDescent="0.25">
      <c r="A14743" s="1">
        <v>43678</v>
      </c>
      <c r="B14743" t="s">
        <v>18</v>
      </c>
      <c r="C14743" t="s">
        <v>6</v>
      </c>
      <c r="D14743">
        <v>32</v>
      </c>
      <c r="E14743" s="2">
        <v>3.6145833333333335E-2</v>
      </c>
      <c r="F14743">
        <v>52.05</v>
      </c>
    </row>
    <row r="14744" spans="1:6" x14ac:dyDescent="0.25">
      <c r="A14744" s="1">
        <v>43678</v>
      </c>
      <c r="B14744" t="s">
        <v>18</v>
      </c>
      <c r="C14744" t="s">
        <v>7</v>
      </c>
      <c r="D14744">
        <v>84</v>
      </c>
      <c r="E14744" s="2">
        <v>0.11006944444444444</v>
      </c>
      <c r="F14744">
        <v>158.5</v>
      </c>
    </row>
    <row r="14745" spans="1:6" x14ac:dyDescent="0.25">
      <c r="A14745" s="1">
        <v>43678</v>
      </c>
      <c r="B14745" t="s">
        <v>18</v>
      </c>
      <c r="C14745" t="s">
        <v>8</v>
      </c>
      <c r="D14745">
        <v>57</v>
      </c>
      <c r="E14745" s="2">
        <v>4.3761574074074071E-2</v>
      </c>
      <c r="F14745">
        <v>63.016666666666666</v>
      </c>
    </row>
    <row r="14746" spans="1:6" x14ac:dyDescent="0.25">
      <c r="A14746" s="1">
        <v>43678</v>
      </c>
      <c r="B14746" t="s">
        <v>18</v>
      </c>
      <c r="C14746" t="s">
        <v>9</v>
      </c>
      <c r="D14746">
        <v>0</v>
      </c>
      <c r="E14746" s="2">
        <v>0</v>
      </c>
      <c r="F14746">
        <v>0</v>
      </c>
    </row>
    <row r="14747" spans="1:6" x14ac:dyDescent="0.25">
      <c r="A14747" s="1">
        <v>43678</v>
      </c>
      <c r="B14747" t="s">
        <v>18</v>
      </c>
      <c r="C14747" t="s">
        <v>10</v>
      </c>
      <c r="D14747">
        <v>141</v>
      </c>
      <c r="E14747" s="2">
        <v>0.18865740740740741</v>
      </c>
      <c r="F14747">
        <v>271.66666666666669</v>
      </c>
    </row>
    <row r="14748" spans="1:6" x14ac:dyDescent="0.25">
      <c r="A14748" s="1">
        <v>43678</v>
      </c>
      <c r="B14748" t="s">
        <v>18</v>
      </c>
      <c r="C14748" t="s">
        <v>11</v>
      </c>
      <c r="D14748">
        <v>59</v>
      </c>
      <c r="E14748" s="2">
        <v>4.1840277777777775E-2</v>
      </c>
      <c r="F14748">
        <v>60.25</v>
      </c>
    </row>
    <row r="14749" spans="1:6" x14ac:dyDescent="0.25">
      <c r="A14749" s="1">
        <v>43678</v>
      </c>
      <c r="B14749" t="s">
        <v>19</v>
      </c>
      <c r="C14749" t="s">
        <v>6</v>
      </c>
      <c r="D14749">
        <v>7</v>
      </c>
      <c r="E14749" s="2">
        <v>1.1168981481481481E-2</v>
      </c>
      <c r="F14749">
        <v>16.083333333333332</v>
      </c>
    </row>
    <row r="14750" spans="1:6" x14ac:dyDescent="0.25">
      <c r="A14750" s="1">
        <v>43678</v>
      </c>
      <c r="B14750" t="s">
        <v>19</v>
      </c>
      <c r="C14750" t="s">
        <v>7</v>
      </c>
      <c r="D14750">
        <v>11</v>
      </c>
      <c r="E14750" s="2">
        <v>1.1122685185185185E-2</v>
      </c>
      <c r="F14750">
        <v>16.016666666666666</v>
      </c>
    </row>
    <row r="14751" spans="1:6" x14ac:dyDescent="0.25">
      <c r="A14751" s="1">
        <v>43678</v>
      </c>
      <c r="B14751" t="s">
        <v>19</v>
      </c>
      <c r="C14751" t="s">
        <v>8</v>
      </c>
      <c r="D14751">
        <v>16</v>
      </c>
      <c r="E14751" s="2">
        <v>1.5856481481481482E-2</v>
      </c>
      <c r="F14751">
        <v>22.833333333333332</v>
      </c>
    </row>
    <row r="14752" spans="1:6" x14ac:dyDescent="0.25">
      <c r="A14752" s="1">
        <v>43678</v>
      </c>
      <c r="B14752" t="s">
        <v>19</v>
      </c>
      <c r="C14752" t="s">
        <v>9</v>
      </c>
      <c r="D14752">
        <v>0</v>
      </c>
      <c r="E14752" s="2">
        <v>0</v>
      </c>
      <c r="F14752">
        <v>0</v>
      </c>
    </row>
    <row r="14753" spans="1:6" x14ac:dyDescent="0.25">
      <c r="A14753" s="1">
        <v>43678</v>
      </c>
      <c r="B14753" t="s">
        <v>19</v>
      </c>
      <c r="C14753" t="s">
        <v>10</v>
      </c>
      <c r="D14753">
        <v>13</v>
      </c>
      <c r="E14753" s="2">
        <v>1.7060185185185185E-2</v>
      </c>
      <c r="F14753">
        <v>24.566666666666666</v>
      </c>
    </row>
    <row r="14754" spans="1:6" x14ac:dyDescent="0.25">
      <c r="A14754" s="1">
        <v>43678</v>
      </c>
      <c r="B14754" t="s">
        <v>19</v>
      </c>
      <c r="C14754" t="s">
        <v>11</v>
      </c>
      <c r="D14754">
        <v>19</v>
      </c>
      <c r="E14754" s="2">
        <v>1.7696759259259259E-2</v>
      </c>
      <c r="F14754">
        <v>25.483333333333334</v>
      </c>
    </row>
    <row r="14755" spans="1:6" x14ac:dyDescent="0.25">
      <c r="A14755" s="1">
        <v>43678</v>
      </c>
      <c r="B14755" t="s">
        <v>20</v>
      </c>
      <c r="C14755" t="s">
        <v>6</v>
      </c>
      <c r="D14755">
        <v>21</v>
      </c>
      <c r="E14755" s="2">
        <v>2.3831018518518519E-2</v>
      </c>
      <c r="F14755">
        <v>34.31666666666667</v>
      </c>
    </row>
    <row r="14756" spans="1:6" x14ac:dyDescent="0.25">
      <c r="A14756" s="1">
        <v>43678</v>
      </c>
      <c r="B14756" t="s">
        <v>20</v>
      </c>
      <c r="C14756" t="s">
        <v>7</v>
      </c>
      <c r="D14756">
        <v>37</v>
      </c>
      <c r="E14756" s="2">
        <v>4.3854166666666666E-2</v>
      </c>
      <c r="F14756">
        <v>63.15</v>
      </c>
    </row>
    <row r="14757" spans="1:6" x14ac:dyDescent="0.25">
      <c r="A14757" s="1">
        <v>43678</v>
      </c>
      <c r="B14757" t="s">
        <v>20</v>
      </c>
      <c r="C14757" t="s">
        <v>8</v>
      </c>
      <c r="D14757">
        <v>29</v>
      </c>
      <c r="E14757" s="2">
        <v>2.5763888888888888E-2</v>
      </c>
      <c r="F14757">
        <v>37.1</v>
      </c>
    </row>
    <row r="14758" spans="1:6" x14ac:dyDescent="0.25">
      <c r="A14758" s="1">
        <v>43678</v>
      </c>
      <c r="B14758" t="s">
        <v>20</v>
      </c>
      <c r="C14758" t="s">
        <v>9</v>
      </c>
      <c r="D14758">
        <v>0</v>
      </c>
      <c r="E14758" s="2">
        <v>0</v>
      </c>
      <c r="F14758">
        <v>0</v>
      </c>
    </row>
    <row r="14759" spans="1:6" x14ac:dyDescent="0.25">
      <c r="A14759" s="1">
        <v>43678</v>
      </c>
      <c r="B14759" t="s">
        <v>20</v>
      </c>
      <c r="C14759" t="s">
        <v>10</v>
      </c>
      <c r="D14759">
        <v>3</v>
      </c>
      <c r="E14759" s="2">
        <v>4.8726851851851848E-3</v>
      </c>
      <c r="F14759">
        <v>7.0166666666666666</v>
      </c>
    </row>
    <row r="14760" spans="1:6" x14ac:dyDescent="0.25">
      <c r="A14760" s="1">
        <v>43678</v>
      </c>
      <c r="B14760" t="s">
        <v>20</v>
      </c>
      <c r="C14760" t="s">
        <v>11</v>
      </c>
      <c r="D14760">
        <v>27</v>
      </c>
      <c r="E14760" s="2">
        <v>2.4340277777777777E-2</v>
      </c>
      <c r="F14760">
        <v>35.049999999999997</v>
      </c>
    </row>
    <row r="14761" spans="1:6" x14ac:dyDescent="0.25">
      <c r="A14761" s="1">
        <v>43678</v>
      </c>
      <c r="B14761" t="s">
        <v>21</v>
      </c>
      <c r="C14761" t="s">
        <v>6</v>
      </c>
      <c r="D14761">
        <v>14</v>
      </c>
      <c r="E14761" s="2">
        <v>2.357638888888889E-2</v>
      </c>
      <c r="F14761">
        <v>33.950000000000003</v>
      </c>
    </row>
    <row r="14762" spans="1:6" x14ac:dyDescent="0.25">
      <c r="A14762" s="1">
        <v>43678</v>
      </c>
      <c r="B14762" t="s">
        <v>21</v>
      </c>
      <c r="C14762" t="s">
        <v>7</v>
      </c>
      <c r="D14762">
        <v>16</v>
      </c>
      <c r="E14762" s="2">
        <v>2.9224537037037038E-2</v>
      </c>
      <c r="F14762">
        <v>42.083333333333336</v>
      </c>
    </row>
    <row r="14763" spans="1:6" x14ac:dyDescent="0.25">
      <c r="A14763" s="1">
        <v>43678</v>
      </c>
      <c r="B14763" t="s">
        <v>21</v>
      </c>
      <c r="C14763" t="s">
        <v>8</v>
      </c>
      <c r="D14763">
        <v>6</v>
      </c>
      <c r="E14763" s="2">
        <v>1.1597222222222222E-2</v>
      </c>
      <c r="F14763">
        <v>16.7</v>
      </c>
    </row>
    <row r="14764" spans="1:6" x14ac:dyDescent="0.25">
      <c r="A14764" s="1">
        <v>43678</v>
      </c>
      <c r="B14764" t="s">
        <v>21</v>
      </c>
      <c r="C14764" t="s">
        <v>9</v>
      </c>
      <c r="D14764">
        <v>0</v>
      </c>
      <c r="E14764" s="2">
        <v>0</v>
      </c>
      <c r="F14764">
        <v>0</v>
      </c>
    </row>
    <row r="14765" spans="1:6" x14ac:dyDescent="0.25">
      <c r="A14765" s="1">
        <v>43678</v>
      </c>
      <c r="B14765" t="s">
        <v>21</v>
      </c>
      <c r="C14765" t="s">
        <v>10</v>
      </c>
      <c r="D14765">
        <v>4</v>
      </c>
      <c r="E14765" s="2">
        <v>6.2152777777777779E-3</v>
      </c>
      <c r="F14765">
        <v>8.9499999999999993</v>
      </c>
    </row>
    <row r="14766" spans="1:6" x14ac:dyDescent="0.25">
      <c r="A14766" s="1">
        <v>43678</v>
      </c>
      <c r="B14766" t="s">
        <v>21</v>
      </c>
      <c r="C14766" t="s">
        <v>11</v>
      </c>
      <c r="D14766">
        <v>13</v>
      </c>
      <c r="E14766" s="2">
        <v>1.2592592592592593E-2</v>
      </c>
      <c r="F14766">
        <v>18.133333333333333</v>
      </c>
    </row>
    <row r="14767" spans="1:6" x14ac:dyDescent="0.25">
      <c r="A14767" s="1">
        <v>43678</v>
      </c>
      <c r="B14767" t="s">
        <v>22</v>
      </c>
      <c r="C14767" t="s">
        <v>6</v>
      </c>
      <c r="D14767">
        <v>18</v>
      </c>
      <c r="E14767" s="2">
        <v>3.0034722222222223E-2</v>
      </c>
      <c r="F14767">
        <v>43.25</v>
      </c>
    </row>
    <row r="14768" spans="1:6" x14ac:dyDescent="0.25">
      <c r="A14768" s="1">
        <v>43678</v>
      </c>
      <c r="B14768" t="s">
        <v>22</v>
      </c>
      <c r="C14768" t="s">
        <v>7</v>
      </c>
      <c r="D14768">
        <v>13</v>
      </c>
      <c r="E14768" s="2">
        <v>2.2592592592592591E-2</v>
      </c>
      <c r="F14768">
        <v>32.533333333333331</v>
      </c>
    </row>
    <row r="14769" spans="1:6" x14ac:dyDescent="0.25">
      <c r="A14769" s="1">
        <v>43678</v>
      </c>
      <c r="B14769" t="s">
        <v>22</v>
      </c>
      <c r="C14769" t="s">
        <v>8</v>
      </c>
      <c r="D14769">
        <v>6</v>
      </c>
      <c r="E14769" s="2">
        <v>6.851851851851852E-3</v>
      </c>
      <c r="F14769">
        <v>9.8666666666666671</v>
      </c>
    </row>
    <row r="14770" spans="1:6" x14ac:dyDescent="0.25">
      <c r="A14770" s="1">
        <v>43678</v>
      </c>
      <c r="B14770" t="s">
        <v>22</v>
      </c>
      <c r="C14770" t="s">
        <v>9</v>
      </c>
      <c r="D14770">
        <v>0</v>
      </c>
      <c r="E14770" s="2">
        <v>0</v>
      </c>
      <c r="F14770">
        <v>0</v>
      </c>
    </row>
    <row r="14771" spans="1:6" x14ac:dyDescent="0.25">
      <c r="A14771" s="1">
        <v>43678</v>
      </c>
      <c r="B14771" t="s">
        <v>22</v>
      </c>
      <c r="C14771" t="s">
        <v>10</v>
      </c>
      <c r="D14771">
        <v>6</v>
      </c>
      <c r="E14771" s="2">
        <v>5.1967592592592595E-3</v>
      </c>
      <c r="F14771">
        <v>7.4833333333333334</v>
      </c>
    </row>
    <row r="14772" spans="1:6" x14ac:dyDescent="0.25">
      <c r="A14772" s="1">
        <v>43678</v>
      </c>
      <c r="B14772" t="s">
        <v>22</v>
      </c>
      <c r="C14772" t="s">
        <v>11</v>
      </c>
      <c r="D14772">
        <v>9</v>
      </c>
      <c r="E14772" s="2">
        <v>9.2939814814814812E-3</v>
      </c>
      <c r="F14772">
        <v>13.383333333333333</v>
      </c>
    </row>
    <row r="14773" spans="1:6" x14ac:dyDescent="0.25">
      <c r="A14773" s="1">
        <v>43678</v>
      </c>
      <c r="B14773" t="s">
        <v>23</v>
      </c>
      <c r="C14773" t="s">
        <v>6</v>
      </c>
      <c r="D14773">
        <v>89</v>
      </c>
      <c r="E14773" s="2">
        <v>0.13908564814814814</v>
      </c>
      <c r="F14773">
        <v>200.28333333333333</v>
      </c>
    </row>
    <row r="14774" spans="1:6" x14ac:dyDescent="0.25">
      <c r="A14774" s="1">
        <v>43678</v>
      </c>
      <c r="B14774" t="s">
        <v>23</v>
      </c>
      <c r="C14774" t="s">
        <v>7</v>
      </c>
      <c r="D14774">
        <v>76</v>
      </c>
      <c r="E14774" s="2">
        <v>0.12115740740740741</v>
      </c>
      <c r="F14774">
        <v>174.46666666666667</v>
      </c>
    </row>
    <row r="14775" spans="1:6" x14ac:dyDescent="0.25">
      <c r="A14775" s="1">
        <v>43678</v>
      </c>
      <c r="B14775" t="s">
        <v>23</v>
      </c>
      <c r="C14775" t="s">
        <v>8</v>
      </c>
      <c r="D14775">
        <v>49</v>
      </c>
      <c r="E14775" s="2">
        <v>5.8483796296296298E-2</v>
      </c>
      <c r="F14775">
        <v>84.216666666666669</v>
      </c>
    </row>
    <row r="14776" spans="1:6" x14ac:dyDescent="0.25">
      <c r="A14776" s="1">
        <v>43678</v>
      </c>
      <c r="B14776" t="s">
        <v>23</v>
      </c>
      <c r="C14776" t="s">
        <v>9</v>
      </c>
      <c r="D14776">
        <v>0</v>
      </c>
      <c r="E14776" s="2">
        <v>0</v>
      </c>
      <c r="F14776">
        <v>0</v>
      </c>
    </row>
    <row r="14777" spans="1:6" x14ac:dyDescent="0.25">
      <c r="A14777" s="1">
        <v>43678</v>
      </c>
      <c r="B14777" t="s">
        <v>23</v>
      </c>
      <c r="C14777" t="s">
        <v>10</v>
      </c>
      <c r="D14777">
        <v>14</v>
      </c>
      <c r="E14777" s="2">
        <v>2.4826388888888887E-2</v>
      </c>
      <c r="F14777">
        <v>35.75</v>
      </c>
    </row>
    <row r="14778" spans="1:6" x14ac:dyDescent="0.25">
      <c r="A14778" s="1">
        <v>43678</v>
      </c>
      <c r="B14778" t="s">
        <v>23</v>
      </c>
      <c r="C14778" t="s">
        <v>11</v>
      </c>
      <c r="D14778">
        <v>73</v>
      </c>
      <c r="E14778" s="2">
        <v>8.2650462962962967E-2</v>
      </c>
      <c r="F14778">
        <v>119.01666666666667</v>
      </c>
    </row>
    <row r="14779" spans="1:6" x14ac:dyDescent="0.25">
      <c r="A14779" s="1">
        <v>43678</v>
      </c>
      <c r="B14779" t="s">
        <v>24</v>
      </c>
      <c r="C14779" t="s">
        <v>6</v>
      </c>
      <c r="D14779">
        <v>5</v>
      </c>
      <c r="E14779" s="2">
        <v>1.0150462962962964E-2</v>
      </c>
      <c r="F14779">
        <v>14.616666666666667</v>
      </c>
    </row>
    <row r="14780" spans="1:6" x14ac:dyDescent="0.25">
      <c r="A14780" s="1">
        <v>43678</v>
      </c>
      <c r="B14780" t="s">
        <v>24</v>
      </c>
      <c r="C14780" t="s">
        <v>7</v>
      </c>
      <c r="D14780">
        <v>12</v>
      </c>
      <c r="E14780" s="2">
        <v>9.8148148148148144E-3</v>
      </c>
      <c r="F14780">
        <v>14.133333333333333</v>
      </c>
    </row>
    <row r="14781" spans="1:6" x14ac:dyDescent="0.25">
      <c r="A14781" s="1">
        <v>43678</v>
      </c>
      <c r="B14781" t="s">
        <v>24</v>
      </c>
      <c r="C14781" t="s">
        <v>8</v>
      </c>
      <c r="D14781">
        <v>10</v>
      </c>
      <c r="E14781" s="2">
        <v>1.1898148148148149E-2</v>
      </c>
      <c r="F14781">
        <v>17.133333333333333</v>
      </c>
    </row>
    <row r="14782" spans="1:6" x14ac:dyDescent="0.25">
      <c r="A14782" s="1">
        <v>43678</v>
      </c>
      <c r="B14782" t="s">
        <v>24</v>
      </c>
      <c r="C14782" t="s">
        <v>9</v>
      </c>
      <c r="D14782">
        <v>0</v>
      </c>
      <c r="E14782" s="2">
        <v>0</v>
      </c>
      <c r="F14782">
        <v>0</v>
      </c>
    </row>
    <row r="14783" spans="1:6" x14ac:dyDescent="0.25">
      <c r="A14783" s="1">
        <v>43678</v>
      </c>
      <c r="B14783" t="s">
        <v>24</v>
      </c>
      <c r="C14783" t="s">
        <v>10</v>
      </c>
      <c r="D14783">
        <v>1</v>
      </c>
      <c r="E14783" s="2">
        <v>1.5509259259259259E-3</v>
      </c>
      <c r="F14783">
        <v>2.2333333333333334</v>
      </c>
    </row>
    <row r="14784" spans="1:6" x14ac:dyDescent="0.25">
      <c r="A14784" s="1">
        <v>43678</v>
      </c>
      <c r="B14784" t="s">
        <v>24</v>
      </c>
      <c r="C14784" t="s">
        <v>11</v>
      </c>
      <c r="D14784">
        <v>16</v>
      </c>
      <c r="E14784" s="2">
        <v>1.1909722222222223E-2</v>
      </c>
      <c r="F14784">
        <v>17.149999999999999</v>
      </c>
    </row>
    <row r="14785" spans="1:6" x14ac:dyDescent="0.25">
      <c r="A14785" s="1">
        <v>43709</v>
      </c>
      <c r="B14785" t="s">
        <v>5</v>
      </c>
      <c r="C14785" t="s">
        <v>6</v>
      </c>
      <c r="D14785">
        <v>46</v>
      </c>
      <c r="E14785" s="2">
        <v>5.2800925925925925E-2</v>
      </c>
      <c r="F14785">
        <v>76.033333333333331</v>
      </c>
    </row>
    <row r="14786" spans="1:6" x14ac:dyDescent="0.25">
      <c r="A14786" s="1">
        <v>43709</v>
      </c>
      <c r="B14786" t="s">
        <v>5</v>
      </c>
      <c r="C14786" t="s">
        <v>7</v>
      </c>
      <c r="D14786">
        <v>40</v>
      </c>
      <c r="E14786" s="2">
        <v>4.4386574074074071E-2</v>
      </c>
      <c r="F14786">
        <v>63.916666666666664</v>
      </c>
    </row>
    <row r="14787" spans="1:6" x14ac:dyDescent="0.25">
      <c r="A14787" s="1">
        <v>43709</v>
      </c>
      <c r="B14787" t="s">
        <v>5</v>
      </c>
      <c r="C14787" t="s">
        <v>8</v>
      </c>
      <c r="D14787">
        <v>38</v>
      </c>
      <c r="E14787" s="2">
        <v>3.1435185185185184E-2</v>
      </c>
      <c r="F14787">
        <v>45.266666666666666</v>
      </c>
    </row>
    <row r="14788" spans="1:6" x14ac:dyDescent="0.25">
      <c r="A14788" s="1">
        <v>43709</v>
      </c>
      <c r="B14788" t="s">
        <v>5</v>
      </c>
      <c r="C14788" t="s">
        <v>9</v>
      </c>
      <c r="D14788">
        <v>0</v>
      </c>
      <c r="E14788" s="2">
        <v>0</v>
      </c>
      <c r="F14788">
        <v>0</v>
      </c>
    </row>
    <row r="14789" spans="1:6" x14ac:dyDescent="0.25">
      <c r="A14789" s="1">
        <v>43709</v>
      </c>
      <c r="B14789" t="s">
        <v>5</v>
      </c>
      <c r="C14789" t="s">
        <v>10</v>
      </c>
      <c r="D14789">
        <v>10</v>
      </c>
      <c r="E14789" s="2">
        <v>9.7916666666666673E-3</v>
      </c>
      <c r="F14789">
        <v>14.1</v>
      </c>
    </row>
    <row r="14790" spans="1:6" x14ac:dyDescent="0.25">
      <c r="A14790" s="1">
        <v>43709</v>
      </c>
      <c r="B14790" t="s">
        <v>5</v>
      </c>
      <c r="C14790" t="s">
        <v>11</v>
      </c>
      <c r="D14790">
        <v>34</v>
      </c>
      <c r="E14790" s="2">
        <v>2.5532407407407406E-2</v>
      </c>
      <c r="F14790">
        <v>36.766666666666666</v>
      </c>
    </row>
    <row r="14791" spans="1:6" x14ac:dyDescent="0.25">
      <c r="A14791" s="1">
        <v>43709</v>
      </c>
      <c r="B14791" t="s">
        <v>12</v>
      </c>
      <c r="C14791" t="s">
        <v>6</v>
      </c>
      <c r="D14791">
        <v>25</v>
      </c>
      <c r="E14791" s="2">
        <v>3.8321759259259257E-2</v>
      </c>
      <c r="F14791">
        <v>55.18333333333333</v>
      </c>
    </row>
    <row r="14792" spans="1:6" x14ac:dyDescent="0.25">
      <c r="A14792" s="1">
        <v>43709</v>
      </c>
      <c r="B14792" t="s">
        <v>12</v>
      </c>
      <c r="C14792" t="s">
        <v>7</v>
      </c>
      <c r="D14792">
        <v>17</v>
      </c>
      <c r="E14792" s="2">
        <v>2.7916666666666666E-2</v>
      </c>
      <c r="F14792">
        <v>40.200000000000003</v>
      </c>
    </row>
    <row r="14793" spans="1:6" x14ac:dyDescent="0.25">
      <c r="A14793" s="1">
        <v>43709</v>
      </c>
      <c r="B14793" t="s">
        <v>12</v>
      </c>
      <c r="C14793" t="s">
        <v>8</v>
      </c>
      <c r="D14793">
        <v>24</v>
      </c>
      <c r="E14793" s="2">
        <v>3.1469907407407405E-2</v>
      </c>
      <c r="F14793">
        <v>45.31666666666667</v>
      </c>
    </row>
    <row r="14794" spans="1:6" x14ac:dyDescent="0.25">
      <c r="A14794" s="1">
        <v>43709</v>
      </c>
      <c r="B14794" t="s">
        <v>12</v>
      </c>
      <c r="C14794" t="s">
        <v>9</v>
      </c>
      <c r="D14794">
        <v>0</v>
      </c>
      <c r="E14794" s="2">
        <v>0</v>
      </c>
      <c r="F14794">
        <v>0</v>
      </c>
    </row>
    <row r="14795" spans="1:6" x14ac:dyDescent="0.25">
      <c r="A14795" s="1">
        <v>43709</v>
      </c>
      <c r="B14795" t="s">
        <v>12</v>
      </c>
      <c r="C14795" t="s">
        <v>10</v>
      </c>
      <c r="D14795">
        <v>19</v>
      </c>
      <c r="E14795" s="2">
        <v>3.1099537037037037E-2</v>
      </c>
      <c r="F14795">
        <v>44.783333333333331</v>
      </c>
    </row>
    <row r="14796" spans="1:6" x14ac:dyDescent="0.25">
      <c r="A14796" s="1">
        <v>43709</v>
      </c>
      <c r="B14796" t="s">
        <v>12</v>
      </c>
      <c r="C14796" t="s">
        <v>11</v>
      </c>
      <c r="D14796">
        <v>39</v>
      </c>
      <c r="E14796" s="2">
        <v>5.3414351851851852E-2</v>
      </c>
      <c r="F14796">
        <v>76.916666666666671</v>
      </c>
    </row>
    <row r="14797" spans="1:6" x14ac:dyDescent="0.25">
      <c r="A14797" s="1">
        <v>43709</v>
      </c>
      <c r="B14797" t="s">
        <v>13</v>
      </c>
      <c r="C14797" t="s">
        <v>6</v>
      </c>
      <c r="D14797">
        <v>64</v>
      </c>
      <c r="E14797" s="2">
        <v>0.10412037037037038</v>
      </c>
      <c r="F14797">
        <v>149.93333333333334</v>
      </c>
    </row>
    <row r="14798" spans="1:6" x14ac:dyDescent="0.25">
      <c r="A14798" s="1">
        <v>43709</v>
      </c>
      <c r="B14798" t="s">
        <v>13</v>
      </c>
      <c r="C14798" t="s">
        <v>7</v>
      </c>
      <c r="D14798">
        <v>74</v>
      </c>
      <c r="E14798" s="2">
        <v>0.11868055555555555</v>
      </c>
      <c r="F14798">
        <v>170.9</v>
      </c>
    </row>
    <row r="14799" spans="1:6" x14ac:dyDescent="0.25">
      <c r="A14799" s="1">
        <v>43709</v>
      </c>
      <c r="B14799" t="s">
        <v>13</v>
      </c>
      <c r="C14799" t="s">
        <v>8</v>
      </c>
      <c r="D14799">
        <v>37</v>
      </c>
      <c r="E14799" s="2">
        <v>4.7222222222222221E-2</v>
      </c>
      <c r="F14799">
        <v>68</v>
      </c>
    </row>
    <row r="14800" spans="1:6" x14ac:dyDescent="0.25">
      <c r="A14800" s="1">
        <v>43709</v>
      </c>
      <c r="B14800" t="s">
        <v>13</v>
      </c>
      <c r="C14800" t="s">
        <v>9</v>
      </c>
      <c r="D14800">
        <v>0</v>
      </c>
      <c r="E14800" s="2">
        <v>0</v>
      </c>
      <c r="F14800">
        <v>0</v>
      </c>
    </row>
    <row r="14801" spans="1:6" x14ac:dyDescent="0.25">
      <c r="A14801" s="1">
        <v>43709</v>
      </c>
      <c r="B14801" t="s">
        <v>13</v>
      </c>
      <c r="C14801" t="s">
        <v>10</v>
      </c>
      <c r="D14801">
        <v>5</v>
      </c>
      <c r="E14801" s="2">
        <v>1.0567129629629629E-2</v>
      </c>
      <c r="F14801">
        <v>15.216666666666667</v>
      </c>
    </row>
    <row r="14802" spans="1:6" x14ac:dyDescent="0.25">
      <c r="A14802" s="1">
        <v>43709</v>
      </c>
      <c r="B14802" t="s">
        <v>13</v>
      </c>
      <c r="C14802" t="s">
        <v>11</v>
      </c>
      <c r="D14802">
        <v>33</v>
      </c>
      <c r="E14802" s="2">
        <v>3.6967592592592594E-2</v>
      </c>
      <c r="F14802">
        <v>53.233333333333334</v>
      </c>
    </row>
    <row r="14803" spans="1:6" x14ac:dyDescent="0.25">
      <c r="A14803" s="1">
        <v>43709</v>
      </c>
      <c r="B14803" t="s">
        <v>14</v>
      </c>
      <c r="C14803" t="s">
        <v>6</v>
      </c>
      <c r="D14803">
        <v>9</v>
      </c>
      <c r="E14803" s="2">
        <v>1.6689814814814814E-2</v>
      </c>
      <c r="F14803">
        <v>24.033333333333335</v>
      </c>
    </row>
    <row r="14804" spans="1:6" x14ac:dyDescent="0.25">
      <c r="A14804" s="1">
        <v>43709</v>
      </c>
      <c r="B14804" t="s">
        <v>14</v>
      </c>
      <c r="C14804" t="s">
        <v>7</v>
      </c>
      <c r="D14804">
        <v>9</v>
      </c>
      <c r="E14804" s="2">
        <v>1.7546296296296296E-2</v>
      </c>
      <c r="F14804">
        <v>25.266666666666666</v>
      </c>
    </row>
    <row r="14805" spans="1:6" x14ac:dyDescent="0.25">
      <c r="A14805" s="1">
        <v>43709</v>
      </c>
      <c r="B14805" t="s">
        <v>14</v>
      </c>
      <c r="C14805" t="s">
        <v>8</v>
      </c>
      <c r="D14805">
        <v>8</v>
      </c>
      <c r="E14805" s="2">
        <v>1.4467592592592593E-2</v>
      </c>
      <c r="F14805">
        <v>20.833333333333332</v>
      </c>
    </row>
    <row r="14806" spans="1:6" x14ac:dyDescent="0.25">
      <c r="A14806" s="1">
        <v>43709</v>
      </c>
      <c r="B14806" t="s">
        <v>14</v>
      </c>
      <c r="C14806" t="s">
        <v>9</v>
      </c>
      <c r="D14806">
        <v>0</v>
      </c>
      <c r="E14806" s="2">
        <v>0</v>
      </c>
      <c r="F14806">
        <v>0</v>
      </c>
    </row>
    <row r="14807" spans="1:6" x14ac:dyDescent="0.25">
      <c r="A14807" s="1">
        <v>43709</v>
      </c>
      <c r="B14807" t="s">
        <v>14</v>
      </c>
      <c r="C14807" t="s">
        <v>10</v>
      </c>
      <c r="D14807">
        <v>2</v>
      </c>
      <c r="E14807" s="2">
        <v>3.6689814814814814E-3</v>
      </c>
      <c r="F14807">
        <v>5.2833333333333332</v>
      </c>
    </row>
    <row r="14808" spans="1:6" x14ac:dyDescent="0.25">
      <c r="A14808" s="1">
        <v>43709</v>
      </c>
      <c r="B14808" t="s">
        <v>14</v>
      </c>
      <c r="C14808" t="s">
        <v>11</v>
      </c>
      <c r="D14808">
        <v>14</v>
      </c>
      <c r="E14808" s="2">
        <v>1.5891203703703703E-2</v>
      </c>
      <c r="F14808">
        <v>22.883333333333333</v>
      </c>
    </row>
    <row r="14809" spans="1:6" x14ac:dyDescent="0.25">
      <c r="A14809" s="1">
        <v>43709</v>
      </c>
      <c r="B14809" t="s">
        <v>15</v>
      </c>
      <c r="C14809" t="s">
        <v>6</v>
      </c>
      <c r="D14809">
        <v>34</v>
      </c>
      <c r="E14809" s="2">
        <v>5.7951388888888886E-2</v>
      </c>
      <c r="F14809">
        <v>83.45</v>
      </c>
    </row>
    <row r="14810" spans="1:6" x14ac:dyDescent="0.25">
      <c r="A14810" s="1">
        <v>43709</v>
      </c>
      <c r="B14810" t="s">
        <v>15</v>
      </c>
      <c r="C14810" t="s">
        <v>7</v>
      </c>
      <c r="D14810">
        <v>41</v>
      </c>
      <c r="E14810" s="2">
        <v>6.2523148148148147E-2</v>
      </c>
      <c r="F14810">
        <v>90.033333333333331</v>
      </c>
    </row>
    <row r="14811" spans="1:6" x14ac:dyDescent="0.25">
      <c r="A14811" s="1">
        <v>43709</v>
      </c>
      <c r="B14811" t="s">
        <v>15</v>
      </c>
      <c r="C14811" t="s">
        <v>8</v>
      </c>
      <c r="D14811">
        <v>32</v>
      </c>
      <c r="E14811" s="2">
        <v>4.3576388888888887E-2</v>
      </c>
      <c r="F14811">
        <v>62.75</v>
      </c>
    </row>
    <row r="14812" spans="1:6" x14ac:dyDescent="0.25">
      <c r="A14812" s="1">
        <v>43709</v>
      </c>
      <c r="B14812" t="s">
        <v>15</v>
      </c>
      <c r="C14812" t="s">
        <v>9</v>
      </c>
      <c r="D14812">
        <v>0</v>
      </c>
      <c r="E14812" s="2">
        <v>0</v>
      </c>
      <c r="F14812">
        <v>0</v>
      </c>
    </row>
    <row r="14813" spans="1:6" x14ac:dyDescent="0.25">
      <c r="A14813" s="1">
        <v>43709</v>
      </c>
      <c r="B14813" t="s">
        <v>15</v>
      </c>
      <c r="C14813" t="s">
        <v>10</v>
      </c>
      <c r="D14813">
        <v>20</v>
      </c>
      <c r="E14813" s="2">
        <v>3.4305555555555554E-2</v>
      </c>
      <c r="F14813">
        <v>49.4</v>
      </c>
    </row>
    <row r="14814" spans="1:6" x14ac:dyDescent="0.25">
      <c r="A14814" s="1">
        <v>43709</v>
      </c>
      <c r="B14814" t="s">
        <v>15</v>
      </c>
      <c r="C14814" t="s">
        <v>11</v>
      </c>
      <c r="D14814">
        <v>23</v>
      </c>
      <c r="E14814" s="2">
        <v>2.3634259259259258E-2</v>
      </c>
      <c r="F14814">
        <v>34.033333333333331</v>
      </c>
    </row>
    <row r="14815" spans="1:6" x14ac:dyDescent="0.25">
      <c r="A14815" s="1">
        <v>43709</v>
      </c>
      <c r="B14815" t="s">
        <v>16</v>
      </c>
      <c r="C14815" t="s">
        <v>6</v>
      </c>
      <c r="D14815">
        <v>21</v>
      </c>
      <c r="E14815" s="2">
        <v>2.3564814814814816E-2</v>
      </c>
      <c r="F14815">
        <v>33.93333333333333</v>
      </c>
    </row>
    <row r="14816" spans="1:6" x14ac:dyDescent="0.25">
      <c r="A14816" s="1">
        <v>43709</v>
      </c>
      <c r="B14816" t="s">
        <v>16</v>
      </c>
      <c r="C14816" t="s">
        <v>7</v>
      </c>
      <c r="D14816">
        <v>19</v>
      </c>
      <c r="E14816" s="2">
        <v>2.0925925925925924E-2</v>
      </c>
      <c r="F14816">
        <v>30.133333333333333</v>
      </c>
    </row>
    <row r="14817" spans="1:6" x14ac:dyDescent="0.25">
      <c r="A14817" s="1">
        <v>43709</v>
      </c>
      <c r="B14817" t="s">
        <v>16</v>
      </c>
      <c r="C14817" t="s">
        <v>8</v>
      </c>
      <c r="D14817">
        <v>20</v>
      </c>
      <c r="E14817" s="2">
        <v>1.9768518518518519E-2</v>
      </c>
      <c r="F14817">
        <v>28.466666666666665</v>
      </c>
    </row>
    <row r="14818" spans="1:6" x14ac:dyDescent="0.25">
      <c r="A14818" s="1">
        <v>43709</v>
      </c>
      <c r="B14818" t="s">
        <v>16</v>
      </c>
      <c r="C14818" t="s">
        <v>9</v>
      </c>
      <c r="D14818">
        <v>0</v>
      </c>
      <c r="E14818" s="2">
        <v>0</v>
      </c>
      <c r="F14818">
        <v>0</v>
      </c>
    </row>
    <row r="14819" spans="1:6" x14ac:dyDescent="0.25">
      <c r="A14819" s="1">
        <v>43709</v>
      </c>
      <c r="B14819" t="s">
        <v>16</v>
      </c>
      <c r="C14819" t="s">
        <v>10</v>
      </c>
      <c r="D14819">
        <v>3</v>
      </c>
      <c r="E14819" s="2">
        <v>3.8773148148148148E-3</v>
      </c>
      <c r="F14819">
        <v>5.583333333333333</v>
      </c>
    </row>
    <row r="14820" spans="1:6" x14ac:dyDescent="0.25">
      <c r="A14820" s="1">
        <v>43709</v>
      </c>
      <c r="B14820" t="s">
        <v>16</v>
      </c>
      <c r="C14820" t="s">
        <v>11</v>
      </c>
      <c r="D14820">
        <v>26</v>
      </c>
      <c r="E14820" s="2">
        <v>2.1967592592592594E-2</v>
      </c>
      <c r="F14820">
        <v>31.633333333333333</v>
      </c>
    </row>
    <row r="14821" spans="1:6" x14ac:dyDescent="0.25">
      <c r="A14821" s="1">
        <v>43709</v>
      </c>
      <c r="B14821" t="s">
        <v>17</v>
      </c>
      <c r="C14821" t="s">
        <v>6</v>
      </c>
      <c r="D14821">
        <v>28</v>
      </c>
      <c r="E14821" s="2">
        <v>3.8564814814814816E-2</v>
      </c>
      <c r="F14821">
        <v>55.533333333333331</v>
      </c>
    </row>
    <row r="14822" spans="1:6" x14ac:dyDescent="0.25">
      <c r="A14822" s="1">
        <v>43709</v>
      </c>
      <c r="B14822" t="s">
        <v>17</v>
      </c>
      <c r="C14822" t="s">
        <v>7</v>
      </c>
      <c r="D14822">
        <v>38</v>
      </c>
      <c r="E14822" s="2">
        <v>6.1226851851851852E-2</v>
      </c>
      <c r="F14822">
        <v>88.166666666666671</v>
      </c>
    </row>
    <row r="14823" spans="1:6" x14ac:dyDescent="0.25">
      <c r="A14823" s="1">
        <v>43709</v>
      </c>
      <c r="B14823" t="s">
        <v>17</v>
      </c>
      <c r="C14823" t="s">
        <v>8</v>
      </c>
      <c r="D14823">
        <v>28</v>
      </c>
      <c r="E14823" s="2">
        <v>3.1006944444444445E-2</v>
      </c>
      <c r="F14823">
        <v>44.65</v>
      </c>
    </row>
    <row r="14824" spans="1:6" x14ac:dyDescent="0.25">
      <c r="A14824" s="1">
        <v>43709</v>
      </c>
      <c r="B14824" t="s">
        <v>17</v>
      </c>
      <c r="C14824" t="s">
        <v>9</v>
      </c>
      <c r="D14824">
        <v>0</v>
      </c>
      <c r="E14824" s="2">
        <v>0</v>
      </c>
      <c r="F14824">
        <v>0</v>
      </c>
    </row>
    <row r="14825" spans="1:6" x14ac:dyDescent="0.25">
      <c r="A14825" s="1">
        <v>43709</v>
      </c>
      <c r="B14825" t="s">
        <v>17</v>
      </c>
      <c r="C14825" t="s">
        <v>10</v>
      </c>
      <c r="D14825">
        <v>10</v>
      </c>
      <c r="E14825" s="2">
        <v>1.4756944444444444E-2</v>
      </c>
      <c r="F14825">
        <v>21.25</v>
      </c>
    </row>
    <row r="14826" spans="1:6" x14ac:dyDescent="0.25">
      <c r="A14826" s="1">
        <v>43709</v>
      </c>
      <c r="B14826" t="s">
        <v>17</v>
      </c>
      <c r="C14826" t="s">
        <v>11</v>
      </c>
      <c r="D14826">
        <v>31</v>
      </c>
      <c r="E14826" s="2">
        <v>3.9525462962962964E-2</v>
      </c>
      <c r="F14826">
        <v>56.916666666666664</v>
      </c>
    </row>
    <row r="14827" spans="1:6" x14ac:dyDescent="0.25">
      <c r="A14827" s="1">
        <v>43709</v>
      </c>
      <c r="B14827" t="s">
        <v>18</v>
      </c>
      <c r="C14827" t="s">
        <v>6</v>
      </c>
      <c r="D14827">
        <v>20</v>
      </c>
      <c r="E14827" s="2">
        <v>2.2997685185185184E-2</v>
      </c>
      <c r="F14827">
        <v>33.116666666666667</v>
      </c>
    </row>
    <row r="14828" spans="1:6" x14ac:dyDescent="0.25">
      <c r="A14828" s="1">
        <v>43709</v>
      </c>
      <c r="B14828" t="s">
        <v>18</v>
      </c>
      <c r="C14828" t="s">
        <v>7</v>
      </c>
      <c r="D14828">
        <v>39</v>
      </c>
      <c r="E14828" s="2">
        <v>4.3993055555555556E-2</v>
      </c>
      <c r="F14828">
        <v>63.35</v>
      </c>
    </row>
    <row r="14829" spans="1:6" x14ac:dyDescent="0.25">
      <c r="A14829" s="1">
        <v>43709</v>
      </c>
      <c r="B14829" t="s">
        <v>18</v>
      </c>
      <c r="C14829" t="s">
        <v>8</v>
      </c>
      <c r="D14829">
        <v>22</v>
      </c>
      <c r="E14829" s="2">
        <v>1.650462962962963E-2</v>
      </c>
      <c r="F14829">
        <v>23.766666666666666</v>
      </c>
    </row>
    <row r="14830" spans="1:6" x14ac:dyDescent="0.25">
      <c r="A14830" s="1">
        <v>43709</v>
      </c>
      <c r="B14830" t="s">
        <v>18</v>
      </c>
      <c r="C14830" t="s">
        <v>9</v>
      </c>
      <c r="D14830">
        <v>0</v>
      </c>
      <c r="E14830" s="2">
        <v>0</v>
      </c>
      <c r="F14830">
        <v>0</v>
      </c>
    </row>
    <row r="14831" spans="1:6" x14ac:dyDescent="0.25">
      <c r="A14831" s="1">
        <v>43709</v>
      </c>
      <c r="B14831" t="s">
        <v>18</v>
      </c>
      <c r="C14831" t="s">
        <v>10</v>
      </c>
      <c r="D14831">
        <v>125</v>
      </c>
      <c r="E14831" s="2">
        <v>0.1720949074074074</v>
      </c>
      <c r="F14831">
        <v>247.81666666666666</v>
      </c>
    </row>
    <row r="14832" spans="1:6" x14ac:dyDescent="0.25">
      <c r="A14832" s="1">
        <v>43709</v>
      </c>
      <c r="B14832" t="s">
        <v>18</v>
      </c>
      <c r="C14832" t="s">
        <v>11</v>
      </c>
      <c r="D14832">
        <v>31</v>
      </c>
      <c r="E14832" s="2">
        <v>1.9120370370370371E-2</v>
      </c>
      <c r="F14832">
        <v>27.533333333333335</v>
      </c>
    </row>
    <row r="14833" spans="1:6" x14ac:dyDescent="0.25">
      <c r="A14833" s="1">
        <v>43709</v>
      </c>
      <c r="B14833" t="s">
        <v>19</v>
      </c>
      <c r="C14833" t="s">
        <v>6</v>
      </c>
      <c r="D14833">
        <v>15</v>
      </c>
      <c r="E14833" s="2">
        <v>2.2164351851851852E-2</v>
      </c>
      <c r="F14833">
        <v>31.916666666666668</v>
      </c>
    </row>
    <row r="14834" spans="1:6" x14ac:dyDescent="0.25">
      <c r="A14834" s="1">
        <v>43709</v>
      </c>
      <c r="B14834" t="s">
        <v>19</v>
      </c>
      <c r="C14834" t="s">
        <v>7</v>
      </c>
      <c r="D14834">
        <v>16</v>
      </c>
      <c r="E14834" s="2">
        <v>2.3344907407407408E-2</v>
      </c>
      <c r="F14834">
        <v>33.616666666666667</v>
      </c>
    </row>
    <row r="14835" spans="1:6" x14ac:dyDescent="0.25">
      <c r="A14835" s="1">
        <v>43709</v>
      </c>
      <c r="B14835" t="s">
        <v>19</v>
      </c>
      <c r="C14835" t="s">
        <v>8</v>
      </c>
      <c r="D14835">
        <v>23</v>
      </c>
      <c r="E14835" s="2">
        <v>2.5335648148148149E-2</v>
      </c>
      <c r="F14835">
        <v>36.483333333333334</v>
      </c>
    </row>
    <row r="14836" spans="1:6" x14ac:dyDescent="0.25">
      <c r="A14836" s="1">
        <v>43709</v>
      </c>
      <c r="B14836" t="s">
        <v>19</v>
      </c>
      <c r="C14836" t="s">
        <v>9</v>
      </c>
      <c r="D14836">
        <v>0</v>
      </c>
      <c r="E14836" s="2">
        <v>0</v>
      </c>
      <c r="F14836">
        <v>0</v>
      </c>
    </row>
    <row r="14837" spans="1:6" x14ac:dyDescent="0.25">
      <c r="A14837" s="1">
        <v>43709</v>
      </c>
      <c r="B14837" t="s">
        <v>19</v>
      </c>
      <c r="C14837" t="s">
        <v>10</v>
      </c>
      <c r="D14837">
        <v>7</v>
      </c>
      <c r="E14837" s="2">
        <v>9.9768518518518513E-3</v>
      </c>
      <c r="F14837">
        <v>14.366666666666667</v>
      </c>
    </row>
    <row r="14838" spans="1:6" x14ac:dyDescent="0.25">
      <c r="A14838" s="1">
        <v>43709</v>
      </c>
      <c r="B14838" t="s">
        <v>19</v>
      </c>
      <c r="C14838" t="s">
        <v>11</v>
      </c>
      <c r="D14838">
        <v>27</v>
      </c>
      <c r="E14838" s="2">
        <v>2.9386574074074075E-2</v>
      </c>
      <c r="F14838">
        <v>42.31666666666667</v>
      </c>
    </row>
    <row r="14839" spans="1:6" x14ac:dyDescent="0.25">
      <c r="A14839" s="1">
        <v>43709</v>
      </c>
      <c r="B14839" t="s">
        <v>20</v>
      </c>
      <c r="C14839" t="s">
        <v>6</v>
      </c>
      <c r="D14839">
        <v>25</v>
      </c>
      <c r="E14839" s="2">
        <v>2.9537037037037039E-2</v>
      </c>
      <c r="F14839">
        <v>42.533333333333331</v>
      </c>
    </row>
    <row r="14840" spans="1:6" x14ac:dyDescent="0.25">
      <c r="A14840" s="1">
        <v>43709</v>
      </c>
      <c r="B14840" t="s">
        <v>20</v>
      </c>
      <c r="C14840" t="s">
        <v>7</v>
      </c>
      <c r="D14840">
        <v>39</v>
      </c>
      <c r="E14840" s="2">
        <v>4.6539351851851853E-2</v>
      </c>
      <c r="F14840">
        <v>67.016666666666666</v>
      </c>
    </row>
    <row r="14841" spans="1:6" x14ac:dyDescent="0.25">
      <c r="A14841" s="1">
        <v>43709</v>
      </c>
      <c r="B14841" t="s">
        <v>20</v>
      </c>
      <c r="C14841" t="s">
        <v>8</v>
      </c>
      <c r="D14841">
        <v>33</v>
      </c>
      <c r="E14841" s="2">
        <v>3.4988425925925923E-2</v>
      </c>
      <c r="F14841">
        <v>50.383333333333333</v>
      </c>
    </row>
    <row r="14842" spans="1:6" x14ac:dyDescent="0.25">
      <c r="A14842" s="1">
        <v>43709</v>
      </c>
      <c r="B14842" t="s">
        <v>20</v>
      </c>
      <c r="C14842" t="s">
        <v>9</v>
      </c>
      <c r="D14842">
        <v>0</v>
      </c>
      <c r="E14842" s="2">
        <v>0</v>
      </c>
      <c r="F14842">
        <v>0</v>
      </c>
    </row>
    <row r="14843" spans="1:6" x14ac:dyDescent="0.25">
      <c r="A14843" s="1">
        <v>43709</v>
      </c>
      <c r="B14843" t="s">
        <v>20</v>
      </c>
      <c r="C14843" t="s">
        <v>10</v>
      </c>
      <c r="D14843">
        <v>6</v>
      </c>
      <c r="E14843" s="2">
        <v>1.005787037037037E-2</v>
      </c>
      <c r="F14843">
        <v>14.483333333333333</v>
      </c>
    </row>
    <row r="14844" spans="1:6" x14ac:dyDescent="0.25">
      <c r="A14844" s="1">
        <v>43709</v>
      </c>
      <c r="B14844" t="s">
        <v>20</v>
      </c>
      <c r="C14844" t="s">
        <v>11</v>
      </c>
      <c r="D14844">
        <v>29</v>
      </c>
      <c r="E14844" s="2">
        <v>2.537037037037037E-2</v>
      </c>
      <c r="F14844">
        <v>36.533333333333331</v>
      </c>
    </row>
    <row r="14845" spans="1:6" x14ac:dyDescent="0.25">
      <c r="A14845" s="1">
        <v>43709</v>
      </c>
      <c r="B14845" t="s">
        <v>21</v>
      </c>
      <c r="C14845" t="s">
        <v>6</v>
      </c>
      <c r="D14845">
        <v>13</v>
      </c>
      <c r="E14845" s="2">
        <v>1.9780092592592592E-2</v>
      </c>
      <c r="F14845">
        <v>28.483333333333334</v>
      </c>
    </row>
    <row r="14846" spans="1:6" x14ac:dyDescent="0.25">
      <c r="A14846" s="1">
        <v>43709</v>
      </c>
      <c r="B14846" t="s">
        <v>21</v>
      </c>
      <c r="C14846" t="s">
        <v>7</v>
      </c>
      <c r="D14846">
        <v>23</v>
      </c>
      <c r="E14846" s="2">
        <v>3.5312499999999997E-2</v>
      </c>
      <c r="F14846">
        <v>50.85</v>
      </c>
    </row>
    <row r="14847" spans="1:6" x14ac:dyDescent="0.25">
      <c r="A14847" s="1">
        <v>43709</v>
      </c>
      <c r="B14847" t="s">
        <v>21</v>
      </c>
      <c r="C14847" t="s">
        <v>8</v>
      </c>
      <c r="D14847">
        <v>13</v>
      </c>
      <c r="E14847" s="2">
        <v>2.0671296296296295E-2</v>
      </c>
      <c r="F14847">
        <v>29.766666666666666</v>
      </c>
    </row>
    <row r="14848" spans="1:6" x14ac:dyDescent="0.25">
      <c r="A14848" s="1">
        <v>43709</v>
      </c>
      <c r="B14848" t="s">
        <v>21</v>
      </c>
      <c r="C14848" t="s">
        <v>9</v>
      </c>
      <c r="D14848">
        <v>0</v>
      </c>
      <c r="E14848" s="2">
        <v>0</v>
      </c>
      <c r="F14848">
        <v>0</v>
      </c>
    </row>
    <row r="14849" spans="1:6" x14ac:dyDescent="0.25">
      <c r="A14849" s="1">
        <v>43709</v>
      </c>
      <c r="B14849" t="s">
        <v>21</v>
      </c>
      <c r="C14849" t="s">
        <v>10</v>
      </c>
      <c r="D14849">
        <v>4</v>
      </c>
      <c r="E14849" s="2">
        <v>3.3796296296296296E-3</v>
      </c>
      <c r="F14849">
        <v>4.8666666666666671</v>
      </c>
    </row>
    <row r="14850" spans="1:6" x14ac:dyDescent="0.25">
      <c r="A14850" s="1">
        <v>43709</v>
      </c>
      <c r="B14850" t="s">
        <v>21</v>
      </c>
      <c r="C14850" t="s">
        <v>11</v>
      </c>
      <c r="D14850">
        <v>14</v>
      </c>
      <c r="E14850" s="2">
        <v>1.9571759259259261E-2</v>
      </c>
      <c r="F14850">
        <v>28.183333333333334</v>
      </c>
    </row>
    <row r="14851" spans="1:6" x14ac:dyDescent="0.25">
      <c r="A14851" s="1">
        <v>43709</v>
      </c>
      <c r="B14851" t="s">
        <v>22</v>
      </c>
      <c r="C14851" t="s">
        <v>6</v>
      </c>
      <c r="D14851">
        <v>13</v>
      </c>
      <c r="E14851" s="2">
        <v>2.4641203703703703E-2</v>
      </c>
      <c r="F14851">
        <v>35.483333333333334</v>
      </c>
    </row>
    <row r="14852" spans="1:6" x14ac:dyDescent="0.25">
      <c r="A14852" s="1">
        <v>43709</v>
      </c>
      <c r="B14852" t="s">
        <v>22</v>
      </c>
      <c r="C14852" t="s">
        <v>7</v>
      </c>
      <c r="D14852">
        <v>6</v>
      </c>
      <c r="E14852" s="2">
        <v>9.8611111111111104E-3</v>
      </c>
      <c r="F14852">
        <v>14.2</v>
      </c>
    </row>
    <row r="14853" spans="1:6" x14ac:dyDescent="0.25">
      <c r="A14853" s="1">
        <v>43709</v>
      </c>
      <c r="B14853" t="s">
        <v>22</v>
      </c>
      <c r="C14853" t="s">
        <v>8</v>
      </c>
      <c r="D14853">
        <v>4</v>
      </c>
      <c r="E14853" s="2">
        <v>5.7291666666666663E-3</v>
      </c>
      <c r="F14853">
        <v>8.25</v>
      </c>
    </row>
    <row r="14854" spans="1:6" x14ac:dyDescent="0.25">
      <c r="A14854" s="1">
        <v>43709</v>
      </c>
      <c r="B14854" t="s">
        <v>22</v>
      </c>
      <c r="C14854" t="s">
        <v>9</v>
      </c>
      <c r="D14854">
        <v>0</v>
      </c>
      <c r="E14854" s="2">
        <v>0</v>
      </c>
      <c r="F14854">
        <v>0</v>
      </c>
    </row>
    <row r="14855" spans="1:6" x14ac:dyDescent="0.25">
      <c r="A14855" s="1">
        <v>43709</v>
      </c>
      <c r="B14855" t="s">
        <v>22</v>
      </c>
      <c r="C14855" t="s">
        <v>10</v>
      </c>
      <c r="D14855">
        <v>12</v>
      </c>
      <c r="E14855" s="2">
        <v>1.1469907407407408E-2</v>
      </c>
      <c r="F14855">
        <v>16.516666666666666</v>
      </c>
    </row>
    <row r="14856" spans="1:6" x14ac:dyDescent="0.25">
      <c r="A14856" s="1">
        <v>43709</v>
      </c>
      <c r="B14856" t="s">
        <v>22</v>
      </c>
      <c r="C14856" t="s">
        <v>11</v>
      </c>
      <c r="D14856">
        <v>8</v>
      </c>
      <c r="E14856" s="2">
        <v>1.0775462962962962E-2</v>
      </c>
      <c r="F14856">
        <v>15.516666666666667</v>
      </c>
    </row>
    <row r="14857" spans="1:6" x14ac:dyDescent="0.25">
      <c r="A14857" s="1">
        <v>43709</v>
      </c>
      <c r="B14857" t="s">
        <v>23</v>
      </c>
      <c r="C14857" t="s">
        <v>6</v>
      </c>
      <c r="D14857">
        <v>91</v>
      </c>
      <c r="E14857" s="2">
        <v>0.15281249999999999</v>
      </c>
      <c r="F14857">
        <v>220.05</v>
      </c>
    </row>
    <row r="14858" spans="1:6" x14ac:dyDescent="0.25">
      <c r="A14858" s="1">
        <v>43709</v>
      </c>
      <c r="B14858" t="s">
        <v>23</v>
      </c>
      <c r="C14858" t="s">
        <v>7</v>
      </c>
      <c r="D14858">
        <v>95</v>
      </c>
      <c r="E14858" s="2">
        <v>0.14057870370370371</v>
      </c>
      <c r="F14858">
        <v>202.43333333333334</v>
      </c>
    </row>
    <row r="14859" spans="1:6" x14ac:dyDescent="0.25">
      <c r="A14859" s="1">
        <v>43709</v>
      </c>
      <c r="B14859" t="s">
        <v>23</v>
      </c>
      <c r="C14859" t="s">
        <v>8</v>
      </c>
      <c r="D14859">
        <v>76</v>
      </c>
      <c r="E14859" s="2">
        <v>9.2384259259259263E-2</v>
      </c>
      <c r="F14859">
        <v>133.03333333333333</v>
      </c>
    </row>
    <row r="14860" spans="1:6" x14ac:dyDescent="0.25">
      <c r="A14860" s="1">
        <v>43709</v>
      </c>
      <c r="B14860" t="s">
        <v>23</v>
      </c>
      <c r="C14860" t="s">
        <v>9</v>
      </c>
      <c r="D14860">
        <v>0</v>
      </c>
      <c r="E14860" s="2">
        <v>0</v>
      </c>
      <c r="F14860">
        <v>0</v>
      </c>
    </row>
    <row r="14861" spans="1:6" x14ac:dyDescent="0.25">
      <c r="A14861" s="1">
        <v>43709</v>
      </c>
      <c r="B14861" t="s">
        <v>23</v>
      </c>
      <c r="C14861" t="s">
        <v>10</v>
      </c>
      <c r="D14861">
        <v>20</v>
      </c>
      <c r="E14861" s="2">
        <v>2.9872685185185186E-2</v>
      </c>
      <c r="F14861">
        <v>43.016666666666666</v>
      </c>
    </row>
    <row r="14862" spans="1:6" x14ac:dyDescent="0.25">
      <c r="A14862" s="1">
        <v>43709</v>
      </c>
      <c r="B14862" t="s">
        <v>23</v>
      </c>
      <c r="C14862" t="s">
        <v>11</v>
      </c>
      <c r="D14862">
        <v>80</v>
      </c>
      <c r="E14862" s="2">
        <v>8.6655092592592589E-2</v>
      </c>
      <c r="F14862">
        <v>124.78333333333333</v>
      </c>
    </row>
    <row r="14863" spans="1:6" x14ac:dyDescent="0.25">
      <c r="A14863" s="1">
        <v>43709</v>
      </c>
      <c r="B14863" t="s">
        <v>24</v>
      </c>
      <c r="C14863" t="s">
        <v>6</v>
      </c>
      <c r="D14863">
        <v>20</v>
      </c>
      <c r="E14863" s="2">
        <v>2.4895833333333332E-2</v>
      </c>
      <c r="F14863">
        <v>35.85</v>
      </c>
    </row>
    <row r="14864" spans="1:6" x14ac:dyDescent="0.25">
      <c r="A14864" s="1">
        <v>43709</v>
      </c>
      <c r="B14864" t="s">
        <v>24</v>
      </c>
      <c r="C14864" t="s">
        <v>7</v>
      </c>
      <c r="D14864">
        <v>17</v>
      </c>
      <c r="E14864" s="2">
        <v>1.9085648148148147E-2</v>
      </c>
      <c r="F14864">
        <v>27.483333333333334</v>
      </c>
    </row>
    <row r="14865" spans="1:6" x14ac:dyDescent="0.25">
      <c r="A14865" s="1">
        <v>43709</v>
      </c>
      <c r="B14865" t="s">
        <v>24</v>
      </c>
      <c r="C14865" t="s">
        <v>8</v>
      </c>
      <c r="D14865">
        <v>7</v>
      </c>
      <c r="E14865" s="2">
        <v>6.2152777777777779E-3</v>
      </c>
      <c r="F14865">
        <v>8.9499999999999993</v>
      </c>
    </row>
    <row r="14866" spans="1:6" x14ac:dyDescent="0.25">
      <c r="A14866" s="1">
        <v>43709</v>
      </c>
      <c r="B14866" t="s">
        <v>24</v>
      </c>
      <c r="C14866" t="s">
        <v>9</v>
      </c>
      <c r="D14866">
        <v>0</v>
      </c>
      <c r="E14866" s="2">
        <v>0</v>
      </c>
      <c r="F14866">
        <v>0</v>
      </c>
    </row>
    <row r="14867" spans="1:6" x14ac:dyDescent="0.25">
      <c r="A14867" s="1">
        <v>43709</v>
      </c>
      <c r="B14867" t="s">
        <v>24</v>
      </c>
      <c r="C14867" t="s">
        <v>10</v>
      </c>
      <c r="D14867">
        <v>0</v>
      </c>
      <c r="E14867" s="2">
        <v>0</v>
      </c>
      <c r="F14867">
        <v>0</v>
      </c>
    </row>
    <row r="14868" spans="1:6" x14ac:dyDescent="0.25">
      <c r="A14868" s="1">
        <v>43709</v>
      </c>
      <c r="B14868" t="s">
        <v>24</v>
      </c>
      <c r="C14868" t="s">
        <v>11</v>
      </c>
      <c r="D14868">
        <v>29</v>
      </c>
      <c r="E14868" s="2">
        <v>2.3206018518518518E-2</v>
      </c>
      <c r="F14868">
        <v>33.416666666666664</v>
      </c>
    </row>
    <row r="14869" spans="1:6" x14ac:dyDescent="0.25">
      <c r="A14869" s="1">
        <v>43739</v>
      </c>
      <c r="B14869" t="s">
        <v>5</v>
      </c>
      <c r="C14869" t="s">
        <v>6</v>
      </c>
      <c r="D14869">
        <v>85</v>
      </c>
      <c r="E14869" s="2">
        <v>0.10548611111111111</v>
      </c>
      <c r="F14869">
        <v>151.9</v>
      </c>
    </row>
    <row r="14870" spans="1:6" x14ac:dyDescent="0.25">
      <c r="A14870" s="1">
        <v>43739</v>
      </c>
      <c r="B14870" t="s">
        <v>5</v>
      </c>
      <c r="C14870" t="s">
        <v>7</v>
      </c>
      <c r="D14870">
        <v>72</v>
      </c>
      <c r="E14870" s="2">
        <v>8.5439814814814816E-2</v>
      </c>
      <c r="F14870">
        <v>123.03333333333333</v>
      </c>
    </row>
    <row r="14871" spans="1:6" x14ac:dyDescent="0.25">
      <c r="A14871" s="1">
        <v>43739</v>
      </c>
      <c r="B14871" t="s">
        <v>5</v>
      </c>
      <c r="C14871" t="s">
        <v>8</v>
      </c>
      <c r="D14871">
        <v>76</v>
      </c>
      <c r="E14871" s="2">
        <v>7.4895833333333328E-2</v>
      </c>
      <c r="F14871">
        <v>107.85</v>
      </c>
    </row>
    <row r="14872" spans="1:6" x14ac:dyDescent="0.25">
      <c r="A14872" s="1">
        <v>43739</v>
      </c>
      <c r="B14872" t="s">
        <v>5</v>
      </c>
      <c r="C14872" t="s">
        <v>9</v>
      </c>
      <c r="D14872">
        <v>0</v>
      </c>
      <c r="E14872" s="2">
        <v>0</v>
      </c>
      <c r="F14872">
        <v>0</v>
      </c>
    </row>
    <row r="14873" spans="1:6" x14ac:dyDescent="0.25">
      <c r="A14873" s="1">
        <v>43739</v>
      </c>
      <c r="B14873" t="s">
        <v>5</v>
      </c>
      <c r="C14873" t="s">
        <v>10</v>
      </c>
      <c r="D14873">
        <v>11</v>
      </c>
      <c r="E14873" s="2">
        <v>1.3981481481481482E-2</v>
      </c>
      <c r="F14873">
        <v>20.133333333333333</v>
      </c>
    </row>
    <row r="14874" spans="1:6" x14ac:dyDescent="0.25">
      <c r="A14874" s="1">
        <v>43739</v>
      </c>
      <c r="B14874" t="s">
        <v>5</v>
      </c>
      <c r="C14874" t="s">
        <v>11</v>
      </c>
      <c r="D14874">
        <v>57</v>
      </c>
      <c r="E14874" s="2">
        <v>4.4467592592592593E-2</v>
      </c>
      <c r="F14874">
        <v>64.033333333333331</v>
      </c>
    </row>
    <row r="14875" spans="1:6" x14ac:dyDescent="0.25">
      <c r="A14875" s="1">
        <v>43739</v>
      </c>
      <c r="B14875" t="s">
        <v>12</v>
      </c>
      <c r="C14875" t="s">
        <v>6</v>
      </c>
      <c r="D14875">
        <v>26</v>
      </c>
      <c r="E14875" s="2">
        <v>4.7997685185185185E-2</v>
      </c>
      <c r="F14875">
        <v>69.11666666666666</v>
      </c>
    </row>
    <row r="14876" spans="1:6" x14ac:dyDescent="0.25">
      <c r="A14876" s="1">
        <v>43739</v>
      </c>
      <c r="B14876" t="s">
        <v>12</v>
      </c>
      <c r="C14876" t="s">
        <v>7</v>
      </c>
      <c r="D14876">
        <v>27</v>
      </c>
      <c r="E14876" s="2">
        <v>4.508101851851852E-2</v>
      </c>
      <c r="F14876">
        <v>64.916666666666671</v>
      </c>
    </row>
    <row r="14877" spans="1:6" x14ac:dyDescent="0.25">
      <c r="A14877" s="1">
        <v>43739</v>
      </c>
      <c r="B14877" t="s">
        <v>12</v>
      </c>
      <c r="C14877" t="s">
        <v>8</v>
      </c>
      <c r="D14877">
        <v>25</v>
      </c>
      <c r="E14877" s="2">
        <v>3.8842592592592595E-2</v>
      </c>
      <c r="F14877">
        <v>55.93333333333333</v>
      </c>
    </row>
    <row r="14878" spans="1:6" x14ac:dyDescent="0.25">
      <c r="A14878" s="1">
        <v>43739</v>
      </c>
      <c r="B14878" t="s">
        <v>12</v>
      </c>
      <c r="C14878" t="s">
        <v>9</v>
      </c>
      <c r="D14878">
        <v>0</v>
      </c>
      <c r="E14878" s="2">
        <v>0</v>
      </c>
      <c r="F14878">
        <v>0</v>
      </c>
    </row>
    <row r="14879" spans="1:6" x14ac:dyDescent="0.25">
      <c r="A14879" s="1">
        <v>43739</v>
      </c>
      <c r="B14879" t="s">
        <v>12</v>
      </c>
      <c r="C14879" t="s">
        <v>10</v>
      </c>
      <c r="D14879">
        <v>21</v>
      </c>
      <c r="E14879" s="2">
        <v>3.5497685185185188E-2</v>
      </c>
      <c r="F14879">
        <v>51.116666666666667</v>
      </c>
    </row>
    <row r="14880" spans="1:6" x14ac:dyDescent="0.25">
      <c r="A14880" s="1">
        <v>43739</v>
      </c>
      <c r="B14880" t="s">
        <v>12</v>
      </c>
      <c r="C14880" t="s">
        <v>11</v>
      </c>
      <c r="D14880">
        <v>65</v>
      </c>
      <c r="E14880" s="2">
        <v>9.0763888888888894E-2</v>
      </c>
      <c r="F14880">
        <v>130.69999999999999</v>
      </c>
    </row>
    <row r="14881" spans="1:6" x14ac:dyDescent="0.25">
      <c r="A14881" s="1">
        <v>43739</v>
      </c>
      <c r="B14881" t="s">
        <v>13</v>
      </c>
      <c r="C14881" t="s">
        <v>6</v>
      </c>
      <c r="D14881">
        <v>57</v>
      </c>
      <c r="E14881" s="2">
        <v>0.10313657407407407</v>
      </c>
      <c r="F14881">
        <v>148.51666666666668</v>
      </c>
    </row>
    <row r="14882" spans="1:6" x14ac:dyDescent="0.25">
      <c r="A14882" s="1">
        <v>43739</v>
      </c>
      <c r="B14882" t="s">
        <v>13</v>
      </c>
      <c r="C14882" t="s">
        <v>7</v>
      </c>
      <c r="D14882">
        <v>76</v>
      </c>
      <c r="E14882" s="2">
        <v>0.11655092592592593</v>
      </c>
      <c r="F14882">
        <v>167.83333333333334</v>
      </c>
    </row>
    <row r="14883" spans="1:6" x14ac:dyDescent="0.25">
      <c r="A14883" s="1">
        <v>43739</v>
      </c>
      <c r="B14883" t="s">
        <v>13</v>
      </c>
      <c r="C14883" t="s">
        <v>8</v>
      </c>
      <c r="D14883">
        <v>36</v>
      </c>
      <c r="E14883" s="2">
        <v>4.8391203703703707E-2</v>
      </c>
      <c r="F14883">
        <v>69.683333333333337</v>
      </c>
    </row>
    <row r="14884" spans="1:6" x14ac:dyDescent="0.25">
      <c r="A14884" s="1">
        <v>43739</v>
      </c>
      <c r="B14884" t="s">
        <v>13</v>
      </c>
      <c r="C14884" t="s">
        <v>9</v>
      </c>
      <c r="D14884">
        <v>0</v>
      </c>
      <c r="E14884" s="2">
        <v>0</v>
      </c>
      <c r="F14884">
        <v>0</v>
      </c>
    </row>
    <row r="14885" spans="1:6" x14ac:dyDescent="0.25">
      <c r="A14885" s="1">
        <v>43739</v>
      </c>
      <c r="B14885" t="s">
        <v>13</v>
      </c>
      <c r="C14885" t="s">
        <v>10</v>
      </c>
      <c r="D14885">
        <v>15</v>
      </c>
      <c r="E14885" s="2">
        <v>2.3993055555555556E-2</v>
      </c>
      <c r="F14885">
        <v>34.549999999999997</v>
      </c>
    </row>
    <row r="14886" spans="1:6" x14ac:dyDescent="0.25">
      <c r="A14886" s="1">
        <v>43739</v>
      </c>
      <c r="B14886" t="s">
        <v>13</v>
      </c>
      <c r="C14886" t="s">
        <v>11</v>
      </c>
      <c r="D14886">
        <v>46</v>
      </c>
      <c r="E14886" s="2">
        <v>5.0601851851851849E-2</v>
      </c>
      <c r="F14886">
        <v>72.86666666666666</v>
      </c>
    </row>
    <row r="14887" spans="1:6" x14ac:dyDescent="0.25">
      <c r="A14887" s="1">
        <v>43739</v>
      </c>
      <c r="B14887" t="s">
        <v>14</v>
      </c>
      <c r="C14887" t="s">
        <v>6</v>
      </c>
      <c r="D14887">
        <v>5</v>
      </c>
      <c r="E14887" s="2">
        <v>1.1435185185185185E-2</v>
      </c>
      <c r="F14887">
        <v>16.466666666666665</v>
      </c>
    </row>
    <row r="14888" spans="1:6" x14ac:dyDescent="0.25">
      <c r="A14888" s="1">
        <v>43739</v>
      </c>
      <c r="B14888" t="s">
        <v>14</v>
      </c>
      <c r="C14888" t="s">
        <v>7</v>
      </c>
      <c r="D14888">
        <v>3</v>
      </c>
      <c r="E14888" s="2">
        <v>6.8634259259259256E-3</v>
      </c>
      <c r="F14888">
        <v>9.8833333333333329</v>
      </c>
    </row>
    <row r="14889" spans="1:6" x14ac:dyDescent="0.25">
      <c r="A14889" s="1">
        <v>43739</v>
      </c>
      <c r="B14889" t="s">
        <v>14</v>
      </c>
      <c r="C14889" t="s">
        <v>8</v>
      </c>
      <c r="D14889">
        <v>4</v>
      </c>
      <c r="E14889" s="2">
        <v>5.3587962962962964E-3</v>
      </c>
      <c r="F14889">
        <v>7.7166666666666668</v>
      </c>
    </row>
    <row r="14890" spans="1:6" x14ac:dyDescent="0.25">
      <c r="A14890" s="1">
        <v>43739</v>
      </c>
      <c r="B14890" t="s">
        <v>14</v>
      </c>
      <c r="C14890" t="s">
        <v>9</v>
      </c>
      <c r="D14890">
        <v>0</v>
      </c>
      <c r="E14890" s="2">
        <v>0</v>
      </c>
      <c r="F14890">
        <v>0</v>
      </c>
    </row>
    <row r="14891" spans="1:6" x14ac:dyDescent="0.25">
      <c r="A14891" s="1">
        <v>43739</v>
      </c>
      <c r="B14891" t="s">
        <v>14</v>
      </c>
      <c r="C14891" t="s">
        <v>10</v>
      </c>
      <c r="D14891">
        <v>0</v>
      </c>
      <c r="E14891" s="2">
        <v>0</v>
      </c>
      <c r="F14891">
        <v>0</v>
      </c>
    </row>
    <row r="14892" spans="1:6" x14ac:dyDescent="0.25">
      <c r="A14892" s="1">
        <v>43739</v>
      </c>
      <c r="B14892" t="s">
        <v>14</v>
      </c>
      <c r="C14892" t="s">
        <v>11</v>
      </c>
      <c r="D14892">
        <v>8</v>
      </c>
      <c r="E14892" s="2">
        <v>1.15625E-2</v>
      </c>
      <c r="F14892">
        <v>16.649999999999999</v>
      </c>
    </row>
    <row r="14893" spans="1:6" x14ac:dyDescent="0.25">
      <c r="A14893" s="1">
        <v>43739</v>
      </c>
      <c r="B14893" t="s">
        <v>15</v>
      </c>
      <c r="C14893" t="s">
        <v>6</v>
      </c>
      <c r="D14893">
        <v>25</v>
      </c>
      <c r="E14893" s="2">
        <v>4.7939814814814817E-2</v>
      </c>
      <c r="F14893">
        <v>69.033333333333331</v>
      </c>
    </row>
    <row r="14894" spans="1:6" x14ac:dyDescent="0.25">
      <c r="A14894" s="1">
        <v>43739</v>
      </c>
      <c r="B14894" t="s">
        <v>15</v>
      </c>
      <c r="C14894" t="s">
        <v>7</v>
      </c>
      <c r="D14894">
        <v>33</v>
      </c>
      <c r="E14894" s="2">
        <v>5.6412037037037038E-2</v>
      </c>
      <c r="F14894">
        <v>81.233333333333334</v>
      </c>
    </row>
    <row r="14895" spans="1:6" x14ac:dyDescent="0.25">
      <c r="A14895" s="1">
        <v>43739</v>
      </c>
      <c r="B14895" t="s">
        <v>15</v>
      </c>
      <c r="C14895" t="s">
        <v>8</v>
      </c>
      <c r="D14895">
        <v>20</v>
      </c>
      <c r="E14895" s="2">
        <v>2.3287037037037037E-2</v>
      </c>
      <c r="F14895">
        <v>33.533333333333331</v>
      </c>
    </row>
    <row r="14896" spans="1:6" x14ac:dyDescent="0.25">
      <c r="A14896" s="1">
        <v>43739</v>
      </c>
      <c r="B14896" t="s">
        <v>15</v>
      </c>
      <c r="C14896" t="s">
        <v>9</v>
      </c>
      <c r="D14896">
        <v>0</v>
      </c>
      <c r="E14896" s="2">
        <v>0</v>
      </c>
      <c r="F14896">
        <v>0</v>
      </c>
    </row>
    <row r="14897" spans="1:6" x14ac:dyDescent="0.25">
      <c r="A14897" s="1">
        <v>43739</v>
      </c>
      <c r="B14897" t="s">
        <v>15</v>
      </c>
      <c r="C14897" t="s">
        <v>10</v>
      </c>
      <c r="D14897">
        <v>15</v>
      </c>
      <c r="E14897" s="2">
        <v>2.3344907407407408E-2</v>
      </c>
      <c r="F14897">
        <v>33.616666666666667</v>
      </c>
    </row>
    <row r="14898" spans="1:6" x14ac:dyDescent="0.25">
      <c r="A14898" s="1">
        <v>43739</v>
      </c>
      <c r="B14898" t="s">
        <v>15</v>
      </c>
      <c r="C14898" t="s">
        <v>11</v>
      </c>
      <c r="D14898">
        <v>16</v>
      </c>
      <c r="E14898" s="2">
        <v>1.6712962962962964E-2</v>
      </c>
      <c r="F14898">
        <v>24.066666666666666</v>
      </c>
    </row>
    <row r="14899" spans="1:6" x14ac:dyDescent="0.25">
      <c r="A14899" s="1">
        <v>43739</v>
      </c>
      <c r="B14899" t="s">
        <v>16</v>
      </c>
      <c r="C14899" t="s">
        <v>6</v>
      </c>
      <c r="D14899">
        <v>24</v>
      </c>
      <c r="E14899" s="2">
        <v>3.2106481481481479E-2</v>
      </c>
      <c r="F14899">
        <v>46.233333333333334</v>
      </c>
    </row>
    <row r="14900" spans="1:6" x14ac:dyDescent="0.25">
      <c r="A14900" s="1">
        <v>43739</v>
      </c>
      <c r="B14900" t="s">
        <v>16</v>
      </c>
      <c r="C14900" t="s">
        <v>7</v>
      </c>
      <c r="D14900">
        <v>28</v>
      </c>
      <c r="E14900" s="2">
        <v>4.0046296296296295E-2</v>
      </c>
      <c r="F14900">
        <v>57.666666666666664</v>
      </c>
    </row>
    <row r="14901" spans="1:6" x14ac:dyDescent="0.25">
      <c r="A14901" s="1">
        <v>43739</v>
      </c>
      <c r="B14901" t="s">
        <v>16</v>
      </c>
      <c r="C14901" t="s">
        <v>8</v>
      </c>
      <c r="D14901">
        <v>30</v>
      </c>
      <c r="E14901" s="2">
        <v>3.7986111111111109E-2</v>
      </c>
      <c r="F14901">
        <v>54.7</v>
      </c>
    </row>
    <row r="14902" spans="1:6" x14ac:dyDescent="0.25">
      <c r="A14902" s="1">
        <v>43739</v>
      </c>
      <c r="B14902" t="s">
        <v>16</v>
      </c>
      <c r="C14902" t="s">
        <v>9</v>
      </c>
      <c r="D14902">
        <v>0</v>
      </c>
      <c r="E14902" s="2">
        <v>0</v>
      </c>
      <c r="F14902">
        <v>0</v>
      </c>
    </row>
    <row r="14903" spans="1:6" x14ac:dyDescent="0.25">
      <c r="A14903" s="1">
        <v>43739</v>
      </c>
      <c r="B14903" t="s">
        <v>16</v>
      </c>
      <c r="C14903" t="s">
        <v>10</v>
      </c>
      <c r="D14903">
        <v>5</v>
      </c>
      <c r="E14903" s="2">
        <v>4.9537037037037041E-3</v>
      </c>
      <c r="F14903">
        <v>7.1333333333333337</v>
      </c>
    </row>
    <row r="14904" spans="1:6" x14ac:dyDescent="0.25">
      <c r="A14904" s="1">
        <v>43739</v>
      </c>
      <c r="B14904" t="s">
        <v>16</v>
      </c>
      <c r="C14904" t="s">
        <v>11</v>
      </c>
      <c r="D14904">
        <v>35</v>
      </c>
      <c r="E14904" s="2">
        <v>3.2060185185185185E-2</v>
      </c>
      <c r="F14904">
        <v>46.166666666666664</v>
      </c>
    </row>
    <row r="14905" spans="1:6" x14ac:dyDescent="0.25">
      <c r="A14905" s="1">
        <v>43739</v>
      </c>
      <c r="B14905" t="s">
        <v>17</v>
      </c>
      <c r="C14905" t="s">
        <v>6</v>
      </c>
      <c r="D14905">
        <v>27</v>
      </c>
      <c r="E14905" s="2">
        <v>3.9131944444444441E-2</v>
      </c>
      <c r="F14905">
        <v>56.35</v>
      </c>
    </row>
    <row r="14906" spans="1:6" x14ac:dyDescent="0.25">
      <c r="A14906" s="1">
        <v>43739</v>
      </c>
      <c r="B14906" t="s">
        <v>17</v>
      </c>
      <c r="C14906" t="s">
        <v>7</v>
      </c>
      <c r="D14906">
        <v>18</v>
      </c>
      <c r="E14906" s="2">
        <v>2.3472222222222221E-2</v>
      </c>
      <c r="F14906">
        <v>33.799999999999997</v>
      </c>
    </row>
    <row r="14907" spans="1:6" x14ac:dyDescent="0.25">
      <c r="A14907" s="1">
        <v>43739</v>
      </c>
      <c r="B14907" t="s">
        <v>17</v>
      </c>
      <c r="C14907" t="s">
        <v>8</v>
      </c>
      <c r="D14907">
        <v>20</v>
      </c>
      <c r="E14907" s="2">
        <v>2.4421296296296295E-2</v>
      </c>
      <c r="F14907">
        <v>35.166666666666664</v>
      </c>
    </row>
    <row r="14908" spans="1:6" x14ac:dyDescent="0.25">
      <c r="A14908" s="1">
        <v>43739</v>
      </c>
      <c r="B14908" t="s">
        <v>17</v>
      </c>
      <c r="C14908" t="s">
        <v>9</v>
      </c>
      <c r="D14908">
        <v>0</v>
      </c>
      <c r="E14908" s="2">
        <v>0</v>
      </c>
      <c r="F14908">
        <v>0</v>
      </c>
    </row>
    <row r="14909" spans="1:6" x14ac:dyDescent="0.25">
      <c r="A14909" s="1">
        <v>43739</v>
      </c>
      <c r="B14909" t="s">
        <v>17</v>
      </c>
      <c r="C14909" t="s">
        <v>10</v>
      </c>
      <c r="D14909">
        <v>11</v>
      </c>
      <c r="E14909" s="2">
        <v>1.6527777777777777E-2</v>
      </c>
      <c r="F14909">
        <v>23.8</v>
      </c>
    </row>
    <row r="14910" spans="1:6" x14ac:dyDescent="0.25">
      <c r="A14910" s="1">
        <v>43739</v>
      </c>
      <c r="B14910" t="s">
        <v>17</v>
      </c>
      <c r="C14910" t="s">
        <v>11</v>
      </c>
      <c r="D14910">
        <v>21</v>
      </c>
      <c r="E14910" s="2">
        <v>2.0219907407407409E-2</v>
      </c>
      <c r="F14910">
        <v>29.116666666666667</v>
      </c>
    </row>
    <row r="14911" spans="1:6" x14ac:dyDescent="0.25">
      <c r="A14911" s="1">
        <v>43739</v>
      </c>
      <c r="B14911" t="s">
        <v>18</v>
      </c>
      <c r="C14911" t="s">
        <v>6</v>
      </c>
      <c r="D14911">
        <v>61</v>
      </c>
      <c r="E14911" s="2">
        <v>6.4097222222222222E-2</v>
      </c>
      <c r="F14911">
        <v>92.3</v>
      </c>
    </row>
    <row r="14912" spans="1:6" x14ac:dyDescent="0.25">
      <c r="A14912" s="1">
        <v>43739</v>
      </c>
      <c r="B14912" t="s">
        <v>18</v>
      </c>
      <c r="C14912" t="s">
        <v>7</v>
      </c>
      <c r="D14912">
        <v>97</v>
      </c>
      <c r="E14912" s="2">
        <v>0.10857638888888889</v>
      </c>
      <c r="F14912">
        <v>156.35</v>
      </c>
    </row>
    <row r="14913" spans="1:6" x14ac:dyDescent="0.25">
      <c r="A14913" s="1">
        <v>43739</v>
      </c>
      <c r="B14913" t="s">
        <v>18</v>
      </c>
      <c r="C14913" t="s">
        <v>8</v>
      </c>
      <c r="D14913">
        <v>52</v>
      </c>
      <c r="E14913" s="2">
        <v>3.9120370370370368E-2</v>
      </c>
      <c r="F14913">
        <v>56.333333333333336</v>
      </c>
    </row>
    <row r="14914" spans="1:6" x14ac:dyDescent="0.25">
      <c r="A14914" s="1">
        <v>43739</v>
      </c>
      <c r="B14914" t="s">
        <v>18</v>
      </c>
      <c r="C14914" t="s">
        <v>9</v>
      </c>
      <c r="D14914">
        <v>0</v>
      </c>
      <c r="E14914" s="2">
        <v>0</v>
      </c>
      <c r="F14914">
        <v>0</v>
      </c>
    </row>
    <row r="14915" spans="1:6" x14ac:dyDescent="0.25">
      <c r="A14915" s="1">
        <v>43739</v>
      </c>
      <c r="B14915" t="s">
        <v>18</v>
      </c>
      <c r="C14915" t="s">
        <v>10</v>
      </c>
      <c r="D14915">
        <v>181</v>
      </c>
      <c r="E14915" s="2">
        <v>0.22984953703703703</v>
      </c>
      <c r="F14915">
        <v>330.98333333333335</v>
      </c>
    </row>
    <row r="14916" spans="1:6" x14ac:dyDescent="0.25">
      <c r="A14916" s="1">
        <v>43739</v>
      </c>
      <c r="B14916" t="s">
        <v>18</v>
      </c>
      <c r="C14916" t="s">
        <v>11</v>
      </c>
      <c r="D14916">
        <v>78</v>
      </c>
      <c r="E14916" s="2">
        <v>6.1168981481481484E-2</v>
      </c>
      <c r="F14916">
        <v>88.083333333333329</v>
      </c>
    </row>
    <row r="14917" spans="1:6" x14ac:dyDescent="0.25">
      <c r="A14917" s="1">
        <v>43739</v>
      </c>
      <c r="B14917" t="s">
        <v>19</v>
      </c>
      <c r="C14917" t="s">
        <v>6</v>
      </c>
      <c r="D14917">
        <v>19</v>
      </c>
      <c r="E14917" s="2">
        <v>2.7511574074074074E-2</v>
      </c>
      <c r="F14917">
        <v>39.616666666666667</v>
      </c>
    </row>
    <row r="14918" spans="1:6" x14ac:dyDescent="0.25">
      <c r="A14918" s="1">
        <v>43739</v>
      </c>
      <c r="B14918" t="s">
        <v>19</v>
      </c>
      <c r="C14918" t="s">
        <v>7</v>
      </c>
      <c r="D14918">
        <v>20</v>
      </c>
      <c r="E14918" s="2">
        <v>2.3692129629629629E-2</v>
      </c>
      <c r="F14918">
        <v>34.116666666666667</v>
      </c>
    </row>
    <row r="14919" spans="1:6" x14ac:dyDescent="0.25">
      <c r="A14919" s="1">
        <v>43739</v>
      </c>
      <c r="B14919" t="s">
        <v>19</v>
      </c>
      <c r="C14919" t="s">
        <v>8</v>
      </c>
      <c r="D14919">
        <v>19</v>
      </c>
      <c r="E14919" s="2">
        <v>2.5798611111111112E-2</v>
      </c>
      <c r="F14919">
        <v>37.15</v>
      </c>
    </row>
    <row r="14920" spans="1:6" x14ac:dyDescent="0.25">
      <c r="A14920" s="1">
        <v>43739</v>
      </c>
      <c r="B14920" t="s">
        <v>19</v>
      </c>
      <c r="C14920" t="s">
        <v>9</v>
      </c>
      <c r="D14920">
        <v>0</v>
      </c>
      <c r="E14920" s="2">
        <v>0</v>
      </c>
      <c r="F14920">
        <v>0</v>
      </c>
    </row>
    <row r="14921" spans="1:6" x14ac:dyDescent="0.25">
      <c r="A14921" s="1">
        <v>43739</v>
      </c>
      <c r="B14921" t="s">
        <v>19</v>
      </c>
      <c r="C14921" t="s">
        <v>10</v>
      </c>
      <c r="D14921">
        <v>9</v>
      </c>
      <c r="E14921" s="2">
        <v>1.0636574074074074E-2</v>
      </c>
      <c r="F14921">
        <v>15.316666666666666</v>
      </c>
    </row>
    <row r="14922" spans="1:6" x14ac:dyDescent="0.25">
      <c r="A14922" s="1">
        <v>43739</v>
      </c>
      <c r="B14922" t="s">
        <v>19</v>
      </c>
      <c r="C14922" t="s">
        <v>11</v>
      </c>
      <c r="D14922">
        <v>28</v>
      </c>
      <c r="E14922" s="2">
        <v>2.6365740740740742E-2</v>
      </c>
      <c r="F14922">
        <v>37.966666666666669</v>
      </c>
    </row>
    <row r="14923" spans="1:6" x14ac:dyDescent="0.25">
      <c r="A14923" s="1">
        <v>43739</v>
      </c>
      <c r="B14923" t="s">
        <v>20</v>
      </c>
      <c r="C14923" t="s">
        <v>6</v>
      </c>
      <c r="D14923">
        <v>42</v>
      </c>
      <c r="E14923" s="2">
        <v>5.2800925925925925E-2</v>
      </c>
      <c r="F14923">
        <v>76.033333333333331</v>
      </c>
    </row>
    <row r="14924" spans="1:6" x14ac:dyDescent="0.25">
      <c r="A14924" s="1">
        <v>43739</v>
      </c>
      <c r="B14924" t="s">
        <v>20</v>
      </c>
      <c r="C14924" t="s">
        <v>7</v>
      </c>
      <c r="D14924">
        <v>49</v>
      </c>
      <c r="E14924" s="2">
        <v>6.4398148148148149E-2</v>
      </c>
      <c r="F14924">
        <v>92.733333333333334</v>
      </c>
    </row>
    <row r="14925" spans="1:6" x14ac:dyDescent="0.25">
      <c r="A14925" s="1">
        <v>43739</v>
      </c>
      <c r="B14925" t="s">
        <v>20</v>
      </c>
      <c r="C14925" t="s">
        <v>8</v>
      </c>
      <c r="D14925">
        <v>53</v>
      </c>
      <c r="E14925" s="2">
        <v>5.5266203703703706E-2</v>
      </c>
      <c r="F14925">
        <v>79.583333333333329</v>
      </c>
    </row>
    <row r="14926" spans="1:6" x14ac:dyDescent="0.25">
      <c r="A14926" s="1">
        <v>43739</v>
      </c>
      <c r="B14926" t="s">
        <v>20</v>
      </c>
      <c r="C14926" t="s">
        <v>9</v>
      </c>
      <c r="D14926">
        <v>0</v>
      </c>
      <c r="E14926" s="2">
        <v>0</v>
      </c>
      <c r="F14926">
        <v>0</v>
      </c>
    </row>
    <row r="14927" spans="1:6" x14ac:dyDescent="0.25">
      <c r="A14927" s="1">
        <v>43739</v>
      </c>
      <c r="B14927" t="s">
        <v>20</v>
      </c>
      <c r="C14927" t="s">
        <v>10</v>
      </c>
      <c r="D14927">
        <v>8</v>
      </c>
      <c r="E14927" s="2">
        <v>6.7708333333333336E-3</v>
      </c>
      <c r="F14927">
        <v>9.75</v>
      </c>
    </row>
    <row r="14928" spans="1:6" x14ac:dyDescent="0.25">
      <c r="A14928" s="1">
        <v>43739</v>
      </c>
      <c r="B14928" t="s">
        <v>20</v>
      </c>
      <c r="C14928" t="s">
        <v>11</v>
      </c>
      <c r="D14928">
        <v>34</v>
      </c>
      <c r="E14928" s="2">
        <v>3.5763888888888887E-2</v>
      </c>
      <c r="F14928">
        <v>51.5</v>
      </c>
    </row>
    <row r="14929" spans="1:6" x14ac:dyDescent="0.25">
      <c r="A14929" s="1">
        <v>43739</v>
      </c>
      <c r="B14929" t="s">
        <v>21</v>
      </c>
      <c r="C14929" t="s">
        <v>6</v>
      </c>
      <c r="D14929">
        <v>19</v>
      </c>
      <c r="E14929" s="2">
        <v>3.0925925925925926E-2</v>
      </c>
      <c r="F14929">
        <v>44.533333333333331</v>
      </c>
    </row>
    <row r="14930" spans="1:6" x14ac:dyDescent="0.25">
      <c r="A14930" s="1">
        <v>43739</v>
      </c>
      <c r="B14930" t="s">
        <v>21</v>
      </c>
      <c r="C14930" t="s">
        <v>7</v>
      </c>
      <c r="D14930">
        <v>11</v>
      </c>
      <c r="E14930" s="2">
        <v>2.1111111111111112E-2</v>
      </c>
      <c r="F14930">
        <v>30.4</v>
      </c>
    </row>
    <row r="14931" spans="1:6" x14ac:dyDescent="0.25">
      <c r="A14931" s="1">
        <v>43739</v>
      </c>
      <c r="B14931" t="s">
        <v>21</v>
      </c>
      <c r="C14931" t="s">
        <v>8</v>
      </c>
      <c r="D14931">
        <v>13</v>
      </c>
      <c r="E14931" s="2">
        <v>1.9178240740740742E-2</v>
      </c>
      <c r="F14931">
        <v>27.616666666666667</v>
      </c>
    </row>
    <row r="14932" spans="1:6" x14ac:dyDescent="0.25">
      <c r="A14932" s="1">
        <v>43739</v>
      </c>
      <c r="B14932" t="s">
        <v>21</v>
      </c>
      <c r="C14932" t="s">
        <v>9</v>
      </c>
      <c r="D14932">
        <v>0</v>
      </c>
      <c r="E14932" s="2">
        <v>0</v>
      </c>
      <c r="F14932">
        <v>0</v>
      </c>
    </row>
    <row r="14933" spans="1:6" x14ac:dyDescent="0.25">
      <c r="A14933" s="1">
        <v>43739</v>
      </c>
      <c r="B14933" t="s">
        <v>21</v>
      </c>
      <c r="C14933" t="s">
        <v>10</v>
      </c>
      <c r="D14933">
        <v>5</v>
      </c>
      <c r="E14933" s="2">
        <v>1.0486111111111111E-2</v>
      </c>
      <c r="F14933">
        <v>15.1</v>
      </c>
    </row>
    <row r="14934" spans="1:6" x14ac:dyDescent="0.25">
      <c r="A14934" s="1">
        <v>43739</v>
      </c>
      <c r="B14934" t="s">
        <v>21</v>
      </c>
      <c r="C14934" t="s">
        <v>11</v>
      </c>
      <c r="D14934">
        <v>16</v>
      </c>
      <c r="E14934" s="2">
        <v>1.7766203703703704E-2</v>
      </c>
      <c r="F14934">
        <v>25.583333333333332</v>
      </c>
    </row>
    <row r="14935" spans="1:6" x14ac:dyDescent="0.25">
      <c r="A14935" s="1">
        <v>43739</v>
      </c>
      <c r="B14935" t="s">
        <v>22</v>
      </c>
      <c r="C14935" t="s">
        <v>6</v>
      </c>
      <c r="D14935">
        <v>16</v>
      </c>
      <c r="E14935" s="2">
        <v>4.2268518518518518E-2</v>
      </c>
      <c r="F14935">
        <v>60.866666666666667</v>
      </c>
    </row>
    <row r="14936" spans="1:6" x14ac:dyDescent="0.25">
      <c r="A14936" s="1">
        <v>43739</v>
      </c>
      <c r="B14936" t="s">
        <v>22</v>
      </c>
      <c r="C14936" t="s">
        <v>7</v>
      </c>
      <c r="D14936">
        <v>8</v>
      </c>
      <c r="E14936" s="2">
        <v>9.6759259259259264E-3</v>
      </c>
      <c r="F14936">
        <v>13.933333333333334</v>
      </c>
    </row>
    <row r="14937" spans="1:6" x14ac:dyDescent="0.25">
      <c r="A14937" s="1">
        <v>43739</v>
      </c>
      <c r="B14937" t="s">
        <v>22</v>
      </c>
      <c r="C14937" t="s">
        <v>8</v>
      </c>
      <c r="D14937">
        <v>5</v>
      </c>
      <c r="E14937" s="2">
        <v>5.9953703703703705E-3</v>
      </c>
      <c r="F14937">
        <v>8.6333333333333329</v>
      </c>
    </row>
    <row r="14938" spans="1:6" x14ac:dyDescent="0.25">
      <c r="A14938" s="1">
        <v>43739</v>
      </c>
      <c r="B14938" t="s">
        <v>22</v>
      </c>
      <c r="C14938" t="s">
        <v>9</v>
      </c>
      <c r="D14938">
        <v>0</v>
      </c>
      <c r="E14938" s="2">
        <v>0</v>
      </c>
      <c r="F14938">
        <v>0</v>
      </c>
    </row>
    <row r="14939" spans="1:6" x14ac:dyDescent="0.25">
      <c r="A14939" s="1">
        <v>43739</v>
      </c>
      <c r="B14939" t="s">
        <v>22</v>
      </c>
      <c r="C14939" t="s">
        <v>10</v>
      </c>
      <c r="D14939">
        <v>12</v>
      </c>
      <c r="E14939" s="2">
        <v>1.4606481481481481E-2</v>
      </c>
      <c r="F14939">
        <v>21.033333333333335</v>
      </c>
    </row>
    <row r="14940" spans="1:6" x14ac:dyDescent="0.25">
      <c r="A14940" s="1">
        <v>43739</v>
      </c>
      <c r="B14940" t="s">
        <v>22</v>
      </c>
      <c r="C14940" t="s">
        <v>11</v>
      </c>
      <c r="D14940">
        <v>7</v>
      </c>
      <c r="E14940" s="2">
        <v>9.0856481481481483E-3</v>
      </c>
      <c r="F14940">
        <v>13.083333333333334</v>
      </c>
    </row>
    <row r="14941" spans="1:6" x14ac:dyDescent="0.25">
      <c r="A14941" s="1">
        <v>43739</v>
      </c>
      <c r="B14941" t="s">
        <v>23</v>
      </c>
      <c r="C14941" t="s">
        <v>6</v>
      </c>
      <c r="D14941">
        <v>99</v>
      </c>
      <c r="E14941" s="2">
        <v>0.14935185185185185</v>
      </c>
      <c r="F14941">
        <v>215.06666666666666</v>
      </c>
    </row>
    <row r="14942" spans="1:6" x14ac:dyDescent="0.25">
      <c r="A14942" s="1">
        <v>43739</v>
      </c>
      <c r="B14942" t="s">
        <v>23</v>
      </c>
      <c r="C14942" t="s">
        <v>7</v>
      </c>
      <c r="D14942">
        <v>104</v>
      </c>
      <c r="E14942" s="2">
        <v>0.16872685185185185</v>
      </c>
      <c r="F14942">
        <v>242.96666666666667</v>
      </c>
    </row>
    <row r="14943" spans="1:6" x14ac:dyDescent="0.25">
      <c r="A14943" s="1">
        <v>43739</v>
      </c>
      <c r="B14943" t="s">
        <v>23</v>
      </c>
      <c r="C14943" t="s">
        <v>8</v>
      </c>
      <c r="D14943">
        <v>76</v>
      </c>
      <c r="E14943" s="2">
        <v>9.7222222222222224E-2</v>
      </c>
      <c r="F14943">
        <v>140</v>
      </c>
    </row>
    <row r="14944" spans="1:6" x14ac:dyDescent="0.25">
      <c r="A14944" s="1">
        <v>43739</v>
      </c>
      <c r="B14944" t="s">
        <v>23</v>
      </c>
      <c r="C14944" t="s">
        <v>9</v>
      </c>
      <c r="D14944">
        <v>0</v>
      </c>
      <c r="E14944" s="2">
        <v>0</v>
      </c>
      <c r="F14944">
        <v>0</v>
      </c>
    </row>
    <row r="14945" spans="1:6" x14ac:dyDescent="0.25">
      <c r="A14945" s="1">
        <v>43739</v>
      </c>
      <c r="B14945" t="s">
        <v>23</v>
      </c>
      <c r="C14945" t="s">
        <v>10</v>
      </c>
      <c r="D14945">
        <v>28</v>
      </c>
      <c r="E14945" s="2">
        <v>4.5949074074074073E-2</v>
      </c>
      <c r="F14945">
        <v>66.166666666666671</v>
      </c>
    </row>
    <row r="14946" spans="1:6" x14ac:dyDescent="0.25">
      <c r="A14946" s="1">
        <v>43739</v>
      </c>
      <c r="B14946" t="s">
        <v>23</v>
      </c>
      <c r="C14946" t="s">
        <v>11</v>
      </c>
      <c r="D14946">
        <v>74</v>
      </c>
      <c r="E14946" s="2">
        <v>7.7141203703703698E-2</v>
      </c>
      <c r="F14946">
        <v>111.08333333333333</v>
      </c>
    </row>
    <row r="14947" spans="1:6" x14ac:dyDescent="0.25">
      <c r="A14947" s="1">
        <v>43739</v>
      </c>
      <c r="B14947" t="s">
        <v>24</v>
      </c>
      <c r="C14947" t="s">
        <v>6</v>
      </c>
      <c r="D14947">
        <v>17</v>
      </c>
      <c r="E14947" s="2">
        <v>2.2546296296296297E-2</v>
      </c>
      <c r="F14947">
        <v>32.466666666666669</v>
      </c>
    </row>
    <row r="14948" spans="1:6" x14ac:dyDescent="0.25">
      <c r="A14948" s="1">
        <v>43739</v>
      </c>
      <c r="B14948" t="s">
        <v>24</v>
      </c>
      <c r="C14948" t="s">
        <v>7</v>
      </c>
      <c r="D14948">
        <v>12</v>
      </c>
      <c r="E14948" s="2">
        <v>1.2476851851851852E-2</v>
      </c>
      <c r="F14948">
        <v>17.966666666666665</v>
      </c>
    </row>
    <row r="14949" spans="1:6" x14ac:dyDescent="0.25">
      <c r="A14949" s="1">
        <v>43739</v>
      </c>
      <c r="B14949" t="s">
        <v>24</v>
      </c>
      <c r="C14949" t="s">
        <v>8</v>
      </c>
      <c r="D14949">
        <v>11</v>
      </c>
      <c r="E14949" s="2">
        <v>8.6805555555555559E-3</v>
      </c>
      <c r="F14949">
        <v>12.5</v>
      </c>
    </row>
    <row r="14950" spans="1:6" x14ac:dyDescent="0.25">
      <c r="A14950" s="1">
        <v>43739</v>
      </c>
      <c r="B14950" t="s">
        <v>24</v>
      </c>
      <c r="C14950" t="s">
        <v>9</v>
      </c>
      <c r="D14950">
        <v>0</v>
      </c>
      <c r="E14950" s="2">
        <v>0</v>
      </c>
      <c r="F14950">
        <v>0</v>
      </c>
    </row>
    <row r="14951" spans="1:6" x14ac:dyDescent="0.25">
      <c r="A14951" s="1">
        <v>43739</v>
      </c>
      <c r="B14951" t="s">
        <v>24</v>
      </c>
      <c r="C14951" t="s">
        <v>10</v>
      </c>
      <c r="D14951">
        <v>1</v>
      </c>
      <c r="E14951" s="2">
        <v>2.2453703703703702E-3</v>
      </c>
      <c r="F14951">
        <v>3.2333333333333334</v>
      </c>
    </row>
    <row r="14952" spans="1:6" x14ac:dyDescent="0.25">
      <c r="A14952" s="1">
        <v>43739</v>
      </c>
      <c r="B14952" t="s">
        <v>24</v>
      </c>
      <c r="C14952" t="s">
        <v>11</v>
      </c>
      <c r="D14952">
        <v>34</v>
      </c>
      <c r="E14952" s="2">
        <v>2.4363425925925927E-2</v>
      </c>
      <c r="F14952">
        <v>35.083333333333336</v>
      </c>
    </row>
    <row r="14953" spans="1:6" x14ac:dyDescent="0.25">
      <c r="A14953" s="1">
        <v>43770</v>
      </c>
      <c r="B14953" t="s">
        <v>5</v>
      </c>
      <c r="C14953" t="s">
        <v>6</v>
      </c>
      <c r="D14953">
        <v>71</v>
      </c>
      <c r="E14953" s="2">
        <v>8.2430555555555562E-2</v>
      </c>
      <c r="F14953">
        <v>118.7</v>
      </c>
    </row>
    <row r="14954" spans="1:6" x14ac:dyDescent="0.25">
      <c r="A14954" s="1">
        <v>43770</v>
      </c>
      <c r="B14954" t="s">
        <v>5</v>
      </c>
      <c r="C14954" t="s">
        <v>7</v>
      </c>
      <c r="D14954">
        <v>62</v>
      </c>
      <c r="E14954" s="2">
        <v>6.3738425925925921E-2</v>
      </c>
      <c r="F14954">
        <v>91.783333333333331</v>
      </c>
    </row>
    <row r="14955" spans="1:6" x14ac:dyDescent="0.25">
      <c r="A14955" s="1">
        <v>43770</v>
      </c>
      <c r="B14955" t="s">
        <v>5</v>
      </c>
      <c r="C14955" t="s">
        <v>8</v>
      </c>
      <c r="D14955">
        <v>67</v>
      </c>
      <c r="E14955" s="2">
        <v>6.744212962962963E-2</v>
      </c>
      <c r="F14955">
        <v>97.11666666666666</v>
      </c>
    </row>
    <row r="14956" spans="1:6" x14ac:dyDescent="0.25">
      <c r="A14956" s="1">
        <v>43770</v>
      </c>
      <c r="B14956" t="s">
        <v>5</v>
      </c>
      <c r="C14956" t="s">
        <v>9</v>
      </c>
      <c r="D14956">
        <v>0</v>
      </c>
      <c r="E14956" s="2">
        <v>0</v>
      </c>
      <c r="F14956">
        <v>0</v>
      </c>
    </row>
    <row r="14957" spans="1:6" x14ac:dyDescent="0.25">
      <c r="A14957" s="1">
        <v>43770</v>
      </c>
      <c r="B14957" t="s">
        <v>5</v>
      </c>
      <c r="C14957" t="s">
        <v>10</v>
      </c>
      <c r="D14957">
        <v>5</v>
      </c>
      <c r="E14957" s="2">
        <v>3.9351851851851848E-3</v>
      </c>
      <c r="F14957">
        <v>5.666666666666667</v>
      </c>
    </row>
    <row r="14958" spans="1:6" x14ac:dyDescent="0.25">
      <c r="A14958" s="1">
        <v>43770</v>
      </c>
      <c r="B14958" t="s">
        <v>5</v>
      </c>
      <c r="C14958" t="s">
        <v>11</v>
      </c>
      <c r="D14958">
        <v>43</v>
      </c>
      <c r="E14958" s="2">
        <v>4.6724537037037037E-2</v>
      </c>
      <c r="F14958">
        <v>67.283333333333331</v>
      </c>
    </row>
    <row r="14959" spans="1:6" x14ac:dyDescent="0.25">
      <c r="A14959" s="1">
        <v>43770</v>
      </c>
      <c r="B14959" t="s">
        <v>12</v>
      </c>
      <c r="C14959" t="s">
        <v>6</v>
      </c>
      <c r="D14959">
        <v>18</v>
      </c>
      <c r="E14959" s="2">
        <v>3.3831018518518517E-2</v>
      </c>
      <c r="F14959">
        <v>48.716666666666669</v>
      </c>
    </row>
    <row r="14960" spans="1:6" x14ac:dyDescent="0.25">
      <c r="A14960" s="1">
        <v>43770</v>
      </c>
      <c r="B14960" t="s">
        <v>12</v>
      </c>
      <c r="C14960" t="s">
        <v>7</v>
      </c>
      <c r="D14960">
        <v>14</v>
      </c>
      <c r="E14960" s="2">
        <v>2.8275462962962964E-2</v>
      </c>
      <c r="F14960">
        <v>40.716666666666669</v>
      </c>
    </row>
    <row r="14961" spans="1:6" x14ac:dyDescent="0.25">
      <c r="A14961" s="1">
        <v>43770</v>
      </c>
      <c r="B14961" t="s">
        <v>12</v>
      </c>
      <c r="C14961" t="s">
        <v>8</v>
      </c>
      <c r="D14961">
        <v>15</v>
      </c>
      <c r="E14961" s="2">
        <v>2.2812499999999999E-2</v>
      </c>
      <c r="F14961">
        <v>32.85</v>
      </c>
    </row>
    <row r="14962" spans="1:6" x14ac:dyDescent="0.25">
      <c r="A14962" s="1">
        <v>43770</v>
      </c>
      <c r="B14962" t="s">
        <v>12</v>
      </c>
      <c r="C14962" t="s">
        <v>9</v>
      </c>
      <c r="D14962">
        <v>0</v>
      </c>
      <c r="E14962" s="2">
        <v>0</v>
      </c>
      <c r="F14962">
        <v>0</v>
      </c>
    </row>
    <row r="14963" spans="1:6" x14ac:dyDescent="0.25">
      <c r="A14963" s="1">
        <v>43770</v>
      </c>
      <c r="B14963" t="s">
        <v>12</v>
      </c>
      <c r="C14963" t="s">
        <v>10</v>
      </c>
      <c r="D14963">
        <v>21</v>
      </c>
      <c r="E14963" s="2">
        <v>3.8009259259259257E-2</v>
      </c>
      <c r="F14963">
        <v>54.733333333333334</v>
      </c>
    </row>
    <row r="14964" spans="1:6" x14ac:dyDescent="0.25">
      <c r="A14964" s="1">
        <v>43770</v>
      </c>
      <c r="B14964" t="s">
        <v>12</v>
      </c>
      <c r="C14964" t="s">
        <v>11</v>
      </c>
      <c r="D14964">
        <v>42</v>
      </c>
      <c r="E14964" s="2">
        <v>5.5659722222222222E-2</v>
      </c>
      <c r="F14964">
        <v>80.150000000000006</v>
      </c>
    </row>
    <row r="14965" spans="1:6" x14ac:dyDescent="0.25">
      <c r="A14965" s="1">
        <v>43770</v>
      </c>
      <c r="B14965" t="s">
        <v>13</v>
      </c>
      <c r="C14965" t="s">
        <v>6</v>
      </c>
      <c r="D14965">
        <v>64</v>
      </c>
      <c r="E14965" s="2">
        <v>0.12456018518518519</v>
      </c>
      <c r="F14965">
        <v>179.36666666666667</v>
      </c>
    </row>
    <row r="14966" spans="1:6" x14ac:dyDescent="0.25">
      <c r="A14966" s="1">
        <v>43770</v>
      </c>
      <c r="B14966" t="s">
        <v>13</v>
      </c>
      <c r="C14966" t="s">
        <v>7</v>
      </c>
      <c r="D14966">
        <v>47</v>
      </c>
      <c r="E14966" s="2">
        <v>6.9120370370370374E-2</v>
      </c>
      <c r="F14966">
        <v>99.533333333333331</v>
      </c>
    </row>
    <row r="14967" spans="1:6" x14ac:dyDescent="0.25">
      <c r="A14967" s="1">
        <v>43770</v>
      </c>
      <c r="B14967" t="s">
        <v>13</v>
      </c>
      <c r="C14967" t="s">
        <v>8</v>
      </c>
      <c r="D14967">
        <v>29</v>
      </c>
      <c r="E14967" s="2">
        <v>4.2291666666666665E-2</v>
      </c>
      <c r="F14967">
        <v>60.9</v>
      </c>
    </row>
    <row r="14968" spans="1:6" x14ac:dyDescent="0.25">
      <c r="A14968" s="1">
        <v>43770</v>
      </c>
      <c r="B14968" t="s">
        <v>13</v>
      </c>
      <c r="C14968" t="s">
        <v>9</v>
      </c>
      <c r="D14968">
        <v>0</v>
      </c>
      <c r="E14968" s="2">
        <v>0</v>
      </c>
      <c r="F14968">
        <v>0</v>
      </c>
    </row>
    <row r="14969" spans="1:6" x14ac:dyDescent="0.25">
      <c r="A14969" s="1">
        <v>43770</v>
      </c>
      <c r="B14969" t="s">
        <v>13</v>
      </c>
      <c r="C14969" t="s">
        <v>10</v>
      </c>
      <c r="D14969">
        <v>14</v>
      </c>
      <c r="E14969" s="2">
        <v>2.4884259259259259E-2</v>
      </c>
      <c r="F14969">
        <v>35.833333333333336</v>
      </c>
    </row>
    <row r="14970" spans="1:6" x14ac:dyDescent="0.25">
      <c r="A14970" s="1">
        <v>43770</v>
      </c>
      <c r="B14970" t="s">
        <v>13</v>
      </c>
      <c r="C14970" t="s">
        <v>11</v>
      </c>
      <c r="D14970">
        <v>37</v>
      </c>
      <c r="E14970" s="2">
        <v>4.2106481481481481E-2</v>
      </c>
      <c r="F14970">
        <v>60.633333333333333</v>
      </c>
    </row>
    <row r="14971" spans="1:6" x14ac:dyDescent="0.25">
      <c r="A14971" s="1">
        <v>43770</v>
      </c>
      <c r="B14971" t="s">
        <v>14</v>
      </c>
      <c r="C14971" t="s">
        <v>6</v>
      </c>
      <c r="D14971">
        <v>4</v>
      </c>
      <c r="E14971" s="2">
        <v>7.5810185185185182E-3</v>
      </c>
      <c r="F14971">
        <v>10.916666666666666</v>
      </c>
    </row>
    <row r="14972" spans="1:6" x14ac:dyDescent="0.25">
      <c r="A14972" s="1">
        <v>43770</v>
      </c>
      <c r="B14972" t="s">
        <v>14</v>
      </c>
      <c r="C14972" t="s">
        <v>7</v>
      </c>
      <c r="D14972">
        <v>10</v>
      </c>
      <c r="E14972" s="2">
        <v>2.1377314814814814E-2</v>
      </c>
      <c r="F14972">
        <v>30.783333333333335</v>
      </c>
    </row>
    <row r="14973" spans="1:6" x14ac:dyDescent="0.25">
      <c r="A14973" s="1">
        <v>43770</v>
      </c>
      <c r="B14973" t="s">
        <v>14</v>
      </c>
      <c r="C14973" t="s">
        <v>8</v>
      </c>
      <c r="D14973">
        <v>3</v>
      </c>
      <c r="E14973" s="2">
        <v>2.4189814814814816E-3</v>
      </c>
      <c r="F14973">
        <v>3.4833333333333334</v>
      </c>
    </row>
    <row r="14974" spans="1:6" x14ac:dyDescent="0.25">
      <c r="A14974" s="1">
        <v>43770</v>
      </c>
      <c r="B14974" t="s">
        <v>14</v>
      </c>
      <c r="C14974" t="s">
        <v>9</v>
      </c>
      <c r="D14974">
        <v>0</v>
      </c>
      <c r="E14974" s="2">
        <v>0</v>
      </c>
      <c r="F14974">
        <v>0</v>
      </c>
    </row>
    <row r="14975" spans="1:6" x14ac:dyDescent="0.25">
      <c r="A14975" s="1">
        <v>43770</v>
      </c>
      <c r="B14975" t="s">
        <v>14</v>
      </c>
      <c r="C14975" t="s">
        <v>10</v>
      </c>
      <c r="D14975">
        <v>0</v>
      </c>
      <c r="E14975" s="2">
        <v>0</v>
      </c>
      <c r="F14975">
        <v>0</v>
      </c>
    </row>
    <row r="14976" spans="1:6" x14ac:dyDescent="0.25">
      <c r="A14976" s="1">
        <v>43770</v>
      </c>
      <c r="B14976" t="s">
        <v>14</v>
      </c>
      <c r="C14976" t="s">
        <v>11</v>
      </c>
      <c r="D14976">
        <v>7</v>
      </c>
      <c r="E14976" s="2">
        <v>8.0208333333333329E-3</v>
      </c>
      <c r="F14976">
        <v>11.55</v>
      </c>
    </row>
    <row r="14977" spans="1:6" x14ac:dyDescent="0.25">
      <c r="A14977" s="1">
        <v>43770</v>
      </c>
      <c r="B14977" t="s">
        <v>15</v>
      </c>
      <c r="C14977" t="s">
        <v>6</v>
      </c>
      <c r="D14977">
        <v>27</v>
      </c>
      <c r="E14977" s="2">
        <v>4.7974537037037038E-2</v>
      </c>
      <c r="F14977">
        <v>69.083333333333329</v>
      </c>
    </row>
    <row r="14978" spans="1:6" x14ac:dyDescent="0.25">
      <c r="A14978" s="1">
        <v>43770</v>
      </c>
      <c r="B14978" t="s">
        <v>15</v>
      </c>
      <c r="C14978" t="s">
        <v>7</v>
      </c>
      <c r="D14978">
        <v>31</v>
      </c>
      <c r="E14978" s="2">
        <v>5.136574074074074E-2</v>
      </c>
      <c r="F14978">
        <v>73.966666666666669</v>
      </c>
    </row>
    <row r="14979" spans="1:6" x14ac:dyDescent="0.25">
      <c r="A14979" s="1">
        <v>43770</v>
      </c>
      <c r="B14979" t="s">
        <v>15</v>
      </c>
      <c r="C14979" t="s">
        <v>8</v>
      </c>
      <c r="D14979">
        <v>14</v>
      </c>
      <c r="E14979" s="2">
        <v>2.9664351851851851E-2</v>
      </c>
      <c r="F14979">
        <v>42.716666666666669</v>
      </c>
    </row>
    <row r="14980" spans="1:6" x14ac:dyDescent="0.25">
      <c r="A14980" s="1">
        <v>43770</v>
      </c>
      <c r="B14980" t="s">
        <v>15</v>
      </c>
      <c r="C14980" t="s">
        <v>9</v>
      </c>
      <c r="D14980">
        <v>0</v>
      </c>
      <c r="E14980" s="2">
        <v>0</v>
      </c>
      <c r="F14980">
        <v>0</v>
      </c>
    </row>
    <row r="14981" spans="1:6" x14ac:dyDescent="0.25">
      <c r="A14981" s="1">
        <v>43770</v>
      </c>
      <c r="B14981" t="s">
        <v>15</v>
      </c>
      <c r="C14981" t="s">
        <v>10</v>
      </c>
      <c r="D14981">
        <v>8</v>
      </c>
      <c r="E14981" s="2">
        <v>1.3703703703703704E-2</v>
      </c>
      <c r="F14981">
        <v>19.733333333333334</v>
      </c>
    </row>
    <row r="14982" spans="1:6" x14ac:dyDescent="0.25">
      <c r="A14982" s="1">
        <v>43770</v>
      </c>
      <c r="B14982" t="s">
        <v>15</v>
      </c>
      <c r="C14982" t="s">
        <v>11</v>
      </c>
      <c r="D14982">
        <v>16</v>
      </c>
      <c r="E14982" s="2">
        <v>1.5081018518518518E-2</v>
      </c>
      <c r="F14982">
        <v>21.716666666666665</v>
      </c>
    </row>
    <row r="14983" spans="1:6" x14ac:dyDescent="0.25">
      <c r="A14983" s="1">
        <v>43770</v>
      </c>
      <c r="B14983" t="s">
        <v>16</v>
      </c>
      <c r="C14983" t="s">
        <v>6</v>
      </c>
      <c r="D14983">
        <v>16</v>
      </c>
      <c r="E14983" s="2">
        <v>2.2418981481481481E-2</v>
      </c>
      <c r="F14983">
        <v>32.283333333333331</v>
      </c>
    </row>
    <row r="14984" spans="1:6" x14ac:dyDescent="0.25">
      <c r="A14984" s="1">
        <v>43770</v>
      </c>
      <c r="B14984" t="s">
        <v>16</v>
      </c>
      <c r="C14984" t="s">
        <v>7</v>
      </c>
      <c r="D14984">
        <v>14</v>
      </c>
      <c r="E14984" s="2">
        <v>1.9583333333333335E-2</v>
      </c>
      <c r="F14984">
        <v>28.2</v>
      </c>
    </row>
    <row r="14985" spans="1:6" x14ac:dyDescent="0.25">
      <c r="A14985" s="1">
        <v>43770</v>
      </c>
      <c r="B14985" t="s">
        <v>16</v>
      </c>
      <c r="C14985" t="s">
        <v>8</v>
      </c>
      <c r="D14985">
        <v>24</v>
      </c>
      <c r="E14985" s="2">
        <v>2.5763888888888888E-2</v>
      </c>
      <c r="F14985">
        <v>37.1</v>
      </c>
    </row>
    <row r="14986" spans="1:6" x14ac:dyDescent="0.25">
      <c r="A14986" s="1">
        <v>43770</v>
      </c>
      <c r="B14986" t="s">
        <v>16</v>
      </c>
      <c r="C14986" t="s">
        <v>9</v>
      </c>
      <c r="D14986">
        <v>0</v>
      </c>
      <c r="E14986" s="2">
        <v>0</v>
      </c>
      <c r="F14986">
        <v>0</v>
      </c>
    </row>
    <row r="14987" spans="1:6" x14ac:dyDescent="0.25">
      <c r="A14987" s="1">
        <v>43770</v>
      </c>
      <c r="B14987" t="s">
        <v>16</v>
      </c>
      <c r="C14987" t="s">
        <v>10</v>
      </c>
      <c r="D14987">
        <v>7</v>
      </c>
      <c r="E14987" s="2">
        <v>1.0752314814814815E-2</v>
      </c>
      <c r="F14987">
        <v>15.483333333333333</v>
      </c>
    </row>
    <row r="14988" spans="1:6" x14ac:dyDescent="0.25">
      <c r="A14988" s="1">
        <v>43770</v>
      </c>
      <c r="B14988" t="s">
        <v>16</v>
      </c>
      <c r="C14988" t="s">
        <v>11</v>
      </c>
      <c r="D14988">
        <v>28</v>
      </c>
      <c r="E14988" s="2">
        <v>2.9374999999999998E-2</v>
      </c>
      <c r="F14988">
        <v>42.3</v>
      </c>
    </row>
    <row r="14989" spans="1:6" x14ac:dyDescent="0.25">
      <c r="A14989" s="1">
        <v>43770</v>
      </c>
      <c r="B14989" t="s">
        <v>17</v>
      </c>
      <c r="C14989" t="s">
        <v>6</v>
      </c>
      <c r="D14989">
        <v>8</v>
      </c>
      <c r="E14989" s="2">
        <v>1.1759259259259259E-2</v>
      </c>
      <c r="F14989">
        <v>16.933333333333334</v>
      </c>
    </row>
    <row r="14990" spans="1:6" x14ac:dyDescent="0.25">
      <c r="A14990" s="1">
        <v>43770</v>
      </c>
      <c r="B14990" t="s">
        <v>17</v>
      </c>
      <c r="C14990" t="s">
        <v>7</v>
      </c>
      <c r="D14990">
        <v>16</v>
      </c>
      <c r="E14990" s="2">
        <v>2.5324074074074075E-2</v>
      </c>
      <c r="F14990">
        <v>36.466666666666669</v>
      </c>
    </row>
    <row r="14991" spans="1:6" x14ac:dyDescent="0.25">
      <c r="A14991" s="1">
        <v>43770</v>
      </c>
      <c r="B14991" t="s">
        <v>17</v>
      </c>
      <c r="C14991" t="s">
        <v>8</v>
      </c>
      <c r="D14991">
        <v>14</v>
      </c>
      <c r="E14991" s="2">
        <v>1.8958333333333334E-2</v>
      </c>
      <c r="F14991">
        <v>27.3</v>
      </c>
    </row>
    <row r="14992" spans="1:6" x14ac:dyDescent="0.25">
      <c r="A14992" s="1">
        <v>43770</v>
      </c>
      <c r="B14992" t="s">
        <v>17</v>
      </c>
      <c r="C14992" t="s">
        <v>9</v>
      </c>
      <c r="D14992">
        <v>0</v>
      </c>
      <c r="E14992" s="2">
        <v>0</v>
      </c>
      <c r="F14992">
        <v>0</v>
      </c>
    </row>
    <row r="14993" spans="1:6" x14ac:dyDescent="0.25">
      <c r="A14993" s="1">
        <v>43770</v>
      </c>
      <c r="B14993" t="s">
        <v>17</v>
      </c>
      <c r="C14993" t="s">
        <v>10</v>
      </c>
      <c r="D14993">
        <v>12</v>
      </c>
      <c r="E14993" s="2">
        <v>1.269675925925926E-2</v>
      </c>
      <c r="F14993">
        <v>18.283333333333335</v>
      </c>
    </row>
    <row r="14994" spans="1:6" x14ac:dyDescent="0.25">
      <c r="A14994" s="1">
        <v>43770</v>
      </c>
      <c r="B14994" t="s">
        <v>17</v>
      </c>
      <c r="C14994" t="s">
        <v>11</v>
      </c>
      <c r="D14994">
        <v>8</v>
      </c>
      <c r="E14994" s="2">
        <v>9.2592592592592587E-3</v>
      </c>
      <c r="F14994">
        <v>13.333333333333334</v>
      </c>
    </row>
    <row r="14995" spans="1:6" x14ac:dyDescent="0.25">
      <c r="A14995" s="1">
        <v>43770</v>
      </c>
      <c r="B14995" t="s">
        <v>18</v>
      </c>
      <c r="C14995" t="s">
        <v>6</v>
      </c>
      <c r="D14995">
        <v>31</v>
      </c>
      <c r="E14995" s="2">
        <v>3.5844907407407409E-2</v>
      </c>
      <c r="F14995">
        <v>51.616666666666667</v>
      </c>
    </row>
    <row r="14996" spans="1:6" x14ac:dyDescent="0.25">
      <c r="A14996" s="1">
        <v>43770</v>
      </c>
      <c r="B14996" t="s">
        <v>18</v>
      </c>
      <c r="C14996" t="s">
        <v>7</v>
      </c>
      <c r="D14996">
        <v>50</v>
      </c>
      <c r="E14996" s="2">
        <v>5.7546296296296297E-2</v>
      </c>
      <c r="F14996">
        <v>82.86666666666666</v>
      </c>
    </row>
    <row r="14997" spans="1:6" x14ac:dyDescent="0.25">
      <c r="A14997" s="1">
        <v>43770</v>
      </c>
      <c r="B14997" t="s">
        <v>18</v>
      </c>
      <c r="C14997" t="s">
        <v>8</v>
      </c>
      <c r="D14997">
        <v>33</v>
      </c>
      <c r="E14997" s="2">
        <v>2.7581018518518519E-2</v>
      </c>
      <c r="F14997">
        <v>39.716666666666669</v>
      </c>
    </row>
    <row r="14998" spans="1:6" x14ac:dyDescent="0.25">
      <c r="A14998" s="1">
        <v>43770</v>
      </c>
      <c r="B14998" t="s">
        <v>18</v>
      </c>
      <c r="C14998" t="s">
        <v>9</v>
      </c>
      <c r="D14998">
        <v>0</v>
      </c>
      <c r="E14998" s="2">
        <v>0</v>
      </c>
      <c r="F14998">
        <v>0</v>
      </c>
    </row>
    <row r="14999" spans="1:6" x14ac:dyDescent="0.25">
      <c r="A14999" s="1">
        <v>43770</v>
      </c>
      <c r="B14999" t="s">
        <v>18</v>
      </c>
      <c r="C14999" t="s">
        <v>10</v>
      </c>
      <c r="D14999">
        <v>110</v>
      </c>
      <c r="E14999" s="2">
        <v>0.14535879629629631</v>
      </c>
      <c r="F14999">
        <v>209.31666666666666</v>
      </c>
    </row>
    <row r="15000" spans="1:6" x14ac:dyDescent="0.25">
      <c r="A15000" s="1">
        <v>43770</v>
      </c>
      <c r="B15000" t="s">
        <v>18</v>
      </c>
      <c r="C15000" t="s">
        <v>11</v>
      </c>
      <c r="D15000">
        <v>44</v>
      </c>
      <c r="E15000" s="2">
        <v>3.0578703703703705E-2</v>
      </c>
      <c r="F15000">
        <v>44.033333333333331</v>
      </c>
    </row>
    <row r="15001" spans="1:6" x14ac:dyDescent="0.25">
      <c r="A15001" s="1">
        <v>43770</v>
      </c>
      <c r="B15001" t="s">
        <v>19</v>
      </c>
      <c r="C15001" t="s">
        <v>6</v>
      </c>
      <c r="D15001">
        <v>12</v>
      </c>
      <c r="E15001" s="2">
        <v>1.4282407407407407E-2</v>
      </c>
      <c r="F15001">
        <v>20.566666666666666</v>
      </c>
    </row>
    <row r="15002" spans="1:6" x14ac:dyDescent="0.25">
      <c r="A15002" s="1">
        <v>43770</v>
      </c>
      <c r="B15002" t="s">
        <v>19</v>
      </c>
      <c r="C15002" t="s">
        <v>7</v>
      </c>
      <c r="D15002">
        <v>17</v>
      </c>
      <c r="E15002" s="2">
        <v>2.5127314814814814E-2</v>
      </c>
      <c r="F15002">
        <v>36.18333333333333</v>
      </c>
    </row>
    <row r="15003" spans="1:6" x14ac:dyDescent="0.25">
      <c r="A15003" s="1">
        <v>43770</v>
      </c>
      <c r="B15003" t="s">
        <v>19</v>
      </c>
      <c r="C15003" t="s">
        <v>8</v>
      </c>
      <c r="D15003">
        <v>9</v>
      </c>
      <c r="E15003" s="2">
        <v>1.0543981481481482E-2</v>
      </c>
      <c r="F15003">
        <v>15.183333333333334</v>
      </c>
    </row>
    <row r="15004" spans="1:6" x14ac:dyDescent="0.25">
      <c r="A15004" s="1">
        <v>43770</v>
      </c>
      <c r="B15004" t="s">
        <v>19</v>
      </c>
      <c r="C15004" t="s">
        <v>9</v>
      </c>
      <c r="D15004">
        <v>0</v>
      </c>
      <c r="E15004" s="2">
        <v>0</v>
      </c>
      <c r="F15004">
        <v>0</v>
      </c>
    </row>
    <row r="15005" spans="1:6" x14ac:dyDescent="0.25">
      <c r="A15005" s="1">
        <v>43770</v>
      </c>
      <c r="B15005" t="s">
        <v>19</v>
      </c>
      <c r="C15005" t="s">
        <v>10</v>
      </c>
      <c r="D15005">
        <v>6</v>
      </c>
      <c r="E15005" s="2">
        <v>7.9398148148148145E-3</v>
      </c>
      <c r="F15005">
        <v>11.433333333333334</v>
      </c>
    </row>
    <row r="15006" spans="1:6" x14ac:dyDescent="0.25">
      <c r="A15006" s="1">
        <v>43770</v>
      </c>
      <c r="B15006" t="s">
        <v>19</v>
      </c>
      <c r="C15006" t="s">
        <v>11</v>
      </c>
      <c r="D15006">
        <v>29</v>
      </c>
      <c r="E15006" s="2">
        <v>2.6469907407407407E-2</v>
      </c>
      <c r="F15006">
        <v>38.116666666666667</v>
      </c>
    </row>
    <row r="15007" spans="1:6" x14ac:dyDescent="0.25">
      <c r="A15007" s="1">
        <v>43770</v>
      </c>
      <c r="B15007" t="s">
        <v>20</v>
      </c>
      <c r="C15007" t="s">
        <v>6</v>
      </c>
      <c r="D15007">
        <v>17</v>
      </c>
      <c r="E15007" s="2">
        <v>2.4525462962962964E-2</v>
      </c>
      <c r="F15007">
        <v>35.31666666666667</v>
      </c>
    </row>
    <row r="15008" spans="1:6" x14ac:dyDescent="0.25">
      <c r="A15008" s="1">
        <v>43770</v>
      </c>
      <c r="B15008" t="s">
        <v>20</v>
      </c>
      <c r="C15008" t="s">
        <v>7</v>
      </c>
      <c r="D15008">
        <v>39</v>
      </c>
      <c r="E15008" s="2">
        <v>4.7800925925925927E-2</v>
      </c>
      <c r="F15008">
        <v>68.833333333333329</v>
      </c>
    </row>
    <row r="15009" spans="1:6" x14ac:dyDescent="0.25">
      <c r="A15009" s="1">
        <v>43770</v>
      </c>
      <c r="B15009" t="s">
        <v>20</v>
      </c>
      <c r="C15009" t="s">
        <v>8</v>
      </c>
      <c r="D15009">
        <v>41</v>
      </c>
      <c r="E15009" s="2">
        <v>5.1319444444444445E-2</v>
      </c>
      <c r="F15009">
        <v>73.900000000000006</v>
      </c>
    </row>
    <row r="15010" spans="1:6" x14ac:dyDescent="0.25">
      <c r="A15010" s="1">
        <v>43770</v>
      </c>
      <c r="B15010" t="s">
        <v>20</v>
      </c>
      <c r="C15010" t="s">
        <v>9</v>
      </c>
      <c r="D15010">
        <v>0</v>
      </c>
      <c r="E15010" s="2">
        <v>0</v>
      </c>
      <c r="F15010">
        <v>0</v>
      </c>
    </row>
    <row r="15011" spans="1:6" x14ac:dyDescent="0.25">
      <c r="A15011" s="1">
        <v>43770</v>
      </c>
      <c r="B15011" t="s">
        <v>20</v>
      </c>
      <c r="C15011" t="s">
        <v>10</v>
      </c>
      <c r="D15011">
        <v>8</v>
      </c>
      <c r="E15011" s="2">
        <v>9.5023148148148141E-3</v>
      </c>
      <c r="F15011">
        <v>13.683333333333334</v>
      </c>
    </row>
    <row r="15012" spans="1:6" x14ac:dyDescent="0.25">
      <c r="A15012" s="1">
        <v>43770</v>
      </c>
      <c r="B15012" t="s">
        <v>20</v>
      </c>
      <c r="C15012" t="s">
        <v>11</v>
      </c>
      <c r="D15012">
        <v>17</v>
      </c>
      <c r="E15012" s="2">
        <v>2.1585648148148149E-2</v>
      </c>
      <c r="F15012">
        <v>31.083333333333332</v>
      </c>
    </row>
    <row r="15013" spans="1:6" x14ac:dyDescent="0.25">
      <c r="A15013" s="1">
        <v>43770</v>
      </c>
      <c r="B15013" t="s">
        <v>21</v>
      </c>
      <c r="C15013" t="s">
        <v>6</v>
      </c>
      <c r="D15013">
        <v>13</v>
      </c>
      <c r="E15013" s="2">
        <v>2.1261574074074075E-2</v>
      </c>
      <c r="F15013">
        <v>30.616666666666667</v>
      </c>
    </row>
    <row r="15014" spans="1:6" x14ac:dyDescent="0.25">
      <c r="A15014" s="1">
        <v>43770</v>
      </c>
      <c r="B15014" t="s">
        <v>21</v>
      </c>
      <c r="C15014" t="s">
        <v>7</v>
      </c>
      <c r="D15014">
        <v>18</v>
      </c>
      <c r="E15014" s="2">
        <v>3.5543981481481482E-2</v>
      </c>
      <c r="F15014">
        <v>51.18333333333333</v>
      </c>
    </row>
    <row r="15015" spans="1:6" x14ac:dyDescent="0.25">
      <c r="A15015" s="1">
        <v>43770</v>
      </c>
      <c r="B15015" t="s">
        <v>21</v>
      </c>
      <c r="C15015" t="s">
        <v>8</v>
      </c>
      <c r="D15015">
        <v>12</v>
      </c>
      <c r="E15015" s="2">
        <v>1.7245370370370369E-2</v>
      </c>
      <c r="F15015">
        <v>24.833333333333332</v>
      </c>
    </row>
    <row r="15016" spans="1:6" x14ac:dyDescent="0.25">
      <c r="A15016" s="1">
        <v>43770</v>
      </c>
      <c r="B15016" t="s">
        <v>21</v>
      </c>
      <c r="C15016" t="s">
        <v>9</v>
      </c>
      <c r="D15016">
        <v>0</v>
      </c>
      <c r="E15016" s="2">
        <v>0</v>
      </c>
      <c r="F15016">
        <v>0</v>
      </c>
    </row>
    <row r="15017" spans="1:6" x14ac:dyDescent="0.25">
      <c r="A15017" s="1">
        <v>43770</v>
      </c>
      <c r="B15017" t="s">
        <v>21</v>
      </c>
      <c r="C15017" t="s">
        <v>10</v>
      </c>
      <c r="D15017">
        <v>6</v>
      </c>
      <c r="E15017" s="2">
        <v>9.6296296296296303E-3</v>
      </c>
      <c r="F15017">
        <v>13.866666666666667</v>
      </c>
    </row>
    <row r="15018" spans="1:6" x14ac:dyDescent="0.25">
      <c r="A15018" s="1">
        <v>43770</v>
      </c>
      <c r="B15018" t="s">
        <v>21</v>
      </c>
      <c r="C15018" t="s">
        <v>11</v>
      </c>
      <c r="D15018">
        <v>8</v>
      </c>
      <c r="E15018" s="2">
        <v>1.0590277777777778E-2</v>
      </c>
      <c r="F15018">
        <v>15.25</v>
      </c>
    </row>
    <row r="15019" spans="1:6" x14ac:dyDescent="0.25">
      <c r="A15019" s="1">
        <v>43770</v>
      </c>
      <c r="B15019" t="s">
        <v>22</v>
      </c>
      <c r="C15019" t="s">
        <v>6</v>
      </c>
      <c r="D15019">
        <v>9</v>
      </c>
      <c r="E15019" s="2">
        <v>1.5694444444444445E-2</v>
      </c>
      <c r="F15019">
        <v>22.6</v>
      </c>
    </row>
    <row r="15020" spans="1:6" x14ac:dyDescent="0.25">
      <c r="A15020" s="1">
        <v>43770</v>
      </c>
      <c r="B15020" t="s">
        <v>22</v>
      </c>
      <c r="C15020" t="s">
        <v>7</v>
      </c>
      <c r="D15020">
        <v>10</v>
      </c>
      <c r="E15020" s="2">
        <v>2.1967592592592594E-2</v>
      </c>
      <c r="F15020">
        <v>31.633333333333333</v>
      </c>
    </row>
    <row r="15021" spans="1:6" x14ac:dyDescent="0.25">
      <c r="A15021" s="1">
        <v>43770</v>
      </c>
      <c r="B15021" t="s">
        <v>22</v>
      </c>
      <c r="C15021" t="s">
        <v>8</v>
      </c>
      <c r="D15021">
        <v>0</v>
      </c>
      <c r="E15021" s="2">
        <v>0</v>
      </c>
      <c r="F15021">
        <v>0</v>
      </c>
    </row>
    <row r="15022" spans="1:6" x14ac:dyDescent="0.25">
      <c r="A15022" s="1">
        <v>43770</v>
      </c>
      <c r="B15022" t="s">
        <v>22</v>
      </c>
      <c r="C15022" t="s">
        <v>9</v>
      </c>
      <c r="D15022">
        <v>0</v>
      </c>
      <c r="E15022" s="2">
        <v>0</v>
      </c>
      <c r="F15022">
        <v>0</v>
      </c>
    </row>
    <row r="15023" spans="1:6" x14ac:dyDescent="0.25">
      <c r="A15023" s="1">
        <v>43770</v>
      </c>
      <c r="B15023" t="s">
        <v>22</v>
      </c>
      <c r="C15023" t="s">
        <v>10</v>
      </c>
      <c r="D15023">
        <v>5</v>
      </c>
      <c r="E15023" s="2">
        <v>7.905092592592592E-3</v>
      </c>
      <c r="F15023">
        <v>11.383333333333333</v>
      </c>
    </row>
    <row r="15024" spans="1:6" x14ac:dyDescent="0.25">
      <c r="A15024" s="1">
        <v>43770</v>
      </c>
      <c r="B15024" t="s">
        <v>22</v>
      </c>
      <c r="C15024" t="s">
        <v>11</v>
      </c>
      <c r="D15024">
        <v>6</v>
      </c>
      <c r="E15024" s="2">
        <v>7.4652777777777781E-3</v>
      </c>
      <c r="F15024">
        <v>10.75</v>
      </c>
    </row>
    <row r="15025" spans="1:6" x14ac:dyDescent="0.25">
      <c r="A15025" s="1">
        <v>43770</v>
      </c>
      <c r="B15025" t="s">
        <v>23</v>
      </c>
      <c r="C15025" t="s">
        <v>6</v>
      </c>
      <c r="D15025">
        <v>96</v>
      </c>
      <c r="E15025" s="2">
        <v>0.15980324074074073</v>
      </c>
      <c r="F15025">
        <v>230.11666666666667</v>
      </c>
    </row>
    <row r="15026" spans="1:6" x14ac:dyDescent="0.25">
      <c r="A15026" s="1">
        <v>43770</v>
      </c>
      <c r="B15026" t="s">
        <v>23</v>
      </c>
      <c r="C15026" t="s">
        <v>7</v>
      </c>
      <c r="D15026">
        <v>99</v>
      </c>
      <c r="E15026" s="2">
        <v>0.15481481481481482</v>
      </c>
      <c r="F15026">
        <v>222.93333333333334</v>
      </c>
    </row>
    <row r="15027" spans="1:6" x14ac:dyDescent="0.25">
      <c r="A15027" s="1">
        <v>43770</v>
      </c>
      <c r="B15027" t="s">
        <v>23</v>
      </c>
      <c r="C15027" t="s">
        <v>8</v>
      </c>
      <c r="D15027">
        <v>83</v>
      </c>
      <c r="E15027" s="2">
        <v>9.959490740740741E-2</v>
      </c>
      <c r="F15027">
        <v>143.41666666666666</v>
      </c>
    </row>
    <row r="15028" spans="1:6" x14ac:dyDescent="0.25">
      <c r="A15028" s="1">
        <v>43770</v>
      </c>
      <c r="B15028" t="s">
        <v>23</v>
      </c>
      <c r="C15028" t="s">
        <v>9</v>
      </c>
      <c r="D15028">
        <v>0</v>
      </c>
      <c r="E15028" s="2">
        <v>0</v>
      </c>
      <c r="F15028">
        <v>0</v>
      </c>
    </row>
    <row r="15029" spans="1:6" x14ac:dyDescent="0.25">
      <c r="A15029" s="1">
        <v>43770</v>
      </c>
      <c r="B15029" t="s">
        <v>23</v>
      </c>
      <c r="C15029" t="s">
        <v>10</v>
      </c>
      <c r="D15029">
        <v>35</v>
      </c>
      <c r="E15029" s="2">
        <v>5.8506944444444445E-2</v>
      </c>
      <c r="F15029">
        <v>84.25</v>
      </c>
    </row>
    <row r="15030" spans="1:6" x14ac:dyDescent="0.25">
      <c r="A15030" s="1">
        <v>43770</v>
      </c>
      <c r="B15030" t="s">
        <v>23</v>
      </c>
      <c r="C15030" t="s">
        <v>11</v>
      </c>
      <c r="D15030">
        <v>85</v>
      </c>
      <c r="E15030" s="2">
        <v>9.5162037037037031E-2</v>
      </c>
      <c r="F15030">
        <v>137.03333333333333</v>
      </c>
    </row>
    <row r="15031" spans="1:6" x14ac:dyDescent="0.25">
      <c r="A15031" s="1">
        <v>43770</v>
      </c>
      <c r="B15031" t="s">
        <v>24</v>
      </c>
      <c r="C15031" t="s">
        <v>6</v>
      </c>
      <c r="D15031">
        <v>7</v>
      </c>
      <c r="E15031" s="2">
        <v>1.0532407407407407E-2</v>
      </c>
      <c r="F15031">
        <v>15.166666666666666</v>
      </c>
    </row>
    <row r="15032" spans="1:6" x14ac:dyDescent="0.25">
      <c r="A15032" s="1">
        <v>43770</v>
      </c>
      <c r="B15032" t="s">
        <v>24</v>
      </c>
      <c r="C15032" t="s">
        <v>7</v>
      </c>
      <c r="D15032">
        <v>9</v>
      </c>
      <c r="E15032" s="2">
        <v>1.1828703703703704E-2</v>
      </c>
      <c r="F15032">
        <v>17.033333333333335</v>
      </c>
    </row>
    <row r="15033" spans="1:6" x14ac:dyDescent="0.25">
      <c r="A15033" s="1">
        <v>43770</v>
      </c>
      <c r="B15033" t="s">
        <v>24</v>
      </c>
      <c r="C15033" t="s">
        <v>8</v>
      </c>
      <c r="D15033">
        <v>8</v>
      </c>
      <c r="E15033" s="2">
        <v>6.6203703703703702E-3</v>
      </c>
      <c r="F15033">
        <v>9.5333333333333332</v>
      </c>
    </row>
    <row r="15034" spans="1:6" x14ac:dyDescent="0.25">
      <c r="A15034" s="1">
        <v>43770</v>
      </c>
      <c r="B15034" t="s">
        <v>24</v>
      </c>
      <c r="C15034" t="s">
        <v>9</v>
      </c>
      <c r="D15034">
        <v>0</v>
      </c>
      <c r="E15034" s="2">
        <v>0</v>
      </c>
      <c r="F15034">
        <v>0</v>
      </c>
    </row>
    <row r="15035" spans="1:6" x14ac:dyDescent="0.25">
      <c r="A15035" s="1">
        <v>43770</v>
      </c>
      <c r="B15035" t="s">
        <v>24</v>
      </c>
      <c r="C15035" t="s">
        <v>10</v>
      </c>
      <c r="D15035">
        <v>3</v>
      </c>
      <c r="E15035" s="2">
        <v>5.9837962962962961E-3</v>
      </c>
      <c r="F15035">
        <v>8.6166666666666671</v>
      </c>
    </row>
    <row r="15036" spans="1:6" x14ac:dyDescent="0.25">
      <c r="A15036" s="1">
        <v>43770</v>
      </c>
      <c r="B15036" t="s">
        <v>24</v>
      </c>
      <c r="C15036" t="s">
        <v>11</v>
      </c>
      <c r="D15036">
        <v>31</v>
      </c>
      <c r="E15036" s="2">
        <v>2.6770833333333334E-2</v>
      </c>
      <c r="F15036">
        <v>38.549999999999997</v>
      </c>
    </row>
    <row r="15037" spans="1:6" x14ac:dyDescent="0.25">
      <c r="A15037" s="1">
        <v>43800</v>
      </c>
      <c r="B15037" t="s">
        <v>5</v>
      </c>
      <c r="C15037" t="s">
        <v>6</v>
      </c>
      <c r="D15037">
        <v>45</v>
      </c>
      <c r="E15037" s="2">
        <v>5.0486111111111114E-2</v>
      </c>
      <c r="F15037">
        <v>72.7</v>
      </c>
    </row>
    <row r="15038" spans="1:6" x14ac:dyDescent="0.25">
      <c r="A15038" s="1">
        <v>43800</v>
      </c>
      <c r="B15038" t="s">
        <v>5</v>
      </c>
      <c r="C15038" t="s">
        <v>7</v>
      </c>
      <c r="D15038">
        <v>41</v>
      </c>
      <c r="E15038" s="2">
        <v>4.5486111111111109E-2</v>
      </c>
      <c r="F15038">
        <v>65.5</v>
      </c>
    </row>
    <row r="15039" spans="1:6" x14ac:dyDescent="0.25">
      <c r="A15039" s="1">
        <v>43800</v>
      </c>
      <c r="B15039" t="s">
        <v>5</v>
      </c>
      <c r="C15039" t="s">
        <v>8</v>
      </c>
      <c r="D15039">
        <v>49</v>
      </c>
      <c r="E15039" s="2">
        <v>4.732638888888889E-2</v>
      </c>
      <c r="F15039">
        <v>68.150000000000006</v>
      </c>
    </row>
    <row r="15040" spans="1:6" x14ac:dyDescent="0.25">
      <c r="A15040" s="1">
        <v>43800</v>
      </c>
      <c r="B15040" t="s">
        <v>5</v>
      </c>
      <c r="C15040" t="s">
        <v>9</v>
      </c>
      <c r="D15040">
        <v>0</v>
      </c>
      <c r="E15040" s="2">
        <v>0</v>
      </c>
      <c r="F15040">
        <v>0</v>
      </c>
    </row>
    <row r="15041" spans="1:6" x14ac:dyDescent="0.25">
      <c r="A15041" s="1">
        <v>43800</v>
      </c>
      <c r="B15041" t="s">
        <v>5</v>
      </c>
      <c r="C15041" t="s">
        <v>10</v>
      </c>
      <c r="D15041">
        <v>11</v>
      </c>
      <c r="E15041" s="2">
        <v>1.1354166666666667E-2</v>
      </c>
      <c r="F15041">
        <v>16.350000000000001</v>
      </c>
    </row>
    <row r="15042" spans="1:6" x14ac:dyDescent="0.25">
      <c r="A15042" s="1">
        <v>43800</v>
      </c>
      <c r="B15042" t="s">
        <v>5</v>
      </c>
      <c r="C15042" t="s">
        <v>11</v>
      </c>
      <c r="D15042">
        <v>53</v>
      </c>
      <c r="E15042" s="2">
        <v>4.1064814814814818E-2</v>
      </c>
      <c r="F15042">
        <v>59.133333333333333</v>
      </c>
    </row>
    <row r="15043" spans="1:6" x14ac:dyDescent="0.25">
      <c r="A15043" s="1">
        <v>43800</v>
      </c>
      <c r="B15043" t="s">
        <v>12</v>
      </c>
      <c r="C15043" t="s">
        <v>6</v>
      </c>
      <c r="D15043">
        <v>17</v>
      </c>
      <c r="E15043" s="2">
        <v>3.5960648148148151E-2</v>
      </c>
      <c r="F15043">
        <v>51.783333333333331</v>
      </c>
    </row>
    <row r="15044" spans="1:6" x14ac:dyDescent="0.25">
      <c r="A15044" s="1">
        <v>43800</v>
      </c>
      <c r="B15044" t="s">
        <v>12</v>
      </c>
      <c r="C15044" t="s">
        <v>7</v>
      </c>
      <c r="D15044">
        <v>16</v>
      </c>
      <c r="E15044" s="2">
        <v>3.6736111111111108E-2</v>
      </c>
      <c r="F15044">
        <v>52.9</v>
      </c>
    </row>
    <row r="15045" spans="1:6" x14ac:dyDescent="0.25">
      <c r="A15045" s="1">
        <v>43800</v>
      </c>
      <c r="B15045" t="s">
        <v>12</v>
      </c>
      <c r="C15045" t="s">
        <v>8</v>
      </c>
      <c r="D15045">
        <v>16</v>
      </c>
      <c r="E15045" s="2">
        <v>2.4537037037037038E-2</v>
      </c>
      <c r="F15045">
        <v>35.333333333333336</v>
      </c>
    </row>
    <row r="15046" spans="1:6" x14ac:dyDescent="0.25">
      <c r="A15046" s="1">
        <v>43800</v>
      </c>
      <c r="B15046" t="s">
        <v>12</v>
      </c>
      <c r="C15046" t="s">
        <v>9</v>
      </c>
      <c r="D15046">
        <v>0</v>
      </c>
      <c r="E15046" s="2">
        <v>0</v>
      </c>
      <c r="F15046">
        <v>0</v>
      </c>
    </row>
    <row r="15047" spans="1:6" x14ac:dyDescent="0.25">
      <c r="A15047" s="1">
        <v>43800</v>
      </c>
      <c r="B15047" t="s">
        <v>12</v>
      </c>
      <c r="C15047" t="s">
        <v>10</v>
      </c>
      <c r="D15047">
        <v>17</v>
      </c>
      <c r="E15047" s="2">
        <v>2.7210648148148147E-2</v>
      </c>
      <c r="F15047">
        <v>39.18333333333333</v>
      </c>
    </row>
    <row r="15048" spans="1:6" x14ac:dyDescent="0.25">
      <c r="A15048" s="1">
        <v>43800</v>
      </c>
      <c r="B15048" t="s">
        <v>12</v>
      </c>
      <c r="C15048" t="s">
        <v>11</v>
      </c>
      <c r="D15048">
        <v>43</v>
      </c>
      <c r="E15048" s="2">
        <v>5.7280092592592591E-2</v>
      </c>
      <c r="F15048">
        <v>82.483333333333334</v>
      </c>
    </row>
    <row r="15049" spans="1:6" x14ac:dyDescent="0.25">
      <c r="A15049" s="1">
        <v>43800</v>
      </c>
      <c r="B15049" t="s">
        <v>13</v>
      </c>
      <c r="C15049" t="s">
        <v>6</v>
      </c>
      <c r="D15049">
        <v>46</v>
      </c>
      <c r="E15049" s="2">
        <v>8.7407407407407406E-2</v>
      </c>
      <c r="F15049">
        <v>125.86666666666666</v>
      </c>
    </row>
    <row r="15050" spans="1:6" x14ac:dyDescent="0.25">
      <c r="A15050" s="1">
        <v>43800</v>
      </c>
      <c r="B15050" t="s">
        <v>13</v>
      </c>
      <c r="C15050" t="s">
        <v>7</v>
      </c>
      <c r="D15050">
        <v>45</v>
      </c>
      <c r="E15050" s="2">
        <v>8.9027777777777775E-2</v>
      </c>
      <c r="F15050">
        <v>128.19999999999999</v>
      </c>
    </row>
    <row r="15051" spans="1:6" x14ac:dyDescent="0.25">
      <c r="A15051" s="1">
        <v>43800</v>
      </c>
      <c r="B15051" t="s">
        <v>13</v>
      </c>
      <c r="C15051" t="s">
        <v>8</v>
      </c>
      <c r="D15051">
        <v>25</v>
      </c>
      <c r="E15051" s="2">
        <v>3.5057870370370371E-2</v>
      </c>
      <c r="F15051">
        <v>50.483333333333334</v>
      </c>
    </row>
    <row r="15052" spans="1:6" x14ac:dyDescent="0.25">
      <c r="A15052" s="1">
        <v>43800</v>
      </c>
      <c r="B15052" t="s">
        <v>13</v>
      </c>
      <c r="C15052" t="s">
        <v>9</v>
      </c>
      <c r="D15052">
        <v>0</v>
      </c>
      <c r="E15052" s="2">
        <v>0</v>
      </c>
      <c r="F15052">
        <v>0</v>
      </c>
    </row>
    <row r="15053" spans="1:6" x14ac:dyDescent="0.25">
      <c r="A15053" s="1">
        <v>43800</v>
      </c>
      <c r="B15053" t="s">
        <v>13</v>
      </c>
      <c r="C15053" t="s">
        <v>10</v>
      </c>
      <c r="D15053">
        <v>15</v>
      </c>
      <c r="E15053" s="2">
        <v>2.255787037037037E-2</v>
      </c>
      <c r="F15053">
        <v>32.483333333333334</v>
      </c>
    </row>
    <row r="15054" spans="1:6" x14ac:dyDescent="0.25">
      <c r="A15054" s="1">
        <v>43800</v>
      </c>
      <c r="B15054" t="s">
        <v>13</v>
      </c>
      <c r="C15054" t="s">
        <v>11</v>
      </c>
      <c r="D15054">
        <v>32</v>
      </c>
      <c r="E15054" s="2">
        <v>3.1018518518518518E-2</v>
      </c>
      <c r="F15054">
        <v>44.666666666666664</v>
      </c>
    </row>
    <row r="15055" spans="1:6" x14ac:dyDescent="0.25">
      <c r="A15055" s="1">
        <v>43800</v>
      </c>
      <c r="B15055" t="s">
        <v>14</v>
      </c>
      <c r="C15055" t="s">
        <v>6</v>
      </c>
      <c r="D15055">
        <v>7</v>
      </c>
      <c r="E15055" s="2">
        <v>9.8842592592592593E-3</v>
      </c>
      <c r="F15055">
        <v>14.233333333333333</v>
      </c>
    </row>
    <row r="15056" spans="1:6" x14ac:dyDescent="0.25">
      <c r="A15056" s="1">
        <v>43800</v>
      </c>
      <c r="B15056" t="s">
        <v>14</v>
      </c>
      <c r="C15056" t="s">
        <v>7</v>
      </c>
      <c r="D15056">
        <v>7</v>
      </c>
      <c r="E15056" s="2">
        <v>9.8263888888888897E-3</v>
      </c>
      <c r="F15056">
        <v>14.15</v>
      </c>
    </row>
    <row r="15057" spans="1:6" x14ac:dyDescent="0.25">
      <c r="A15057" s="1">
        <v>43800</v>
      </c>
      <c r="B15057" t="s">
        <v>14</v>
      </c>
      <c r="C15057" t="s">
        <v>8</v>
      </c>
      <c r="D15057">
        <v>3</v>
      </c>
      <c r="E15057" s="2">
        <v>4.9884259259259257E-3</v>
      </c>
      <c r="F15057">
        <v>7.1833333333333336</v>
      </c>
    </row>
    <row r="15058" spans="1:6" x14ac:dyDescent="0.25">
      <c r="A15058" s="1">
        <v>43800</v>
      </c>
      <c r="B15058" t="s">
        <v>14</v>
      </c>
      <c r="C15058" t="s">
        <v>9</v>
      </c>
      <c r="D15058">
        <v>0</v>
      </c>
      <c r="E15058" s="2">
        <v>0</v>
      </c>
      <c r="F15058">
        <v>0</v>
      </c>
    </row>
    <row r="15059" spans="1:6" x14ac:dyDescent="0.25">
      <c r="A15059" s="1">
        <v>43800</v>
      </c>
      <c r="B15059" t="s">
        <v>14</v>
      </c>
      <c r="C15059" t="s">
        <v>10</v>
      </c>
      <c r="D15059">
        <v>1</v>
      </c>
      <c r="E15059" s="2">
        <v>1.7476851851851852E-3</v>
      </c>
      <c r="F15059">
        <v>2.5166666666666666</v>
      </c>
    </row>
    <row r="15060" spans="1:6" x14ac:dyDescent="0.25">
      <c r="A15060" s="1">
        <v>43800</v>
      </c>
      <c r="B15060" t="s">
        <v>14</v>
      </c>
      <c r="C15060" t="s">
        <v>11</v>
      </c>
      <c r="D15060">
        <v>5</v>
      </c>
      <c r="E15060" s="2">
        <v>3.8310185185185183E-3</v>
      </c>
      <c r="F15060">
        <v>5.5166666666666666</v>
      </c>
    </row>
    <row r="15061" spans="1:6" x14ac:dyDescent="0.25">
      <c r="A15061" s="1">
        <v>43800</v>
      </c>
      <c r="B15061" t="s">
        <v>15</v>
      </c>
      <c r="C15061" t="s">
        <v>6</v>
      </c>
      <c r="D15061">
        <v>27</v>
      </c>
      <c r="E15061" s="2">
        <v>4.7418981481481479E-2</v>
      </c>
      <c r="F15061">
        <v>68.283333333333331</v>
      </c>
    </row>
    <row r="15062" spans="1:6" x14ac:dyDescent="0.25">
      <c r="A15062" s="1">
        <v>43800</v>
      </c>
      <c r="B15062" t="s">
        <v>15</v>
      </c>
      <c r="C15062" t="s">
        <v>7</v>
      </c>
      <c r="D15062">
        <v>22</v>
      </c>
      <c r="E15062" s="2">
        <v>3.1597222222222221E-2</v>
      </c>
      <c r="F15062">
        <v>45.5</v>
      </c>
    </row>
    <row r="15063" spans="1:6" x14ac:dyDescent="0.25">
      <c r="A15063" s="1">
        <v>43800</v>
      </c>
      <c r="B15063" t="s">
        <v>15</v>
      </c>
      <c r="C15063" t="s">
        <v>8</v>
      </c>
      <c r="D15063">
        <v>20</v>
      </c>
      <c r="E15063" s="2">
        <v>2.9942129629629631E-2</v>
      </c>
      <c r="F15063">
        <v>43.116666666666667</v>
      </c>
    </row>
    <row r="15064" spans="1:6" x14ac:dyDescent="0.25">
      <c r="A15064" s="1">
        <v>43800</v>
      </c>
      <c r="B15064" t="s">
        <v>15</v>
      </c>
      <c r="C15064" t="s">
        <v>9</v>
      </c>
      <c r="D15064">
        <v>0</v>
      </c>
      <c r="E15064" s="2">
        <v>0</v>
      </c>
      <c r="F15064">
        <v>0</v>
      </c>
    </row>
    <row r="15065" spans="1:6" x14ac:dyDescent="0.25">
      <c r="A15065" s="1">
        <v>43800</v>
      </c>
      <c r="B15065" t="s">
        <v>15</v>
      </c>
      <c r="C15065" t="s">
        <v>10</v>
      </c>
      <c r="D15065">
        <v>15</v>
      </c>
      <c r="E15065" s="2">
        <v>2.5613425925925925E-2</v>
      </c>
      <c r="F15065">
        <v>36.883333333333333</v>
      </c>
    </row>
    <row r="15066" spans="1:6" x14ac:dyDescent="0.25">
      <c r="A15066" s="1">
        <v>43800</v>
      </c>
      <c r="B15066" t="s">
        <v>15</v>
      </c>
      <c r="C15066" t="s">
        <v>11</v>
      </c>
      <c r="D15066">
        <v>17</v>
      </c>
      <c r="E15066" s="2">
        <v>1.306712962962963E-2</v>
      </c>
      <c r="F15066">
        <v>18.816666666666666</v>
      </c>
    </row>
    <row r="15067" spans="1:6" x14ac:dyDescent="0.25">
      <c r="A15067" s="1">
        <v>43800</v>
      </c>
      <c r="B15067" t="s">
        <v>16</v>
      </c>
      <c r="C15067" t="s">
        <v>6</v>
      </c>
      <c r="D15067">
        <v>8</v>
      </c>
      <c r="E15067" s="2">
        <v>1.0462962962962962E-2</v>
      </c>
      <c r="F15067">
        <v>15.066666666666666</v>
      </c>
    </row>
    <row r="15068" spans="1:6" x14ac:dyDescent="0.25">
      <c r="A15068" s="1">
        <v>43800</v>
      </c>
      <c r="B15068" t="s">
        <v>16</v>
      </c>
      <c r="C15068" t="s">
        <v>7</v>
      </c>
      <c r="D15068">
        <v>8</v>
      </c>
      <c r="E15068" s="2">
        <v>9.9537037037037042E-3</v>
      </c>
      <c r="F15068">
        <v>14.333333333333334</v>
      </c>
    </row>
    <row r="15069" spans="1:6" x14ac:dyDescent="0.25">
      <c r="A15069" s="1">
        <v>43800</v>
      </c>
      <c r="B15069" t="s">
        <v>16</v>
      </c>
      <c r="C15069" t="s">
        <v>8</v>
      </c>
      <c r="D15069">
        <v>11</v>
      </c>
      <c r="E15069" s="2">
        <v>8.7615740740740744E-3</v>
      </c>
      <c r="F15069">
        <v>12.616666666666667</v>
      </c>
    </row>
    <row r="15070" spans="1:6" x14ac:dyDescent="0.25">
      <c r="A15070" s="1">
        <v>43800</v>
      </c>
      <c r="B15070" t="s">
        <v>16</v>
      </c>
      <c r="C15070" t="s">
        <v>9</v>
      </c>
      <c r="D15070">
        <v>0</v>
      </c>
      <c r="E15070" s="2">
        <v>0</v>
      </c>
      <c r="F15070">
        <v>0</v>
      </c>
    </row>
    <row r="15071" spans="1:6" x14ac:dyDescent="0.25">
      <c r="A15071" s="1">
        <v>43800</v>
      </c>
      <c r="B15071" t="s">
        <v>16</v>
      </c>
      <c r="C15071" t="s">
        <v>10</v>
      </c>
      <c r="D15071">
        <v>6</v>
      </c>
      <c r="E15071" s="2">
        <v>9.3171296296296301E-3</v>
      </c>
      <c r="F15071">
        <v>13.416666666666666</v>
      </c>
    </row>
    <row r="15072" spans="1:6" x14ac:dyDescent="0.25">
      <c r="A15072" s="1">
        <v>43800</v>
      </c>
      <c r="B15072" t="s">
        <v>16</v>
      </c>
      <c r="C15072" t="s">
        <v>11</v>
      </c>
      <c r="D15072">
        <v>19</v>
      </c>
      <c r="E15072" s="2">
        <v>1.6122685185185184E-2</v>
      </c>
      <c r="F15072">
        <v>23.216666666666665</v>
      </c>
    </row>
    <row r="15073" spans="1:6" x14ac:dyDescent="0.25">
      <c r="A15073" s="1">
        <v>43800</v>
      </c>
      <c r="B15073" t="s">
        <v>17</v>
      </c>
      <c r="C15073" t="s">
        <v>6</v>
      </c>
      <c r="D15073">
        <v>7</v>
      </c>
      <c r="E15073" s="2">
        <v>7.7199074074074071E-3</v>
      </c>
      <c r="F15073">
        <v>11.116666666666667</v>
      </c>
    </row>
    <row r="15074" spans="1:6" x14ac:dyDescent="0.25">
      <c r="A15074" s="1">
        <v>43800</v>
      </c>
      <c r="B15074" t="s">
        <v>17</v>
      </c>
      <c r="C15074" t="s">
        <v>7</v>
      </c>
      <c r="D15074">
        <v>12</v>
      </c>
      <c r="E15074" s="2">
        <v>1.2233796296296296E-2</v>
      </c>
      <c r="F15074">
        <v>17.616666666666667</v>
      </c>
    </row>
    <row r="15075" spans="1:6" x14ac:dyDescent="0.25">
      <c r="A15075" s="1">
        <v>43800</v>
      </c>
      <c r="B15075" t="s">
        <v>17</v>
      </c>
      <c r="C15075" t="s">
        <v>8</v>
      </c>
      <c r="D15075">
        <v>4</v>
      </c>
      <c r="E15075" s="2">
        <v>5.1041666666666666E-3</v>
      </c>
      <c r="F15075">
        <v>7.35</v>
      </c>
    </row>
    <row r="15076" spans="1:6" x14ac:dyDescent="0.25">
      <c r="A15076" s="1">
        <v>43800</v>
      </c>
      <c r="B15076" t="s">
        <v>17</v>
      </c>
      <c r="C15076" t="s">
        <v>9</v>
      </c>
      <c r="D15076">
        <v>0</v>
      </c>
      <c r="E15076" s="2">
        <v>0</v>
      </c>
      <c r="F15076">
        <v>0</v>
      </c>
    </row>
    <row r="15077" spans="1:6" x14ac:dyDescent="0.25">
      <c r="A15077" s="1">
        <v>43800</v>
      </c>
      <c r="B15077" t="s">
        <v>17</v>
      </c>
      <c r="C15077" t="s">
        <v>10</v>
      </c>
      <c r="D15077">
        <v>5</v>
      </c>
      <c r="E15077" s="2">
        <v>7.0717592592592594E-3</v>
      </c>
      <c r="F15077">
        <v>10.183333333333334</v>
      </c>
    </row>
    <row r="15078" spans="1:6" x14ac:dyDescent="0.25">
      <c r="A15078" s="1">
        <v>43800</v>
      </c>
      <c r="B15078" t="s">
        <v>17</v>
      </c>
      <c r="C15078" t="s">
        <v>11</v>
      </c>
      <c r="D15078">
        <v>4</v>
      </c>
      <c r="E15078" s="2">
        <v>4.7106481481481478E-3</v>
      </c>
      <c r="F15078">
        <v>6.7833333333333332</v>
      </c>
    </row>
    <row r="15079" spans="1:6" x14ac:dyDescent="0.25">
      <c r="A15079" s="1">
        <v>43800</v>
      </c>
      <c r="B15079" t="s">
        <v>18</v>
      </c>
      <c r="C15079" t="s">
        <v>6</v>
      </c>
      <c r="D15079">
        <v>16</v>
      </c>
      <c r="E15079" s="2">
        <v>1.8078703703703704E-2</v>
      </c>
      <c r="F15079">
        <v>26.033333333333335</v>
      </c>
    </row>
    <row r="15080" spans="1:6" x14ac:dyDescent="0.25">
      <c r="A15080" s="1">
        <v>43800</v>
      </c>
      <c r="B15080" t="s">
        <v>18</v>
      </c>
      <c r="C15080" t="s">
        <v>7</v>
      </c>
      <c r="D15080">
        <v>38</v>
      </c>
      <c r="E15080" s="2">
        <v>3.7754629629629631E-2</v>
      </c>
      <c r="F15080">
        <v>54.366666666666667</v>
      </c>
    </row>
    <row r="15081" spans="1:6" x14ac:dyDescent="0.25">
      <c r="A15081" s="1">
        <v>43800</v>
      </c>
      <c r="B15081" t="s">
        <v>18</v>
      </c>
      <c r="C15081" t="s">
        <v>8</v>
      </c>
      <c r="D15081">
        <v>23</v>
      </c>
      <c r="E15081" s="2">
        <v>2.1574074074074075E-2</v>
      </c>
      <c r="F15081">
        <v>31.066666666666666</v>
      </c>
    </row>
    <row r="15082" spans="1:6" x14ac:dyDescent="0.25">
      <c r="A15082" s="1">
        <v>43800</v>
      </c>
      <c r="B15082" t="s">
        <v>18</v>
      </c>
      <c r="C15082" t="s">
        <v>9</v>
      </c>
      <c r="D15082">
        <v>0</v>
      </c>
      <c r="E15082" s="2">
        <v>0</v>
      </c>
      <c r="F15082">
        <v>0</v>
      </c>
    </row>
    <row r="15083" spans="1:6" x14ac:dyDescent="0.25">
      <c r="A15083" s="1">
        <v>43800</v>
      </c>
      <c r="B15083" t="s">
        <v>18</v>
      </c>
      <c r="C15083" t="s">
        <v>10</v>
      </c>
      <c r="D15083">
        <v>111</v>
      </c>
      <c r="E15083" s="2">
        <v>0.15550925925925926</v>
      </c>
      <c r="F15083">
        <v>223.93333333333334</v>
      </c>
    </row>
    <row r="15084" spans="1:6" x14ac:dyDescent="0.25">
      <c r="A15084" s="1">
        <v>43800</v>
      </c>
      <c r="B15084" t="s">
        <v>18</v>
      </c>
      <c r="C15084" t="s">
        <v>11</v>
      </c>
      <c r="D15084">
        <v>36</v>
      </c>
      <c r="E15084" s="2">
        <v>2.3229166666666665E-2</v>
      </c>
      <c r="F15084">
        <v>33.450000000000003</v>
      </c>
    </row>
    <row r="15085" spans="1:6" x14ac:dyDescent="0.25">
      <c r="A15085" s="1">
        <v>43800</v>
      </c>
      <c r="B15085" t="s">
        <v>19</v>
      </c>
      <c r="C15085" t="s">
        <v>6</v>
      </c>
      <c r="D15085">
        <v>9</v>
      </c>
      <c r="E15085" s="2">
        <v>1.275462962962963E-2</v>
      </c>
      <c r="F15085">
        <v>18.366666666666667</v>
      </c>
    </row>
    <row r="15086" spans="1:6" x14ac:dyDescent="0.25">
      <c r="A15086" s="1">
        <v>43800</v>
      </c>
      <c r="B15086" t="s">
        <v>19</v>
      </c>
      <c r="C15086" t="s">
        <v>7</v>
      </c>
      <c r="D15086">
        <v>12</v>
      </c>
      <c r="E15086" s="2">
        <v>9.1203703703703707E-3</v>
      </c>
      <c r="F15086">
        <v>13.133333333333333</v>
      </c>
    </row>
    <row r="15087" spans="1:6" x14ac:dyDescent="0.25">
      <c r="A15087" s="1">
        <v>43800</v>
      </c>
      <c r="B15087" t="s">
        <v>19</v>
      </c>
      <c r="C15087" t="s">
        <v>8</v>
      </c>
      <c r="D15087">
        <v>13</v>
      </c>
      <c r="E15087" s="2">
        <v>1.4224537037037037E-2</v>
      </c>
      <c r="F15087">
        <v>20.483333333333334</v>
      </c>
    </row>
    <row r="15088" spans="1:6" x14ac:dyDescent="0.25">
      <c r="A15088" s="1">
        <v>43800</v>
      </c>
      <c r="B15088" t="s">
        <v>19</v>
      </c>
      <c r="C15088" t="s">
        <v>9</v>
      </c>
      <c r="D15088">
        <v>0</v>
      </c>
      <c r="E15088" s="2">
        <v>0</v>
      </c>
      <c r="F15088">
        <v>0</v>
      </c>
    </row>
    <row r="15089" spans="1:6" x14ac:dyDescent="0.25">
      <c r="A15089" s="1">
        <v>43800</v>
      </c>
      <c r="B15089" t="s">
        <v>19</v>
      </c>
      <c r="C15089" t="s">
        <v>10</v>
      </c>
      <c r="D15089">
        <v>4</v>
      </c>
      <c r="E15089" s="2">
        <v>5.0000000000000001E-3</v>
      </c>
      <c r="F15089">
        <v>7.2</v>
      </c>
    </row>
    <row r="15090" spans="1:6" x14ac:dyDescent="0.25">
      <c r="A15090" s="1">
        <v>43800</v>
      </c>
      <c r="B15090" t="s">
        <v>19</v>
      </c>
      <c r="C15090" t="s">
        <v>11</v>
      </c>
      <c r="D15090">
        <v>16</v>
      </c>
      <c r="E15090" s="2">
        <v>1.4351851851851852E-2</v>
      </c>
      <c r="F15090">
        <v>20.666666666666668</v>
      </c>
    </row>
    <row r="15091" spans="1:6" x14ac:dyDescent="0.25">
      <c r="A15091" s="1">
        <v>43800</v>
      </c>
      <c r="B15091" t="s">
        <v>20</v>
      </c>
      <c r="C15091" t="s">
        <v>6</v>
      </c>
      <c r="D15091">
        <v>10</v>
      </c>
      <c r="E15091" s="2">
        <v>1.3125E-2</v>
      </c>
      <c r="F15091">
        <v>18.899999999999999</v>
      </c>
    </row>
    <row r="15092" spans="1:6" x14ac:dyDescent="0.25">
      <c r="A15092" s="1">
        <v>43800</v>
      </c>
      <c r="B15092" t="s">
        <v>20</v>
      </c>
      <c r="C15092" t="s">
        <v>7</v>
      </c>
      <c r="D15092">
        <v>18</v>
      </c>
      <c r="E15092" s="2">
        <v>2.2569444444444444E-2</v>
      </c>
      <c r="F15092">
        <v>32.5</v>
      </c>
    </row>
    <row r="15093" spans="1:6" x14ac:dyDescent="0.25">
      <c r="A15093" s="1">
        <v>43800</v>
      </c>
      <c r="B15093" t="s">
        <v>20</v>
      </c>
      <c r="C15093" t="s">
        <v>8</v>
      </c>
      <c r="D15093">
        <v>16</v>
      </c>
      <c r="E15093" s="2">
        <v>1.6863425925925928E-2</v>
      </c>
      <c r="F15093">
        <v>24.283333333333335</v>
      </c>
    </row>
    <row r="15094" spans="1:6" x14ac:dyDescent="0.25">
      <c r="A15094" s="1">
        <v>43800</v>
      </c>
      <c r="B15094" t="s">
        <v>20</v>
      </c>
      <c r="C15094" t="s">
        <v>9</v>
      </c>
      <c r="D15094">
        <v>0</v>
      </c>
      <c r="E15094" s="2">
        <v>0</v>
      </c>
      <c r="F15094">
        <v>0</v>
      </c>
    </row>
    <row r="15095" spans="1:6" x14ac:dyDescent="0.25">
      <c r="A15095" s="1">
        <v>43800</v>
      </c>
      <c r="B15095" t="s">
        <v>20</v>
      </c>
      <c r="C15095" t="s">
        <v>10</v>
      </c>
      <c r="D15095">
        <v>4</v>
      </c>
      <c r="E15095" s="2">
        <v>4.2708333333333331E-3</v>
      </c>
      <c r="F15095">
        <v>6.15</v>
      </c>
    </row>
    <row r="15096" spans="1:6" x14ac:dyDescent="0.25">
      <c r="A15096" s="1">
        <v>43800</v>
      </c>
      <c r="B15096" t="s">
        <v>20</v>
      </c>
      <c r="C15096" t="s">
        <v>11</v>
      </c>
      <c r="D15096">
        <v>19</v>
      </c>
      <c r="E15096" s="2">
        <v>1.4814814814814815E-2</v>
      </c>
      <c r="F15096">
        <v>21.333333333333332</v>
      </c>
    </row>
    <row r="15097" spans="1:6" x14ac:dyDescent="0.25">
      <c r="A15097" s="1">
        <v>43800</v>
      </c>
      <c r="B15097" t="s">
        <v>21</v>
      </c>
      <c r="C15097" t="s">
        <v>6</v>
      </c>
      <c r="D15097">
        <v>4</v>
      </c>
      <c r="E15097" s="2">
        <v>6.898148148148148E-3</v>
      </c>
      <c r="F15097">
        <v>9.9333333333333336</v>
      </c>
    </row>
    <row r="15098" spans="1:6" x14ac:dyDescent="0.25">
      <c r="A15098" s="1">
        <v>43800</v>
      </c>
      <c r="B15098" t="s">
        <v>21</v>
      </c>
      <c r="C15098" t="s">
        <v>7</v>
      </c>
      <c r="D15098">
        <v>3</v>
      </c>
      <c r="E15098" s="2">
        <v>4.0162037037037041E-3</v>
      </c>
      <c r="F15098">
        <v>5.7833333333333332</v>
      </c>
    </row>
    <row r="15099" spans="1:6" x14ac:dyDescent="0.25">
      <c r="A15099" s="1">
        <v>43800</v>
      </c>
      <c r="B15099" t="s">
        <v>21</v>
      </c>
      <c r="C15099" t="s">
        <v>8</v>
      </c>
      <c r="D15099">
        <v>9</v>
      </c>
      <c r="E15099" s="2">
        <v>1.0034722222222223E-2</v>
      </c>
      <c r="F15099">
        <v>14.45</v>
      </c>
    </row>
    <row r="15100" spans="1:6" x14ac:dyDescent="0.25">
      <c r="A15100" s="1">
        <v>43800</v>
      </c>
      <c r="B15100" t="s">
        <v>21</v>
      </c>
      <c r="C15100" t="s">
        <v>9</v>
      </c>
      <c r="D15100">
        <v>0</v>
      </c>
      <c r="E15100" s="2">
        <v>0</v>
      </c>
      <c r="F15100">
        <v>0</v>
      </c>
    </row>
    <row r="15101" spans="1:6" x14ac:dyDescent="0.25">
      <c r="A15101" s="1">
        <v>43800</v>
      </c>
      <c r="B15101" t="s">
        <v>21</v>
      </c>
      <c r="C15101" t="s">
        <v>10</v>
      </c>
      <c r="D15101">
        <v>5</v>
      </c>
      <c r="E15101" s="2">
        <v>9.432870370370371E-3</v>
      </c>
      <c r="F15101">
        <v>13.583333333333334</v>
      </c>
    </row>
    <row r="15102" spans="1:6" x14ac:dyDescent="0.25">
      <c r="A15102" s="1">
        <v>43800</v>
      </c>
      <c r="B15102" t="s">
        <v>21</v>
      </c>
      <c r="C15102" t="s">
        <v>11</v>
      </c>
      <c r="D15102">
        <v>5</v>
      </c>
      <c r="E15102" s="2">
        <v>4.8263888888888887E-3</v>
      </c>
      <c r="F15102">
        <v>6.95</v>
      </c>
    </row>
    <row r="15103" spans="1:6" x14ac:dyDescent="0.25">
      <c r="A15103" s="1">
        <v>43800</v>
      </c>
      <c r="B15103" t="s">
        <v>22</v>
      </c>
      <c r="C15103" t="s">
        <v>6</v>
      </c>
      <c r="D15103">
        <v>10</v>
      </c>
      <c r="E15103" s="2">
        <v>1.7175925925925924E-2</v>
      </c>
      <c r="F15103">
        <v>24.733333333333334</v>
      </c>
    </row>
    <row r="15104" spans="1:6" x14ac:dyDescent="0.25">
      <c r="A15104" s="1">
        <v>43800</v>
      </c>
      <c r="B15104" t="s">
        <v>22</v>
      </c>
      <c r="C15104" t="s">
        <v>7</v>
      </c>
      <c r="D15104">
        <v>3</v>
      </c>
      <c r="E15104" s="2">
        <v>4.2708333333333331E-3</v>
      </c>
      <c r="F15104">
        <v>6.15</v>
      </c>
    </row>
    <row r="15105" spans="1:6" x14ac:dyDescent="0.25">
      <c r="A15105" s="1">
        <v>43800</v>
      </c>
      <c r="B15105" t="s">
        <v>22</v>
      </c>
      <c r="C15105" t="s">
        <v>8</v>
      </c>
      <c r="D15105">
        <v>7</v>
      </c>
      <c r="E15105" s="2">
        <v>1.3321759259259259E-2</v>
      </c>
      <c r="F15105">
        <v>19.183333333333334</v>
      </c>
    </row>
    <row r="15106" spans="1:6" x14ac:dyDescent="0.25">
      <c r="A15106" s="1">
        <v>43800</v>
      </c>
      <c r="B15106" t="s">
        <v>22</v>
      </c>
      <c r="C15106" t="s">
        <v>9</v>
      </c>
      <c r="D15106">
        <v>0</v>
      </c>
      <c r="E15106" s="2">
        <v>0</v>
      </c>
      <c r="F15106">
        <v>0</v>
      </c>
    </row>
    <row r="15107" spans="1:6" x14ac:dyDescent="0.25">
      <c r="A15107" s="1">
        <v>43800</v>
      </c>
      <c r="B15107" t="s">
        <v>22</v>
      </c>
      <c r="C15107" t="s">
        <v>10</v>
      </c>
      <c r="D15107">
        <v>10</v>
      </c>
      <c r="E15107" s="2">
        <v>1.2627314814814815E-2</v>
      </c>
      <c r="F15107">
        <v>18.183333333333334</v>
      </c>
    </row>
    <row r="15108" spans="1:6" x14ac:dyDescent="0.25">
      <c r="A15108" s="1">
        <v>43800</v>
      </c>
      <c r="B15108" t="s">
        <v>22</v>
      </c>
      <c r="C15108" t="s">
        <v>11</v>
      </c>
      <c r="D15108">
        <v>7</v>
      </c>
      <c r="E15108" s="2">
        <v>1.0023148148148147E-2</v>
      </c>
      <c r="F15108">
        <v>14.433333333333334</v>
      </c>
    </row>
    <row r="15109" spans="1:6" x14ac:dyDescent="0.25">
      <c r="A15109" s="1">
        <v>43800</v>
      </c>
      <c r="B15109" t="s">
        <v>23</v>
      </c>
      <c r="C15109" t="s">
        <v>6</v>
      </c>
      <c r="D15109">
        <v>221</v>
      </c>
      <c r="E15109" s="2">
        <v>0.32570601851851849</v>
      </c>
      <c r="F15109">
        <v>469.01666666666665</v>
      </c>
    </row>
    <row r="15110" spans="1:6" x14ac:dyDescent="0.25">
      <c r="A15110" s="1">
        <v>43800</v>
      </c>
      <c r="B15110" t="s">
        <v>23</v>
      </c>
      <c r="C15110" t="s">
        <v>7</v>
      </c>
      <c r="D15110">
        <v>236</v>
      </c>
      <c r="E15110" s="2">
        <v>0.32277777777777777</v>
      </c>
      <c r="F15110">
        <v>464.8</v>
      </c>
    </row>
    <row r="15111" spans="1:6" x14ac:dyDescent="0.25">
      <c r="A15111" s="1">
        <v>43800</v>
      </c>
      <c r="B15111" t="s">
        <v>23</v>
      </c>
      <c r="C15111" t="s">
        <v>8</v>
      </c>
      <c r="D15111">
        <v>166</v>
      </c>
      <c r="E15111" s="2">
        <v>0.18686342592592592</v>
      </c>
      <c r="F15111">
        <v>269.08333333333331</v>
      </c>
    </row>
    <row r="15112" spans="1:6" x14ac:dyDescent="0.25">
      <c r="A15112" s="1">
        <v>43800</v>
      </c>
      <c r="B15112" t="s">
        <v>23</v>
      </c>
      <c r="C15112" t="s">
        <v>9</v>
      </c>
      <c r="D15112">
        <v>0</v>
      </c>
      <c r="E15112" s="2">
        <v>0</v>
      </c>
      <c r="F15112">
        <v>0</v>
      </c>
    </row>
    <row r="15113" spans="1:6" x14ac:dyDescent="0.25">
      <c r="A15113" s="1">
        <v>43800</v>
      </c>
      <c r="B15113" t="s">
        <v>23</v>
      </c>
      <c r="C15113" t="s">
        <v>10</v>
      </c>
      <c r="D15113">
        <v>38</v>
      </c>
      <c r="E15113" s="2">
        <v>5.244212962962963E-2</v>
      </c>
      <c r="F15113">
        <v>75.516666666666666</v>
      </c>
    </row>
    <row r="15114" spans="1:6" x14ac:dyDescent="0.25">
      <c r="A15114" s="1">
        <v>43800</v>
      </c>
      <c r="B15114" t="s">
        <v>23</v>
      </c>
      <c r="C15114" t="s">
        <v>11</v>
      </c>
      <c r="D15114">
        <v>177</v>
      </c>
      <c r="E15114" s="2">
        <v>0.16474537037037038</v>
      </c>
      <c r="F15114">
        <v>237.23333333333332</v>
      </c>
    </row>
    <row r="15115" spans="1:6" x14ac:dyDescent="0.25">
      <c r="A15115" s="1">
        <v>43800</v>
      </c>
      <c r="B15115" t="s">
        <v>24</v>
      </c>
      <c r="C15115" t="s">
        <v>6</v>
      </c>
      <c r="D15115">
        <v>2</v>
      </c>
      <c r="E15115" s="2">
        <v>3.414351851851852E-3</v>
      </c>
      <c r="F15115">
        <v>4.916666666666667</v>
      </c>
    </row>
    <row r="15116" spans="1:6" x14ac:dyDescent="0.25">
      <c r="A15116" s="1">
        <v>43800</v>
      </c>
      <c r="B15116" t="s">
        <v>24</v>
      </c>
      <c r="C15116" t="s">
        <v>7</v>
      </c>
      <c r="D15116">
        <v>2</v>
      </c>
      <c r="E15116" s="2">
        <v>3.9351851851851852E-4</v>
      </c>
      <c r="F15116">
        <v>0.56666666666666665</v>
      </c>
    </row>
    <row r="15117" spans="1:6" x14ac:dyDescent="0.25">
      <c r="A15117" s="1">
        <v>43800</v>
      </c>
      <c r="B15117" t="s">
        <v>24</v>
      </c>
      <c r="C15117" t="s">
        <v>8</v>
      </c>
      <c r="D15117">
        <v>7</v>
      </c>
      <c r="E15117" s="2">
        <v>5.9837962962962961E-3</v>
      </c>
      <c r="F15117">
        <v>8.6166666666666671</v>
      </c>
    </row>
    <row r="15118" spans="1:6" x14ac:dyDescent="0.25">
      <c r="A15118" s="1">
        <v>43800</v>
      </c>
      <c r="B15118" t="s">
        <v>24</v>
      </c>
      <c r="C15118" t="s">
        <v>9</v>
      </c>
      <c r="D15118">
        <v>0</v>
      </c>
      <c r="E15118" s="2">
        <v>0</v>
      </c>
      <c r="F15118">
        <v>0</v>
      </c>
    </row>
    <row r="15119" spans="1:6" x14ac:dyDescent="0.25">
      <c r="A15119" s="1">
        <v>43800</v>
      </c>
      <c r="B15119" t="s">
        <v>24</v>
      </c>
      <c r="C15119" t="s">
        <v>10</v>
      </c>
      <c r="D15119">
        <v>1</v>
      </c>
      <c r="E15119" s="2">
        <v>1.5625000000000001E-3</v>
      </c>
      <c r="F15119">
        <v>2.25</v>
      </c>
    </row>
    <row r="15120" spans="1:6" x14ac:dyDescent="0.25">
      <c r="A15120" s="1">
        <v>43800</v>
      </c>
      <c r="B15120" t="s">
        <v>24</v>
      </c>
      <c r="C15120" t="s">
        <v>11</v>
      </c>
      <c r="D15120">
        <v>10</v>
      </c>
      <c r="E15120" s="2">
        <v>8.0439814814814818E-3</v>
      </c>
      <c r="F15120">
        <v>11.583333333333334</v>
      </c>
    </row>
    <row r="15121" spans="1:6" x14ac:dyDescent="0.25">
      <c r="A15121" s="1">
        <v>43831</v>
      </c>
      <c r="B15121" t="s">
        <v>5</v>
      </c>
      <c r="C15121" t="s">
        <v>6</v>
      </c>
      <c r="D15121">
        <v>46</v>
      </c>
      <c r="E15121" s="2">
        <v>5.545138888888889E-2</v>
      </c>
      <c r="F15121">
        <v>79.849999999999994</v>
      </c>
    </row>
    <row r="15122" spans="1:6" x14ac:dyDescent="0.25">
      <c r="A15122" s="1">
        <v>43831</v>
      </c>
      <c r="B15122" t="s">
        <v>5</v>
      </c>
      <c r="C15122" t="s">
        <v>7</v>
      </c>
      <c r="D15122">
        <v>43</v>
      </c>
      <c r="E15122" s="2">
        <v>4.0694444444444443E-2</v>
      </c>
      <c r="F15122">
        <v>58.6</v>
      </c>
    </row>
    <row r="15123" spans="1:6" x14ac:dyDescent="0.25">
      <c r="A15123" s="1">
        <v>43831</v>
      </c>
      <c r="B15123" t="s">
        <v>5</v>
      </c>
      <c r="C15123" t="s">
        <v>8</v>
      </c>
      <c r="D15123">
        <v>30</v>
      </c>
      <c r="E15123" s="2">
        <v>2.9583333333333333E-2</v>
      </c>
      <c r="F15123">
        <v>42.6</v>
      </c>
    </row>
    <row r="15124" spans="1:6" x14ac:dyDescent="0.25">
      <c r="A15124" s="1">
        <v>43831</v>
      </c>
      <c r="B15124" t="s">
        <v>5</v>
      </c>
      <c r="C15124" t="s">
        <v>9</v>
      </c>
      <c r="D15124">
        <v>0</v>
      </c>
      <c r="E15124" s="2">
        <v>0</v>
      </c>
      <c r="F15124">
        <v>0</v>
      </c>
    </row>
    <row r="15125" spans="1:6" x14ac:dyDescent="0.25">
      <c r="A15125" s="1">
        <v>43831</v>
      </c>
      <c r="B15125" t="s">
        <v>5</v>
      </c>
      <c r="C15125" t="s">
        <v>10</v>
      </c>
      <c r="D15125">
        <v>16</v>
      </c>
      <c r="E15125" s="2">
        <v>2.3946759259259258E-2</v>
      </c>
      <c r="F15125">
        <v>34.483333333333334</v>
      </c>
    </row>
    <row r="15126" spans="1:6" x14ac:dyDescent="0.25">
      <c r="A15126" s="1">
        <v>43831</v>
      </c>
      <c r="B15126" t="s">
        <v>5</v>
      </c>
      <c r="C15126" t="s">
        <v>11</v>
      </c>
      <c r="D15126">
        <v>36</v>
      </c>
      <c r="E15126" s="2">
        <v>2.4930555555555556E-2</v>
      </c>
      <c r="F15126">
        <v>35.9</v>
      </c>
    </row>
    <row r="15127" spans="1:6" x14ac:dyDescent="0.25">
      <c r="A15127" s="1">
        <v>43831</v>
      </c>
      <c r="B15127" t="s">
        <v>12</v>
      </c>
      <c r="C15127" t="s">
        <v>6</v>
      </c>
      <c r="D15127">
        <v>15</v>
      </c>
      <c r="E15127" s="2">
        <v>2.3414351851851853E-2</v>
      </c>
      <c r="F15127">
        <v>33.716666666666669</v>
      </c>
    </row>
    <row r="15128" spans="1:6" x14ac:dyDescent="0.25">
      <c r="A15128" s="1">
        <v>43831</v>
      </c>
      <c r="B15128" t="s">
        <v>12</v>
      </c>
      <c r="C15128" t="s">
        <v>7</v>
      </c>
      <c r="D15128">
        <v>22</v>
      </c>
      <c r="E15128" s="2">
        <v>3.6203703703703703E-2</v>
      </c>
      <c r="F15128">
        <v>52.133333333333333</v>
      </c>
    </row>
    <row r="15129" spans="1:6" x14ac:dyDescent="0.25">
      <c r="A15129" s="1">
        <v>43831</v>
      </c>
      <c r="B15129" t="s">
        <v>12</v>
      </c>
      <c r="C15129" t="s">
        <v>8</v>
      </c>
      <c r="D15129">
        <v>14</v>
      </c>
      <c r="E15129" s="2">
        <v>2.1597222222222223E-2</v>
      </c>
      <c r="F15129">
        <v>31.1</v>
      </c>
    </row>
    <row r="15130" spans="1:6" x14ac:dyDescent="0.25">
      <c r="A15130" s="1">
        <v>43831</v>
      </c>
      <c r="B15130" t="s">
        <v>12</v>
      </c>
      <c r="C15130" t="s">
        <v>9</v>
      </c>
      <c r="D15130">
        <v>0</v>
      </c>
      <c r="E15130" s="2">
        <v>0</v>
      </c>
      <c r="F15130">
        <v>0</v>
      </c>
    </row>
    <row r="15131" spans="1:6" x14ac:dyDescent="0.25">
      <c r="A15131" s="1">
        <v>43831</v>
      </c>
      <c r="B15131" t="s">
        <v>12</v>
      </c>
      <c r="C15131" t="s">
        <v>10</v>
      </c>
      <c r="D15131">
        <v>16</v>
      </c>
      <c r="E15131" s="2">
        <v>2.6192129629629631E-2</v>
      </c>
      <c r="F15131">
        <v>37.716666666666669</v>
      </c>
    </row>
    <row r="15132" spans="1:6" x14ac:dyDescent="0.25">
      <c r="A15132" s="1">
        <v>43831</v>
      </c>
      <c r="B15132" t="s">
        <v>12</v>
      </c>
      <c r="C15132" t="s">
        <v>11</v>
      </c>
      <c r="D15132">
        <v>39</v>
      </c>
      <c r="E15132" s="2">
        <v>5.2210648148148145E-2</v>
      </c>
      <c r="F15132">
        <v>75.183333333333337</v>
      </c>
    </row>
    <row r="15133" spans="1:6" x14ac:dyDescent="0.25">
      <c r="A15133" s="1">
        <v>43831</v>
      </c>
      <c r="B15133" t="s">
        <v>13</v>
      </c>
      <c r="C15133" t="s">
        <v>6</v>
      </c>
      <c r="D15133">
        <v>60</v>
      </c>
      <c r="E15133" s="2">
        <v>0.10769675925925926</v>
      </c>
      <c r="F15133">
        <v>155.08333333333334</v>
      </c>
    </row>
    <row r="15134" spans="1:6" x14ac:dyDescent="0.25">
      <c r="A15134" s="1">
        <v>43831</v>
      </c>
      <c r="B15134" t="s">
        <v>13</v>
      </c>
      <c r="C15134" t="s">
        <v>7</v>
      </c>
      <c r="D15134">
        <v>53</v>
      </c>
      <c r="E15134" s="2">
        <v>8.7175925925925921E-2</v>
      </c>
      <c r="F15134">
        <v>125.53333333333333</v>
      </c>
    </row>
    <row r="15135" spans="1:6" x14ac:dyDescent="0.25">
      <c r="A15135" s="1">
        <v>43831</v>
      </c>
      <c r="B15135" t="s">
        <v>13</v>
      </c>
      <c r="C15135" t="s">
        <v>8</v>
      </c>
      <c r="D15135">
        <v>36</v>
      </c>
      <c r="E15135" s="2">
        <v>5.3715277777777778E-2</v>
      </c>
      <c r="F15135">
        <v>77.349999999999994</v>
      </c>
    </row>
    <row r="15136" spans="1:6" x14ac:dyDescent="0.25">
      <c r="A15136" s="1">
        <v>43831</v>
      </c>
      <c r="B15136" t="s">
        <v>13</v>
      </c>
      <c r="C15136" t="s">
        <v>9</v>
      </c>
      <c r="D15136">
        <v>0</v>
      </c>
      <c r="E15136" s="2">
        <v>0</v>
      </c>
      <c r="F15136">
        <v>0</v>
      </c>
    </row>
    <row r="15137" spans="1:6" x14ac:dyDescent="0.25">
      <c r="A15137" s="1">
        <v>43831</v>
      </c>
      <c r="B15137" t="s">
        <v>13</v>
      </c>
      <c r="C15137" t="s">
        <v>10</v>
      </c>
      <c r="D15137">
        <v>7</v>
      </c>
      <c r="E15137" s="2">
        <v>1.1064814814814816E-2</v>
      </c>
      <c r="F15137">
        <v>15.933333333333334</v>
      </c>
    </row>
    <row r="15138" spans="1:6" x14ac:dyDescent="0.25">
      <c r="A15138" s="1">
        <v>43831</v>
      </c>
      <c r="B15138" t="s">
        <v>13</v>
      </c>
      <c r="C15138" t="s">
        <v>11</v>
      </c>
      <c r="D15138">
        <v>33</v>
      </c>
      <c r="E15138" s="2">
        <v>3.8634259259259257E-2</v>
      </c>
      <c r="F15138">
        <v>55.633333333333333</v>
      </c>
    </row>
    <row r="15139" spans="1:6" x14ac:dyDescent="0.25">
      <c r="A15139" s="1">
        <v>43831</v>
      </c>
      <c r="B15139" t="s">
        <v>14</v>
      </c>
      <c r="C15139" t="s">
        <v>6</v>
      </c>
      <c r="D15139">
        <v>5</v>
      </c>
      <c r="E15139" s="2">
        <v>1.1898148148148149E-2</v>
      </c>
      <c r="F15139">
        <v>17.133333333333333</v>
      </c>
    </row>
    <row r="15140" spans="1:6" x14ac:dyDescent="0.25">
      <c r="A15140" s="1">
        <v>43831</v>
      </c>
      <c r="B15140" t="s">
        <v>14</v>
      </c>
      <c r="C15140" t="s">
        <v>7</v>
      </c>
      <c r="D15140">
        <v>6</v>
      </c>
      <c r="E15140" s="2">
        <v>6.1574074074074074E-3</v>
      </c>
      <c r="F15140">
        <v>8.8666666666666671</v>
      </c>
    </row>
    <row r="15141" spans="1:6" x14ac:dyDescent="0.25">
      <c r="A15141" s="1">
        <v>43831</v>
      </c>
      <c r="B15141" t="s">
        <v>14</v>
      </c>
      <c r="C15141" t="s">
        <v>8</v>
      </c>
      <c r="D15141">
        <v>3</v>
      </c>
      <c r="E15141" s="2">
        <v>3.7731481481481483E-3</v>
      </c>
      <c r="F15141">
        <v>5.4333333333333336</v>
      </c>
    </row>
    <row r="15142" spans="1:6" x14ac:dyDescent="0.25">
      <c r="A15142" s="1">
        <v>43831</v>
      </c>
      <c r="B15142" t="s">
        <v>14</v>
      </c>
      <c r="C15142" t="s">
        <v>9</v>
      </c>
      <c r="D15142">
        <v>0</v>
      </c>
      <c r="E15142" s="2">
        <v>0</v>
      </c>
      <c r="F15142">
        <v>0</v>
      </c>
    </row>
    <row r="15143" spans="1:6" x14ac:dyDescent="0.25">
      <c r="A15143" s="1">
        <v>43831</v>
      </c>
      <c r="B15143" t="s">
        <v>14</v>
      </c>
      <c r="C15143" t="s">
        <v>10</v>
      </c>
      <c r="D15143">
        <v>0</v>
      </c>
      <c r="E15143" s="2">
        <v>0</v>
      </c>
      <c r="F15143">
        <v>0</v>
      </c>
    </row>
    <row r="15144" spans="1:6" x14ac:dyDescent="0.25">
      <c r="A15144" s="1">
        <v>43831</v>
      </c>
      <c r="B15144" t="s">
        <v>14</v>
      </c>
      <c r="C15144" t="s">
        <v>11</v>
      </c>
      <c r="D15144">
        <v>6</v>
      </c>
      <c r="E15144" s="2">
        <v>7.0023148148148145E-3</v>
      </c>
      <c r="F15144">
        <v>10.083333333333334</v>
      </c>
    </row>
    <row r="15145" spans="1:6" x14ac:dyDescent="0.25">
      <c r="A15145" s="1">
        <v>43831</v>
      </c>
      <c r="B15145" t="s">
        <v>15</v>
      </c>
      <c r="C15145" t="s">
        <v>6</v>
      </c>
      <c r="D15145">
        <v>18</v>
      </c>
      <c r="E15145" s="2">
        <v>4.4386574074074071E-2</v>
      </c>
      <c r="F15145">
        <v>63.916666666666664</v>
      </c>
    </row>
    <row r="15146" spans="1:6" x14ac:dyDescent="0.25">
      <c r="A15146" s="1">
        <v>43831</v>
      </c>
      <c r="B15146" t="s">
        <v>15</v>
      </c>
      <c r="C15146" t="s">
        <v>7</v>
      </c>
      <c r="D15146">
        <v>20</v>
      </c>
      <c r="E15146" s="2">
        <v>3.8506944444444448E-2</v>
      </c>
      <c r="F15146">
        <v>55.45</v>
      </c>
    </row>
    <row r="15147" spans="1:6" x14ac:dyDescent="0.25">
      <c r="A15147" s="1">
        <v>43831</v>
      </c>
      <c r="B15147" t="s">
        <v>15</v>
      </c>
      <c r="C15147" t="s">
        <v>8</v>
      </c>
      <c r="D15147">
        <v>7</v>
      </c>
      <c r="E15147" s="2">
        <v>1.4375000000000001E-2</v>
      </c>
      <c r="F15147">
        <v>20.7</v>
      </c>
    </row>
    <row r="15148" spans="1:6" x14ac:dyDescent="0.25">
      <c r="A15148" s="1">
        <v>43831</v>
      </c>
      <c r="B15148" t="s">
        <v>15</v>
      </c>
      <c r="C15148" t="s">
        <v>9</v>
      </c>
      <c r="D15148">
        <v>0</v>
      </c>
      <c r="E15148" s="2">
        <v>0</v>
      </c>
      <c r="F15148">
        <v>0</v>
      </c>
    </row>
    <row r="15149" spans="1:6" x14ac:dyDescent="0.25">
      <c r="A15149" s="1">
        <v>43831</v>
      </c>
      <c r="B15149" t="s">
        <v>15</v>
      </c>
      <c r="C15149" t="s">
        <v>10</v>
      </c>
      <c r="D15149">
        <v>14</v>
      </c>
      <c r="E15149" s="2">
        <v>2.1284722222222222E-2</v>
      </c>
      <c r="F15149">
        <v>30.65</v>
      </c>
    </row>
    <row r="15150" spans="1:6" x14ac:dyDescent="0.25">
      <c r="A15150" s="1">
        <v>43831</v>
      </c>
      <c r="B15150" t="s">
        <v>15</v>
      </c>
      <c r="C15150" t="s">
        <v>11</v>
      </c>
      <c r="D15150">
        <v>11</v>
      </c>
      <c r="E15150" s="2">
        <v>1.1608796296296296E-2</v>
      </c>
      <c r="F15150">
        <v>16.716666666666665</v>
      </c>
    </row>
    <row r="15151" spans="1:6" x14ac:dyDescent="0.25">
      <c r="A15151" s="1">
        <v>43831</v>
      </c>
      <c r="B15151" t="s">
        <v>16</v>
      </c>
      <c r="C15151" t="s">
        <v>6</v>
      </c>
      <c r="D15151">
        <v>19</v>
      </c>
      <c r="E15151" s="2">
        <v>2.1238425925925924E-2</v>
      </c>
      <c r="F15151">
        <v>30.583333333333332</v>
      </c>
    </row>
    <row r="15152" spans="1:6" x14ac:dyDescent="0.25">
      <c r="A15152" s="1">
        <v>43831</v>
      </c>
      <c r="B15152" t="s">
        <v>16</v>
      </c>
      <c r="C15152" t="s">
        <v>7</v>
      </c>
      <c r="D15152">
        <v>14</v>
      </c>
      <c r="E15152" s="2">
        <v>1.1805555555555555E-2</v>
      </c>
      <c r="F15152">
        <v>17</v>
      </c>
    </row>
    <row r="15153" spans="1:6" x14ac:dyDescent="0.25">
      <c r="A15153" s="1">
        <v>43831</v>
      </c>
      <c r="B15153" t="s">
        <v>16</v>
      </c>
      <c r="C15153" t="s">
        <v>8</v>
      </c>
      <c r="D15153">
        <v>19</v>
      </c>
      <c r="E15153" s="2">
        <v>2.4537037037037038E-2</v>
      </c>
      <c r="F15153">
        <v>35.333333333333336</v>
      </c>
    </row>
    <row r="15154" spans="1:6" x14ac:dyDescent="0.25">
      <c r="A15154" s="1">
        <v>43831</v>
      </c>
      <c r="B15154" t="s">
        <v>16</v>
      </c>
      <c r="C15154" t="s">
        <v>9</v>
      </c>
      <c r="D15154">
        <v>0</v>
      </c>
      <c r="E15154" s="2">
        <v>0</v>
      </c>
      <c r="F15154">
        <v>0</v>
      </c>
    </row>
    <row r="15155" spans="1:6" x14ac:dyDescent="0.25">
      <c r="A15155" s="1">
        <v>43831</v>
      </c>
      <c r="B15155" t="s">
        <v>16</v>
      </c>
      <c r="C15155" t="s">
        <v>10</v>
      </c>
      <c r="D15155">
        <v>2</v>
      </c>
      <c r="E15155" s="2">
        <v>1.7476851851851852E-3</v>
      </c>
      <c r="F15155">
        <v>2.5166666666666666</v>
      </c>
    </row>
    <row r="15156" spans="1:6" x14ac:dyDescent="0.25">
      <c r="A15156" s="1">
        <v>43831</v>
      </c>
      <c r="B15156" t="s">
        <v>16</v>
      </c>
      <c r="C15156" t="s">
        <v>11</v>
      </c>
      <c r="D15156">
        <v>24</v>
      </c>
      <c r="E15156" s="2">
        <v>2.2210648148148149E-2</v>
      </c>
      <c r="F15156">
        <v>31.983333333333334</v>
      </c>
    </row>
    <row r="15157" spans="1:6" x14ac:dyDescent="0.25">
      <c r="A15157" s="1">
        <v>43831</v>
      </c>
      <c r="B15157" t="s">
        <v>17</v>
      </c>
      <c r="C15157" t="s">
        <v>6</v>
      </c>
      <c r="D15157">
        <v>10</v>
      </c>
      <c r="E15157" s="2">
        <v>1.361111111111111E-2</v>
      </c>
      <c r="F15157">
        <v>19.600000000000001</v>
      </c>
    </row>
    <row r="15158" spans="1:6" x14ac:dyDescent="0.25">
      <c r="A15158" s="1">
        <v>43831</v>
      </c>
      <c r="B15158" t="s">
        <v>17</v>
      </c>
      <c r="C15158" t="s">
        <v>7</v>
      </c>
      <c r="D15158">
        <v>9</v>
      </c>
      <c r="E15158" s="2">
        <v>1.269675925925926E-2</v>
      </c>
      <c r="F15158">
        <v>18.283333333333335</v>
      </c>
    </row>
    <row r="15159" spans="1:6" x14ac:dyDescent="0.25">
      <c r="A15159" s="1">
        <v>43831</v>
      </c>
      <c r="B15159" t="s">
        <v>17</v>
      </c>
      <c r="C15159" t="s">
        <v>8</v>
      </c>
      <c r="D15159">
        <v>10</v>
      </c>
      <c r="E15159" s="2">
        <v>1.4340277777777778E-2</v>
      </c>
      <c r="F15159">
        <v>20.65</v>
      </c>
    </row>
    <row r="15160" spans="1:6" x14ac:dyDescent="0.25">
      <c r="A15160" s="1">
        <v>43831</v>
      </c>
      <c r="B15160" t="s">
        <v>17</v>
      </c>
      <c r="C15160" t="s">
        <v>9</v>
      </c>
      <c r="D15160">
        <v>0</v>
      </c>
      <c r="E15160" s="2">
        <v>0</v>
      </c>
      <c r="F15160">
        <v>0</v>
      </c>
    </row>
    <row r="15161" spans="1:6" x14ac:dyDescent="0.25">
      <c r="A15161" s="1">
        <v>43831</v>
      </c>
      <c r="B15161" t="s">
        <v>17</v>
      </c>
      <c r="C15161" t="s">
        <v>10</v>
      </c>
      <c r="D15161">
        <v>9</v>
      </c>
      <c r="E15161" s="2">
        <v>1.2395833333333333E-2</v>
      </c>
      <c r="F15161">
        <v>17.850000000000001</v>
      </c>
    </row>
    <row r="15162" spans="1:6" x14ac:dyDescent="0.25">
      <c r="A15162" s="1">
        <v>43831</v>
      </c>
      <c r="B15162" t="s">
        <v>17</v>
      </c>
      <c r="C15162" t="s">
        <v>11</v>
      </c>
      <c r="D15162">
        <v>11</v>
      </c>
      <c r="E15162" s="2">
        <v>1.1030092592592593E-2</v>
      </c>
      <c r="F15162">
        <v>15.883333333333333</v>
      </c>
    </row>
    <row r="15163" spans="1:6" x14ac:dyDescent="0.25">
      <c r="A15163" s="1">
        <v>43831</v>
      </c>
      <c r="B15163" t="s">
        <v>18</v>
      </c>
      <c r="C15163" t="s">
        <v>6</v>
      </c>
      <c r="D15163">
        <v>23</v>
      </c>
      <c r="E15163" s="2">
        <v>3.0532407407407407E-2</v>
      </c>
      <c r="F15163">
        <v>43.966666666666669</v>
      </c>
    </row>
    <row r="15164" spans="1:6" x14ac:dyDescent="0.25">
      <c r="A15164" s="1">
        <v>43831</v>
      </c>
      <c r="B15164" t="s">
        <v>18</v>
      </c>
      <c r="C15164" t="s">
        <v>7</v>
      </c>
      <c r="D15164">
        <v>40</v>
      </c>
      <c r="E15164" s="2">
        <v>4.4293981481481483E-2</v>
      </c>
      <c r="F15164">
        <v>63.783333333333331</v>
      </c>
    </row>
    <row r="15165" spans="1:6" x14ac:dyDescent="0.25">
      <c r="A15165" s="1">
        <v>43831</v>
      </c>
      <c r="B15165" t="s">
        <v>18</v>
      </c>
      <c r="C15165" t="s">
        <v>8</v>
      </c>
      <c r="D15165">
        <v>21</v>
      </c>
      <c r="E15165" s="2">
        <v>2.2025462962962962E-2</v>
      </c>
      <c r="F15165">
        <v>31.716666666666665</v>
      </c>
    </row>
    <row r="15166" spans="1:6" x14ac:dyDescent="0.25">
      <c r="A15166" s="1">
        <v>43831</v>
      </c>
      <c r="B15166" t="s">
        <v>18</v>
      </c>
      <c r="C15166" t="s">
        <v>9</v>
      </c>
      <c r="D15166">
        <v>0</v>
      </c>
      <c r="E15166" s="2">
        <v>0</v>
      </c>
      <c r="F15166">
        <v>0</v>
      </c>
    </row>
    <row r="15167" spans="1:6" x14ac:dyDescent="0.25">
      <c r="A15167" s="1">
        <v>43831</v>
      </c>
      <c r="B15167" t="s">
        <v>18</v>
      </c>
      <c r="C15167" t="s">
        <v>10</v>
      </c>
      <c r="D15167">
        <v>120</v>
      </c>
      <c r="E15167" s="2">
        <v>0.15844907407407408</v>
      </c>
      <c r="F15167">
        <v>228.16666666666666</v>
      </c>
    </row>
    <row r="15168" spans="1:6" x14ac:dyDescent="0.25">
      <c r="A15168" s="1">
        <v>43831</v>
      </c>
      <c r="B15168" t="s">
        <v>18</v>
      </c>
      <c r="C15168" t="s">
        <v>11</v>
      </c>
      <c r="D15168">
        <v>36</v>
      </c>
      <c r="E15168" s="2">
        <v>2.7858796296296295E-2</v>
      </c>
      <c r="F15168">
        <v>40.116666666666667</v>
      </c>
    </row>
    <row r="15169" spans="1:6" x14ac:dyDescent="0.25">
      <c r="A15169" s="1">
        <v>43831</v>
      </c>
      <c r="B15169" t="s">
        <v>19</v>
      </c>
      <c r="C15169" t="s">
        <v>6</v>
      </c>
      <c r="D15169">
        <v>9</v>
      </c>
      <c r="E15169" s="2">
        <v>9.9421296296296289E-3</v>
      </c>
      <c r="F15169">
        <v>14.316666666666666</v>
      </c>
    </row>
    <row r="15170" spans="1:6" x14ac:dyDescent="0.25">
      <c r="A15170" s="1">
        <v>43831</v>
      </c>
      <c r="B15170" t="s">
        <v>19</v>
      </c>
      <c r="C15170" t="s">
        <v>7</v>
      </c>
      <c r="D15170">
        <v>20</v>
      </c>
      <c r="E15170" s="2">
        <v>2.2199074074074072E-2</v>
      </c>
      <c r="F15170">
        <v>31.966666666666665</v>
      </c>
    </row>
    <row r="15171" spans="1:6" x14ac:dyDescent="0.25">
      <c r="A15171" s="1">
        <v>43831</v>
      </c>
      <c r="B15171" t="s">
        <v>19</v>
      </c>
      <c r="C15171" t="s">
        <v>8</v>
      </c>
      <c r="D15171">
        <v>21</v>
      </c>
      <c r="E15171" s="2">
        <v>2.2349537037037036E-2</v>
      </c>
      <c r="F15171">
        <v>32.18333333333333</v>
      </c>
    </row>
    <row r="15172" spans="1:6" x14ac:dyDescent="0.25">
      <c r="A15172" s="1">
        <v>43831</v>
      </c>
      <c r="B15172" t="s">
        <v>19</v>
      </c>
      <c r="C15172" t="s">
        <v>9</v>
      </c>
      <c r="D15172">
        <v>0</v>
      </c>
      <c r="E15172" s="2">
        <v>0</v>
      </c>
      <c r="F15172">
        <v>0</v>
      </c>
    </row>
    <row r="15173" spans="1:6" x14ac:dyDescent="0.25">
      <c r="A15173" s="1">
        <v>43831</v>
      </c>
      <c r="B15173" t="s">
        <v>19</v>
      </c>
      <c r="C15173" t="s">
        <v>10</v>
      </c>
      <c r="D15173">
        <v>8</v>
      </c>
      <c r="E15173" s="2">
        <v>9.1435185185185178E-3</v>
      </c>
      <c r="F15173">
        <v>13.166666666666666</v>
      </c>
    </row>
    <row r="15174" spans="1:6" x14ac:dyDescent="0.25">
      <c r="A15174" s="1">
        <v>43831</v>
      </c>
      <c r="B15174" t="s">
        <v>19</v>
      </c>
      <c r="C15174" t="s">
        <v>11</v>
      </c>
      <c r="D15174">
        <v>21</v>
      </c>
      <c r="E15174" s="2">
        <v>1.4976851851851852E-2</v>
      </c>
      <c r="F15174">
        <v>21.566666666666666</v>
      </c>
    </row>
    <row r="15175" spans="1:6" x14ac:dyDescent="0.25">
      <c r="A15175" s="1">
        <v>43831</v>
      </c>
      <c r="B15175" t="s">
        <v>20</v>
      </c>
      <c r="C15175" t="s">
        <v>6</v>
      </c>
      <c r="D15175">
        <v>23</v>
      </c>
      <c r="E15175" s="2">
        <v>3.6990740740740741E-2</v>
      </c>
      <c r="F15175">
        <v>53.266666666666666</v>
      </c>
    </row>
    <row r="15176" spans="1:6" x14ac:dyDescent="0.25">
      <c r="A15176" s="1">
        <v>43831</v>
      </c>
      <c r="B15176" t="s">
        <v>20</v>
      </c>
      <c r="C15176" t="s">
        <v>7</v>
      </c>
      <c r="D15176">
        <v>35</v>
      </c>
      <c r="E15176" s="2">
        <v>4.5277777777777778E-2</v>
      </c>
      <c r="F15176">
        <v>65.2</v>
      </c>
    </row>
    <row r="15177" spans="1:6" x14ac:dyDescent="0.25">
      <c r="A15177" s="1">
        <v>43831</v>
      </c>
      <c r="B15177" t="s">
        <v>20</v>
      </c>
      <c r="C15177" t="s">
        <v>8</v>
      </c>
      <c r="D15177">
        <v>34</v>
      </c>
      <c r="E15177" s="2">
        <v>3.8877314814814816E-2</v>
      </c>
      <c r="F15177">
        <v>55.983333333333334</v>
      </c>
    </row>
    <row r="15178" spans="1:6" x14ac:dyDescent="0.25">
      <c r="A15178" s="1">
        <v>43831</v>
      </c>
      <c r="B15178" t="s">
        <v>20</v>
      </c>
      <c r="C15178" t="s">
        <v>9</v>
      </c>
      <c r="D15178">
        <v>0</v>
      </c>
      <c r="E15178" s="2">
        <v>0</v>
      </c>
      <c r="F15178">
        <v>0</v>
      </c>
    </row>
    <row r="15179" spans="1:6" x14ac:dyDescent="0.25">
      <c r="A15179" s="1">
        <v>43831</v>
      </c>
      <c r="B15179" t="s">
        <v>20</v>
      </c>
      <c r="C15179" t="s">
        <v>10</v>
      </c>
      <c r="D15179">
        <v>4</v>
      </c>
      <c r="E15179" s="2">
        <v>4.6643518518518518E-3</v>
      </c>
      <c r="F15179">
        <v>6.7166666666666668</v>
      </c>
    </row>
    <row r="15180" spans="1:6" x14ac:dyDescent="0.25">
      <c r="A15180" s="1">
        <v>43831</v>
      </c>
      <c r="B15180" t="s">
        <v>20</v>
      </c>
      <c r="C15180" t="s">
        <v>11</v>
      </c>
      <c r="D15180">
        <v>18</v>
      </c>
      <c r="E15180" s="2">
        <v>1.6157407407407409E-2</v>
      </c>
      <c r="F15180">
        <v>23.266666666666666</v>
      </c>
    </row>
    <row r="15181" spans="1:6" x14ac:dyDescent="0.25">
      <c r="A15181" s="1">
        <v>43831</v>
      </c>
      <c r="B15181" t="s">
        <v>21</v>
      </c>
      <c r="C15181" t="s">
        <v>6</v>
      </c>
      <c r="D15181">
        <v>47</v>
      </c>
      <c r="E15181" s="2">
        <v>6.8807870370370366E-2</v>
      </c>
      <c r="F15181">
        <v>99.083333333333329</v>
      </c>
    </row>
    <row r="15182" spans="1:6" x14ac:dyDescent="0.25">
      <c r="A15182" s="1">
        <v>43831</v>
      </c>
      <c r="B15182" t="s">
        <v>21</v>
      </c>
      <c r="C15182" t="s">
        <v>7</v>
      </c>
      <c r="D15182">
        <v>57</v>
      </c>
      <c r="E15182" s="2">
        <v>6.987268518518519E-2</v>
      </c>
      <c r="F15182">
        <v>100.61666666666666</v>
      </c>
    </row>
    <row r="15183" spans="1:6" x14ac:dyDescent="0.25">
      <c r="A15183" s="1">
        <v>43831</v>
      </c>
      <c r="B15183" t="s">
        <v>21</v>
      </c>
      <c r="C15183" t="s">
        <v>8</v>
      </c>
      <c r="D15183">
        <v>44</v>
      </c>
      <c r="E15183" s="2">
        <v>4.9907407407407407E-2</v>
      </c>
      <c r="F15183">
        <v>71.86666666666666</v>
      </c>
    </row>
    <row r="15184" spans="1:6" x14ac:dyDescent="0.25">
      <c r="A15184" s="1">
        <v>43831</v>
      </c>
      <c r="B15184" t="s">
        <v>21</v>
      </c>
      <c r="C15184" t="s">
        <v>9</v>
      </c>
      <c r="D15184">
        <v>0</v>
      </c>
      <c r="E15184" s="2">
        <v>0</v>
      </c>
      <c r="F15184">
        <v>0</v>
      </c>
    </row>
    <row r="15185" spans="1:6" x14ac:dyDescent="0.25">
      <c r="A15185" s="1">
        <v>43831</v>
      </c>
      <c r="B15185" t="s">
        <v>21</v>
      </c>
      <c r="C15185" t="s">
        <v>10</v>
      </c>
      <c r="D15185">
        <v>19</v>
      </c>
      <c r="E15185" s="2">
        <v>2.5196759259259259E-2</v>
      </c>
      <c r="F15185">
        <v>36.283333333333331</v>
      </c>
    </row>
    <row r="15186" spans="1:6" x14ac:dyDescent="0.25">
      <c r="A15186" s="1">
        <v>43831</v>
      </c>
      <c r="B15186" t="s">
        <v>21</v>
      </c>
      <c r="C15186" t="s">
        <v>11</v>
      </c>
      <c r="D15186">
        <v>37</v>
      </c>
      <c r="E15186" s="2">
        <v>4.3495370370370372E-2</v>
      </c>
      <c r="F15186">
        <v>62.633333333333333</v>
      </c>
    </row>
    <row r="15187" spans="1:6" x14ac:dyDescent="0.25">
      <c r="A15187" s="1">
        <v>43831</v>
      </c>
      <c r="B15187" t="s">
        <v>22</v>
      </c>
      <c r="C15187" t="s">
        <v>6</v>
      </c>
      <c r="D15187">
        <v>13</v>
      </c>
      <c r="E15187" s="2">
        <v>2.4930555555555556E-2</v>
      </c>
      <c r="F15187">
        <v>35.9</v>
      </c>
    </row>
    <row r="15188" spans="1:6" x14ac:dyDescent="0.25">
      <c r="A15188" s="1">
        <v>43831</v>
      </c>
      <c r="B15188" t="s">
        <v>22</v>
      </c>
      <c r="C15188" t="s">
        <v>7</v>
      </c>
      <c r="D15188">
        <v>8</v>
      </c>
      <c r="E15188" s="2">
        <v>1.0428240740740741E-2</v>
      </c>
      <c r="F15188">
        <v>15.016666666666667</v>
      </c>
    </row>
    <row r="15189" spans="1:6" x14ac:dyDescent="0.25">
      <c r="A15189" s="1">
        <v>43831</v>
      </c>
      <c r="B15189" t="s">
        <v>22</v>
      </c>
      <c r="C15189" t="s">
        <v>8</v>
      </c>
      <c r="D15189">
        <v>4</v>
      </c>
      <c r="E15189" s="2">
        <v>7.1064814814814819E-3</v>
      </c>
      <c r="F15189">
        <v>10.233333333333333</v>
      </c>
    </row>
    <row r="15190" spans="1:6" x14ac:dyDescent="0.25">
      <c r="A15190" s="1">
        <v>43831</v>
      </c>
      <c r="B15190" t="s">
        <v>22</v>
      </c>
      <c r="C15190" t="s">
        <v>9</v>
      </c>
      <c r="D15190">
        <v>0</v>
      </c>
      <c r="E15190" s="2">
        <v>0</v>
      </c>
      <c r="F15190">
        <v>0</v>
      </c>
    </row>
    <row r="15191" spans="1:6" x14ac:dyDescent="0.25">
      <c r="A15191" s="1">
        <v>43831</v>
      </c>
      <c r="B15191" t="s">
        <v>22</v>
      </c>
      <c r="C15191" t="s">
        <v>10</v>
      </c>
      <c r="D15191">
        <v>7</v>
      </c>
      <c r="E15191" s="2">
        <v>1.0868055555555556E-2</v>
      </c>
      <c r="F15191">
        <v>15.65</v>
      </c>
    </row>
    <row r="15192" spans="1:6" x14ac:dyDescent="0.25">
      <c r="A15192" s="1">
        <v>43831</v>
      </c>
      <c r="B15192" t="s">
        <v>22</v>
      </c>
      <c r="C15192" t="s">
        <v>11</v>
      </c>
      <c r="D15192">
        <v>10</v>
      </c>
      <c r="E15192" s="2">
        <v>1.3668981481481482E-2</v>
      </c>
      <c r="F15192">
        <v>19.683333333333334</v>
      </c>
    </row>
    <row r="15193" spans="1:6" x14ac:dyDescent="0.25">
      <c r="A15193" s="1">
        <v>43831</v>
      </c>
      <c r="B15193" t="s">
        <v>23</v>
      </c>
      <c r="C15193" t="s">
        <v>6</v>
      </c>
      <c r="D15193">
        <v>128</v>
      </c>
      <c r="E15193" s="2">
        <v>0.18349537037037036</v>
      </c>
      <c r="F15193">
        <v>264.23333333333335</v>
      </c>
    </row>
    <row r="15194" spans="1:6" x14ac:dyDescent="0.25">
      <c r="A15194" s="1">
        <v>43831</v>
      </c>
      <c r="B15194" t="s">
        <v>23</v>
      </c>
      <c r="C15194" t="s">
        <v>7</v>
      </c>
      <c r="D15194">
        <v>149</v>
      </c>
      <c r="E15194" s="2">
        <v>0.2046412037037037</v>
      </c>
      <c r="F15194">
        <v>294.68333333333334</v>
      </c>
    </row>
    <row r="15195" spans="1:6" x14ac:dyDescent="0.25">
      <c r="A15195" s="1">
        <v>43831</v>
      </c>
      <c r="B15195" t="s">
        <v>23</v>
      </c>
      <c r="C15195" t="s">
        <v>8</v>
      </c>
      <c r="D15195">
        <v>102</v>
      </c>
      <c r="E15195" s="2">
        <v>0.12078703703703704</v>
      </c>
      <c r="F15195">
        <v>173.93333333333334</v>
      </c>
    </row>
    <row r="15196" spans="1:6" x14ac:dyDescent="0.25">
      <c r="A15196" s="1">
        <v>43831</v>
      </c>
      <c r="B15196" t="s">
        <v>23</v>
      </c>
      <c r="C15196" t="s">
        <v>9</v>
      </c>
      <c r="D15196">
        <v>0</v>
      </c>
      <c r="E15196" s="2">
        <v>0</v>
      </c>
      <c r="F15196">
        <v>0</v>
      </c>
    </row>
    <row r="15197" spans="1:6" x14ac:dyDescent="0.25">
      <c r="A15197" s="1">
        <v>43831</v>
      </c>
      <c r="B15197" t="s">
        <v>23</v>
      </c>
      <c r="C15197" t="s">
        <v>10</v>
      </c>
      <c r="D15197">
        <v>27</v>
      </c>
      <c r="E15197" s="2">
        <v>4.1134259259259259E-2</v>
      </c>
      <c r="F15197">
        <v>59.233333333333334</v>
      </c>
    </row>
    <row r="15198" spans="1:6" x14ac:dyDescent="0.25">
      <c r="A15198" s="1">
        <v>43831</v>
      </c>
      <c r="B15198" t="s">
        <v>23</v>
      </c>
      <c r="C15198" t="s">
        <v>11</v>
      </c>
      <c r="D15198">
        <v>117</v>
      </c>
      <c r="E15198" s="2">
        <v>0.11869212962962963</v>
      </c>
      <c r="F15198">
        <v>170.91666666666666</v>
      </c>
    </row>
    <row r="15199" spans="1:6" x14ac:dyDescent="0.25">
      <c r="A15199" s="1">
        <v>43831</v>
      </c>
      <c r="B15199" t="s">
        <v>24</v>
      </c>
      <c r="C15199" t="s">
        <v>6</v>
      </c>
      <c r="D15199">
        <v>4</v>
      </c>
      <c r="E15199" s="2">
        <v>9.618055555555555E-3</v>
      </c>
      <c r="F15199">
        <v>13.85</v>
      </c>
    </row>
    <row r="15200" spans="1:6" x14ac:dyDescent="0.25">
      <c r="A15200" s="1">
        <v>43831</v>
      </c>
      <c r="B15200" t="s">
        <v>24</v>
      </c>
      <c r="C15200" t="s">
        <v>7</v>
      </c>
      <c r="D15200">
        <v>7</v>
      </c>
      <c r="E15200" s="2">
        <v>9.432870370370371E-3</v>
      </c>
      <c r="F15200">
        <v>13.583333333333334</v>
      </c>
    </row>
    <row r="15201" spans="1:6" x14ac:dyDescent="0.25">
      <c r="A15201" s="1">
        <v>43831</v>
      </c>
      <c r="B15201" t="s">
        <v>24</v>
      </c>
      <c r="C15201" t="s">
        <v>8</v>
      </c>
      <c r="D15201">
        <v>9</v>
      </c>
      <c r="E15201" s="2">
        <v>6.0069444444444441E-3</v>
      </c>
      <c r="F15201">
        <v>8.65</v>
      </c>
    </row>
    <row r="15202" spans="1:6" x14ac:dyDescent="0.25">
      <c r="A15202" s="1">
        <v>43831</v>
      </c>
      <c r="B15202" t="s">
        <v>24</v>
      </c>
      <c r="C15202" t="s">
        <v>9</v>
      </c>
      <c r="D15202">
        <v>0</v>
      </c>
      <c r="E15202" s="2">
        <v>0</v>
      </c>
      <c r="F15202">
        <v>0</v>
      </c>
    </row>
    <row r="15203" spans="1:6" x14ac:dyDescent="0.25">
      <c r="A15203" s="1">
        <v>43831</v>
      </c>
      <c r="B15203" t="s">
        <v>24</v>
      </c>
      <c r="C15203" t="s">
        <v>10</v>
      </c>
      <c r="D15203">
        <v>1</v>
      </c>
      <c r="E15203" s="2">
        <v>1.2152777777777778E-3</v>
      </c>
      <c r="F15203">
        <v>1.75</v>
      </c>
    </row>
    <row r="15204" spans="1:6" x14ac:dyDescent="0.25">
      <c r="A15204" s="1">
        <v>43831</v>
      </c>
      <c r="B15204" t="s">
        <v>24</v>
      </c>
      <c r="C15204" t="s">
        <v>11</v>
      </c>
      <c r="D15204">
        <v>11</v>
      </c>
      <c r="E15204" s="2">
        <v>9.8148148148148144E-3</v>
      </c>
      <c r="F15204">
        <v>14.133333333333333</v>
      </c>
    </row>
    <row r="15205" spans="1:6" x14ac:dyDescent="0.25">
      <c r="A15205" s="1">
        <v>43862</v>
      </c>
      <c r="B15205" t="s">
        <v>5</v>
      </c>
      <c r="C15205" t="s">
        <v>6</v>
      </c>
      <c r="D15205">
        <v>19</v>
      </c>
      <c r="E15205" s="2">
        <v>2.2326388888888889E-2</v>
      </c>
      <c r="F15205">
        <v>32.15</v>
      </c>
    </row>
    <row r="15206" spans="1:6" x14ac:dyDescent="0.25">
      <c r="A15206" s="1">
        <v>43862</v>
      </c>
      <c r="B15206" t="s">
        <v>5</v>
      </c>
      <c r="C15206" t="s">
        <v>7</v>
      </c>
      <c r="D15206">
        <v>24</v>
      </c>
      <c r="E15206" s="2">
        <v>2.3136574074074073E-2</v>
      </c>
      <c r="F15206">
        <v>33.31666666666667</v>
      </c>
    </row>
    <row r="15207" spans="1:6" x14ac:dyDescent="0.25">
      <c r="A15207" s="1">
        <v>43862</v>
      </c>
      <c r="B15207" t="s">
        <v>5</v>
      </c>
      <c r="C15207" t="s">
        <v>8</v>
      </c>
      <c r="D15207">
        <v>30</v>
      </c>
      <c r="E15207" s="2">
        <v>2.5740740740740741E-2</v>
      </c>
      <c r="F15207">
        <v>37.06666666666667</v>
      </c>
    </row>
    <row r="15208" spans="1:6" x14ac:dyDescent="0.25">
      <c r="A15208" s="1">
        <v>43862</v>
      </c>
      <c r="B15208" t="s">
        <v>5</v>
      </c>
      <c r="C15208" t="s">
        <v>9</v>
      </c>
      <c r="D15208">
        <v>0</v>
      </c>
      <c r="E15208" s="2">
        <v>0</v>
      </c>
      <c r="F15208">
        <v>0</v>
      </c>
    </row>
    <row r="15209" spans="1:6" x14ac:dyDescent="0.25">
      <c r="A15209" s="1">
        <v>43862</v>
      </c>
      <c r="B15209" t="s">
        <v>5</v>
      </c>
      <c r="C15209" t="s">
        <v>10</v>
      </c>
      <c r="D15209">
        <v>2</v>
      </c>
      <c r="E15209" s="2">
        <v>3.3564814814814816E-3</v>
      </c>
      <c r="F15209">
        <v>4.833333333333333</v>
      </c>
    </row>
    <row r="15210" spans="1:6" x14ac:dyDescent="0.25">
      <c r="A15210" s="1">
        <v>43862</v>
      </c>
      <c r="B15210" t="s">
        <v>5</v>
      </c>
      <c r="C15210" t="s">
        <v>11</v>
      </c>
      <c r="D15210">
        <v>25</v>
      </c>
      <c r="E15210" s="2">
        <v>1.5949074074074074E-2</v>
      </c>
      <c r="F15210">
        <v>22.966666666666665</v>
      </c>
    </row>
    <row r="15211" spans="1:6" x14ac:dyDescent="0.25">
      <c r="A15211" s="1">
        <v>43862</v>
      </c>
      <c r="B15211" t="s">
        <v>12</v>
      </c>
      <c r="C15211" t="s">
        <v>6</v>
      </c>
      <c r="D15211">
        <v>13</v>
      </c>
      <c r="E15211" s="2">
        <v>2.4907407407407406E-2</v>
      </c>
      <c r="F15211">
        <v>35.866666666666667</v>
      </c>
    </row>
    <row r="15212" spans="1:6" x14ac:dyDescent="0.25">
      <c r="A15212" s="1">
        <v>43862</v>
      </c>
      <c r="B15212" t="s">
        <v>12</v>
      </c>
      <c r="C15212" t="s">
        <v>7</v>
      </c>
      <c r="D15212">
        <v>20</v>
      </c>
      <c r="E15212" s="2">
        <v>3.5185185185185187E-2</v>
      </c>
      <c r="F15212">
        <v>50.666666666666664</v>
      </c>
    </row>
    <row r="15213" spans="1:6" x14ac:dyDescent="0.25">
      <c r="A15213" s="1">
        <v>43862</v>
      </c>
      <c r="B15213" t="s">
        <v>12</v>
      </c>
      <c r="C15213" t="s">
        <v>8</v>
      </c>
      <c r="D15213">
        <v>18</v>
      </c>
      <c r="E15213" s="2">
        <v>2.5208333333333333E-2</v>
      </c>
      <c r="F15213">
        <v>36.299999999999997</v>
      </c>
    </row>
    <row r="15214" spans="1:6" x14ac:dyDescent="0.25">
      <c r="A15214" s="1">
        <v>43862</v>
      </c>
      <c r="B15214" t="s">
        <v>12</v>
      </c>
      <c r="C15214" t="s">
        <v>9</v>
      </c>
      <c r="D15214">
        <v>0</v>
      </c>
      <c r="E15214" s="2">
        <v>0</v>
      </c>
      <c r="F15214">
        <v>0</v>
      </c>
    </row>
    <row r="15215" spans="1:6" x14ac:dyDescent="0.25">
      <c r="A15215" s="1">
        <v>43862</v>
      </c>
      <c r="B15215" t="s">
        <v>12</v>
      </c>
      <c r="C15215" t="s">
        <v>10</v>
      </c>
      <c r="D15215">
        <v>21</v>
      </c>
      <c r="E15215" s="2">
        <v>4.1631944444444444E-2</v>
      </c>
      <c r="F15215">
        <v>59.95</v>
      </c>
    </row>
    <row r="15216" spans="1:6" x14ac:dyDescent="0.25">
      <c r="A15216" s="1">
        <v>43862</v>
      </c>
      <c r="B15216" t="s">
        <v>12</v>
      </c>
      <c r="C15216" t="s">
        <v>11</v>
      </c>
      <c r="D15216">
        <v>46</v>
      </c>
      <c r="E15216" s="2">
        <v>5.9166666666666666E-2</v>
      </c>
      <c r="F15216">
        <v>85.2</v>
      </c>
    </row>
    <row r="15217" spans="1:6" x14ac:dyDescent="0.25">
      <c r="A15217" s="1">
        <v>43862</v>
      </c>
      <c r="B15217" t="s">
        <v>13</v>
      </c>
      <c r="C15217" t="s">
        <v>6</v>
      </c>
      <c r="D15217">
        <v>66</v>
      </c>
      <c r="E15217" s="2">
        <v>0.13368055555555555</v>
      </c>
      <c r="F15217">
        <v>192.5</v>
      </c>
    </row>
    <row r="15218" spans="1:6" x14ac:dyDescent="0.25">
      <c r="A15218" s="1">
        <v>43862</v>
      </c>
      <c r="B15218" t="s">
        <v>13</v>
      </c>
      <c r="C15218" t="s">
        <v>7</v>
      </c>
      <c r="D15218">
        <v>60</v>
      </c>
      <c r="E15218" s="2">
        <v>8.0243055555555554E-2</v>
      </c>
      <c r="F15218">
        <v>115.55</v>
      </c>
    </row>
    <row r="15219" spans="1:6" x14ac:dyDescent="0.25">
      <c r="A15219" s="1">
        <v>43862</v>
      </c>
      <c r="B15219" t="s">
        <v>13</v>
      </c>
      <c r="C15219" t="s">
        <v>8</v>
      </c>
      <c r="D15219">
        <v>38</v>
      </c>
      <c r="E15219" s="2">
        <v>6.5115740740740738E-2</v>
      </c>
      <c r="F15219">
        <v>93.766666666666666</v>
      </c>
    </row>
    <row r="15220" spans="1:6" x14ac:dyDescent="0.25">
      <c r="A15220" s="1">
        <v>43862</v>
      </c>
      <c r="B15220" t="s">
        <v>13</v>
      </c>
      <c r="C15220" t="s">
        <v>9</v>
      </c>
      <c r="D15220">
        <v>0</v>
      </c>
      <c r="E15220" s="2">
        <v>0</v>
      </c>
      <c r="F15220">
        <v>0</v>
      </c>
    </row>
    <row r="15221" spans="1:6" x14ac:dyDescent="0.25">
      <c r="A15221" s="1">
        <v>43862</v>
      </c>
      <c r="B15221" t="s">
        <v>13</v>
      </c>
      <c r="C15221" t="s">
        <v>10</v>
      </c>
      <c r="D15221">
        <v>8</v>
      </c>
      <c r="E15221" s="2">
        <v>1.2986111111111111E-2</v>
      </c>
      <c r="F15221">
        <v>18.7</v>
      </c>
    </row>
    <row r="15222" spans="1:6" x14ac:dyDescent="0.25">
      <c r="A15222" s="1">
        <v>43862</v>
      </c>
      <c r="B15222" t="s">
        <v>13</v>
      </c>
      <c r="C15222" t="s">
        <v>11</v>
      </c>
      <c r="D15222">
        <v>47</v>
      </c>
      <c r="E15222" s="2">
        <v>5.949074074074074E-2</v>
      </c>
      <c r="F15222">
        <v>85.666666666666671</v>
      </c>
    </row>
    <row r="15223" spans="1:6" x14ac:dyDescent="0.25">
      <c r="A15223" s="1">
        <v>43862</v>
      </c>
      <c r="B15223" t="s">
        <v>14</v>
      </c>
      <c r="C15223" t="s">
        <v>6</v>
      </c>
      <c r="D15223">
        <v>3</v>
      </c>
      <c r="E15223" s="2">
        <v>3.9236111111111112E-3</v>
      </c>
      <c r="F15223">
        <v>5.65</v>
      </c>
    </row>
    <row r="15224" spans="1:6" x14ac:dyDescent="0.25">
      <c r="A15224" s="1">
        <v>43862</v>
      </c>
      <c r="B15224" t="s">
        <v>14</v>
      </c>
      <c r="C15224" t="s">
        <v>7</v>
      </c>
      <c r="D15224">
        <v>6</v>
      </c>
      <c r="E15224" s="2">
        <v>1.2002314814814815E-2</v>
      </c>
      <c r="F15224">
        <v>17.283333333333335</v>
      </c>
    </row>
    <row r="15225" spans="1:6" x14ac:dyDescent="0.25">
      <c r="A15225" s="1">
        <v>43862</v>
      </c>
      <c r="B15225" t="s">
        <v>14</v>
      </c>
      <c r="C15225" t="s">
        <v>8</v>
      </c>
      <c r="D15225">
        <v>1</v>
      </c>
      <c r="E15225" s="2">
        <v>1.5393518518518519E-3</v>
      </c>
      <c r="F15225">
        <v>2.2166666666666668</v>
      </c>
    </row>
    <row r="15226" spans="1:6" x14ac:dyDescent="0.25">
      <c r="A15226" s="1">
        <v>43862</v>
      </c>
      <c r="B15226" t="s">
        <v>14</v>
      </c>
      <c r="C15226" t="s">
        <v>9</v>
      </c>
      <c r="D15226">
        <v>0</v>
      </c>
      <c r="E15226" s="2">
        <v>0</v>
      </c>
      <c r="F15226">
        <v>0</v>
      </c>
    </row>
    <row r="15227" spans="1:6" x14ac:dyDescent="0.25">
      <c r="A15227" s="1">
        <v>43862</v>
      </c>
      <c r="B15227" t="s">
        <v>14</v>
      </c>
      <c r="C15227" t="s">
        <v>10</v>
      </c>
      <c r="D15227">
        <v>0</v>
      </c>
      <c r="E15227" s="2">
        <v>0</v>
      </c>
      <c r="F15227">
        <v>0</v>
      </c>
    </row>
    <row r="15228" spans="1:6" x14ac:dyDescent="0.25">
      <c r="A15228" s="1">
        <v>43862</v>
      </c>
      <c r="B15228" t="s">
        <v>14</v>
      </c>
      <c r="C15228" t="s">
        <v>11</v>
      </c>
      <c r="D15228">
        <v>2</v>
      </c>
      <c r="E15228" s="2">
        <v>2.8356481481481483E-3</v>
      </c>
      <c r="F15228">
        <v>4.083333333333333</v>
      </c>
    </row>
    <row r="15229" spans="1:6" x14ac:dyDescent="0.25">
      <c r="A15229" s="1">
        <v>43862</v>
      </c>
      <c r="B15229" t="s">
        <v>15</v>
      </c>
      <c r="C15229" t="s">
        <v>6</v>
      </c>
      <c r="D15229">
        <v>39</v>
      </c>
      <c r="E15229" s="2">
        <v>6.3206018518518522E-2</v>
      </c>
      <c r="F15229">
        <v>91.016666666666666</v>
      </c>
    </row>
    <row r="15230" spans="1:6" x14ac:dyDescent="0.25">
      <c r="A15230" s="1">
        <v>43862</v>
      </c>
      <c r="B15230" t="s">
        <v>15</v>
      </c>
      <c r="C15230" t="s">
        <v>7</v>
      </c>
      <c r="D15230">
        <v>27</v>
      </c>
      <c r="E15230" s="2">
        <v>4.4282407407407409E-2</v>
      </c>
      <c r="F15230">
        <v>63.766666666666666</v>
      </c>
    </row>
    <row r="15231" spans="1:6" x14ac:dyDescent="0.25">
      <c r="A15231" s="1">
        <v>43862</v>
      </c>
      <c r="B15231" t="s">
        <v>15</v>
      </c>
      <c r="C15231" t="s">
        <v>8</v>
      </c>
      <c r="D15231">
        <v>19</v>
      </c>
      <c r="E15231" s="2">
        <v>2.4699074074074075E-2</v>
      </c>
      <c r="F15231">
        <v>35.56666666666667</v>
      </c>
    </row>
    <row r="15232" spans="1:6" x14ac:dyDescent="0.25">
      <c r="A15232" s="1">
        <v>43862</v>
      </c>
      <c r="B15232" t="s">
        <v>15</v>
      </c>
      <c r="C15232" t="s">
        <v>9</v>
      </c>
      <c r="D15232">
        <v>0</v>
      </c>
      <c r="E15232" s="2">
        <v>0</v>
      </c>
      <c r="F15232">
        <v>0</v>
      </c>
    </row>
    <row r="15233" spans="1:6" x14ac:dyDescent="0.25">
      <c r="A15233" s="1">
        <v>43862</v>
      </c>
      <c r="B15233" t="s">
        <v>15</v>
      </c>
      <c r="C15233" t="s">
        <v>10</v>
      </c>
      <c r="D15233">
        <v>11</v>
      </c>
      <c r="E15233" s="2">
        <v>1.7141203703703704E-2</v>
      </c>
      <c r="F15233">
        <v>24.683333333333334</v>
      </c>
    </row>
    <row r="15234" spans="1:6" x14ac:dyDescent="0.25">
      <c r="A15234" s="1">
        <v>43862</v>
      </c>
      <c r="B15234" t="s">
        <v>15</v>
      </c>
      <c r="C15234" t="s">
        <v>11</v>
      </c>
      <c r="D15234">
        <v>21</v>
      </c>
      <c r="E15234" s="2">
        <v>2.1689814814814815E-2</v>
      </c>
      <c r="F15234">
        <v>31.233333333333334</v>
      </c>
    </row>
    <row r="15235" spans="1:6" x14ac:dyDescent="0.25">
      <c r="A15235" s="1">
        <v>43862</v>
      </c>
      <c r="B15235" t="s">
        <v>16</v>
      </c>
      <c r="C15235" t="s">
        <v>6</v>
      </c>
      <c r="D15235">
        <v>13</v>
      </c>
      <c r="E15235" s="2">
        <v>1.804398148148148E-2</v>
      </c>
      <c r="F15235">
        <v>25.983333333333334</v>
      </c>
    </row>
    <row r="15236" spans="1:6" x14ac:dyDescent="0.25">
      <c r="A15236" s="1">
        <v>43862</v>
      </c>
      <c r="B15236" t="s">
        <v>16</v>
      </c>
      <c r="C15236" t="s">
        <v>7</v>
      </c>
      <c r="D15236">
        <v>8</v>
      </c>
      <c r="E15236" s="2">
        <v>9.7222222222222224E-3</v>
      </c>
      <c r="F15236">
        <v>14</v>
      </c>
    </row>
    <row r="15237" spans="1:6" x14ac:dyDescent="0.25">
      <c r="A15237" s="1">
        <v>43862</v>
      </c>
      <c r="B15237" t="s">
        <v>16</v>
      </c>
      <c r="C15237" t="s">
        <v>8</v>
      </c>
      <c r="D15237">
        <v>6</v>
      </c>
      <c r="E15237" s="2">
        <v>5.4282407407407404E-3</v>
      </c>
      <c r="F15237">
        <v>7.8166666666666664</v>
      </c>
    </row>
    <row r="15238" spans="1:6" x14ac:dyDescent="0.25">
      <c r="A15238" s="1">
        <v>43862</v>
      </c>
      <c r="B15238" t="s">
        <v>16</v>
      </c>
      <c r="C15238" t="s">
        <v>9</v>
      </c>
      <c r="D15238">
        <v>0</v>
      </c>
      <c r="E15238" s="2">
        <v>0</v>
      </c>
      <c r="F15238">
        <v>0</v>
      </c>
    </row>
    <row r="15239" spans="1:6" x14ac:dyDescent="0.25">
      <c r="A15239" s="1">
        <v>43862</v>
      </c>
      <c r="B15239" t="s">
        <v>16</v>
      </c>
      <c r="C15239" t="s">
        <v>10</v>
      </c>
      <c r="D15239">
        <v>2</v>
      </c>
      <c r="E15239" s="2">
        <v>1.7824074074074075E-3</v>
      </c>
      <c r="F15239">
        <v>2.5666666666666664</v>
      </c>
    </row>
    <row r="15240" spans="1:6" x14ac:dyDescent="0.25">
      <c r="A15240" s="1">
        <v>43862</v>
      </c>
      <c r="B15240" t="s">
        <v>16</v>
      </c>
      <c r="C15240" t="s">
        <v>11</v>
      </c>
      <c r="D15240">
        <v>24</v>
      </c>
      <c r="E15240" s="2">
        <v>1.6909722222222222E-2</v>
      </c>
      <c r="F15240">
        <v>24.35</v>
      </c>
    </row>
    <row r="15241" spans="1:6" x14ac:dyDescent="0.25">
      <c r="A15241" s="1">
        <v>43862</v>
      </c>
      <c r="B15241" t="s">
        <v>17</v>
      </c>
      <c r="C15241" t="s">
        <v>6</v>
      </c>
      <c r="D15241">
        <v>10</v>
      </c>
      <c r="E15241" s="2">
        <v>7.1180555555555554E-3</v>
      </c>
      <c r="F15241">
        <v>10.25</v>
      </c>
    </row>
    <row r="15242" spans="1:6" x14ac:dyDescent="0.25">
      <c r="A15242" s="1">
        <v>43862</v>
      </c>
      <c r="B15242" t="s">
        <v>17</v>
      </c>
      <c r="C15242" t="s">
        <v>7</v>
      </c>
      <c r="D15242">
        <v>8</v>
      </c>
      <c r="E15242" s="2">
        <v>8.5300925925925926E-3</v>
      </c>
      <c r="F15242">
        <v>12.283333333333333</v>
      </c>
    </row>
    <row r="15243" spans="1:6" x14ac:dyDescent="0.25">
      <c r="A15243" s="1">
        <v>43862</v>
      </c>
      <c r="B15243" t="s">
        <v>17</v>
      </c>
      <c r="C15243" t="s">
        <v>8</v>
      </c>
      <c r="D15243">
        <v>8</v>
      </c>
      <c r="E15243" s="2">
        <v>6.0416666666666665E-3</v>
      </c>
      <c r="F15243">
        <v>8.6999999999999993</v>
      </c>
    </row>
    <row r="15244" spans="1:6" x14ac:dyDescent="0.25">
      <c r="A15244" s="1">
        <v>43862</v>
      </c>
      <c r="B15244" t="s">
        <v>17</v>
      </c>
      <c r="C15244" t="s">
        <v>9</v>
      </c>
      <c r="D15244">
        <v>0</v>
      </c>
      <c r="E15244" s="2">
        <v>0</v>
      </c>
      <c r="F15244">
        <v>0</v>
      </c>
    </row>
    <row r="15245" spans="1:6" x14ac:dyDescent="0.25">
      <c r="A15245" s="1">
        <v>43862</v>
      </c>
      <c r="B15245" t="s">
        <v>17</v>
      </c>
      <c r="C15245" t="s">
        <v>10</v>
      </c>
      <c r="D15245">
        <v>7</v>
      </c>
      <c r="E15245" s="2">
        <v>1.1180555555555555E-2</v>
      </c>
      <c r="F15245">
        <v>16.100000000000001</v>
      </c>
    </row>
    <row r="15246" spans="1:6" x14ac:dyDescent="0.25">
      <c r="A15246" s="1">
        <v>43862</v>
      </c>
      <c r="B15246" t="s">
        <v>17</v>
      </c>
      <c r="C15246" t="s">
        <v>11</v>
      </c>
      <c r="D15246">
        <v>11</v>
      </c>
      <c r="E15246" s="2">
        <v>9.3634259259259261E-3</v>
      </c>
      <c r="F15246">
        <v>13.483333333333333</v>
      </c>
    </row>
    <row r="15247" spans="1:6" x14ac:dyDescent="0.25">
      <c r="A15247" s="1">
        <v>43862</v>
      </c>
      <c r="B15247" t="s">
        <v>18</v>
      </c>
      <c r="C15247" t="s">
        <v>6</v>
      </c>
      <c r="D15247">
        <v>21</v>
      </c>
      <c r="E15247" s="2">
        <v>2.9305555555555557E-2</v>
      </c>
      <c r="F15247">
        <v>42.2</v>
      </c>
    </row>
    <row r="15248" spans="1:6" x14ac:dyDescent="0.25">
      <c r="A15248" s="1">
        <v>43862</v>
      </c>
      <c r="B15248" t="s">
        <v>18</v>
      </c>
      <c r="C15248" t="s">
        <v>7</v>
      </c>
      <c r="D15248">
        <v>37</v>
      </c>
      <c r="E15248" s="2">
        <v>4.5682870370370374E-2</v>
      </c>
      <c r="F15248">
        <v>65.783333333333331</v>
      </c>
    </row>
    <row r="15249" spans="1:6" x14ac:dyDescent="0.25">
      <c r="A15249" s="1">
        <v>43862</v>
      </c>
      <c r="B15249" t="s">
        <v>18</v>
      </c>
      <c r="C15249" t="s">
        <v>8</v>
      </c>
      <c r="D15249">
        <v>13</v>
      </c>
      <c r="E15249" s="2">
        <v>1.5069444444444444E-2</v>
      </c>
      <c r="F15249">
        <v>21.7</v>
      </c>
    </row>
    <row r="15250" spans="1:6" x14ac:dyDescent="0.25">
      <c r="A15250" s="1">
        <v>43862</v>
      </c>
      <c r="B15250" t="s">
        <v>18</v>
      </c>
      <c r="C15250" t="s">
        <v>9</v>
      </c>
      <c r="D15250">
        <v>0</v>
      </c>
      <c r="E15250" s="2">
        <v>0</v>
      </c>
      <c r="F15250">
        <v>0</v>
      </c>
    </row>
    <row r="15251" spans="1:6" x14ac:dyDescent="0.25">
      <c r="A15251" s="1">
        <v>43862</v>
      </c>
      <c r="B15251" t="s">
        <v>18</v>
      </c>
      <c r="C15251" t="s">
        <v>10</v>
      </c>
      <c r="D15251">
        <v>107</v>
      </c>
      <c r="E15251" s="2">
        <v>0.15137731481481481</v>
      </c>
      <c r="F15251">
        <v>217.98333333333332</v>
      </c>
    </row>
    <row r="15252" spans="1:6" x14ac:dyDescent="0.25">
      <c r="A15252" s="1">
        <v>43862</v>
      </c>
      <c r="B15252" t="s">
        <v>18</v>
      </c>
      <c r="C15252" t="s">
        <v>11</v>
      </c>
      <c r="D15252">
        <v>20</v>
      </c>
      <c r="E15252" s="2">
        <v>1.3356481481481481E-2</v>
      </c>
      <c r="F15252">
        <v>19.233333333333334</v>
      </c>
    </row>
    <row r="15253" spans="1:6" x14ac:dyDescent="0.25">
      <c r="A15253" s="1">
        <v>43862</v>
      </c>
      <c r="B15253" t="s">
        <v>19</v>
      </c>
      <c r="C15253" t="s">
        <v>6</v>
      </c>
      <c r="D15253">
        <v>10</v>
      </c>
      <c r="E15253" s="2">
        <v>1.480324074074074E-2</v>
      </c>
      <c r="F15253">
        <v>21.316666666666666</v>
      </c>
    </row>
    <row r="15254" spans="1:6" x14ac:dyDescent="0.25">
      <c r="A15254" s="1">
        <v>43862</v>
      </c>
      <c r="B15254" t="s">
        <v>19</v>
      </c>
      <c r="C15254" t="s">
        <v>7</v>
      </c>
      <c r="D15254">
        <v>17</v>
      </c>
      <c r="E15254" s="2">
        <v>2.3125E-2</v>
      </c>
      <c r="F15254">
        <v>33.299999999999997</v>
      </c>
    </row>
    <row r="15255" spans="1:6" x14ac:dyDescent="0.25">
      <c r="A15255" s="1">
        <v>43862</v>
      </c>
      <c r="B15255" t="s">
        <v>19</v>
      </c>
      <c r="C15255" t="s">
        <v>8</v>
      </c>
      <c r="D15255">
        <v>12</v>
      </c>
      <c r="E15255" s="2">
        <v>1.3518518518518518E-2</v>
      </c>
      <c r="F15255">
        <v>19.466666666666665</v>
      </c>
    </row>
    <row r="15256" spans="1:6" x14ac:dyDescent="0.25">
      <c r="A15256" s="1">
        <v>43862</v>
      </c>
      <c r="B15256" t="s">
        <v>19</v>
      </c>
      <c r="C15256" t="s">
        <v>9</v>
      </c>
      <c r="D15256">
        <v>0</v>
      </c>
      <c r="E15256" s="2">
        <v>0</v>
      </c>
      <c r="F15256">
        <v>0</v>
      </c>
    </row>
    <row r="15257" spans="1:6" x14ac:dyDescent="0.25">
      <c r="A15257" s="1">
        <v>43862</v>
      </c>
      <c r="B15257" t="s">
        <v>19</v>
      </c>
      <c r="C15257" t="s">
        <v>10</v>
      </c>
      <c r="D15257">
        <v>9</v>
      </c>
      <c r="E15257" s="2">
        <v>1.1643518518518518E-2</v>
      </c>
      <c r="F15257">
        <v>16.766666666666666</v>
      </c>
    </row>
    <row r="15258" spans="1:6" x14ac:dyDescent="0.25">
      <c r="A15258" s="1">
        <v>43862</v>
      </c>
      <c r="B15258" t="s">
        <v>19</v>
      </c>
      <c r="C15258" t="s">
        <v>11</v>
      </c>
      <c r="D15258">
        <v>20</v>
      </c>
      <c r="E15258" s="2">
        <v>1.3680555555555555E-2</v>
      </c>
      <c r="F15258">
        <v>19.7</v>
      </c>
    </row>
    <row r="15259" spans="1:6" x14ac:dyDescent="0.25">
      <c r="A15259" s="1">
        <v>43862</v>
      </c>
      <c r="B15259" t="s">
        <v>20</v>
      </c>
      <c r="C15259" t="s">
        <v>6</v>
      </c>
      <c r="D15259">
        <v>29</v>
      </c>
      <c r="E15259" s="2">
        <v>4.6585648148148147E-2</v>
      </c>
      <c r="F15259">
        <v>67.083333333333329</v>
      </c>
    </row>
    <row r="15260" spans="1:6" x14ac:dyDescent="0.25">
      <c r="A15260" s="1">
        <v>43862</v>
      </c>
      <c r="B15260" t="s">
        <v>20</v>
      </c>
      <c r="C15260" t="s">
        <v>7</v>
      </c>
      <c r="D15260">
        <v>43</v>
      </c>
      <c r="E15260" s="2">
        <v>5.7037037037037039E-2</v>
      </c>
      <c r="F15260">
        <v>82.13333333333334</v>
      </c>
    </row>
    <row r="15261" spans="1:6" x14ac:dyDescent="0.25">
      <c r="A15261" s="1">
        <v>43862</v>
      </c>
      <c r="B15261" t="s">
        <v>20</v>
      </c>
      <c r="C15261" t="s">
        <v>8</v>
      </c>
      <c r="D15261">
        <v>44</v>
      </c>
      <c r="E15261" s="2">
        <v>5.9247685185185188E-2</v>
      </c>
      <c r="F15261">
        <v>85.316666666666663</v>
      </c>
    </row>
    <row r="15262" spans="1:6" x14ac:dyDescent="0.25">
      <c r="A15262" s="1">
        <v>43862</v>
      </c>
      <c r="B15262" t="s">
        <v>20</v>
      </c>
      <c r="C15262" t="s">
        <v>9</v>
      </c>
      <c r="D15262">
        <v>0</v>
      </c>
      <c r="E15262" s="2">
        <v>0</v>
      </c>
      <c r="F15262">
        <v>0</v>
      </c>
    </row>
    <row r="15263" spans="1:6" x14ac:dyDescent="0.25">
      <c r="A15263" s="1">
        <v>43862</v>
      </c>
      <c r="B15263" t="s">
        <v>20</v>
      </c>
      <c r="C15263" t="s">
        <v>10</v>
      </c>
      <c r="D15263">
        <v>9</v>
      </c>
      <c r="E15263" s="2">
        <v>1.1354166666666667E-2</v>
      </c>
      <c r="F15263">
        <v>16.350000000000001</v>
      </c>
    </row>
    <row r="15264" spans="1:6" x14ac:dyDescent="0.25">
      <c r="A15264" s="1">
        <v>43862</v>
      </c>
      <c r="B15264" t="s">
        <v>20</v>
      </c>
      <c r="C15264" t="s">
        <v>11</v>
      </c>
      <c r="D15264">
        <v>29</v>
      </c>
      <c r="E15264" s="2">
        <v>2.9247685185185186E-2</v>
      </c>
      <c r="F15264">
        <v>42.116666666666667</v>
      </c>
    </row>
    <row r="15265" spans="1:6" x14ac:dyDescent="0.25">
      <c r="A15265" s="1">
        <v>43862</v>
      </c>
      <c r="B15265" t="s">
        <v>21</v>
      </c>
      <c r="C15265" t="s">
        <v>6</v>
      </c>
      <c r="D15265">
        <v>98</v>
      </c>
      <c r="E15265" s="2">
        <v>0.12324074074074073</v>
      </c>
      <c r="F15265">
        <v>177.46666666666667</v>
      </c>
    </row>
    <row r="15266" spans="1:6" x14ac:dyDescent="0.25">
      <c r="A15266" s="1">
        <v>43862</v>
      </c>
      <c r="B15266" t="s">
        <v>21</v>
      </c>
      <c r="C15266" t="s">
        <v>7</v>
      </c>
      <c r="D15266">
        <v>123</v>
      </c>
      <c r="E15266" s="2">
        <v>0.14523148148148149</v>
      </c>
      <c r="F15266">
        <v>209.13333333333333</v>
      </c>
    </row>
    <row r="15267" spans="1:6" x14ac:dyDescent="0.25">
      <c r="A15267" s="1">
        <v>43862</v>
      </c>
      <c r="B15267" t="s">
        <v>21</v>
      </c>
      <c r="C15267" t="s">
        <v>8</v>
      </c>
      <c r="D15267">
        <v>108</v>
      </c>
      <c r="E15267" s="2">
        <v>0.11422453703703704</v>
      </c>
      <c r="F15267">
        <v>164.48333333333332</v>
      </c>
    </row>
    <row r="15268" spans="1:6" x14ac:dyDescent="0.25">
      <c r="A15268" s="1">
        <v>43862</v>
      </c>
      <c r="B15268" t="s">
        <v>21</v>
      </c>
      <c r="C15268" t="s">
        <v>9</v>
      </c>
      <c r="D15268">
        <v>0</v>
      </c>
      <c r="E15268" s="2">
        <v>0</v>
      </c>
      <c r="F15268">
        <v>0</v>
      </c>
    </row>
    <row r="15269" spans="1:6" x14ac:dyDescent="0.25">
      <c r="A15269" s="1">
        <v>43862</v>
      </c>
      <c r="B15269" t="s">
        <v>21</v>
      </c>
      <c r="C15269" t="s">
        <v>10</v>
      </c>
      <c r="D15269">
        <v>23</v>
      </c>
      <c r="E15269" s="2">
        <v>3.2812500000000001E-2</v>
      </c>
      <c r="F15269">
        <v>47.25</v>
      </c>
    </row>
    <row r="15270" spans="1:6" x14ac:dyDescent="0.25">
      <c r="A15270" s="1">
        <v>43862</v>
      </c>
      <c r="B15270" t="s">
        <v>21</v>
      </c>
      <c r="C15270" t="s">
        <v>11</v>
      </c>
      <c r="D15270">
        <v>104</v>
      </c>
      <c r="E15270" s="2">
        <v>9.6203703703703708E-2</v>
      </c>
      <c r="F15270">
        <v>138.53333333333333</v>
      </c>
    </row>
    <row r="15271" spans="1:6" x14ac:dyDescent="0.25">
      <c r="A15271" s="1">
        <v>43862</v>
      </c>
      <c r="B15271" t="s">
        <v>22</v>
      </c>
      <c r="C15271" t="s">
        <v>6</v>
      </c>
      <c r="D15271">
        <v>15</v>
      </c>
      <c r="E15271" s="2">
        <v>2.6539351851851852E-2</v>
      </c>
      <c r="F15271">
        <v>38.216666666666669</v>
      </c>
    </row>
    <row r="15272" spans="1:6" x14ac:dyDescent="0.25">
      <c r="A15272" s="1">
        <v>43862</v>
      </c>
      <c r="B15272" t="s">
        <v>22</v>
      </c>
      <c r="C15272" t="s">
        <v>7</v>
      </c>
      <c r="D15272">
        <v>11</v>
      </c>
      <c r="E15272" s="2">
        <v>1.7326388888888888E-2</v>
      </c>
      <c r="F15272">
        <v>24.95</v>
      </c>
    </row>
    <row r="15273" spans="1:6" x14ac:dyDescent="0.25">
      <c r="A15273" s="1">
        <v>43862</v>
      </c>
      <c r="B15273" t="s">
        <v>22</v>
      </c>
      <c r="C15273" t="s">
        <v>8</v>
      </c>
      <c r="D15273">
        <v>16</v>
      </c>
      <c r="E15273" s="2">
        <v>2.5520833333333333E-2</v>
      </c>
      <c r="F15273">
        <v>36.75</v>
      </c>
    </row>
    <row r="15274" spans="1:6" x14ac:dyDescent="0.25">
      <c r="A15274" s="1">
        <v>43862</v>
      </c>
      <c r="B15274" t="s">
        <v>22</v>
      </c>
      <c r="C15274" t="s">
        <v>9</v>
      </c>
      <c r="D15274">
        <v>0</v>
      </c>
      <c r="E15274" s="2">
        <v>0</v>
      </c>
      <c r="F15274">
        <v>0</v>
      </c>
    </row>
    <row r="15275" spans="1:6" x14ac:dyDescent="0.25">
      <c r="A15275" s="1">
        <v>43862</v>
      </c>
      <c r="B15275" t="s">
        <v>22</v>
      </c>
      <c r="C15275" t="s">
        <v>10</v>
      </c>
      <c r="D15275">
        <v>6</v>
      </c>
      <c r="E15275" s="2">
        <v>9.1782407407407403E-3</v>
      </c>
      <c r="F15275">
        <v>13.216666666666667</v>
      </c>
    </row>
    <row r="15276" spans="1:6" x14ac:dyDescent="0.25">
      <c r="A15276" s="1">
        <v>43862</v>
      </c>
      <c r="B15276" t="s">
        <v>22</v>
      </c>
      <c r="C15276" t="s">
        <v>11</v>
      </c>
      <c r="D15276">
        <v>9</v>
      </c>
      <c r="E15276" s="2">
        <v>1.0046296296296296E-2</v>
      </c>
      <c r="F15276">
        <v>14.466666666666667</v>
      </c>
    </row>
    <row r="15277" spans="1:6" x14ac:dyDescent="0.25">
      <c r="A15277" s="1">
        <v>43862</v>
      </c>
      <c r="B15277" t="s">
        <v>23</v>
      </c>
      <c r="C15277" t="s">
        <v>6</v>
      </c>
      <c r="D15277">
        <v>73</v>
      </c>
      <c r="E15277" s="2">
        <v>0.13957175925925927</v>
      </c>
      <c r="F15277">
        <v>200.98333333333332</v>
      </c>
    </row>
    <row r="15278" spans="1:6" x14ac:dyDescent="0.25">
      <c r="A15278" s="1">
        <v>43862</v>
      </c>
      <c r="B15278" t="s">
        <v>23</v>
      </c>
      <c r="C15278" t="s">
        <v>7</v>
      </c>
      <c r="D15278">
        <v>73</v>
      </c>
      <c r="E15278" s="2">
        <v>0.10449074074074075</v>
      </c>
      <c r="F15278">
        <v>150.46666666666667</v>
      </c>
    </row>
    <row r="15279" spans="1:6" x14ac:dyDescent="0.25">
      <c r="A15279" s="1">
        <v>43862</v>
      </c>
      <c r="B15279" t="s">
        <v>23</v>
      </c>
      <c r="C15279" t="s">
        <v>8</v>
      </c>
      <c r="D15279">
        <v>36</v>
      </c>
      <c r="E15279" s="2">
        <v>5.4571759259259257E-2</v>
      </c>
      <c r="F15279">
        <v>78.583333333333329</v>
      </c>
    </row>
    <row r="15280" spans="1:6" x14ac:dyDescent="0.25">
      <c r="A15280" s="1">
        <v>43862</v>
      </c>
      <c r="B15280" t="s">
        <v>23</v>
      </c>
      <c r="C15280" t="s">
        <v>9</v>
      </c>
      <c r="D15280">
        <v>0</v>
      </c>
      <c r="E15280" s="2">
        <v>0</v>
      </c>
      <c r="F15280">
        <v>0</v>
      </c>
    </row>
    <row r="15281" spans="1:6" x14ac:dyDescent="0.25">
      <c r="A15281" s="1">
        <v>43862</v>
      </c>
      <c r="B15281" t="s">
        <v>23</v>
      </c>
      <c r="C15281" t="s">
        <v>10</v>
      </c>
      <c r="D15281">
        <v>24</v>
      </c>
      <c r="E15281" s="2">
        <v>4.3425925925925923E-2</v>
      </c>
      <c r="F15281">
        <v>62.533333333333331</v>
      </c>
    </row>
    <row r="15282" spans="1:6" x14ac:dyDescent="0.25">
      <c r="A15282" s="1">
        <v>43862</v>
      </c>
      <c r="B15282" t="s">
        <v>23</v>
      </c>
      <c r="C15282" t="s">
        <v>11</v>
      </c>
      <c r="D15282">
        <v>49</v>
      </c>
      <c r="E15282" s="2">
        <v>5.4386574074074073E-2</v>
      </c>
      <c r="F15282">
        <v>78.316666666666663</v>
      </c>
    </row>
    <row r="15283" spans="1:6" x14ac:dyDescent="0.25">
      <c r="A15283" s="1">
        <v>43862</v>
      </c>
      <c r="B15283" t="s">
        <v>24</v>
      </c>
      <c r="C15283" t="s">
        <v>6</v>
      </c>
      <c r="D15283">
        <v>14</v>
      </c>
      <c r="E15283" s="2">
        <v>1.6250000000000001E-2</v>
      </c>
      <c r="F15283">
        <v>23.4</v>
      </c>
    </row>
    <row r="15284" spans="1:6" x14ac:dyDescent="0.25">
      <c r="A15284" s="1">
        <v>43862</v>
      </c>
      <c r="B15284" t="s">
        <v>24</v>
      </c>
      <c r="C15284" t="s">
        <v>7</v>
      </c>
      <c r="D15284">
        <v>25</v>
      </c>
      <c r="E15284" s="2">
        <v>2.7199074074074073E-2</v>
      </c>
      <c r="F15284">
        <v>39.166666666666664</v>
      </c>
    </row>
    <row r="15285" spans="1:6" x14ac:dyDescent="0.25">
      <c r="A15285" s="1">
        <v>43862</v>
      </c>
      <c r="B15285" t="s">
        <v>24</v>
      </c>
      <c r="C15285" t="s">
        <v>8</v>
      </c>
      <c r="D15285">
        <v>17</v>
      </c>
      <c r="E15285" s="2">
        <v>2.2858796296296297E-2</v>
      </c>
      <c r="F15285">
        <v>32.916666666666664</v>
      </c>
    </row>
    <row r="15286" spans="1:6" x14ac:dyDescent="0.25">
      <c r="A15286" s="1">
        <v>43862</v>
      </c>
      <c r="B15286" t="s">
        <v>24</v>
      </c>
      <c r="C15286" t="s">
        <v>9</v>
      </c>
      <c r="D15286">
        <v>0</v>
      </c>
      <c r="E15286" s="2">
        <v>0</v>
      </c>
      <c r="F15286">
        <v>0</v>
      </c>
    </row>
    <row r="15287" spans="1:6" x14ac:dyDescent="0.25">
      <c r="A15287" s="1">
        <v>43862</v>
      </c>
      <c r="B15287" t="s">
        <v>24</v>
      </c>
      <c r="C15287" t="s">
        <v>10</v>
      </c>
      <c r="D15287">
        <v>2</v>
      </c>
      <c r="E15287" s="2">
        <v>3.2407407407407406E-3</v>
      </c>
      <c r="F15287">
        <v>4.666666666666667</v>
      </c>
    </row>
    <row r="15288" spans="1:6" x14ac:dyDescent="0.25">
      <c r="A15288" s="1">
        <v>43862</v>
      </c>
      <c r="B15288" t="s">
        <v>24</v>
      </c>
      <c r="C15288" t="s">
        <v>11</v>
      </c>
      <c r="D15288">
        <v>24</v>
      </c>
      <c r="E15288" s="2">
        <v>1.9733796296296298E-2</v>
      </c>
      <c r="F15288">
        <v>28.416666666666668</v>
      </c>
    </row>
    <row r="15289" spans="1:6" x14ac:dyDescent="0.25">
      <c r="A15289" s="1">
        <v>43891</v>
      </c>
      <c r="B15289" t="s">
        <v>5</v>
      </c>
      <c r="C15289" t="s">
        <v>6</v>
      </c>
      <c r="D15289">
        <v>9</v>
      </c>
      <c r="E15289" s="2">
        <v>1.0104166666666666E-2</v>
      </c>
      <c r="F15289">
        <v>14.55</v>
      </c>
    </row>
    <row r="15290" spans="1:6" x14ac:dyDescent="0.25">
      <c r="A15290" s="1">
        <v>43891</v>
      </c>
      <c r="B15290" t="s">
        <v>5</v>
      </c>
      <c r="C15290" t="s">
        <v>7</v>
      </c>
      <c r="D15290">
        <v>10</v>
      </c>
      <c r="E15290" s="2">
        <v>7.4652777777777781E-3</v>
      </c>
      <c r="F15290">
        <v>10.75</v>
      </c>
    </row>
    <row r="15291" spans="1:6" x14ac:dyDescent="0.25">
      <c r="A15291" s="1">
        <v>43891</v>
      </c>
      <c r="B15291" t="s">
        <v>5</v>
      </c>
      <c r="C15291" t="s">
        <v>8</v>
      </c>
      <c r="D15291">
        <v>3</v>
      </c>
      <c r="E15291" s="2">
        <v>1.8634259259259259E-3</v>
      </c>
      <c r="F15291">
        <v>2.6833333333333336</v>
      </c>
    </row>
    <row r="15292" spans="1:6" x14ac:dyDescent="0.25">
      <c r="A15292" s="1">
        <v>43891</v>
      </c>
      <c r="B15292" t="s">
        <v>5</v>
      </c>
      <c r="C15292" t="s">
        <v>9</v>
      </c>
      <c r="D15292">
        <v>0</v>
      </c>
      <c r="E15292" s="2">
        <v>0</v>
      </c>
      <c r="F15292">
        <v>0</v>
      </c>
    </row>
    <row r="15293" spans="1:6" x14ac:dyDescent="0.25">
      <c r="A15293" s="1">
        <v>43891</v>
      </c>
      <c r="B15293" t="s">
        <v>5</v>
      </c>
      <c r="C15293" t="s">
        <v>10</v>
      </c>
      <c r="D15293">
        <v>2</v>
      </c>
      <c r="E15293" s="2">
        <v>2.3263888888888887E-3</v>
      </c>
      <c r="F15293">
        <v>3.35</v>
      </c>
    </row>
    <row r="15294" spans="1:6" x14ac:dyDescent="0.25">
      <c r="A15294" s="1">
        <v>43891</v>
      </c>
      <c r="B15294" t="s">
        <v>5</v>
      </c>
      <c r="C15294" t="s">
        <v>11</v>
      </c>
      <c r="D15294">
        <v>7</v>
      </c>
      <c r="E15294" s="2">
        <v>3.6921296296296298E-3</v>
      </c>
      <c r="F15294">
        <v>5.3166666666666664</v>
      </c>
    </row>
    <row r="15295" spans="1:6" x14ac:dyDescent="0.25">
      <c r="A15295" s="1">
        <v>43891</v>
      </c>
      <c r="B15295" t="s">
        <v>12</v>
      </c>
      <c r="C15295" t="s">
        <v>6</v>
      </c>
      <c r="D15295">
        <v>6</v>
      </c>
      <c r="E15295" s="2">
        <v>1.380787037037037E-2</v>
      </c>
      <c r="F15295">
        <v>19.883333333333333</v>
      </c>
    </row>
    <row r="15296" spans="1:6" x14ac:dyDescent="0.25">
      <c r="A15296" s="1">
        <v>43891</v>
      </c>
      <c r="B15296" t="s">
        <v>12</v>
      </c>
      <c r="C15296" t="s">
        <v>7</v>
      </c>
      <c r="D15296">
        <v>6</v>
      </c>
      <c r="E15296" s="2">
        <v>9.6874999999999999E-3</v>
      </c>
      <c r="F15296">
        <v>13.95</v>
      </c>
    </row>
    <row r="15297" spans="1:6" x14ac:dyDescent="0.25">
      <c r="A15297" s="1">
        <v>43891</v>
      </c>
      <c r="B15297" t="s">
        <v>12</v>
      </c>
      <c r="C15297" t="s">
        <v>8</v>
      </c>
      <c r="D15297">
        <v>8</v>
      </c>
      <c r="E15297" s="2">
        <v>9.1782407407407403E-3</v>
      </c>
      <c r="F15297">
        <v>13.216666666666667</v>
      </c>
    </row>
    <row r="15298" spans="1:6" x14ac:dyDescent="0.25">
      <c r="A15298" s="1">
        <v>43891</v>
      </c>
      <c r="B15298" t="s">
        <v>12</v>
      </c>
      <c r="C15298" t="s">
        <v>9</v>
      </c>
      <c r="D15298">
        <v>0</v>
      </c>
      <c r="E15298" s="2">
        <v>0</v>
      </c>
      <c r="F15298">
        <v>0</v>
      </c>
    </row>
    <row r="15299" spans="1:6" x14ac:dyDescent="0.25">
      <c r="A15299" s="1">
        <v>43891</v>
      </c>
      <c r="B15299" t="s">
        <v>12</v>
      </c>
      <c r="C15299" t="s">
        <v>10</v>
      </c>
      <c r="D15299">
        <v>15</v>
      </c>
      <c r="E15299" s="2">
        <v>2.3726851851851853E-2</v>
      </c>
      <c r="F15299">
        <v>34.166666666666664</v>
      </c>
    </row>
    <row r="15300" spans="1:6" x14ac:dyDescent="0.25">
      <c r="A15300" s="1">
        <v>43891</v>
      </c>
      <c r="B15300" t="s">
        <v>12</v>
      </c>
      <c r="C15300" t="s">
        <v>11</v>
      </c>
      <c r="D15300">
        <v>21</v>
      </c>
      <c r="E15300" s="2">
        <v>2.5532407407407406E-2</v>
      </c>
      <c r="F15300">
        <v>36.766666666666666</v>
      </c>
    </row>
    <row r="15301" spans="1:6" x14ac:dyDescent="0.25">
      <c r="A15301" s="1">
        <v>43891</v>
      </c>
      <c r="B15301" t="s">
        <v>13</v>
      </c>
      <c r="C15301" t="s">
        <v>6</v>
      </c>
      <c r="D15301">
        <v>44</v>
      </c>
      <c r="E15301" s="2">
        <v>6.7245370370370372E-2</v>
      </c>
      <c r="F15301">
        <v>96.833333333333329</v>
      </c>
    </row>
    <row r="15302" spans="1:6" x14ac:dyDescent="0.25">
      <c r="A15302" s="1">
        <v>43891</v>
      </c>
      <c r="B15302" t="s">
        <v>13</v>
      </c>
      <c r="C15302" t="s">
        <v>7</v>
      </c>
      <c r="D15302">
        <v>57</v>
      </c>
      <c r="E15302" s="2">
        <v>8.0405092592592597E-2</v>
      </c>
      <c r="F15302">
        <v>115.78333333333333</v>
      </c>
    </row>
    <row r="15303" spans="1:6" x14ac:dyDescent="0.25">
      <c r="A15303" s="1">
        <v>43891</v>
      </c>
      <c r="B15303" t="s">
        <v>13</v>
      </c>
      <c r="C15303" t="s">
        <v>8</v>
      </c>
      <c r="D15303">
        <v>24</v>
      </c>
      <c r="E15303" s="2">
        <v>2.8599537037037038E-2</v>
      </c>
      <c r="F15303">
        <v>41.18333333333333</v>
      </c>
    </row>
    <row r="15304" spans="1:6" x14ac:dyDescent="0.25">
      <c r="A15304" s="1">
        <v>43891</v>
      </c>
      <c r="B15304" t="s">
        <v>13</v>
      </c>
      <c r="C15304" t="s">
        <v>9</v>
      </c>
      <c r="D15304">
        <v>0</v>
      </c>
      <c r="E15304" s="2">
        <v>0</v>
      </c>
      <c r="F15304">
        <v>0</v>
      </c>
    </row>
    <row r="15305" spans="1:6" x14ac:dyDescent="0.25">
      <c r="A15305" s="1">
        <v>43891</v>
      </c>
      <c r="B15305" t="s">
        <v>13</v>
      </c>
      <c r="C15305" t="s">
        <v>10</v>
      </c>
      <c r="D15305">
        <v>15</v>
      </c>
      <c r="E15305" s="2">
        <v>2.5150462962962961E-2</v>
      </c>
      <c r="F15305">
        <v>36.216666666666669</v>
      </c>
    </row>
    <row r="15306" spans="1:6" x14ac:dyDescent="0.25">
      <c r="A15306" s="1">
        <v>43891</v>
      </c>
      <c r="B15306" t="s">
        <v>13</v>
      </c>
      <c r="C15306" t="s">
        <v>11</v>
      </c>
      <c r="D15306">
        <v>32</v>
      </c>
      <c r="E15306" s="2">
        <v>3.3738425925925929E-2</v>
      </c>
      <c r="F15306">
        <v>48.583333333333336</v>
      </c>
    </row>
    <row r="15307" spans="1:6" x14ac:dyDescent="0.25">
      <c r="A15307" s="1">
        <v>43891</v>
      </c>
      <c r="B15307" t="s">
        <v>14</v>
      </c>
      <c r="C15307" t="s">
        <v>6</v>
      </c>
      <c r="D15307">
        <v>2</v>
      </c>
      <c r="E15307" s="2">
        <v>3.0208333333333333E-3</v>
      </c>
      <c r="F15307">
        <v>4.3499999999999996</v>
      </c>
    </row>
    <row r="15308" spans="1:6" x14ac:dyDescent="0.25">
      <c r="A15308" s="1">
        <v>43891</v>
      </c>
      <c r="B15308" t="s">
        <v>14</v>
      </c>
      <c r="C15308" t="s">
        <v>7</v>
      </c>
      <c r="D15308">
        <v>4</v>
      </c>
      <c r="E15308" s="2">
        <v>8.5532407407407415E-3</v>
      </c>
      <c r="F15308">
        <v>12.316666666666666</v>
      </c>
    </row>
    <row r="15309" spans="1:6" x14ac:dyDescent="0.25">
      <c r="A15309" s="1">
        <v>43891</v>
      </c>
      <c r="B15309" t="s">
        <v>14</v>
      </c>
      <c r="C15309" t="s">
        <v>8</v>
      </c>
      <c r="D15309">
        <v>1</v>
      </c>
      <c r="E15309" s="2">
        <v>1.5046296296296296E-3</v>
      </c>
      <c r="F15309">
        <v>2.1666666666666665</v>
      </c>
    </row>
    <row r="15310" spans="1:6" x14ac:dyDescent="0.25">
      <c r="A15310" s="1">
        <v>43891</v>
      </c>
      <c r="B15310" t="s">
        <v>14</v>
      </c>
      <c r="C15310" t="s">
        <v>9</v>
      </c>
      <c r="D15310">
        <v>0</v>
      </c>
      <c r="E15310" s="2">
        <v>0</v>
      </c>
      <c r="F15310">
        <v>0</v>
      </c>
    </row>
    <row r="15311" spans="1:6" x14ac:dyDescent="0.25">
      <c r="A15311" s="1">
        <v>43891</v>
      </c>
      <c r="B15311" t="s">
        <v>14</v>
      </c>
      <c r="C15311" t="s">
        <v>10</v>
      </c>
      <c r="D15311">
        <v>1</v>
      </c>
      <c r="E15311" s="2">
        <v>1.5509259259259259E-3</v>
      </c>
      <c r="F15311">
        <v>2.2333333333333334</v>
      </c>
    </row>
    <row r="15312" spans="1:6" x14ac:dyDescent="0.25">
      <c r="A15312" s="1">
        <v>43891</v>
      </c>
      <c r="B15312" t="s">
        <v>14</v>
      </c>
      <c r="C15312" t="s">
        <v>11</v>
      </c>
      <c r="D15312">
        <v>3</v>
      </c>
      <c r="E15312" s="2">
        <v>4.1203703703703706E-3</v>
      </c>
      <c r="F15312">
        <v>5.9333333333333336</v>
      </c>
    </row>
    <row r="15313" spans="1:6" x14ac:dyDescent="0.25">
      <c r="A15313" s="1">
        <v>43891</v>
      </c>
      <c r="B15313" t="s">
        <v>15</v>
      </c>
      <c r="C15313" t="s">
        <v>6</v>
      </c>
      <c r="D15313">
        <v>7</v>
      </c>
      <c r="E15313" s="2">
        <v>1.3298611111111112E-2</v>
      </c>
      <c r="F15313">
        <v>19.149999999999999</v>
      </c>
    </row>
    <row r="15314" spans="1:6" x14ac:dyDescent="0.25">
      <c r="A15314" s="1">
        <v>43891</v>
      </c>
      <c r="B15314" t="s">
        <v>15</v>
      </c>
      <c r="C15314" t="s">
        <v>7</v>
      </c>
      <c r="D15314">
        <v>7</v>
      </c>
      <c r="E15314" s="2">
        <v>2.013888888888889E-2</v>
      </c>
      <c r="F15314">
        <v>29</v>
      </c>
    </row>
    <row r="15315" spans="1:6" x14ac:dyDescent="0.25">
      <c r="A15315" s="1">
        <v>43891</v>
      </c>
      <c r="B15315" t="s">
        <v>15</v>
      </c>
      <c r="C15315" t="s">
        <v>8</v>
      </c>
      <c r="D15315">
        <v>6</v>
      </c>
      <c r="E15315" s="2">
        <v>8.518518518518519E-3</v>
      </c>
      <c r="F15315">
        <v>12.266666666666667</v>
      </c>
    </row>
    <row r="15316" spans="1:6" x14ac:dyDescent="0.25">
      <c r="A15316" s="1">
        <v>43891</v>
      </c>
      <c r="B15316" t="s">
        <v>15</v>
      </c>
      <c r="C15316" t="s">
        <v>9</v>
      </c>
      <c r="D15316">
        <v>0</v>
      </c>
      <c r="E15316" s="2">
        <v>0</v>
      </c>
      <c r="F15316">
        <v>0</v>
      </c>
    </row>
    <row r="15317" spans="1:6" x14ac:dyDescent="0.25">
      <c r="A15317" s="1">
        <v>43891</v>
      </c>
      <c r="B15317" t="s">
        <v>15</v>
      </c>
      <c r="C15317" t="s">
        <v>10</v>
      </c>
      <c r="D15317">
        <v>4</v>
      </c>
      <c r="E15317" s="2">
        <v>5.8449074074074072E-3</v>
      </c>
      <c r="F15317">
        <v>8.4166666666666661</v>
      </c>
    </row>
    <row r="15318" spans="1:6" x14ac:dyDescent="0.25">
      <c r="A15318" s="1">
        <v>43891</v>
      </c>
      <c r="B15318" t="s">
        <v>15</v>
      </c>
      <c r="C15318" t="s">
        <v>11</v>
      </c>
      <c r="D15318">
        <v>8</v>
      </c>
      <c r="E15318" s="2">
        <v>8.3101851851851843E-3</v>
      </c>
      <c r="F15318">
        <v>11.966666666666667</v>
      </c>
    </row>
    <row r="15319" spans="1:6" x14ac:dyDescent="0.25">
      <c r="A15319" s="1">
        <v>43891</v>
      </c>
      <c r="B15319" t="s">
        <v>16</v>
      </c>
      <c r="C15319" t="s">
        <v>6</v>
      </c>
      <c r="D15319">
        <v>0</v>
      </c>
      <c r="E15319" s="2">
        <v>0</v>
      </c>
      <c r="F15319">
        <v>0</v>
      </c>
    </row>
    <row r="15320" spans="1:6" x14ac:dyDescent="0.25">
      <c r="A15320" s="1">
        <v>43891</v>
      </c>
      <c r="B15320" t="s">
        <v>16</v>
      </c>
      <c r="C15320" t="s">
        <v>7</v>
      </c>
      <c r="D15320">
        <v>5</v>
      </c>
      <c r="E15320" s="2">
        <v>7.3726851851851852E-3</v>
      </c>
      <c r="F15320">
        <v>10.616666666666667</v>
      </c>
    </row>
    <row r="15321" spans="1:6" x14ac:dyDescent="0.25">
      <c r="A15321" s="1">
        <v>43891</v>
      </c>
      <c r="B15321" t="s">
        <v>16</v>
      </c>
      <c r="C15321" t="s">
        <v>8</v>
      </c>
      <c r="D15321">
        <v>0</v>
      </c>
      <c r="E15321" s="2">
        <v>0</v>
      </c>
      <c r="F15321">
        <v>0</v>
      </c>
    </row>
    <row r="15322" spans="1:6" x14ac:dyDescent="0.25">
      <c r="A15322" s="1">
        <v>43891</v>
      </c>
      <c r="B15322" t="s">
        <v>16</v>
      </c>
      <c r="C15322" t="s">
        <v>9</v>
      </c>
      <c r="D15322">
        <v>0</v>
      </c>
      <c r="E15322" s="2">
        <v>0</v>
      </c>
      <c r="F15322">
        <v>0</v>
      </c>
    </row>
    <row r="15323" spans="1:6" x14ac:dyDescent="0.25">
      <c r="A15323" s="1">
        <v>43891</v>
      </c>
      <c r="B15323" t="s">
        <v>16</v>
      </c>
      <c r="C15323" t="s">
        <v>10</v>
      </c>
      <c r="D15323">
        <v>2</v>
      </c>
      <c r="E15323" s="2">
        <v>7.407407407407407E-4</v>
      </c>
      <c r="F15323">
        <v>1.0666666666666667</v>
      </c>
    </row>
    <row r="15324" spans="1:6" x14ac:dyDescent="0.25">
      <c r="A15324" s="1">
        <v>43891</v>
      </c>
      <c r="B15324" t="s">
        <v>16</v>
      </c>
      <c r="C15324" t="s">
        <v>11</v>
      </c>
      <c r="D15324">
        <v>7</v>
      </c>
      <c r="E15324" s="2">
        <v>5.8217592592592592E-3</v>
      </c>
      <c r="F15324">
        <v>8.3833333333333329</v>
      </c>
    </row>
    <row r="15325" spans="1:6" x14ac:dyDescent="0.25">
      <c r="A15325" s="1">
        <v>43891</v>
      </c>
      <c r="B15325" t="s">
        <v>17</v>
      </c>
      <c r="C15325" t="s">
        <v>6</v>
      </c>
      <c r="D15325">
        <v>3</v>
      </c>
      <c r="E15325" s="2">
        <v>4.7800925925925927E-3</v>
      </c>
      <c r="F15325">
        <v>6.8833333333333329</v>
      </c>
    </row>
    <row r="15326" spans="1:6" x14ac:dyDescent="0.25">
      <c r="A15326" s="1">
        <v>43891</v>
      </c>
      <c r="B15326" t="s">
        <v>17</v>
      </c>
      <c r="C15326" t="s">
        <v>7</v>
      </c>
      <c r="D15326">
        <v>5</v>
      </c>
      <c r="E15326" s="2">
        <v>5.2662037037037035E-3</v>
      </c>
      <c r="F15326">
        <v>7.583333333333333</v>
      </c>
    </row>
    <row r="15327" spans="1:6" x14ac:dyDescent="0.25">
      <c r="A15327" s="1">
        <v>43891</v>
      </c>
      <c r="B15327" t="s">
        <v>17</v>
      </c>
      <c r="C15327" t="s">
        <v>8</v>
      </c>
      <c r="D15327">
        <v>4</v>
      </c>
      <c r="E15327" s="2">
        <v>3.7037037037037038E-3</v>
      </c>
      <c r="F15327">
        <v>5.333333333333333</v>
      </c>
    </row>
    <row r="15328" spans="1:6" x14ac:dyDescent="0.25">
      <c r="A15328" s="1">
        <v>43891</v>
      </c>
      <c r="B15328" t="s">
        <v>17</v>
      </c>
      <c r="C15328" t="s">
        <v>9</v>
      </c>
      <c r="D15328">
        <v>0</v>
      </c>
      <c r="E15328" s="2">
        <v>0</v>
      </c>
      <c r="F15328">
        <v>0</v>
      </c>
    </row>
    <row r="15329" spans="1:6" x14ac:dyDescent="0.25">
      <c r="A15329" s="1">
        <v>43891</v>
      </c>
      <c r="B15329" t="s">
        <v>17</v>
      </c>
      <c r="C15329" t="s">
        <v>10</v>
      </c>
      <c r="D15329">
        <v>7</v>
      </c>
      <c r="E15329" s="2">
        <v>8.0902777777777778E-3</v>
      </c>
      <c r="F15329">
        <v>11.65</v>
      </c>
    </row>
    <row r="15330" spans="1:6" x14ac:dyDescent="0.25">
      <c r="A15330" s="1">
        <v>43891</v>
      </c>
      <c r="B15330" t="s">
        <v>17</v>
      </c>
      <c r="C15330" t="s">
        <v>11</v>
      </c>
      <c r="D15330">
        <v>7</v>
      </c>
      <c r="E15330" s="2">
        <v>5.2777777777777779E-3</v>
      </c>
      <c r="F15330">
        <v>7.6</v>
      </c>
    </row>
    <row r="15331" spans="1:6" x14ac:dyDescent="0.25">
      <c r="A15331" s="1">
        <v>43891</v>
      </c>
      <c r="B15331" t="s">
        <v>18</v>
      </c>
      <c r="C15331" t="s">
        <v>6</v>
      </c>
      <c r="D15331">
        <v>9</v>
      </c>
      <c r="E15331" s="2">
        <v>9.4907407407407406E-3</v>
      </c>
      <c r="F15331">
        <v>13.666666666666666</v>
      </c>
    </row>
    <row r="15332" spans="1:6" x14ac:dyDescent="0.25">
      <c r="A15332" s="1">
        <v>43891</v>
      </c>
      <c r="B15332" t="s">
        <v>18</v>
      </c>
      <c r="C15332" t="s">
        <v>7</v>
      </c>
      <c r="D15332">
        <v>14</v>
      </c>
      <c r="E15332" s="2">
        <v>1.5370370370370371E-2</v>
      </c>
      <c r="F15332">
        <v>22.133333333333333</v>
      </c>
    </row>
    <row r="15333" spans="1:6" x14ac:dyDescent="0.25">
      <c r="A15333" s="1">
        <v>43891</v>
      </c>
      <c r="B15333" t="s">
        <v>18</v>
      </c>
      <c r="C15333" t="s">
        <v>8</v>
      </c>
      <c r="D15333">
        <v>5</v>
      </c>
      <c r="E15333" s="2">
        <v>4.6412037037037038E-3</v>
      </c>
      <c r="F15333">
        <v>6.6833333333333336</v>
      </c>
    </row>
    <row r="15334" spans="1:6" x14ac:dyDescent="0.25">
      <c r="A15334" s="1">
        <v>43891</v>
      </c>
      <c r="B15334" t="s">
        <v>18</v>
      </c>
      <c r="C15334" t="s">
        <v>9</v>
      </c>
      <c r="D15334">
        <v>0</v>
      </c>
      <c r="E15334" s="2">
        <v>0</v>
      </c>
      <c r="F15334">
        <v>0</v>
      </c>
    </row>
    <row r="15335" spans="1:6" x14ac:dyDescent="0.25">
      <c r="A15335" s="1">
        <v>43891</v>
      </c>
      <c r="B15335" t="s">
        <v>18</v>
      </c>
      <c r="C15335" t="s">
        <v>10</v>
      </c>
      <c r="D15335">
        <v>62</v>
      </c>
      <c r="E15335" s="2">
        <v>7.9664351851851847E-2</v>
      </c>
      <c r="F15335">
        <v>114.71666666666667</v>
      </c>
    </row>
    <row r="15336" spans="1:6" x14ac:dyDescent="0.25">
      <c r="A15336" s="1">
        <v>43891</v>
      </c>
      <c r="B15336" t="s">
        <v>18</v>
      </c>
      <c r="C15336" t="s">
        <v>11</v>
      </c>
      <c r="D15336">
        <v>14</v>
      </c>
      <c r="E15336" s="2">
        <v>5.0462962962962961E-3</v>
      </c>
      <c r="F15336">
        <v>7.2666666666666666</v>
      </c>
    </row>
    <row r="15337" spans="1:6" x14ac:dyDescent="0.25">
      <c r="A15337" s="1">
        <v>43891</v>
      </c>
      <c r="B15337" t="s">
        <v>19</v>
      </c>
      <c r="C15337" t="s">
        <v>6</v>
      </c>
      <c r="D15337">
        <v>5</v>
      </c>
      <c r="E15337" s="2">
        <v>8.6226851851851846E-3</v>
      </c>
      <c r="F15337">
        <v>12.416666666666666</v>
      </c>
    </row>
    <row r="15338" spans="1:6" x14ac:dyDescent="0.25">
      <c r="A15338" s="1">
        <v>43891</v>
      </c>
      <c r="B15338" t="s">
        <v>19</v>
      </c>
      <c r="C15338" t="s">
        <v>7</v>
      </c>
      <c r="D15338">
        <v>7</v>
      </c>
      <c r="E15338" s="2">
        <v>7.7199074074074071E-3</v>
      </c>
      <c r="F15338">
        <v>11.116666666666667</v>
      </c>
    </row>
    <row r="15339" spans="1:6" x14ac:dyDescent="0.25">
      <c r="A15339" s="1">
        <v>43891</v>
      </c>
      <c r="B15339" t="s">
        <v>19</v>
      </c>
      <c r="C15339" t="s">
        <v>8</v>
      </c>
      <c r="D15339">
        <v>11</v>
      </c>
      <c r="E15339" s="2">
        <v>8.9583333333333338E-3</v>
      </c>
      <c r="F15339">
        <v>12.9</v>
      </c>
    </row>
    <row r="15340" spans="1:6" x14ac:dyDescent="0.25">
      <c r="A15340" s="1">
        <v>43891</v>
      </c>
      <c r="B15340" t="s">
        <v>19</v>
      </c>
      <c r="C15340" t="s">
        <v>9</v>
      </c>
      <c r="D15340">
        <v>0</v>
      </c>
      <c r="E15340" s="2">
        <v>0</v>
      </c>
      <c r="F15340">
        <v>0</v>
      </c>
    </row>
    <row r="15341" spans="1:6" x14ac:dyDescent="0.25">
      <c r="A15341" s="1">
        <v>43891</v>
      </c>
      <c r="B15341" t="s">
        <v>19</v>
      </c>
      <c r="C15341" t="s">
        <v>10</v>
      </c>
      <c r="D15341">
        <v>7</v>
      </c>
      <c r="E15341" s="2">
        <v>9.6064814814814815E-3</v>
      </c>
      <c r="F15341">
        <v>13.833333333333334</v>
      </c>
    </row>
    <row r="15342" spans="1:6" x14ac:dyDescent="0.25">
      <c r="A15342" s="1">
        <v>43891</v>
      </c>
      <c r="B15342" t="s">
        <v>19</v>
      </c>
      <c r="C15342" t="s">
        <v>11</v>
      </c>
      <c r="D15342">
        <v>9</v>
      </c>
      <c r="E15342" s="2">
        <v>8.611111111111111E-3</v>
      </c>
      <c r="F15342">
        <v>12.4</v>
      </c>
    </row>
    <row r="15343" spans="1:6" x14ac:dyDescent="0.25">
      <c r="A15343" s="1">
        <v>43891</v>
      </c>
      <c r="B15343" t="s">
        <v>20</v>
      </c>
      <c r="C15343" t="s">
        <v>6</v>
      </c>
      <c r="D15343">
        <v>15</v>
      </c>
      <c r="E15343" s="2">
        <v>2.9722222222222223E-2</v>
      </c>
      <c r="F15343">
        <v>42.8</v>
      </c>
    </row>
    <row r="15344" spans="1:6" x14ac:dyDescent="0.25">
      <c r="A15344" s="1">
        <v>43891</v>
      </c>
      <c r="B15344" t="s">
        <v>20</v>
      </c>
      <c r="C15344" t="s">
        <v>7</v>
      </c>
      <c r="D15344">
        <v>19</v>
      </c>
      <c r="E15344" s="2">
        <v>2.9236111111111112E-2</v>
      </c>
      <c r="F15344">
        <v>42.1</v>
      </c>
    </row>
    <row r="15345" spans="1:6" x14ac:dyDescent="0.25">
      <c r="A15345" s="1">
        <v>43891</v>
      </c>
      <c r="B15345" t="s">
        <v>20</v>
      </c>
      <c r="C15345" t="s">
        <v>8</v>
      </c>
      <c r="D15345">
        <v>23</v>
      </c>
      <c r="E15345" s="2">
        <v>3.1435185185185184E-2</v>
      </c>
      <c r="F15345">
        <v>45.266666666666666</v>
      </c>
    </row>
    <row r="15346" spans="1:6" x14ac:dyDescent="0.25">
      <c r="A15346" s="1">
        <v>43891</v>
      </c>
      <c r="B15346" t="s">
        <v>20</v>
      </c>
      <c r="C15346" t="s">
        <v>9</v>
      </c>
      <c r="D15346">
        <v>0</v>
      </c>
      <c r="E15346" s="2">
        <v>0</v>
      </c>
      <c r="F15346">
        <v>0</v>
      </c>
    </row>
    <row r="15347" spans="1:6" x14ac:dyDescent="0.25">
      <c r="A15347" s="1">
        <v>43891</v>
      </c>
      <c r="B15347" t="s">
        <v>20</v>
      </c>
      <c r="C15347" t="s">
        <v>10</v>
      </c>
      <c r="D15347">
        <v>8</v>
      </c>
      <c r="E15347" s="2">
        <v>1.3449074074074073E-2</v>
      </c>
      <c r="F15347">
        <v>19.366666666666667</v>
      </c>
    </row>
    <row r="15348" spans="1:6" x14ac:dyDescent="0.25">
      <c r="A15348" s="1">
        <v>43891</v>
      </c>
      <c r="B15348" t="s">
        <v>20</v>
      </c>
      <c r="C15348" t="s">
        <v>11</v>
      </c>
      <c r="D15348">
        <v>14</v>
      </c>
      <c r="E15348" s="2">
        <v>1.3310185185185185E-2</v>
      </c>
      <c r="F15348">
        <v>19.166666666666668</v>
      </c>
    </row>
    <row r="15349" spans="1:6" x14ac:dyDescent="0.25">
      <c r="A15349" s="1">
        <v>43891</v>
      </c>
      <c r="B15349" t="s">
        <v>21</v>
      </c>
      <c r="C15349" t="s">
        <v>6</v>
      </c>
      <c r="D15349">
        <v>569</v>
      </c>
      <c r="E15349" s="2">
        <v>0.88440972222222225</v>
      </c>
      <c r="F15349">
        <v>1273.55</v>
      </c>
    </row>
    <row r="15350" spans="1:6" x14ac:dyDescent="0.25">
      <c r="A15350" s="1">
        <v>43891</v>
      </c>
      <c r="B15350" t="s">
        <v>21</v>
      </c>
      <c r="C15350" t="s">
        <v>7</v>
      </c>
      <c r="D15350">
        <v>511</v>
      </c>
      <c r="E15350" s="2">
        <v>0.7443981481481482</v>
      </c>
      <c r="F15350">
        <v>1071.9333333333334</v>
      </c>
    </row>
    <row r="15351" spans="1:6" x14ac:dyDescent="0.25">
      <c r="A15351" s="1">
        <v>43891</v>
      </c>
      <c r="B15351" t="s">
        <v>21</v>
      </c>
      <c r="C15351" t="s">
        <v>8</v>
      </c>
      <c r="D15351">
        <v>373</v>
      </c>
      <c r="E15351" s="2">
        <v>0.4246875</v>
      </c>
      <c r="F15351">
        <v>611.54999999999995</v>
      </c>
    </row>
    <row r="15352" spans="1:6" x14ac:dyDescent="0.25">
      <c r="A15352" s="1">
        <v>43891</v>
      </c>
      <c r="B15352" t="s">
        <v>21</v>
      </c>
      <c r="C15352" t="s">
        <v>9</v>
      </c>
      <c r="D15352">
        <v>0</v>
      </c>
      <c r="E15352" s="2">
        <v>0</v>
      </c>
      <c r="F15352">
        <v>0</v>
      </c>
    </row>
    <row r="15353" spans="1:6" x14ac:dyDescent="0.25">
      <c r="A15353" s="1">
        <v>43891</v>
      </c>
      <c r="B15353" t="s">
        <v>21</v>
      </c>
      <c r="C15353" t="s">
        <v>10</v>
      </c>
      <c r="D15353">
        <v>107</v>
      </c>
      <c r="E15353" s="2">
        <v>0.18657407407407409</v>
      </c>
      <c r="F15353">
        <v>268.66666666666669</v>
      </c>
    </row>
    <row r="15354" spans="1:6" x14ac:dyDescent="0.25">
      <c r="A15354" s="1">
        <v>43891</v>
      </c>
      <c r="B15354" t="s">
        <v>21</v>
      </c>
      <c r="C15354" t="s">
        <v>11</v>
      </c>
      <c r="D15354">
        <v>464</v>
      </c>
      <c r="E15354" s="2">
        <v>0.45826388888888892</v>
      </c>
      <c r="F15354">
        <v>659.9</v>
      </c>
    </row>
    <row r="15355" spans="1:6" x14ac:dyDescent="0.25">
      <c r="A15355" s="1">
        <v>43891</v>
      </c>
      <c r="B15355" t="s">
        <v>22</v>
      </c>
      <c r="C15355" t="s">
        <v>6</v>
      </c>
      <c r="D15355">
        <v>4</v>
      </c>
      <c r="E15355" s="2">
        <v>1.0231481481481482E-2</v>
      </c>
      <c r="F15355">
        <v>14.733333333333333</v>
      </c>
    </row>
    <row r="15356" spans="1:6" x14ac:dyDescent="0.25">
      <c r="A15356" s="1">
        <v>43891</v>
      </c>
      <c r="B15356" t="s">
        <v>22</v>
      </c>
      <c r="C15356" t="s">
        <v>7</v>
      </c>
      <c r="D15356">
        <v>5</v>
      </c>
      <c r="E15356" s="2">
        <v>6.2037037037037035E-3</v>
      </c>
      <c r="F15356">
        <v>8.9333333333333336</v>
      </c>
    </row>
    <row r="15357" spans="1:6" x14ac:dyDescent="0.25">
      <c r="A15357" s="1">
        <v>43891</v>
      </c>
      <c r="B15357" t="s">
        <v>22</v>
      </c>
      <c r="C15357" t="s">
        <v>8</v>
      </c>
      <c r="D15357">
        <v>0</v>
      </c>
      <c r="E15357" s="2">
        <v>0</v>
      </c>
      <c r="F15357">
        <v>0</v>
      </c>
    </row>
    <row r="15358" spans="1:6" x14ac:dyDescent="0.25">
      <c r="A15358" s="1">
        <v>43891</v>
      </c>
      <c r="B15358" t="s">
        <v>22</v>
      </c>
      <c r="C15358" t="s">
        <v>9</v>
      </c>
      <c r="D15358">
        <v>0</v>
      </c>
      <c r="E15358" s="2">
        <v>0</v>
      </c>
      <c r="F15358">
        <v>0</v>
      </c>
    </row>
    <row r="15359" spans="1:6" x14ac:dyDescent="0.25">
      <c r="A15359" s="1">
        <v>43891</v>
      </c>
      <c r="B15359" t="s">
        <v>22</v>
      </c>
      <c r="C15359" t="s">
        <v>10</v>
      </c>
      <c r="D15359">
        <v>4</v>
      </c>
      <c r="E15359" s="2">
        <v>5.1273148148148146E-3</v>
      </c>
      <c r="F15359">
        <v>7.3833333333333337</v>
      </c>
    </row>
    <row r="15360" spans="1:6" x14ac:dyDescent="0.25">
      <c r="A15360" s="1">
        <v>43891</v>
      </c>
      <c r="B15360" t="s">
        <v>22</v>
      </c>
      <c r="C15360" t="s">
        <v>11</v>
      </c>
      <c r="D15360">
        <v>3</v>
      </c>
      <c r="E15360" s="2">
        <v>3.9120370370370368E-3</v>
      </c>
      <c r="F15360">
        <v>5.6333333333333329</v>
      </c>
    </row>
    <row r="15361" spans="1:6" x14ac:dyDescent="0.25">
      <c r="A15361" s="1">
        <v>43891</v>
      </c>
      <c r="B15361" t="s">
        <v>23</v>
      </c>
      <c r="C15361" t="s">
        <v>6</v>
      </c>
      <c r="D15361">
        <v>24</v>
      </c>
      <c r="E15361" s="2">
        <v>3.3599537037037039E-2</v>
      </c>
      <c r="F15361">
        <v>48.383333333333333</v>
      </c>
    </row>
    <row r="15362" spans="1:6" x14ac:dyDescent="0.25">
      <c r="A15362" s="1">
        <v>43891</v>
      </c>
      <c r="B15362" t="s">
        <v>23</v>
      </c>
      <c r="C15362" t="s">
        <v>7</v>
      </c>
      <c r="D15362">
        <v>26</v>
      </c>
      <c r="E15362" s="2">
        <v>3.4502314814814812E-2</v>
      </c>
      <c r="F15362">
        <v>49.68333333333333</v>
      </c>
    </row>
    <row r="15363" spans="1:6" x14ac:dyDescent="0.25">
      <c r="A15363" s="1">
        <v>43891</v>
      </c>
      <c r="B15363" t="s">
        <v>23</v>
      </c>
      <c r="C15363" t="s">
        <v>8</v>
      </c>
      <c r="D15363">
        <v>17</v>
      </c>
      <c r="E15363" s="2">
        <v>2.0127314814814813E-2</v>
      </c>
      <c r="F15363">
        <v>28.983333333333334</v>
      </c>
    </row>
    <row r="15364" spans="1:6" x14ac:dyDescent="0.25">
      <c r="A15364" s="1">
        <v>43891</v>
      </c>
      <c r="B15364" t="s">
        <v>23</v>
      </c>
      <c r="C15364" t="s">
        <v>9</v>
      </c>
      <c r="D15364">
        <v>0</v>
      </c>
      <c r="E15364" s="2">
        <v>0</v>
      </c>
      <c r="F15364">
        <v>0</v>
      </c>
    </row>
    <row r="15365" spans="1:6" x14ac:dyDescent="0.25">
      <c r="A15365" s="1">
        <v>43891</v>
      </c>
      <c r="B15365" t="s">
        <v>23</v>
      </c>
      <c r="C15365" t="s">
        <v>10</v>
      </c>
      <c r="D15365">
        <v>14</v>
      </c>
      <c r="E15365" s="2">
        <v>2.0358796296296295E-2</v>
      </c>
      <c r="F15365">
        <v>29.316666666666666</v>
      </c>
    </row>
    <row r="15366" spans="1:6" x14ac:dyDescent="0.25">
      <c r="A15366" s="1">
        <v>43891</v>
      </c>
      <c r="B15366" t="s">
        <v>23</v>
      </c>
      <c r="C15366" t="s">
        <v>11</v>
      </c>
      <c r="D15366">
        <v>23</v>
      </c>
      <c r="E15366" s="2">
        <v>2.3981481481481482E-2</v>
      </c>
      <c r="F15366">
        <v>34.533333333333331</v>
      </c>
    </row>
    <row r="15367" spans="1:6" x14ac:dyDescent="0.25">
      <c r="A15367" s="1">
        <v>43891</v>
      </c>
      <c r="B15367" t="s">
        <v>24</v>
      </c>
      <c r="C15367" t="s">
        <v>6</v>
      </c>
      <c r="D15367">
        <v>3</v>
      </c>
      <c r="E15367" s="2">
        <v>3.9120370370370368E-3</v>
      </c>
      <c r="F15367">
        <v>5.6333333333333329</v>
      </c>
    </row>
    <row r="15368" spans="1:6" x14ac:dyDescent="0.25">
      <c r="A15368" s="1">
        <v>43891</v>
      </c>
      <c r="B15368" t="s">
        <v>24</v>
      </c>
      <c r="C15368" t="s">
        <v>7</v>
      </c>
      <c r="D15368">
        <v>3</v>
      </c>
      <c r="E15368" s="2">
        <v>2.8935185185185184E-4</v>
      </c>
      <c r="F15368">
        <v>0.41666666666666669</v>
      </c>
    </row>
    <row r="15369" spans="1:6" x14ac:dyDescent="0.25">
      <c r="A15369" s="1">
        <v>43891</v>
      </c>
      <c r="B15369" t="s">
        <v>24</v>
      </c>
      <c r="C15369" t="s">
        <v>8</v>
      </c>
      <c r="D15369">
        <v>2</v>
      </c>
      <c r="E15369" s="2">
        <v>1.4004629629629629E-3</v>
      </c>
      <c r="F15369">
        <v>2.0166666666666666</v>
      </c>
    </row>
    <row r="15370" spans="1:6" x14ac:dyDescent="0.25">
      <c r="A15370" s="1">
        <v>43891</v>
      </c>
      <c r="B15370" t="s">
        <v>24</v>
      </c>
      <c r="C15370" t="s">
        <v>9</v>
      </c>
      <c r="D15370">
        <v>0</v>
      </c>
      <c r="E15370" s="2">
        <v>0</v>
      </c>
      <c r="F15370">
        <v>0</v>
      </c>
    </row>
    <row r="15371" spans="1:6" x14ac:dyDescent="0.25">
      <c r="A15371" s="1">
        <v>43891</v>
      </c>
      <c r="B15371" t="s">
        <v>24</v>
      </c>
      <c r="C15371" t="s">
        <v>10</v>
      </c>
      <c r="D15371">
        <v>1</v>
      </c>
      <c r="E15371" s="2">
        <v>5.5555555555555556E-4</v>
      </c>
      <c r="F15371">
        <v>0.8</v>
      </c>
    </row>
    <row r="15372" spans="1:6" x14ac:dyDescent="0.25">
      <c r="A15372" s="1">
        <v>43891</v>
      </c>
      <c r="B15372" t="s">
        <v>24</v>
      </c>
      <c r="C15372" t="s">
        <v>11</v>
      </c>
      <c r="D15372">
        <v>10</v>
      </c>
      <c r="E15372" s="2">
        <v>9.1666666666666667E-3</v>
      </c>
      <c r="F15372">
        <v>13.2</v>
      </c>
    </row>
    <row r="15373" spans="1:6" x14ac:dyDescent="0.25">
      <c r="A15373" s="1">
        <v>43922</v>
      </c>
      <c r="B15373" t="s">
        <v>5</v>
      </c>
      <c r="C15373" t="s">
        <v>6</v>
      </c>
      <c r="D15373">
        <v>0</v>
      </c>
      <c r="E15373" s="2">
        <v>0</v>
      </c>
      <c r="F15373">
        <v>0</v>
      </c>
    </row>
    <row r="15374" spans="1:6" x14ac:dyDescent="0.25">
      <c r="A15374" s="1">
        <v>43922</v>
      </c>
      <c r="B15374" t="s">
        <v>5</v>
      </c>
      <c r="C15374" t="s">
        <v>7</v>
      </c>
      <c r="D15374">
        <v>3</v>
      </c>
      <c r="E15374" s="2">
        <v>2.8935185185185184E-3</v>
      </c>
      <c r="F15374">
        <v>4.166666666666667</v>
      </c>
    </row>
    <row r="15375" spans="1:6" x14ac:dyDescent="0.25">
      <c r="A15375" s="1">
        <v>43922</v>
      </c>
      <c r="B15375" t="s">
        <v>5</v>
      </c>
      <c r="C15375" t="s">
        <v>8</v>
      </c>
      <c r="D15375">
        <v>3</v>
      </c>
      <c r="E15375" s="2">
        <v>8.7962962962962962E-4</v>
      </c>
      <c r="F15375">
        <v>1.2666666666666666</v>
      </c>
    </row>
    <row r="15376" spans="1:6" x14ac:dyDescent="0.25">
      <c r="A15376" s="1">
        <v>43922</v>
      </c>
      <c r="B15376" t="s">
        <v>5</v>
      </c>
      <c r="C15376" t="s">
        <v>9</v>
      </c>
      <c r="D15376">
        <v>0</v>
      </c>
      <c r="E15376" s="2">
        <v>0</v>
      </c>
      <c r="F15376">
        <v>0</v>
      </c>
    </row>
    <row r="15377" spans="1:6" x14ac:dyDescent="0.25">
      <c r="A15377" s="1">
        <v>43922</v>
      </c>
      <c r="B15377" t="s">
        <v>5</v>
      </c>
      <c r="C15377" t="s">
        <v>10</v>
      </c>
      <c r="D15377">
        <v>2</v>
      </c>
      <c r="E15377" s="2">
        <v>3.5416666666666665E-3</v>
      </c>
      <c r="F15377">
        <v>5.0999999999999996</v>
      </c>
    </row>
    <row r="15378" spans="1:6" x14ac:dyDescent="0.25">
      <c r="A15378" s="1">
        <v>43922</v>
      </c>
      <c r="B15378" t="s">
        <v>5</v>
      </c>
      <c r="C15378" t="s">
        <v>11</v>
      </c>
      <c r="D15378">
        <v>6</v>
      </c>
      <c r="E15378" s="2">
        <v>2.5925925925925925E-3</v>
      </c>
      <c r="F15378">
        <v>3.7333333333333334</v>
      </c>
    </row>
    <row r="15379" spans="1:6" x14ac:dyDescent="0.25">
      <c r="A15379" s="1">
        <v>43922</v>
      </c>
      <c r="B15379" t="s">
        <v>12</v>
      </c>
      <c r="C15379" t="s">
        <v>6</v>
      </c>
      <c r="D15379">
        <v>3</v>
      </c>
      <c r="E15379" s="2">
        <v>8.1712962962962963E-3</v>
      </c>
      <c r="F15379">
        <v>11.766666666666667</v>
      </c>
    </row>
    <row r="15380" spans="1:6" x14ac:dyDescent="0.25">
      <c r="A15380" s="1">
        <v>43922</v>
      </c>
      <c r="B15380" t="s">
        <v>12</v>
      </c>
      <c r="C15380" t="s">
        <v>7</v>
      </c>
      <c r="D15380">
        <v>6</v>
      </c>
      <c r="E15380" s="2">
        <v>7.1527777777777779E-3</v>
      </c>
      <c r="F15380">
        <v>10.3</v>
      </c>
    </row>
    <row r="15381" spans="1:6" x14ac:dyDescent="0.25">
      <c r="A15381" s="1">
        <v>43922</v>
      </c>
      <c r="B15381" t="s">
        <v>12</v>
      </c>
      <c r="C15381" t="s">
        <v>8</v>
      </c>
      <c r="D15381">
        <v>5</v>
      </c>
      <c r="E15381" s="2">
        <v>2.5694444444444445E-3</v>
      </c>
      <c r="F15381">
        <v>3.7</v>
      </c>
    </row>
    <row r="15382" spans="1:6" x14ac:dyDescent="0.25">
      <c r="A15382" s="1">
        <v>43922</v>
      </c>
      <c r="B15382" t="s">
        <v>12</v>
      </c>
      <c r="C15382" t="s">
        <v>9</v>
      </c>
      <c r="D15382">
        <v>0</v>
      </c>
      <c r="E15382" s="2">
        <v>0</v>
      </c>
      <c r="F15382">
        <v>0</v>
      </c>
    </row>
    <row r="15383" spans="1:6" x14ac:dyDescent="0.25">
      <c r="A15383" s="1">
        <v>43922</v>
      </c>
      <c r="B15383" t="s">
        <v>12</v>
      </c>
      <c r="C15383" t="s">
        <v>10</v>
      </c>
      <c r="D15383">
        <v>3</v>
      </c>
      <c r="E15383" s="2">
        <v>5.7291666666666663E-3</v>
      </c>
      <c r="F15383">
        <v>8.25</v>
      </c>
    </row>
    <row r="15384" spans="1:6" x14ac:dyDescent="0.25">
      <c r="A15384" s="1">
        <v>43922</v>
      </c>
      <c r="B15384" t="s">
        <v>12</v>
      </c>
      <c r="C15384" t="s">
        <v>11</v>
      </c>
      <c r="D15384">
        <v>8</v>
      </c>
      <c r="E15384" s="2">
        <v>7.9282407407407409E-3</v>
      </c>
      <c r="F15384">
        <v>11.416666666666666</v>
      </c>
    </row>
    <row r="15385" spans="1:6" x14ac:dyDescent="0.25">
      <c r="A15385" s="1">
        <v>43922</v>
      </c>
      <c r="B15385" t="s">
        <v>13</v>
      </c>
      <c r="C15385" t="s">
        <v>6</v>
      </c>
      <c r="D15385">
        <v>97</v>
      </c>
      <c r="E15385" s="2">
        <v>0.14504629629629628</v>
      </c>
      <c r="F15385">
        <v>208.86666666666667</v>
      </c>
    </row>
    <row r="15386" spans="1:6" x14ac:dyDescent="0.25">
      <c r="A15386" s="1">
        <v>43922</v>
      </c>
      <c r="B15386" t="s">
        <v>13</v>
      </c>
      <c r="C15386" t="s">
        <v>7</v>
      </c>
      <c r="D15386">
        <v>98</v>
      </c>
      <c r="E15386" s="2">
        <v>0.1398611111111111</v>
      </c>
      <c r="F15386">
        <v>201.4</v>
      </c>
    </row>
    <row r="15387" spans="1:6" x14ac:dyDescent="0.25">
      <c r="A15387" s="1">
        <v>43922</v>
      </c>
      <c r="B15387" t="s">
        <v>13</v>
      </c>
      <c r="C15387" t="s">
        <v>8</v>
      </c>
      <c r="D15387">
        <v>55</v>
      </c>
      <c r="E15387" s="2">
        <v>6.5613425925925922E-2</v>
      </c>
      <c r="F15387">
        <v>94.483333333333334</v>
      </c>
    </row>
    <row r="15388" spans="1:6" x14ac:dyDescent="0.25">
      <c r="A15388" s="1">
        <v>43922</v>
      </c>
      <c r="B15388" t="s">
        <v>13</v>
      </c>
      <c r="C15388" t="s">
        <v>9</v>
      </c>
      <c r="D15388">
        <v>0</v>
      </c>
      <c r="E15388" s="2">
        <v>0</v>
      </c>
      <c r="F15388">
        <v>0</v>
      </c>
    </row>
    <row r="15389" spans="1:6" x14ac:dyDescent="0.25">
      <c r="A15389" s="1">
        <v>43922</v>
      </c>
      <c r="B15389" t="s">
        <v>13</v>
      </c>
      <c r="C15389" t="s">
        <v>10</v>
      </c>
      <c r="D15389">
        <v>29</v>
      </c>
      <c r="E15389" s="2">
        <v>5.0532407407407408E-2</v>
      </c>
      <c r="F15389">
        <v>72.766666666666666</v>
      </c>
    </row>
    <row r="15390" spans="1:6" x14ac:dyDescent="0.25">
      <c r="A15390" s="1">
        <v>43922</v>
      </c>
      <c r="B15390" t="s">
        <v>13</v>
      </c>
      <c r="C15390" t="s">
        <v>11</v>
      </c>
      <c r="D15390">
        <v>38</v>
      </c>
      <c r="E15390" s="2">
        <v>4.6574074074074073E-2</v>
      </c>
      <c r="F15390">
        <v>67.066666666666663</v>
      </c>
    </row>
    <row r="15391" spans="1:6" x14ac:dyDescent="0.25">
      <c r="A15391" s="1">
        <v>43922</v>
      </c>
      <c r="B15391" t="s">
        <v>14</v>
      </c>
      <c r="C15391" t="s">
        <v>6</v>
      </c>
      <c r="D15391">
        <v>35</v>
      </c>
      <c r="E15391" s="2">
        <v>5.0393518518518518E-2</v>
      </c>
      <c r="F15391">
        <v>72.566666666666663</v>
      </c>
    </row>
    <row r="15392" spans="1:6" x14ac:dyDescent="0.25">
      <c r="A15392" s="1">
        <v>43922</v>
      </c>
      <c r="B15392" t="s">
        <v>14</v>
      </c>
      <c r="C15392" t="s">
        <v>7</v>
      </c>
      <c r="D15392">
        <v>26</v>
      </c>
      <c r="E15392" s="2">
        <v>4.4189814814814814E-2</v>
      </c>
      <c r="F15392">
        <v>63.633333333333333</v>
      </c>
    </row>
    <row r="15393" spans="1:6" x14ac:dyDescent="0.25">
      <c r="A15393" s="1">
        <v>43922</v>
      </c>
      <c r="B15393" t="s">
        <v>14</v>
      </c>
      <c r="C15393" t="s">
        <v>8</v>
      </c>
      <c r="D15393">
        <v>16</v>
      </c>
      <c r="E15393" s="2">
        <v>1.9016203703703705E-2</v>
      </c>
      <c r="F15393">
        <v>27.383333333333333</v>
      </c>
    </row>
    <row r="15394" spans="1:6" x14ac:dyDescent="0.25">
      <c r="A15394" s="1">
        <v>43922</v>
      </c>
      <c r="B15394" t="s">
        <v>14</v>
      </c>
      <c r="C15394" t="s">
        <v>9</v>
      </c>
      <c r="D15394">
        <v>0</v>
      </c>
      <c r="E15394" s="2">
        <v>0</v>
      </c>
      <c r="F15394">
        <v>0</v>
      </c>
    </row>
    <row r="15395" spans="1:6" x14ac:dyDescent="0.25">
      <c r="A15395" s="1">
        <v>43922</v>
      </c>
      <c r="B15395" t="s">
        <v>14</v>
      </c>
      <c r="C15395" t="s">
        <v>10</v>
      </c>
      <c r="D15395">
        <v>2</v>
      </c>
      <c r="E15395" s="2">
        <v>3.9120370370370368E-3</v>
      </c>
      <c r="F15395">
        <v>5.6333333333333329</v>
      </c>
    </row>
    <row r="15396" spans="1:6" x14ac:dyDescent="0.25">
      <c r="A15396" s="1">
        <v>43922</v>
      </c>
      <c r="B15396" t="s">
        <v>14</v>
      </c>
      <c r="C15396" t="s">
        <v>11</v>
      </c>
      <c r="D15396">
        <v>16</v>
      </c>
      <c r="E15396" s="2">
        <v>2.3368055555555555E-2</v>
      </c>
      <c r="F15396">
        <v>33.65</v>
      </c>
    </row>
    <row r="15397" spans="1:6" x14ac:dyDescent="0.25">
      <c r="A15397" s="1">
        <v>43922</v>
      </c>
      <c r="B15397" t="s">
        <v>15</v>
      </c>
      <c r="C15397" t="s">
        <v>6</v>
      </c>
      <c r="D15397">
        <v>0</v>
      </c>
      <c r="E15397" s="2">
        <v>0</v>
      </c>
      <c r="F15397">
        <v>0</v>
      </c>
    </row>
    <row r="15398" spans="1:6" x14ac:dyDescent="0.25">
      <c r="A15398" s="1">
        <v>43922</v>
      </c>
      <c r="B15398" t="s">
        <v>15</v>
      </c>
      <c r="C15398" t="s">
        <v>7</v>
      </c>
      <c r="D15398">
        <v>3</v>
      </c>
      <c r="E15398" s="2">
        <v>4.0509259259259257E-3</v>
      </c>
      <c r="F15398">
        <v>5.833333333333333</v>
      </c>
    </row>
    <row r="15399" spans="1:6" x14ac:dyDescent="0.25">
      <c r="A15399" s="1">
        <v>43922</v>
      </c>
      <c r="B15399" t="s">
        <v>15</v>
      </c>
      <c r="C15399" t="s">
        <v>8</v>
      </c>
      <c r="D15399">
        <v>3</v>
      </c>
      <c r="E15399" s="2">
        <v>3.0671296296296297E-3</v>
      </c>
      <c r="F15399">
        <v>4.416666666666667</v>
      </c>
    </row>
    <row r="15400" spans="1:6" x14ac:dyDescent="0.25">
      <c r="A15400" s="1">
        <v>43922</v>
      </c>
      <c r="B15400" t="s">
        <v>15</v>
      </c>
      <c r="C15400" t="s">
        <v>9</v>
      </c>
      <c r="D15400">
        <v>0</v>
      </c>
      <c r="E15400" s="2">
        <v>0</v>
      </c>
      <c r="F15400">
        <v>0</v>
      </c>
    </row>
    <row r="15401" spans="1:6" x14ac:dyDescent="0.25">
      <c r="A15401" s="1">
        <v>43922</v>
      </c>
      <c r="B15401" t="s">
        <v>15</v>
      </c>
      <c r="C15401" t="s">
        <v>10</v>
      </c>
      <c r="D15401">
        <v>2</v>
      </c>
      <c r="E15401" s="2">
        <v>3.5532407407407409E-3</v>
      </c>
      <c r="F15401">
        <v>5.1166666666666663</v>
      </c>
    </row>
    <row r="15402" spans="1:6" x14ac:dyDescent="0.25">
      <c r="A15402" s="1">
        <v>43922</v>
      </c>
      <c r="B15402" t="s">
        <v>15</v>
      </c>
      <c r="C15402" t="s">
        <v>11</v>
      </c>
      <c r="D15402">
        <v>0</v>
      </c>
      <c r="E15402" s="2">
        <v>0</v>
      </c>
      <c r="F15402">
        <v>0</v>
      </c>
    </row>
    <row r="15403" spans="1:6" x14ac:dyDescent="0.25">
      <c r="A15403" s="1">
        <v>43922</v>
      </c>
      <c r="B15403" t="s">
        <v>16</v>
      </c>
      <c r="C15403" t="s">
        <v>6</v>
      </c>
      <c r="D15403">
        <v>4</v>
      </c>
      <c r="E15403" s="2">
        <v>3.5995370370370369E-3</v>
      </c>
      <c r="F15403">
        <v>5.1833333333333336</v>
      </c>
    </row>
    <row r="15404" spans="1:6" x14ac:dyDescent="0.25">
      <c r="A15404" s="1">
        <v>43922</v>
      </c>
      <c r="B15404" t="s">
        <v>16</v>
      </c>
      <c r="C15404" t="s">
        <v>7</v>
      </c>
      <c r="D15404">
        <v>2</v>
      </c>
      <c r="E15404" s="2">
        <v>1.0069444444444444E-3</v>
      </c>
      <c r="F15404">
        <v>1.45</v>
      </c>
    </row>
    <row r="15405" spans="1:6" x14ac:dyDescent="0.25">
      <c r="A15405" s="1">
        <v>43922</v>
      </c>
      <c r="B15405" t="s">
        <v>16</v>
      </c>
      <c r="C15405" t="s">
        <v>8</v>
      </c>
      <c r="D15405">
        <v>1</v>
      </c>
      <c r="E15405" s="2">
        <v>2.2106481481481482E-3</v>
      </c>
      <c r="F15405">
        <v>3.1833333333333331</v>
      </c>
    </row>
    <row r="15406" spans="1:6" x14ac:dyDescent="0.25">
      <c r="A15406" s="1">
        <v>43922</v>
      </c>
      <c r="B15406" t="s">
        <v>16</v>
      </c>
      <c r="C15406" t="s">
        <v>9</v>
      </c>
      <c r="D15406">
        <v>0</v>
      </c>
      <c r="E15406" s="2">
        <v>0</v>
      </c>
      <c r="F15406">
        <v>0</v>
      </c>
    </row>
    <row r="15407" spans="1:6" x14ac:dyDescent="0.25">
      <c r="A15407" s="1">
        <v>43922</v>
      </c>
      <c r="B15407" t="s">
        <v>16</v>
      </c>
      <c r="C15407" t="s">
        <v>10</v>
      </c>
      <c r="D15407">
        <v>1</v>
      </c>
      <c r="E15407" s="2">
        <v>5.6712962962962967E-4</v>
      </c>
      <c r="F15407">
        <v>0.81666666666666665</v>
      </c>
    </row>
    <row r="15408" spans="1:6" x14ac:dyDescent="0.25">
      <c r="A15408" s="1">
        <v>43922</v>
      </c>
      <c r="B15408" t="s">
        <v>16</v>
      </c>
      <c r="C15408" t="s">
        <v>11</v>
      </c>
      <c r="D15408">
        <v>3</v>
      </c>
      <c r="E15408" s="2">
        <v>2.5000000000000001E-3</v>
      </c>
      <c r="F15408">
        <v>3.6</v>
      </c>
    </row>
    <row r="15409" spans="1:6" x14ac:dyDescent="0.25">
      <c r="A15409" s="1">
        <v>43922</v>
      </c>
      <c r="B15409" t="s">
        <v>17</v>
      </c>
      <c r="C15409" t="s">
        <v>6</v>
      </c>
      <c r="D15409">
        <v>4</v>
      </c>
      <c r="E15409" s="2">
        <v>5.3356481481481484E-3</v>
      </c>
      <c r="F15409">
        <v>7.6833333333333336</v>
      </c>
    </row>
    <row r="15410" spans="1:6" x14ac:dyDescent="0.25">
      <c r="A15410" s="1">
        <v>43922</v>
      </c>
      <c r="B15410" t="s">
        <v>17</v>
      </c>
      <c r="C15410" t="s">
        <v>7</v>
      </c>
      <c r="D15410">
        <v>3</v>
      </c>
      <c r="E15410" s="2">
        <v>3.5532407407407409E-3</v>
      </c>
      <c r="F15410">
        <v>5.1166666666666663</v>
      </c>
    </row>
    <row r="15411" spans="1:6" x14ac:dyDescent="0.25">
      <c r="A15411" s="1">
        <v>43922</v>
      </c>
      <c r="B15411" t="s">
        <v>17</v>
      </c>
      <c r="C15411" t="s">
        <v>8</v>
      </c>
      <c r="D15411">
        <v>3</v>
      </c>
      <c r="E15411" s="2">
        <v>3.6111111111111109E-3</v>
      </c>
      <c r="F15411">
        <v>5.2</v>
      </c>
    </row>
    <row r="15412" spans="1:6" x14ac:dyDescent="0.25">
      <c r="A15412" s="1">
        <v>43922</v>
      </c>
      <c r="B15412" t="s">
        <v>17</v>
      </c>
      <c r="C15412" t="s">
        <v>9</v>
      </c>
      <c r="D15412">
        <v>0</v>
      </c>
      <c r="E15412" s="2">
        <v>0</v>
      </c>
      <c r="F15412">
        <v>0</v>
      </c>
    </row>
    <row r="15413" spans="1:6" x14ac:dyDescent="0.25">
      <c r="A15413" s="1">
        <v>43922</v>
      </c>
      <c r="B15413" t="s">
        <v>17</v>
      </c>
      <c r="C15413" t="s">
        <v>10</v>
      </c>
      <c r="D15413">
        <v>3</v>
      </c>
      <c r="E15413" s="2">
        <v>1.1689814814814816E-3</v>
      </c>
      <c r="F15413">
        <v>1.6833333333333333</v>
      </c>
    </row>
    <row r="15414" spans="1:6" x14ac:dyDescent="0.25">
      <c r="A15414" s="1">
        <v>43922</v>
      </c>
      <c r="B15414" t="s">
        <v>17</v>
      </c>
      <c r="C15414" t="s">
        <v>11</v>
      </c>
      <c r="D15414">
        <v>1</v>
      </c>
      <c r="E15414" s="2">
        <v>2.2106481481481482E-3</v>
      </c>
      <c r="F15414">
        <v>3.1833333333333331</v>
      </c>
    </row>
    <row r="15415" spans="1:6" x14ac:dyDescent="0.25">
      <c r="A15415" s="1">
        <v>43922</v>
      </c>
      <c r="B15415" t="s">
        <v>18</v>
      </c>
      <c r="C15415" t="s">
        <v>6</v>
      </c>
      <c r="D15415">
        <v>0</v>
      </c>
      <c r="E15415" s="2">
        <v>0</v>
      </c>
      <c r="F15415">
        <v>0</v>
      </c>
    </row>
    <row r="15416" spans="1:6" x14ac:dyDescent="0.25">
      <c r="A15416" s="1">
        <v>43922</v>
      </c>
      <c r="B15416" t="s">
        <v>18</v>
      </c>
      <c r="C15416" t="s">
        <v>7</v>
      </c>
      <c r="D15416">
        <v>4</v>
      </c>
      <c r="E15416" s="2">
        <v>5.2777777777777779E-3</v>
      </c>
      <c r="F15416">
        <v>7.6</v>
      </c>
    </row>
    <row r="15417" spans="1:6" x14ac:dyDescent="0.25">
      <c r="A15417" s="1">
        <v>43922</v>
      </c>
      <c r="B15417" t="s">
        <v>18</v>
      </c>
      <c r="C15417" t="s">
        <v>8</v>
      </c>
      <c r="D15417">
        <v>0</v>
      </c>
      <c r="E15417" s="2">
        <v>0</v>
      </c>
      <c r="F15417">
        <v>0</v>
      </c>
    </row>
    <row r="15418" spans="1:6" x14ac:dyDescent="0.25">
      <c r="A15418" s="1">
        <v>43922</v>
      </c>
      <c r="B15418" t="s">
        <v>18</v>
      </c>
      <c r="C15418" t="s">
        <v>9</v>
      </c>
      <c r="D15418">
        <v>0</v>
      </c>
      <c r="E15418" s="2">
        <v>0</v>
      </c>
      <c r="F15418">
        <v>0</v>
      </c>
    </row>
    <row r="15419" spans="1:6" x14ac:dyDescent="0.25">
      <c r="A15419" s="1">
        <v>43922</v>
      </c>
      <c r="B15419" t="s">
        <v>18</v>
      </c>
      <c r="C15419" t="s">
        <v>10</v>
      </c>
      <c r="D15419">
        <v>19</v>
      </c>
      <c r="E15419" s="2">
        <v>2.8877314814814814E-2</v>
      </c>
      <c r="F15419">
        <v>41.583333333333336</v>
      </c>
    </row>
    <row r="15420" spans="1:6" x14ac:dyDescent="0.25">
      <c r="A15420" s="1">
        <v>43922</v>
      </c>
      <c r="B15420" t="s">
        <v>18</v>
      </c>
      <c r="C15420" t="s">
        <v>11</v>
      </c>
      <c r="D15420">
        <v>5</v>
      </c>
      <c r="E15420" s="2">
        <v>2.5231481481481481E-3</v>
      </c>
      <c r="F15420">
        <v>3.6333333333333333</v>
      </c>
    </row>
    <row r="15421" spans="1:6" x14ac:dyDescent="0.25">
      <c r="A15421" s="1">
        <v>43922</v>
      </c>
      <c r="B15421" t="s">
        <v>19</v>
      </c>
      <c r="C15421" t="s">
        <v>6</v>
      </c>
      <c r="D15421">
        <v>2</v>
      </c>
      <c r="E15421" s="2">
        <v>2.8587962962962963E-3</v>
      </c>
      <c r="F15421">
        <v>4.1166666666666663</v>
      </c>
    </row>
    <row r="15422" spans="1:6" x14ac:dyDescent="0.25">
      <c r="A15422" s="1">
        <v>43922</v>
      </c>
      <c r="B15422" t="s">
        <v>19</v>
      </c>
      <c r="C15422" t="s">
        <v>7</v>
      </c>
      <c r="D15422">
        <v>1</v>
      </c>
      <c r="E15422" s="2">
        <v>3.3564814814814812E-4</v>
      </c>
      <c r="F15422">
        <v>0.48333333333333334</v>
      </c>
    </row>
    <row r="15423" spans="1:6" x14ac:dyDescent="0.25">
      <c r="A15423" s="1">
        <v>43922</v>
      </c>
      <c r="B15423" t="s">
        <v>19</v>
      </c>
      <c r="C15423" t="s">
        <v>8</v>
      </c>
      <c r="D15423">
        <v>1</v>
      </c>
      <c r="E15423" s="2">
        <v>9.9537037037037042E-4</v>
      </c>
      <c r="F15423">
        <v>1.4333333333333333</v>
      </c>
    </row>
    <row r="15424" spans="1:6" x14ac:dyDescent="0.25">
      <c r="A15424" s="1">
        <v>43922</v>
      </c>
      <c r="B15424" t="s">
        <v>19</v>
      </c>
      <c r="C15424" t="s">
        <v>9</v>
      </c>
      <c r="D15424">
        <v>0</v>
      </c>
      <c r="E15424" s="2">
        <v>0</v>
      </c>
      <c r="F15424">
        <v>0</v>
      </c>
    </row>
    <row r="15425" spans="1:6" x14ac:dyDescent="0.25">
      <c r="A15425" s="1">
        <v>43922</v>
      </c>
      <c r="B15425" t="s">
        <v>19</v>
      </c>
      <c r="C15425" t="s">
        <v>10</v>
      </c>
      <c r="D15425">
        <v>1</v>
      </c>
      <c r="E15425" s="2">
        <v>1.7013888888888888E-3</v>
      </c>
      <c r="F15425">
        <v>2.4500000000000002</v>
      </c>
    </row>
    <row r="15426" spans="1:6" x14ac:dyDescent="0.25">
      <c r="A15426" s="1">
        <v>43922</v>
      </c>
      <c r="B15426" t="s">
        <v>19</v>
      </c>
      <c r="C15426" t="s">
        <v>11</v>
      </c>
      <c r="D15426">
        <v>1</v>
      </c>
      <c r="E15426" s="2">
        <v>3.3564814814814812E-4</v>
      </c>
      <c r="F15426">
        <v>0.48333333333333334</v>
      </c>
    </row>
    <row r="15427" spans="1:6" x14ac:dyDescent="0.25">
      <c r="A15427" s="1">
        <v>43922</v>
      </c>
      <c r="B15427" t="s">
        <v>20</v>
      </c>
      <c r="C15427" t="s">
        <v>6</v>
      </c>
      <c r="D15427">
        <v>4</v>
      </c>
      <c r="E15427" s="2">
        <v>4.8263888888888887E-3</v>
      </c>
      <c r="F15427">
        <v>6.95</v>
      </c>
    </row>
    <row r="15428" spans="1:6" x14ac:dyDescent="0.25">
      <c r="A15428" s="1">
        <v>43922</v>
      </c>
      <c r="B15428" t="s">
        <v>20</v>
      </c>
      <c r="C15428" t="s">
        <v>7</v>
      </c>
      <c r="D15428">
        <v>9</v>
      </c>
      <c r="E15428" s="2">
        <v>7.037037037037037E-3</v>
      </c>
      <c r="F15428">
        <v>10.133333333333333</v>
      </c>
    </row>
    <row r="15429" spans="1:6" x14ac:dyDescent="0.25">
      <c r="A15429" s="1">
        <v>43922</v>
      </c>
      <c r="B15429" t="s">
        <v>20</v>
      </c>
      <c r="C15429" t="s">
        <v>8</v>
      </c>
      <c r="D15429">
        <v>3</v>
      </c>
      <c r="E15429" s="2">
        <v>2.0601851851851853E-3</v>
      </c>
      <c r="F15429">
        <v>2.9666666666666668</v>
      </c>
    </row>
    <row r="15430" spans="1:6" x14ac:dyDescent="0.25">
      <c r="A15430" s="1">
        <v>43922</v>
      </c>
      <c r="B15430" t="s">
        <v>20</v>
      </c>
      <c r="C15430" t="s">
        <v>9</v>
      </c>
      <c r="D15430">
        <v>0</v>
      </c>
      <c r="E15430" s="2">
        <v>0</v>
      </c>
      <c r="F15430">
        <v>0</v>
      </c>
    </row>
    <row r="15431" spans="1:6" x14ac:dyDescent="0.25">
      <c r="A15431" s="1">
        <v>43922</v>
      </c>
      <c r="B15431" t="s">
        <v>20</v>
      </c>
      <c r="C15431" t="s">
        <v>10</v>
      </c>
      <c r="D15431">
        <v>1</v>
      </c>
      <c r="E15431" s="2">
        <v>9.6064814814814819E-4</v>
      </c>
      <c r="F15431">
        <v>1.3833333333333333</v>
      </c>
    </row>
    <row r="15432" spans="1:6" x14ac:dyDescent="0.25">
      <c r="A15432" s="1">
        <v>43922</v>
      </c>
      <c r="B15432" t="s">
        <v>20</v>
      </c>
      <c r="C15432" t="s">
        <v>11</v>
      </c>
      <c r="D15432">
        <v>6</v>
      </c>
      <c r="E15432" s="2">
        <v>4.2939814814814811E-3</v>
      </c>
      <c r="F15432">
        <v>6.1833333333333336</v>
      </c>
    </row>
    <row r="15433" spans="1:6" x14ac:dyDescent="0.25">
      <c r="A15433" s="1">
        <v>43922</v>
      </c>
      <c r="B15433" t="s">
        <v>21</v>
      </c>
      <c r="C15433" t="s">
        <v>6</v>
      </c>
      <c r="D15433">
        <v>557</v>
      </c>
      <c r="E15433" s="2">
        <v>0.83797453703703706</v>
      </c>
      <c r="F15433">
        <v>1206.6833333333334</v>
      </c>
    </row>
    <row r="15434" spans="1:6" x14ac:dyDescent="0.25">
      <c r="A15434" s="1">
        <v>43922</v>
      </c>
      <c r="B15434" t="s">
        <v>21</v>
      </c>
      <c r="C15434" t="s">
        <v>7</v>
      </c>
      <c r="D15434">
        <v>475</v>
      </c>
      <c r="E15434" s="2">
        <v>0.66917824074074073</v>
      </c>
      <c r="F15434">
        <v>963.61666666666667</v>
      </c>
    </row>
    <row r="15435" spans="1:6" x14ac:dyDescent="0.25">
      <c r="A15435" s="1">
        <v>43922</v>
      </c>
      <c r="B15435" t="s">
        <v>21</v>
      </c>
      <c r="C15435" t="s">
        <v>8</v>
      </c>
      <c r="D15435">
        <v>256</v>
      </c>
      <c r="E15435" s="2">
        <v>0.30215277777777777</v>
      </c>
      <c r="F15435">
        <v>435.1</v>
      </c>
    </row>
    <row r="15436" spans="1:6" x14ac:dyDescent="0.25">
      <c r="A15436" s="1">
        <v>43922</v>
      </c>
      <c r="B15436" t="s">
        <v>21</v>
      </c>
      <c r="C15436" t="s">
        <v>9</v>
      </c>
      <c r="D15436">
        <v>0</v>
      </c>
      <c r="E15436" s="2">
        <v>0</v>
      </c>
      <c r="F15436">
        <v>0</v>
      </c>
    </row>
    <row r="15437" spans="1:6" x14ac:dyDescent="0.25">
      <c r="A15437" s="1">
        <v>43922</v>
      </c>
      <c r="B15437" t="s">
        <v>21</v>
      </c>
      <c r="C15437" t="s">
        <v>10</v>
      </c>
      <c r="D15437">
        <v>127</v>
      </c>
      <c r="E15437" s="2">
        <v>0.22278935185185186</v>
      </c>
      <c r="F15437">
        <v>320.81666666666666</v>
      </c>
    </row>
    <row r="15438" spans="1:6" x14ac:dyDescent="0.25">
      <c r="A15438" s="1">
        <v>43922</v>
      </c>
      <c r="B15438" t="s">
        <v>21</v>
      </c>
      <c r="C15438" t="s">
        <v>11</v>
      </c>
      <c r="D15438">
        <v>361</v>
      </c>
      <c r="E15438" s="2">
        <v>0.46942129629629631</v>
      </c>
      <c r="F15438">
        <v>675.9666666666667</v>
      </c>
    </row>
    <row r="15439" spans="1:6" x14ac:dyDescent="0.25">
      <c r="A15439" s="1">
        <v>43922</v>
      </c>
      <c r="B15439" t="s">
        <v>22</v>
      </c>
      <c r="C15439" t="s">
        <v>6</v>
      </c>
      <c r="D15439">
        <v>0</v>
      </c>
      <c r="E15439" s="2">
        <v>0</v>
      </c>
      <c r="F15439">
        <v>0</v>
      </c>
    </row>
    <row r="15440" spans="1:6" x14ac:dyDescent="0.25">
      <c r="A15440" s="1">
        <v>43922</v>
      </c>
      <c r="B15440" t="s">
        <v>22</v>
      </c>
      <c r="C15440" t="s">
        <v>7</v>
      </c>
      <c r="D15440">
        <v>0</v>
      </c>
      <c r="E15440" s="2">
        <v>0</v>
      </c>
      <c r="F15440">
        <v>0</v>
      </c>
    </row>
    <row r="15441" spans="1:6" x14ac:dyDescent="0.25">
      <c r="A15441" s="1">
        <v>43922</v>
      </c>
      <c r="B15441" t="s">
        <v>22</v>
      </c>
      <c r="C15441" t="s">
        <v>8</v>
      </c>
      <c r="D15441">
        <v>1</v>
      </c>
      <c r="E15441" s="2">
        <v>1.1342592592592593E-3</v>
      </c>
      <c r="F15441">
        <v>1.6333333333333333</v>
      </c>
    </row>
    <row r="15442" spans="1:6" x14ac:dyDescent="0.25">
      <c r="A15442" s="1">
        <v>43922</v>
      </c>
      <c r="B15442" t="s">
        <v>22</v>
      </c>
      <c r="C15442" t="s">
        <v>9</v>
      </c>
      <c r="D15442">
        <v>0</v>
      </c>
      <c r="E15442" s="2">
        <v>0</v>
      </c>
      <c r="F15442">
        <v>0</v>
      </c>
    </row>
    <row r="15443" spans="1:6" x14ac:dyDescent="0.25">
      <c r="A15443" s="1">
        <v>43922</v>
      </c>
      <c r="B15443" t="s">
        <v>22</v>
      </c>
      <c r="C15443" t="s">
        <v>10</v>
      </c>
      <c r="D15443">
        <v>0</v>
      </c>
      <c r="E15443" s="2">
        <v>0</v>
      </c>
      <c r="F15443">
        <v>0</v>
      </c>
    </row>
    <row r="15444" spans="1:6" x14ac:dyDescent="0.25">
      <c r="A15444" s="1">
        <v>43922</v>
      </c>
      <c r="B15444" t="s">
        <v>22</v>
      </c>
      <c r="C15444" t="s">
        <v>11</v>
      </c>
      <c r="D15444">
        <v>2</v>
      </c>
      <c r="E15444" s="2">
        <v>8.4490740740740739E-4</v>
      </c>
      <c r="F15444">
        <v>1.2166666666666668</v>
      </c>
    </row>
    <row r="15445" spans="1:6" x14ac:dyDescent="0.25">
      <c r="A15445" s="1">
        <v>43922</v>
      </c>
      <c r="B15445" t="s">
        <v>23</v>
      </c>
      <c r="C15445" t="s">
        <v>6</v>
      </c>
      <c r="D15445">
        <v>26</v>
      </c>
      <c r="E15445" s="2">
        <v>4.2083333333333334E-2</v>
      </c>
      <c r="F15445">
        <v>60.6</v>
      </c>
    </row>
    <row r="15446" spans="1:6" x14ac:dyDescent="0.25">
      <c r="A15446" s="1">
        <v>43922</v>
      </c>
      <c r="B15446" t="s">
        <v>23</v>
      </c>
      <c r="C15446" t="s">
        <v>7</v>
      </c>
      <c r="D15446">
        <v>30</v>
      </c>
      <c r="E15446" s="2">
        <v>4.3796296296296298E-2</v>
      </c>
      <c r="F15446">
        <v>63.06666666666667</v>
      </c>
    </row>
    <row r="15447" spans="1:6" x14ac:dyDescent="0.25">
      <c r="A15447" s="1">
        <v>43922</v>
      </c>
      <c r="B15447" t="s">
        <v>23</v>
      </c>
      <c r="C15447" t="s">
        <v>8</v>
      </c>
      <c r="D15447">
        <v>21</v>
      </c>
      <c r="E15447" s="2">
        <v>2.252314814814815E-2</v>
      </c>
      <c r="F15447">
        <v>32.43333333333333</v>
      </c>
    </row>
    <row r="15448" spans="1:6" x14ac:dyDescent="0.25">
      <c r="A15448" s="1">
        <v>43922</v>
      </c>
      <c r="B15448" t="s">
        <v>23</v>
      </c>
      <c r="C15448" t="s">
        <v>9</v>
      </c>
      <c r="D15448">
        <v>0</v>
      </c>
      <c r="E15448" s="2">
        <v>0</v>
      </c>
      <c r="F15448">
        <v>0</v>
      </c>
    </row>
    <row r="15449" spans="1:6" x14ac:dyDescent="0.25">
      <c r="A15449" s="1">
        <v>43922</v>
      </c>
      <c r="B15449" t="s">
        <v>23</v>
      </c>
      <c r="C15449" t="s">
        <v>10</v>
      </c>
      <c r="D15449">
        <v>6</v>
      </c>
      <c r="E15449" s="2">
        <v>9.8032407407407408E-3</v>
      </c>
      <c r="F15449">
        <v>14.116666666666667</v>
      </c>
    </row>
    <row r="15450" spans="1:6" x14ac:dyDescent="0.25">
      <c r="A15450" s="1">
        <v>43922</v>
      </c>
      <c r="B15450" t="s">
        <v>23</v>
      </c>
      <c r="C15450" t="s">
        <v>11</v>
      </c>
      <c r="D15450">
        <v>19</v>
      </c>
      <c r="E15450" s="2">
        <v>1.8217592592592594E-2</v>
      </c>
      <c r="F15450">
        <v>26.233333333333334</v>
      </c>
    </row>
    <row r="15451" spans="1:6" x14ac:dyDescent="0.25">
      <c r="A15451" s="1">
        <v>43922</v>
      </c>
      <c r="B15451" t="s">
        <v>24</v>
      </c>
      <c r="C15451" t="s">
        <v>6</v>
      </c>
      <c r="D15451">
        <v>0</v>
      </c>
      <c r="E15451" s="2">
        <v>0</v>
      </c>
      <c r="F15451">
        <v>0</v>
      </c>
    </row>
    <row r="15452" spans="1:6" x14ac:dyDescent="0.25">
      <c r="A15452" s="1">
        <v>43922</v>
      </c>
      <c r="B15452" t="s">
        <v>24</v>
      </c>
      <c r="C15452" t="s">
        <v>7</v>
      </c>
      <c r="D15452">
        <v>0</v>
      </c>
      <c r="E15452" s="2">
        <v>0</v>
      </c>
      <c r="F15452">
        <v>0</v>
      </c>
    </row>
    <row r="15453" spans="1:6" x14ac:dyDescent="0.25">
      <c r="A15453" s="1">
        <v>43922</v>
      </c>
      <c r="B15453" t="s">
        <v>24</v>
      </c>
      <c r="C15453" t="s">
        <v>8</v>
      </c>
      <c r="D15453">
        <v>1</v>
      </c>
      <c r="E15453" s="2">
        <v>4.3981481481481481E-4</v>
      </c>
      <c r="F15453">
        <v>0.6333333333333333</v>
      </c>
    </row>
    <row r="15454" spans="1:6" x14ac:dyDescent="0.25">
      <c r="A15454" s="1">
        <v>43922</v>
      </c>
      <c r="B15454" t="s">
        <v>24</v>
      </c>
      <c r="C15454" t="s">
        <v>9</v>
      </c>
      <c r="D15454">
        <v>0</v>
      </c>
      <c r="E15454" s="2">
        <v>0</v>
      </c>
      <c r="F15454">
        <v>0</v>
      </c>
    </row>
    <row r="15455" spans="1:6" x14ac:dyDescent="0.25">
      <c r="A15455" s="1">
        <v>43922</v>
      </c>
      <c r="B15455" t="s">
        <v>24</v>
      </c>
      <c r="C15455" t="s">
        <v>10</v>
      </c>
      <c r="D15455">
        <v>0</v>
      </c>
      <c r="E15455" s="2">
        <v>0</v>
      </c>
      <c r="F15455">
        <v>0</v>
      </c>
    </row>
    <row r="15456" spans="1:6" x14ac:dyDescent="0.25">
      <c r="A15456" s="1">
        <v>43922</v>
      </c>
      <c r="B15456" t="s">
        <v>24</v>
      </c>
      <c r="C15456" t="s">
        <v>11</v>
      </c>
      <c r="D15456">
        <v>0</v>
      </c>
      <c r="E15456" s="2">
        <v>0</v>
      </c>
      <c r="F15456">
        <v>0</v>
      </c>
    </row>
    <row r="15457" spans="1:6" x14ac:dyDescent="0.25">
      <c r="A15457" s="1">
        <v>43952</v>
      </c>
      <c r="B15457" t="s">
        <v>5</v>
      </c>
      <c r="C15457" t="s">
        <v>6</v>
      </c>
      <c r="D15457">
        <v>11</v>
      </c>
      <c r="E15457" s="2">
        <v>1.2268518518518519E-2</v>
      </c>
      <c r="F15457">
        <v>17.666666666666668</v>
      </c>
    </row>
    <row r="15458" spans="1:6" x14ac:dyDescent="0.25">
      <c r="A15458" s="1">
        <v>43952</v>
      </c>
      <c r="B15458" t="s">
        <v>5</v>
      </c>
      <c r="C15458" t="s">
        <v>7</v>
      </c>
      <c r="D15458">
        <v>5</v>
      </c>
      <c r="E15458" s="2">
        <v>2.1527777777777778E-3</v>
      </c>
      <c r="F15458">
        <v>3.1</v>
      </c>
    </row>
    <row r="15459" spans="1:6" x14ac:dyDescent="0.25">
      <c r="A15459" s="1">
        <v>43952</v>
      </c>
      <c r="B15459" t="s">
        <v>5</v>
      </c>
      <c r="C15459" t="s">
        <v>8</v>
      </c>
      <c r="D15459">
        <v>4</v>
      </c>
      <c r="E15459" s="2">
        <v>3.3449074074074076E-3</v>
      </c>
      <c r="F15459">
        <v>4.8166666666666664</v>
      </c>
    </row>
    <row r="15460" spans="1:6" x14ac:dyDescent="0.25">
      <c r="A15460" s="1">
        <v>43952</v>
      </c>
      <c r="B15460" t="s">
        <v>5</v>
      </c>
      <c r="C15460" t="s">
        <v>9</v>
      </c>
      <c r="D15460">
        <v>0</v>
      </c>
      <c r="E15460" s="2">
        <v>0</v>
      </c>
      <c r="F15460">
        <v>0</v>
      </c>
    </row>
    <row r="15461" spans="1:6" x14ac:dyDescent="0.25">
      <c r="A15461" s="1">
        <v>43952</v>
      </c>
      <c r="B15461" t="s">
        <v>5</v>
      </c>
      <c r="C15461" t="s">
        <v>10</v>
      </c>
      <c r="D15461">
        <v>2</v>
      </c>
      <c r="E15461" s="2">
        <v>2.0138888888888888E-3</v>
      </c>
      <c r="F15461">
        <v>2.9</v>
      </c>
    </row>
    <row r="15462" spans="1:6" x14ac:dyDescent="0.25">
      <c r="A15462" s="1">
        <v>43952</v>
      </c>
      <c r="B15462" t="s">
        <v>5</v>
      </c>
      <c r="C15462" t="s">
        <v>11</v>
      </c>
      <c r="D15462">
        <v>12</v>
      </c>
      <c r="E15462" s="2">
        <v>6.1805555555555555E-3</v>
      </c>
      <c r="F15462">
        <v>8.9</v>
      </c>
    </row>
    <row r="15463" spans="1:6" x14ac:dyDescent="0.25">
      <c r="A15463" s="1">
        <v>43952</v>
      </c>
      <c r="B15463" t="s">
        <v>12</v>
      </c>
      <c r="C15463" t="s">
        <v>6</v>
      </c>
      <c r="D15463">
        <v>24</v>
      </c>
      <c r="E15463" s="2">
        <v>3.664351851851852E-2</v>
      </c>
      <c r="F15463">
        <v>52.766666666666666</v>
      </c>
    </row>
    <row r="15464" spans="1:6" x14ac:dyDescent="0.25">
      <c r="A15464" s="1">
        <v>43952</v>
      </c>
      <c r="B15464" t="s">
        <v>12</v>
      </c>
      <c r="C15464" t="s">
        <v>7</v>
      </c>
      <c r="D15464">
        <v>20</v>
      </c>
      <c r="E15464" s="2">
        <v>3.0405092592592591E-2</v>
      </c>
      <c r="F15464">
        <v>43.783333333333331</v>
      </c>
    </row>
    <row r="15465" spans="1:6" x14ac:dyDescent="0.25">
      <c r="A15465" s="1">
        <v>43952</v>
      </c>
      <c r="B15465" t="s">
        <v>12</v>
      </c>
      <c r="C15465" t="s">
        <v>8</v>
      </c>
      <c r="D15465">
        <v>19</v>
      </c>
      <c r="E15465" s="2">
        <v>2.3495370370370371E-2</v>
      </c>
      <c r="F15465">
        <v>33.833333333333336</v>
      </c>
    </row>
    <row r="15466" spans="1:6" x14ac:dyDescent="0.25">
      <c r="A15466" s="1">
        <v>43952</v>
      </c>
      <c r="B15466" t="s">
        <v>12</v>
      </c>
      <c r="C15466" t="s">
        <v>9</v>
      </c>
      <c r="D15466">
        <v>0</v>
      </c>
      <c r="E15466" s="2">
        <v>0</v>
      </c>
      <c r="F15466">
        <v>0</v>
      </c>
    </row>
    <row r="15467" spans="1:6" x14ac:dyDescent="0.25">
      <c r="A15467" s="1">
        <v>43952</v>
      </c>
      <c r="B15467" t="s">
        <v>12</v>
      </c>
      <c r="C15467" t="s">
        <v>10</v>
      </c>
      <c r="D15467">
        <v>12</v>
      </c>
      <c r="E15467" s="2">
        <v>2.3379629629629629E-2</v>
      </c>
      <c r="F15467">
        <v>33.666666666666664</v>
      </c>
    </row>
    <row r="15468" spans="1:6" x14ac:dyDescent="0.25">
      <c r="A15468" s="1">
        <v>43952</v>
      </c>
      <c r="B15468" t="s">
        <v>12</v>
      </c>
      <c r="C15468" t="s">
        <v>11</v>
      </c>
      <c r="D15468">
        <v>36</v>
      </c>
      <c r="E15468" s="2">
        <v>5.3055555555555557E-2</v>
      </c>
      <c r="F15468">
        <v>76.400000000000006</v>
      </c>
    </row>
    <row r="15469" spans="1:6" x14ac:dyDescent="0.25">
      <c r="A15469" s="1">
        <v>43952</v>
      </c>
      <c r="B15469" t="s">
        <v>13</v>
      </c>
      <c r="C15469" t="s">
        <v>6</v>
      </c>
      <c r="D15469">
        <v>124</v>
      </c>
      <c r="E15469" s="2">
        <v>0.19383101851851853</v>
      </c>
      <c r="F15469">
        <v>279.11666666666667</v>
      </c>
    </row>
    <row r="15470" spans="1:6" x14ac:dyDescent="0.25">
      <c r="A15470" s="1">
        <v>43952</v>
      </c>
      <c r="B15470" t="s">
        <v>13</v>
      </c>
      <c r="C15470" t="s">
        <v>7</v>
      </c>
      <c r="D15470">
        <v>119</v>
      </c>
      <c r="E15470" s="2">
        <v>0.17722222222222223</v>
      </c>
      <c r="F15470">
        <v>255.2</v>
      </c>
    </row>
    <row r="15471" spans="1:6" x14ac:dyDescent="0.25">
      <c r="A15471" s="1">
        <v>43952</v>
      </c>
      <c r="B15471" t="s">
        <v>13</v>
      </c>
      <c r="C15471" t="s">
        <v>8</v>
      </c>
      <c r="D15471">
        <v>65</v>
      </c>
      <c r="E15471" s="2">
        <v>8.2268518518518519E-2</v>
      </c>
      <c r="F15471">
        <v>118.46666666666667</v>
      </c>
    </row>
    <row r="15472" spans="1:6" x14ac:dyDescent="0.25">
      <c r="A15472" s="1">
        <v>43952</v>
      </c>
      <c r="B15472" t="s">
        <v>13</v>
      </c>
      <c r="C15472" t="s">
        <v>9</v>
      </c>
      <c r="D15472">
        <v>0</v>
      </c>
      <c r="E15472" s="2">
        <v>0</v>
      </c>
      <c r="F15472">
        <v>0</v>
      </c>
    </row>
    <row r="15473" spans="1:6" x14ac:dyDescent="0.25">
      <c r="A15473" s="1">
        <v>43952</v>
      </c>
      <c r="B15473" t="s">
        <v>13</v>
      </c>
      <c r="C15473" t="s">
        <v>10</v>
      </c>
      <c r="D15473">
        <v>24</v>
      </c>
      <c r="E15473" s="2">
        <v>4.0173611111111111E-2</v>
      </c>
      <c r="F15473">
        <v>57.85</v>
      </c>
    </row>
    <row r="15474" spans="1:6" x14ac:dyDescent="0.25">
      <c r="A15474" s="1">
        <v>43952</v>
      </c>
      <c r="B15474" t="s">
        <v>13</v>
      </c>
      <c r="C15474" t="s">
        <v>11</v>
      </c>
      <c r="D15474">
        <v>78</v>
      </c>
      <c r="E15474" s="2">
        <v>8.6365740740740743E-2</v>
      </c>
      <c r="F15474">
        <v>124.36666666666666</v>
      </c>
    </row>
    <row r="15475" spans="1:6" x14ac:dyDescent="0.25">
      <c r="A15475" s="1">
        <v>43952</v>
      </c>
      <c r="B15475" t="s">
        <v>14</v>
      </c>
      <c r="C15475" t="s">
        <v>6</v>
      </c>
      <c r="D15475">
        <v>43</v>
      </c>
      <c r="E15475" s="2">
        <v>6.2962962962962957E-2</v>
      </c>
      <c r="F15475">
        <v>90.666666666666671</v>
      </c>
    </row>
    <row r="15476" spans="1:6" x14ac:dyDescent="0.25">
      <c r="A15476" s="1">
        <v>43952</v>
      </c>
      <c r="B15476" t="s">
        <v>14</v>
      </c>
      <c r="C15476" t="s">
        <v>7</v>
      </c>
      <c r="D15476">
        <v>20</v>
      </c>
      <c r="E15476" s="2">
        <v>2.9236111111111112E-2</v>
      </c>
      <c r="F15476">
        <v>42.1</v>
      </c>
    </row>
    <row r="15477" spans="1:6" x14ac:dyDescent="0.25">
      <c r="A15477" s="1">
        <v>43952</v>
      </c>
      <c r="B15477" t="s">
        <v>14</v>
      </c>
      <c r="C15477" t="s">
        <v>8</v>
      </c>
      <c r="D15477">
        <v>11</v>
      </c>
      <c r="E15477" s="2">
        <v>1.4502314814814815E-2</v>
      </c>
      <c r="F15477">
        <v>20.883333333333333</v>
      </c>
    </row>
    <row r="15478" spans="1:6" x14ac:dyDescent="0.25">
      <c r="A15478" s="1">
        <v>43952</v>
      </c>
      <c r="B15478" t="s">
        <v>14</v>
      </c>
      <c r="C15478" t="s">
        <v>9</v>
      </c>
      <c r="D15478">
        <v>0</v>
      </c>
      <c r="E15478" s="2">
        <v>0</v>
      </c>
      <c r="F15478">
        <v>0</v>
      </c>
    </row>
    <row r="15479" spans="1:6" x14ac:dyDescent="0.25">
      <c r="A15479" s="1">
        <v>43952</v>
      </c>
      <c r="B15479" t="s">
        <v>14</v>
      </c>
      <c r="C15479" t="s">
        <v>10</v>
      </c>
      <c r="D15479">
        <v>3</v>
      </c>
      <c r="E15479" s="2">
        <v>5.6018518518518518E-3</v>
      </c>
      <c r="F15479">
        <v>8.0666666666666664</v>
      </c>
    </row>
    <row r="15480" spans="1:6" x14ac:dyDescent="0.25">
      <c r="A15480" s="1">
        <v>43952</v>
      </c>
      <c r="B15480" t="s">
        <v>14</v>
      </c>
      <c r="C15480" t="s">
        <v>11</v>
      </c>
      <c r="D15480">
        <v>29</v>
      </c>
      <c r="E15480" s="2">
        <v>2.914351851851852E-2</v>
      </c>
      <c r="F15480">
        <v>41.966666666666669</v>
      </c>
    </row>
    <row r="15481" spans="1:6" x14ac:dyDescent="0.25">
      <c r="A15481" s="1">
        <v>43952</v>
      </c>
      <c r="B15481" t="s">
        <v>15</v>
      </c>
      <c r="C15481" t="s">
        <v>6</v>
      </c>
      <c r="D15481">
        <v>9</v>
      </c>
      <c r="E15481" s="2">
        <v>2.3148148148148147E-2</v>
      </c>
      <c r="F15481">
        <v>33.333333333333336</v>
      </c>
    </row>
    <row r="15482" spans="1:6" x14ac:dyDescent="0.25">
      <c r="A15482" s="1">
        <v>43952</v>
      </c>
      <c r="B15482" t="s">
        <v>15</v>
      </c>
      <c r="C15482" t="s">
        <v>7</v>
      </c>
      <c r="D15482">
        <v>10</v>
      </c>
      <c r="E15482" s="2">
        <v>1.4606481481481481E-2</v>
      </c>
      <c r="F15482">
        <v>21.033333333333335</v>
      </c>
    </row>
    <row r="15483" spans="1:6" x14ac:dyDescent="0.25">
      <c r="A15483" s="1">
        <v>43952</v>
      </c>
      <c r="B15483" t="s">
        <v>15</v>
      </c>
      <c r="C15483" t="s">
        <v>8</v>
      </c>
      <c r="D15483">
        <v>5</v>
      </c>
      <c r="E15483" s="2">
        <v>6.5856481481481478E-3</v>
      </c>
      <c r="F15483">
        <v>9.4833333333333325</v>
      </c>
    </row>
    <row r="15484" spans="1:6" x14ac:dyDescent="0.25">
      <c r="A15484" s="1">
        <v>43952</v>
      </c>
      <c r="B15484" t="s">
        <v>15</v>
      </c>
      <c r="C15484" t="s">
        <v>9</v>
      </c>
      <c r="D15484">
        <v>0</v>
      </c>
      <c r="E15484" s="2">
        <v>0</v>
      </c>
      <c r="F15484">
        <v>0</v>
      </c>
    </row>
    <row r="15485" spans="1:6" x14ac:dyDescent="0.25">
      <c r="A15485" s="1">
        <v>43952</v>
      </c>
      <c r="B15485" t="s">
        <v>15</v>
      </c>
      <c r="C15485" t="s">
        <v>10</v>
      </c>
      <c r="D15485">
        <v>1</v>
      </c>
      <c r="E15485" s="2">
        <v>2.1412037037037038E-3</v>
      </c>
      <c r="F15485">
        <v>3.0833333333333335</v>
      </c>
    </row>
    <row r="15486" spans="1:6" x14ac:dyDescent="0.25">
      <c r="A15486" s="1">
        <v>43952</v>
      </c>
      <c r="B15486" t="s">
        <v>15</v>
      </c>
      <c r="C15486" t="s">
        <v>11</v>
      </c>
      <c r="D15486">
        <v>5</v>
      </c>
      <c r="E15486" s="2">
        <v>7.5347222222222222E-3</v>
      </c>
      <c r="F15486">
        <v>10.85</v>
      </c>
    </row>
    <row r="15487" spans="1:6" x14ac:dyDescent="0.25">
      <c r="A15487" s="1">
        <v>43952</v>
      </c>
      <c r="B15487" t="s">
        <v>16</v>
      </c>
      <c r="C15487" t="s">
        <v>6</v>
      </c>
      <c r="D15487">
        <v>3</v>
      </c>
      <c r="E15487" s="2">
        <v>3.8425925925925928E-3</v>
      </c>
      <c r="F15487">
        <v>5.5333333333333332</v>
      </c>
    </row>
    <row r="15488" spans="1:6" x14ac:dyDescent="0.25">
      <c r="A15488" s="1">
        <v>43952</v>
      </c>
      <c r="B15488" t="s">
        <v>16</v>
      </c>
      <c r="C15488" t="s">
        <v>7</v>
      </c>
      <c r="D15488">
        <v>3</v>
      </c>
      <c r="E15488" s="2">
        <v>2.3726851851851851E-3</v>
      </c>
      <c r="F15488">
        <v>3.4166666666666665</v>
      </c>
    </row>
    <row r="15489" spans="1:6" x14ac:dyDescent="0.25">
      <c r="A15489" s="1">
        <v>43952</v>
      </c>
      <c r="B15489" t="s">
        <v>16</v>
      </c>
      <c r="C15489" t="s">
        <v>8</v>
      </c>
      <c r="D15489">
        <v>2</v>
      </c>
      <c r="E15489" s="2">
        <v>1.8749999999999999E-3</v>
      </c>
      <c r="F15489">
        <v>2.7</v>
      </c>
    </row>
    <row r="15490" spans="1:6" x14ac:dyDescent="0.25">
      <c r="A15490" s="1">
        <v>43952</v>
      </c>
      <c r="B15490" t="s">
        <v>16</v>
      </c>
      <c r="C15490" t="s">
        <v>9</v>
      </c>
      <c r="D15490">
        <v>0</v>
      </c>
      <c r="E15490" s="2">
        <v>0</v>
      </c>
      <c r="F15490">
        <v>0</v>
      </c>
    </row>
    <row r="15491" spans="1:6" x14ac:dyDescent="0.25">
      <c r="A15491" s="1">
        <v>43952</v>
      </c>
      <c r="B15491" t="s">
        <v>16</v>
      </c>
      <c r="C15491" t="s">
        <v>10</v>
      </c>
      <c r="D15491">
        <v>0</v>
      </c>
      <c r="E15491" s="2">
        <v>0</v>
      </c>
      <c r="F15491">
        <v>0</v>
      </c>
    </row>
    <row r="15492" spans="1:6" x14ac:dyDescent="0.25">
      <c r="A15492" s="1">
        <v>43952</v>
      </c>
      <c r="B15492" t="s">
        <v>16</v>
      </c>
      <c r="C15492" t="s">
        <v>11</v>
      </c>
      <c r="D15492">
        <v>4</v>
      </c>
      <c r="E15492" s="2">
        <v>2.0601851851851853E-3</v>
      </c>
      <c r="F15492">
        <v>2.9666666666666668</v>
      </c>
    </row>
    <row r="15493" spans="1:6" x14ac:dyDescent="0.25">
      <c r="A15493" s="1">
        <v>43952</v>
      </c>
      <c r="B15493" t="s">
        <v>17</v>
      </c>
      <c r="C15493" t="s">
        <v>6</v>
      </c>
      <c r="D15493">
        <v>9</v>
      </c>
      <c r="E15493" s="2">
        <v>1.4201388888888888E-2</v>
      </c>
      <c r="F15493">
        <v>20.45</v>
      </c>
    </row>
    <row r="15494" spans="1:6" x14ac:dyDescent="0.25">
      <c r="A15494" s="1">
        <v>43952</v>
      </c>
      <c r="B15494" t="s">
        <v>17</v>
      </c>
      <c r="C15494" t="s">
        <v>7</v>
      </c>
      <c r="D15494">
        <v>10</v>
      </c>
      <c r="E15494" s="2">
        <v>1.0381944444444444E-2</v>
      </c>
      <c r="F15494">
        <v>14.95</v>
      </c>
    </row>
    <row r="15495" spans="1:6" x14ac:dyDescent="0.25">
      <c r="A15495" s="1">
        <v>43952</v>
      </c>
      <c r="B15495" t="s">
        <v>17</v>
      </c>
      <c r="C15495" t="s">
        <v>8</v>
      </c>
      <c r="D15495">
        <v>13</v>
      </c>
      <c r="E15495" s="2">
        <v>1.2013888888888888E-2</v>
      </c>
      <c r="F15495">
        <v>17.3</v>
      </c>
    </row>
    <row r="15496" spans="1:6" x14ac:dyDescent="0.25">
      <c r="A15496" s="1">
        <v>43952</v>
      </c>
      <c r="B15496" t="s">
        <v>17</v>
      </c>
      <c r="C15496" t="s">
        <v>9</v>
      </c>
      <c r="D15496">
        <v>0</v>
      </c>
      <c r="E15496" s="2">
        <v>0</v>
      </c>
      <c r="F15496">
        <v>0</v>
      </c>
    </row>
    <row r="15497" spans="1:6" x14ac:dyDescent="0.25">
      <c r="A15497" s="1">
        <v>43952</v>
      </c>
      <c r="B15497" t="s">
        <v>17</v>
      </c>
      <c r="C15497" t="s">
        <v>10</v>
      </c>
      <c r="D15497">
        <v>10</v>
      </c>
      <c r="E15497" s="2">
        <v>7.9282407407407409E-3</v>
      </c>
      <c r="F15497">
        <v>11.416666666666666</v>
      </c>
    </row>
    <row r="15498" spans="1:6" x14ac:dyDescent="0.25">
      <c r="A15498" s="1">
        <v>43952</v>
      </c>
      <c r="B15498" t="s">
        <v>17</v>
      </c>
      <c r="C15498" t="s">
        <v>11</v>
      </c>
      <c r="D15498">
        <v>9</v>
      </c>
      <c r="E15498" s="2">
        <v>1.0532407407407407E-2</v>
      </c>
      <c r="F15498">
        <v>15.166666666666666</v>
      </c>
    </row>
    <row r="15499" spans="1:6" x14ac:dyDescent="0.25">
      <c r="A15499" s="1">
        <v>43952</v>
      </c>
      <c r="B15499" t="s">
        <v>18</v>
      </c>
      <c r="C15499" t="s">
        <v>6</v>
      </c>
      <c r="D15499">
        <v>5</v>
      </c>
      <c r="E15499" s="2">
        <v>1.1446759259259259E-2</v>
      </c>
      <c r="F15499">
        <v>16.483333333333334</v>
      </c>
    </row>
    <row r="15500" spans="1:6" x14ac:dyDescent="0.25">
      <c r="A15500" s="1">
        <v>43952</v>
      </c>
      <c r="B15500" t="s">
        <v>18</v>
      </c>
      <c r="C15500" t="s">
        <v>7</v>
      </c>
      <c r="D15500">
        <v>15</v>
      </c>
      <c r="E15500" s="2">
        <v>1.1574074074074073E-2</v>
      </c>
      <c r="F15500">
        <v>16.666666666666668</v>
      </c>
    </row>
    <row r="15501" spans="1:6" x14ac:dyDescent="0.25">
      <c r="A15501" s="1">
        <v>43952</v>
      </c>
      <c r="B15501" t="s">
        <v>18</v>
      </c>
      <c r="C15501" t="s">
        <v>8</v>
      </c>
      <c r="D15501">
        <v>2</v>
      </c>
      <c r="E15501" s="2">
        <v>2.3611111111111111E-3</v>
      </c>
      <c r="F15501">
        <v>3.4</v>
      </c>
    </row>
    <row r="15502" spans="1:6" x14ac:dyDescent="0.25">
      <c r="A15502" s="1">
        <v>43952</v>
      </c>
      <c r="B15502" t="s">
        <v>18</v>
      </c>
      <c r="C15502" t="s">
        <v>9</v>
      </c>
      <c r="D15502">
        <v>0</v>
      </c>
      <c r="E15502" s="2">
        <v>0</v>
      </c>
      <c r="F15502">
        <v>0</v>
      </c>
    </row>
    <row r="15503" spans="1:6" x14ac:dyDescent="0.25">
      <c r="A15503" s="1">
        <v>43952</v>
      </c>
      <c r="B15503" t="s">
        <v>18</v>
      </c>
      <c r="C15503" t="s">
        <v>10</v>
      </c>
      <c r="D15503">
        <v>35</v>
      </c>
      <c r="E15503" s="2">
        <v>5.5555555555555552E-2</v>
      </c>
      <c r="F15503">
        <v>80</v>
      </c>
    </row>
    <row r="15504" spans="1:6" x14ac:dyDescent="0.25">
      <c r="A15504" s="1">
        <v>43952</v>
      </c>
      <c r="B15504" t="s">
        <v>18</v>
      </c>
      <c r="C15504" t="s">
        <v>11</v>
      </c>
      <c r="D15504">
        <v>5</v>
      </c>
      <c r="E15504" s="2">
        <v>2.1875000000000002E-3</v>
      </c>
      <c r="F15504">
        <v>3.15</v>
      </c>
    </row>
    <row r="15505" spans="1:6" x14ac:dyDescent="0.25">
      <c r="A15505" s="1">
        <v>43952</v>
      </c>
      <c r="B15505" t="s">
        <v>19</v>
      </c>
      <c r="C15505" t="s">
        <v>6</v>
      </c>
      <c r="D15505">
        <v>2</v>
      </c>
      <c r="E15505" s="2">
        <v>4.5254629629629629E-3</v>
      </c>
      <c r="F15505">
        <v>6.5166666666666666</v>
      </c>
    </row>
    <row r="15506" spans="1:6" x14ac:dyDescent="0.25">
      <c r="A15506" s="1">
        <v>43952</v>
      </c>
      <c r="B15506" t="s">
        <v>19</v>
      </c>
      <c r="C15506" t="s">
        <v>7</v>
      </c>
      <c r="D15506">
        <v>5</v>
      </c>
      <c r="E15506" s="2">
        <v>3.1018518518518517E-3</v>
      </c>
      <c r="F15506">
        <v>4.4666666666666668</v>
      </c>
    </row>
    <row r="15507" spans="1:6" x14ac:dyDescent="0.25">
      <c r="A15507" s="1">
        <v>43952</v>
      </c>
      <c r="B15507" t="s">
        <v>19</v>
      </c>
      <c r="C15507" t="s">
        <v>8</v>
      </c>
      <c r="D15507">
        <v>5</v>
      </c>
      <c r="E15507" s="2">
        <v>5.3587962962962964E-3</v>
      </c>
      <c r="F15507">
        <v>7.7166666666666668</v>
      </c>
    </row>
    <row r="15508" spans="1:6" x14ac:dyDescent="0.25">
      <c r="A15508" s="1">
        <v>43952</v>
      </c>
      <c r="B15508" t="s">
        <v>19</v>
      </c>
      <c r="C15508" t="s">
        <v>9</v>
      </c>
      <c r="D15508">
        <v>0</v>
      </c>
      <c r="E15508" s="2">
        <v>0</v>
      </c>
      <c r="F15508">
        <v>0</v>
      </c>
    </row>
    <row r="15509" spans="1:6" x14ac:dyDescent="0.25">
      <c r="A15509" s="1">
        <v>43952</v>
      </c>
      <c r="B15509" t="s">
        <v>19</v>
      </c>
      <c r="C15509" t="s">
        <v>10</v>
      </c>
      <c r="D15509">
        <v>8</v>
      </c>
      <c r="E15509" s="2">
        <v>1.380787037037037E-2</v>
      </c>
      <c r="F15509">
        <v>19.883333333333333</v>
      </c>
    </row>
    <row r="15510" spans="1:6" x14ac:dyDescent="0.25">
      <c r="A15510" s="1">
        <v>43952</v>
      </c>
      <c r="B15510" t="s">
        <v>19</v>
      </c>
      <c r="C15510" t="s">
        <v>11</v>
      </c>
      <c r="D15510">
        <v>4</v>
      </c>
      <c r="E15510" s="2">
        <v>3.1250000000000002E-3</v>
      </c>
      <c r="F15510">
        <v>4.5</v>
      </c>
    </row>
    <row r="15511" spans="1:6" x14ac:dyDescent="0.25">
      <c r="A15511" s="1">
        <v>43952</v>
      </c>
      <c r="B15511" t="s">
        <v>20</v>
      </c>
      <c r="C15511" t="s">
        <v>6</v>
      </c>
      <c r="D15511">
        <v>15</v>
      </c>
      <c r="E15511" s="2">
        <v>2.013888888888889E-2</v>
      </c>
      <c r="F15511">
        <v>29</v>
      </c>
    </row>
    <row r="15512" spans="1:6" x14ac:dyDescent="0.25">
      <c r="A15512" s="1">
        <v>43952</v>
      </c>
      <c r="B15512" t="s">
        <v>20</v>
      </c>
      <c r="C15512" t="s">
        <v>7</v>
      </c>
      <c r="D15512">
        <v>14</v>
      </c>
      <c r="E15512" s="2">
        <v>1.7789351851851851E-2</v>
      </c>
      <c r="F15512">
        <v>25.616666666666667</v>
      </c>
    </row>
    <row r="15513" spans="1:6" x14ac:dyDescent="0.25">
      <c r="A15513" s="1">
        <v>43952</v>
      </c>
      <c r="B15513" t="s">
        <v>20</v>
      </c>
      <c r="C15513" t="s">
        <v>8</v>
      </c>
      <c r="D15513">
        <v>13</v>
      </c>
      <c r="E15513" s="2">
        <v>1.5347222222222222E-2</v>
      </c>
      <c r="F15513">
        <v>22.1</v>
      </c>
    </row>
    <row r="15514" spans="1:6" x14ac:dyDescent="0.25">
      <c r="A15514" s="1">
        <v>43952</v>
      </c>
      <c r="B15514" t="s">
        <v>20</v>
      </c>
      <c r="C15514" t="s">
        <v>9</v>
      </c>
      <c r="D15514">
        <v>0</v>
      </c>
      <c r="E15514" s="2">
        <v>0</v>
      </c>
      <c r="F15514">
        <v>0</v>
      </c>
    </row>
    <row r="15515" spans="1:6" x14ac:dyDescent="0.25">
      <c r="A15515" s="1">
        <v>43952</v>
      </c>
      <c r="B15515" t="s">
        <v>20</v>
      </c>
      <c r="C15515" t="s">
        <v>10</v>
      </c>
      <c r="D15515">
        <v>5</v>
      </c>
      <c r="E15515" s="2">
        <v>5.4745370370370373E-3</v>
      </c>
      <c r="F15515">
        <v>7.8833333333333329</v>
      </c>
    </row>
    <row r="15516" spans="1:6" x14ac:dyDescent="0.25">
      <c r="A15516" s="1">
        <v>43952</v>
      </c>
      <c r="B15516" t="s">
        <v>20</v>
      </c>
      <c r="C15516" t="s">
        <v>11</v>
      </c>
      <c r="D15516">
        <v>15</v>
      </c>
      <c r="E15516" s="2">
        <v>1.9814814814814816E-2</v>
      </c>
      <c r="F15516">
        <v>28.533333333333335</v>
      </c>
    </row>
    <row r="15517" spans="1:6" x14ac:dyDescent="0.25">
      <c r="A15517" s="1">
        <v>43952</v>
      </c>
      <c r="B15517" t="s">
        <v>21</v>
      </c>
      <c r="C15517" t="s">
        <v>6</v>
      </c>
      <c r="D15517">
        <v>395</v>
      </c>
      <c r="E15517" s="2">
        <v>0.55634259259259256</v>
      </c>
      <c r="F15517">
        <v>801.13333333333333</v>
      </c>
    </row>
    <row r="15518" spans="1:6" x14ac:dyDescent="0.25">
      <c r="A15518" s="1">
        <v>43952</v>
      </c>
      <c r="B15518" t="s">
        <v>21</v>
      </c>
      <c r="C15518" t="s">
        <v>7</v>
      </c>
      <c r="D15518">
        <v>372</v>
      </c>
      <c r="E15518" s="2">
        <v>0.53521990740740744</v>
      </c>
      <c r="F15518">
        <v>770.7166666666667</v>
      </c>
    </row>
    <row r="15519" spans="1:6" x14ac:dyDescent="0.25">
      <c r="A15519" s="1">
        <v>43952</v>
      </c>
      <c r="B15519" t="s">
        <v>21</v>
      </c>
      <c r="C15519" t="s">
        <v>8</v>
      </c>
      <c r="D15519">
        <v>188</v>
      </c>
      <c r="E15519" s="2">
        <v>0.22159722222222222</v>
      </c>
      <c r="F15519">
        <v>319.10000000000002</v>
      </c>
    </row>
    <row r="15520" spans="1:6" x14ac:dyDescent="0.25">
      <c r="A15520" s="1">
        <v>43952</v>
      </c>
      <c r="B15520" t="s">
        <v>21</v>
      </c>
      <c r="C15520" t="s">
        <v>9</v>
      </c>
      <c r="D15520">
        <v>0</v>
      </c>
      <c r="E15520" s="2">
        <v>0</v>
      </c>
      <c r="F15520">
        <v>0</v>
      </c>
    </row>
    <row r="15521" spans="1:6" x14ac:dyDescent="0.25">
      <c r="A15521" s="1">
        <v>43952</v>
      </c>
      <c r="B15521" t="s">
        <v>21</v>
      </c>
      <c r="C15521" t="s">
        <v>10</v>
      </c>
      <c r="D15521">
        <v>101</v>
      </c>
      <c r="E15521" s="2">
        <v>0.16836805555555556</v>
      </c>
      <c r="F15521">
        <v>242.45</v>
      </c>
    </row>
    <row r="15522" spans="1:6" x14ac:dyDescent="0.25">
      <c r="A15522" s="1">
        <v>43952</v>
      </c>
      <c r="B15522" t="s">
        <v>21</v>
      </c>
      <c r="C15522" t="s">
        <v>11</v>
      </c>
      <c r="D15522">
        <v>281</v>
      </c>
      <c r="E15522" s="2">
        <v>0.28349537037037037</v>
      </c>
      <c r="F15522">
        <v>408.23333333333335</v>
      </c>
    </row>
    <row r="15523" spans="1:6" x14ac:dyDescent="0.25">
      <c r="A15523" s="1">
        <v>43952</v>
      </c>
      <c r="B15523" t="s">
        <v>22</v>
      </c>
      <c r="C15523" t="s">
        <v>6</v>
      </c>
      <c r="D15523">
        <v>9</v>
      </c>
      <c r="E15523" s="2">
        <v>2.7442129629629629E-2</v>
      </c>
      <c r="F15523">
        <v>39.516666666666666</v>
      </c>
    </row>
    <row r="15524" spans="1:6" x14ac:dyDescent="0.25">
      <c r="A15524" s="1">
        <v>43952</v>
      </c>
      <c r="B15524" t="s">
        <v>22</v>
      </c>
      <c r="C15524" t="s">
        <v>7</v>
      </c>
      <c r="D15524">
        <v>4</v>
      </c>
      <c r="E15524" s="2">
        <v>8.2870370370370372E-3</v>
      </c>
      <c r="F15524">
        <v>11.933333333333334</v>
      </c>
    </row>
    <row r="15525" spans="1:6" x14ac:dyDescent="0.25">
      <c r="A15525" s="1">
        <v>43952</v>
      </c>
      <c r="B15525" t="s">
        <v>22</v>
      </c>
      <c r="C15525" t="s">
        <v>8</v>
      </c>
      <c r="D15525">
        <v>2</v>
      </c>
      <c r="E15525" s="2">
        <v>2.9976851851851853E-3</v>
      </c>
      <c r="F15525">
        <v>4.3166666666666664</v>
      </c>
    </row>
    <row r="15526" spans="1:6" x14ac:dyDescent="0.25">
      <c r="A15526" s="1">
        <v>43952</v>
      </c>
      <c r="B15526" t="s">
        <v>22</v>
      </c>
      <c r="C15526" t="s">
        <v>9</v>
      </c>
      <c r="D15526">
        <v>0</v>
      </c>
      <c r="E15526" s="2">
        <v>0</v>
      </c>
      <c r="F15526">
        <v>0</v>
      </c>
    </row>
    <row r="15527" spans="1:6" x14ac:dyDescent="0.25">
      <c r="A15527" s="1">
        <v>43952</v>
      </c>
      <c r="B15527" t="s">
        <v>22</v>
      </c>
      <c r="C15527" t="s">
        <v>10</v>
      </c>
      <c r="D15527">
        <v>1</v>
      </c>
      <c r="E15527" s="2">
        <v>1.4699074074074074E-3</v>
      </c>
      <c r="F15527">
        <v>2.1166666666666667</v>
      </c>
    </row>
    <row r="15528" spans="1:6" x14ac:dyDescent="0.25">
      <c r="A15528" s="1">
        <v>43952</v>
      </c>
      <c r="B15528" t="s">
        <v>22</v>
      </c>
      <c r="C15528" t="s">
        <v>11</v>
      </c>
      <c r="D15528">
        <v>5</v>
      </c>
      <c r="E15528" s="2">
        <v>5.1273148148148146E-3</v>
      </c>
      <c r="F15528">
        <v>7.3833333333333337</v>
      </c>
    </row>
    <row r="15529" spans="1:6" x14ac:dyDescent="0.25">
      <c r="A15529" s="1">
        <v>43952</v>
      </c>
      <c r="B15529" t="s">
        <v>23</v>
      </c>
      <c r="C15529" t="s">
        <v>6</v>
      </c>
      <c r="D15529">
        <v>56</v>
      </c>
      <c r="E15529" s="2">
        <v>8.1736111111111107E-2</v>
      </c>
      <c r="F15529">
        <v>117.7</v>
      </c>
    </row>
    <row r="15530" spans="1:6" x14ac:dyDescent="0.25">
      <c r="A15530" s="1">
        <v>43952</v>
      </c>
      <c r="B15530" t="s">
        <v>23</v>
      </c>
      <c r="C15530" t="s">
        <v>7</v>
      </c>
      <c r="D15530">
        <v>47</v>
      </c>
      <c r="E15530" s="2">
        <v>5.2939814814814815E-2</v>
      </c>
      <c r="F15530">
        <v>76.233333333333334</v>
      </c>
    </row>
    <row r="15531" spans="1:6" x14ac:dyDescent="0.25">
      <c r="A15531" s="1">
        <v>43952</v>
      </c>
      <c r="B15531" t="s">
        <v>23</v>
      </c>
      <c r="C15531" t="s">
        <v>8</v>
      </c>
      <c r="D15531">
        <v>30</v>
      </c>
      <c r="E15531" s="2">
        <v>3.9108796296296294E-2</v>
      </c>
      <c r="F15531">
        <v>56.31666666666667</v>
      </c>
    </row>
    <row r="15532" spans="1:6" x14ac:dyDescent="0.25">
      <c r="A15532" s="1">
        <v>43952</v>
      </c>
      <c r="B15532" t="s">
        <v>23</v>
      </c>
      <c r="C15532" t="s">
        <v>9</v>
      </c>
      <c r="D15532">
        <v>0</v>
      </c>
      <c r="E15532" s="2">
        <v>0</v>
      </c>
      <c r="F15532">
        <v>0</v>
      </c>
    </row>
    <row r="15533" spans="1:6" x14ac:dyDescent="0.25">
      <c r="A15533" s="1">
        <v>43952</v>
      </c>
      <c r="B15533" t="s">
        <v>23</v>
      </c>
      <c r="C15533" t="s">
        <v>10</v>
      </c>
      <c r="D15533">
        <v>13</v>
      </c>
      <c r="E15533" s="2">
        <v>2.3923611111111111E-2</v>
      </c>
      <c r="F15533">
        <v>34.450000000000003</v>
      </c>
    </row>
    <row r="15534" spans="1:6" x14ac:dyDescent="0.25">
      <c r="A15534" s="1">
        <v>43952</v>
      </c>
      <c r="B15534" t="s">
        <v>23</v>
      </c>
      <c r="C15534" t="s">
        <v>11</v>
      </c>
      <c r="D15534">
        <v>32</v>
      </c>
      <c r="E15534" s="2">
        <v>3.6562499999999998E-2</v>
      </c>
      <c r="F15534">
        <v>52.65</v>
      </c>
    </row>
    <row r="15535" spans="1:6" x14ac:dyDescent="0.25">
      <c r="A15535" s="1">
        <v>43952</v>
      </c>
      <c r="B15535" t="s">
        <v>24</v>
      </c>
      <c r="C15535" t="s">
        <v>6</v>
      </c>
      <c r="D15535">
        <v>3</v>
      </c>
      <c r="E15535" s="2">
        <v>3.7499999999999999E-3</v>
      </c>
      <c r="F15535">
        <v>5.4</v>
      </c>
    </row>
    <row r="15536" spans="1:6" x14ac:dyDescent="0.25">
      <c r="A15536" s="1">
        <v>43952</v>
      </c>
      <c r="B15536" t="s">
        <v>24</v>
      </c>
      <c r="C15536" t="s">
        <v>7</v>
      </c>
      <c r="D15536">
        <v>4</v>
      </c>
      <c r="E15536" s="2">
        <v>3.1250000000000002E-3</v>
      </c>
      <c r="F15536">
        <v>4.5</v>
      </c>
    </row>
    <row r="15537" spans="1:6" x14ac:dyDescent="0.25">
      <c r="A15537" s="1">
        <v>43952</v>
      </c>
      <c r="B15537" t="s">
        <v>24</v>
      </c>
      <c r="C15537" t="s">
        <v>8</v>
      </c>
      <c r="D15537">
        <v>2</v>
      </c>
      <c r="E15537" s="2">
        <v>6.7129629629629625E-4</v>
      </c>
      <c r="F15537">
        <v>0.96666666666666667</v>
      </c>
    </row>
    <row r="15538" spans="1:6" x14ac:dyDescent="0.25">
      <c r="A15538" s="1">
        <v>43952</v>
      </c>
      <c r="B15538" t="s">
        <v>24</v>
      </c>
      <c r="C15538" t="s">
        <v>9</v>
      </c>
      <c r="D15538">
        <v>0</v>
      </c>
      <c r="E15538" s="2">
        <v>0</v>
      </c>
      <c r="F15538">
        <v>0</v>
      </c>
    </row>
    <row r="15539" spans="1:6" x14ac:dyDescent="0.25">
      <c r="A15539" s="1">
        <v>43952</v>
      </c>
      <c r="B15539" t="s">
        <v>24</v>
      </c>
      <c r="C15539" t="s">
        <v>10</v>
      </c>
      <c r="D15539">
        <v>0</v>
      </c>
      <c r="E15539" s="2">
        <v>0</v>
      </c>
      <c r="F15539">
        <v>0</v>
      </c>
    </row>
    <row r="15540" spans="1:6" x14ac:dyDescent="0.25">
      <c r="A15540" s="1">
        <v>43952</v>
      </c>
      <c r="B15540" t="s">
        <v>24</v>
      </c>
      <c r="C15540" t="s">
        <v>11</v>
      </c>
      <c r="D15540">
        <v>3</v>
      </c>
      <c r="E15540" s="2">
        <v>3.0671296296296297E-3</v>
      </c>
      <c r="F15540">
        <v>4.416666666666667</v>
      </c>
    </row>
    <row r="15541" spans="1:6" x14ac:dyDescent="0.25">
      <c r="A15541" s="1">
        <v>43983</v>
      </c>
      <c r="B15541" t="s">
        <v>5</v>
      </c>
      <c r="C15541" t="s">
        <v>6</v>
      </c>
      <c r="D15541">
        <v>21</v>
      </c>
      <c r="E15541" s="2">
        <v>2.2175925925925925E-2</v>
      </c>
      <c r="F15541">
        <v>31.933333333333334</v>
      </c>
    </row>
    <row r="15542" spans="1:6" x14ac:dyDescent="0.25">
      <c r="A15542" s="1">
        <v>43983</v>
      </c>
      <c r="B15542" t="s">
        <v>5</v>
      </c>
      <c r="C15542" t="s">
        <v>7</v>
      </c>
      <c r="D15542">
        <v>15</v>
      </c>
      <c r="E15542" s="2">
        <v>1.5949074074074074E-2</v>
      </c>
      <c r="F15542">
        <v>22.966666666666665</v>
      </c>
    </row>
    <row r="15543" spans="1:6" x14ac:dyDescent="0.25">
      <c r="A15543" s="1">
        <v>43983</v>
      </c>
      <c r="B15543" t="s">
        <v>5</v>
      </c>
      <c r="C15543" t="s">
        <v>8</v>
      </c>
      <c r="D15543">
        <v>18</v>
      </c>
      <c r="E15543" s="2">
        <v>1.8414351851851852E-2</v>
      </c>
      <c r="F15543">
        <v>26.516666666666666</v>
      </c>
    </row>
    <row r="15544" spans="1:6" x14ac:dyDescent="0.25">
      <c r="A15544" s="1">
        <v>43983</v>
      </c>
      <c r="B15544" t="s">
        <v>5</v>
      </c>
      <c r="C15544" t="s">
        <v>9</v>
      </c>
      <c r="D15544">
        <v>0</v>
      </c>
      <c r="E15544" s="2">
        <v>0</v>
      </c>
      <c r="F15544">
        <v>0</v>
      </c>
    </row>
    <row r="15545" spans="1:6" x14ac:dyDescent="0.25">
      <c r="A15545" s="1">
        <v>43983</v>
      </c>
      <c r="B15545" t="s">
        <v>5</v>
      </c>
      <c r="C15545" t="s">
        <v>10</v>
      </c>
      <c r="D15545">
        <v>1</v>
      </c>
      <c r="E15545" s="2">
        <v>1.7708333333333332E-3</v>
      </c>
      <c r="F15545">
        <v>2.5499999999999998</v>
      </c>
    </row>
    <row r="15546" spans="1:6" x14ac:dyDescent="0.25">
      <c r="A15546" s="1">
        <v>43983</v>
      </c>
      <c r="B15546" t="s">
        <v>5</v>
      </c>
      <c r="C15546" t="s">
        <v>11</v>
      </c>
      <c r="D15546">
        <v>9</v>
      </c>
      <c r="E15546" s="2">
        <v>5.138888888888889E-3</v>
      </c>
      <c r="F15546">
        <v>7.4</v>
      </c>
    </row>
    <row r="15547" spans="1:6" x14ac:dyDescent="0.25">
      <c r="A15547" s="1">
        <v>43983</v>
      </c>
      <c r="B15547" t="s">
        <v>12</v>
      </c>
      <c r="C15547" t="s">
        <v>6</v>
      </c>
      <c r="D15547">
        <v>26</v>
      </c>
      <c r="E15547" s="2">
        <v>4.4687499999999998E-2</v>
      </c>
      <c r="F15547">
        <v>64.349999999999994</v>
      </c>
    </row>
    <row r="15548" spans="1:6" x14ac:dyDescent="0.25">
      <c r="A15548" s="1">
        <v>43983</v>
      </c>
      <c r="B15548" t="s">
        <v>12</v>
      </c>
      <c r="C15548" t="s">
        <v>7</v>
      </c>
      <c r="D15548">
        <v>31</v>
      </c>
      <c r="E15548" s="2">
        <v>4.5034722222222219E-2</v>
      </c>
      <c r="F15548">
        <v>64.849999999999994</v>
      </c>
    </row>
    <row r="15549" spans="1:6" x14ac:dyDescent="0.25">
      <c r="A15549" s="1">
        <v>43983</v>
      </c>
      <c r="B15549" t="s">
        <v>12</v>
      </c>
      <c r="C15549" t="s">
        <v>8</v>
      </c>
      <c r="D15549">
        <v>29</v>
      </c>
      <c r="E15549" s="2">
        <v>3.6724537037037035E-2</v>
      </c>
      <c r="F15549">
        <v>52.883333333333333</v>
      </c>
    </row>
    <row r="15550" spans="1:6" x14ac:dyDescent="0.25">
      <c r="A15550" s="1">
        <v>43983</v>
      </c>
      <c r="B15550" t="s">
        <v>12</v>
      </c>
      <c r="C15550" t="s">
        <v>9</v>
      </c>
      <c r="D15550">
        <v>0</v>
      </c>
      <c r="E15550" s="2">
        <v>0</v>
      </c>
      <c r="F15550">
        <v>0</v>
      </c>
    </row>
    <row r="15551" spans="1:6" x14ac:dyDescent="0.25">
      <c r="A15551" s="1">
        <v>43983</v>
      </c>
      <c r="B15551" t="s">
        <v>12</v>
      </c>
      <c r="C15551" t="s">
        <v>10</v>
      </c>
      <c r="D15551">
        <v>19</v>
      </c>
      <c r="E15551" s="2">
        <v>3.3657407407407407E-2</v>
      </c>
      <c r="F15551">
        <v>48.466666666666669</v>
      </c>
    </row>
    <row r="15552" spans="1:6" x14ac:dyDescent="0.25">
      <c r="A15552" s="1">
        <v>43983</v>
      </c>
      <c r="B15552" t="s">
        <v>12</v>
      </c>
      <c r="C15552" t="s">
        <v>11</v>
      </c>
      <c r="D15552">
        <v>63</v>
      </c>
      <c r="E15552" s="2">
        <v>7.8530092592592596E-2</v>
      </c>
      <c r="F15552">
        <v>113.08333333333333</v>
      </c>
    </row>
    <row r="15553" spans="1:6" x14ac:dyDescent="0.25">
      <c r="A15553" s="1">
        <v>43983</v>
      </c>
      <c r="B15553" t="s">
        <v>13</v>
      </c>
      <c r="C15553" t="s">
        <v>6</v>
      </c>
      <c r="D15553">
        <v>172</v>
      </c>
      <c r="E15553" s="2">
        <v>0.2883101851851852</v>
      </c>
      <c r="F15553">
        <v>415.16666666666669</v>
      </c>
    </row>
    <row r="15554" spans="1:6" x14ac:dyDescent="0.25">
      <c r="A15554" s="1">
        <v>43983</v>
      </c>
      <c r="B15554" t="s">
        <v>13</v>
      </c>
      <c r="C15554" t="s">
        <v>7</v>
      </c>
      <c r="D15554">
        <v>128</v>
      </c>
      <c r="E15554" s="2">
        <v>0.18917824074074074</v>
      </c>
      <c r="F15554">
        <v>272.41666666666669</v>
      </c>
    </row>
    <row r="15555" spans="1:6" x14ac:dyDescent="0.25">
      <c r="A15555" s="1">
        <v>43983</v>
      </c>
      <c r="B15555" t="s">
        <v>13</v>
      </c>
      <c r="C15555" t="s">
        <v>8</v>
      </c>
      <c r="D15555">
        <v>79</v>
      </c>
      <c r="E15555" s="2">
        <v>0.10797453703703704</v>
      </c>
      <c r="F15555">
        <v>155.48333333333332</v>
      </c>
    </row>
    <row r="15556" spans="1:6" x14ac:dyDescent="0.25">
      <c r="A15556" s="1">
        <v>43983</v>
      </c>
      <c r="B15556" t="s">
        <v>13</v>
      </c>
      <c r="C15556" t="s">
        <v>9</v>
      </c>
      <c r="D15556">
        <v>0</v>
      </c>
      <c r="E15556" s="2">
        <v>0</v>
      </c>
      <c r="F15556">
        <v>0</v>
      </c>
    </row>
    <row r="15557" spans="1:6" x14ac:dyDescent="0.25">
      <c r="A15557" s="1">
        <v>43983</v>
      </c>
      <c r="B15557" t="s">
        <v>13</v>
      </c>
      <c r="C15557" t="s">
        <v>10</v>
      </c>
      <c r="D15557">
        <v>31</v>
      </c>
      <c r="E15557" s="2">
        <v>4.2256944444444444E-2</v>
      </c>
      <c r="F15557">
        <v>60.85</v>
      </c>
    </row>
    <row r="15558" spans="1:6" x14ac:dyDescent="0.25">
      <c r="A15558" s="1">
        <v>43983</v>
      </c>
      <c r="B15558" t="s">
        <v>13</v>
      </c>
      <c r="C15558" t="s">
        <v>11</v>
      </c>
      <c r="D15558">
        <v>57</v>
      </c>
      <c r="E15558" s="2">
        <v>6.1180555555555557E-2</v>
      </c>
      <c r="F15558">
        <v>88.1</v>
      </c>
    </row>
    <row r="15559" spans="1:6" x14ac:dyDescent="0.25">
      <c r="A15559" s="1">
        <v>43983</v>
      </c>
      <c r="B15559" t="s">
        <v>14</v>
      </c>
      <c r="C15559" t="s">
        <v>6</v>
      </c>
      <c r="D15559">
        <v>22</v>
      </c>
      <c r="E15559" s="2">
        <v>3.1793981481481479E-2</v>
      </c>
      <c r="F15559">
        <v>45.783333333333331</v>
      </c>
    </row>
    <row r="15560" spans="1:6" x14ac:dyDescent="0.25">
      <c r="A15560" s="1">
        <v>43983</v>
      </c>
      <c r="B15560" t="s">
        <v>14</v>
      </c>
      <c r="C15560" t="s">
        <v>7</v>
      </c>
      <c r="D15560">
        <v>19</v>
      </c>
      <c r="E15560" s="2">
        <v>3.1134259259259261E-2</v>
      </c>
      <c r="F15560">
        <v>44.833333333333336</v>
      </c>
    </row>
    <row r="15561" spans="1:6" x14ac:dyDescent="0.25">
      <c r="A15561" s="1">
        <v>43983</v>
      </c>
      <c r="B15561" t="s">
        <v>14</v>
      </c>
      <c r="C15561" t="s">
        <v>8</v>
      </c>
      <c r="D15561">
        <v>9</v>
      </c>
      <c r="E15561" s="2">
        <v>1.2210648148148148E-2</v>
      </c>
      <c r="F15561">
        <v>17.583333333333332</v>
      </c>
    </row>
    <row r="15562" spans="1:6" x14ac:dyDescent="0.25">
      <c r="A15562" s="1">
        <v>43983</v>
      </c>
      <c r="B15562" t="s">
        <v>14</v>
      </c>
      <c r="C15562" t="s">
        <v>9</v>
      </c>
      <c r="D15562">
        <v>0</v>
      </c>
      <c r="E15562" s="2">
        <v>0</v>
      </c>
      <c r="F15562">
        <v>0</v>
      </c>
    </row>
    <row r="15563" spans="1:6" x14ac:dyDescent="0.25">
      <c r="A15563" s="1">
        <v>43983</v>
      </c>
      <c r="B15563" t="s">
        <v>14</v>
      </c>
      <c r="C15563" t="s">
        <v>10</v>
      </c>
      <c r="D15563">
        <v>2</v>
      </c>
      <c r="E15563" s="2">
        <v>3.4837962962962965E-3</v>
      </c>
      <c r="F15563">
        <v>5.0166666666666666</v>
      </c>
    </row>
    <row r="15564" spans="1:6" x14ac:dyDescent="0.25">
      <c r="A15564" s="1">
        <v>43983</v>
      </c>
      <c r="B15564" t="s">
        <v>14</v>
      </c>
      <c r="C15564" t="s">
        <v>11</v>
      </c>
      <c r="D15564">
        <v>14</v>
      </c>
      <c r="E15564" s="2">
        <v>1.7777777777777778E-2</v>
      </c>
      <c r="F15564">
        <v>25.6</v>
      </c>
    </row>
    <row r="15565" spans="1:6" x14ac:dyDescent="0.25">
      <c r="A15565" s="1">
        <v>43983</v>
      </c>
      <c r="B15565" t="s">
        <v>15</v>
      </c>
      <c r="C15565" t="s">
        <v>6</v>
      </c>
      <c r="D15565">
        <v>36</v>
      </c>
      <c r="E15565" s="2">
        <v>7.1435185185185185E-2</v>
      </c>
      <c r="F15565">
        <v>102.86666666666666</v>
      </c>
    </row>
    <row r="15566" spans="1:6" x14ac:dyDescent="0.25">
      <c r="A15566" s="1">
        <v>43983</v>
      </c>
      <c r="B15566" t="s">
        <v>15</v>
      </c>
      <c r="C15566" t="s">
        <v>7</v>
      </c>
      <c r="D15566">
        <v>28</v>
      </c>
      <c r="E15566" s="2">
        <v>5.9687499999999998E-2</v>
      </c>
      <c r="F15566">
        <v>85.95</v>
      </c>
    </row>
    <row r="15567" spans="1:6" x14ac:dyDescent="0.25">
      <c r="A15567" s="1">
        <v>43983</v>
      </c>
      <c r="B15567" t="s">
        <v>15</v>
      </c>
      <c r="C15567" t="s">
        <v>8</v>
      </c>
      <c r="D15567">
        <v>15</v>
      </c>
      <c r="E15567" s="2">
        <v>1.7118055555555556E-2</v>
      </c>
      <c r="F15567">
        <v>24.65</v>
      </c>
    </row>
    <row r="15568" spans="1:6" x14ac:dyDescent="0.25">
      <c r="A15568" s="1">
        <v>43983</v>
      </c>
      <c r="B15568" t="s">
        <v>15</v>
      </c>
      <c r="C15568" t="s">
        <v>9</v>
      </c>
      <c r="D15568">
        <v>0</v>
      </c>
      <c r="E15568" s="2">
        <v>0</v>
      </c>
      <c r="F15568">
        <v>0</v>
      </c>
    </row>
    <row r="15569" spans="1:6" x14ac:dyDescent="0.25">
      <c r="A15569" s="1">
        <v>43983</v>
      </c>
      <c r="B15569" t="s">
        <v>15</v>
      </c>
      <c r="C15569" t="s">
        <v>10</v>
      </c>
      <c r="D15569">
        <v>8</v>
      </c>
      <c r="E15569" s="2">
        <v>1.1724537037037037E-2</v>
      </c>
      <c r="F15569">
        <v>16.883333333333333</v>
      </c>
    </row>
    <row r="15570" spans="1:6" x14ac:dyDescent="0.25">
      <c r="A15570" s="1">
        <v>43983</v>
      </c>
      <c r="B15570" t="s">
        <v>15</v>
      </c>
      <c r="C15570" t="s">
        <v>11</v>
      </c>
      <c r="D15570">
        <v>24</v>
      </c>
      <c r="E15570" s="2">
        <v>2.3842592592592592E-2</v>
      </c>
      <c r="F15570">
        <v>34.333333333333336</v>
      </c>
    </row>
    <row r="15571" spans="1:6" x14ac:dyDescent="0.25">
      <c r="A15571" s="1">
        <v>43983</v>
      </c>
      <c r="B15571" t="s">
        <v>16</v>
      </c>
      <c r="C15571" t="s">
        <v>6</v>
      </c>
      <c r="D15571">
        <v>21</v>
      </c>
      <c r="E15571" s="2">
        <v>2.3344907407407408E-2</v>
      </c>
      <c r="F15571">
        <v>33.616666666666667</v>
      </c>
    </row>
    <row r="15572" spans="1:6" x14ac:dyDescent="0.25">
      <c r="A15572" s="1">
        <v>43983</v>
      </c>
      <c r="B15572" t="s">
        <v>16</v>
      </c>
      <c r="C15572" t="s">
        <v>7</v>
      </c>
      <c r="D15572">
        <v>23</v>
      </c>
      <c r="E15572" s="2">
        <v>2.6203703703703705E-2</v>
      </c>
      <c r="F15572">
        <v>37.733333333333334</v>
      </c>
    </row>
    <row r="15573" spans="1:6" x14ac:dyDescent="0.25">
      <c r="A15573" s="1">
        <v>43983</v>
      </c>
      <c r="B15573" t="s">
        <v>16</v>
      </c>
      <c r="C15573" t="s">
        <v>8</v>
      </c>
      <c r="D15573">
        <v>19</v>
      </c>
      <c r="E15573" s="2">
        <v>2.0937500000000001E-2</v>
      </c>
      <c r="F15573">
        <v>30.15</v>
      </c>
    </row>
    <row r="15574" spans="1:6" x14ac:dyDescent="0.25">
      <c r="A15574" s="1">
        <v>43983</v>
      </c>
      <c r="B15574" t="s">
        <v>16</v>
      </c>
      <c r="C15574" t="s">
        <v>9</v>
      </c>
      <c r="D15574">
        <v>0</v>
      </c>
      <c r="E15574" s="2">
        <v>0</v>
      </c>
      <c r="F15574">
        <v>0</v>
      </c>
    </row>
    <row r="15575" spans="1:6" x14ac:dyDescent="0.25">
      <c r="A15575" s="1">
        <v>43983</v>
      </c>
      <c r="B15575" t="s">
        <v>16</v>
      </c>
      <c r="C15575" t="s">
        <v>10</v>
      </c>
      <c r="D15575">
        <v>3</v>
      </c>
      <c r="E15575" s="2">
        <v>3.9004629629629628E-3</v>
      </c>
      <c r="F15575">
        <v>5.6166666666666671</v>
      </c>
    </row>
    <row r="15576" spans="1:6" x14ac:dyDescent="0.25">
      <c r="A15576" s="1">
        <v>43983</v>
      </c>
      <c r="B15576" t="s">
        <v>16</v>
      </c>
      <c r="C15576" t="s">
        <v>11</v>
      </c>
      <c r="D15576">
        <v>26</v>
      </c>
      <c r="E15576" s="2">
        <v>2.1412037037037038E-2</v>
      </c>
      <c r="F15576">
        <v>30.833333333333332</v>
      </c>
    </row>
    <row r="15577" spans="1:6" x14ac:dyDescent="0.25">
      <c r="A15577" s="1">
        <v>43983</v>
      </c>
      <c r="B15577" t="s">
        <v>17</v>
      </c>
      <c r="C15577" t="s">
        <v>6</v>
      </c>
      <c r="D15577">
        <v>8</v>
      </c>
      <c r="E15577" s="2">
        <v>1.7650462962962962E-2</v>
      </c>
      <c r="F15577">
        <v>25.416666666666668</v>
      </c>
    </row>
    <row r="15578" spans="1:6" x14ac:dyDescent="0.25">
      <c r="A15578" s="1">
        <v>43983</v>
      </c>
      <c r="B15578" t="s">
        <v>17</v>
      </c>
      <c r="C15578" t="s">
        <v>7</v>
      </c>
      <c r="D15578">
        <v>6</v>
      </c>
      <c r="E15578" s="2">
        <v>6.4930555555555557E-3</v>
      </c>
      <c r="F15578">
        <v>9.35</v>
      </c>
    </row>
    <row r="15579" spans="1:6" x14ac:dyDescent="0.25">
      <c r="A15579" s="1">
        <v>43983</v>
      </c>
      <c r="B15579" t="s">
        <v>17</v>
      </c>
      <c r="C15579" t="s">
        <v>8</v>
      </c>
      <c r="D15579">
        <v>9</v>
      </c>
      <c r="E15579" s="2">
        <v>1.0127314814814815E-2</v>
      </c>
      <c r="F15579">
        <v>14.583333333333334</v>
      </c>
    </row>
    <row r="15580" spans="1:6" x14ac:dyDescent="0.25">
      <c r="A15580" s="1">
        <v>43983</v>
      </c>
      <c r="B15580" t="s">
        <v>17</v>
      </c>
      <c r="C15580" t="s">
        <v>9</v>
      </c>
      <c r="D15580">
        <v>0</v>
      </c>
      <c r="E15580" s="2">
        <v>0</v>
      </c>
      <c r="F15580">
        <v>0</v>
      </c>
    </row>
    <row r="15581" spans="1:6" x14ac:dyDescent="0.25">
      <c r="A15581" s="1">
        <v>43983</v>
      </c>
      <c r="B15581" t="s">
        <v>17</v>
      </c>
      <c r="C15581" t="s">
        <v>10</v>
      </c>
      <c r="D15581">
        <v>8</v>
      </c>
      <c r="E15581" s="2">
        <v>1.0972222222222222E-2</v>
      </c>
      <c r="F15581">
        <v>15.8</v>
      </c>
    </row>
    <row r="15582" spans="1:6" x14ac:dyDescent="0.25">
      <c r="A15582" s="1">
        <v>43983</v>
      </c>
      <c r="B15582" t="s">
        <v>17</v>
      </c>
      <c r="C15582" t="s">
        <v>11</v>
      </c>
      <c r="D15582">
        <v>13</v>
      </c>
      <c r="E15582" s="2">
        <v>1.4456018518518519E-2</v>
      </c>
      <c r="F15582">
        <v>20.816666666666666</v>
      </c>
    </row>
    <row r="15583" spans="1:6" x14ac:dyDescent="0.25">
      <c r="A15583" s="1">
        <v>43983</v>
      </c>
      <c r="B15583" t="s">
        <v>18</v>
      </c>
      <c r="C15583" t="s">
        <v>6</v>
      </c>
      <c r="D15583">
        <v>12</v>
      </c>
      <c r="E15583" s="2">
        <v>2.1921296296296296E-2</v>
      </c>
      <c r="F15583">
        <v>31.566666666666666</v>
      </c>
    </row>
    <row r="15584" spans="1:6" x14ac:dyDescent="0.25">
      <c r="A15584" s="1">
        <v>43983</v>
      </c>
      <c r="B15584" t="s">
        <v>18</v>
      </c>
      <c r="C15584" t="s">
        <v>7</v>
      </c>
      <c r="D15584">
        <v>26</v>
      </c>
      <c r="E15584" s="2">
        <v>3.0590277777777779E-2</v>
      </c>
      <c r="F15584">
        <v>44.05</v>
      </c>
    </row>
    <row r="15585" spans="1:6" x14ac:dyDescent="0.25">
      <c r="A15585" s="1">
        <v>43983</v>
      </c>
      <c r="B15585" t="s">
        <v>18</v>
      </c>
      <c r="C15585" t="s">
        <v>8</v>
      </c>
      <c r="D15585">
        <v>6</v>
      </c>
      <c r="E15585" s="2">
        <v>6.1574074074074074E-3</v>
      </c>
      <c r="F15585">
        <v>8.8666666666666671</v>
      </c>
    </row>
    <row r="15586" spans="1:6" x14ac:dyDescent="0.25">
      <c r="A15586" s="1">
        <v>43983</v>
      </c>
      <c r="B15586" t="s">
        <v>18</v>
      </c>
      <c r="C15586" t="s">
        <v>9</v>
      </c>
      <c r="D15586">
        <v>0</v>
      </c>
      <c r="E15586" s="2">
        <v>0</v>
      </c>
      <c r="F15586">
        <v>0</v>
      </c>
    </row>
    <row r="15587" spans="1:6" x14ac:dyDescent="0.25">
      <c r="A15587" s="1">
        <v>43983</v>
      </c>
      <c r="B15587" t="s">
        <v>18</v>
      </c>
      <c r="C15587" t="s">
        <v>10</v>
      </c>
      <c r="D15587">
        <v>75</v>
      </c>
      <c r="E15587" s="2">
        <v>0.10784722222222222</v>
      </c>
      <c r="F15587">
        <v>155.30000000000001</v>
      </c>
    </row>
    <row r="15588" spans="1:6" x14ac:dyDescent="0.25">
      <c r="A15588" s="1">
        <v>43983</v>
      </c>
      <c r="B15588" t="s">
        <v>18</v>
      </c>
      <c r="C15588" t="s">
        <v>11</v>
      </c>
      <c r="D15588">
        <v>16</v>
      </c>
      <c r="E15588" s="2">
        <v>1.4351851851851852E-2</v>
      </c>
      <c r="F15588">
        <v>20.666666666666668</v>
      </c>
    </row>
    <row r="15589" spans="1:6" x14ac:dyDescent="0.25">
      <c r="A15589" s="1">
        <v>43983</v>
      </c>
      <c r="B15589" t="s">
        <v>19</v>
      </c>
      <c r="C15589" t="s">
        <v>6</v>
      </c>
      <c r="D15589">
        <v>16</v>
      </c>
      <c r="E15589" s="2">
        <v>1.9432870370370371E-2</v>
      </c>
      <c r="F15589">
        <v>27.983333333333334</v>
      </c>
    </row>
    <row r="15590" spans="1:6" x14ac:dyDescent="0.25">
      <c r="A15590" s="1">
        <v>43983</v>
      </c>
      <c r="B15590" t="s">
        <v>19</v>
      </c>
      <c r="C15590" t="s">
        <v>7</v>
      </c>
      <c r="D15590">
        <v>20</v>
      </c>
      <c r="E15590" s="2">
        <v>1.8449074074074073E-2</v>
      </c>
      <c r="F15590">
        <v>26.566666666666666</v>
      </c>
    </row>
    <row r="15591" spans="1:6" x14ac:dyDescent="0.25">
      <c r="A15591" s="1">
        <v>43983</v>
      </c>
      <c r="B15591" t="s">
        <v>19</v>
      </c>
      <c r="C15591" t="s">
        <v>8</v>
      </c>
      <c r="D15591">
        <v>21</v>
      </c>
      <c r="E15591" s="2">
        <v>2.1388888888888888E-2</v>
      </c>
      <c r="F15591">
        <v>30.8</v>
      </c>
    </row>
    <row r="15592" spans="1:6" x14ac:dyDescent="0.25">
      <c r="A15592" s="1">
        <v>43983</v>
      </c>
      <c r="B15592" t="s">
        <v>19</v>
      </c>
      <c r="C15592" t="s">
        <v>9</v>
      </c>
      <c r="D15592">
        <v>0</v>
      </c>
      <c r="E15592" s="2">
        <v>0</v>
      </c>
      <c r="F15592">
        <v>0</v>
      </c>
    </row>
    <row r="15593" spans="1:6" x14ac:dyDescent="0.25">
      <c r="A15593" s="1">
        <v>43983</v>
      </c>
      <c r="B15593" t="s">
        <v>19</v>
      </c>
      <c r="C15593" t="s">
        <v>10</v>
      </c>
      <c r="D15593">
        <v>11</v>
      </c>
      <c r="E15593" s="2">
        <v>1.4467592592592593E-2</v>
      </c>
      <c r="F15593">
        <v>20.833333333333332</v>
      </c>
    </row>
    <row r="15594" spans="1:6" x14ac:dyDescent="0.25">
      <c r="A15594" s="1">
        <v>43983</v>
      </c>
      <c r="B15594" t="s">
        <v>19</v>
      </c>
      <c r="C15594" t="s">
        <v>11</v>
      </c>
      <c r="D15594">
        <v>28</v>
      </c>
      <c r="E15594" s="2">
        <v>2.3796296296296298E-2</v>
      </c>
      <c r="F15594">
        <v>34.266666666666666</v>
      </c>
    </row>
    <row r="15595" spans="1:6" x14ac:dyDescent="0.25">
      <c r="A15595" s="1">
        <v>43983</v>
      </c>
      <c r="B15595" t="s">
        <v>20</v>
      </c>
      <c r="C15595" t="s">
        <v>6</v>
      </c>
      <c r="D15595">
        <v>76</v>
      </c>
      <c r="E15595" s="2">
        <v>0.1102662037037037</v>
      </c>
      <c r="F15595">
        <v>158.78333333333333</v>
      </c>
    </row>
    <row r="15596" spans="1:6" x14ac:dyDescent="0.25">
      <c r="A15596" s="1">
        <v>43983</v>
      </c>
      <c r="B15596" t="s">
        <v>20</v>
      </c>
      <c r="C15596" t="s">
        <v>7</v>
      </c>
      <c r="D15596">
        <v>84</v>
      </c>
      <c r="E15596" s="2">
        <v>0.13513888888888889</v>
      </c>
      <c r="F15596">
        <v>194.6</v>
      </c>
    </row>
    <row r="15597" spans="1:6" x14ac:dyDescent="0.25">
      <c r="A15597" s="1">
        <v>43983</v>
      </c>
      <c r="B15597" t="s">
        <v>20</v>
      </c>
      <c r="C15597" t="s">
        <v>8</v>
      </c>
      <c r="D15597">
        <v>68</v>
      </c>
      <c r="E15597" s="2">
        <v>8.7060185185185185E-2</v>
      </c>
      <c r="F15597">
        <v>125.36666666666666</v>
      </c>
    </row>
    <row r="15598" spans="1:6" x14ac:dyDescent="0.25">
      <c r="A15598" s="1">
        <v>43983</v>
      </c>
      <c r="B15598" t="s">
        <v>20</v>
      </c>
      <c r="C15598" t="s">
        <v>9</v>
      </c>
      <c r="D15598">
        <v>0</v>
      </c>
      <c r="E15598" s="2">
        <v>0</v>
      </c>
      <c r="F15598">
        <v>0</v>
      </c>
    </row>
    <row r="15599" spans="1:6" x14ac:dyDescent="0.25">
      <c r="A15599" s="1">
        <v>43983</v>
      </c>
      <c r="B15599" t="s">
        <v>20</v>
      </c>
      <c r="C15599" t="s">
        <v>10</v>
      </c>
      <c r="D15599">
        <v>8</v>
      </c>
      <c r="E15599" s="2">
        <v>1.3252314814814814E-2</v>
      </c>
      <c r="F15599">
        <v>19.083333333333332</v>
      </c>
    </row>
    <row r="15600" spans="1:6" x14ac:dyDescent="0.25">
      <c r="A15600" s="1">
        <v>43983</v>
      </c>
      <c r="B15600" t="s">
        <v>20</v>
      </c>
      <c r="C15600" t="s">
        <v>11</v>
      </c>
      <c r="D15600">
        <v>105</v>
      </c>
      <c r="E15600" s="2">
        <v>0.10290509259259259</v>
      </c>
      <c r="F15600">
        <v>148.18333333333334</v>
      </c>
    </row>
    <row r="15601" spans="1:6" x14ac:dyDescent="0.25">
      <c r="A15601" s="1">
        <v>43983</v>
      </c>
      <c r="B15601" t="s">
        <v>21</v>
      </c>
      <c r="C15601" t="s">
        <v>6</v>
      </c>
      <c r="D15601">
        <v>162</v>
      </c>
      <c r="E15601" s="2">
        <v>0.24215277777777777</v>
      </c>
      <c r="F15601">
        <v>348.7</v>
      </c>
    </row>
    <row r="15602" spans="1:6" x14ac:dyDescent="0.25">
      <c r="A15602" s="1">
        <v>43983</v>
      </c>
      <c r="B15602" t="s">
        <v>21</v>
      </c>
      <c r="C15602" t="s">
        <v>7</v>
      </c>
      <c r="D15602">
        <v>161</v>
      </c>
      <c r="E15602" s="2">
        <v>0.22822916666666668</v>
      </c>
      <c r="F15602">
        <v>328.65</v>
      </c>
    </row>
    <row r="15603" spans="1:6" x14ac:dyDescent="0.25">
      <c r="A15603" s="1">
        <v>43983</v>
      </c>
      <c r="B15603" t="s">
        <v>21</v>
      </c>
      <c r="C15603" t="s">
        <v>8</v>
      </c>
      <c r="D15603">
        <v>90</v>
      </c>
      <c r="E15603" s="2">
        <v>0.10818287037037037</v>
      </c>
      <c r="F15603">
        <v>155.78333333333333</v>
      </c>
    </row>
    <row r="15604" spans="1:6" x14ac:dyDescent="0.25">
      <c r="A15604" s="1">
        <v>43983</v>
      </c>
      <c r="B15604" t="s">
        <v>21</v>
      </c>
      <c r="C15604" t="s">
        <v>9</v>
      </c>
      <c r="D15604">
        <v>0</v>
      </c>
      <c r="E15604" s="2">
        <v>0</v>
      </c>
      <c r="F15604">
        <v>0</v>
      </c>
    </row>
    <row r="15605" spans="1:6" x14ac:dyDescent="0.25">
      <c r="A15605" s="1">
        <v>43983</v>
      </c>
      <c r="B15605" t="s">
        <v>21</v>
      </c>
      <c r="C15605" t="s">
        <v>10</v>
      </c>
      <c r="D15605">
        <v>59</v>
      </c>
      <c r="E15605" s="2">
        <v>8.9756944444444445E-2</v>
      </c>
      <c r="F15605">
        <v>129.25</v>
      </c>
    </row>
    <row r="15606" spans="1:6" x14ac:dyDescent="0.25">
      <c r="A15606" s="1">
        <v>43983</v>
      </c>
      <c r="B15606" t="s">
        <v>21</v>
      </c>
      <c r="C15606" t="s">
        <v>11</v>
      </c>
      <c r="D15606">
        <v>127</v>
      </c>
      <c r="E15606" s="2">
        <v>0.12425925925925926</v>
      </c>
      <c r="F15606">
        <v>178.93333333333334</v>
      </c>
    </row>
    <row r="15607" spans="1:6" x14ac:dyDescent="0.25">
      <c r="A15607" s="1">
        <v>43983</v>
      </c>
      <c r="B15607" t="s">
        <v>22</v>
      </c>
      <c r="C15607" t="s">
        <v>6</v>
      </c>
      <c r="D15607">
        <v>15</v>
      </c>
      <c r="E15607" s="2">
        <v>2.6030092592592594E-2</v>
      </c>
      <c r="F15607">
        <v>37.483333333333334</v>
      </c>
    </row>
    <row r="15608" spans="1:6" x14ac:dyDescent="0.25">
      <c r="A15608" s="1">
        <v>43983</v>
      </c>
      <c r="B15608" t="s">
        <v>22</v>
      </c>
      <c r="C15608" t="s">
        <v>7</v>
      </c>
      <c r="D15608">
        <v>16</v>
      </c>
      <c r="E15608" s="2">
        <v>3.201388888888889E-2</v>
      </c>
      <c r="F15608">
        <v>46.1</v>
      </c>
    </row>
    <row r="15609" spans="1:6" x14ac:dyDescent="0.25">
      <c r="A15609" s="1">
        <v>43983</v>
      </c>
      <c r="B15609" t="s">
        <v>22</v>
      </c>
      <c r="C15609" t="s">
        <v>8</v>
      </c>
      <c r="D15609">
        <v>8</v>
      </c>
      <c r="E15609" s="2">
        <v>7.3842592592592597E-3</v>
      </c>
      <c r="F15609">
        <v>10.633333333333333</v>
      </c>
    </row>
    <row r="15610" spans="1:6" x14ac:dyDescent="0.25">
      <c r="A15610" s="1">
        <v>43983</v>
      </c>
      <c r="B15610" t="s">
        <v>22</v>
      </c>
      <c r="C15610" t="s">
        <v>9</v>
      </c>
      <c r="D15610">
        <v>0</v>
      </c>
      <c r="E15610" s="2">
        <v>0</v>
      </c>
      <c r="F15610">
        <v>0</v>
      </c>
    </row>
    <row r="15611" spans="1:6" x14ac:dyDescent="0.25">
      <c r="A15611" s="1">
        <v>43983</v>
      </c>
      <c r="B15611" t="s">
        <v>22</v>
      </c>
      <c r="C15611" t="s">
        <v>10</v>
      </c>
      <c r="D15611">
        <v>7</v>
      </c>
      <c r="E15611" s="2">
        <v>9.780092592592592E-3</v>
      </c>
      <c r="F15611">
        <v>14.083333333333334</v>
      </c>
    </row>
    <row r="15612" spans="1:6" x14ac:dyDescent="0.25">
      <c r="A15612" s="1">
        <v>43983</v>
      </c>
      <c r="B15612" t="s">
        <v>22</v>
      </c>
      <c r="C15612" t="s">
        <v>11</v>
      </c>
      <c r="D15612">
        <v>11</v>
      </c>
      <c r="E15612" s="2">
        <v>1.0590277777777778E-2</v>
      </c>
      <c r="F15612">
        <v>15.25</v>
      </c>
    </row>
    <row r="15613" spans="1:6" x14ac:dyDescent="0.25">
      <c r="A15613" s="1">
        <v>43983</v>
      </c>
      <c r="B15613" t="s">
        <v>23</v>
      </c>
      <c r="C15613" t="s">
        <v>6</v>
      </c>
      <c r="D15613">
        <v>114</v>
      </c>
      <c r="E15613" s="2">
        <v>0.17484953703703704</v>
      </c>
      <c r="F15613">
        <v>251.78333333333333</v>
      </c>
    </row>
    <row r="15614" spans="1:6" x14ac:dyDescent="0.25">
      <c r="A15614" s="1">
        <v>43983</v>
      </c>
      <c r="B15614" t="s">
        <v>23</v>
      </c>
      <c r="C15614" t="s">
        <v>7</v>
      </c>
      <c r="D15614">
        <v>90</v>
      </c>
      <c r="E15614" s="2">
        <v>0.11902777777777777</v>
      </c>
      <c r="F15614">
        <v>171.4</v>
      </c>
    </row>
    <row r="15615" spans="1:6" x14ac:dyDescent="0.25">
      <c r="A15615" s="1">
        <v>43983</v>
      </c>
      <c r="B15615" t="s">
        <v>23</v>
      </c>
      <c r="C15615" t="s">
        <v>8</v>
      </c>
      <c r="D15615">
        <v>63</v>
      </c>
      <c r="E15615" s="2">
        <v>6.744212962962963E-2</v>
      </c>
      <c r="F15615">
        <v>97.11666666666666</v>
      </c>
    </row>
    <row r="15616" spans="1:6" x14ac:dyDescent="0.25">
      <c r="A15616" s="1">
        <v>43983</v>
      </c>
      <c r="B15616" t="s">
        <v>23</v>
      </c>
      <c r="C15616" t="s">
        <v>9</v>
      </c>
      <c r="D15616">
        <v>0</v>
      </c>
      <c r="E15616" s="2">
        <v>0</v>
      </c>
      <c r="F15616">
        <v>0</v>
      </c>
    </row>
    <row r="15617" spans="1:6" x14ac:dyDescent="0.25">
      <c r="A15617" s="1">
        <v>43983</v>
      </c>
      <c r="B15617" t="s">
        <v>23</v>
      </c>
      <c r="C15617" t="s">
        <v>10</v>
      </c>
      <c r="D15617">
        <v>53</v>
      </c>
      <c r="E15617" s="2">
        <v>8.1550925925925929E-2</v>
      </c>
      <c r="F15617">
        <v>117.43333333333334</v>
      </c>
    </row>
    <row r="15618" spans="1:6" x14ac:dyDescent="0.25">
      <c r="A15618" s="1">
        <v>43983</v>
      </c>
      <c r="B15618" t="s">
        <v>23</v>
      </c>
      <c r="C15618" t="s">
        <v>11</v>
      </c>
      <c r="D15618">
        <v>98</v>
      </c>
      <c r="E15618" s="2">
        <v>9.9884259259259256E-2</v>
      </c>
      <c r="F15618">
        <v>143.83333333333334</v>
      </c>
    </row>
    <row r="15619" spans="1:6" x14ac:dyDescent="0.25">
      <c r="A15619" s="1">
        <v>43983</v>
      </c>
      <c r="B15619" t="s">
        <v>24</v>
      </c>
      <c r="C15619" t="s">
        <v>6</v>
      </c>
      <c r="D15619">
        <v>3</v>
      </c>
      <c r="E15619" s="2">
        <v>3.9583333333333337E-3</v>
      </c>
      <c r="F15619">
        <v>5.7</v>
      </c>
    </row>
    <row r="15620" spans="1:6" x14ac:dyDescent="0.25">
      <c r="A15620" s="1">
        <v>43983</v>
      </c>
      <c r="B15620" t="s">
        <v>24</v>
      </c>
      <c r="C15620" t="s">
        <v>7</v>
      </c>
      <c r="D15620">
        <v>3</v>
      </c>
      <c r="E15620" s="2">
        <v>7.4305555555555557E-3</v>
      </c>
      <c r="F15620">
        <v>10.7</v>
      </c>
    </row>
    <row r="15621" spans="1:6" x14ac:dyDescent="0.25">
      <c r="A15621" s="1">
        <v>43983</v>
      </c>
      <c r="B15621" t="s">
        <v>24</v>
      </c>
      <c r="C15621" t="s">
        <v>8</v>
      </c>
      <c r="D15621">
        <v>2</v>
      </c>
      <c r="E15621" s="2">
        <v>1.8865740740740742E-3</v>
      </c>
      <c r="F15621">
        <v>2.7166666666666668</v>
      </c>
    </row>
    <row r="15622" spans="1:6" x14ac:dyDescent="0.25">
      <c r="A15622" s="1">
        <v>43983</v>
      </c>
      <c r="B15622" t="s">
        <v>24</v>
      </c>
      <c r="C15622" t="s">
        <v>9</v>
      </c>
      <c r="D15622">
        <v>0</v>
      </c>
      <c r="E15622" s="2">
        <v>0</v>
      </c>
      <c r="F15622">
        <v>0</v>
      </c>
    </row>
    <row r="15623" spans="1:6" x14ac:dyDescent="0.25">
      <c r="A15623" s="1">
        <v>43983</v>
      </c>
      <c r="B15623" t="s">
        <v>24</v>
      </c>
      <c r="C15623" t="s">
        <v>10</v>
      </c>
      <c r="D15623">
        <v>0</v>
      </c>
      <c r="E15623" s="2">
        <v>0</v>
      </c>
      <c r="F15623">
        <v>0</v>
      </c>
    </row>
    <row r="15624" spans="1:6" x14ac:dyDescent="0.25">
      <c r="A15624" s="1">
        <v>43983</v>
      </c>
      <c r="B15624" t="s">
        <v>24</v>
      </c>
      <c r="C15624" t="s">
        <v>11</v>
      </c>
      <c r="D15624">
        <v>10</v>
      </c>
      <c r="E15624" s="2">
        <v>7.7314814814814815E-3</v>
      </c>
      <c r="F15624">
        <v>11.133333333333333</v>
      </c>
    </row>
    <row r="15625" spans="1:6" x14ac:dyDescent="0.25">
      <c r="A15625" s="1">
        <v>44013</v>
      </c>
      <c r="B15625" t="s">
        <v>5</v>
      </c>
      <c r="C15625" t="s">
        <v>6</v>
      </c>
      <c r="D15625">
        <v>13</v>
      </c>
      <c r="E15625" s="2">
        <v>1.6192129629629629E-2</v>
      </c>
      <c r="F15625">
        <v>23.316666666666666</v>
      </c>
    </row>
    <row r="15626" spans="1:6" x14ac:dyDescent="0.25">
      <c r="A15626" s="1">
        <v>44013</v>
      </c>
      <c r="B15626" t="s">
        <v>5</v>
      </c>
      <c r="C15626" t="s">
        <v>7</v>
      </c>
      <c r="D15626">
        <v>12</v>
      </c>
      <c r="E15626" s="2">
        <v>9.618055555555555E-3</v>
      </c>
      <c r="F15626">
        <v>13.85</v>
      </c>
    </row>
    <row r="15627" spans="1:6" x14ac:dyDescent="0.25">
      <c r="A15627" s="1">
        <v>44013</v>
      </c>
      <c r="B15627" t="s">
        <v>5</v>
      </c>
      <c r="C15627" t="s">
        <v>8</v>
      </c>
      <c r="D15627">
        <v>9</v>
      </c>
      <c r="E15627" s="2">
        <v>7.6736111111111111E-3</v>
      </c>
      <c r="F15627">
        <v>11.05</v>
      </c>
    </row>
    <row r="15628" spans="1:6" x14ac:dyDescent="0.25">
      <c r="A15628" s="1">
        <v>44013</v>
      </c>
      <c r="B15628" t="s">
        <v>5</v>
      </c>
      <c r="C15628" t="s">
        <v>9</v>
      </c>
      <c r="D15628">
        <v>0</v>
      </c>
      <c r="E15628" s="2">
        <v>0</v>
      </c>
      <c r="F15628">
        <v>0</v>
      </c>
    </row>
    <row r="15629" spans="1:6" x14ac:dyDescent="0.25">
      <c r="A15629" s="1">
        <v>44013</v>
      </c>
      <c r="B15629" t="s">
        <v>5</v>
      </c>
      <c r="C15629" t="s">
        <v>10</v>
      </c>
      <c r="D15629">
        <v>3</v>
      </c>
      <c r="E15629" s="2">
        <v>3.414351851851852E-3</v>
      </c>
      <c r="F15629">
        <v>4.916666666666667</v>
      </c>
    </row>
    <row r="15630" spans="1:6" x14ac:dyDescent="0.25">
      <c r="A15630" s="1">
        <v>44013</v>
      </c>
      <c r="B15630" t="s">
        <v>5</v>
      </c>
      <c r="C15630" t="s">
        <v>11</v>
      </c>
      <c r="D15630">
        <v>20</v>
      </c>
      <c r="E15630" s="2">
        <v>1.3888888888888888E-2</v>
      </c>
      <c r="F15630">
        <v>20</v>
      </c>
    </row>
    <row r="15631" spans="1:6" x14ac:dyDescent="0.25">
      <c r="A15631" s="1">
        <v>44013</v>
      </c>
      <c r="B15631" t="s">
        <v>12</v>
      </c>
      <c r="C15631" t="s">
        <v>6</v>
      </c>
      <c r="D15631">
        <v>26</v>
      </c>
      <c r="E15631" s="2">
        <v>4.7175925925925927E-2</v>
      </c>
      <c r="F15631">
        <v>67.933333333333337</v>
      </c>
    </row>
    <row r="15632" spans="1:6" x14ac:dyDescent="0.25">
      <c r="A15632" s="1">
        <v>44013</v>
      </c>
      <c r="B15632" t="s">
        <v>12</v>
      </c>
      <c r="C15632" t="s">
        <v>7</v>
      </c>
      <c r="D15632">
        <v>36</v>
      </c>
      <c r="E15632" s="2">
        <v>6.3888888888888884E-2</v>
      </c>
      <c r="F15632">
        <v>92</v>
      </c>
    </row>
    <row r="15633" spans="1:6" x14ac:dyDescent="0.25">
      <c r="A15633" s="1">
        <v>44013</v>
      </c>
      <c r="B15633" t="s">
        <v>12</v>
      </c>
      <c r="C15633" t="s">
        <v>8</v>
      </c>
      <c r="D15633">
        <v>23</v>
      </c>
      <c r="E15633" s="2">
        <v>3.6458333333333336E-2</v>
      </c>
      <c r="F15633">
        <v>52.5</v>
      </c>
    </row>
    <row r="15634" spans="1:6" x14ac:dyDescent="0.25">
      <c r="A15634" s="1">
        <v>44013</v>
      </c>
      <c r="B15634" t="s">
        <v>12</v>
      </c>
      <c r="C15634" t="s">
        <v>9</v>
      </c>
      <c r="D15634">
        <v>0</v>
      </c>
      <c r="E15634" s="2">
        <v>0</v>
      </c>
      <c r="F15634">
        <v>0</v>
      </c>
    </row>
    <row r="15635" spans="1:6" x14ac:dyDescent="0.25">
      <c r="A15635" s="1">
        <v>44013</v>
      </c>
      <c r="B15635" t="s">
        <v>12</v>
      </c>
      <c r="C15635" t="s">
        <v>10</v>
      </c>
      <c r="D15635">
        <v>19</v>
      </c>
      <c r="E15635" s="2">
        <v>3.4930555555555555E-2</v>
      </c>
      <c r="F15635">
        <v>50.3</v>
      </c>
    </row>
    <row r="15636" spans="1:6" x14ac:dyDescent="0.25">
      <c r="A15636" s="1">
        <v>44013</v>
      </c>
      <c r="B15636" t="s">
        <v>12</v>
      </c>
      <c r="C15636" t="s">
        <v>11</v>
      </c>
      <c r="D15636">
        <v>41</v>
      </c>
      <c r="E15636" s="2">
        <v>5.2372685185185182E-2</v>
      </c>
      <c r="F15636">
        <v>75.416666666666671</v>
      </c>
    </row>
    <row r="15637" spans="1:6" x14ac:dyDescent="0.25">
      <c r="A15637" s="1">
        <v>44013</v>
      </c>
      <c r="B15637" t="s">
        <v>13</v>
      </c>
      <c r="C15637" t="s">
        <v>6</v>
      </c>
      <c r="D15637">
        <v>83</v>
      </c>
      <c r="E15637" s="2">
        <v>0.1653587962962963</v>
      </c>
      <c r="F15637">
        <v>238.11666666666667</v>
      </c>
    </row>
    <row r="15638" spans="1:6" x14ac:dyDescent="0.25">
      <c r="A15638" s="1">
        <v>44013</v>
      </c>
      <c r="B15638" t="s">
        <v>13</v>
      </c>
      <c r="C15638" t="s">
        <v>7</v>
      </c>
      <c r="D15638">
        <v>77</v>
      </c>
      <c r="E15638" s="2">
        <v>0.12328703703703704</v>
      </c>
      <c r="F15638">
        <v>177.53333333333333</v>
      </c>
    </row>
    <row r="15639" spans="1:6" x14ac:dyDescent="0.25">
      <c r="A15639" s="1">
        <v>44013</v>
      </c>
      <c r="B15639" t="s">
        <v>13</v>
      </c>
      <c r="C15639" t="s">
        <v>8</v>
      </c>
      <c r="D15639">
        <v>64</v>
      </c>
      <c r="E15639" s="2">
        <v>8.2523148148148151E-2</v>
      </c>
      <c r="F15639">
        <v>118.83333333333333</v>
      </c>
    </row>
    <row r="15640" spans="1:6" x14ac:dyDescent="0.25">
      <c r="A15640" s="1">
        <v>44013</v>
      </c>
      <c r="B15640" t="s">
        <v>13</v>
      </c>
      <c r="C15640" t="s">
        <v>9</v>
      </c>
      <c r="D15640">
        <v>0</v>
      </c>
      <c r="E15640" s="2">
        <v>0</v>
      </c>
      <c r="F15640">
        <v>0</v>
      </c>
    </row>
    <row r="15641" spans="1:6" x14ac:dyDescent="0.25">
      <c r="A15641" s="1">
        <v>44013</v>
      </c>
      <c r="B15641" t="s">
        <v>13</v>
      </c>
      <c r="C15641" t="s">
        <v>10</v>
      </c>
      <c r="D15641">
        <v>24</v>
      </c>
      <c r="E15641" s="2">
        <v>3.8009259259259257E-2</v>
      </c>
      <c r="F15641">
        <v>54.733333333333334</v>
      </c>
    </row>
    <row r="15642" spans="1:6" x14ac:dyDescent="0.25">
      <c r="A15642" s="1">
        <v>44013</v>
      </c>
      <c r="B15642" t="s">
        <v>13</v>
      </c>
      <c r="C15642" t="s">
        <v>11</v>
      </c>
      <c r="D15642">
        <v>29</v>
      </c>
      <c r="E15642" s="2">
        <v>2.7650462962962963E-2</v>
      </c>
      <c r="F15642">
        <v>39.81666666666667</v>
      </c>
    </row>
    <row r="15643" spans="1:6" x14ac:dyDescent="0.25">
      <c r="A15643" s="1">
        <v>44013</v>
      </c>
      <c r="B15643" t="s">
        <v>14</v>
      </c>
      <c r="C15643" t="s">
        <v>6</v>
      </c>
      <c r="D15643">
        <v>5</v>
      </c>
      <c r="E15643" s="2">
        <v>7.6157407407407406E-3</v>
      </c>
      <c r="F15643">
        <v>10.966666666666667</v>
      </c>
    </row>
    <row r="15644" spans="1:6" x14ac:dyDescent="0.25">
      <c r="A15644" s="1">
        <v>44013</v>
      </c>
      <c r="B15644" t="s">
        <v>14</v>
      </c>
      <c r="C15644" t="s">
        <v>7</v>
      </c>
      <c r="D15644">
        <v>4</v>
      </c>
      <c r="E15644" s="2">
        <v>6.7592592592592591E-3</v>
      </c>
      <c r="F15644">
        <v>9.7333333333333325</v>
      </c>
    </row>
    <row r="15645" spans="1:6" x14ac:dyDescent="0.25">
      <c r="A15645" s="1">
        <v>44013</v>
      </c>
      <c r="B15645" t="s">
        <v>14</v>
      </c>
      <c r="C15645" t="s">
        <v>8</v>
      </c>
      <c r="D15645">
        <v>0</v>
      </c>
      <c r="E15645" s="2">
        <v>0</v>
      </c>
      <c r="F15645">
        <v>0</v>
      </c>
    </row>
    <row r="15646" spans="1:6" x14ac:dyDescent="0.25">
      <c r="A15646" s="1">
        <v>44013</v>
      </c>
      <c r="B15646" t="s">
        <v>14</v>
      </c>
      <c r="C15646" t="s">
        <v>9</v>
      </c>
      <c r="D15646">
        <v>0</v>
      </c>
      <c r="E15646" s="2">
        <v>0</v>
      </c>
      <c r="F15646">
        <v>0</v>
      </c>
    </row>
    <row r="15647" spans="1:6" x14ac:dyDescent="0.25">
      <c r="A15647" s="1">
        <v>44013</v>
      </c>
      <c r="B15647" t="s">
        <v>14</v>
      </c>
      <c r="C15647" t="s">
        <v>10</v>
      </c>
      <c r="D15647">
        <v>1</v>
      </c>
      <c r="E15647" s="2">
        <v>2.1643518518518518E-3</v>
      </c>
      <c r="F15647">
        <v>3.1166666666666667</v>
      </c>
    </row>
    <row r="15648" spans="1:6" x14ac:dyDescent="0.25">
      <c r="A15648" s="1">
        <v>44013</v>
      </c>
      <c r="B15648" t="s">
        <v>14</v>
      </c>
      <c r="C15648" t="s">
        <v>11</v>
      </c>
      <c r="D15648">
        <v>5</v>
      </c>
      <c r="E15648" s="2">
        <v>6.7013888888888887E-3</v>
      </c>
      <c r="F15648">
        <v>9.65</v>
      </c>
    </row>
    <row r="15649" spans="1:6" x14ac:dyDescent="0.25">
      <c r="A15649" s="1">
        <v>44013</v>
      </c>
      <c r="B15649" t="s">
        <v>15</v>
      </c>
      <c r="C15649" t="s">
        <v>6</v>
      </c>
      <c r="D15649">
        <v>33</v>
      </c>
      <c r="E15649" s="2">
        <v>6.9398148148148153E-2</v>
      </c>
      <c r="F15649">
        <v>99.933333333333337</v>
      </c>
    </row>
    <row r="15650" spans="1:6" x14ac:dyDescent="0.25">
      <c r="A15650" s="1">
        <v>44013</v>
      </c>
      <c r="B15650" t="s">
        <v>15</v>
      </c>
      <c r="C15650" t="s">
        <v>7</v>
      </c>
      <c r="D15650">
        <v>26</v>
      </c>
      <c r="E15650" s="2">
        <v>4.4050925925925924E-2</v>
      </c>
      <c r="F15650">
        <v>63.43333333333333</v>
      </c>
    </row>
    <row r="15651" spans="1:6" x14ac:dyDescent="0.25">
      <c r="A15651" s="1">
        <v>44013</v>
      </c>
      <c r="B15651" t="s">
        <v>15</v>
      </c>
      <c r="C15651" t="s">
        <v>8</v>
      </c>
      <c r="D15651">
        <v>21</v>
      </c>
      <c r="E15651" s="2">
        <v>3.7291666666666667E-2</v>
      </c>
      <c r="F15651">
        <v>53.7</v>
      </c>
    </row>
    <row r="15652" spans="1:6" x14ac:dyDescent="0.25">
      <c r="A15652" s="1">
        <v>44013</v>
      </c>
      <c r="B15652" t="s">
        <v>15</v>
      </c>
      <c r="C15652" t="s">
        <v>9</v>
      </c>
      <c r="D15652">
        <v>0</v>
      </c>
      <c r="E15652" s="2">
        <v>0</v>
      </c>
      <c r="F15652">
        <v>0</v>
      </c>
    </row>
    <row r="15653" spans="1:6" x14ac:dyDescent="0.25">
      <c r="A15653" s="1">
        <v>44013</v>
      </c>
      <c r="B15653" t="s">
        <v>15</v>
      </c>
      <c r="C15653" t="s">
        <v>10</v>
      </c>
      <c r="D15653">
        <v>6</v>
      </c>
      <c r="E15653" s="2">
        <v>1.0254629629629629E-2</v>
      </c>
      <c r="F15653">
        <v>14.766666666666667</v>
      </c>
    </row>
    <row r="15654" spans="1:6" x14ac:dyDescent="0.25">
      <c r="A15654" s="1">
        <v>44013</v>
      </c>
      <c r="B15654" t="s">
        <v>15</v>
      </c>
      <c r="C15654" t="s">
        <v>11</v>
      </c>
      <c r="D15654">
        <v>11</v>
      </c>
      <c r="E15654" s="2">
        <v>9.5370370370370366E-3</v>
      </c>
      <c r="F15654">
        <v>13.733333333333333</v>
      </c>
    </row>
    <row r="15655" spans="1:6" x14ac:dyDescent="0.25">
      <c r="A15655" s="1">
        <v>44013</v>
      </c>
      <c r="B15655" t="s">
        <v>16</v>
      </c>
      <c r="C15655" t="s">
        <v>6</v>
      </c>
      <c r="D15655">
        <v>32</v>
      </c>
      <c r="E15655" s="2">
        <v>3.8668981481481485E-2</v>
      </c>
      <c r="F15655">
        <v>55.68333333333333</v>
      </c>
    </row>
    <row r="15656" spans="1:6" x14ac:dyDescent="0.25">
      <c r="A15656" s="1">
        <v>44013</v>
      </c>
      <c r="B15656" t="s">
        <v>16</v>
      </c>
      <c r="C15656" t="s">
        <v>7</v>
      </c>
      <c r="D15656">
        <v>22</v>
      </c>
      <c r="E15656" s="2">
        <v>1.7824074074074076E-2</v>
      </c>
      <c r="F15656">
        <v>25.666666666666668</v>
      </c>
    </row>
    <row r="15657" spans="1:6" x14ac:dyDescent="0.25">
      <c r="A15657" s="1">
        <v>44013</v>
      </c>
      <c r="B15657" t="s">
        <v>16</v>
      </c>
      <c r="C15657" t="s">
        <v>8</v>
      </c>
      <c r="D15657">
        <v>29</v>
      </c>
      <c r="E15657" s="2">
        <v>3.1400462962962963E-2</v>
      </c>
      <c r="F15657">
        <v>45.216666666666669</v>
      </c>
    </row>
    <row r="15658" spans="1:6" x14ac:dyDescent="0.25">
      <c r="A15658" s="1">
        <v>44013</v>
      </c>
      <c r="B15658" t="s">
        <v>16</v>
      </c>
      <c r="C15658" t="s">
        <v>9</v>
      </c>
      <c r="D15658">
        <v>0</v>
      </c>
      <c r="E15658" s="2">
        <v>0</v>
      </c>
      <c r="F15658">
        <v>0</v>
      </c>
    </row>
    <row r="15659" spans="1:6" x14ac:dyDescent="0.25">
      <c r="A15659" s="1">
        <v>44013</v>
      </c>
      <c r="B15659" t="s">
        <v>16</v>
      </c>
      <c r="C15659" t="s">
        <v>10</v>
      </c>
      <c r="D15659">
        <v>4</v>
      </c>
      <c r="E15659" s="2">
        <v>6.6087962962962966E-3</v>
      </c>
      <c r="F15659">
        <v>9.5166666666666675</v>
      </c>
    </row>
    <row r="15660" spans="1:6" x14ac:dyDescent="0.25">
      <c r="A15660" s="1">
        <v>44013</v>
      </c>
      <c r="B15660" t="s">
        <v>16</v>
      </c>
      <c r="C15660" t="s">
        <v>11</v>
      </c>
      <c r="D15660">
        <v>45</v>
      </c>
      <c r="E15660" s="2">
        <v>4.0706018518518516E-2</v>
      </c>
      <c r="F15660">
        <v>58.616666666666667</v>
      </c>
    </row>
    <row r="15661" spans="1:6" x14ac:dyDescent="0.25">
      <c r="A15661" s="1">
        <v>44013</v>
      </c>
      <c r="B15661" t="s">
        <v>17</v>
      </c>
      <c r="C15661" t="s">
        <v>6</v>
      </c>
      <c r="D15661">
        <v>6</v>
      </c>
      <c r="E15661" s="2">
        <v>6.3888888888888893E-3</v>
      </c>
      <c r="F15661">
        <v>9.1999999999999993</v>
      </c>
    </row>
    <row r="15662" spans="1:6" x14ac:dyDescent="0.25">
      <c r="A15662" s="1">
        <v>44013</v>
      </c>
      <c r="B15662" t="s">
        <v>17</v>
      </c>
      <c r="C15662" t="s">
        <v>7</v>
      </c>
      <c r="D15662">
        <v>8</v>
      </c>
      <c r="E15662" s="2">
        <v>9.6643518518518511E-3</v>
      </c>
      <c r="F15662">
        <v>13.916666666666666</v>
      </c>
    </row>
    <row r="15663" spans="1:6" x14ac:dyDescent="0.25">
      <c r="A15663" s="1">
        <v>44013</v>
      </c>
      <c r="B15663" t="s">
        <v>17</v>
      </c>
      <c r="C15663" t="s">
        <v>8</v>
      </c>
      <c r="D15663">
        <v>7</v>
      </c>
      <c r="E15663" s="2">
        <v>9.2824074074074076E-3</v>
      </c>
      <c r="F15663">
        <v>13.366666666666667</v>
      </c>
    </row>
    <row r="15664" spans="1:6" x14ac:dyDescent="0.25">
      <c r="A15664" s="1">
        <v>44013</v>
      </c>
      <c r="B15664" t="s">
        <v>17</v>
      </c>
      <c r="C15664" t="s">
        <v>9</v>
      </c>
      <c r="D15664">
        <v>0</v>
      </c>
      <c r="E15664" s="2">
        <v>0</v>
      </c>
      <c r="F15664">
        <v>0</v>
      </c>
    </row>
    <row r="15665" spans="1:6" x14ac:dyDescent="0.25">
      <c r="A15665" s="1">
        <v>44013</v>
      </c>
      <c r="B15665" t="s">
        <v>17</v>
      </c>
      <c r="C15665" t="s">
        <v>10</v>
      </c>
      <c r="D15665">
        <v>6</v>
      </c>
      <c r="E15665" s="2">
        <v>9.4212962962962957E-3</v>
      </c>
      <c r="F15665">
        <v>13.566666666666666</v>
      </c>
    </row>
    <row r="15666" spans="1:6" x14ac:dyDescent="0.25">
      <c r="A15666" s="1">
        <v>44013</v>
      </c>
      <c r="B15666" t="s">
        <v>17</v>
      </c>
      <c r="C15666" t="s">
        <v>11</v>
      </c>
      <c r="D15666">
        <v>7</v>
      </c>
      <c r="E15666" s="2">
        <v>5.5902777777777773E-3</v>
      </c>
      <c r="F15666">
        <v>8.0500000000000007</v>
      </c>
    </row>
    <row r="15667" spans="1:6" x14ac:dyDescent="0.25">
      <c r="A15667" s="1">
        <v>44013</v>
      </c>
      <c r="B15667" t="s">
        <v>18</v>
      </c>
      <c r="C15667" t="s">
        <v>6</v>
      </c>
      <c r="D15667">
        <v>3</v>
      </c>
      <c r="E15667" s="2">
        <v>5.2430555555555555E-3</v>
      </c>
      <c r="F15667">
        <v>7.55</v>
      </c>
    </row>
    <row r="15668" spans="1:6" x14ac:dyDescent="0.25">
      <c r="A15668" s="1">
        <v>44013</v>
      </c>
      <c r="B15668" t="s">
        <v>18</v>
      </c>
      <c r="C15668" t="s">
        <v>7</v>
      </c>
      <c r="D15668">
        <v>21</v>
      </c>
      <c r="E15668" s="2">
        <v>2.6967592592592592E-2</v>
      </c>
      <c r="F15668">
        <v>38.833333333333336</v>
      </c>
    </row>
    <row r="15669" spans="1:6" x14ac:dyDescent="0.25">
      <c r="A15669" s="1">
        <v>44013</v>
      </c>
      <c r="B15669" t="s">
        <v>18</v>
      </c>
      <c r="C15669" t="s">
        <v>8</v>
      </c>
      <c r="D15669">
        <v>4</v>
      </c>
      <c r="E15669" s="2">
        <v>3.6805555555555554E-3</v>
      </c>
      <c r="F15669">
        <v>5.3</v>
      </c>
    </row>
    <row r="15670" spans="1:6" x14ac:dyDescent="0.25">
      <c r="A15670" s="1">
        <v>44013</v>
      </c>
      <c r="B15670" t="s">
        <v>18</v>
      </c>
      <c r="C15670" t="s">
        <v>9</v>
      </c>
      <c r="D15670">
        <v>0</v>
      </c>
      <c r="E15670" s="2">
        <v>0</v>
      </c>
      <c r="F15670">
        <v>0</v>
      </c>
    </row>
    <row r="15671" spans="1:6" x14ac:dyDescent="0.25">
      <c r="A15671" s="1">
        <v>44013</v>
      </c>
      <c r="B15671" t="s">
        <v>18</v>
      </c>
      <c r="C15671" t="s">
        <v>10</v>
      </c>
      <c r="D15671">
        <v>72</v>
      </c>
      <c r="E15671" s="2">
        <v>0.11013888888888888</v>
      </c>
      <c r="F15671">
        <v>158.6</v>
      </c>
    </row>
    <row r="15672" spans="1:6" x14ac:dyDescent="0.25">
      <c r="A15672" s="1">
        <v>44013</v>
      </c>
      <c r="B15672" t="s">
        <v>18</v>
      </c>
      <c r="C15672" t="s">
        <v>11</v>
      </c>
      <c r="D15672">
        <v>17</v>
      </c>
      <c r="E15672" s="2">
        <v>1.1817129629629629E-2</v>
      </c>
      <c r="F15672">
        <v>17.016666666666666</v>
      </c>
    </row>
    <row r="15673" spans="1:6" x14ac:dyDescent="0.25">
      <c r="A15673" s="1">
        <v>44013</v>
      </c>
      <c r="B15673" t="s">
        <v>19</v>
      </c>
      <c r="C15673" t="s">
        <v>6</v>
      </c>
      <c r="D15673">
        <v>5</v>
      </c>
      <c r="E15673" s="2">
        <v>5.7175925925925927E-3</v>
      </c>
      <c r="F15673">
        <v>8.2333333333333325</v>
      </c>
    </row>
    <row r="15674" spans="1:6" x14ac:dyDescent="0.25">
      <c r="A15674" s="1">
        <v>44013</v>
      </c>
      <c r="B15674" t="s">
        <v>19</v>
      </c>
      <c r="C15674" t="s">
        <v>7</v>
      </c>
      <c r="D15674">
        <v>8</v>
      </c>
      <c r="E15674" s="2">
        <v>9.7569444444444448E-3</v>
      </c>
      <c r="F15674">
        <v>14.05</v>
      </c>
    </row>
    <row r="15675" spans="1:6" x14ac:dyDescent="0.25">
      <c r="A15675" s="1">
        <v>44013</v>
      </c>
      <c r="B15675" t="s">
        <v>19</v>
      </c>
      <c r="C15675" t="s">
        <v>8</v>
      </c>
      <c r="D15675">
        <v>4</v>
      </c>
      <c r="E15675" s="2">
        <v>5.185185185185185E-3</v>
      </c>
      <c r="F15675">
        <v>7.4666666666666668</v>
      </c>
    </row>
    <row r="15676" spans="1:6" x14ac:dyDescent="0.25">
      <c r="A15676" s="1">
        <v>44013</v>
      </c>
      <c r="B15676" t="s">
        <v>19</v>
      </c>
      <c r="C15676" t="s">
        <v>9</v>
      </c>
      <c r="D15676">
        <v>0</v>
      </c>
      <c r="E15676" s="2">
        <v>0</v>
      </c>
      <c r="F15676">
        <v>0</v>
      </c>
    </row>
    <row r="15677" spans="1:6" x14ac:dyDescent="0.25">
      <c r="A15677" s="1">
        <v>44013</v>
      </c>
      <c r="B15677" t="s">
        <v>19</v>
      </c>
      <c r="C15677" t="s">
        <v>10</v>
      </c>
      <c r="D15677">
        <v>11</v>
      </c>
      <c r="E15677" s="2">
        <v>1.8368055555555554E-2</v>
      </c>
      <c r="F15677">
        <v>26.45</v>
      </c>
    </row>
    <row r="15678" spans="1:6" x14ac:dyDescent="0.25">
      <c r="A15678" s="1">
        <v>44013</v>
      </c>
      <c r="B15678" t="s">
        <v>19</v>
      </c>
      <c r="C15678" t="s">
        <v>11</v>
      </c>
      <c r="D15678">
        <v>13</v>
      </c>
      <c r="E15678" s="2">
        <v>6.9675925925925929E-3</v>
      </c>
      <c r="F15678">
        <v>10.033333333333333</v>
      </c>
    </row>
    <row r="15679" spans="1:6" x14ac:dyDescent="0.25">
      <c r="A15679" s="1">
        <v>44013</v>
      </c>
      <c r="B15679" t="s">
        <v>20</v>
      </c>
      <c r="C15679" t="s">
        <v>6</v>
      </c>
      <c r="D15679">
        <v>59</v>
      </c>
      <c r="E15679" s="2">
        <v>9.3321759259259257E-2</v>
      </c>
      <c r="F15679">
        <v>134.38333333333333</v>
      </c>
    </row>
    <row r="15680" spans="1:6" x14ac:dyDescent="0.25">
      <c r="A15680" s="1">
        <v>44013</v>
      </c>
      <c r="B15680" t="s">
        <v>20</v>
      </c>
      <c r="C15680" t="s">
        <v>7</v>
      </c>
      <c r="D15680">
        <v>59</v>
      </c>
      <c r="E15680" s="2">
        <v>7.452546296296296E-2</v>
      </c>
      <c r="F15680">
        <v>107.31666666666666</v>
      </c>
    </row>
    <row r="15681" spans="1:6" x14ac:dyDescent="0.25">
      <c r="A15681" s="1">
        <v>44013</v>
      </c>
      <c r="B15681" t="s">
        <v>20</v>
      </c>
      <c r="C15681" t="s">
        <v>8</v>
      </c>
      <c r="D15681">
        <v>46</v>
      </c>
      <c r="E15681" s="2">
        <v>5.0150462962962966E-2</v>
      </c>
      <c r="F15681">
        <v>72.216666666666669</v>
      </c>
    </row>
    <row r="15682" spans="1:6" x14ac:dyDescent="0.25">
      <c r="A15682" s="1">
        <v>44013</v>
      </c>
      <c r="B15682" t="s">
        <v>20</v>
      </c>
      <c r="C15682" t="s">
        <v>9</v>
      </c>
      <c r="D15682">
        <v>0</v>
      </c>
      <c r="E15682" s="2">
        <v>0</v>
      </c>
      <c r="F15682">
        <v>0</v>
      </c>
    </row>
    <row r="15683" spans="1:6" x14ac:dyDescent="0.25">
      <c r="A15683" s="1">
        <v>44013</v>
      </c>
      <c r="B15683" t="s">
        <v>20</v>
      </c>
      <c r="C15683" t="s">
        <v>10</v>
      </c>
      <c r="D15683">
        <v>9</v>
      </c>
      <c r="E15683" s="2">
        <v>1.443287037037037E-2</v>
      </c>
      <c r="F15683">
        <v>20.783333333333335</v>
      </c>
    </row>
    <row r="15684" spans="1:6" x14ac:dyDescent="0.25">
      <c r="A15684" s="1">
        <v>44013</v>
      </c>
      <c r="B15684" t="s">
        <v>20</v>
      </c>
      <c r="C15684" t="s">
        <v>11</v>
      </c>
      <c r="D15684">
        <v>32</v>
      </c>
      <c r="E15684" s="2">
        <v>3.4143518518518517E-2</v>
      </c>
      <c r="F15684">
        <v>49.166666666666664</v>
      </c>
    </row>
    <row r="15685" spans="1:6" x14ac:dyDescent="0.25">
      <c r="A15685" s="1">
        <v>44013</v>
      </c>
      <c r="B15685" t="s">
        <v>21</v>
      </c>
      <c r="C15685" t="s">
        <v>6</v>
      </c>
      <c r="D15685">
        <v>160</v>
      </c>
      <c r="E15685" s="2">
        <v>0.23</v>
      </c>
      <c r="F15685">
        <v>331.2</v>
      </c>
    </row>
    <row r="15686" spans="1:6" x14ac:dyDescent="0.25">
      <c r="A15686" s="1">
        <v>44013</v>
      </c>
      <c r="B15686" t="s">
        <v>21</v>
      </c>
      <c r="C15686" t="s">
        <v>7</v>
      </c>
      <c r="D15686">
        <v>127</v>
      </c>
      <c r="E15686" s="2">
        <v>0.17204861111111111</v>
      </c>
      <c r="F15686">
        <v>247.75</v>
      </c>
    </row>
    <row r="15687" spans="1:6" x14ac:dyDescent="0.25">
      <c r="A15687" s="1">
        <v>44013</v>
      </c>
      <c r="B15687" t="s">
        <v>21</v>
      </c>
      <c r="C15687" t="s">
        <v>8</v>
      </c>
      <c r="D15687">
        <v>72</v>
      </c>
      <c r="E15687" s="2">
        <v>8.7384259259259259E-2</v>
      </c>
      <c r="F15687">
        <v>125.83333333333333</v>
      </c>
    </row>
    <row r="15688" spans="1:6" x14ac:dyDescent="0.25">
      <c r="A15688" s="1">
        <v>44013</v>
      </c>
      <c r="B15688" t="s">
        <v>21</v>
      </c>
      <c r="C15688" t="s">
        <v>9</v>
      </c>
      <c r="D15688">
        <v>0</v>
      </c>
      <c r="E15688" s="2">
        <v>0</v>
      </c>
      <c r="F15688">
        <v>0</v>
      </c>
    </row>
    <row r="15689" spans="1:6" x14ac:dyDescent="0.25">
      <c r="A15689" s="1">
        <v>44013</v>
      </c>
      <c r="B15689" t="s">
        <v>21</v>
      </c>
      <c r="C15689" t="s">
        <v>10</v>
      </c>
      <c r="D15689">
        <v>36</v>
      </c>
      <c r="E15689" s="2">
        <v>5.2002314814814814E-2</v>
      </c>
      <c r="F15689">
        <v>74.88333333333334</v>
      </c>
    </row>
    <row r="15690" spans="1:6" x14ac:dyDescent="0.25">
      <c r="A15690" s="1">
        <v>44013</v>
      </c>
      <c r="B15690" t="s">
        <v>21</v>
      </c>
      <c r="C15690" t="s">
        <v>11</v>
      </c>
      <c r="D15690">
        <v>87</v>
      </c>
      <c r="E15690" s="2">
        <v>7.8067129629629625E-2</v>
      </c>
      <c r="F15690">
        <v>112.41666666666667</v>
      </c>
    </row>
    <row r="15691" spans="1:6" x14ac:dyDescent="0.25">
      <c r="A15691" s="1">
        <v>44013</v>
      </c>
      <c r="B15691" t="s">
        <v>22</v>
      </c>
      <c r="C15691" t="s">
        <v>6</v>
      </c>
      <c r="D15691">
        <v>6</v>
      </c>
      <c r="E15691" s="2">
        <v>1.0613425925925925E-2</v>
      </c>
      <c r="F15691">
        <v>15.283333333333333</v>
      </c>
    </row>
    <row r="15692" spans="1:6" x14ac:dyDescent="0.25">
      <c r="A15692" s="1">
        <v>44013</v>
      </c>
      <c r="B15692" t="s">
        <v>22</v>
      </c>
      <c r="C15692" t="s">
        <v>7</v>
      </c>
      <c r="D15692">
        <v>9</v>
      </c>
      <c r="E15692" s="2">
        <v>1.7893518518518517E-2</v>
      </c>
      <c r="F15692">
        <v>25.766666666666666</v>
      </c>
    </row>
    <row r="15693" spans="1:6" x14ac:dyDescent="0.25">
      <c r="A15693" s="1">
        <v>44013</v>
      </c>
      <c r="B15693" t="s">
        <v>22</v>
      </c>
      <c r="C15693" t="s">
        <v>8</v>
      </c>
      <c r="D15693">
        <v>4</v>
      </c>
      <c r="E15693" s="2">
        <v>6.3425925925925924E-3</v>
      </c>
      <c r="F15693">
        <v>9.1333333333333329</v>
      </c>
    </row>
    <row r="15694" spans="1:6" x14ac:dyDescent="0.25">
      <c r="A15694" s="1">
        <v>44013</v>
      </c>
      <c r="B15694" t="s">
        <v>22</v>
      </c>
      <c r="C15694" t="s">
        <v>9</v>
      </c>
      <c r="D15694">
        <v>0</v>
      </c>
      <c r="E15694" s="2">
        <v>0</v>
      </c>
      <c r="F15694">
        <v>0</v>
      </c>
    </row>
    <row r="15695" spans="1:6" x14ac:dyDescent="0.25">
      <c r="A15695" s="1">
        <v>44013</v>
      </c>
      <c r="B15695" t="s">
        <v>22</v>
      </c>
      <c r="C15695" t="s">
        <v>10</v>
      </c>
      <c r="D15695">
        <v>7</v>
      </c>
      <c r="E15695" s="2">
        <v>1.005787037037037E-2</v>
      </c>
      <c r="F15695">
        <v>14.483333333333333</v>
      </c>
    </row>
    <row r="15696" spans="1:6" x14ac:dyDescent="0.25">
      <c r="A15696" s="1">
        <v>44013</v>
      </c>
      <c r="B15696" t="s">
        <v>22</v>
      </c>
      <c r="C15696" t="s">
        <v>11</v>
      </c>
      <c r="D15696">
        <v>12</v>
      </c>
      <c r="E15696" s="2">
        <v>1.150462962962963E-2</v>
      </c>
      <c r="F15696">
        <v>16.566666666666666</v>
      </c>
    </row>
    <row r="15697" spans="1:6" x14ac:dyDescent="0.25">
      <c r="A15697" s="1">
        <v>44013</v>
      </c>
      <c r="B15697" t="s">
        <v>23</v>
      </c>
      <c r="C15697" t="s">
        <v>6</v>
      </c>
      <c r="D15697">
        <v>89</v>
      </c>
      <c r="E15697" s="2">
        <v>0.15047453703703703</v>
      </c>
      <c r="F15697">
        <v>216.68333333333334</v>
      </c>
    </row>
    <row r="15698" spans="1:6" x14ac:dyDescent="0.25">
      <c r="A15698" s="1">
        <v>44013</v>
      </c>
      <c r="B15698" t="s">
        <v>23</v>
      </c>
      <c r="C15698" t="s">
        <v>7</v>
      </c>
      <c r="D15698">
        <v>42</v>
      </c>
      <c r="E15698" s="2">
        <v>6.340277777777778E-2</v>
      </c>
      <c r="F15698">
        <v>91.3</v>
      </c>
    </row>
    <row r="15699" spans="1:6" x14ac:dyDescent="0.25">
      <c r="A15699" s="1">
        <v>44013</v>
      </c>
      <c r="B15699" t="s">
        <v>23</v>
      </c>
      <c r="C15699" t="s">
        <v>8</v>
      </c>
      <c r="D15699">
        <v>44</v>
      </c>
      <c r="E15699" s="2">
        <v>5.5706018518518516E-2</v>
      </c>
      <c r="F15699">
        <v>80.216666666666669</v>
      </c>
    </row>
    <row r="15700" spans="1:6" x14ac:dyDescent="0.25">
      <c r="A15700" s="1">
        <v>44013</v>
      </c>
      <c r="B15700" t="s">
        <v>23</v>
      </c>
      <c r="C15700" t="s">
        <v>9</v>
      </c>
      <c r="D15700">
        <v>0</v>
      </c>
      <c r="E15700" s="2">
        <v>0</v>
      </c>
      <c r="F15700">
        <v>0</v>
      </c>
    </row>
    <row r="15701" spans="1:6" x14ac:dyDescent="0.25">
      <c r="A15701" s="1">
        <v>44013</v>
      </c>
      <c r="B15701" t="s">
        <v>23</v>
      </c>
      <c r="C15701" t="s">
        <v>10</v>
      </c>
      <c r="D15701">
        <v>24</v>
      </c>
      <c r="E15701" s="2">
        <v>3.8819444444444441E-2</v>
      </c>
      <c r="F15701">
        <v>55.9</v>
      </c>
    </row>
    <row r="15702" spans="1:6" x14ac:dyDescent="0.25">
      <c r="A15702" s="1">
        <v>44013</v>
      </c>
      <c r="B15702" t="s">
        <v>23</v>
      </c>
      <c r="C15702" t="s">
        <v>11</v>
      </c>
      <c r="D15702">
        <v>48</v>
      </c>
      <c r="E15702" s="2">
        <v>4.8229166666666663E-2</v>
      </c>
      <c r="F15702">
        <v>69.45</v>
      </c>
    </row>
    <row r="15703" spans="1:6" x14ac:dyDescent="0.25">
      <c r="A15703" s="1">
        <v>44013</v>
      </c>
      <c r="B15703" t="s">
        <v>24</v>
      </c>
      <c r="C15703" t="s">
        <v>6</v>
      </c>
      <c r="D15703">
        <v>5</v>
      </c>
      <c r="E15703" s="2">
        <v>1.0289351851851852E-2</v>
      </c>
      <c r="F15703">
        <v>14.816666666666666</v>
      </c>
    </row>
    <row r="15704" spans="1:6" x14ac:dyDescent="0.25">
      <c r="A15704" s="1">
        <v>44013</v>
      </c>
      <c r="B15704" t="s">
        <v>24</v>
      </c>
      <c r="C15704" t="s">
        <v>7</v>
      </c>
      <c r="D15704">
        <v>9</v>
      </c>
      <c r="E15704" s="2">
        <v>1.7280092592592593E-2</v>
      </c>
      <c r="F15704">
        <v>24.883333333333333</v>
      </c>
    </row>
    <row r="15705" spans="1:6" x14ac:dyDescent="0.25">
      <c r="A15705" s="1">
        <v>44013</v>
      </c>
      <c r="B15705" t="s">
        <v>24</v>
      </c>
      <c r="C15705" t="s">
        <v>8</v>
      </c>
      <c r="D15705">
        <v>6</v>
      </c>
      <c r="E15705" s="2">
        <v>7.9282407407407409E-3</v>
      </c>
      <c r="F15705">
        <v>11.416666666666666</v>
      </c>
    </row>
    <row r="15706" spans="1:6" x14ac:dyDescent="0.25">
      <c r="A15706" s="1">
        <v>44013</v>
      </c>
      <c r="B15706" t="s">
        <v>24</v>
      </c>
      <c r="C15706" t="s">
        <v>9</v>
      </c>
      <c r="D15706">
        <v>0</v>
      </c>
      <c r="E15706" s="2">
        <v>0</v>
      </c>
      <c r="F15706">
        <v>0</v>
      </c>
    </row>
    <row r="15707" spans="1:6" x14ac:dyDescent="0.25">
      <c r="A15707" s="1">
        <v>44013</v>
      </c>
      <c r="B15707" t="s">
        <v>24</v>
      </c>
      <c r="C15707" t="s">
        <v>10</v>
      </c>
      <c r="D15707">
        <v>0</v>
      </c>
      <c r="E15707" s="2">
        <v>0</v>
      </c>
      <c r="F15707">
        <v>0</v>
      </c>
    </row>
    <row r="15708" spans="1:6" x14ac:dyDescent="0.25">
      <c r="A15708" s="1">
        <v>44013</v>
      </c>
      <c r="B15708" t="s">
        <v>24</v>
      </c>
      <c r="C15708" t="s">
        <v>11</v>
      </c>
      <c r="D15708">
        <v>24</v>
      </c>
      <c r="E15708" s="2">
        <v>2.0127314814814813E-2</v>
      </c>
      <c r="F15708">
        <v>28.983333333333334</v>
      </c>
    </row>
    <row r="15709" spans="1:6" x14ac:dyDescent="0.25">
      <c r="A15709" s="1">
        <v>44044</v>
      </c>
      <c r="B15709" t="s">
        <v>5</v>
      </c>
      <c r="C15709" t="s">
        <v>6</v>
      </c>
      <c r="D15709">
        <v>63</v>
      </c>
      <c r="E15709" s="2">
        <v>6.5162037037037032E-2</v>
      </c>
      <c r="F15709">
        <v>93.833333333333329</v>
      </c>
    </row>
    <row r="15710" spans="1:6" x14ac:dyDescent="0.25">
      <c r="A15710" s="1">
        <v>44044</v>
      </c>
      <c r="B15710" t="s">
        <v>5</v>
      </c>
      <c r="C15710" t="s">
        <v>7</v>
      </c>
      <c r="D15710">
        <v>78</v>
      </c>
      <c r="E15710" s="2">
        <v>7.7303240740740742E-2</v>
      </c>
      <c r="F15710">
        <v>111.31666666666666</v>
      </c>
    </row>
    <row r="15711" spans="1:6" x14ac:dyDescent="0.25">
      <c r="A15711" s="1">
        <v>44044</v>
      </c>
      <c r="B15711" t="s">
        <v>5</v>
      </c>
      <c r="C15711" t="s">
        <v>8</v>
      </c>
      <c r="D15711">
        <v>58</v>
      </c>
      <c r="E15711" s="2">
        <v>5.6493055555555553E-2</v>
      </c>
      <c r="F15711">
        <v>81.349999999999994</v>
      </c>
    </row>
    <row r="15712" spans="1:6" x14ac:dyDescent="0.25">
      <c r="A15712" s="1">
        <v>44044</v>
      </c>
      <c r="B15712" t="s">
        <v>5</v>
      </c>
      <c r="C15712" t="s">
        <v>9</v>
      </c>
      <c r="D15712">
        <v>0</v>
      </c>
      <c r="E15712" s="2">
        <v>0</v>
      </c>
      <c r="F15712">
        <v>0</v>
      </c>
    </row>
    <row r="15713" spans="1:6" x14ac:dyDescent="0.25">
      <c r="A15713" s="1">
        <v>44044</v>
      </c>
      <c r="B15713" t="s">
        <v>5</v>
      </c>
      <c r="C15713" t="s">
        <v>10</v>
      </c>
      <c r="D15713">
        <v>21</v>
      </c>
      <c r="E15713" s="2">
        <v>3.048611111111111E-2</v>
      </c>
      <c r="F15713">
        <v>43.9</v>
      </c>
    </row>
    <row r="15714" spans="1:6" x14ac:dyDescent="0.25">
      <c r="A15714" s="1">
        <v>44044</v>
      </c>
      <c r="B15714" t="s">
        <v>5</v>
      </c>
      <c r="C15714" t="s">
        <v>11</v>
      </c>
      <c r="D15714">
        <v>59</v>
      </c>
      <c r="E15714" s="2">
        <v>4.3599537037037034E-2</v>
      </c>
      <c r="F15714">
        <v>62.783333333333331</v>
      </c>
    </row>
    <row r="15715" spans="1:6" x14ac:dyDescent="0.25">
      <c r="A15715" s="1">
        <v>44044</v>
      </c>
      <c r="B15715" t="s">
        <v>12</v>
      </c>
      <c r="C15715" t="s">
        <v>6</v>
      </c>
      <c r="D15715">
        <v>24</v>
      </c>
      <c r="E15715" s="2">
        <v>4.6192129629629632E-2</v>
      </c>
      <c r="F15715">
        <v>66.516666666666666</v>
      </c>
    </row>
    <row r="15716" spans="1:6" x14ac:dyDescent="0.25">
      <c r="A15716" s="1">
        <v>44044</v>
      </c>
      <c r="B15716" t="s">
        <v>12</v>
      </c>
      <c r="C15716" t="s">
        <v>7</v>
      </c>
      <c r="D15716">
        <v>28</v>
      </c>
      <c r="E15716" s="2">
        <v>5.0127314814814812E-2</v>
      </c>
      <c r="F15716">
        <v>72.183333333333337</v>
      </c>
    </row>
    <row r="15717" spans="1:6" x14ac:dyDescent="0.25">
      <c r="A15717" s="1">
        <v>44044</v>
      </c>
      <c r="B15717" t="s">
        <v>12</v>
      </c>
      <c r="C15717" t="s">
        <v>8</v>
      </c>
      <c r="D15717">
        <v>21</v>
      </c>
      <c r="E15717" s="2">
        <v>3.0046296296296297E-2</v>
      </c>
      <c r="F15717">
        <v>43.266666666666666</v>
      </c>
    </row>
    <row r="15718" spans="1:6" x14ac:dyDescent="0.25">
      <c r="A15718" s="1">
        <v>44044</v>
      </c>
      <c r="B15718" t="s">
        <v>12</v>
      </c>
      <c r="C15718" t="s">
        <v>9</v>
      </c>
      <c r="D15718">
        <v>0</v>
      </c>
      <c r="E15718" s="2">
        <v>0</v>
      </c>
      <c r="F15718">
        <v>0</v>
      </c>
    </row>
    <row r="15719" spans="1:6" x14ac:dyDescent="0.25">
      <c r="A15719" s="1">
        <v>44044</v>
      </c>
      <c r="B15719" t="s">
        <v>12</v>
      </c>
      <c r="C15719" t="s">
        <v>10</v>
      </c>
      <c r="D15719">
        <v>16</v>
      </c>
      <c r="E15719" s="2">
        <v>2.7465277777777779E-2</v>
      </c>
      <c r="F15719">
        <v>39.549999999999997</v>
      </c>
    </row>
    <row r="15720" spans="1:6" x14ac:dyDescent="0.25">
      <c r="A15720" s="1">
        <v>44044</v>
      </c>
      <c r="B15720" t="s">
        <v>12</v>
      </c>
      <c r="C15720" t="s">
        <v>11</v>
      </c>
      <c r="D15720">
        <v>44</v>
      </c>
      <c r="E15720" s="2">
        <v>5.8738425925925923E-2</v>
      </c>
      <c r="F15720">
        <v>84.583333333333329</v>
      </c>
    </row>
    <row r="15721" spans="1:6" x14ac:dyDescent="0.25">
      <c r="A15721" s="1">
        <v>44044</v>
      </c>
      <c r="B15721" t="s">
        <v>13</v>
      </c>
      <c r="C15721" t="s">
        <v>6</v>
      </c>
      <c r="D15721">
        <v>63</v>
      </c>
      <c r="E15721" s="2">
        <v>0.13378472222222224</v>
      </c>
      <c r="F15721">
        <v>192.65</v>
      </c>
    </row>
    <row r="15722" spans="1:6" x14ac:dyDescent="0.25">
      <c r="A15722" s="1">
        <v>44044</v>
      </c>
      <c r="B15722" t="s">
        <v>13</v>
      </c>
      <c r="C15722" t="s">
        <v>7</v>
      </c>
      <c r="D15722">
        <v>54</v>
      </c>
      <c r="E15722" s="2">
        <v>8.8402777777777775E-2</v>
      </c>
      <c r="F15722">
        <v>127.3</v>
      </c>
    </row>
    <row r="15723" spans="1:6" x14ac:dyDescent="0.25">
      <c r="A15723" s="1">
        <v>44044</v>
      </c>
      <c r="B15723" t="s">
        <v>13</v>
      </c>
      <c r="C15723" t="s">
        <v>8</v>
      </c>
      <c r="D15723">
        <v>36</v>
      </c>
      <c r="E15723" s="2">
        <v>4.65625E-2</v>
      </c>
      <c r="F15723">
        <v>67.05</v>
      </c>
    </row>
    <row r="15724" spans="1:6" x14ac:dyDescent="0.25">
      <c r="A15724" s="1">
        <v>44044</v>
      </c>
      <c r="B15724" t="s">
        <v>13</v>
      </c>
      <c r="C15724" t="s">
        <v>9</v>
      </c>
      <c r="D15724">
        <v>0</v>
      </c>
      <c r="E15724" s="2">
        <v>0</v>
      </c>
      <c r="F15724">
        <v>0</v>
      </c>
    </row>
    <row r="15725" spans="1:6" x14ac:dyDescent="0.25">
      <c r="A15725" s="1">
        <v>44044</v>
      </c>
      <c r="B15725" t="s">
        <v>13</v>
      </c>
      <c r="C15725" t="s">
        <v>10</v>
      </c>
      <c r="D15725">
        <v>14</v>
      </c>
      <c r="E15725" s="2">
        <v>2.3842592592592592E-2</v>
      </c>
      <c r="F15725">
        <v>34.333333333333336</v>
      </c>
    </row>
    <row r="15726" spans="1:6" x14ac:dyDescent="0.25">
      <c r="A15726" s="1">
        <v>44044</v>
      </c>
      <c r="B15726" t="s">
        <v>13</v>
      </c>
      <c r="C15726" t="s">
        <v>11</v>
      </c>
      <c r="D15726">
        <v>27</v>
      </c>
      <c r="E15726" s="2">
        <v>3.394675925925926E-2</v>
      </c>
      <c r="F15726">
        <v>48.883333333333333</v>
      </c>
    </row>
    <row r="15727" spans="1:6" x14ac:dyDescent="0.25">
      <c r="A15727" s="1">
        <v>44044</v>
      </c>
      <c r="B15727" t="s">
        <v>14</v>
      </c>
      <c r="C15727" t="s">
        <v>6</v>
      </c>
      <c r="D15727">
        <v>11</v>
      </c>
      <c r="E15727" s="2">
        <v>1.5150462962962963E-2</v>
      </c>
      <c r="F15727">
        <v>21.816666666666666</v>
      </c>
    </row>
    <row r="15728" spans="1:6" x14ac:dyDescent="0.25">
      <c r="A15728" s="1">
        <v>44044</v>
      </c>
      <c r="B15728" t="s">
        <v>14</v>
      </c>
      <c r="C15728" t="s">
        <v>7</v>
      </c>
      <c r="D15728">
        <v>11</v>
      </c>
      <c r="E15728" s="2">
        <v>1.3402777777777777E-2</v>
      </c>
      <c r="F15728">
        <v>19.3</v>
      </c>
    </row>
    <row r="15729" spans="1:6" x14ac:dyDescent="0.25">
      <c r="A15729" s="1">
        <v>44044</v>
      </c>
      <c r="B15729" t="s">
        <v>14</v>
      </c>
      <c r="C15729" t="s">
        <v>8</v>
      </c>
      <c r="D15729">
        <v>8</v>
      </c>
      <c r="E15729" s="2">
        <v>9.3402777777777772E-3</v>
      </c>
      <c r="F15729">
        <v>13.45</v>
      </c>
    </row>
    <row r="15730" spans="1:6" x14ac:dyDescent="0.25">
      <c r="A15730" s="1">
        <v>44044</v>
      </c>
      <c r="B15730" t="s">
        <v>14</v>
      </c>
      <c r="C15730" t="s">
        <v>9</v>
      </c>
      <c r="D15730">
        <v>0</v>
      </c>
      <c r="E15730" s="2">
        <v>0</v>
      </c>
      <c r="F15730">
        <v>0</v>
      </c>
    </row>
    <row r="15731" spans="1:6" x14ac:dyDescent="0.25">
      <c r="A15731" s="1">
        <v>44044</v>
      </c>
      <c r="B15731" t="s">
        <v>14</v>
      </c>
      <c r="C15731" t="s">
        <v>10</v>
      </c>
      <c r="D15731">
        <v>3</v>
      </c>
      <c r="E15731" s="2">
        <v>4.8726851851851848E-3</v>
      </c>
      <c r="F15731">
        <v>7.0166666666666666</v>
      </c>
    </row>
    <row r="15732" spans="1:6" x14ac:dyDescent="0.25">
      <c r="A15732" s="1">
        <v>44044</v>
      </c>
      <c r="B15732" t="s">
        <v>14</v>
      </c>
      <c r="C15732" t="s">
        <v>11</v>
      </c>
      <c r="D15732">
        <v>12</v>
      </c>
      <c r="E15732" s="2">
        <v>1.3900462962962963E-2</v>
      </c>
      <c r="F15732">
        <v>20.016666666666666</v>
      </c>
    </row>
    <row r="15733" spans="1:6" x14ac:dyDescent="0.25">
      <c r="A15733" s="1">
        <v>44044</v>
      </c>
      <c r="B15733" t="s">
        <v>15</v>
      </c>
      <c r="C15733" t="s">
        <v>6</v>
      </c>
      <c r="D15733">
        <v>59</v>
      </c>
      <c r="E15733" s="2">
        <v>0.10302083333333334</v>
      </c>
      <c r="F15733">
        <v>148.35</v>
      </c>
    </row>
    <row r="15734" spans="1:6" x14ac:dyDescent="0.25">
      <c r="A15734" s="1">
        <v>44044</v>
      </c>
      <c r="B15734" t="s">
        <v>15</v>
      </c>
      <c r="C15734" t="s">
        <v>7</v>
      </c>
      <c r="D15734">
        <v>37</v>
      </c>
      <c r="E15734" s="2">
        <v>5.0567129629629629E-2</v>
      </c>
      <c r="F15734">
        <v>72.816666666666663</v>
      </c>
    </row>
    <row r="15735" spans="1:6" x14ac:dyDescent="0.25">
      <c r="A15735" s="1">
        <v>44044</v>
      </c>
      <c r="B15735" t="s">
        <v>15</v>
      </c>
      <c r="C15735" t="s">
        <v>8</v>
      </c>
      <c r="D15735">
        <v>33</v>
      </c>
      <c r="E15735" s="2">
        <v>4.7442129629629633E-2</v>
      </c>
      <c r="F15735">
        <v>68.316666666666663</v>
      </c>
    </row>
    <row r="15736" spans="1:6" x14ac:dyDescent="0.25">
      <c r="A15736" s="1">
        <v>44044</v>
      </c>
      <c r="B15736" t="s">
        <v>15</v>
      </c>
      <c r="C15736" t="s">
        <v>9</v>
      </c>
      <c r="D15736">
        <v>0</v>
      </c>
      <c r="E15736" s="2">
        <v>0</v>
      </c>
      <c r="F15736">
        <v>0</v>
      </c>
    </row>
    <row r="15737" spans="1:6" x14ac:dyDescent="0.25">
      <c r="A15737" s="1">
        <v>44044</v>
      </c>
      <c r="B15737" t="s">
        <v>15</v>
      </c>
      <c r="C15737" t="s">
        <v>10</v>
      </c>
      <c r="D15737">
        <v>16</v>
      </c>
      <c r="E15737" s="2">
        <v>2.1435185185185186E-2</v>
      </c>
      <c r="F15737">
        <v>30.866666666666667</v>
      </c>
    </row>
    <row r="15738" spans="1:6" x14ac:dyDescent="0.25">
      <c r="A15738" s="1">
        <v>44044</v>
      </c>
      <c r="B15738" t="s">
        <v>15</v>
      </c>
      <c r="C15738" t="s">
        <v>11</v>
      </c>
      <c r="D15738">
        <v>24</v>
      </c>
      <c r="E15738" s="2">
        <v>2.0104166666666666E-2</v>
      </c>
      <c r="F15738">
        <v>28.95</v>
      </c>
    </row>
    <row r="15739" spans="1:6" x14ac:dyDescent="0.25">
      <c r="A15739" s="1">
        <v>44044</v>
      </c>
      <c r="B15739" t="s">
        <v>16</v>
      </c>
      <c r="C15739" t="s">
        <v>6</v>
      </c>
      <c r="D15739">
        <v>12</v>
      </c>
      <c r="E15739" s="2">
        <v>1.3252314814814814E-2</v>
      </c>
      <c r="F15739">
        <v>19.083333333333332</v>
      </c>
    </row>
    <row r="15740" spans="1:6" x14ac:dyDescent="0.25">
      <c r="A15740" s="1">
        <v>44044</v>
      </c>
      <c r="B15740" t="s">
        <v>16</v>
      </c>
      <c r="C15740" t="s">
        <v>7</v>
      </c>
      <c r="D15740">
        <v>10</v>
      </c>
      <c r="E15740" s="2">
        <v>1.0439814814814815E-2</v>
      </c>
      <c r="F15740">
        <v>15.033333333333333</v>
      </c>
    </row>
    <row r="15741" spans="1:6" x14ac:dyDescent="0.25">
      <c r="A15741" s="1">
        <v>44044</v>
      </c>
      <c r="B15741" t="s">
        <v>16</v>
      </c>
      <c r="C15741" t="s">
        <v>8</v>
      </c>
      <c r="D15741">
        <v>13</v>
      </c>
      <c r="E15741" s="2">
        <v>1.1168981481481481E-2</v>
      </c>
      <c r="F15741">
        <v>16.083333333333332</v>
      </c>
    </row>
    <row r="15742" spans="1:6" x14ac:dyDescent="0.25">
      <c r="A15742" s="1">
        <v>44044</v>
      </c>
      <c r="B15742" t="s">
        <v>16</v>
      </c>
      <c r="C15742" t="s">
        <v>9</v>
      </c>
      <c r="D15742">
        <v>0</v>
      </c>
      <c r="E15742" s="2">
        <v>0</v>
      </c>
      <c r="F15742">
        <v>0</v>
      </c>
    </row>
    <row r="15743" spans="1:6" x14ac:dyDescent="0.25">
      <c r="A15743" s="1">
        <v>44044</v>
      </c>
      <c r="B15743" t="s">
        <v>16</v>
      </c>
      <c r="C15743" t="s">
        <v>10</v>
      </c>
      <c r="D15743">
        <v>1</v>
      </c>
      <c r="E15743" s="2">
        <v>1.4351851851851852E-3</v>
      </c>
      <c r="F15743">
        <v>2.0666666666666669</v>
      </c>
    </row>
    <row r="15744" spans="1:6" x14ac:dyDescent="0.25">
      <c r="A15744" s="1">
        <v>44044</v>
      </c>
      <c r="B15744" t="s">
        <v>16</v>
      </c>
      <c r="C15744" t="s">
        <v>11</v>
      </c>
      <c r="D15744">
        <v>14</v>
      </c>
      <c r="E15744" s="2">
        <v>9.5949074074074079E-3</v>
      </c>
      <c r="F15744">
        <v>13.816666666666666</v>
      </c>
    </row>
    <row r="15745" spans="1:6" x14ac:dyDescent="0.25">
      <c r="A15745" s="1">
        <v>44044</v>
      </c>
      <c r="B15745" t="s">
        <v>17</v>
      </c>
      <c r="C15745" t="s">
        <v>6</v>
      </c>
      <c r="D15745">
        <v>2</v>
      </c>
      <c r="E15745" s="2">
        <v>1.736111111111111E-3</v>
      </c>
      <c r="F15745">
        <v>2.5</v>
      </c>
    </row>
    <row r="15746" spans="1:6" x14ac:dyDescent="0.25">
      <c r="A15746" s="1">
        <v>44044</v>
      </c>
      <c r="B15746" t="s">
        <v>17</v>
      </c>
      <c r="C15746" t="s">
        <v>7</v>
      </c>
      <c r="D15746">
        <v>4</v>
      </c>
      <c r="E15746" s="2">
        <v>1.4699074074074074E-3</v>
      </c>
      <c r="F15746">
        <v>2.1166666666666667</v>
      </c>
    </row>
    <row r="15747" spans="1:6" x14ac:dyDescent="0.25">
      <c r="A15747" s="1">
        <v>44044</v>
      </c>
      <c r="B15747" t="s">
        <v>17</v>
      </c>
      <c r="C15747" t="s">
        <v>8</v>
      </c>
      <c r="D15747">
        <v>0</v>
      </c>
      <c r="E15747" s="2">
        <v>0</v>
      </c>
      <c r="F15747">
        <v>0</v>
      </c>
    </row>
    <row r="15748" spans="1:6" x14ac:dyDescent="0.25">
      <c r="A15748" s="1">
        <v>44044</v>
      </c>
      <c r="B15748" t="s">
        <v>17</v>
      </c>
      <c r="C15748" t="s">
        <v>9</v>
      </c>
      <c r="D15748">
        <v>0</v>
      </c>
      <c r="E15748" s="2">
        <v>0</v>
      </c>
      <c r="F15748">
        <v>0</v>
      </c>
    </row>
    <row r="15749" spans="1:6" x14ac:dyDescent="0.25">
      <c r="A15749" s="1">
        <v>44044</v>
      </c>
      <c r="B15749" t="s">
        <v>17</v>
      </c>
      <c r="C15749" t="s">
        <v>10</v>
      </c>
      <c r="D15749">
        <v>7</v>
      </c>
      <c r="E15749" s="2">
        <v>8.773148148148148E-3</v>
      </c>
      <c r="F15749">
        <v>12.633333333333333</v>
      </c>
    </row>
    <row r="15750" spans="1:6" x14ac:dyDescent="0.25">
      <c r="A15750" s="1">
        <v>44044</v>
      </c>
      <c r="B15750" t="s">
        <v>17</v>
      </c>
      <c r="C15750" t="s">
        <v>11</v>
      </c>
      <c r="D15750">
        <v>4</v>
      </c>
      <c r="E15750" s="2">
        <v>2.3032407407407407E-3</v>
      </c>
      <c r="F15750">
        <v>3.3166666666666664</v>
      </c>
    </row>
    <row r="15751" spans="1:6" x14ac:dyDescent="0.25">
      <c r="A15751" s="1">
        <v>44044</v>
      </c>
      <c r="B15751" t="s">
        <v>18</v>
      </c>
      <c r="C15751" t="s">
        <v>6</v>
      </c>
      <c r="D15751">
        <v>26</v>
      </c>
      <c r="E15751" s="2">
        <v>2.8888888888888888E-2</v>
      </c>
      <c r="F15751">
        <v>41.6</v>
      </c>
    </row>
    <row r="15752" spans="1:6" x14ac:dyDescent="0.25">
      <c r="A15752" s="1">
        <v>44044</v>
      </c>
      <c r="B15752" t="s">
        <v>18</v>
      </c>
      <c r="C15752" t="s">
        <v>7</v>
      </c>
      <c r="D15752">
        <v>58</v>
      </c>
      <c r="E15752" s="2">
        <v>6.0578703703703704E-2</v>
      </c>
      <c r="F15752">
        <v>87.233333333333334</v>
      </c>
    </row>
    <row r="15753" spans="1:6" x14ac:dyDescent="0.25">
      <c r="A15753" s="1">
        <v>44044</v>
      </c>
      <c r="B15753" t="s">
        <v>18</v>
      </c>
      <c r="C15753" t="s">
        <v>8</v>
      </c>
      <c r="D15753">
        <v>32</v>
      </c>
      <c r="E15753" s="2">
        <v>2.7222222222222221E-2</v>
      </c>
      <c r="F15753">
        <v>39.200000000000003</v>
      </c>
    </row>
    <row r="15754" spans="1:6" x14ac:dyDescent="0.25">
      <c r="A15754" s="1">
        <v>44044</v>
      </c>
      <c r="B15754" t="s">
        <v>18</v>
      </c>
      <c r="C15754" t="s">
        <v>9</v>
      </c>
      <c r="D15754">
        <v>0</v>
      </c>
      <c r="E15754" s="2">
        <v>0</v>
      </c>
      <c r="F15754">
        <v>0</v>
      </c>
    </row>
    <row r="15755" spans="1:6" x14ac:dyDescent="0.25">
      <c r="A15755" s="1">
        <v>44044</v>
      </c>
      <c r="B15755" t="s">
        <v>18</v>
      </c>
      <c r="C15755" t="s">
        <v>10</v>
      </c>
      <c r="D15755">
        <v>93</v>
      </c>
      <c r="E15755" s="2">
        <v>0.14512731481481481</v>
      </c>
      <c r="F15755">
        <v>208.98333333333332</v>
      </c>
    </row>
    <row r="15756" spans="1:6" x14ac:dyDescent="0.25">
      <c r="A15756" s="1">
        <v>44044</v>
      </c>
      <c r="B15756" t="s">
        <v>18</v>
      </c>
      <c r="C15756" t="s">
        <v>11</v>
      </c>
      <c r="D15756">
        <v>36</v>
      </c>
      <c r="E15756" s="2">
        <v>2.7233796296296298E-2</v>
      </c>
      <c r="F15756">
        <v>39.216666666666669</v>
      </c>
    </row>
    <row r="15757" spans="1:6" x14ac:dyDescent="0.25">
      <c r="A15757" s="1">
        <v>44044</v>
      </c>
      <c r="B15757" t="s">
        <v>19</v>
      </c>
      <c r="C15757" t="s">
        <v>6</v>
      </c>
      <c r="D15757">
        <v>6</v>
      </c>
      <c r="E15757" s="2">
        <v>1.1006944444444444E-2</v>
      </c>
      <c r="F15757">
        <v>15.85</v>
      </c>
    </row>
    <row r="15758" spans="1:6" x14ac:dyDescent="0.25">
      <c r="A15758" s="1">
        <v>44044</v>
      </c>
      <c r="B15758" t="s">
        <v>19</v>
      </c>
      <c r="C15758" t="s">
        <v>7</v>
      </c>
      <c r="D15758">
        <v>7</v>
      </c>
      <c r="E15758" s="2">
        <v>5.5671296296296293E-3</v>
      </c>
      <c r="F15758">
        <v>8.0166666666666675</v>
      </c>
    </row>
    <row r="15759" spans="1:6" x14ac:dyDescent="0.25">
      <c r="A15759" s="1">
        <v>44044</v>
      </c>
      <c r="B15759" t="s">
        <v>19</v>
      </c>
      <c r="C15759" t="s">
        <v>8</v>
      </c>
      <c r="D15759">
        <v>8</v>
      </c>
      <c r="E15759" s="2">
        <v>8.5995370370370375E-3</v>
      </c>
      <c r="F15759">
        <v>12.383333333333333</v>
      </c>
    </row>
    <row r="15760" spans="1:6" x14ac:dyDescent="0.25">
      <c r="A15760" s="1">
        <v>44044</v>
      </c>
      <c r="B15760" t="s">
        <v>19</v>
      </c>
      <c r="C15760" t="s">
        <v>9</v>
      </c>
      <c r="D15760">
        <v>0</v>
      </c>
      <c r="E15760" s="2">
        <v>0</v>
      </c>
      <c r="F15760">
        <v>0</v>
      </c>
    </row>
    <row r="15761" spans="1:6" x14ac:dyDescent="0.25">
      <c r="A15761" s="1">
        <v>44044</v>
      </c>
      <c r="B15761" t="s">
        <v>19</v>
      </c>
      <c r="C15761" t="s">
        <v>10</v>
      </c>
      <c r="D15761">
        <v>4</v>
      </c>
      <c r="E15761" s="2">
        <v>6.3657407407407404E-3</v>
      </c>
      <c r="F15761">
        <v>9.1666666666666661</v>
      </c>
    </row>
    <row r="15762" spans="1:6" x14ac:dyDescent="0.25">
      <c r="A15762" s="1">
        <v>44044</v>
      </c>
      <c r="B15762" t="s">
        <v>19</v>
      </c>
      <c r="C15762" t="s">
        <v>11</v>
      </c>
      <c r="D15762">
        <v>5</v>
      </c>
      <c r="E15762" s="2">
        <v>5.5787037037037038E-3</v>
      </c>
      <c r="F15762">
        <v>8.0333333333333332</v>
      </c>
    </row>
    <row r="15763" spans="1:6" x14ac:dyDescent="0.25">
      <c r="A15763" s="1">
        <v>44044</v>
      </c>
      <c r="B15763" t="s">
        <v>20</v>
      </c>
      <c r="C15763" t="s">
        <v>6</v>
      </c>
      <c r="D15763">
        <v>12</v>
      </c>
      <c r="E15763" s="2">
        <v>9.571759259259259E-3</v>
      </c>
      <c r="F15763">
        <v>13.783333333333333</v>
      </c>
    </row>
    <row r="15764" spans="1:6" x14ac:dyDescent="0.25">
      <c r="A15764" s="1">
        <v>44044</v>
      </c>
      <c r="B15764" t="s">
        <v>20</v>
      </c>
      <c r="C15764" t="s">
        <v>7</v>
      </c>
      <c r="D15764">
        <v>19</v>
      </c>
      <c r="E15764" s="2">
        <v>2.1574074074074075E-2</v>
      </c>
      <c r="F15764">
        <v>31.066666666666666</v>
      </c>
    </row>
    <row r="15765" spans="1:6" x14ac:dyDescent="0.25">
      <c r="A15765" s="1">
        <v>44044</v>
      </c>
      <c r="B15765" t="s">
        <v>20</v>
      </c>
      <c r="C15765" t="s">
        <v>8</v>
      </c>
      <c r="D15765">
        <v>11</v>
      </c>
      <c r="E15765" s="2">
        <v>1.1203703703703704E-2</v>
      </c>
      <c r="F15765">
        <v>16.133333333333333</v>
      </c>
    </row>
    <row r="15766" spans="1:6" x14ac:dyDescent="0.25">
      <c r="A15766" s="1">
        <v>44044</v>
      </c>
      <c r="B15766" t="s">
        <v>20</v>
      </c>
      <c r="C15766" t="s">
        <v>9</v>
      </c>
      <c r="D15766">
        <v>0</v>
      </c>
      <c r="E15766" s="2">
        <v>0</v>
      </c>
      <c r="F15766">
        <v>0</v>
      </c>
    </row>
    <row r="15767" spans="1:6" x14ac:dyDescent="0.25">
      <c r="A15767" s="1">
        <v>44044</v>
      </c>
      <c r="B15767" t="s">
        <v>20</v>
      </c>
      <c r="C15767" t="s">
        <v>10</v>
      </c>
      <c r="D15767">
        <v>3</v>
      </c>
      <c r="E15767" s="2">
        <v>4.178240740740741E-3</v>
      </c>
      <c r="F15767">
        <v>6.0166666666666666</v>
      </c>
    </row>
    <row r="15768" spans="1:6" x14ac:dyDescent="0.25">
      <c r="A15768" s="1">
        <v>44044</v>
      </c>
      <c r="B15768" t="s">
        <v>20</v>
      </c>
      <c r="C15768" t="s">
        <v>11</v>
      </c>
      <c r="D15768">
        <v>5</v>
      </c>
      <c r="E15768" s="2">
        <v>4.5833333333333334E-3</v>
      </c>
      <c r="F15768">
        <v>6.6</v>
      </c>
    </row>
    <row r="15769" spans="1:6" x14ac:dyDescent="0.25">
      <c r="A15769" s="1">
        <v>44044</v>
      </c>
      <c r="B15769" t="s">
        <v>21</v>
      </c>
      <c r="C15769" t="s">
        <v>6</v>
      </c>
      <c r="D15769">
        <v>190</v>
      </c>
      <c r="E15769" s="2">
        <v>0.24560185185185185</v>
      </c>
      <c r="F15769">
        <v>353.66666666666669</v>
      </c>
    </row>
    <row r="15770" spans="1:6" x14ac:dyDescent="0.25">
      <c r="A15770" s="1">
        <v>44044</v>
      </c>
      <c r="B15770" t="s">
        <v>21</v>
      </c>
      <c r="C15770" t="s">
        <v>7</v>
      </c>
      <c r="D15770">
        <v>95</v>
      </c>
      <c r="E15770" s="2">
        <v>0.11825231481481481</v>
      </c>
      <c r="F15770">
        <v>170.28333333333333</v>
      </c>
    </row>
    <row r="15771" spans="1:6" x14ac:dyDescent="0.25">
      <c r="A15771" s="1">
        <v>44044</v>
      </c>
      <c r="B15771" t="s">
        <v>21</v>
      </c>
      <c r="C15771" t="s">
        <v>8</v>
      </c>
      <c r="D15771">
        <v>78</v>
      </c>
      <c r="E15771" s="2">
        <v>8.9606481481481481E-2</v>
      </c>
      <c r="F15771">
        <v>129.03333333333333</v>
      </c>
    </row>
    <row r="15772" spans="1:6" x14ac:dyDescent="0.25">
      <c r="A15772" s="1">
        <v>44044</v>
      </c>
      <c r="B15772" t="s">
        <v>21</v>
      </c>
      <c r="C15772" t="s">
        <v>9</v>
      </c>
      <c r="D15772">
        <v>0</v>
      </c>
      <c r="E15772" s="2">
        <v>0</v>
      </c>
      <c r="F15772">
        <v>0</v>
      </c>
    </row>
    <row r="15773" spans="1:6" x14ac:dyDescent="0.25">
      <c r="A15773" s="1">
        <v>44044</v>
      </c>
      <c r="B15773" t="s">
        <v>21</v>
      </c>
      <c r="C15773" t="s">
        <v>10</v>
      </c>
      <c r="D15773">
        <v>18</v>
      </c>
      <c r="E15773" s="2">
        <v>2.9930555555555554E-2</v>
      </c>
      <c r="F15773">
        <v>43.1</v>
      </c>
    </row>
    <row r="15774" spans="1:6" x14ac:dyDescent="0.25">
      <c r="A15774" s="1">
        <v>44044</v>
      </c>
      <c r="B15774" t="s">
        <v>21</v>
      </c>
      <c r="C15774" t="s">
        <v>11</v>
      </c>
      <c r="D15774">
        <v>87</v>
      </c>
      <c r="E15774" s="2">
        <v>8.4699074074074079E-2</v>
      </c>
      <c r="F15774">
        <v>121.96666666666667</v>
      </c>
    </row>
    <row r="15775" spans="1:6" x14ac:dyDescent="0.25">
      <c r="A15775" s="1">
        <v>44044</v>
      </c>
      <c r="B15775" t="s">
        <v>22</v>
      </c>
      <c r="C15775" t="s">
        <v>6</v>
      </c>
      <c r="D15775">
        <v>11</v>
      </c>
      <c r="E15775" s="2">
        <v>2.5023148148148149E-2</v>
      </c>
      <c r="F15775">
        <v>36.033333333333331</v>
      </c>
    </row>
    <row r="15776" spans="1:6" x14ac:dyDescent="0.25">
      <c r="A15776" s="1">
        <v>44044</v>
      </c>
      <c r="B15776" t="s">
        <v>22</v>
      </c>
      <c r="C15776" t="s">
        <v>7</v>
      </c>
      <c r="D15776">
        <v>5</v>
      </c>
      <c r="E15776" s="2">
        <v>7.8356481481481489E-3</v>
      </c>
      <c r="F15776">
        <v>11.283333333333333</v>
      </c>
    </row>
    <row r="15777" spans="1:6" x14ac:dyDescent="0.25">
      <c r="A15777" s="1">
        <v>44044</v>
      </c>
      <c r="B15777" t="s">
        <v>22</v>
      </c>
      <c r="C15777" t="s">
        <v>8</v>
      </c>
      <c r="D15777">
        <v>2</v>
      </c>
      <c r="E15777" s="2">
        <v>3.9120370370370368E-3</v>
      </c>
      <c r="F15777">
        <v>5.6333333333333329</v>
      </c>
    </row>
    <row r="15778" spans="1:6" x14ac:dyDescent="0.25">
      <c r="A15778" s="1">
        <v>44044</v>
      </c>
      <c r="B15778" t="s">
        <v>22</v>
      </c>
      <c r="C15778" t="s">
        <v>9</v>
      </c>
      <c r="D15778">
        <v>0</v>
      </c>
      <c r="E15778" s="2">
        <v>0</v>
      </c>
      <c r="F15778">
        <v>0</v>
      </c>
    </row>
    <row r="15779" spans="1:6" x14ac:dyDescent="0.25">
      <c r="A15779" s="1">
        <v>44044</v>
      </c>
      <c r="B15779" t="s">
        <v>22</v>
      </c>
      <c r="C15779" t="s">
        <v>10</v>
      </c>
      <c r="D15779">
        <v>8</v>
      </c>
      <c r="E15779" s="2">
        <v>4.178240740740741E-3</v>
      </c>
      <c r="F15779">
        <v>6.0166666666666666</v>
      </c>
    </row>
    <row r="15780" spans="1:6" x14ac:dyDescent="0.25">
      <c r="A15780" s="1">
        <v>44044</v>
      </c>
      <c r="B15780" t="s">
        <v>22</v>
      </c>
      <c r="C15780" t="s">
        <v>11</v>
      </c>
      <c r="D15780">
        <v>9</v>
      </c>
      <c r="E15780" s="2">
        <v>9.780092592592592E-3</v>
      </c>
      <c r="F15780">
        <v>14.083333333333334</v>
      </c>
    </row>
    <row r="15781" spans="1:6" x14ac:dyDescent="0.25">
      <c r="A15781" s="1">
        <v>44044</v>
      </c>
      <c r="B15781" t="s">
        <v>23</v>
      </c>
      <c r="C15781" t="s">
        <v>6</v>
      </c>
      <c r="D15781">
        <v>53</v>
      </c>
      <c r="E15781" s="2">
        <v>9.3912037037037044E-2</v>
      </c>
      <c r="F15781">
        <v>135.23333333333332</v>
      </c>
    </row>
    <row r="15782" spans="1:6" x14ac:dyDescent="0.25">
      <c r="A15782" s="1">
        <v>44044</v>
      </c>
      <c r="B15782" t="s">
        <v>23</v>
      </c>
      <c r="C15782" t="s">
        <v>7</v>
      </c>
      <c r="D15782">
        <v>60</v>
      </c>
      <c r="E15782" s="2">
        <v>8.7152777777777773E-2</v>
      </c>
      <c r="F15782">
        <v>125.5</v>
      </c>
    </row>
    <row r="15783" spans="1:6" x14ac:dyDescent="0.25">
      <c r="A15783" s="1">
        <v>44044</v>
      </c>
      <c r="B15783" t="s">
        <v>23</v>
      </c>
      <c r="C15783" t="s">
        <v>8</v>
      </c>
      <c r="D15783">
        <v>36</v>
      </c>
      <c r="E15783" s="2">
        <v>4.3020833333333335E-2</v>
      </c>
      <c r="F15783">
        <v>61.95</v>
      </c>
    </row>
    <row r="15784" spans="1:6" x14ac:dyDescent="0.25">
      <c r="A15784" s="1">
        <v>44044</v>
      </c>
      <c r="B15784" t="s">
        <v>23</v>
      </c>
      <c r="C15784" t="s">
        <v>9</v>
      </c>
      <c r="D15784">
        <v>0</v>
      </c>
      <c r="E15784" s="2">
        <v>0</v>
      </c>
      <c r="F15784">
        <v>0</v>
      </c>
    </row>
    <row r="15785" spans="1:6" x14ac:dyDescent="0.25">
      <c r="A15785" s="1">
        <v>44044</v>
      </c>
      <c r="B15785" t="s">
        <v>23</v>
      </c>
      <c r="C15785" t="s">
        <v>10</v>
      </c>
      <c r="D15785">
        <v>24</v>
      </c>
      <c r="E15785" s="2">
        <v>3.6597222222222225E-2</v>
      </c>
      <c r="F15785">
        <v>52.7</v>
      </c>
    </row>
    <row r="15786" spans="1:6" x14ac:dyDescent="0.25">
      <c r="A15786" s="1">
        <v>44044</v>
      </c>
      <c r="B15786" t="s">
        <v>23</v>
      </c>
      <c r="C15786" t="s">
        <v>11</v>
      </c>
      <c r="D15786">
        <v>50</v>
      </c>
      <c r="E15786" s="2">
        <v>5.1261574074074077E-2</v>
      </c>
      <c r="F15786">
        <v>73.816666666666663</v>
      </c>
    </row>
    <row r="15787" spans="1:6" x14ac:dyDescent="0.25">
      <c r="A15787" s="1">
        <v>44044</v>
      </c>
      <c r="B15787" t="s">
        <v>24</v>
      </c>
      <c r="C15787" t="s">
        <v>6</v>
      </c>
      <c r="D15787">
        <v>23</v>
      </c>
      <c r="E15787" s="2">
        <v>2.0497685185185185E-2</v>
      </c>
      <c r="F15787">
        <v>29.516666666666666</v>
      </c>
    </row>
    <row r="15788" spans="1:6" x14ac:dyDescent="0.25">
      <c r="A15788" s="1">
        <v>44044</v>
      </c>
      <c r="B15788" t="s">
        <v>24</v>
      </c>
      <c r="C15788" t="s">
        <v>7</v>
      </c>
      <c r="D15788">
        <v>30</v>
      </c>
      <c r="E15788" s="2">
        <v>2.3206018518518518E-2</v>
      </c>
      <c r="F15788">
        <v>33.416666666666664</v>
      </c>
    </row>
    <row r="15789" spans="1:6" x14ac:dyDescent="0.25">
      <c r="A15789" s="1">
        <v>44044</v>
      </c>
      <c r="B15789" t="s">
        <v>24</v>
      </c>
      <c r="C15789" t="s">
        <v>8</v>
      </c>
      <c r="D15789">
        <v>29</v>
      </c>
      <c r="E15789" s="2">
        <v>2.7407407407407408E-2</v>
      </c>
      <c r="F15789">
        <v>39.466666666666669</v>
      </c>
    </row>
    <row r="15790" spans="1:6" x14ac:dyDescent="0.25">
      <c r="A15790" s="1">
        <v>44044</v>
      </c>
      <c r="B15790" t="s">
        <v>24</v>
      </c>
      <c r="C15790" t="s">
        <v>9</v>
      </c>
      <c r="D15790">
        <v>0</v>
      </c>
      <c r="E15790" s="2">
        <v>0</v>
      </c>
      <c r="F15790">
        <v>0</v>
      </c>
    </row>
    <row r="15791" spans="1:6" x14ac:dyDescent="0.25">
      <c r="A15791" s="1">
        <v>44044</v>
      </c>
      <c r="B15791" t="s">
        <v>24</v>
      </c>
      <c r="C15791" t="s">
        <v>10</v>
      </c>
      <c r="D15791">
        <v>1</v>
      </c>
      <c r="E15791" s="2">
        <v>1.6666666666666668E-3</v>
      </c>
      <c r="F15791">
        <v>2.4</v>
      </c>
    </row>
    <row r="15792" spans="1:6" x14ac:dyDescent="0.25">
      <c r="A15792" s="1">
        <v>44044</v>
      </c>
      <c r="B15792" t="s">
        <v>24</v>
      </c>
      <c r="C15792" t="s">
        <v>11</v>
      </c>
      <c r="D15792">
        <v>26</v>
      </c>
      <c r="E15792" s="2">
        <v>2.480324074074074E-2</v>
      </c>
      <c r="F15792">
        <v>35.716666666666669</v>
      </c>
    </row>
    <row r="15793" spans="1:6" x14ac:dyDescent="0.25">
      <c r="A15793" s="1">
        <v>44075</v>
      </c>
      <c r="B15793" t="s">
        <v>5</v>
      </c>
      <c r="C15793" t="s">
        <v>6</v>
      </c>
      <c r="D15793">
        <v>47</v>
      </c>
      <c r="E15793" s="2">
        <v>4.9641203703703701E-2</v>
      </c>
      <c r="F15793">
        <v>71.483333333333334</v>
      </c>
    </row>
    <row r="15794" spans="1:6" x14ac:dyDescent="0.25">
      <c r="A15794" s="1">
        <v>44075</v>
      </c>
      <c r="B15794" t="s">
        <v>5</v>
      </c>
      <c r="C15794" t="s">
        <v>7</v>
      </c>
      <c r="D15794">
        <v>34</v>
      </c>
      <c r="E15794" s="2">
        <v>4.0208333333333332E-2</v>
      </c>
      <c r="F15794">
        <v>57.9</v>
      </c>
    </row>
    <row r="15795" spans="1:6" x14ac:dyDescent="0.25">
      <c r="A15795" s="1">
        <v>44075</v>
      </c>
      <c r="B15795" t="s">
        <v>5</v>
      </c>
      <c r="C15795" t="s">
        <v>8</v>
      </c>
      <c r="D15795">
        <v>40</v>
      </c>
      <c r="E15795" s="2">
        <v>3.4733796296296297E-2</v>
      </c>
      <c r="F15795">
        <v>50.016666666666666</v>
      </c>
    </row>
    <row r="15796" spans="1:6" x14ac:dyDescent="0.25">
      <c r="A15796" s="1">
        <v>44075</v>
      </c>
      <c r="B15796" t="s">
        <v>5</v>
      </c>
      <c r="C15796" t="s">
        <v>9</v>
      </c>
      <c r="D15796">
        <v>0</v>
      </c>
      <c r="E15796" s="2">
        <v>0</v>
      </c>
      <c r="F15796">
        <v>0</v>
      </c>
    </row>
    <row r="15797" spans="1:6" x14ac:dyDescent="0.25">
      <c r="A15797" s="1">
        <v>44075</v>
      </c>
      <c r="B15797" t="s">
        <v>5</v>
      </c>
      <c r="C15797" t="s">
        <v>10</v>
      </c>
      <c r="D15797">
        <v>7</v>
      </c>
      <c r="E15797" s="2">
        <v>1.0115740740740741E-2</v>
      </c>
      <c r="F15797">
        <v>14.566666666666666</v>
      </c>
    </row>
    <row r="15798" spans="1:6" x14ac:dyDescent="0.25">
      <c r="A15798" s="1">
        <v>44075</v>
      </c>
      <c r="B15798" t="s">
        <v>5</v>
      </c>
      <c r="C15798" t="s">
        <v>11</v>
      </c>
      <c r="D15798">
        <v>45</v>
      </c>
      <c r="E15798" s="2">
        <v>3.4513888888888886E-2</v>
      </c>
      <c r="F15798">
        <v>49.7</v>
      </c>
    </row>
    <row r="15799" spans="1:6" x14ac:dyDescent="0.25">
      <c r="A15799" s="1">
        <v>44075</v>
      </c>
      <c r="B15799" t="s">
        <v>12</v>
      </c>
      <c r="C15799" t="s">
        <v>6</v>
      </c>
      <c r="D15799">
        <v>21</v>
      </c>
      <c r="E15799" s="2">
        <v>4.2129629629629628E-2</v>
      </c>
      <c r="F15799">
        <v>60.666666666666664</v>
      </c>
    </row>
    <row r="15800" spans="1:6" x14ac:dyDescent="0.25">
      <c r="A15800" s="1">
        <v>44075</v>
      </c>
      <c r="B15800" t="s">
        <v>12</v>
      </c>
      <c r="C15800" t="s">
        <v>7</v>
      </c>
      <c r="D15800">
        <v>24</v>
      </c>
      <c r="E15800" s="2">
        <v>4.2777777777777776E-2</v>
      </c>
      <c r="F15800">
        <v>61.6</v>
      </c>
    </row>
    <row r="15801" spans="1:6" x14ac:dyDescent="0.25">
      <c r="A15801" s="1">
        <v>44075</v>
      </c>
      <c r="B15801" t="s">
        <v>12</v>
      </c>
      <c r="C15801" t="s">
        <v>8</v>
      </c>
      <c r="D15801">
        <v>22</v>
      </c>
      <c r="E15801" s="2">
        <v>3.1585648148148147E-2</v>
      </c>
      <c r="F15801">
        <v>45.483333333333334</v>
      </c>
    </row>
    <row r="15802" spans="1:6" x14ac:dyDescent="0.25">
      <c r="A15802" s="1">
        <v>44075</v>
      </c>
      <c r="B15802" t="s">
        <v>12</v>
      </c>
      <c r="C15802" t="s">
        <v>9</v>
      </c>
      <c r="D15802">
        <v>0</v>
      </c>
      <c r="E15802" s="2">
        <v>0</v>
      </c>
      <c r="F15802">
        <v>0</v>
      </c>
    </row>
    <row r="15803" spans="1:6" x14ac:dyDescent="0.25">
      <c r="A15803" s="1">
        <v>44075</v>
      </c>
      <c r="B15803" t="s">
        <v>12</v>
      </c>
      <c r="C15803" t="s">
        <v>10</v>
      </c>
      <c r="D15803">
        <v>25</v>
      </c>
      <c r="E15803" s="2">
        <v>4.6226851851851852E-2</v>
      </c>
      <c r="F15803">
        <v>66.566666666666663</v>
      </c>
    </row>
    <row r="15804" spans="1:6" x14ac:dyDescent="0.25">
      <c r="A15804" s="1">
        <v>44075</v>
      </c>
      <c r="B15804" t="s">
        <v>12</v>
      </c>
      <c r="C15804" t="s">
        <v>11</v>
      </c>
      <c r="D15804">
        <v>49</v>
      </c>
      <c r="E15804" s="2">
        <v>6.4826388888888892E-2</v>
      </c>
      <c r="F15804">
        <v>93.35</v>
      </c>
    </row>
    <row r="15805" spans="1:6" x14ac:dyDescent="0.25">
      <c r="A15805" s="1">
        <v>44075</v>
      </c>
      <c r="B15805" t="s">
        <v>13</v>
      </c>
      <c r="C15805" t="s">
        <v>6</v>
      </c>
      <c r="D15805">
        <v>86</v>
      </c>
      <c r="E15805" s="2">
        <v>0.15989583333333332</v>
      </c>
      <c r="F15805">
        <v>230.25</v>
      </c>
    </row>
    <row r="15806" spans="1:6" x14ac:dyDescent="0.25">
      <c r="A15806" s="1">
        <v>44075</v>
      </c>
      <c r="B15806" t="s">
        <v>13</v>
      </c>
      <c r="C15806" t="s">
        <v>7</v>
      </c>
      <c r="D15806">
        <v>99</v>
      </c>
      <c r="E15806" s="2">
        <v>0.15039351851851851</v>
      </c>
      <c r="F15806">
        <v>216.56666666666666</v>
      </c>
    </row>
    <row r="15807" spans="1:6" x14ac:dyDescent="0.25">
      <c r="A15807" s="1">
        <v>44075</v>
      </c>
      <c r="B15807" t="s">
        <v>13</v>
      </c>
      <c r="C15807" t="s">
        <v>8</v>
      </c>
      <c r="D15807">
        <v>58</v>
      </c>
      <c r="E15807" s="2">
        <v>6.7488425925925924E-2</v>
      </c>
      <c r="F15807">
        <v>97.183333333333337</v>
      </c>
    </row>
    <row r="15808" spans="1:6" x14ac:dyDescent="0.25">
      <c r="A15808" s="1">
        <v>44075</v>
      </c>
      <c r="B15808" t="s">
        <v>13</v>
      </c>
      <c r="C15808" t="s">
        <v>9</v>
      </c>
      <c r="D15808">
        <v>0</v>
      </c>
      <c r="E15808" s="2">
        <v>0</v>
      </c>
      <c r="F15808">
        <v>0</v>
      </c>
    </row>
    <row r="15809" spans="1:6" x14ac:dyDescent="0.25">
      <c r="A15809" s="1">
        <v>44075</v>
      </c>
      <c r="B15809" t="s">
        <v>13</v>
      </c>
      <c r="C15809" t="s">
        <v>10</v>
      </c>
      <c r="D15809">
        <v>7</v>
      </c>
      <c r="E15809" s="2">
        <v>1.1724537037037037E-2</v>
      </c>
      <c r="F15809">
        <v>16.883333333333333</v>
      </c>
    </row>
    <row r="15810" spans="1:6" x14ac:dyDescent="0.25">
      <c r="A15810" s="1">
        <v>44075</v>
      </c>
      <c r="B15810" t="s">
        <v>13</v>
      </c>
      <c r="C15810" t="s">
        <v>11</v>
      </c>
      <c r="D15810">
        <v>43</v>
      </c>
      <c r="E15810" s="2">
        <v>5.0324074074074077E-2</v>
      </c>
      <c r="F15810">
        <v>72.466666666666669</v>
      </c>
    </row>
    <row r="15811" spans="1:6" x14ac:dyDescent="0.25">
      <c r="A15811" s="1">
        <v>44075</v>
      </c>
      <c r="B15811" t="s">
        <v>14</v>
      </c>
      <c r="C15811" t="s">
        <v>6</v>
      </c>
      <c r="D15811">
        <v>36</v>
      </c>
      <c r="E15811" s="2">
        <v>5.4976851851851853E-2</v>
      </c>
      <c r="F15811">
        <v>79.166666666666671</v>
      </c>
    </row>
    <row r="15812" spans="1:6" x14ac:dyDescent="0.25">
      <c r="A15812" s="1">
        <v>44075</v>
      </c>
      <c r="B15812" t="s">
        <v>14</v>
      </c>
      <c r="C15812" t="s">
        <v>7</v>
      </c>
      <c r="D15812">
        <v>25</v>
      </c>
      <c r="E15812" s="2">
        <v>3.6793981481481483E-2</v>
      </c>
      <c r="F15812">
        <v>52.983333333333334</v>
      </c>
    </row>
    <row r="15813" spans="1:6" x14ac:dyDescent="0.25">
      <c r="A15813" s="1">
        <v>44075</v>
      </c>
      <c r="B15813" t="s">
        <v>14</v>
      </c>
      <c r="C15813" t="s">
        <v>8</v>
      </c>
      <c r="D15813">
        <v>20</v>
      </c>
      <c r="E15813" s="2">
        <v>2.5694444444444443E-2</v>
      </c>
      <c r="F15813">
        <v>37</v>
      </c>
    </row>
    <row r="15814" spans="1:6" x14ac:dyDescent="0.25">
      <c r="A15814" s="1">
        <v>44075</v>
      </c>
      <c r="B15814" t="s">
        <v>14</v>
      </c>
      <c r="C15814" t="s">
        <v>9</v>
      </c>
      <c r="D15814">
        <v>0</v>
      </c>
      <c r="E15814" s="2">
        <v>0</v>
      </c>
      <c r="F15814">
        <v>0</v>
      </c>
    </row>
    <row r="15815" spans="1:6" x14ac:dyDescent="0.25">
      <c r="A15815" s="1">
        <v>44075</v>
      </c>
      <c r="B15815" t="s">
        <v>14</v>
      </c>
      <c r="C15815" t="s">
        <v>10</v>
      </c>
      <c r="D15815">
        <v>0</v>
      </c>
      <c r="E15815" s="2">
        <v>0</v>
      </c>
      <c r="F15815">
        <v>0</v>
      </c>
    </row>
    <row r="15816" spans="1:6" x14ac:dyDescent="0.25">
      <c r="A15816" s="1">
        <v>44075</v>
      </c>
      <c r="B15816" t="s">
        <v>14</v>
      </c>
      <c r="C15816" t="s">
        <v>11</v>
      </c>
      <c r="D15816">
        <v>23</v>
      </c>
      <c r="E15816" s="2">
        <v>3.050925925925926E-2</v>
      </c>
      <c r="F15816">
        <v>43.93333333333333</v>
      </c>
    </row>
    <row r="15817" spans="1:6" x14ac:dyDescent="0.25">
      <c r="A15817" s="1">
        <v>44075</v>
      </c>
      <c r="B15817" t="s">
        <v>15</v>
      </c>
      <c r="C15817" t="s">
        <v>6</v>
      </c>
      <c r="D15817">
        <v>36</v>
      </c>
      <c r="E15817" s="2">
        <v>6.2488425925925926E-2</v>
      </c>
      <c r="F15817">
        <v>89.983333333333334</v>
      </c>
    </row>
    <row r="15818" spans="1:6" x14ac:dyDescent="0.25">
      <c r="A15818" s="1">
        <v>44075</v>
      </c>
      <c r="B15818" t="s">
        <v>15</v>
      </c>
      <c r="C15818" t="s">
        <v>7</v>
      </c>
      <c r="D15818">
        <v>35</v>
      </c>
      <c r="E15818" s="2">
        <v>5.2638888888888888E-2</v>
      </c>
      <c r="F15818">
        <v>75.8</v>
      </c>
    </row>
    <row r="15819" spans="1:6" x14ac:dyDescent="0.25">
      <c r="A15819" s="1">
        <v>44075</v>
      </c>
      <c r="B15819" t="s">
        <v>15</v>
      </c>
      <c r="C15819" t="s">
        <v>8</v>
      </c>
      <c r="D15819">
        <v>14</v>
      </c>
      <c r="E15819" s="2">
        <v>1.7835648148148149E-2</v>
      </c>
      <c r="F15819">
        <v>25.683333333333334</v>
      </c>
    </row>
    <row r="15820" spans="1:6" x14ac:dyDescent="0.25">
      <c r="A15820" s="1">
        <v>44075</v>
      </c>
      <c r="B15820" t="s">
        <v>15</v>
      </c>
      <c r="C15820" t="s">
        <v>9</v>
      </c>
      <c r="D15820">
        <v>0</v>
      </c>
      <c r="E15820" s="2">
        <v>0</v>
      </c>
      <c r="F15820">
        <v>0</v>
      </c>
    </row>
    <row r="15821" spans="1:6" x14ac:dyDescent="0.25">
      <c r="A15821" s="1">
        <v>44075</v>
      </c>
      <c r="B15821" t="s">
        <v>15</v>
      </c>
      <c r="C15821" t="s">
        <v>10</v>
      </c>
      <c r="D15821">
        <v>14</v>
      </c>
      <c r="E15821" s="2">
        <v>2.0324074074074074E-2</v>
      </c>
      <c r="F15821">
        <v>29.266666666666666</v>
      </c>
    </row>
    <row r="15822" spans="1:6" x14ac:dyDescent="0.25">
      <c r="A15822" s="1">
        <v>44075</v>
      </c>
      <c r="B15822" t="s">
        <v>15</v>
      </c>
      <c r="C15822" t="s">
        <v>11</v>
      </c>
      <c r="D15822">
        <v>13</v>
      </c>
      <c r="E15822" s="2">
        <v>1.3171296296296296E-2</v>
      </c>
      <c r="F15822">
        <v>18.966666666666665</v>
      </c>
    </row>
    <row r="15823" spans="1:6" x14ac:dyDescent="0.25">
      <c r="A15823" s="1">
        <v>44075</v>
      </c>
      <c r="B15823" t="s">
        <v>16</v>
      </c>
      <c r="C15823" t="s">
        <v>6</v>
      </c>
      <c r="D15823">
        <v>28</v>
      </c>
      <c r="E15823" s="2">
        <v>4.1273148148148149E-2</v>
      </c>
      <c r="F15823">
        <v>59.43333333333333</v>
      </c>
    </row>
    <row r="15824" spans="1:6" x14ac:dyDescent="0.25">
      <c r="A15824" s="1">
        <v>44075</v>
      </c>
      <c r="B15824" t="s">
        <v>16</v>
      </c>
      <c r="C15824" t="s">
        <v>7</v>
      </c>
      <c r="D15824">
        <v>13</v>
      </c>
      <c r="E15824" s="2">
        <v>1.5231481481481481E-2</v>
      </c>
      <c r="F15824">
        <v>21.933333333333334</v>
      </c>
    </row>
    <row r="15825" spans="1:6" x14ac:dyDescent="0.25">
      <c r="A15825" s="1">
        <v>44075</v>
      </c>
      <c r="B15825" t="s">
        <v>16</v>
      </c>
      <c r="C15825" t="s">
        <v>8</v>
      </c>
      <c r="D15825">
        <v>15</v>
      </c>
      <c r="E15825" s="2">
        <v>1.7488425925925925E-2</v>
      </c>
      <c r="F15825">
        <v>25.183333333333334</v>
      </c>
    </row>
    <row r="15826" spans="1:6" x14ac:dyDescent="0.25">
      <c r="A15826" s="1">
        <v>44075</v>
      </c>
      <c r="B15826" t="s">
        <v>16</v>
      </c>
      <c r="C15826" t="s">
        <v>9</v>
      </c>
      <c r="D15826">
        <v>0</v>
      </c>
      <c r="E15826" s="2">
        <v>0</v>
      </c>
      <c r="F15826">
        <v>0</v>
      </c>
    </row>
    <row r="15827" spans="1:6" x14ac:dyDescent="0.25">
      <c r="A15827" s="1">
        <v>44075</v>
      </c>
      <c r="B15827" t="s">
        <v>16</v>
      </c>
      <c r="C15827" t="s">
        <v>10</v>
      </c>
      <c r="D15827">
        <v>4</v>
      </c>
      <c r="E15827" s="2">
        <v>5.9837962962962961E-3</v>
      </c>
      <c r="F15827">
        <v>8.6166666666666671</v>
      </c>
    </row>
    <row r="15828" spans="1:6" x14ac:dyDescent="0.25">
      <c r="A15828" s="1">
        <v>44075</v>
      </c>
      <c r="B15828" t="s">
        <v>16</v>
      </c>
      <c r="C15828" t="s">
        <v>11</v>
      </c>
      <c r="D15828">
        <v>27</v>
      </c>
      <c r="E15828" s="2">
        <v>2.539351851851852E-2</v>
      </c>
      <c r="F15828">
        <v>36.56666666666667</v>
      </c>
    </row>
    <row r="15829" spans="1:6" x14ac:dyDescent="0.25">
      <c r="A15829" s="1">
        <v>44075</v>
      </c>
      <c r="B15829" t="s">
        <v>17</v>
      </c>
      <c r="C15829" t="s">
        <v>6</v>
      </c>
      <c r="D15829">
        <v>14</v>
      </c>
      <c r="E15829" s="2">
        <v>2.3055555555555555E-2</v>
      </c>
      <c r="F15829">
        <v>33.200000000000003</v>
      </c>
    </row>
    <row r="15830" spans="1:6" x14ac:dyDescent="0.25">
      <c r="A15830" s="1">
        <v>44075</v>
      </c>
      <c r="B15830" t="s">
        <v>17</v>
      </c>
      <c r="C15830" t="s">
        <v>7</v>
      </c>
      <c r="D15830">
        <v>21</v>
      </c>
      <c r="E15830" s="2">
        <v>2.042824074074074E-2</v>
      </c>
      <c r="F15830">
        <v>29.416666666666668</v>
      </c>
    </row>
    <row r="15831" spans="1:6" x14ac:dyDescent="0.25">
      <c r="A15831" s="1">
        <v>44075</v>
      </c>
      <c r="B15831" t="s">
        <v>17</v>
      </c>
      <c r="C15831" t="s">
        <v>8</v>
      </c>
      <c r="D15831">
        <v>13</v>
      </c>
      <c r="E15831" s="2">
        <v>1.4513888888888889E-2</v>
      </c>
      <c r="F15831">
        <v>20.9</v>
      </c>
    </row>
    <row r="15832" spans="1:6" x14ac:dyDescent="0.25">
      <c r="A15832" s="1">
        <v>44075</v>
      </c>
      <c r="B15832" t="s">
        <v>17</v>
      </c>
      <c r="C15832" t="s">
        <v>9</v>
      </c>
      <c r="D15832">
        <v>0</v>
      </c>
      <c r="E15832" s="2">
        <v>0</v>
      </c>
      <c r="F15832">
        <v>0</v>
      </c>
    </row>
    <row r="15833" spans="1:6" x14ac:dyDescent="0.25">
      <c r="A15833" s="1">
        <v>44075</v>
      </c>
      <c r="B15833" t="s">
        <v>17</v>
      </c>
      <c r="C15833" t="s">
        <v>10</v>
      </c>
      <c r="D15833">
        <v>4</v>
      </c>
      <c r="E15833" s="2">
        <v>4.8148148148148152E-3</v>
      </c>
      <c r="F15833">
        <v>6.9333333333333336</v>
      </c>
    </row>
    <row r="15834" spans="1:6" x14ac:dyDescent="0.25">
      <c r="A15834" s="1">
        <v>44075</v>
      </c>
      <c r="B15834" t="s">
        <v>17</v>
      </c>
      <c r="C15834" t="s">
        <v>11</v>
      </c>
      <c r="D15834">
        <v>11</v>
      </c>
      <c r="E15834" s="2">
        <v>1.1111111111111112E-2</v>
      </c>
      <c r="F15834">
        <v>16</v>
      </c>
    </row>
    <row r="15835" spans="1:6" x14ac:dyDescent="0.25">
      <c r="A15835" s="1">
        <v>44075</v>
      </c>
      <c r="B15835" t="s">
        <v>18</v>
      </c>
      <c r="C15835" t="s">
        <v>6</v>
      </c>
      <c r="D15835">
        <v>30</v>
      </c>
      <c r="E15835" s="2">
        <v>4.2245370370370371E-2</v>
      </c>
      <c r="F15835">
        <v>60.833333333333336</v>
      </c>
    </row>
    <row r="15836" spans="1:6" x14ac:dyDescent="0.25">
      <c r="A15836" s="1">
        <v>44075</v>
      </c>
      <c r="B15836" t="s">
        <v>18</v>
      </c>
      <c r="C15836" t="s">
        <v>7</v>
      </c>
      <c r="D15836">
        <v>47</v>
      </c>
      <c r="E15836" s="2">
        <v>4.445601851851852E-2</v>
      </c>
      <c r="F15836">
        <v>64.016666666666666</v>
      </c>
    </row>
    <row r="15837" spans="1:6" x14ac:dyDescent="0.25">
      <c r="A15837" s="1">
        <v>44075</v>
      </c>
      <c r="B15837" t="s">
        <v>18</v>
      </c>
      <c r="C15837" t="s">
        <v>8</v>
      </c>
      <c r="D15837">
        <v>17</v>
      </c>
      <c r="E15837" s="2">
        <v>1.3333333333333334E-2</v>
      </c>
      <c r="F15837">
        <v>19.2</v>
      </c>
    </row>
    <row r="15838" spans="1:6" x14ac:dyDescent="0.25">
      <c r="A15838" s="1">
        <v>44075</v>
      </c>
      <c r="B15838" t="s">
        <v>18</v>
      </c>
      <c r="C15838" t="s">
        <v>9</v>
      </c>
      <c r="D15838">
        <v>0</v>
      </c>
      <c r="E15838" s="2">
        <v>0</v>
      </c>
      <c r="F15838">
        <v>0</v>
      </c>
    </row>
    <row r="15839" spans="1:6" x14ac:dyDescent="0.25">
      <c r="A15839" s="1">
        <v>44075</v>
      </c>
      <c r="B15839" t="s">
        <v>18</v>
      </c>
      <c r="C15839" t="s">
        <v>10</v>
      </c>
      <c r="D15839">
        <v>128</v>
      </c>
      <c r="E15839" s="2">
        <v>0.17656250000000001</v>
      </c>
      <c r="F15839">
        <v>254.25</v>
      </c>
    </row>
    <row r="15840" spans="1:6" x14ac:dyDescent="0.25">
      <c r="A15840" s="1">
        <v>44075</v>
      </c>
      <c r="B15840" t="s">
        <v>18</v>
      </c>
      <c r="C15840" t="s">
        <v>11</v>
      </c>
      <c r="D15840">
        <v>42</v>
      </c>
      <c r="E15840" s="2">
        <v>2.5092592592592593E-2</v>
      </c>
      <c r="F15840">
        <v>36.133333333333333</v>
      </c>
    </row>
    <row r="15841" spans="1:6" x14ac:dyDescent="0.25">
      <c r="A15841" s="1">
        <v>44075</v>
      </c>
      <c r="B15841" t="s">
        <v>19</v>
      </c>
      <c r="C15841" t="s">
        <v>6</v>
      </c>
      <c r="D15841">
        <v>12</v>
      </c>
      <c r="E15841" s="2">
        <v>1.8622685185185187E-2</v>
      </c>
      <c r="F15841">
        <v>26.816666666666666</v>
      </c>
    </row>
    <row r="15842" spans="1:6" x14ac:dyDescent="0.25">
      <c r="A15842" s="1">
        <v>44075</v>
      </c>
      <c r="B15842" t="s">
        <v>19</v>
      </c>
      <c r="C15842" t="s">
        <v>7</v>
      </c>
      <c r="D15842">
        <v>28</v>
      </c>
      <c r="E15842" s="2">
        <v>3.9386574074074074E-2</v>
      </c>
      <c r="F15842">
        <v>56.716666666666669</v>
      </c>
    </row>
    <row r="15843" spans="1:6" x14ac:dyDescent="0.25">
      <c r="A15843" s="1">
        <v>44075</v>
      </c>
      <c r="B15843" t="s">
        <v>19</v>
      </c>
      <c r="C15843" t="s">
        <v>8</v>
      </c>
      <c r="D15843">
        <v>15</v>
      </c>
      <c r="E15843" s="2">
        <v>2.1805555555555557E-2</v>
      </c>
      <c r="F15843">
        <v>31.4</v>
      </c>
    </row>
    <row r="15844" spans="1:6" x14ac:dyDescent="0.25">
      <c r="A15844" s="1">
        <v>44075</v>
      </c>
      <c r="B15844" t="s">
        <v>19</v>
      </c>
      <c r="C15844" t="s">
        <v>9</v>
      </c>
      <c r="D15844">
        <v>0</v>
      </c>
      <c r="E15844" s="2">
        <v>0</v>
      </c>
      <c r="F15844">
        <v>0</v>
      </c>
    </row>
    <row r="15845" spans="1:6" x14ac:dyDescent="0.25">
      <c r="A15845" s="1">
        <v>44075</v>
      </c>
      <c r="B15845" t="s">
        <v>19</v>
      </c>
      <c r="C15845" t="s">
        <v>10</v>
      </c>
      <c r="D15845">
        <v>11</v>
      </c>
      <c r="E15845" s="2">
        <v>1.6018518518518519E-2</v>
      </c>
      <c r="F15845">
        <v>23.066666666666666</v>
      </c>
    </row>
    <row r="15846" spans="1:6" x14ac:dyDescent="0.25">
      <c r="A15846" s="1">
        <v>44075</v>
      </c>
      <c r="B15846" t="s">
        <v>19</v>
      </c>
      <c r="C15846" t="s">
        <v>11</v>
      </c>
      <c r="D15846">
        <v>22</v>
      </c>
      <c r="E15846" s="2">
        <v>2.1898148148148149E-2</v>
      </c>
      <c r="F15846">
        <v>31.533333333333335</v>
      </c>
    </row>
    <row r="15847" spans="1:6" x14ac:dyDescent="0.25">
      <c r="A15847" s="1">
        <v>44075</v>
      </c>
      <c r="B15847" t="s">
        <v>20</v>
      </c>
      <c r="C15847" t="s">
        <v>6</v>
      </c>
      <c r="D15847">
        <v>33</v>
      </c>
      <c r="E15847" s="2">
        <v>5.019675925925926E-2</v>
      </c>
      <c r="F15847">
        <v>72.283333333333331</v>
      </c>
    </row>
    <row r="15848" spans="1:6" x14ac:dyDescent="0.25">
      <c r="A15848" s="1">
        <v>44075</v>
      </c>
      <c r="B15848" t="s">
        <v>20</v>
      </c>
      <c r="C15848" t="s">
        <v>7</v>
      </c>
      <c r="D15848">
        <v>39</v>
      </c>
      <c r="E15848" s="2">
        <v>5.5150462962962964E-2</v>
      </c>
      <c r="F15848">
        <v>79.416666666666671</v>
      </c>
    </row>
    <row r="15849" spans="1:6" x14ac:dyDescent="0.25">
      <c r="A15849" s="1">
        <v>44075</v>
      </c>
      <c r="B15849" t="s">
        <v>20</v>
      </c>
      <c r="C15849" t="s">
        <v>8</v>
      </c>
      <c r="D15849">
        <v>42</v>
      </c>
      <c r="E15849" s="2">
        <v>0.05</v>
      </c>
      <c r="F15849">
        <v>72</v>
      </c>
    </row>
    <row r="15850" spans="1:6" x14ac:dyDescent="0.25">
      <c r="A15850" s="1">
        <v>44075</v>
      </c>
      <c r="B15850" t="s">
        <v>20</v>
      </c>
      <c r="C15850" t="s">
        <v>9</v>
      </c>
      <c r="D15850">
        <v>0</v>
      </c>
      <c r="E15850" s="2">
        <v>0</v>
      </c>
      <c r="F15850">
        <v>0</v>
      </c>
    </row>
    <row r="15851" spans="1:6" x14ac:dyDescent="0.25">
      <c r="A15851" s="1">
        <v>44075</v>
      </c>
      <c r="B15851" t="s">
        <v>20</v>
      </c>
      <c r="C15851" t="s">
        <v>10</v>
      </c>
      <c r="D15851">
        <v>11</v>
      </c>
      <c r="E15851" s="2">
        <v>1.4166666666666666E-2</v>
      </c>
      <c r="F15851">
        <v>20.399999999999999</v>
      </c>
    </row>
    <row r="15852" spans="1:6" x14ac:dyDescent="0.25">
      <c r="A15852" s="1">
        <v>44075</v>
      </c>
      <c r="B15852" t="s">
        <v>20</v>
      </c>
      <c r="C15852" t="s">
        <v>11</v>
      </c>
      <c r="D15852">
        <v>35</v>
      </c>
      <c r="E15852" s="2">
        <v>3.3067129629629627E-2</v>
      </c>
      <c r="F15852">
        <v>47.616666666666667</v>
      </c>
    </row>
    <row r="15853" spans="1:6" x14ac:dyDescent="0.25">
      <c r="A15853" s="1">
        <v>44075</v>
      </c>
      <c r="B15853" t="s">
        <v>21</v>
      </c>
      <c r="C15853" t="s">
        <v>6</v>
      </c>
      <c r="D15853">
        <v>230</v>
      </c>
      <c r="E15853" s="2">
        <v>0.30421296296296296</v>
      </c>
      <c r="F15853">
        <v>438.06666666666666</v>
      </c>
    </row>
    <row r="15854" spans="1:6" x14ac:dyDescent="0.25">
      <c r="A15854" s="1">
        <v>44075</v>
      </c>
      <c r="B15854" t="s">
        <v>21</v>
      </c>
      <c r="C15854" t="s">
        <v>7</v>
      </c>
      <c r="D15854">
        <v>162</v>
      </c>
      <c r="E15854" s="2">
        <v>0.1864699074074074</v>
      </c>
      <c r="F15854">
        <v>268.51666666666665</v>
      </c>
    </row>
    <row r="15855" spans="1:6" x14ac:dyDescent="0.25">
      <c r="A15855" s="1">
        <v>44075</v>
      </c>
      <c r="B15855" t="s">
        <v>21</v>
      </c>
      <c r="C15855" t="s">
        <v>8</v>
      </c>
      <c r="D15855">
        <v>121</v>
      </c>
      <c r="E15855" s="2">
        <v>0.13587962962962963</v>
      </c>
      <c r="F15855">
        <v>195.66666666666666</v>
      </c>
    </row>
    <row r="15856" spans="1:6" x14ac:dyDescent="0.25">
      <c r="A15856" s="1">
        <v>44075</v>
      </c>
      <c r="B15856" t="s">
        <v>21</v>
      </c>
      <c r="C15856" t="s">
        <v>9</v>
      </c>
      <c r="D15856">
        <v>0</v>
      </c>
      <c r="E15856" s="2">
        <v>0</v>
      </c>
      <c r="F15856">
        <v>0</v>
      </c>
    </row>
    <row r="15857" spans="1:6" x14ac:dyDescent="0.25">
      <c r="A15857" s="1">
        <v>44075</v>
      </c>
      <c r="B15857" t="s">
        <v>21</v>
      </c>
      <c r="C15857" t="s">
        <v>10</v>
      </c>
      <c r="D15857">
        <v>38</v>
      </c>
      <c r="E15857" s="2">
        <v>6.1689814814814815E-2</v>
      </c>
      <c r="F15857">
        <v>88.833333333333329</v>
      </c>
    </row>
    <row r="15858" spans="1:6" x14ac:dyDescent="0.25">
      <c r="A15858" s="1">
        <v>44075</v>
      </c>
      <c r="B15858" t="s">
        <v>21</v>
      </c>
      <c r="C15858" t="s">
        <v>11</v>
      </c>
      <c r="D15858">
        <v>113</v>
      </c>
      <c r="E15858" s="2">
        <v>0.11630787037037037</v>
      </c>
      <c r="F15858">
        <v>167.48333333333332</v>
      </c>
    </row>
    <row r="15859" spans="1:6" x14ac:dyDescent="0.25">
      <c r="A15859" s="1">
        <v>44075</v>
      </c>
      <c r="B15859" t="s">
        <v>22</v>
      </c>
      <c r="C15859" t="s">
        <v>6</v>
      </c>
      <c r="D15859">
        <v>8</v>
      </c>
      <c r="E15859" s="2">
        <v>1.6527777777777777E-2</v>
      </c>
      <c r="F15859">
        <v>23.8</v>
      </c>
    </row>
    <row r="15860" spans="1:6" x14ac:dyDescent="0.25">
      <c r="A15860" s="1">
        <v>44075</v>
      </c>
      <c r="B15860" t="s">
        <v>22</v>
      </c>
      <c r="C15860" t="s">
        <v>7</v>
      </c>
      <c r="D15860">
        <v>4</v>
      </c>
      <c r="E15860" s="2">
        <v>6.5972222222222222E-3</v>
      </c>
      <c r="F15860">
        <v>9.5</v>
      </c>
    </row>
    <row r="15861" spans="1:6" x14ac:dyDescent="0.25">
      <c r="A15861" s="1">
        <v>44075</v>
      </c>
      <c r="B15861" t="s">
        <v>22</v>
      </c>
      <c r="C15861" t="s">
        <v>8</v>
      </c>
      <c r="D15861">
        <v>6</v>
      </c>
      <c r="E15861" s="2">
        <v>1.1435185185185185E-2</v>
      </c>
      <c r="F15861">
        <v>16.466666666666665</v>
      </c>
    </row>
    <row r="15862" spans="1:6" x14ac:dyDescent="0.25">
      <c r="A15862" s="1">
        <v>44075</v>
      </c>
      <c r="B15862" t="s">
        <v>22</v>
      </c>
      <c r="C15862" t="s">
        <v>9</v>
      </c>
      <c r="D15862">
        <v>0</v>
      </c>
      <c r="E15862" s="2">
        <v>0</v>
      </c>
      <c r="F15862">
        <v>0</v>
      </c>
    </row>
    <row r="15863" spans="1:6" x14ac:dyDescent="0.25">
      <c r="A15863" s="1">
        <v>44075</v>
      </c>
      <c r="B15863" t="s">
        <v>22</v>
      </c>
      <c r="C15863" t="s">
        <v>10</v>
      </c>
      <c r="D15863">
        <v>8</v>
      </c>
      <c r="E15863" s="2">
        <v>1.1469907407407408E-2</v>
      </c>
      <c r="F15863">
        <v>16.516666666666666</v>
      </c>
    </row>
    <row r="15864" spans="1:6" x14ac:dyDescent="0.25">
      <c r="A15864" s="1">
        <v>44075</v>
      </c>
      <c r="B15864" t="s">
        <v>22</v>
      </c>
      <c r="C15864" t="s">
        <v>11</v>
      </c>
      <c r="D15864">
        <v>8</v>
      </c>
      <c r="E15864" s="2">
        <v>9.2939814814814812E-3</v>
      </c>
      <c r="F15864">
        <v>13.383333333333333</v>
      </c>
    </row>
    <row r="15865" spans="1:6" x14ac:dyDescent="0.25">
      <c r="A15865" s="1">
        <v>44075</v>
      </c>
      <c r="B15865" t="s">
        <v>23</v>
      </c>
      <c r="C15865" t="s">
        <v>6</v>
      </c>
      <c r="D15865">
        <v>73</v>
      </c>
      <c r="E15865" s="2">
        <v>0.13140046296296296</v>
      </c>
      <c r="F15865">
        <v>189.21666666666667</v>
      </c>
    </row>
    <row r="15866" spans="1:6" x14ac:dyDescent="0.25">
      <c r="A15866" s="1">
        <v>44075</v>
      </c>
      <c r="B15866" t="s">
        <v>23</v>
      </c>
      <c r="C15866" t="s">
        <v>7</v>
      </c>
      <c r="D15866">
        <v>56</v>
      </c>
      <c r="E15866" s="2">
        <v>9.4560185185185192E-2</v>
      </c>
      <c r="F15866">
        <v>136.16666666666666</v>
      </c>
    </row>
    <row r="15867" spans="1:6" x14ac:dyDescent="0.25">
      <c r="A15867" s="1">
        <v>44075</v>
      </c>
      <c r="B15867" t="s">
        <v>23</v>
      </c>
      <c r="C15867" t="s">
        <v>8</v>
      </c>
      <c r="D15867">
        <v>38</v>
      </c>
      <c r="E15867" s="2">
        <v>5.3773148148148146E-2</v>
      </c>
      <c r="F15867">
        <v>77.433333333333337</v>
      </c>
    </row>
    <row r="15868" spans="1:6" x14ac:dyDescent="0.25">
      <c r="A15868" s="1">
        <v>44075</v>
      </c>
      <c r="B15868" t="s">
        <v>23</v>
      </c>
      <c r="C15868" t="s">
        <v>9</v>
      </c>
      <c r="D15868">
        <v>0</v>
      </c>
      <c r="E15868" s="2">
        <v>0</v>
      </c>
      <c r="F15868">
        <v>0</v>
      </c>
    </row>
    <row r="15869" spans="1:6" x14ac:dyDescent="0.25">
      <c r="A15869" s="1">
        <v>44075</v>
      </c>
      <c r="B15869" t="s">
        <v>23</v>
      </c>
      <c r="C15869" t="s">
        <v>10</v>
      </c>
      <c r="D15869">
        <v>26</v>
      </c>
      <c r="E15869" s="2">
        <v>4.6655092592592595E-2</v>
      </c>
      <c r="F15869">
        <v>67.183333333333337</v>
      </c>
    </row>
    <row r="15870" spans="1:6" x14ac:dyDescent="0.25">
      <c r="A15870" s="1">
        <v>44075</v>
      </c>
      <c r="B15870" t="s">
        <v>23</v>
      </c>
      <c r="C15870" t="s">
        <v>11</v>
      </c>
      <c r="D15870">
        <v>57</v>
      </c>
      <c r="E15870" s="2">
        <v>6.3611111111111104E-2</v>
      </c>
      <c r="F15870">
        <v>91.6</v>
      </c>
    </row>
    <row r="15871" spans="1:6" x14ac:dyDescent="0.25">
      <c r="A15871" s="1">
        <v>44075</v>
      </c>
      <c r="B15871" t="s">
        <v>24</v>
      </c>
      <c r="C15871" t="s">
        <v>6</v>
      </c>
      <c r="D15871">
        <v>13</v>
      </c>
      <c r="E15871" s="2">
        <v>1.1412037037037037E-2</v>
      </c>
      <c r="F15871">
        <v>16.433333333333334</v>
      </c>
    </row>
    <row r="15872" spans="1:6" x14ac:dyDescent="0.25">
      <c r="A15872" s="1">
        <v>44075</v>
      </c>
      <c r="B15872" t="s">
        <v>24</v>
      </c>
      <c r="C15872" t="s">
        <v>7</v>
      </c>
      <c r="D15872">
        <v>24</v>
      </c>
      <c r="E15872" s="2">
        <v>1.5196759259259259E-2</v>
      </c>
      <c r="F15872">
        <v>21.883333333333333</v>
      </c>
    </row>
    <row r="15873" spans="1:6" x14ac:dyDescent="0.25">
      <c r="A15873" s="1">
        <v>44075</v>
      </c>
      <c r="B15873" t="s">
        <v>24</v>
      </c>
      <c r="C15873" t="s">
        <v>8</v>
      </c>
      <c r="D15873">
        <v>33</v>
      </c>
      <c r="E15873" s="2">
        <v>2.1099537037037038E-2</v>
      </c>
      <c r="F15873">
        <v>30.383333333333333</v>
      </c>
    </row>
    <row r="15874" spans="1:6" x14ac:dyDescent="0.25">
      <c r="A15874" s="1">
        <v>44075</v>
      </c>
      <c r="B15874" t="s">
        <v>24</v>
      </c>
      <c r="C15874" t="s">
        <v>9</v>
      </c>
      <c r="D15874">
        <v>0</v>
      </c>
      <c r="E15874" s="2">
        <v>0</v>
      </c>
      <c r="F15874">
        <v>0</v>
      </c>
    </row>
    <row r="15875" spans="1:6" x14ac:dyDescent="0.25">
      <c r="A15875" s="1">
        <v>44075</v>
      </c>
      <c r="B15875" t="s">
        <v>24</v>
      </c>
      <c r="C15875" t="s">
        <v>10</v>
      </c>
      <c r="D15875">
        <v>1</v>
      </c>
      <c r="E15875" s="2">
        <v>1.8287037037037037E-3</v>
      </c>
      <c r="F15875">
        <v>2.6333333333333333</v>
      </c>
    </row>
    <row r="15876" spans="1:6" x14ac:dyDescent="0.25">
      <c r="A15876" s="1">
        <v>44075</v>
      </c>
      <c r="B15876" t="s">
        <v>24</v>
      </c>
      <c r="C15876" t="s">
        <v>11</v>
      </c>
      <c r="D15876">
        <v>30</v>
      </c>
      <c r="E15876" s="2">
        <v>2.4525462962962964E-2</v>
      </c>
      <c r="F15876">
        <v>35.31666666666667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3C9A-2EE5-417B-8C35-B194491C613C}">
  <dimension ref="E1:L1432"/>
  <sheetViews>
    <sheetView topLeftCell="D1" zoomScale="80" zoomScaleNormal="80" workbookViewId="0">
      <selection activeCell="R9" sqref="R9"/>
    </sheetView>
  </sheetViews>
  <sheetFormatPr baseColWidth="10" defaultRowHeight="15" x14ac:dyDescent="0.25"/>
  <cols>
    <col min="5" max="5" width="21.5703125" bestFit="1" customWidth="1"/>
    <col min="6" max="6" width="30.7109375" style="7" bestFit="1" customWidth="1"/>
    <col min="7" max="7" width="8.5703125" bestFit="1" customWidth="1"/>
    <col min="8" max="8" width="9.5703125" bestFit="1" customWidth="1"/>
    <col min="9" max="9" width="30.7109375" bestFit="1" customWidth="1"/>
    <col min="10" max="10" width="22.140625" bestFit="1" customWidth="1"/>
    <col min="11" max="11" width="9.5703125" bestFit="1" customWidth="1"/>
    <col min="12" max="12" width="12.85546875" bestFit="1" customWidth="1"/>
    <col min="13" max="13" width="12.5703125" bestFit="1" customWidth="1"/>
    <col min="14" max="14" width="7" bestFit="1" customWidth="1"/>
    <col min="15" max="15" width="15.42578125" bestFit="1" customWidth="1"/>
    <col min="16" max="16" width="6" bestFit="1" customWidth="1"/>
    <col min="17" max="17" width="21.42578125" bestFit="1" customWidth="1"/>
    <col min="18" max="18" width="7.5703125" bestFit="1" customWidth="1"/>
    <col min="19" max="19" width="5.85546875" bestFit="1" customWidth="1"/>
    <col min="20" max="20" width="12.5703125" bestFit="1" customWidth="1"/>
    <col min="21" max="21" width="21.85546875" bestFit="1" customWidth="1"/>
    <col min="22" max="22" width="30.28515625" bestFit="1" customWidth="1"/>
    <col min="23" max="23" width="21.85546875" bestFit="1" customWidth="1"/>
    <col min="24" max="24" width="30.28515625" bestFit="1" customWidth="1"/>
    <col min="25" max="25" width="21.85546875" bestFit="1" customWidth="1"/>
    <col min="26" max="26" width="30.28515625" bestFit="1" customWidth="1"/>
    <col min="27" max="27" width="21.85546875" bestFit="1" customWidth="1"/>
    <col min="28" max="28" width="30.28515625" bestFit="1" customWidth="1"/>
    <col min="29" max="29" width="21.85546875" bestFit="1" customWidth="1"/>
    <col min="30" max="30" width="30.28515625" bestFit="1" customWidth="1"/>
    <col min="31" max="31" width="21.85546875" bestFit="1" customWidth="1"/>
    <col min="32" max="32" width="30.28515625" bestFit="1" customWidth="1"/>
    <col min="33" max="33" width="21.85546875" bestFit="1" customWidth="1"/>
    <col min="34" max="34" width="35.28515625" bestFit="1" customWidth="1"/>
    <col min="35" max="35" width="26.85546875" bestFit="1" customWidth="1"/>
  </cols>
  <sheetData>
    <row r="1" spans="5:12" x14ac:dyDescent="0.25">
      <c r="F1" s="8" t="s">
        <v>26</v>
      </c>
    </row>
    <row r="2" spans="5:12" x14ac:dyDescent="0.25">
      <c r="F2" s="5" t="s">
        <v>10</v>
      </c>
      <c r="G2" t="s">
        <v>9</v>
      </c>
      <c r="H2" t="s">
        <v>7</v>
      </c>
      <c r="I2" t="s">
        <v>8</v>
      </c>
      <c r="J2" t="s">
        <v>11</v>
      </c>
      <c r="K2" t="s">
        <v>6</v>
      </c>
      <c r="L2" t="s">
        <v>27</v>
      </c>
    </row>
    <row r="3" spans="5:12" x14ac:dyDescent="0.25">
      <c r="E3" t="s">
        <v>28</v>
      </c>
      <c r="F3" s="5">
        <v>53358</v>
      </c>
      <c r="G3" s="5">
        <v>39177</v>
      </c>
      <c r="H3" s="5">
        <v>116588</v>
      </c>
      <c r="I3" s="5">
        <v>79796</v>
      </c>
      <c r="J3" s="5">
        <v>77261</v>
      </c>
      <c r="K3" s="5">
        <v>114353</v>
      </c>
      <c r="L3" s="5">
        <v>480533</v>
      </c>
    </row>
    <row r="5" spans="5:12" x14ac:dyDescent="0.25">
      <c r="E5" s="4" t="s">
        <v>29</v>
      </c>
      <c r="F5" s="5" t="s">
        <v>28</v>
      </c>
      <c r="H5" t="s">
        <v>32</v>
      </c>
      <c r="I5" t="s">
        <v>30</v>
      </c>
      <c r="J5" t="s">
        <v>31</v>
      </c>
    </row>
    <row r="6" spans="5:12" x14ac:dyDescent="0.25">
      <c r="E6" s="6" t="s">
        <v>22</v>
      </c>
      <c r="F6" s="5">
        <v>9421</v>
      </c>
      <c r="H6" t="str">
        <f t="shared" ref="H6:H19" si="0">E6</f>
        <v>Sciences et techniques</v>
      </c>
      <c r="I6" s="7">
        <f t="shared" ref="I6:I19" si="1">VLOOKUP($E6,$E$6:$F$19,2,FALSE)</f>
        <v>9421</v>
      </c>
      <c r="J6" t="str">
        <f>IF(I6=MAX(I$6:I$19),I6,"")</f>
        <v/>
      </c>
    </row>
    <row r="7" spans="5:12" x14ac:dyDescent="0.25">
      <c r="E7" s="6" t="s">
        <v>14</v>
      </c>
      <c r="F7" s="5">
        <v>9681</v>
      </c>
      <c r="H7" t="str">
        <f t="shared" si="0"/>
        <v>Education</v>
      </c>
      <c r="I7" s="7">
        <f t="shared" si="1"/>
        <v>9681</v>
      </c>
      <c r="J7" t="str">
        <f t="shared" ref="J7:J19" si="2">IF(I7=MAX(I$6:I$19),I7,"")</f>
        <v/>
      </c>
    </row>
    <row r="8" spans="5:12" x14ac:dyDescent="0.25">
      <c r="E8" s="6" t="s">
        <v>17</v>
      </c>
      <c r="F8" s="5">
        <v>10941</v>
      </c>
      <c r="H8" t="str">
        <f t="shared" si="0"/>
        <v>Histoire-hommages</v>
      </c>
      <c r="I8" s="7">
        <f t="shared" si="1"/>
        <v>10941</v>
      </c>
      <c r="J8" t="str">
        <f t="shared" si="2"/>
        <v/>
      </c>
    </row>
    <row r="9" spans="5:12" x14ac:dyDescent="0.25">
      <c r="E9" s="6" t="s">
        <v>15</v>
      </c>
      <c r="F9" s="5">
        <v>21003</v>
      </c>
      <c r="H9" t="str">
        <f t="shared" si="0"/>
        <v>Environnement</v>
      </c>
      <c r="I9" s="7">
        <f t="shared" si="1"/>
        <v>21003</v>
      </c>
      <c r="J9" t="str">
        <f t="shared" si="2"/>
        <v/>
      </c>
    </row>
    <row r="10" spans="5:12" x14ac:dyDescent="0.25">
      <c r="E10" s="6" t="s">
        <v>16</v>
      </c>
      <c r="F10" s="5">
        <v>22548</v>
      </c>
      <c r="H10" t="str">
        <f t="shared" si="0"/>
        <v>Faits divers</v>
      </c>
      <c r="I10" s="7">
        <f t="shared" si="1"/>
        <v>22548</v>
      </c>
      <c r="J10" t="str">
        <f t="shared" si="2"/>
        <v/>
      </c>
    </row>
    <row r="11" spans="5:12" x14ac:dyDescent="0.25">
      <c r="E11" s="6" t="s">
        <v>21</v>
      </c>
      <c r="F11" s="5">
        <v>24508</v>
      </c>
      <c r="H11" t="str">
        <f t="shared" si="0"/>
        <v>Santé</v>
      </c>
      <c r="I11" s="7">
        <f t="shared" si="1"/>
        <v>24508</v>
      </c>
      <c r="J11" t="str">
        <f t="shared" si="2"/>
        <v/>
      </c>
    </row>
    <row r="12" spans="5:12" x14ac:dyDescent="0.25">
      <c r="E12" s="6" t="s">
        <v>19</v>
      </c>
      <c r="F12" s="5">
        <v>26299</v>
      </c>
      <c r="H12" t="str">
        <f t="shared" si="0"/>
        <v>Justice</v>
      </c>
      <c r="I12" s="7">
        <f t="shared" si="1"/>
        <v>26299</v>
      </c>
      <c r="J12" t="str">
        <f t="shared" si="2"/>
        <v/>
      </c>
    </row>
    <row r="13" spans="5:12" x14ac:dyDescent="0.25">
      <c r="E13" s="6" t="s">
        <v>5</v>
      </c>
      <c r="F13" s="5">
        <v>31543</v>
      </c>
      <c r="H13" t="str">
        <f t="shared" si="0"/>
        <v>Catastrophes</v>
      </c>
      <c r="I13" s="7">
        <f t="shared" si="1"/>
        <v>31543</v>
      </c>
      <c r="J13" t="str">
        <f t="shared" si="2"/>
        <v/>
      </c>
    </row>
    <row r="14" spans="5:12" x14ac:dyDescent="0.25">
      <c r="E14" s="6" t="s">
        <v>24</v>
      </c>
      <c r="F14" s="5">
        <v>34102</v>
      </c>
      <c r="H14" t="str">
        <f t="shared" si="0"/>
        <v>Sport</v>
      </c>
      <c r="I14" s="7">
        <f t="shared" si="1"/>
        <v>34102</v>
      </c>
      <c r="J14" t="str">
        <f t="shared" si="2"/>
        <v/>
      </c>
    </row>
    <row r="15" spans="5:12" x14ac:dyDescent="0.25">
      <c r="E15" s="6" t="s">
        <v>12</v>
      </c>
      <c r="F15" s="5">
        <v>35927</v>
      </c>
      <c r="H15" t="str">
        <f t="shared" si="0"/>
        <v>Culture-loisirs</v>
      </c>
      <c r="I15" s="7">
        <f t="shared" si="1"/>
        <v>35927</v>
      </c>
      <c r="J15" t="str">
        <f t="shared" si="2"/>
        <v/>
      </c>
    </row>
    <row r="16" spans="5:12" x14ac:dyDescent="0.25">
      <c r="E16" s="6" t="s">
        <v>20</v>
      </c>
      <c r="F16" s="5">
        <v>44022</v>
      </c>
      <c r="H16" t="str">
        <f t="shared" si="0"/>
        <v>Politique France</v>
      </c>
      <c r="I16" s="7">
        <f t="shared" si="1"/>
        <v>44022</v>
      </c>
      <c r="J16" t="str">
        <f t="shared" si="2"/>
        <v/>
      </c>
    </row>
    <row r="17" spans="5:10" x14ac:dyDescent="0.25">
      <c r="E17" s="6" t="s">
        <v>13</v>
      </c>
      <c r="F17" s="5">
        <v>44622</v>
      </c>
      <c r="H17" t="str">
        <f t="shared" si="0"/>
        <v>Economie</v>
      </c>
      <c r="I17" s="7">
        <f t="shared" si="1"/>
        <v>44622</v>
      </c>
      <c r="J17" t="str">
        <f t="shared" si="2"/>
        <v/>
      </c>
    </row>
    <row r="18" spans="5:10" x14ac:dyDescent="0.25">
      <c r="E18" s="6" t="s">
        <v>18</v>
      </c>
      <c r="F18" s="5">
        <v>80913</v>
      </c>
      <c r="H18" t="str">
        <f t="shared" si="0"/>
        <v>International</v>
      </c>
      <c r="I18" s="7">
        <f t="shared" si="1"/>
        <v>80913</v>
      </c>
      <c r="J18" t="str">
        <f t="shared" si="2"/>
        <v/>
      </c>
    </row>
    <row r="19" spans="5:10" x14ac:dyDescent="0.25">
      <c r="E19" s="6" t="s">
        <v>23</v>
      </c>
      <c r="F19" s="5">
        <v>85003</v>
      </c>
      <c r="H19" t="str">
        <f t="shared" si="0"/>
        <v>Société</v>
      </c>
      <c r="I19" s="7">
        <f t="shared" si="1"/>
        <v>85003</v>
      </c>
      <c r="J19">
        <f t="shared" si="2"/>
        <v>85003</v>
      </c>
    </row>
    <row r="20" spans="5:10" x14ac:dyDescent="0.25">
      <c r="E20" s="6" t="s">
        <v>27</v>
      </c>
      <c r="F20" s="5">
        <v>480533</v>
      </c>
    </row>
    <row r="22" spans="5:10" x14ac:dyDescent="0.25">
      <c r="E22" s="4" t="s">
        <v>29</v>
      </c>
      <c r="F22" t="s">
        <v>28</v>
      </c>
      <c r="G22" t="s">
        <v>45</v>
      </c>
    </row>
    <row r="23" spans="5:10" x14ac:dyDescent="0.25">
      <c r="E23" s="6" t="s">
        <v>33</v>
      </c>
      <c r="F23" s="5">
        <v>42254</v>
      </c>
      <c r="G23" s="5">
        <v>42254</v>
      </c>
    </row>
    <row r="24" spans="5:10" x14ac:dyDescent="0.25">
      <c r="E24" s="6" t="s">
        <v>34</v>
      </c>
      <c r="F24" s="5">
        <v>37655</v>
      </c>
      <c r="G24" s="5">
        <v>37655</v>
      </c>
    </row>
    <row r="25" spans="5:10" x14ac:dyDescent="0.25">
      <c r="E25" s="6" t="s">
        <v>35</v>
      </c>
      <c r="F25" s="5">
        <v>42477</v>
      </c>
      <c r="G25" s="5">
        <v>42477</v>
      </c>
    </row>
    <row r="26" spans="5:10" x14ac:dyDescent="0.25">
      <c r="E26" s="6" t="s">
        <v>36</v>
      </c>
      <c r="F26" s="5">
        <v>40147</v>
      </c>
      <c r="G26" s="5">
        <v>40147</v>
      </c>
    </row>
    <row r="27" spans="5:10" x14ac:dyDescent="0.25">
      <c r="E27" s="6" t="s">
        <v>37</v>
      </c>
      <c r="F27" s="5">
        <v>42296</v>
      </c>
      <c r="G27" s="5">
        <v>42296</v>
      </c>
    </row>
    <row r="28" spans="5:10" x14ac:dyDescent="0.25">
      <c r="E28" s="6" t="s">
        <v>38</v>
      </c>
      <c r="F28" s="5">
        <v>40093</v>
      </c>
      <c r="G28" s="5">
        <v>40093</v>
      </c>
    </row>
    <row r="29" spans="5:10" x14ac:dyDescent="0.25">
      <c r="E29" s="6" t="s">
        <v>39</v>
      </c>
      <c r="F29" s="5">
        <v>42050</v>
      </c>
      <c r="G29" s="5">
        <v>42050</v>
      </c>
    </row>
    <row r="30" spans="5:10" x14ac:dyDescent="0.25">
      <c r="E30" s="6" t="s">
        <v>40</v>
      </c>
      <c r="F30" s="5">
        <v>39930</v>
      </c>
      <c r="G30" s="5">
        <v>39930</v>
      </c>
    </row>
    <row r="31" spans="5:10" x14ac:dyDescent="0.25">
      <c r="E31" s="6" t="s">
        <v>41</v>
      </c>
      <c r="F31" s="5">
        <v>39821</v>
      </c>
      <c r="G31" s="5">
        <v>39821</v>
      </c>
    </row>
    <row r="32" spans="5:10" x14ac:dyDescent="0.25">
      <c r="E32" s="6" t="s">
        <v>42</v>
      </c>
      <c r="F32" s="5">
        <v>38576</v>
      </c>
      <c r="G32" s="5">
        <v>38576</v>
      </c>
    </row>
    <row r="33" spans="5:9" x14ac:dyDescent="0.25">
      <c r="E33" s="6" t="s">
        <v>43</v>
      </c>
      <c r="F33" s="5">
        <v>37558</v>
      </c>
      <c r="G33" s="5">
        <v>37558</v>
      </c>
    </row>
    <row r="34" spans="5:9" x14ac:dyDescent="0.25">
      <c r="E34" s="6" t="s">
        <v>44</v>
      </c>
      <c r="F34" s="5">
        <v>37676</v>
      </c>
      <c r="G34" s="5">
        <v>37676</v>
      </c>
    </row>
    <row r="35" spans="5:9" x14ac:dyDescent="0.25">
      <c r="E35" s="6" t="s">
        <v>27</v>
      </c>
      <c r="F35" s="5">
        <v>480533</v>
      </c>
      <c r="G35" s="5">
        <v>480533</v>
      </c>
    </row>
    <row r="36" spans="5:9" x14ac:dyDescent="0.25">
      <c r="F36"/>
    </row>
    <row r="37" spans="5:9" x14ac:dyDescent="0.25">
      <c r="F37"/>
    </row>
    <row r="38" spans="5:9" x14ac:dyDescent="0.25">
      <c r="F38"/>
    </row>
    <row r="39" spans="5:9" x14ac:dyDescent="0.25">
      <c r="F39"/>
    </row>
    <row r="40" spans="5:9" x14ac:dyDescent="0.25">
      <c r="F40"/>
    </row>
    <row r="41" spans="5:9" x14ac:dyDescent="0.25">
      <c r="E41" s="4" t="s">
        <v>29</v>
      </c>
      <c r="F41" t="s">
        <v>28</v>
      </c>
      <c r="G41" t="s">
        <v>2</v>
      </c>
      <c r="H41" t="s">
        <v>46</v>
      </c>
      <c r="I41" t="s">
        <v>47</v>
      </c>
    </row>
    <row r="42" spans="5:9" x14ac:dyDescent="0.25">
      <c r="E42" s="6" t="s">
        <v>10</v>
      </c>
      <c r="F42" s="10">
        <v>0.1110392002214208</v>
      </c>
      <c r="G42" t="str">
        <f>E42</f>
        <v>Arte</v>
      </c>
      <c r="H42" s="9">
        <f>GETPIVOTDATA("N° de sujets télévisés",$E$41,"Chaine","Arte")</f>
        <v>0.1110392002214208</v>
      </c>
      <c r="I42" t="str">
        <f>IF(H42&gt;=AVERAGE($H$42:$H$47),H42,"")</f>
        <v/>
      </c>
    </row>
    <row r="43" spans="5:9" x14ac:dyDescent="0.25">
      <c r="E43" s="6" t="s">
        <v>9</v>
      </c>
      <c r="F43" s="10">
        <v>8.1528219706034757E-2</v>
      </c>
      <c r="G43" t="str">
        <f t="shared" ref="G43:G47" si="3">E43</f>
        <v>Canal +</v>
      </c>
      <c r="H43" s="9">
        <f>GETPIVOTDATA("N° de sujets télévisés",$E$41,"Chaine","Canal +")</f>
        <v>8.1528219706034757E-2</v>
      </c>
      <c r="I43" t="str">
        <f t="shared" ref="I43:I47" si="4">IF(H43&gt;=AVERAGE($H$42:$H$47),H43,"")</f>
        <v/>
      </c>
    </row>
    <row r="44" spans="5:9" x14ac:dyDescent="0.25">
      <c r="E44" s="6" t="s">
        <v>7</v>
      </c>
      <c r="F44" s="10">
        <v>0.24262225487115349</v>
      </c>
      <c r="G44" t="str">
        <f t="shared" si="3"/>
        <v>France 2</v>
      </c>
      <c r="H44" s="9">
        <f>GETPIVOTDATA("N° de sujets télévisés",$E$41,"Chaine","France 2")</f>
        <v>0.24262225487115349</v>
      </c>
      <c r="I44">
        <f t="shared" si="4"/>
        <v>0.24262225487115349</v>
      </c>
    </row>
    <row r="45" spans="5:9" x14ac:dyDescent="0.25">
      <c r="E45" s="6" t="s">
        <v>8</v>
      </c>
      <c r="F45" s="10">
        <v>0.16605727390210454</v>
      </c>
      <c r="G45" t="str">
        <f t="shared" si="3"/>
        <v>France 3</v>
      </c>
      <c r="H45" s="9">
        <f>GETPIVOTDATA("N° de sujets télévisés",$E$41,"Chaine","France 3")</f>
        <v>0.16605727390210454</v>
      </c>
      <c r="I45" t="str">
        <f t="shared" si="4"/>
        <v/>
      </c>
    </row>
    <row r="46" spans="5:9" x14ac:dyDescent="0.25">
      <c r="E46" s="6" t="s">
        <v>11</v>
      </c>
      <c r="F46" s="10">
        <v>0.16078188178543409</v>
      </c>
      <c r="G46" t="str">
        <f t="shared" si="3"/>
        <v>M6</v>
      </c>
      <c r="H46" s="9">
        <f>GETPIVOTDATA("N° de sujets télévisés",$E$41,"Chaine","M6")</f>
        <v>0.16078188178543409</v>
      </c>
      <c r="I46" t="str">
        <f t="shared" si="4"/>
        <v/>
      </c>
    </row>
    <row r="47" spans="5:9" x14ac:dyDescent="0.25">
      <c r="E47" s="6" t="s">
        <v>6</v>
      </c>
      <c r="F47" s="10">
        <v>0.23797116951385233</v>
      </c>
      <c r="G47" t="str">
        <f t="shared" si="3"/>
        <v>TF1</v>
      </c>
      <c r="H47" s="9">
        <f>GETPIVOTDATA("N° de sujets télévisés",$E$41,"Chaine","TF1")</f>
        <v>0.23797116951385233</v>
      </c>
      <c r="I47">
        <f t="shared" si="4"/>
        <v>0.23797116951385233</v>
      </c>
    </row>
    <row r="48" spans="5:9" x14ac:dyDescent="0.25">
      <c r="E48" s="6" t="s">
        <v>27</v>
      </c>
      <c r="F48" s="10">
        <v>1</v>
      </c>
    </row>
    <row r="49" spans="5:8" x14ac:dyDescent="0.25">
      <c r="F49"/>
    </row>
    <row r="50" spans="5:8" x14ac:dyDescent="0.25">
      <c r="F50"/>
    </row>
    <row r="51" spans="5:8" x14ac:dyDescent="0.25">
      <c r="E51" s="4" t="s">
        <v>29</v>
      </c>
      <c r="F51" t="s">
        <v>48</v>
      </c>
      <c r="G51" t="s">
        <v>49</v>
      </c>
      <c r="H51" t="s">
        <v>50</v>
      </c>
    </row>
    <row r="52" spans="5:8" x14ac:dyDescent="0.25">
      <c r="E52" s="6" t="s">
        <v>23</v>
      </c>
      <c r="F52" s="12">
        <v>74.958553791887127</v>
      </c>
      <c r="G52" s="11">
        <v>122.27833627278076</v>
      </c>
      <c r="H52">
        <v>1</v>
      </c>
    </row>
    <row r="53" spans="5:8" x14ac:dyDescent="0.25">
      <c r="E53" s="6" t="s">
        <v>18</v>
      </c>
      <c r="F53" s="12">
        <v>71.351851851851848</v>
      </c>
      <c r="G53" s="11">
        <v>100.13709582598479</v>
      </c>
      <c r="H53">
        <v>2</v>
      </c>
    </row>
    <row r="54" spans="5:8" x14ac:dyDescent="0.25">
      <c r="E54" s="6" t="s">
        <v>13</v>
      </c>
      <c r="F54" s="12">
        <v>39.349206349206348</v>
      </c>
      <c r="G54" s="11">
        <v>70.248471487360405</v>
      </c>
      <c r="H54">
        <v>3</v>
      </c>
    </row>
    <row r="55" spans="5:8" x14ac:dyDescent="0.25">
      <c r="E55" s="6" t="s">
        <v>20</v>
      </c>
      <c r="F55" s="12">
        <v>38.820105820105823</v>
      </c>
      <c r="G55" s="11">
        <v>62.613051146384478</v>
      </c>
      <c r="H55">
        <v>4</v>
      </c>
    </row>
    <row r="56" spans="5:8" x14ac:dyDescent="0.25">
      <c r="E56" s="6" t="s">
        <v>12</v>
      </c>
      <c r="F56" s="12">
        <v>31.681657848324516</v>
      </c>
      <c r="G56" s="11">
        <v>61.944694297472019</v>
      </c>
      <c r="H56">
        <v>5</v>
      </c>
    </row>
    <row r="57" spans="5:8" x14ac:dyDescent="0.25">
      <c r="E57" s="6" t="s">
        <v>24</v>
      </c>
      <c r="F57" s="12">
        <v>30.072310405643741</v>
      </c>
      <c r="G57" s="11">
        <v>37.532965902410318</v>
      </c>
      <c r="H57">
        <v>6</v>
      </c>
    </row>
    <row r="58" spans="5:8" x14ac:dyDescent="0.25">
      <c r="E58" s="6" t="s">
        <v>5</v>
      </c>
      <c r="F58" s="12">
        <v>27.815696649029981</v>
      </c>
      <c r="G58" s="11">
        <v>35.890226337448567</v>
      </c>
      <c r="H58">
        <v>7</v>
      </c>
    </row>
    <row r="59" spans="5:8" x14ac:dyDescent="0.25">
      <c r="E59" s="6" t="s">
        <v>19</v>
      </c>
      <c r="F59" s="12">
        <v>23.191358024691358</v>
      </c>
      <c r="G59" s="11">
        <v>33.37397119341567</v>
      </c>
      <c r="H59">
        <v>8</v>
      </c>
    </row>
    <row r="60" spans="5:8" x14ac:dyDescent="0.25">
      <c r="E60" s="6" t="s">
        <v>21</v>
      </c>
      <c r="F60" s="12">
        <v>21.611992945326278</v>
      </c>
      <c r="G60" s="11">
        <v>38.416137566137579</v>
      </c>
      <c r="H60">
        <v>9</v>
      </c>
    </row>
    <row r="61" spans="5:8" x14ac:dyDescent="0.25">
      <c r="E61" s="6" t="s">
        <v>16</v>
      </c>
      <c r="F61" s="12">
        <v>19.883597883597883</v>
      </c>
      <c r="G61" s="11">
        <v>26.181246325690793</v>
      </c>
      <c r="H61">
        <v>10</v>
      </c>
    </row>
    <row r="62" spans="5:8" x14ac:dyDescent="0.25">
      <c r="E62" s="6" t="s">
        <v>15</v>
      </c>
      <c r="F62" s="12">
        <v>18.521164021164022</v>
      </c>
      <c r="G62" s="11">
        <v>29.856834215167577</v>
      </c>
      <c r="H62">
        <v>11</v>
      </c>
    </row>
    <row r="63" spans="5:8" x14ac:dyDescent="0.25">
      <c r="E63" s="6" t="s">
        <v>17</v>
      </c>
      <c r="F63" s="12">
        <v>9.6481481481481488</v>
      </c>
      <c r="G63" s="11">
        <v>15.178909465020586</v>
      </c>
      <c r="H63">
        <v>12</v>
      </c>
    </row>
    <row r="64" spans="5:8" x14ac:dyDescent="0.25">
      <c r="E64" s="6" t="s">
        <v>14</v>
      </c>
      <c r="F64" s="12">
        <v>8.544571932921448</v>
      </c>
      <c r="G64" s="11">
        <v>15.923698146513679</v>
      </c>
      <c r="H64">
        <v>13</v>
      </c>
    </row>
    <row r="65" spans="5:12" x14ac:dyDescent="0.25">
      <c r="E65" s="6" t="s">
        <v>22</v>
      </c>
      <c r="F65" s="12">
        <v>8.3077601410934747</v>
      </c>
      <c r="G65" s="11">
        <v>14.086493239271013</v>
      </c>
      <c r="H65">
        <v>14</v>
      </c>
    </row>
    <row r="66" spans="5:12" x14ac:dyDescent="0.25">
      <c r="E66" s="6" t="s">
        <v>27</v>
      </c>
      <c r="F66" s="12">
        <v>30.26979527559055</v>
      </c>
      <c r="G66" s="11">
        <v>47.406420997375115</v>
      </c>
    </row>
    <row r="67" spans="5:12" x14ac:dyDescent="0.25">
      <c r="F67"/>
    </row>
    <row r="68" spans="5:12" x14ac:dyDescent="0.25">
      <c r="F68"/>
    </row>
    <row r="69" spans="5:12" x14ac:dyDescent="0.25">
      <c r="E69" s="4" t="s">
        <v>29</v>
      </c>
      <c r="F69" t="s">
        <v>28</v>
      </c>
      <c r="G69" t="s">
        <v>52</v>
      </c>
      <c r="I69" t="s">
        <v>2</v>
      </c>
      <c r="J69" t="s">
        <v>53</v>
      </c>
      <c r="K69" t="s">
        <v>54</v>
      </c>
      <c r="L69" t="s">
        <v>55</v>
      </c>
    </row>
    <row r="70" spans="5:12" x14ac:dyDescent="0.25">
      <c r="E70" s="6" t="s">
        <v>10</v>
      </c>
      <c r="F70">
        <v>53358</v>
      </c>
      <c r="G70">
        <v>92963.649999999936</v>
      </c>
      <c r="I70" t="str">
        <f t="shared" ref="I70:I76" si="5">E70</f>
        <v>Arte</v>
      </c>
      <c r="J70">
        <f t="shared" ref="J70:J76" si="6">VLOOKUP(E70,E$69:G$76,2,FALSE)</f>
        <v>53358</v>
      </c>
      <c r="K70">
        <f t="shared" ref="K70:K76" si="7">VLOOKUP(E70,E$69:G$76,3,FALSE)</f>
        <v>92963.649999999936</v>
      </c>
      <c r="L70" s="11">
        <f t="shared" ref="L70:L76" si="8">K70/J70</f>
        <v>1.7422626410285231</v>
      </c>
    </row>
    <row r="71" spans="5:12" x14ac:dyDescent="0.25">
      <c r="E71" s="6" t="s">
        <v>9</v>
      </c>
      <c r="F71">
        <v>39177</v>
      </c>
      <c r="G71">
        <v>39842.499999999993</v>
      </c>
      <c r="I71" t="str">
        <f t="shared" si="5"/>
        <v>Canal +</v>
      </c>
      <c r="J71">
        <f t="shared" si="6"/>
        <v>39177</v>
      </c>
      <c r="K71">
        <f t="shared" si="7"/>
        <v>39842.499999999993</v>
      </c>
      <c r="L71" s="11">
        <f t="shared" si="8"/>
        <v>1.0169870076830791</v>
      </c>
    </row>
    <row r="72" spans="5:12" x14ac:dyDescent="0.25">
      <c r="E72" s="6" t="s">
        <v>7</v>
      </c>
      <c r="F72">
        <v>116588</v>
      </c>
      <c r="G72">
        <v>196601.51666666628</v>
      </c>
      <c r="I72" t="str">
        <f t="shared" si="5"/>
        <v>France 2</v>
      </c>
      <c r="J72">
        <f t="shared" si="6"/>
        <v>116588</v>
      </c>
      <c r="K72">
        <f t="shared" si="7"/>
        <v>196601.51666666628</v>
      </c>
      <c r="L72" s="11">
        <f t="shared" si="8"/>
        <v>1.686292900355665</v>
      </c>
    </row>
    <row r="73" spans="5:12" x14ac:dyDescent="0.25">
      <c r="E73" s="6" t="s">
        <v>8</v>
      </c>
      <c r="F73">
        <v>79796</v>
      </c>
      <c r="G73">
        <v>129519.24999999977</v>
      </c>
      <c r="I73" t="str">
        <f t="shared" si="5"/>
        <v>France 3</v>
      </c>
      <c r="J73">
        <f t="shared" si="6"/>
        <v>79796</v>
      </c>
      <c r="K73">
        <f t="shared" si="7"/>
        <v>129519.24999999977</v>
      </c>
      <c r="L73" s="11">
        <f t="shared" si="8"/>
        <v>1.6231296054940068</v>
      </c>
    </row>
    <row r="74" spans="5:12" x14ac:dyDescent="0.25">
      <c r="E74" s="6" t="s">
        <v>11</v>
      </c>
      <c r="F74">
        <v>77261</v>
      </c>
      <c r="G74">
        <v>100313.28333333317</v>
      </c>
      <c r="I74" t="str">
        <f t="shared" si="5"/>
        <v>M6</v>
      </c>
      <c r="J74">
        <f t="shared" si="6"/>
        <v>77261</v>
      </c>
      <c r="K74">
        <f t="shared" si="7"/>
        <v>100313.28333333317</v>
      </c>
      <c r="L74" s="11">
        <f t="shared" si="8"/>
        <v>1.2983689485423844</v>
      </c>
    </row>
    <row r="75" spans="5:12" x14ac:dyDescent="0.25">
      <c r="E75" s="6" t="s">
        <v>6</v>
      </c>
      <c r="F75">
        <v>114353</v>
      </c>
      <c r="G75">
        <v>193336.73333333354</v>
      </c>
      <c r="I75" t="str">
        <f t="shared" si="5"/>
        <v>TF1</v>
      </c>
      <c r="J75">
        <f t="shared" si="6"/>
        <v>114353</v>
      </c>
      <c r="K75">
        <f t="shared" si="7"/>
        <v>193336.73333333354</v>
      </c>
      <c r="L75" s="11">
        <f t="shared" si="8"/>
        <v>1.6907010164432374</v>
      </c>
    </row>
    <row r="76" spans="5:12" x14ac:dyDescent="0.25">
      <c r="E76" s="6" t="s">
        <v>27</v>
      </c>
      <c r="F76">
        <v>480533</v>
      </c>
      <c r="G76">
        <v>752576.93333333265</v>
      </c>
      <c r="I76" t="str">
        <f t="shared" si="5"/>
        <v>Total général</v>
      </c>
      <c r="J76">
        <f t="shared" si="6"/>
        <v>480533</v>
      </c>
      <c r="K76">
        <f t="shared" si="7"/>
        <v>752576.93333333265</v>
      </c>
      <c r="L76" s="11">
        <f t="shared" si="8"/>
        <v>1.5661295547513545</v>
      </c>
    </row>
    <row r="77" spans="5:12" x14ac:dyDescent="0.25">
      <c r="F77"/>
    </row>
    <row r="78" spans="5:12" x14ac:dyDescent="0.25">
      <c r="F78"/>
    </row>
    <row r="79" spans="5:12" x14ac:dyDescent="0.25">
      <c r="E79" s="4" t="s">
        <v>29</v>
      </c>
      <c r="F79" t="s">
        <v>51</v>
      </c>
      <c r="I79" t="s">
        <v>28</v>
      </c>
      <c r="J79" t="s">
        <v>52</v>
      </c>
    </row>
    <row r="80" spans="5:12" x14ac:dyDescent="0.25">
      <c r="E80" s="6" t="s">
        <v>10</v>
      </c>
      <c r="F80">
        <v>0</v>
      </c>
      <c r="I80" s="5">
        <v>480533</v>
      </c>
      <c r="J80" s="13">
        <v>752576.93333332951</v>
      </c>
    </row>
    <row r="81" spans="5:7" x14ac:dyDescent="0.25">
      <c r="E81" s="6" t="s">
        <v>9</v>
      </c>
      <c r="F81">
        <v>0</v>
      </c>
    </row>
    <row r="82" spans="5:7" x14ac:dyDescent="0.25">
      <c r="E82" s="6" t="s">
        <v>7</v>
      </c>
      <c r="F82">
        <v>0</v>
      </c>
    </row>
    <row r="83" spans="5:7" x14ac:dyDescent="0.25">
      <c r="E83" s="6" t="s">
        <v>8</v>
      </c>
      <c r="F83">
        <v>0</v>
      </c>
    </row>
    <row r="84" spans="5:7" x14ac:dyDescent="0.25">
      <c r="E84" s="6" t="s">
        <v>11</v>
      </c>
      <c r="F84">
        <v>0</v>
      </c>
    </row>
    <row r="85" spans="5:7" x14ac:dyDescent="0.25">
      <c r="E85" s="6" t="s">
        <v>6</v>
      </c>
      <c r="F85">
        <v>0</v>
      </c>
      <c r="G85" t="s">
        <v>56</v>
      </c>
    </row>
    <row r="86" spans="5:7" x14ac:dyDescent="0.25">
      <c r="E86" s="6" t="s">
        <v>27</v>
      </c>
      <c r="F86">
        <v>0</v>
      </c>
      <c r="G86">
        <f>SUBTOTAL(103,E80:E85)</f>
        <v>6</v>
      </c>
    </row>
    <row r="87" spans="5:7" x14ac:dyDescent="0.25">
      <c r="F87"/>
    </row>
    <row r="88" spans="5:7" x14ac:dyDescent="0.25">
      <c r="E88" s="4" t="s">
        <v>29</v>
      </c>
      <c r="F88"/>
    </row>
    <row r="89" spans="5:7" x14ac:dyDescent="0.25">
      <c r="E89" s="6" t="s">
        <v>5</v>
      </c>
      <c r="F89"/>
    </row>
    <row r="90" spans="5:7" x14ac:dyDescent="0.25">
      <c r="E90" s="6" t="s">
        <v>12</v>
      </c>
      <c r="F90"/>
    </row>
    <row r="91" spans="5:7" x14ac:dyDescent="0.25">
      <c r="E91" s="6" t="s">
        <v>13</v>
      </c>
      <c r="F91"/>
    </row>
    <row r="92" spans="5:7" x14ac:dyDescent="0.25">
      <c r="E92" s="6" t="s">
        <v>14</v>
      </c>
      <c r="F92"/>
    </row>
    <row r="93" spans="5:7" x14ac:dyDescent="0.25">
      <c r="E93" s="6" t="s">
        <v>15</v>
      </c>
      <c r="F93"/>
    </row>
    <row r="94" spans="5:7" x14ac:dyDescent="0.25">
      <c r="E94" s="6" t="s">
        <v>16</v>
      </c>
      <c r="F94"/>
    </row>
    <row r="95" spans="5:7" x14ac:dyDescent="0.25">
      <c r="E95" s="6" t="s">
        <v>17</v>
      </c>
      <c r="F95"/>
    </row>
    <row r="96" spans="5:7" x14ac:dyDescent="0.25">
      <c r="E96" s="6" t="s">
        <v>18</v>
      </c>
      <c r="F96"/>
    </row>
    <row r="97" spans="5:7" x14ac:dyDescent="0.25">
      <c r="E97" s="6" t="s">
        <v>19</v>
      </c>
      <c r="F97"/>
    </row>
    <row r="98" spans="5:7" x14ac:dyDescent="0.25">
      <c r="E98" s="6" t="s">
        <v>20</v>
      </c>
      <c r="F98"/>
    </row>
    <row r="99" spans="5:7" x14ac:dyDescent="0.25">
      <c r="E99" s="6" t="s">
        <v>21</v>
      </c>
      <c r="F99"/>
    </row>
    <row r="100" spans="5:7" x14ac:dyDescent="0.25">
      <c r="E100" s="6" t="s">
        <v>22</v>
      </c>
      <c r="F100"/>
    </row>
    <row r="101" spans="5:7" x14ac:dyDescent="0.25">
      <c r="E101" s="6" t="s">
        <v>23</v>
      </c>
      <c r="F101"/>
      <c r="G101" t="s">
        <v>57</v>
      </c>
    </row>
    <row r="102" spans="5:7" x14ac:dyDescent="0.25">
      <c r="E102" s="6" t="s">
        <v>24</v>
      </c>
      <c r="F102"/>
      <c r="G102">
        <f>SUBTOTAL(103,E89:E102)</f>
        <v>14</v>
      </c>
    </row>
    <row r="103" spans="5:7" x14ac:dyDescent="0.25">
      <c r="E103" s="6" t="s">
        <v>27</v>
      </c>
      <c r="F103"/>
    </row>
    <row r="104" spans="5:7" x14ac:dyDescent="0.25">
      <c r="F104"/>
    </row>
    <row r="105" spans="5:7" x14ac:dyDescent="0.25">
      <c r="F105"/>
    </row>
    <row r="106" spans="5:7" x14ac:dyDescent="0.25">
      <c r="F106"/>
    </row>
    <row r="107" spans="5:7" x14ac:dyDescent="0.25">
      <c r="F107"/>
    </row>
    <row r="108" spans="5:7" x14ac:dyDescent="0.25">
      <c r="F108"/>
    </row>
    <row r="109" spans="5:7" x14ac:dyDescent="0.25">
      <c r="F109"/>
    </row>
    <row r="110" spans="5:7" x14ac:dyDescent="0.25">
      <c r="F110"/>
    </row>
    <row r="111" spans="5:7" x14ac:dyDescent="0.25">
      <c r="F111"/>
    </row>
    <row r="112" spans="5:7" x14ac:dyDescent="0.25">
      <c r="F112"/>
    </row>
    <row r="113" spans="6:6" x14ac:dyDescent="0.25">
      <c r="F113"/>
    </row>
    <row r="114" spans="6:6" x14ac:dyDescent="0.25">
      <c r="F114"/>
    </row>
    <row r="115" spans="6:6" x14ac:dyDescent="0.25">
      <c r="F115"/>
    </row>
    <row r="116" spans="6:6" x14ac:dyDescent="0.25">
      <c r="F116"/>
    </row>
    <row r="117" spans="6:6" x14ac:dyDescent="0.25">
      <c r="F117"/>
    </row>
    <row r="118" spans="6:6" x14ac:dyDescent="0.25">
      <c r="F118"/>
    </row>
    <row r="119" spans="6:6" x14ac:dyDescent="0.25">
      <c r="F119"/>
    </row>
    <row r="120" spans="6:6" x14ac:dyDescent="0.25">
      <c r="F120"/>
    </row>
    <row r="121" spans="6:6" x14ac:dyDescent="0.25">
      <c r="F121"/>
    </row>
    <row r="122" spans="6:6" x14ac:dyDescent="0.25">
      <c r="F122"/>
    </row>
    <row r="123" spans="6:6" x14ac:dyDescent="0.25">
      <c r="F123"/>
    </row>
    <row r="124" spans="6:6" x14ac:dyDescent="0.25">
      <c r="F124"/>
    </row>
    <row r="125" spans="6:6" x14ac:dyDescent="0.25">
      <c r="F125"/>
    </row>
    <row r="126" spans="6:6" x14ac:dyDescent="0.25">
      <c r="F126"/>
    </row>
    <row r="127" spans="6:6" x14ac:dyDescent="0.25">
      <c r="F127"/>
    </row>
    <row r="128" spans="6:6" x14ac:dyDescent="0.25">
      <c r="F128"/>
    </row>
    <row r="129" spans="6:6" x14ac:dyDescent="0.25">
      <c r="F129"/>
    </row>
    <row r="130" spans="6:6" x14ac:dyDescent="0.25">
      <c r="F130"/>
    </row>
    <row r="131" spans="6:6" x14ac:dyDescent="0.25">
      <c r="F131"/>
    </row>
    <row r="132" spans="6:6" x14ac:dyDescent="0.25">
      <c r="F132"/>
    </row>
    <row r="133" spans="6:6" x14ac:dyDescent="0.25">
      <c r="F133"/>
    </row>
    <row r="134" spans="6:6" x14ac:dyDescent="0.25">
      <c r="F134"/>
    </row>
    <row r="135" spans="6:6" x14ac:dyDescent="0.25">
      <c r="F135"/>
    </row>
    <row r="136" spans="6:6" x14ac:dyDescent="0.25">
      <c r="F136"/>
    </row>
    <row r="137" spans="6:6" x14ac:dyDescent="0.25">
      <c r="F137"/>
    </row>
    <row r="138" spans="6:6" x14ac:dyDescent="0.25">
      <c r="F138"/>
    </row>
    <row r="139" spans="6:6" x14ac:dyDescent="0.25">
      <c r="F139"/>
    </row>
    <row r="140" spans="6:6" x14ac:dyDescent="0.25">
      <c r="F140"/>
    </row>
    <row r="141" spans="6:6" x14ac:dyDescent="0.25">
      <c r="F141"/>
    </row>
    <row r="142" spans="6:6" x14ac:dyDescent="0.25">
      <c r="F142"/>
    </row>
    <row r="143" spans="6:6" x14ac:dyDescent="0.25">
      <c r="F143"/>
    </row>
    <row r="144" spans="6:6" x14ac:dyDescent="0.25">
      <c r="F144"/>
    </row>
    <row r="145" spans="6:6" x14ac:dyDescent="0.25">
      <c r="F145"/>
    </row>
    <row r="146" spans="6:6" x14ac:dyDescent="0.25">
      <c r="F146"/>
    </row>
    <row r="147" spans="6:6" x14ac:dyDescent="0.25">
      <c r="F147"/>
    </row>
    <row r="148" spans="6:6" x14ac:dyDescent="0.25">
      <c r="F148"/>
    </row>
    <row r="149" spans="6:6" x14ac:dyDescent="0.25">
      <c r="F149"/>
    </row>
    <row r="150" spans="6:6" x14ac:dyDescent="0.25">
      <c r="F150"/>
    </row>
    <row r="151" spans="6:6" x14ac:dyDescent="0.25">
      <c r="F151"/>
    </row>
    <row r="152" spans="6:6" x14ac:dyDescent="0.25">
      <c r="F152"/>
    </row>
    <row r="153" spans="6:6" x14ac:dyDescent="0.25">
      <c r="F153"/>
    </row>
    <row r="154" spans="6:6" x14ac:dyDescent="0.25">
      <c r="F154"/>
    </row>
    <row r="155" spans="6:6" x14ac:dyDescent="0.25">
      <c r="F155"/>
    </row>
    <row r="156" spans="6:6" x14ac:dyDescent="0.25">
      <c r="F156"/>
    </row>
    <row r="157" spans="6:6" x14ac:dyDescent="0.25">
      <c r="F157"/>
    </row>
    <row r="158" spans="6:6" x14ac:dyDescent="0.25">
      <c r="F158"/>
    </row>
    <row r="159" spans="6:6" x14ac:dyDescent="0.25">
      <c r="F159"/>
    </row>
    <row r="160" spans="6:6" x14ac:dyDescent="0.25">
      <c r="F160"/>
    </row>
    <row r="161" spans="6:6" x14ac:dyDescent="0.25">
      <c r="F161"/>
    </row>
    <row r="162" spans="6:6" x14ac:dyDescent="0.25">
      <c r="F162"/>
    </row>
    <row r="163" spans="6:6" x14ac:dyDescent="0.25">
      <c r="F163"/>
    </row>
    <row r="164" spans="6:6" x14ac:dyDescent="0.25">
      <c r="F164"/>
    </row>
    <row r="165" spans="6:6" x14ac:dyDescent="0.25">
      <c r="F165"/>
    </row>
    <row r="166" spans="6:6" x14ac:dyDescent="0.25">
      <c r="F166"/>
    </row>
    <row r="167" spans="6:6" x14ac:dyDescent="0.25">
      <c r="F167"/>
    </row>
    <row r="168" spans="6:6" x14ac:dyDescent="0.25">
      <c r="F168"/>
    </row>
    <row r="169" spans="6:6" x14ac:dyDescent="0.25">
      <c r="F169"/>
    </row>
    <row r="170" spans="6:6" x14ac:dyDescent="0.25">
      <c r="F170"/>
    </row>
    <row r="171" spans="6:6" x14ac:dyDescent="0.25">
      <c r="F171"/>
    </row>
    <row r="172" spans="6:6" x14ac:dyDescent="0.25">
      <c r="F172"/>
    </row>
    <row r="173" spans="6:6" x14ac:dyDescent="0.25">
      <c r="F173"/>
    </row>
    <row r="174" spans="6:6" x14ac:dyDescent="0.25">
      <c r="F174"/>
    </row>
    <row r="175" spans="6:6" x14ac:dyDescent="0.25">
      <c r="F175"/>
    </row>
    <row r="176" spans="6:6" x14ac:dyDescent="0.25">
      <c r="F176"/>
    </row>
    <row r="177" spans="6:6" x14ac:dyDescent="0.25">
      <c r="F177"/>
    </row>
    <row r="178" spans="6:6" x14ac:dyDescent="0.25">
      <c r="F178"/>
    </row>
    <row r="179" spans="6:6" x14ac:dyDescent="0.25">
      <c r="F179"/>
    </row>
    <row r="180" spans="6:6" x14ac:dyDescent="0.25">
      <c r="F180"/>
    </row>
    <row r="181" spans="6:6" x14ac:dyDescent="0.25">
      <c r="F181"/>
    </row>
    <row r="182" spans="6:6" x14ac:dyDescent="0.25">
      <c r="F182"/>
    </row>
    <row r="183" spans="6:6" x14ac:dyDescent="0.25">
      <c r="F183"/>
    </row>
    <row r="184" spans="6:6" x14ac:dyDescent="0.25">
      <c r="F184"/>
    </row>
    <row r="185" spans="6:6" x14ac:dyDescent="0.25">
      <c r="F185"/>
    </row>
    <row r="186" spans="6:6" x14ac:dyDescent="0.25">
      <c r="F186"/>
    </row>
    <row r="187" spans="6:6" x14ac:dyDescent="0.25">
      <c r="F187"/>
    </row>
    <row r="188" spans="6:6" x14ac:dyDescent="0.25">
      <c r="F188"/>
    </row>
    <row r="189" spans="6:6" x14ac:dyDescent="0.25">
      <c r="F189"/>
    </row>
    <row r="190" spans="6:6" x14ac:dyDescent="0.25">
      <c r="F190"/>
    </row>
    <row r="191" spans="6:6" x14ac:dyDescent="0.25">
      <c r="F191"/>
    </row>
    <row r="192" spans="6:6" x14ac:dyDescent="0.25">
      <c r="F192"/>
    </row>
    <row r="193" spans="6:6" x14ac:dyDescent="0.25">
      <c r="F193"/>
    </row>
    <row r="194" spans="6:6" x14ac:dyDescent="0.25">
      <c r="F194"/>
    </row>
    <row r="195" spans="6:6" x14ac:dyDescent="0.25">
      <c r="F195"/>
    </row>
    <row r="196" spans="6:6" x14ac:dyDescent="0.25">
      <c r="F196"/>
    </row>
    <row r="197" spans="6:6" x14ac:dyDescent="0.25">
      <c r="F197"/>
    </row>
    <row r="198" spans="6:6" x14ac:dyDescent="0.25">
      <c r="F198"/>
    </row>
    <row r="199" spans="6:6" x14ac:dyDescent="0.25">
      <c r="F199"/>
    </row>
    <row r="200" spans="6:6" x14ac:dyDescent="0.25">
      <c r="F200"/>
    </row>
    <row r="201" spans="6:6" x14ac:dyDescent="0.25">
      <c r="F201"/>
    </row>
    <row r="202" spans="6:6" x14ac:dyDescent="0.25">
      <c r="F202"/>
    </row>
    <row r="203" spans="6:6" x14ac:dyDescent="0.25">
      <c r="F203"/>
    </row>
    <row r="204" spans="6:6" x14ac:dyDescent="0.25">
      <c r="F204"/>
    </row>
    <row r="205" spans="6:6" x14ac:dyDescent="0.25">
      <c r="F205"/>
    </row>
    <row r="206" spans="6:6" x14ac:dyDescent="0.25">
      <c r="F206"/>
    </row>
    <row r="207" spans="6:6" x14ac:dyDescent="0.25">
      <c r="F207"/>
    </row>
    <row r="208" spans="6:6" x14ac:dyDescent="0.25">
      <c r="F208"/>
    </row>
    <row r="209" spans="6:6" x14ac:dyDescent="0.25">
      <c r="F209"/>
    </row>
    <row r="210" spans="6:6" x14ac:dyDescent="0.25">
      <c r="F210"/>
    </row>
    <row r="211" spans="6:6" x14ac:dyDescent="0.25">
      <c r="F211"/>
    </row>
    <row r="212" spans="6:6" x14ac:dyDescent="0.25">
      <c r="F212"/>
    </row>
    <row r="213" spans="6:6" x14ac:dyDescent="0.25">
      <c r="F213"/>
    </row>
    <row r="214" spans="6:6" x14ac:dyDescent="0.25">
      <c r="F214"/>
    </row>
    <row r="215" spans="6:6" x14ac:dyDescent="0.25">
      <c r="F215"/>
    </row>
    <row r="216" spans="6:6" x14ac:dyDescent="0.25">
      <c r="F216"/>
    </row>
    <row r="217" spans="6:6" x14ac:dyDescent="0.25">
      <c r="F217"/>
    </row>
    <row r="218" spans="6:6" x14ac:dyDescent="0.25">
      <c r="F218"/>
    </row>
    <row r="219" spans="6:6" x14ac:dyDescent="0.25">
      <c r="F219"/>
    </row>
    <row r="220" spans="6:6" x14ac:dyDescent="0.25">
      <c r="F220"/>
    </row>
    <row r="221" spans="6:6" x14ac:dyDescent="0.25">
      <c r="F221"/>
    </row>
    <row r="222" spans="6:6" x14ac:dyDescent="0.25">
      <c r="F222"/>
    </row>
    <row r="223" spans="6:6" x14ac:dyDescent="0.25">
      <c r="F223"/>
    </row>
    <row r="224" spans="6:6" x14ac:dyDescent="0.25">
      <c r="F224"/>
    </row>
    <row r="225" spans="6:6" x14ac:dyDescent="0.25">
      <c r="F225"/>
    </row>
    <row r="226" spans="6:6" x14ac:dyDescent="0.25">
      <c r="F226"/>
    </row>
    <row r="227" spans="6:6" x14ac:dyDescent="0.25">
      <c r="F227"/>
    </row>
    <row r="228" spans="6:6" x14ac:dyDescent="0.25">
      <c r="F228"/>
    </row>
    <row r="229" spans="6:6" x14ac:dyDescent="0.25">
      <c r="F229"/>
    </row>
    <row r="230" spans="6:6" x14ac:dyDescent="0.25">
      <c r="F230"/>
    </row>
    <row r="231" spans="6:6" x14ac:dyDescent="0.25">
      <c r="F231"/>
    </row>
    <row r="232" spans="6:6" x14ac:dyDescent="0.25">
      <c r="F232"/>
    </row>
    <row r="233" spans="6:6" x14ac:dyDescent="0.25">
      <c r="F233"/>
    </row>
    <row r="234" spans="6:6" x14ac:dyDescent="0.25">
      <c r="F234"/>
    </row>
    <row r="235" spans="6:6" x14ac:dyDescent="0.25">
      <c r="F235"/>
    </row>
    <row r="236" spans="6:6" x14ac:dyDescent="0.25">
      <c r="F236"/>
    </row>
    <row r="237" spans="6:6" x14ac:dyDescent="0.25">
      <c r="F237"/>
    </row>
    <row r="238" spans="6:6" x14ac:dyDescent="0.25">
      <c r="F238"/>
    </row>
    <row r="239" spans="6:6" x14ac:dyDescent="0.25">
      <c r="F239"/>
    </row>
    <row r="240" spans="6:6" x14ac:dyDescent="0.25">
      <c r="F240"/>
    </row>
    <row r="241" spans="6:6" x14ac:dyDescent="0.25">
      <c r="F241"/>
    </row>
    <row r="242" spans="6:6" x14ac:dyDescent="0.25">
      <c r="F242"/>
    </row>
    <row r="243" spans="6:6" x14ac:dyDescent="0.25">
      <c r="F243"/>
    </row>
    <row r="244" spans="6:6" x14ac:dyDescent="0.25">
      <c r="F244"/>
    </row>
    <row r="245" spans="6:6" x14ac:dyDescent="0.25">
      <c r="F245"/>
    </row>
    <row r="246" spans="6:6" x14ac:dyDescent="0.25">
      <c r="F246"/>
    </row>
    <row r="247" spans="6:6" x14ac:dyDescent="0.25">
      <c r="F247"/>
    </row>
    <row r="248" spans="6:6" x14ac:dyDescent="0.25">
      <c r="F248"/>
    </row>
    <row r="249" spans="6:6" x14ac:dyDescent="0.25">
      <c r="F249"/>
    </row>
    <row r="250" spans="6:6" x14ac:dyDescent="0.25">
      <c r="F250"/>
    </row>
    <row r="251" spans="6:6" x14ac:dyDescent="0.25">
      <c r="F251"/>
    </row>
    <row r="252" spans="6:6" x14ac:dyDescent="0.25">
      <c r="F252"/>
    </row>
    <row r="253" spans="6:6" x14ac:dyDescent="0.25">
      <c r="F253"/>
    </row>
    <row r="254" spans="6:6" x14ac:dyDescent="0.25">
      <c r="F254"/>
    </row>
    <row r="255" spans="6:6" x14ac:dyDescent="0.25">
      <c r="F255"/>
    </row>
    <row r="256" spans="6:6" x14ac:dyDescent="0.25">
      <c r="F256"/>
    </row>
    <row r="257" spans="6:6" x14ac:dyDescent="0.25">
      <c r="F257"/>
    </row>
    <row r="258" spans="6:6" x14ac:dyDescent="0.25">
      <c r="F258"/>
    </row>
    <row r="259" spans="6:6" x14ac:dyDescent="0.25">
      <c r="F259"/>
    </row>
    <row r="260" spans="6:6" x14ac:dyDescent="0.25">
      <c r="F260"/>
    </row>
    <row r="261" spans="6:6" x14ac:dyDescent="0.25">
      <c r="F261"/>
    </row>
    <row r="262" spans="6:6" x14ac:dyDescent="0.25">
      <c r="F262"/>
    </row>
    <row r="263" spans="6:6" x14ac:dyDescent="0.25">
      <c r="F263"/>
    </row>
    <row r="264" spans="6:6" x14ac:dyDescent="0.25">
      <c r="F264"/>
    </row>
    <row r="265" spans="6:6" x14ac:dyDescent="0.25">
      <c r="F265"/>
    </row>
    <row r="266" spans="6:6" x14ac:dyDescent="0.25">
      <c r="F266"/>
    </row>
    <row r="267" spans="6:6" x14ac:dyDescent="0.25">
      <c r="F267"/>
    </row>
    <row r="268" spans="6:6" x14ac:dyDescent="0.25">
      <c r="F268"/>
    </row>
    <row r="269" spans="6:6" x14ac:dyDescent="0.25">
      <c r="F269"/>
    </row>
    <row r="270" spans="6:6" x14ac:dyDescent="0.25">
      <c r="F270"/>
    </row>
    <row r="271" spans="6:6" x14ac:dyDescent="0.25">
      <c r="F271"/>
    </row>
    <row r="272" spans="6:6" x14ac:dyDescent="0.25">
      <c r="F272"/>
    </row>
    <row r="273" spans="6:6" x14ac:dyDescent="0.25">
      <c r="F273"/>
    </row>
    <row r="274" spans="6:6" x14ac:dyDescent="0.25">
      <c r="F274"/>
    </row>
    <row r="275" spans="6:6" x14ac:dyDescent="0.25">
      <c r="F275"/>
    </row>
    <row r="276" spans="6:6" x14ac:dyDescent="0.25">
      <c r="F276"/>
    </row>
    <row r="277" spans="6:6" x14ac:dyDescent="0.25">
      <c r="F277"/>
    </row>
    <row r="278" spans="6:6" x14ac:dyDescent="0.25">
      <c r="F278"/>
    </row>
    <row r="279" spans="6:6" x14ac:dyDescent="0.25">
      <c r="F279"/>
    </row>
    <row r="280" spans="6:6" x14ac:dyDescent="0.25">
      <c r="F280"/>
    </row>
    <row r="281" spans="6:6" x14ac:dyDescent="0.25">
      <c r="F281"/>
    </row>
    <row r="282" spans="6:6" x14ac:dyDescent="0.25">
      <c r="F282"/>
    </row>
    <row r="283" spans="6:6" x14ac:dyDescent="0.25">
      <c r="F283"/>
    </row>
    <row r="284" spans="6:6" x14ac:dyDescent="0.25">
      <c r="F284"/>
    </row>
    <row r="285" spans="6:6" x14ac:dyDescent="0.25">
      <c r="F285"/>
    </row>
    <row r="286" spans="6:6" x14ac:dyDescent="0.25">
      <c r="F286"/>
    </row>
    <row r="287" spans="6:6" x14ac:dyDescent="0.25">
      <c r="F287"/>
    </row>
    <row r="288" spans="6:6" x14ac:dyDescent="0.25">
      <c r="F288"/>
    </row>
    <row r="289" spans="6:6" x14ac:dyDescent="0.25">
      <c r="F289"/>
    </row>
    <row r="290" spans="6:6" x14ac:dyDescent="0.25">
      <c r="F290"/>
    </row>
    <row r="291" spans="6:6" x14ac:dyDescent="0.25">
      <c r="F291"/>
    </row>
    <row r="292" spans="6:6" x14ac:dyDescent="0.25">
      <c r="F292"/>
    </row>
    <row r="293" spans="6:6" x14ac:dyDescent="0.25">
      <c r="F293"/>
    </row>
    <row r="294" spans="6:6" x14ac:dyDescent="0.25">
      <c r="F294"/>
    </row>
    <row r="295" spans="6:6" x14ac:dyDescent="0.25">
      <c r="F295"/>
    </row>
    <row r="296" spans="6:6" x14ac:dyDescent="0.25">
      <c r="F296"/>
    </row>
    <row r="297" spans="6:6" x14ac:dyDescent="0.25">
      <c r="F297"/>
    </row>
    <row r="298" spans="6:6" x14ac:dyDescent="0.25">
      <c r="F298"/>
    </row>
    <row r="299" spans="6:6" x14ac:dyDescent="0.25">
      <c r="F299"/>
    </row>
    <row r="300" spans="6:6" x14ac:dyDescent="0.25">
      <c r="F300"/>
    </row>
    <row r="301" spans="6:6" x14ac:dyDescent="0.25">
      <c r="F301"/>
    </row>
    <row r="302" spans="6:6" x14ac:dyDescent="0.25">
      <c r="F302"/>
    </row>
    <row r="303" spans="6:6" x14ac:dyDescent="0.25">
      <c r="F303"/>
    </row>
    <row r="304" spans="6:6" x14ac:dyDescent="0.25">
      <c r="F304"/>
    </row>
    <row r="305" spans="6:6" x14ac:dyDescent="0.25">
      <c r="F305"/>
    </row>
    <row r="306" spans="6:6" x14ac:dyDescent="0.25">
      <c r="F306"/>
    </row>
    <row r="307" spans="6:6" x14ac:dyDescent="0.25">
      <c r="F307"/>
    </row>
    <row r="308" spans="6:6" x14ac:dyDescent="0.25">
      <c r="F308"/>
    </row>
    <row r="309" spans="6:6" x14ac:dyDescent="0.25">
      <c r="F309"/>
    </row>
    <row r="310" spans="6:6" x14ac:dyDescent="0.25">
      <c r="F310"/>
    </row>
    <row r="311" spans="6:6" x14ac:dyDescent="0.25">
      <c r="F311"/>
    </row>
    <row r="312" spans="6:6" x14ac:dyDescent="0.25">
      <c r="F312"/>
    </row>
    <row r="313" spans="6:6" x14ac:dyDescent="0.25">
      <c r="F313"/>
    </row>
    <row r="314" spans="6:6" x14ac:dyDescent="0.25">
      <c r="F314"/>
    </row>
    <row r="315" spans="6:6" x14ac:dyDescent="0.25">
      <c r="F315"/>
    </row>
    <row r="316" spans="6:6" x14ac:dyDescent="0.25">
      <c r="F316"/>
    </row>
    <row r="317" spans="6:6" x14ac:dyDescent="0.25">
      <c r="F317"/>
    </row>
    <row r="318" spans="6:6" x14ac:dyDescent="0.25">
      <c r="F318"/>
    </row>
    <row r="319" spans="6:6" x14ac:dyDescent="0.25">
      <c r="F319"/>
    </row>
    <row r="320" spans="6:6" x14ac:dyDescent="0.25">
      <c r="F320"/>
    </row>
    <row r="321" spans="6:6" x14ac:dyDescent="0.25">
      <c r="F321"/>
    </row>
    <row r="322" spans="6:6" x14ac:dyDescent="0.25">
      <c r="F322"/>
    </row>
    <row r="323" spans="6:6" x14ac:dyDescent="0.25">
      <c r="F323"/>
    </row>
    <row r="324" spans="6:6" x14ac:dyDescent="0.25">
      <c r="F324"/>
    </row>
    <row r="325" spans="6:6" x14ac:dyDescent="0.25">
      <c r="F325"/>
    </row>
    <row r="326" spans="6:6" x14ac:dyDescent="0.25">
      <c r="F326"/>
    </row>
    <row r="327" spans="6:6" x14ac:dyDescent="0.25">
      <c r="F327"/>
    </row>
    <row r="328" spans="6:6" x14ac:dyDescent="0.25">
      <c r="F328"/>
    </row>
    <row r="329" spans="6:6" x14ac:dyDescent="0.25">
      <c r="F329"/>
    </row>
    <row r="330" spans="6:6" x14ac:dyDescent="0.25">
      <c r="F330"/>
    </row>
    <row r="331" spans="6:6" x14ac:dyDescent="0.25">
      <c r="F331"/>
    </row>
    <row r="332" spans="6:6" x14ac:dyDescent="0.25">
      <c r="F332"/>
    </row>
    <row r="333" spans="6:6" x14ac:dyDescent="0.25">
      <c r="F333"/>
    </row>
    <row r="334" spans="6:6" x14ac:dyDescent="0.25">
      <c r="F334"/>
    </row>
    <row r="335" spans="6:6" x14ac:dyDescent="0.25">
      <c r="F335"/>
    </row>
    <row r="336" spans="6:6" x14ac:dyDescent="0.25">
      <c r="F336"/>
    </row>
    <row r="337" spans="6:6" x14ac:dyDescent="0.25">
      <c r="F337"/>
    </row>
    <row r="338" spans="6:6" x14ac:dyDescent="0.25">
      <c r="F338"/>
    </row>
    <row r="339" spans="6:6" x14ac:dyDescent="0.25">
      <c r="F339"/>
    </row>
    <row r="340" spans="6:6" x14ac:dyDescent="0.25">
      <c r="F340"/>
    </row>
    <row r="341" spans="6:6" x14ac:dyDescent="0.25">
      <c r="F341"/>
    </row>
    <row r="342" spans="6:6" x14ac:dyDescent="0.25">
      <c r="F342"/>
    </row>
    <row r="343" spans="6:6" x14ac:dyDescent="0.25">
      <c r="F343"/>
    </row>
    <row r="344" spans="6:6" x14ac:dyDescent="0.25">
      <c r="F344"/>
    </row>
    <row r="345" spans="6:6" x14ac:dyDescent="0.25">
      <c r="F345"/>
    </row>
    <row r="346" spans="6:6" x14ac:dyDescent="0.25">
      <c r="F346"/>
    </row>
    <row r="347" spans="6:6" x14ac:dyDescent="0.25">
      <c r="F347"/>
    </row>
    <row r="348" spans="6:6" x14ac:dyDescent="0.25">
      <c r="F348"/>
    </row>
    <row r="349" spans="6:6" x14ac:dyDescent="0.25">
      <c r="F349"/>
    </row>
    <row r="350" spans="6:6" x14ac:dyDescent="0.25">
      <c r="F350"/>
    </row>
    <row r="351" spans="6:6" x14ac:dyDescent="0.25">
      <c r="F351"/>
    </row>
    <row r="352" spans="6:6" x14ac:dyDescent="0.25">
      <c r="F352"/>
    </row>
    <row r="353" spans="6:6" x14ac:dyDescent="0.25">
      <c r="F353"/>
    </row>
    <row r="354" spans="6:6" x14ac:dyDescent="0.25">
      <c r="F354"/>
    </row>
    <row r="355" spans="6:6" x14ac:dyDescent="0.25">
      <c r="F355"/>
    </row>
    <row r="356" spans="6:6" x14ac:dyDescent="0.25">
      <c r="F356"/>
    </row>
    <row r="357" spans="6:6" x14ac:dyDescent="0.25">
      <c r="F357"/>
    </row>
    <row r="358" spans="6:6" x14ac:dyDescent="0.25">
      <c r="F358"/>
    </row>
    <row r="359" spans="6:6" x14ac:dyDescent="0.25">
      <c r="F359"/>
    </row>
    <row r="360" spans="6:6" x14ac:dyDescent="0.25">
      <c r="F360"/>
    </row>
    <row r="361" spans="6:6" x14ac:dyDescent="0.25">
      <c r="F361"/>
    </row>
    <row r="362" spans="6:6" x14ac:dyDescent="0.25">
      <c r="F362"/>
    </row>
    <row r="363" spans="6:6" x14ac:dyDescent="0.25">
      <c r="F363"/>
    </row>
    <row r="364" spans="6:6" x14ac:dyDescent="0.25">
      <c r="F364"/>
    </row>
    <row r="365" spans="6:6" x14ac:dyDescent="0.25">
      <c r="F365"/>
    </row>
    <row r="366" spans="6:6" x14ac:dyDescent="0.25">
      <c r="F366"/>
    </row>
    <row r="367" spans="6:6" x14ac:dyDescent="0.25">
      <c r="F367"/>
    </row>
    <row r="368" spans="6:6" x14ac:dyDescent="0.25">
      <c r="F368"/>
    </row>
    <row r="369" spans="6:6" x14ac:dyDescent="0.25">
      <c r="F369"/>
    </row>
    <row r="370" spans="6:6" x14ac:dyDescent="0.25">
      <c r="F370"/>
    </row>
    <row r="371" spans="6:6" x14ac:dyDescent="0.25">
      <c r="F371"/>
    </row>
    <row r="372" spans="6:6" x14ac:dyDescent="0.25">
      <c r="F372"/>
    </row>
    <row r="373" spans="6:6" x14ac:dyDescent="0.25">
      <c r="F373"/>
    </row>
    <row r="374" spans="6:6" x14ac:dyDescent="0.25">
      <c r="F374"/>
    </row>
    <row r="375" spans="6:6" x14ac:dyDescent="0.25">
      <c r="F375"/>
    </row>
    <row r="376" spans="6:6" x14ac:dyDescent="0.25">
      <c r="F376"/>
    </row>
    <row r="377" spans="6:6" x14ac:dyDescent="0.25">
      <c r="F377"/>
    </row>
    <row r="378" spans="6:6" x14ac:dyDescent="0.25">
      <c r="F378"/>
    </row>
    <row r="379" spans="6:6" x14ac:dyDescent="0.25">
      <c r="F379"/>
    </row>
    <row r="380" spans="6:6" x14ac:dyDescent="0.25">
      <c r="F380"/>
    </row>
    <row r="381" spans="6:6" x14ac:dyDescent="0.25">
      <c r="F381"/>
    </row>
    <row r="382" spans="6:6" x14ac:dyDescent="0.25">
      <c r="F382"/>
    </row>
    <row r="383" spans="6:6" x14ac:dyDescent="0.25">
      <c r="F383"/>
    </row>
    <row r="384" spans="6:6" x14ac:dyDescent="0.25">
      <c r="F384"/>
    </row>
    <row r="385" spans="6:6" x14ac:dyDescent="0.25">
      <c r="F385"/>
    </row>
    <row r="386" spans="6:6" x14ac:dyDescent="0.25">
      <c r="F386"/>
    </row>
    <row r="387" spans="6:6" x14ac:dyDescent="0.25">
      <c r="F387"/>
    </row>
    <row r="388" spans="6:6" x14ac:dyDescent="0.25">
      <c r="F388"/>
    </row>
    <row r="389" spans="6:6" x14ac:dyDescent="0.25">
      <c r="F389"/>
    </row>
    <row r="390" spans="6:6" x14ac:dyDescent="0.25">
      <c r="F390"/>
    </row>
    <row r="391" spans="6:6" x14ac:dyDescent="0.25">
      <c r="F391"/>
    </row>
    <row r="392" spans="6:6" x14ac:dyDescent="0.25">
      <c r="F392"/>
    </row>
    <row r="393" spans="6:6" x14ac:dyDescent="0.25">
      <c r="F393"/>
    </row>
    <row r="394" spans="6:6" x14ac:dyDescent="0.25">
      <c r="F394"/>
    </row>
    <row r="395" spans="6:6" x14ac:dyDescent="0.25">
      <c r="F395"/>
    </row>
    <row r="396" spans="6:6" x14ac:dyDescent="0.25">
      <c r="F396"/>
    </row>
    <row r="397" spans="6:6" x14ac:dyDescent="0.25">
      <c r="F397"/>
    </row>
    <row r="398" spans="6:6" x14ac:dyDescent="0.25">
      <c r="F398"/>
    </row>
    <row r="399" spans="6:6" x14ac:dyDescent="0.25">
      <c r="F399"/>
    </row>
    <row r="400" spans="6:6" x14ac:dyDescent="0.25">
      <c r="F400"/>
    </row>
    <row r="401" spans="6:6" x14ac:dyDescent="0.25">
      <c r="F401"/>
    </row>
    <row r="402" spans="6:6" x14ac:dyDescent="0.25">
      <c r="F402"/>
    </row>
    <row r="403" spans="6:6" x14ac:dyDescent="0.25">
      <c r="F403"/>
    </row>
    <row r="404" spans="6:6" x14ac:dyDescent="0.25">
      <c r="F404"/>
    </row>
    <row r="405" spans="6:6" x14ac:dyDescent="0.25">
      <c r="F405"/>
    </row>
    <row r="406" spans="6:6" x14ac:dyDescent="0.25">
      <c r="F406"/>
    </row>
    <row r="407" spans="6:6" x14ac:dyDescent="0.25">
      <c r="F407"/>
    </row>
    <row r="408" spans="6:6" x14ac:dyDescent="0.25">
      <c r="F408"/>
    </row>
    <row r="409" spans="6:6" x14ac:dyDescent="0.25">
      <c r="F409"/>
    </row>
    <row r="410" spans="6:6" x14ac:dyDescent="0.25">
      <c r="F410"/>
    </row>
    <row r="411" spans="6:6" x14ac:dyDescent="0.25">
      <c r="F411"/>
    </row>
    <row r="412" spans="6:6" x14ac:dyDescent="0.25">
      <c r="F412"/>
    </row>
    <row r="413" spans="6:6" x14ac:dyDescent="0.25">
      <c r="F413"/>
    </row>
    <row r="414" spans="6:6" x14ac:dyDescent="0.25">
      <c r="F414"/>
    </row>
    <row r="415" spans="6:6" x14ac:dyDescent="0.25">
      <c r="F415"/>
    </row>
    <row r="416" spans="6:6" x14ac:dyDescent="0.25">
      <c r="F416"/>
    </row>
    <row r="417" spans="6:6" x14ac:dyDescent="0.25">
      <c r="F417"/>
    </row>
    <row r="418" spans="6:6" x14ac:dyDescent="0.25">
      <c r="F418"/>
    </row>
    <row r="419" spans="6:6" x14ac:dyDescent="0.25">
      <c r="F419"/>
    </row>
    <row r="420" spans="6:6" x14ac:dyDescent="0.25">
      <c r="F420"/>
    </row>
    <row r="421" spans="6:6" x14ac:dyDescent="0.25">
      <c r="F421"/>
    </row>
    <row r="422" spans="6:6" x14ac:dyDescent="0.25">
      <c r="F422"/>
    </row>
    <row r="423" spans="6:6" x14ac:dyDescent="0.25">
      <c r="F423"/>
    </row>
    <row r="424" spans="6:6" x14ac:dyDescent="0.25">
      <c r="F424"/>
    </row>
    <row r="425" spans="6:6" x14ac:dyDescent="0.25">
      <c r="F425"/>
    </row>
    <row r="426" spans="6:6" x14ac:dyDescent="0.25">
      <c r="F426"/>
    </row>
    <row r="427" spans="6:6" x14ac:dyDescent="0.25">
      <c r="F427"/>
    </row>
    <row r="428" spans="6:6" x14ac:dyDescent="0.25">
      <c r="F428"/>
    </row>
    <row r="429" spans="6:6" x14ac:dyDescent="0.25">
      <c r="F429"/>
    </row>
    <row r="430" spans="6:6" x14ac:dyDescent="0.25">
      <c r="F430"/>
    </row>
    <row r="431" spans="6:6" x14ac:dyDescent="0.25">
      <c r="F431"/>
    </row>
    <row r="432" spans="6:6" x14ac:dyDescent="0.25">
      <c r="F432"/>
    </row>
    <row r="433" spans="6:6" x14ac:dyDescent="0.25">
      <c r="F433"/>
    </row>
    <row r="434" spans="6:6" x14ac:dyDescent="0.25">
      <c r="F434"/>
    </row>
    <row r="435" spans="6:6" x14ac:dyDescent="0.25">
      <c r="F435"/>
    </row>
    <row r="436" spans="6:6" x14ac:dyDescent="0.25">
      <c r="F436"/>
    </row>
    <row r="437" spans="6:6" x14ac:dyDescent="0.25">
      <c r="F437"/>
    </row>
    <row r="438" spans="6:6" x14ac:dyDescent="0.25">
      <c r="F438"/>
    </row>
    <row r="439" spans="6:6" x14ac:dyDescent="0.25">
      <c r="F439"/>
    </row>
    <row r="440" spans="6:6" x14ac:dyDescent="0.25">
      <c r="F440"/>
    </row>
    <row r="441" spans="6:6" x14ac:dyDescent="0.25">
      <c r="F441"/>
    </row>
    <row r="442" spans="6:6" x14ac:dyDescent="0.25">
      <c r="F442"/>
    </row>
    <row r="443" spans="6:6" x14ac:dyDescent="0.25">
      <c r="F443"/>
    </row>
    <row r="444" spans="6:6" x14ac:dyDescent="0.25">
      <c r="F444"/>
    </row>
    <row r="445" spans="6:6" x14ac:dyDescent="0.25">
      <c r="F445"/>
    </row>
    <row r="446" spans="6:6" x14ac:dyDescent="0.25">
      <c r="F446"/>
    </row>
    <row r="447" spans="6:6" x14ac:dyDescent="0.25">
      <c r="F447"/>
    </row>
    <row r="448" spans="6:6" x14ac:dyDescent="0.25">
      <c r="F448"/>
    </row>
    <row r="449" spans="6:6" x14ac:dyDescent="0.25">
      <c r="F449"/>
    </row>
    <row r="450" spans="6:6" x14ac:dyDescent="0.25">
      <c r="F450"/>
    </row>
    <row r="451" spans="6:6" x14ac:dyDescent="0.25">
      <c r="F451"/>
    </row>
    <row r="452" spans="6:6" x14ac:dyDescent="0.25">
      <c r="F452"/>
    </row>
    <row r="453" spans="6:6" x14ac:dyDescent="0.25">
      <c r="F453"/>
    </row>
    <row r="454" spans="6:6" x14ac:dyDescent="0.25">
      <c r="F454"/>
    </row>
    <row r="455" spans="6:6" x14ac:dyDescent="0.25">
      <c r="F455"/>
    </row>
    <row r="456" spans="6:6" x14ac:dyDescent="0.25">
      <c r="F456"/>
    </row>
    <row r="457" spans="6:6" x14ac:dyDescent="0.25">
      <c r="F457"/>
    </row>
    <row r="458" spans="6:6" x14ac:dyDescent="0.25">
      <c r="F458"/>
    </row>
    <row r="459" spans="6:6" x14ac:dyDescent="0.25">
      <c r="F459"/>
    </row>
    <row r="460" spans="6:6" x14ac:dyDescent="0.25">
      <c r="F460"/>
    </row>
    <row r="461" spans="6:6" x14ac:dyDescent="0.25">
      <c r="F461"/>
    </row>
    <row r="462" spans="6:6" x14ac:dyDescent="0.25">
      <c r="F462"/>
    </row>
    <row r="463" spans="6:6" x14ac:dyDescent="0.25">
      <c r="F463"/>
    </row>
    <row r="464" spans="6:6" x14ac:dyDescent="0.25">
      <c r="F464"/>
    </row>
    <row r="465" spans="6:6" x14ac:dyDescent="0.25">
      <c r="F465"/>
    </row>
    <row r="466" spans="6:6" x14ac:dyDescent="0.25">
      <c r="F466"/>
    </row>
    <row r="467" spans="6:6" x14ac:dyDescent="0.25">
      <c r="F467"/>
    </row>
    <row r="468" spans="6:6" x14ac:dyDescent="0.25">
      <c r="F468"/>
    </row>
    <row r="469" spans="6:6" x14ac:dyDescent="0.25">
      <c r="F469"/>
    </row>
    <row r="470" spans="6:6" x14ac:dyDescent="0.25">
      <c r="F470"/>
    </row>
    <row r="471" spans="6:6" x14ac:dyDescent="0.25">
      <c r="F471"/>
    </row>
    <row r="472" spans="6:6" x14ac:dyDescent="0.25">
      <c r="F472"/>
    </row>
    <row r="473" spans="6:6" x14ac:dyDescent="0.25">
      <c r="F473"/>
    </row>
    <row r="474" spans="6:6" x14ac:dyDescent="0.25">
      <c r="F474"/>
    </row>
    <row r="475" spans="6:6" x14ac:dyDescent="0.25">
      <c r="F475"/>
    </row>
    <row r="476" spans="6:6" x14ac:dyDescent="0.25">
      <c r="F476"/>
    </row>
    <row r="477" spans="6:6" x14ac:dyDescent="0.25">
      <c r="F477"/>
    </row>
    <row r="478" spans="6:6" x14ac:dyDescent="0.25">
      <c r="F478"/>
    </row>
    <row r="479" spans="6:6" x14ac:dyDescent="0.25">
      <c r="F479"/>
    </row>
    <row r="480" spans="6:6" x14ac:dyDescent="0.25">
      <c r="F480"/>
    </row>
    <row r="481" spans="6:6" x14ac:dyDescent="0.25">
      <c r="F481"/>
    </row>
    <row r="482" spans="6:6" x14ac:dyDescent="0.25">
      <c r="F482"/>
    </row>
    <row r="483" spans="6:6" x14ac:dyDescent="0.25">
      <c r="F483"/>
    </row>
    <row r="484" spans="6:6" x14ac:dyDescent="0.25">
      <c r="F484"/>
    </row>
    <row r="485" spans="6:6" x14ac:dyDescent="0.25">
      <c r="F485"/>
    </row>
    <row r="486" spans="6:6" x14ac:dyDescent="0.25">
      <c r="F486"/>
    </row>
    <row r="487" spans="6:6" x14ac:dyDescent="0.25">
      <c r="F487"/>
    </row>
    <row r="488" spans="6:6" x14ac:dyDescent="0.25">
      <c r="F488"/>
    </row>
    <row r="489" spans="6:6" x14ac:dyDescent="0.25">
      <c r="F489"/>
    </row>
    <row r="490" spans="6:6" x14ac:dyDescent="0.25">
      <c r="F490"/>
    </row>
    <row r="491" spans="6:6" x14ac:dyDescent="0.25">
      <c r="F491"/>
    </row>
    <row r="492" spans="6:6" x14ac:dyDescent="0.25">
      <c r="F492"/>
    </row>
    <row r="493" spans="6:6" x14ac:dyDescent="0.25">
      <c r="F493"/>
    </row>
    <row r="494" spans="6:6" x14ac:dyDescent="0.25">
      <c r="F494"/>
    </row>
    <row r="495" spans="6:6" x14ac:dyDescent="0.25">
      <c r="F495"/>
    </row>
    <row r="496" spans="6:6" x14ac:dyDescent="0.25">
      <c r="F496"/>
    </row>
    <row r="497" spans="6:6" x14ac:dyDescent="0.25">
      <c r="F497"/>
    </row>
    <row r="498" spans="6:6" x14ac:dyDescent="0.25">
      <c r="F498"/>
    </row>
    <row r="499" spans="6:6" x14ac:dyDescent="0.25">
      <c r="F499"/>
    </row>
    <row r="500" spans="6:6" x14ac:dyDescent="0.25">
      <c r="F500"/>
    </row>
    <row r="501" spans="6:6" x14ac:dyDescent="0.25">
      <c r="F501"/>
    </row>
    <row r="502" spans="6:6" x14ac:dyDescent="0.25">
      <c r="F502"/>
    </row>
    <row r="503" spans="6:6" x14ac:dyDescent="0.25">
      <c r="F503"/>
    </row>
    <row r="504" spans="6:6" x14ac:dyDescent="0.25">
      <c r="F504"/>
    </row>
    <row r="505" spans="6:6" x14ac:dyDescent="0.25">
      <c r="F505"/>
    </row>
    <row r="506" spans="6:6" x14ac:dyDescent="0.25">
      <c r="F506"/>
    </row>
    <row r="507" spans="6:6" x14ac:dyDescent="0.25">
      <c r="F507"/>
    </row>
    <row r="508" spans="6:6" x14ac:dyDescent="0.25">
      <c r="F508"/>
    </row>
    <row r="509" spans="6:6" x14ac:dyDescent="0.25">
      <c r="F509"/>
    </row>
    <row r="510" spans="6:6" x14ac:dyDescent="0.25">
      <c r="F510"/>
    </row>
    <row r="511" spans="6:6" x14ac:dyDescent="0.25">
      <c r="F511"/>
    </row>
    <row r="512" spans="6:6" x14ac:dyDescent="0.25">
      <c r="F512"/>
    </row>
    <row r="513" spans="6:6" x14ac:dyDescent="0.25">
      <c r="F513"/>
    </row>
    <row r="514" spans="6:6" x14ac:dyDescent="0.25">
      <c r="F514"/>
    </row>
    <row r="515" spans="6:6" x14ac:dyDescent="0.25">
      <c r="F515"/>
    </row>
    <row r="516" spans="6:6" x14ac:dyDescent="0.25">
      <c r="F516"/>
    </row>
    <row r="517" spans="6:6" x14ac:dyDescent="0.25">
      <c r="F517"/>
    </row>
    <row r="518" spans="6:6" x14ac:dyDescent="0.25">
      <c r="F518"/>
    </row>
    <row r="519" spans="6:6" x14ac:dyDescent="0.25">
      <c r="F519"/>
    </row>
    <row r="520" spans="6:6" x14ac:dyDescent="0.25">
      <c r="F520"/>
    </row>
    <row r="521" spans="6:6" x14ac:dyDescent="0.25">
      <c r="F521"/>
    </row>
    <row r="522" spans="6:6" x14ac:dyDescent="0.25">
      <c r="F522"/>
    </row>
    <row r="523" spans="6:6" x14ac:dyDescent="0.25">
      <c r="F523"/>
    </row>
    <row r="524" spans="6:6" x14ac:dyDescent="0.25">
      <c r="F524"/>
    </row>
    <row r="525" spans="6:6" x14ac:dyDescent="0.25">
      <c r="F525"/>
    </row>
    <row r="526" spans="6:6" x14ac:dyDescent="0.25">
      <c r="F526"/>
    </row>
    <row r="527" spans="6:6" x14ac:dyDescent="0.25">
      <c r="F527"/>
    </row>
    <row r="528" spans="6:6" x14ac:dyDescent="0.25">
      <c r="F528"/>
    </row>
    <row r="529" spans="6:6" x14ac:dyDescent="0.25">
      <c r="F529"/>
    </row>
    <row r="530" spans="6:6" x14ac:dyDescent="0.25">
      <c r="F530"/>
    </row>
    <row r="531" spans="6:6" x14ac:dyDescent="0.25">
      <c r="F531"/>
    </row>
    <row r="532" spans="6:6" x14ac:dyDescent="0.25">
      <c r="F532"/>
    </row>
    <row r="533" spans="6:6" x14ac:dyDescent="0.25">
      <c r="F533"/>
    </row>
    <row r="534" spans="6:6" x14ac:dyDescent="0.25">
      <c r="F534"/>
    </row>
    <row r="535" spans="6:6" x14ac:dyDescent="0.25">
      <c r="F535"/>
    </row>
    <row r="536" spans="6:6" x14ac:dyDescent="0.25">
      <c r="F536"/>
    </row>
    <row r="537" spans="6:6" x14ac:dyDescent="0.25">
      <c r="F537"/>
    </row>
    <row r="538" spans="6:6" x14ac:dyDescent="0.25">
      <c r="F538"/>
    </row>
    <row r="539" spans="6:6" x14ac:dyDescent="0.25">
      <c r="F539"/>
    </row>
    <row r="540" spans="6:6" x14ac:dyDescent="0.25">
      <c r="F540"/>
    </row>
    <row r="541" spans="6:6" x14ac:dyDescent="0.25">
      <c r="F541"/>
    </row>
    <row r="542" spans="6:6" x14ac:dyDescent="0.25">
      <c r="F542"/>
    </row>
    <row r="543" spans="6:6" x14ac:dyDescent="0.25">
      <c r="F543"/>
    </row>
    <row r="544" spans="6:6" x14ac:dyDescent="0.25">
      <c r="F544"/>
    </row>
    <row r="545" spans="6:6" x14ac:dyDescent="0.25">
      <c r="F545"/>
    </row>
    <row r="546" spans="6:6" x14ac:dyDescent="0.25">
      <c r="F546"/>
    </row>
    <row r="547" spans="6:6" x14ac:dyDescent="0.25">
      <c r="F547"/>
    </row>
    <row r="548" spans="6:6" x14ac:dyDescent="0.25">
      <c r="F548"/>
    </row>
    <row r="549" spans="6:6" x14ac:dyDescent="0.25">
      <c r="F549"/>
    </row>
    <row r="550" spans="6:6" x14ac:dyDescent="0.25">
      <c r="F550"/>
    </row>
    <row r="551" spans="6:6" x14ac:dyDescent="0.25">
      <c r="F551"/>
    </row>
    <row r="552" spans="6:6" x14ac:dyDescent="0.25">
      <c r="F552"/>
    </row>
    <row r="553" spans="6:6" x14ac:dyDescent="0.25">
      <c r="F553"/>
    </row>
    <row r="554" spans="6:6" x14ac:dyDescent="0.25">
      <c r="F554"/>
    </row>
    <row r="555" spans="6:6" x14ac:dyDescent="0.25">
      <c r="F555"/>
    </row>
    <row r="556" spans="6:6" x14ac:dyDescent="0.25">
      <c r="F556"/>
    </row>
    <row r="557" spans="6:6" x14ac:dyDescent="0.25">
      <c r="F557"/>
    </row>
    <row r="558" spans="6:6" x14ac:dyDescent="0.25">
      <c r="F558"/>
    </row>
    <row r="559" spans="6:6" x14ac:dyDescent="0.25">
      <c r="F559"/>
    </row>
    <row r="560" spans="6:6" x14ac:dyDescent="0.25">
      <c r="F560"/>
    </row>
    <row r="561" spans="6:6" x14ac:dyDescent="0.25">
      <c r="F561"/>
    </row>
    <row r="562" spans="6:6" x14ac:dyDescent="0.25">
      <c r="F562"/>
    </row>
    <row r="563" spans="6:6" x14ac:dyDescent="0.25">
      <c r="F563"/>
    </row>
    <row r="564" spans="6:6" x14ac:dyDescent="0.25">
      <c r="F564"/>
    </row>
    <row r="565" spans="6:6" x14ac:dyDescent="0.25">
      <c r="F565"/>
    </row>
    <row r="566" spans="6:6" x14ac:dyDescent="0.25">
      <c r="F566"/>
    </row>
    <row r="567" spans="6:6" x14ac:dyDescent="0.25">
      <c r="F567"/>
    </row>
    <row r="568" spans="6:6" x14ac:dyDescent="0.25">
      <c r="F568"/>
    </row>
    <row r="569" spans="6:6" x14ac:dyDescent="0.25">
      <c r="F569"/>
    </row>
    <row r="570" spans="6:6" x14ac:dyDescent="0.25">
      <c r="F570"/>
    </row>
    <row r="571" spans="6:6" x14ac:dyDescent="0.25">
      <c r="F571"/>
    </row>
    <row r="572" spans="6:6" x14ac:dyDescent="0.25">
      <c r="F572"/>
    </row>
    <row r="573" spans="6:6" x14ac:dyDescent="0.25">
      <c r="F573"/>
    </row>
    <row r="574" spans="6:6" x14ac:dyDescent="0.25">
      <c r="F574"/>
    </row>
    <row r="575" spans="6:6" x14ac:dyDescent="0.25">
      <c r="F575"/>
    </row>
    <row r="576" spans="6:6" x14ac:dyDescent="0.25">
      <c r="F576"/>
    </row>
    <row r="577" spans="6:6" x14ac:dyDescent="0.25">
      <c r="F577"/>
    </row>
    <row r="578" spans="6:6" x14ac:dyDescent="0.25">
      <c r="F578"/>
    </row>
    <row r="579" spans="6:6" x14ac:dyDescent="0.25">
      <c r="F579"/>
    </row>
    <row r="580" spans="6:6" x14ac:dyDescent="0.25">
      <c r="F580"/>
    </row>
    <row r="581" spans="6:6" x14ac:dyDescent="0.25">
      <c r="F581"/>
    </row>
    <row r="582" spans="6:6" x14ac:dyDescent="0.25">
      <c r="F582"/>
    </row>
    <row r="583" spans="6:6" x14ac:dyDescent="0.25">
      <c r="F583"/>
    </row>
    <row r="584" spans="6:6" x14ac:dyDescent="0.25">
      <c r="F584"/>
    </row>
    <row r="585" spans="6:6" x14ac:dyDescent="0.25">
      <c r="F585"/>
    </row>
    <row r="586" spans="6:6" x14ac:dyDescent="0.25">
      <c r="F586"/>
    </row>
    <row r="587" spans="6:6" x14ac:dyDescent="0.25">
      <c r="F587"/>
    </row>
    <row r="588" spans="6:6" x14ac:dyDescent="0.25">
      <c r="F588"/>
    </row>
    <row r="589" spans="6:6" x14ac:dyDescent="0.25">
      <c r="F589"/>
    </row>
    <row r="590" spans="6:6" x14ac:dyDescent="0.25">
      <c r="F590"/>
    </row>
    <row r="591" spans="6:6" x14ac:dyDescent="0.25">
      <c r="F591"/>
    </row>
    <row r="592" spans="6:6" x14ac:dyDescent="0.25">
      <c r="F592"/>
    </row>
    <row r="593" spans="6:6" x14ac:dyDescent="0.25">
      <c r="F593"/>
    </row>
    <row r="594" spans="6:6" x14ac:dyDescent="0.25">
      <c r="F594"/>
    </row>
    <row r="595" spans="6:6" x14ac:dyDescent="0.25">
      <c r="F595"/>
    </row>
    <row r="596" spans="6:6" x14ac:dyDescent="0.25">
      <c r="F596"/>
    </row>
    <row r="597" spans="6:6" x14ac:dyDescent="0.25">
      <c r="F597"/>
    </row>
    <row r="598" spans="6:6" x14ac:dyDescent="0.25">
      <c r="F598"/>
    </row>
    <row r="599" spans="6:6" x14ac:dyDescent="0.25">
      <c r="F599"/>
    </row>
    <row r="600" spans="6:6" x14ac:dyDescent="0.25">
      <c r="F600"/>
    </row>
    <row r="601" spans="6:6" x14ac:dyDescent="0.25">
      <c r="F601"/>
    </row>
    <row r="602" spans="6:6" x14ac:dyDescent="0.25">
      <c r="F602"/>
    </row>
    <row r="603" spans="6:6" x14ac:dyDescent="0.25">
      <c r="F603"/>
    </row>
    <row r="604" spans="6:6" x14ac:dyDescent="0.25">
      <c r="F604"/>
    </row>
    <row r="605" spans="6:6" x14ac:dyDescent="0.25">
      <c r="F605"/>
    </row>
    <row r="606" spans="6:6" x14ac:dyDescent="0.25">
      <c r="F606"/>
    </row>
    <row r="607" spans="6:6" x14ac:dyDescent="0.25">
      <c r="F607"/>
    </row>
    <row r="608" spans="6:6" x14ac:dyDescent="0.25">
      <c r="F608"/>
    </row>
    <row r="609" spans="6:6" x14ac:dyDescent="0.25">
      <c r="F609"/>
    </row>
    <row r="610" spans="6:6" x14ac:dyDescent="0.25">
      <c r="F610"/>
    </row>
    <row r="611" spans="6:6" x14ac:dyDescent="0.25">
      <c r="F611"/>
    </row>
    <row r="612" spans="6:6" x14ac:dyDescent="0.25">
      <c r="F612"/>
    </row>
    <row r="613" spans="6:6" x14ac:dyDescent="0.25">
      <c r="F613"/>
    </row>
    <row r="614" spans="6:6" x14ac:dyDescent="0.25">
      <c r="F614"/>
    </row>
    <row r="615" spans="6:6" x14ac:dyDescent="0.25">
      <c r="F615"/>
    </row>
    <row r="616" spans="6:6" x14ac:dyDescent="0.25">
      <c r="F616"/>
    </row>
    <row r="617" spans="6:6" x14ac:dyDescent="0.25">
      <c r="F617"/>
    </row>
    <row r="618" spans="6:6" x14ac:dyDescent="0.25">
      <c r="F618"/>
    </row>
    <row r="619" spans="6:6" x14ac:dyDescent="0.25">
      <c r="F619"/>
    </row>
    <row r="620" spans="6:6" x14ac:dyDescent="0.25">
      <c r="F620"/>
    </row>
    <row r="621" spans="6:6" x14ac:dyDescent="0.25">
      <c r="F621"/>
    </row>
    <row r="622" spans="6:6" x14ac:dyDescent="0.25">
      <c r="F622"/>
    </row>
    <row r="623" spans="6:6" x14ac:dyDescent="0.25">
      <c r="F623"/>
    </row>
    <row r="624" spans="6:6" x14ac:dyDescent="0.25">
      <c r="F624"/>
    </row>
    <row r="625" spans="6:6" x14ac:dyDescent="0.25">
      <c r="F625"/>
    </row>
    <row r="626" spans="6:6" x14ac:dyDescent="0.25">
      <c r="F626"/>
    </row>
    <row r="627" spans="6:6" x14ac:dyDescent="0.25">
      <c r="F627"/>
    </row>
    <row r="628" spans="6:6" x14ac:dyDescent="0.25">
      <c r="F628"/>
    </row>
    <row r="629" spans="6:6" x14ac:dyDescent="0.25">
      <c r="F629"/>
    </row>
    <row r="630" spans="6:6" x14ac:dyDescent="0.25">
      <c r="F630"/>
    </row>
    <row r="631" spans="6:6" x14ac:dyDescent="0.25">
      <c r="F631"/>
    </row>
    <row r="632" spans="6:6" x14ac:dyDescent="0.25">
      <c r="F632"/>
    </row>
    <row r="633" spans="6:6" x14ac:dyDescent="0.25">
      <c r="F633"/>
    </row>
    <row r="634" spans="6:6" x14ac:dyDescent="0.25">
      <c r="F634"/>
    </row>
    <row r="635" spans="6:6" x14ac:dyDescent="0.25">
      <c r="F635"/>
    </row>
    <row r="636" spans="6:6" x14ac:dyDescent="0.25">
      <c r="F636"/>
    </row>
    <row r="637" spans="6:6" x14ac:dyDescent="0.25">
      <c r="F637"/>
    </row>
    <row r="638" spans="6:6" x14ac:dyDescent="0.25">
      <c r="F638"/>
    </row>
    <row r="639" spans="6:6" x14ac:dyDescent="0.25">
      <c r="F639"/>
    </row>
    <row r="640" spans="6:6" x14ac:dyDescent="0.25">
      <c r="F640"/>
    </row>
    <row r="641" spans="6:6" x14ac:dyDescent="0.25">
      <c r="F641"/>
    </row>
    <row r="642" spans="6:6" x14ac:dyDescent="0.25">
      <c r="F642"/>
    </row>
    <row r="643" spans="6:6" x14ac:dyDescent="0.25">
      <c r="F643"/>
    </row>
    <row r="644" spans="6:6" x14ac:dyDescent="0.25">
      <c r="F644"/>
    </row>
    <row r="645" spans="6:6" x14ac:dyDescent="0.25">
      <c r="F645"/>
    </row>
    <row r="646" spans="6:6" x14ac:dyDescent="0.25">
      <c r="F646"/>
    </row>
    <row r="647" spans="6:6" x14ac:dyDescent="0.25">
      <c r="F647"/>
    </row>
    <row r="648" spans="6:6" x14ac:dyDescent="0.25">
      <c r="F648"/>
    </row>
    <row r="649" spans="6:6" x14ac:dyDescent="0.25">
      <c r="F649"/>
    </row>
    <row r="650" spans="6:6" x14ac:dyDescent="0.25">
      <c r="F650"/>
    </row>
    <row r="651" spans="6:6" x14ac:dyDescent="0.25">
      <c r="F651"/>
    </row>
    <row r="652" spans="6:6" x14ac:dyDescent="0.25">
      <c r="F652"/>
    </row>
    <row r="653" spans="6:6" x14ac:dyDescent="0.25">
      <c r="F653"/>
    </row>
    <row r="654" spans="6:6" x14ac:dyDescent="0.25">
      <c r="F654"/>
    </row>
    <row r="655" spans="6:6" x14ac:dyDescent="0.25">
      <c r="F655"/>
    </row>
    <row r="656" spans="6:6" x14ac:dyDescent="0.25">
      <c r="F656"/>
    </row>
    <row r="657" spans="6:6" x14ac:dyDescent="0.25">
      <c r="F657"/>
    </row>
    <row r="658" spans="6:6" x14ac:dyDescent="0.25">
      <c r="F658"/>
    </row>
    <row r="659" spans="6:6" x14ac:dyDescent="0.25">
      <c r="F659"/>
    </row>
    <row r="660" spans="6:6" x14ac:dyDescent="0.25">
      <c r="F660"/>
    </row>
    <row r="661" spans="6:6" x14ac:dyDescent="0.25">
      <c r="F661"/>
    </row>
    <row r="662" spans="6:6" x14ac:dyDescent="0.25">
      <c r="F662"/>
    </row>
    <row r="663" spans="6:6" x14ac:dyDescent="0.25">
      <c r="F663"/>
    </row>
    <row r="664" spans="6:6" x14ac:dyDescent="0.25">
      <c r="F664"/>
    </row>
    <row r="665" spans="6:6" x14ac:dyDescent="0.25">
      <c r="F665"/>
    </row>
    <row r="666" spans="6:6" x14ac:dyDescent="0.25">
      <c r="F666"/>
    </row>
    <row r="667" spans="6:6" x14ac:dyDescent="0.25">
      <c r="F667"/>
    </row>
    <row r="668" spans="6:6" x14ac:dyDescent="0.25">
      <c r="F668"/>
    </row>
    <row r="669" spans="6:6" x14ac:dyDescent="0.25">
      <c r="F669"/>
    </row>
    <row r="670" spans="6:6" x14ac:dyDescent="0.25">
      <c r="F670"/>
    </row>
    <row r="671" spans="6:6" x14ac:dyDescent="0.25">
      <c r="F671"/>
    </row>
    <row r="672" spans="6:6" x14ac:dyDescent="0.25">
      <c r="F672"/>
    </row>
    <row r="673" spans="6:6" x14ac:dyDescent="0.25">
      <c r="F673"/>
    </row>
    <row r="674" spans="6:6" x14ac:dyDescent="0.25">
      <c r="F674"/>
    </row>
    <row r="675" spans="6:6" x14ac:dyDescent="0.25">
      <c r="F675"/>
    </row>
    <row r="676" spans="6:6" x14ac:dyDescent="0.25">
      <c r="F676"/>
    </row>
    <row r="677" spans="6:6" x14ac:dyDescent="0.25">
      <c r="F677"/>
    </row>
    <row r="678" spans="6:6" x14ac:dyDescent="0.25">
      <c r="F678"/>
    </row>
    <row r="679" spans="6:6" x14ac:dyDescent="0.25">
      <c r="F679"/>
    </row>
    <row r="680" spans="6:6" x14ac:dyDescent="0.25">
      <c r="F680"/>
    </row>
    <row r="681" spans="6:6" x14ac:dyDescent="0.25">
      <c r="F681"/>
    </row>
    <row r="682" spans="6:6" x14ac:dyDescent="0.25">
      <c r="F682"/>
    </row>
    <row r="683" spans="6:6" x14ac:dyDescent="0.25">
      <c r="F683"/>
    </row>
    <row r="684" spans="6:6" x14ac:dyDescent="0.25">
      <c r="F684"/>
    </row>
    <row r="685" spans="6:6" x14ac:dyDescent="0.25">
      <c r="F685"/>
    </row>
    <row r="686" spans="6:6" x14ac:dyDescent="0.25">
      <c r="F686"/>
    </row>
    <row r="687" spans="6:6" x14ac:dyDescent="0.25">
      <c r="F687"/>
    </row>
    <row r="688" spans="6:6" x14ac:dyDescent="0.25">
      <c r="F688"/>
    </row>
    <row r="689" spans="6:6" x14ac:dyDescent="0.25">
      <c r="F689"/>
    </row>
    <row r="690" spans="6:6" x14ac:dyDescent="0.25">
      <c r="F690"/>
    </row>
    <row r="691" spans="6:6" x14ac:dyDescent="0.25">
      <c r="F691"/>
    </row>
    <row r="692" spans="6:6" x14ac:dyDescent="0.25">
      <c r="F692"/>
    </row>
    <row r="693" spans="6:6" x14ac:dyDescent="0.25">
      <c r="F693"/>
    </row>
    <row r="694" spans="6:6" x14ac:dyDescent="0.25">
      <c r="F694"/>
    </row>
    <row r="695" spans="6:6" x14ac:dyDescent="0.25">
      <c r="F695"/>
    </row>
    <row r="696" spans="6:6" x14ac:dyDescent="0.25">
      <c r="F696"/>
    </row>
    <row r="697" spans="6:6" x14ac:dyDescent="0.25">
      <c r="F697"/>
    </row>
    <row r="698" spans="6:6" x14ac:dyDescent="0.25">
      <c r="F698"/>
    </row>
    <row r="699" spans="6:6" x14ac:dyDescent="0.25">
      <c r="F699"/>
    </row>
    <row r="700" spans="6:6" x14ac:dyDescent="0.25">
      <c r="F700"/>
    </row>
    <row r="701" spans="6:6" x14ac:dyDescent="0.25">
      <c r="F701"/>
    </row>
    <row r="702" spans="6:6" x14ac:dyDescent="0.25">
      <c r="F702"/>
    </row>
    <row r="703" spans="6:6" x14ac:dyDescent="0.25">
      <c r="F703"/>
    </row>
    <row r="704" spans="6:6" x14ac:dyDescent="0.25">
      <c r="F704"/>
    </row>
    <row r="705" spans="6:6" x14ac:dyDescent="0.25">
      <c r="F705"/>
    </row>
    <row r="706" spans="6:6" x14ac:dyDescent="0.25">
      <c r="F706"/>
    </row>
    <row r="707" spans="6:6" x14ac:dyDescent="0.25">
      <c r="F707"/>
    </row>
    <row r="708" spans="6:6" x14ac:dyDescent="0.25">
      <c r="F708"/>
    </row>
    <row r="709" spans="6:6" x14ac:dyDescent="0.25">
      <c r="F709"/>
    </row>
    <row r="710" spans="6:6" x14ac:dyDescent="0.25">
      <c r="F710"/>
    </row>
    <row r="711" spans="6:6" x14ac:dyDescent="0.25">
      <c r="F711"/>
    </row>
    <row r="712" spans="6:6" x14ac:dyDescent="0.25">
      <c r="F712"/>
    </row>
    <row r="713" spans="6:6" x14ac:dyDescent="0.25">
      <c r="F713"/>
    </row>
    <row r="714" spans="6:6" x14ac:dyDescent="0.25">
      <c r="F714"/>
    </row>
    <row r="715" spans="6:6" x14ac:dyDescent="0.25">
      <c r="F715"/>
    </row>
    <row r="716" spans="6:6" x14ac:dyDescent="0.25">
      <c r="F716"/>
    </row>
    <row r="717" spans="6:6" x14ac:dyDescent="0.25">
      <c r="F717"/>
    </row>
    <row r="718" spans="6:6" x14ac:dyDescent="0.25">
      <c r="F718"/>
    </row>
    <row r="719" spans="6:6" x14ac:dyDescent="0.25">
      <c r="F719"/>
    </row>
    <row r="720" spans="6:6" x14ac:dyDescent="0.25">
      <c r="F720"/>
    </row>
    <row r="721" spans="6:6" x14ac:dyDescent="0.25">
      <c r="F721"/>
    </row>
    <row r="722" spans="6:6" x14ac:dyDescent="0.25">
      <c r="F722"/>
    </row>
    <row r="723" spans="6:6" x14ac:dyDescent="0.25">
      <c r="F723"/>
    </row>
    <row r="724" spans="6:6" x14ac:dyDescent="0.25">
      <c r="F724"/>
    </row>
    <row r="725" spans="6:6" x14ac:dyDescent="0.25">
      <c r="F725"/>
    </row>
    <row r="726" spans="6:6" x14ac:dyDescent="0.25">
      <c r="F726"/>
    </row>
    <row r="727" spans="6:6" x14ac:dyDescent="0.25">
      <c r="F727"/>
    </row>
    <row r="728" spans="6:6" x14ac:dyDescent="0.25">
      <c r="F728"/>
    </row>
    <row r="729" spans="6:6" x14ac:dyDescent="0.25">
      <c r="F729"/>
    </row>
    <row r="730" spans="6:6" x14ac:dyDescent="0.25">
      <c r="F730"/>
    </row>
    <row r="731" spans="6:6" x14ac:dyDescent="0.25">
      <c r="F731"/>
    </row>
    <row r="732" spans="6:6" x14ac:dyDescent="0.25">
      <c r="F732"/>
    </row>
    <row r="733" spans="6:6" x14ac:dyDescent="0.25">
      <c r="F733"/>
    </row>
    <row r="734" spans="6:6" x14ac:dyDescent="0.25">
      <c r="F734"/>
    </row>
    <row r="735" spans="6:6" x14ac:dyDescent="0.25">
      <c r="F735"/>
    </row>
    <row r="736" spans="6:6" x14ac:dyDescent="0.25">
      <c r="F736"/>
    </row>
    <row r="737" spans="6:6" x14ac:dyDescent="0.25">
      <c r="F737"/>
    </row>
    <row r="738" spans="6:6" x14ac:dyDescent="0.25">
      <c r="F738"/>
    </row>
    <row r="739" spans="6:6" x14ac:dyDescent="0.25">
      <c r="F739"/>
    </row>
    <row r="740" spans="6:6" x14ac:dyDescent="0.25">
      <c r="F740"/>
    </row>
    <row r="741" spans="6:6" x14ac:dyDescent="0.25">
      <c r="F741"/>
    </row>
    <row r="742" spans="6:6" x14ac:dyDescent="0.25">
      <c r="F742"/>
    </row>
    <row r="743" spans="6:6" x14ac:dyDescent="0.25">
      <c r="F743"/>
    </row>
    <row r="744" spans="6:6" x14ac:dyDescent="0.25">
      <c r="F744"/>
    </row>
    <row r="745" spans="6:6" x14ac:dyDescent="0.25">
      <c r="F745"/>
    </row>
    <row r="746" spans="6:6" x14ac:dyDescent="0.25">
      <c r="F746"/>
    </row>
    <row r="747" spans="6:6" x14ac:dyDescent="0.25">
      <c r="F747"/>
    </row>
    <row r="748" spans="6:6" x14ac:dyDescent="0.25">
      <c r="F748"/>
    </row>
    <row r="749" spans="6:6" x14ac:dyDescent="0.25">
      <c r="F749"/>
    </row>
    <row r="750" spans="6:6" x14ac:dyDescent="0.25">
      <c r="F750"/>
    </row>
    <row r="751" spans="6:6" x14ac:dyDescent="0.25">
      <c r="F751"/>
    </row>
    <row r="752" spans="6:6" x14ac:dyDescent="0.25">
      <c r="F752"/>
    </row>
    <row r="753" spans="6:6" x14ac:dyDescent="0.25">
      <c r="F753"/>
    </row>
    <row r="754" spans="6:6" x14ac:dyDescent="0.25">
      <c r="F754"/>
    </row>
    <row r="755" spans="6:6" x14ac:dyDescent="0.25">
      <c r="F755"/>
    </row>
    <row r="756" spans="6:6" x14ac:dyDescent="0.25">
      <c r="F756"/>
    </row>
    <row r="757" spans="6:6" x14ac:dyDescent="0.25">
      <c r="F757"/>
    </row>
    <row r="758" spans="6:6" x14ac:dyDescent="0.25">
      <c r="F758"/>
    </row>
    <row r="759" spans="6:6" x14ac:dyDescent="0.25">
      <c r="F759"/>
    </row>
    <row r="760" spans="6:6" x14ac:dyDescent="0.25">
      <c r="F760"/>
    </row>
    <row r="761" spans="6:6" x14ac:dyDescent="0.25">
      <c r="F761"/>
    </row>
    <row r="762" spans="6:6" x14ac:dyDescent="0.25">
      <c r="F762"/>
    </row>
    <row r="763" spans="6:6" x14ac:dyDescent="0.25">
      <c r="F763"/>
    </row>
    <row r="764" spans="6:6" x14ac:dyDescent="0.25">
      <c r="F764"/>
    </row>
    <row r="765" spans="6:6" x14ac:dyDescent="0.25">
      <c r="F765"/>
    </row>
    <row r="766" spans="6:6" x14ac:dyDescent="0.25">
      <c r="F766"/>
    </row>
    <row r="767" spans="6:6" x14ac:dyDescent="0.25">
      <c r="F767"/>
    </row>
    <row r="768" spans="6:6" x14ac:dyDescent="0.25">
      <c r="F768"/>
    </row>
    <row r="769" spans="6:6" x14ac:dyDescent="0.25">
      <c r="F769"/>
    </row>
    <row r="770" spans="6:6" x14ac:dyDescent="0.25">
      <c r="F770"/>
    </row>
    <row r="771" spans="6:6" x14ac:dyDescent="0.25">
      <c r="F771"/>
    </row>
    <row r="772" spans="6:6" x14ac:dyDescent="0.25">
      <c r="F772"/>
    </row>
    <row r="773" spans="6:6" x14ac:dyDescent="0.25">
      <c r="F773"/>
    </row>
    <row r="774" spans="6:6" x14ac:dyDescent="0.25">
      <c r="F774"/>
    </row>
    <row r="775" spans="6:6" x14ac:dyDescent="0.25">
      <c r="F775"/>
    </row>
    <row r="776" spans="6:6" x14ac:dyDescent="0.25">
      <c r="F776"/>
    </row>
    <row r="777" spans="6:6" x14ac:dyDescent="0.25">
      <c r="F777"/>
    </row>
    <row r="778" spans="6:6" x14ac:dyDescent="0.25">
      <c r="F778"/>
    </row>
    <row r="779" spans="6:6" x14ac:dyDescent="0.25">
      <c r="F779"/>
    </row>
    <row r="780" spans="6:6" x14ac:dyDescent="0.25">
      <c r="F780"/>
    </row>
    <row r="781" spans="6:6" x14ac:dyDescent="0.25">
      <c r="F781"/>
    </row>
    <row r="782" spans="6:6" x14ac:dyDescent="0.25">
      <c r="F782"/>
    </row>
    <row r="783" spans="6:6" x14ac:dyDescent="0.25">
      <c r="F783"/>
    </row>
    <row r="784" spans="6:6" x14ac:dyDescent="0.25">
      <c r="F784"/>
    </row>
    <row r="785" spans="6:6" x14ac:dyDescent="0.25">
      <c r="F785"/>
    </row>
    <row r="786" spans="6:6" x14ac:dyDescent="0.25">
      <c r="F786"/>
    </row>
    <row r="787" spans="6:6" x14ac:dyDescent="0.25">
      <c r="F787"/>
    </row>
    <row r="788" spans="6:6" x14ac:dyDescent="0.25">
      <c r="F788"/>
    </row>
    <row r="789" spans="6:6" x14ac:dyDescent="0.25">
      <c r="F789"/>
    </row>
    <row r="790" spans="6:6" x14ac:dyDescent="0.25">
      <c r="F790"/>
    </row>
    <row r="791" spans="6:6" x14ac:dyDescent="0.25">
      <c r="F791"/>
    </row>
    <row r="792" spans="6:6" x14ac:dyDescent="0.25">
      <c r="F792"/>
    </row>
    <row r="793" spans="6:6" x14ac:dyDescent="0.25">
      <c r="F793"/>
    </row>
    <row r="794" spans="6:6" x14ac:dyDescent="0.25">
      <c r="F794"/>
    </row>
    <row r="795" spans="6:6" x14ac:dyDescent="0.25">
      <c r="F795"/>
    </row>
    <row r="796" spans="6:6" x14ac:dyDescent="0.25">
      <c r="F796"/>
    </row>
    <row r="797" spans="6:6" x14ac:dyDescent="0.25">
      <c r="F797"/>
    </row>
    <row r="798" spans="6:6" x14ac:dyDescent="0.25">
      <c r="F798"/>
    </row>
    <row r="799" spans="6:6" x14ac:dyDescent="0.25">
      <c r="F799"/>
    </row>
    <row r="800" spans="6:6" x14ac:dyDescent="0.25">
      <c r="F800"/>
    </row>
    <row r="801" spans="6:6" x14ac:dyDescent="0.25">
      <c r="F801"/>
    </row>
    <row r="802" spans="6:6" x14ac:dyDescent="0.25">
      <c r="F802"/>
    </row>
    <row r="803" spans="6:6" x14ac:dyDescent="0.25">
      <c r="F803"/>
    </row>
    <row r="804" spans="6:6" x14ac:dyDescent="0.25">
      <c r="F804"/>
    </row>
    <row r="805" spans="6:6" x14ac:dyDescent="0.25">
      <c r="F805"/>
    </row>
    <row r="806" spans="6:6" x14ac:dyDescent="0.25">
      <c r="F806"/>
    </row>
    <row r="807" spans="6:6" x14ac:dyDescent="0.25">
      <c r="F807"/>
    </row>
    <row r="808" spans="6:6" x14ac:dyDescent="0.25">
      <c r="F808"/>
    </row>
    <row r="809" spans="6:6" x14ac:dyDescent="0.25">
      <c r="F809"/>
    </row>
    <row r="810" spans="6:6" x14ac:dyDescent="0.25">
      <c r="F810"/>
    </row>
    <row r="811" spans="6:6" x14ac:dyDescent="0.25">
      <c r="F811"/>
    </row>
    <row r="812" spans="6:6" x14ac:dyDescent="0.25">
      <c r="F812"/>
    </row>
    <row r="813" spans="6:6" x14ac:dyDescent="0.25">
      <c r="F813"/>
    </row>
    <row r="814" spans="6:6" x14ac:dyDescent="0.25">
      <c r="F814"/>
    </row>
    <row r="815" spans="6:6" x14ac:dyDescent="0.25">
      <c r="F815"/>
    </row>
    <row r="816" spans="6:6" x14ac:dyDescent="0.25">
      <c r="F816"/>
    </row>
    <row r="817" spans="6:6" x14ac:dyDescent="0.25">
      <c r="F817"/>
    </row>
    <row r="818" spans="6:6" x14ac:dyDescent="0.25">
      <c r="F818"/>
    </row>
    <row r="819" spans="6:6" x14ac:dyDescent="0.25">
      <c r="F819"/>
    </row>
    <row r="820" spans="6:6" x14ac:dyDescent="0.25">
      <c r="F820"/>
    </row>
    <row r="821" spans="6:6" x14ac:dyDescent="0.25">
      <c r="F821"/>
    </row>
    <row r="822" spans="6:6" x14ac:dyDescent="0.25">
      <c r="F822"/>
    </row>
    <row r="823" spans="6:6" x14ac:dyDescent="0.25">
      <c r="F823"/>
    </row>
    <row r="824" spans="6:6" x14ac:dyDescent="0.25">
      <c r="F824"/>
    </row>
    <row r="825" spans="6:6" x14ac:dyDescent="0.25">
      <c r="F825"/>
    </row>
    <row r="826" spans="6:6" x14ac:dyDescent="0.25">
      <c r="F826"/>
    </row>
    <row r="827" spans="6:6" x14ac:dyDescent="0.25">
      <c r="F827"/>
    </row>
    <row r="828" spans="6:6" x14ac:dyDescent="0.25">
      <c r="F828"/>
    </row>
    <row r="829" spans="6:6" x14ac:dyDescent="0.25">
      <c r="F829"/>
    </row>
    <row r="830" spans="6:6" x14ac:dyDescent="0.25">
      <c r="F830"/>
    </row>
    <row r="831" spans="6:6" x14ac:dyDescent="0.25">
      <c r="F831"/>
    </row>
    <row r="832" spans="6:6" x14ac:dyDescent="0.25">
      <c r="F832"/>
    </row>
    <row r="833" spans="6:6" x14ac:dyDescent="0.25">
      <c r="F833"/>
    </row>
    <row r="834" spans="6:6" x14ac:dyDescent="0.25">
      <c r="F834"/>
    </row>
    <row r="835" spans="6:6" x14ac:dyDescent="0.25">
      <c r="F835"/>
    </row>
    <row r="836" spans="6:6" x14ac:dyDescent="0.25">
      <c r="F836"/>
    </row>
    <row r="837" spans="6:6" x14ac:dyDescent="0.25">
      <c r="F837"/>
    </row>
    <row r="838" spans="6:6" x14ac:dyDescent="0.25">
      <c r="F838"/>
    </row>
    <row r="839" spans="6:6" x14ac:dyDescent="0.25">
      <c r="F839"/>
    </row>
    <row r="840" spans="6:6" x14ac:dyDescent="0.25">
      <c r="F840"/>
    </row>
    <row r="841" spans="6:6" x14ac:dyDescent="0.25">
      <c r="F841"/>
    </row>
    <row r="842" spans="6:6" x14ac:dyDescent="0.25">
      <c r="F842"/>
    </row>
    <row r="843" spans="6:6" x14ac:dyDescent="0.25">
      <c r="F843"/>
    </row>
    <row r="844" spans="6:6" x14ac:dyDescent="0.25">
      <c r="F844"/>
    </row>
    <row r="845" spans="6:6" x14ac:dyDescent="0.25">
      <c r="F845"/>
    </row>
    <row r="846" spans="6:6" x14ac:dyDescent="0.25">
      <c r="F846"/>
    </row>
    <row r="847" spans="6:6" x14ac:dyDescent="0.25">
      <c r="F847"/>
    </row>
    <row r="848" spans="6:6" x14ac:dyDescent="0.25">
      <c r="F848"/>
    </row>
    <row r="849" spans="6:6" x14ac:dyDescent="0.25">
      <c r="F849"/>
    </row>
    <row r="850" spans="6:6" x14ac:dyDescent="0.25">
      <c r="F850"/>
    </row>
    <row r="851" spans="6:6" x14ac:dyDescent="0.25">
      <c r="F851"/>
    </row>
    <row r="852" spans="6:6" x14ac:dyDescent="0.25">
      <c r="F852"/>
    </row>
    <row r="853" spans="6:6" x14ac:dyDescent="0.25">
      <c r="F853"/>
    </row>
    <row r="854" spans="6:6" x14ac:dyDescent="0.25">
      <c r="F854"/>
    </row>
    <row r="855" spans="6:6" x14ac:dyDescent="0.25">
      <c r="F855"/>
    </row>
    <row r="856" spans="6:6" x14ac:dyDescent="0.25">
      <c r="F856"/>
    </row>
    <row r="857" spans="6:6" x14ac:dyDescent="0.25">
      <c r="F857"/>
    </row>
    <row r="858" spans="6:6" x14ac:dyDescent="0.25">
      <c r="F858"/>
    </row>
    <row r="859" spans="6:6" x14ac:dyDescent="0.25">
      <c r="F859"/>
    </row>
    <row r="860" spans="6:6" x14ac:dyDescent="0.25">
      <c r="F860"/>
    </row>
    <row r="861" spans="6:6" x14ac:dyDescent="0.25">
      <c r="F861"/>
    </row>
    <row r="862" spans="6:6" x14ac:dyDescent="0.25">
      <c r="F862"/>
    </row>
    <row r="863" spans="6:6" x14ac:dyDescent="0.25">
      <c r="F863"/>
    </row>
    <row r="864" spans="6:6" x14ac:dyDescent="0.25">
      <c r="F864"/>
    </row>
    <row r="865" spans="6:6" x14ac:dyDescent="0.25">
      <c r="F865"/>
    </row>
    <row r="866" spans="6:6" x14ac:dyDescent="0.25">
      <c r="F866"/>
    </row>
    <row r="867" spans="6:6" x14ac:dyDescent="0.25">
      <c r="F867"/>
    </row>
    <row r="868" spans="6:6" x14ac:dyDescent="0.25">
      <c r="F868"/>
    </row>
    <row r="869" spans="6:6" x14ac:dyDescent="0.25">
      <c r="F869"/>
    </row>
    <row r="870" spans="6:6" x14ac:dyDescent="0.25">
      <c r="F870"/>
    </row>
    <row r="871" spans="6:6" x14ac:dyDescent="0.25">
      <c r="F871"/>
    </row>
    <row r="872" spans="6:6" x14ac:dyDescent="0.25">
      <c r="F872"/>
    </row>
    <row r="873" spans="6:6" x14ac:dyDescent="0.25">
      <c r="F873"/>
    </row>
    <row r="874" spans="6:6" x14ac:dyDescent="0.25">
      <c r="F874"/>
    </row>
    <row r="875" spans="6:6" x14ac:dyDescent="0.25">
      <c r="F875"/>
    </row>
    <row r="876" spans="6:6" x14ac:dyDescent="0.25">
      <c r="F876"/>
    </row>
    <row r="877" spans="6:6" x14ac:dyDescent="0.25">
      <c r="F877"/>
    </row>
    <row r="878" spans="6:6" x14ac:dyDescent="0.25">
      <c r="F878"/>
    </row>
    <row r="879" spans="6:6" x14ac:dyDescent="0.25">
      <c r="F879"/>
    </row>
    <row r="880" spans="6:6" x14ac:dyDescent="0.25">
      <c r="F880"/>
    </row>
    <row r="881" spans="6:6" x14ac:dyDescent="0.25">
      <c r="F881"/>
    </row>
    <row r="882" spans="6:6" x14ac:dyDescent="0.25">
      <c r="F882"/>
    </row>
    <row r="883" spans="6:6" x14ac:dyDescent="0.25">
      <c r="F883"/>
    </row>
    <row r="884" spans="6:6" x14ac:dyDescent="0.25">
      <c r="F884"/>
    </row>
    <row r="885" spans="6:6" x14ac:dyDescent="0.25">
      <c r="F885"/>
    </row>
    <row r="886" spans="6:6" x14ac:dyDescent="0.25">
      <c r="F886"/>
    </row>
    <row r="887" spans="6:6" x14ac:dyDescent="0.25">
      <c r="F887"/>
    </row>
    <row r="888" spans="6:6" x14ac:dyDescent="0.25">
      <c r="F888"/>
    </row>
    <row r="889" spans="6:6" x14ac:dyDescent="0.25">
      <c r="F889"/>
    </row>
    <row r="890" spans="6:6" x14ac:dyDescent="0.25">
      <c r="F890"/>
    </row>
    <row r="891" spans="6:6" x14ac:dyDescent="0.25">
      <c r="F891"/>
    </row>
    <row r="892" spans="6:6" x14ac:dyDescent="0.25">
      <c r="F892"/>
    </row>
    <row r="893" spans="6:6" x14ac:dyDescent="0.25">
      <c r="F893"/>
    </row>
    <row r="894" spans="6:6" x14ac:dyDescent="0.25">
      <c r="F894"/>
    </row>
    <row r="895" spans="6:6" x14ac:dyDescent="0.25">
      <c r="F895"/>
    </row>
    <row r="896" spans="6:6" x14ac:dyDescent="0.25">
      <c r="F896"/>
    </row>
    <row r="897" spans="6:6" x14ac:dyDescent="0.25">
      <c r="F897"/>
    </row>
    <row r="898" spans="6:6" x14ac:dyDescent="0.25">
      <c r="F898"/>
    </row>
    <row r="899" spans="6:6" x14ac:dyDescent="0.25">
      <c r="F899"/>
    </row>
    <row r="900" spans="6:6" x14ac:dyDescent="0.25">
      <c r="F900"/>
    </row>
    <row r="901" spans="6:6" x14ac:dyDescent="0.25">
      <c r="F901"/>
    </row>
    <row r="902" spans="6:6" x14ac:dyDescent="0.25">
      <c r="F902"/>
    </row>
    <row r="903" spans="6:6" x14ac:dyDescent="0.25">
      <c r="F903"/>
    </row>
    <row r="904" spans="6:6" x14ac:dyDescent="0.25">
      <c r="F904"/>
    </row>
    <row r="905" spans="6:6" x14ac:dyDescent="0.25">
      <c r="F905"/>
    </row>
    <row r="906" spans="6:6" x14ac:dyDescent="0.25">
      <c r="F906"/>
    </row>
    <row r="907" spans="6:6" x14ac:dyDescent="0.25">
      <c r="F907"/>
    </row>
    <row r="908" spans="6:6" x14ac:dyDescent="0.25">
      <c r="F908"/>
    </row>
    <row r="909" spans="6:6" x14ac:dyDescent="0.25">
      <c r="F909"/>
    </row>
    <row r="910" spans="6:6" x14ac:dyDescent="0.25">
      <c r="F910"/>
    </row>
    <row r="911" spans="6:6" x14ac:dyDescent="0.25">
      <c r="F911"/>
    </row>
    <row r="912" spans="6:6" x14ac:dyDescent="0.25">
      <c r="F912"/>
    </row>
    <row r="913" spans="6:6" x14ac:dyDescent="0.25">
      <c r="F913"/>
    </row>
    <row r="914" spans="6:6" x14ac:dyDescent="0.25">
      <c r="F914"/>
    </row>
    <row r="915" spans="6:6" x14ac:dyDescent="0.25">
      <c r="F915"/>
    </row>
    <row r="916" spans="6:6" x14ac:dyDescent="0.25">
      <c r="F916"/>
    </row>
    <row r="917" spans="6:6" x14ac:dyDescent="0.25">
      <c r="F917"/>
    </row>
    <row r="918" spans="6:6" x14ac:dyDescent="0.25">
      <c r="F918"/>
    </row>
    <row r="919" spans="6:6" x14ac:dyDescent="0.25">
      <c r="F919"/>
    </row>
    <row r="920" spans="6:6" x14ac:dyDescent="0.25">
      <c r="F920"/>
    </row>
    <row r="921" spans="6:6" x14ac:dyDescent="0.25">
      <c r="F921"/>
    </row>
    <row r="922" spans="6:6" x14ac:dyDescent="0.25">
      <c r="F922"/>
    </row>
    <row r="923" spans="6:6" x14ac:dyDescent="0.25">
      <c r="F923"/>
    </row>
    <row r="924" spans="6:6" x14ac:dyDescent="0.25">
      <c r="F924"/>
    </row>
    <row r="925" spans="6:6" x14ac:dyDescent="0.25">
      <c r="F925"/>
    </row>
    <row r="926" spans="6:6" x14ac:dyDescent="0.25">
      <c r="F926"/>
    </row>
    <row r="927" spans="6:6" x14ac:dyDescent="0.25">
      <c r="F927"/>
    </row>
    <row r="928" spans="6:6" x14ac:dyDescent="0.25">
      <c r="F928"/>
    </row>
    <row r="929" spans="6:6" x14ac:dyDescent="0.25">
      <c r="F929"/>
    </row>
    <row r="930" spans="6:6" x14ac:dyDescent="0.25">
      <c r="F930"/>
    </row>
    <row r="931" spans="6:6" x14ac:dyDescent="0.25">
      <c r="F931"/>
    </row>
    <row r="932" spans="6:6" x14ac:dyDescent="0.25">
      <c r="F932"/>
    </row>
    <row r="933" spans="6:6" x14ac:dyDescent="0.25">
      <c r="F933"/>
    </row>
    <row r="934" spans="6:6" x14ac:dyDescent="0.25">
      <c r="F934"/>
    </row>
    <row r="935" spans="6:6" x14ac:dyDescent="0.25">
      <c r="F935"/>
    </row>
    <row r="936" spans="6:6" x14ac:dyDescent="0.25">
      <c r="F936"/>
    </row>
    <row r="937" spans="6:6" x14ac:dyDescent="0.25">
      <c r="F937"/>
    </row>
    <row r="938" spans="6:6" x14ac:dyDescent="0.25">
      <c r="F938"/>
    </row>
    <row r="939" spans="6:6" x14ac:dyDescent="0.25">
      <c r="F939"/>
    </row>
    <row r="940" spans="6:6" x14ac:dyDescent="0.25">
      <c r="F940"/>
    </row>
    <row r="941" spans="6:6" x14ac:dyDescent="0.25">
      <c r="F941"/>
    </row>
    <row r="942" spans="6:6" x14ac:dyDescent="0.25">
      <c r="F942"/>
    </row>
    <row r="943" spans="6:6" x14ac:dyDescent="0.25">
      <c r="F943"/>
    </row>
    <row r="944" spans="6:6" x14ac:dyDescent="0.25">
      <c r="F944"/>
    </row>
    <row r="945" spans="6:6" x14ac:dyDescent="0.25">
      <c r="F945"/>
    </row>
    <row r="946" spans="6:6" x14ac:dyDescent="0.25">
      <c r="F946"/>
    </row>
    <row r="947" spans="6:6" x14ac:dyDescent="0.25">
      <c r="F947"/>
    </row>
    <row r="948" spans="6:6" x14ac:dyDescent="0.25">
      <c r="F948"/>
    </row>
    <row r="949" spans="6:6" x14ac:dyDescent="0.25">
      <c r="F949"/>
    </row>
    <row r="950" spans="6:6" x14ac:dyDescent="0.25">
      <c r="F950"/>
    </row>
    <row r="951" spans="6:6" x14ac:dyDescent="0.25">
      <c r="F951"/>
    </row>
    <row r="952" spans="6:6" x14ac:dyDescent="0.25">
      <c r="F952"/>
    </row>
    <row r="953" spans="6:6" x14ac:dyDescent="0.25">
      <c r="F953"/>
    </row>
    <row r="954" spans="6:6" x14ac:dyDescent="0.25">
      <c r="F954"/>
    </row>
    <row r="955" spans="6:6" x14ac:dyDescent="0.25">
      <c r="F955"/>
    </row>
    <row r="956" spans="6:6" x14ac:dyDescent="0.25">
      <c r="F956"/>
    </row>
    <row r="957" spans="6:6" x14ac:dyDescent="0.25">
      <c r="F957"/>
    </row>
    <row r="958" spans="6:6" x14ac:dyDescent="0.25">
      <c r="F958"/>
    </row>
    <row r="959" spans="6:6" x14ac:dyDescent="0.25">
      <c r="F959"/>
    </row>
    <row r="960" spans="6:6" x14ac:dyDescent="0.25">
      <c r="F960"/>
    </row>
    <row r="961" spans="6:6" x14ac:dyDescent="0.25">
      <c r="F961"/>
    </row>
    <row r="962" spans="6:6" x14ac:dyDescent="0.25">
      <c r="F962"/>
    </row>
    <row r="963" spans="6:6" x14ac:dyDescent="0.25">
      <c r="F963"/>
    </row>
    <row r="964" spans="6:6" x14ac:dyDescent="0.25">
      <c r="F964"/>
    </row>
    <row r="965" spans="6:6" x14ac:dyDescent="0.25">
      <c r="F965"/>
    </row>
    <row r="966" spans="6:6" x14ac:dyDescent="0.25">
      <c r="F966"/>
    </row>
    <row r="967" spans="6:6" x14ac:dyDescent="0.25">
      <c r="F967"/>
    </row>
    <row r="968" spans="6:6" x14ac:dyDescent="0.25">
      <c r="F968"/>
    </row>
    <row r="969" spans="6:6" x14ac:dyDescent="0.25">
      <c r="F969"/>
    </row>
    <row r="970" spans="6:6" x14ac:dyDescent="0.25">
      <c r="F970"/>
    </row>
    <row r="971" spans="6:6" x14ac:dyDescent="0.25">
      <c r="F971"/>
    </row>
    <row r="972" spans="6:6" x14ac:dyDescent="0.25">
      <c r="F972"/>
    </row>
    <row r="973" spans="6:6" x14ac:dyDescent="0.25">
      <c r="F973"/>
    </row>
    <row r="974" spans="6:6" x14ac:dyDescent="0.25">
      <c r="F974"/>
    </row>
    <row r="975" spans="6:6" x14ac:dyDescent="0.25">
      <c r="F975"/>
    </row>
    <row r="976" spans="6:6" x14ac:dyDescent="0.25">
      <c r="F976"/>
    </row>
    <row r="977" spans="6:6" x14ac:dyDescent="0.25">
      <c r="F977"/>
    </row>
    <row r="978" spans="6:6" x14ac:dyDescent="0.25">
      <c r="F978"/>
    </row>
    <row r="979" spans="6:6" x14ac:dyDescent="0.25">
      <c r="F979"/>
    </row>
    <row r="980" spans="6:6" x14ac:dyDescent="0.25">
      <c r="F980"/>
    </row>
    <row r="981" spans="6:6" x14ac:dyDescent="0.25">
      <c r="F981"/>
    </row>
    <row r="982" spans="6:6" x14ac:dyDescent="0.25">
      <c r="F982"/>
    </row>
    <row r="983" spans="6:6" x14ac:dyDescent="0.25">
      <c r="F983"/>
    </row>
    <row r="984" spans="6:6" x14ac:dyDescent="0.25">
      <c r="F984"/>
    </row>
    <row r="985" spans="6:6" x14ac:dyDescent="0.25">
      <c r="F985"/>
    </row>
    <row r="986" spans="6:6" x14ac:dyDescent="0.25">
      <c r="F986"/>
    </row>
    <row r="987" spans="6:6" x14ac:dyDescent="0.25">
      <c r="F987"/>
    </row>
    <row r="988" spans="6:6" x14ac:dyDescent="0.25">
      <c r="F988"/>
    </row>
    <row r="989" spans="6:6" x14ac:dyDescent="0.25">
      <c r="F989"/>
    </row>
    <row r="990" spans="6:6" x14ac:dyDescent="0.25">
      <c r="F990"/>
    </row>
    <row r="991" spans="6:6" x14ac:dyDescent="0.25">
      <c r="F991"/>
    </row>
    <row r="992" spans="6:6" x14ac:dyDescent="0.25">
      <c r="F992"/>
    </row>
    <row r="993" spans="6:6" x14ac:dyDescent="0.25">
      <c r="F993"/>
    </row>
    <row r="994" spans="6:6" x14ac:dyDescent="0.25">
      <c r="F994"/>
    </row>
    <row r="995" spans="6:6" x14ac:dyDescent="0.25">
      <c r="F995"/>
    </row>
    <row r="996" spans="6:6" x14ac:dyDescent="0.25">
      <c r="F996"/>
    </row>
    <row r="997" spans="6:6" x14ac:dyDescent="0.25">
      <c r="F997"/>
    </row>
    <row r="998" spans="6:6" x14ac:dyDescent="0.25">
      <c r="F998"/>
    </row>
    <row r="999" spans="6:6" x14ac:dyDescent="0.25">
      <c r="F999"/>
    </row>
    <row r="1000" spans="6:6" x14ac:dyDescent="0.25">
      <c r="F1000"/>
    </row>
    <row r="1001" spans="6:6" x14ac:dyDescent="0.25">
      <c r="F1001"/>
    </row>
    <row r="1002" spans="6:6" x14ac:dyDescent="0.25">
      <c r="F1002"/>
    </row>
    <row r="1003" spans="6:6" x14ac:dyDescent="0.25">
      <c r="F1003"/>
    </row>
    <row r="1004" spans="6:6" x14ac:dyDescent="0.25">
      <c r="F1004"/>
    </row>
    <row r="1005" spans="6:6" x14ac:dyDescent="0.25">
      <c r="F1005"/>
    </row>
    <row r="1006" spans="6:6" x14ac:dyDescent="0.25">
      <c r="F1006"/>
    </row>
    <row r="1007" spans="6:6" x14ac:dyDescent="0.25">
      <c r="F1007"/>
    </row>
    <row r="1008" spans="6:6" x14ac:dyDescent="0.25">
      <c r="F1008"/>
    </row>
    <row r="1009" spans="6:6" x14ac:dyDescent="0.25">
      <c r="F1009"/>
    </row>
    <row r="1010" spans="6:6" x14ac:dyDescent="0.25">
      <c r="F1010"/>
    </row>
    <row r="1011" spans="6:6" x14ac:dyDescent="0.25">
      <c r="F1011"/>
    </row>
    <row r="1012" spans="6:6" x14ac:dyDescent="0.25">
      <c r="F1012"/>
    </row>
    <row r="1013" spans="6:6" x14ac:dyDescent="0.25">
      <c r="F1013"/>
    </row>
    <row r="1014" spans="6:6" x14ac:dyDescent="0.25">
      <c r="F1014"/>
    </row>
    <row r="1015" spans="6:6" x14ac:dyDescent="0.25">
      <c r="F1015"/>
    </row>
    <row r="1016" spans="6:6" x14ac:dyDescent="0.25">
      <c r="F1016"/>
    </row>
    <row r="1017" spans="6:6" x14ac:dyDescent="0.25">
      <c r="F1017"/>
    </row>
    <row r="1018" spans="6:6" x14ac:dyDescent="0.25">
      <c r="F1018"/>
    </row>
    <row r="1019" spans="6:6" x14ac:dyDescent="0.25">
      <c r="F1019"/>
    </row>
    <row r="1020" spans="6:6" x14ac:dyDescent="0.25">
      <c r="F1020"/>
    </row>
    <row r="1021" spans="6:6" x14ac:dyDescent="0.25">
      <c r="F1021"/>
    </row>
    <row r="1022" spans="6:6" x14ac:dyDescent="0.25">
      <c r="F1022"/>
    </row>
    <row r="1023" spans="6:6" x14ac:dyDescent="0.25">
      <c r="F1023"/>
    </row>
    <row r="1024" spans="6:6" x14ac:dyDescent="0.25">
      <c r="F1024"/>
    </row>
    <row r="1025" spans="6:6" x14ac:dyDescent="0.25">
      <c r="F1025"/>
    </row>
    <row r="1026" spans="6:6" x14ac:dyDescent="0.25">
      <c r="F1026"/>
    </row>
    <row r="1027" spans="6:6" x14ac:dyDescent="0.25">
      <c r="F1027"/>
    </row>
    <row r="1028" spans="6:6" x14ac:dyDescent="0.25">
      <c r="F1028"/>
    </row>
    <row r="1029" spans="6:6" x14ac:dyDescent="0.25">
      <c r="F1029"/>
    </row>
    <row r="1030" spans="6:6" x14ac:dyDescent="0.25">
      <c r="F1030"/>
    </row>
    <row r="1031" spans="6:6" x14ac:dyDescent="0.25">
      <c r="F1031"/>
    </row>
    <row r="1032" spans="6:6" x14ac:dyDescent="0.25">
      <c r="F1032"/>
    </row>
    <row r="1033" spans="6:6" x14ac:dyDescent="0.25">
      <c r="F1033"/>
    </row>
    <row r="1034" spans="6:6" x14ac:dyDescent="0.25">
      <c r="F1034"/>
    </row>
    <row r="1035" spans="6:6" x14ac:dyDescent="0.25">
      <c r="F1035"/>
    </row>
    <row r="1036" spans="6:6" x14ac:dyDescent="0.25">
      <c r="F1036"/>
    </row>
    <row r="1037" spans="6:6" x14ac:dyDescent="0.25">
      <c r="F1037"/>
    </row>
    <row r="1038" spans="6:6" x14ac:dyDescent="0.25">
      <c r="F1038"/>
    </row>
    <row r="1039" spans="6:6" x14ac:dyDescent="0.25">
      <c r="F1039"/>
    </row>
    <row r="1040" spans="6:6" x14ac:dyDescent="0.25">
      <c r="F1040"/>
    </row>
    <row r="1041" spans="6:6" x14ac:dyDescent="0.25">
      <c r="F1041"/>
    </row>
    <row r="1042" spans="6:6" x14ac:dyDescent="0.25">
      <c r="F1042"/>
    </row>
    <row r="1043" spans="6:6" x14ac:dyDescent="0.25">
      <c r="F1043"/>
    </row>
    <row r="1044" spans="6:6" x14ac:dyDescent="0.25">
      <c r="F1044"/>
    </row>
    <row r="1045" spans="6:6" x14ac:dyDescent="0.25">
      <c r="F1045"/>
    </row>
    <row r="1046" spans="6:6" x14ac:dyDescent="0.25">
      <c r="F1046"/>
    </row>
    <row r="1047" spans="6:6" x14ac:dyDescent="0.25">
      <c r="F1047"/>
    </row>
    <row r="1048" spans="6:6" x14ac:dyDescent="0.25">
      <c r="F1048"/>
    </row>
    <row r="1049" spans="6:6" x14ac:dyDescent="0.25">
      <c r="F1049"/>
    </row>
    <row r="1050" spans="6:6" x14ac:dyDescent="0.25">
      <c r="F1050"/>
    </row>
    <row r="1051" spans="6:6" x14ac:dyDescent="0.25">
      <c r="F1051"/>
    </row>
    <row r="1052" spans="6:6" x14ac:dyDescent="0.25">
      <c r="F1052"/>
    </row>
    <row r="1053" spans="6:6" x14ac:dyDescent="0.25">
      <c r="F1053"/>
    </row>
    <row r="1054" spans="6:6" x14ac:dyDescent="0.25">
      <c r="F1054"/>
    </row>
    <row r="1055" spans="6:6" x14ac:dyDescent="0.25">
      <c r="F1055"/>
    </row>
    <row r="1056" spans="6:6" x14ac:dyDescent="0.25">
      <c r="F1056"/>
    </row>
    <row r="1057" spans="6:6" x14ac:dyDescent="0.25">
      <c r="F1057"/>
    </row>
    <row r="1058" spans="6:6" x14ac:dyDescent="0.25">
      <c r="F1058"/>
    </row>
    <row r="1059" spans="6:6" x14ac:dyDescent="0.25">
      <c r="F1059"/>
    </row>
    <row r="1060" spans="6:6" x14ac:dyDescent="0.25">
      <c r="F1060"/>
    </row>
    <row r="1061" spans="6:6" x14ac:dyDescent="0.25">
      <c r="F1061"/>
    </row>
    <row r="1062" spans="6:6" x14ac:dyDescent="0.25">
      <c r="F1062"/>
    </row>
    <row r="1063" spans="6:6" x14ac:dyDescent="0.25">
      <c r="F1063"/>
    </row>
    <row r="1064" spans="6:6" x14ac:dyDescent="0.25">
      <c r="F1064"/>
    </row>
    <row r="1065" spans="6:6" x14ac:dyDescent="0.25">
      <c r="F1065"/>
    </row>
    <row r="1066" spans="6:6" x14ac:dyDescent="0.25">
      <c r="F1066"/>
    </row>
    <row r="1067" spans="6:6" x14ac:dyDescent="0.25">
      <c r="F1067"/>
    </row>
    <row r="1068" spans="6:6" x14ac:dyDescent="0.25">
      <c r="F1068"/>
    </row>
    <row r="1069" spans="6:6" x14ac:dyDescent="0.25">
      <c r="F1069"/>
    </row>
    <row r="1070" spans="6:6" x14ac:dyDescent="0.25">
      <c r="F1070"/>
    </row>
    <row r="1071" spans="6:6" x14ac:dyDescent="0.25">
      <c r="F1071"/>
    </row>
    <row r="1072" spans="6:6" x14ac:dyDescent="0.25">
      <c r="F1072"/>
    </row>
    <row r="1073" spans="6:6" x14ac:dyDescent="0.25">
      <c r="F1073"/>
    </row>
    <row r="1074" spans="6:6" x14ac:dyDescent="0.25">
      <c r="F1074"/>
    </row>
    <row r="1075" spans="6:6" x14ac:dyDescent="0.25">
      <c r="F1075"/>
    </row>
    <row r="1076" spans="6:6" x14ac:dyDescent="0.25">
      <c r="F1076"/>
    </row>
    <row r="1077" spans="6:6" x14ac:dyDescent="0.25">
      <c r="F1077"/>
    </row>
    <row r="1078" spans="6:6" x14ac:dyDescent="0.25">
      <c r="F1078"/>
    </row>
    <row r="1079" spans="6:6" x14ac:dyDescent="0.25">
      <c r="F1079"/>
    </row>
    <row r="1080" spans="6:6" x14ac:dyDescent="0.25">
      <c r="F1080"/>
    </row>
    <row r="1081" spans="6:6" x14ac:dyDescent="0.25">
      <c r="F1081"/>
    </row>
    <row r="1082" spans="6:6" x14ac:dyDescent="0.25">
      <c r="F1082"/>
    </row>
    <row r="1083" spans="6:6" x14ac:dyDescent="0.25">
      <c r="F1083"/>
    </row>
    <row r="1084" spans="6:6" x14ac:dyDescent="0.25">
      <c r="F1084"/>
    </row>
    <row r="1085" spans="6:6" x14ac:dyDescent="0.25">
      <c r="F1085"/>
    </row>
    <row r="1086" spans="6:6" x14ac:dyDescent="0.25">
      <c r="F1086"/>
    </row>
    <row r="1087" spans="6:6" x14ac:dyDescent="0.25">
      <c r="F1087"/>
    </row>
    <row r="1088" spans="6:6" x14ac:dyDescent="0.25">
      <c r="F1088"/>
    </row>
    <row r="1089" spans="6:6" x14ac:dyDescent="0.25">
      <c r="F1089"/>
    </row>
    <row r="1090" spans="6:6" x14ac:dyDescent="0.25">
      <c r="F1090"/>
    </row>
    <row r="1091" spans="6:6" x14ac:dyDescent="0.25">
      <c r="F1091"/>
    </row>
    <row r="1092" spans="6:6" x14ac:dyDescent="0.25">
      <c r="F1092"/>
    </row>
    <row r="1093" spans="6:6" x14ac:dyDescent="0.25">
      <c r="F1093"/>
    </row>
    <row r="1094" spans="6:6" x14ac:dyDescent="0.25">
      <c r="F1094"/>
    </row>
    <row r="1095" spans="6:6" x14ac:dyDescent="0.25">
      <c r="F1095"/>
    </row>
    <row r="1096" spans="6:6" x14ac:dyDescent="0.25">
      <c r="F1096"/>
    </row>
    <row r="1097" spans="6:6" x14ac:dyDescent="0.25">
      <c r="F1097"/>
    </row>
    <row r="1098" spans="6:6" x14ac:dyDescent="0.25">
      <c r="F1098"/>
    </row>
    <row r="1099" spans="6:6" x14ac:dyDescent="0.25">
      <c r="F1099"/>
    </row>
    <row r="1100" spans="6:6" x14ac:dyDescent="0.25">
      <c r="F1100"/>
    </row>
    <row r="1101" spans="6:6" x14ac:dyDescent="0.25">
      <c r="F1101"/>
    </row>
    <row r="1102" spans="6:6" x14ac:dyDescent="0.25">
      <c r="F1102"/>
    </row>
    <row r="1103" spans="6:6" x14ac:dyDescent="0.25">
      <c r="F1103"/>
    </row>
    <row r="1104" spans="6:6" x14ac:dyDescent="0.25">
      <c r="F1104"/>
    </row>
    <row r="1105" spans="6:6" x14ac:dyDescent="0.25">
      <c r="F1105"/>
    </row>
    <row r="1106" spans="6:6" x14ac:dyDescent="0.25">
      <c r="F1106"/>
    </row>
    <row r="1107" spans="6:6" x14ac:dyDescent="0.25">
      <c r="F1107"/>
    </row>
    <row r="1108" spans="6:6" x14ac:dyDescent="0.25">
      <c r="F1108"/>
    </row>
    <row r="1109" spans="6:6" x14ac:dyDescent="0.25">
      <c r="F1109"/>
    </row>
    <row r="1110" spans="6:6" x14ac:dyDescent="0.25">
      <c r="F1110"/>
    </row>
    <row r="1111" spans="6:6" x14ac:dyDescent="0.25">
      <c r="F1111"/>
    </row>
    <row r="1112" spans="6:6" x14ac:dyDescent="0.25">
      <c r="F1112"/>
    </row>
    <row r="1113" spans="6:6" x14ac:dyDescent="0.25">
      <c r="F1113"/>
    </row>
    <row r="1114" spans="6:6" x14ac:dyDescent="0.25">
      <c r="F1114"/>
    </row>
    <row r="1115" spans="6:6" x14ac:dyDescent="0.25">
      <c r="F1115"/>
    </row>
    <row r="1116" spans="6:6" x14ac:dyDescent="0.25">
      <c r="F1116"/>
    </row>
    <row r="1117" spans="6:6" x14ac:dyDescent="0.25">
      <c r="F1117"/>
    </row>
    <row r="1118" spans="6:6" x14ac:dyDescent="0.25">
      <c r="F1118"/>
    </row>
    <row r="1119" spans="6:6" x14ac:dyDescent="0.25">
      <c r="F1119"/>
    </row>
    <row r="1120" spans="6:6" x14ac:dyDescent="0.25">
      <c r="F1120"/>
    </row>
    <row r="1121" spans="6:6" x14ac:dyDescent="0.25">
      <c r="F1121"/>
    </row>
    <row r="1122" spans="6:6" x14ac:dyDescent="0.25">
      <c r="F1122"/>
    </row>
    <row r="1123" spans="6:6" x14ac:dyDescent="0.25">
      <c r="F1123"/>
    </row>
    <row r="1124" spans="6:6" x14ac:dyDescent="0.25">
      <c r="F1124"/>
    </row>
    <row r="1125" spans="6:6" x14ac:dyDescent="0.25">
      <c r="F1125"/>
    </row>
    <row r="1126" spans="6:6" x14ac:dyDescent="0.25">
      <c r="F1126"/>
    </row>
    <row r="1127" spans="6:6" x14ac:dyDescent="0.25">
      <c r="F1127"/>
    </row>
    <row r="1128" spans="6:6" x14ac:dyDescent="0.25">
      <c r="F1128"/>
    </row>
    <row r="1129" spans="6:6" x14ac:dyDescent="0.25">
      <c r="F1129"/>
    </row>
    <row r="1130" spans="6:6" x14ac:dyDescent="0.25">
      <c r="F1130"/>
    </row>
    <row r="1131" spans="6:6" x14ac:dyDescent="0.25">
      <c r="F1131"/>
    </row>
    <row r="1132" spans="6:6" x14ac:dyDescent="0.25">
      <c r="F1132"/>
    </row>
    <row r="1133" spans="6:6" x14ac:dyDescent="0.25">
      <c r="F1133"/>
    </row>
    <row r="1134" spans="6:6" x14ac:dyDescent="0.25">
      <c r="F1134"/>
    </row>
    <row r="1135" spans="6:6" x14ac:dyDescent="0.25">
      <c r="F1135"/>
    </row>
    <row r="1136" spans="6:6" x14ac:dyDescent="0.25">
      <c r="F1136"/>
    </row>
    <row r="1137" spans="6:6" x14ac:dyDescent="0.25">
      <c r="F1137"/>
    </row>
    <row r="1138" spans="6:6" x14ac:dyDescent="0.25">
      <c r="F1138"/>
    </row>
    <row r="1139" spans="6:6" x14ac:dyDescent="0.25">
      <c r="F1139"/>
    </row>
    <row r="1140" spans="6:6" x14ac:dyDescent="0.25">
      <c r="F1140"/>
    </row>
    <row r="1141" spans="6:6" x14ac:dyDescent="0.25">
      <c r="F1141"/>
    </row>
    <row r="1142" spans="6:6" x14ac:dyDescent="0.25">
      <c r="F1142"/>
    </row>
    <row r="1143" spans="6:6" x14ac:dyDescent="0.25">
      <c r="F1143"/>
    </row>
    <row r="1144" spans="6:6" x14ac:dyDescent="0.25">
      <c r="F1144"/>
    </row>
    <row r="1145" spans="6:6" x14ac:dyDescent="0.25">
      <c r="F1145"/>
    </row>
    <row r="1146" spans="6:6" x14ac:dyDescent="0.25">
      <c r="F1146"/>
    </row>
    <row r="1147" spans="6:6" x14ac:dyDescent="0.25">
      <c r="F1147"/>
    </row>
    <row r="1148" spans="6:6" x14ac:dyDescent="0.25">
      <c r="F1148"/>
    </row>
    <row r="1149" spans="6:6" x14ac:dyDescent="0.25">
      <c r="F1149"/>
    </row>
    <row r="1150" spans="6:6" x14ac:dyDescent="0.25">
      <c r="F1150"/>
    </row>
    <row r="1151" spans="6:6" x14ac:dyDescent="0.25">
      <c r="F1151"/>
    </row>
    <row r="1152" spans="6:6" x14ac:dyDescent="0.25">
      <c r="F1152"/>
    </row>
    <row r="1153" spans="6:6" x14ac:dyDescent="0.25">
      <c r="F1153"/>
    </row>
    <row r="1154" spans="6:6" x14ac:dyDescent="0.25">
      <c r="F1154"/>
    </row>
    <row r="1155" spans="6:6" x14ac:dyDescent="0.25">
      <c r="F1155"/>
    </row>
    <row r="1156" spans="6:6" x14ac:dyDescent="0.25">
      <c r="F1156"/>
    </row>
    <row r="1157" spans="6:6" x14ac:dyDescent="0.25">
      <c r="F1157"/>
    </row>
    <row r="1158" spans="6:6" x14ac:dyDescent="0.25">
      <c r="F1158"/>
    </row>
    <row r="1159" spans="6:6" x14ac:dyDescent="0.25">
      <c r="F1159"/>
    </row>
    <row r="1160" spans="6:6" x14ac:dyDescent="0.25">
      <c r="F1160"/>
    </row>
    <row r="1161" spans="6:6" x14ac:dyDescent="0.25">
      <c r="F1161"/>
    </row>
    <row r="1162" spans="6:6" x14ac:dyDescent="0.25">
      <c r="F1162"/>
    </row>
    <row r="1163" spans="6:6" x14ac:dyDescent="0.25">
      <c r="F1163"/>
    </row>
    <row r="1164" spans="6:6" x14ac:dyDescent="0.25">
      <c r="F1164"/>
    </row>
    <row r="1165" spans="6:6" x14ac:dyDescent="0.25">
      <c r="F1165"/>
    </row>
    <row r="1166" spans="6:6" x14ac:dyDescent="0.25">
      <c r="F1166"/>
    </row>
    <row r="1167" spans="6:6" x14ac:dyDescent="0.25">
      <c r="F1167"/>
    </row>
    <row r="1168" spans="6:6" x14ac:dyDescent="0.25">
      <c r="F1168"/>
    </row>
    <row r="1169" spans="6:6" x14ac:dyDescent="0.25">
      <c r="F1169"/>
    </row>
    <row r="1170" spans="6:6" x14ac:dyDescent="0.25">
      <c r="F1170"/>
    </row>
    <row r="1171" spans="6:6" x14ac:dyDescent="0.25">
      <c r="F1171"/>
    </row>
    <row r="1172" spans="6:6" x14ac:dyDescent="0.25">
      <c r="F1172"/>
    </row>
    <row r="1173" spans="6:6" x14ac:dyDescent="0.25">
      <c r="F1173"/>
    </row>
    <row r="1174" spans="6:6" x14ac:dyDescent="0.25">
      <c r="F1174"/>
    </row>
    <row r="1175" spans="6:6" x14ac:dyDescent="0.25">
      <c r="F1175"/>
    </row>
    <row r="1176" spans="6:6" x14ac:dyDescent="0.25">
      <c r="F1176"/>
    </row>
    <row r="1177" spans="6:6" x14ac:dyDescent="0.25">
      <c r="F1177"/>
    </row>
    <row r="1178" spans="6:6" x14ac:dyDescent="0.25">
      <c r="F1178"/>
    </row>
    <row r="1179" spans="6:6" x14ac:dyDescent="0.25">
      <c r="F1179"/>
    </row>
    <row r="1180" spans="6:6" x14ac:dyDescent="0.25">
      <c r="F1180"/>
    </row>
    <row r="1181" spans="6:6" x14ac:dyDescent="0.25">
      <c r="F1181"/>
    </row>
    <row r="1182" spans="6:6" x14ac:dyDescent="0.25">
      <c r="F1182"/>
    </row>
    <row r="1183" spans="6:6" x14ac:dyDescent="0.25">
      <c r="F1183"/>
    </row>
    <row r="1184" spans="6:6" x14ac:dyDescent="0.25">
      <c r="F1184"/>
    </row>
    <row r="1185" spans="6:6" x14ac:dyDescent="0.25">
      <c r="F1185"/>
    </row>
    <row r="1186" spans="6:6" x14ac:dyDescent="0.25">
      <c r="F1186"/>
    </row>
    <row r="1187" spans="6:6" x14ac:dyDescent="0.25">
      <c r="F1187"/>
    </row>
    <row r="1188" spans="6:6" x14ac:dyDescent="0.25">
      <c r="F1188"/>
    </row>
    <row r="1189" spans="6:6" x14ac:dyDescent="0.25">
      <c r="F1189"/>
    </row>
    <row r="1190" spans="6:6" x14ac:dyDescent="0.25">
      <c r="F1190"/>
    </row>
    <row r="1191" spans="6:6" x14ac:dyDescent="0.25">
      <c r="F1191"/>
    </row>
    <row r="1192" spans="6:6" x14ac:dyDescent="0.25">
      <c r="F1192"/>
    </row>
    <row r="1193" spans="6:6" x14ac:dyDescent="0.25">
      <c r="F1193"/>
    </row>
    <row r="1194" spans="6:6" x14ac:dyDescent="0.25">
      <c r="F1194"/>
    </row>
    <row r="1195" spans="6:6" x14ac:dyDescent="0.25">
      <c r="F1195"/>
    </row>
    <row r="1196" spans="6:6" x14ac:dyDescent="0.25">
      <c r="F1196"/>
    </row>
    <row r="1197" spans="6:6" x14ac:dyDescent="0.25">
      <c r="F1197"/>
    </row>
    <row r="1198" spans="6:6" x14ac:dyDescent="0.25">
      <c r="F1198"/>
    </row>
    <row r="1199" spans="6:6" x14ac:dyDescent="0.25">
      <c r="F1199"/>
    </row>
    <row r="1200" spans="6:6" x14ac:dyDescent="0.25">
      <c r="F1200"/>
    </row>
    <row r="1201" spans="6:6" x14ac:dyDescent="0.25">
      <c r="F1201"/>
    </row>
    <row r="1202" spans="6:6" x14ac:dyDescent="0.25">
      <c r="F1202"/>
    </row>
    <row r="1203" spans="6:6" x14ac:dyDescent="0.25">
      <c r="F1203"/>
    </row>
    <row r="1204" spans="6:6" x14ac:dyDescent="0.25">
      <c r="F1204"/>
    </row>
    <row r="1205" spans="6:6" x14ac:dyDescent="0.25">
      <c r="F1205"/>
    </row>
    <row r="1206" spans="6:6" x14ac:dyDescent="0.25">
      <c r="F1206"/>
    </row>
    <row r="1207" spans="6:6" x14ac:dyDescent="0.25">
      <c r="F1207"/>
    </row>
    <row r="1208" spans="6:6" x14ac:dyDescent="0.25">
      <c r="F1208"/>
    </row>
    <row r="1209" spans="6:6" x14ac:dyDescent="0.25">
      <c r="F1209"/>
    </row>
    <row r="1210" spans="6:6" x14ac:dyDescent="0.25">
      <c r="F1210"/>
    </row>
    <row r="1211" spans="6:6" x14ac:dyDescent="0.25">
      <c r="F1211"/>
    </row>
    <row r="1212" spans="6:6" x14ac:dyDescent="0.25">
      <c r="F1212"/>
    </row>
    <row r="1213" spans="6:6" x14ac:dyDescent="0.25">
      <c r="F1213"/>
    </row>
    <row r="1214" spans="6:6" x14ac:dyDescent="0.25">
      <c r="F1214"/>
    </row>
    <row r="1215" spans="6:6" x14ac:dyDescent="0.25">
      <c r="F1215"/>
    </row>
    <row r="1216" spans="6:6" x14ac:dyDescent="0.25">
      <c r="F1216"/>
    </row>
    <row r="1217" spans="6:6" x14ac:dyDescent="0.25">
      <c r="F1217"/>
    </row>
    <row r="1218" spans="6:6" x14ac:dyDescent="0.25">
      <c r="F1218"/>
    </row>
    <row r="1219" spans="6:6" x14ac:dyDescent="0.25">
      <c r="F1219"/>
    </row>
    <row r="1220" spans="6:6" x14ac:dyDescent="0.25">
      <c r="F1220"/>
    </row>
    <row r="1221" spans="6:6" x14ac:dyDescent="0.25">
      <c r="F1221"/>
    </row>
    <row r="1222" spans="6:6" x14ac:dyDescent="0.25">
      <c r="F1222"/>
    </row>
    <row r="1223" spans="6:6" x14ac:dyDescent="0.25">
      <c r="F1223"/>
    </row>
    <row r="1224" spans="6:6" x14ac:dyDescent="0.25">
      <c r="F1224"/>
    </row>
    <row r="1225" spans="6:6" x14ac:dyDescent="0.25">
      <c r="F1225"/>
    </row>
    <row r="1226" spans="6:6" x14ac:dyDescent="0.25">
      <c r="F1226"/>
    </row>
    <row r="1227" spans="6:6" x14ac:dyDescent="0.25">
      <c r="F1227"/>
    </row>
    <row r="1228" spans="6:6" x14ac:dyDescent="0.25">
      <c r="F1228"/>
    </row>
    <row r="1229" spans="6:6" x14ac:dyDescent="0.25">
      <c r="F1229"/>
    </row>
    <row r="1230" spans="6:6" x14ac:dyDescent="0.25">
      <c r="F1230"/>
    </row>
    <row r="1231" spans="6:6" x14ac:dyDescent="0.25">
      <c r="F1231"/>
    </row>
    <row r="1232" spans="6:6" x14ac:dyDescent="0.25">
      <c r="F1232"/>
    </row>
    <row r="1233" spans="6:6" x14ac:dyDescent="0.25">
      <c r="F1233"/>
    </row>
    <row r="1234" spans="6:6" x14ac:dyDescent="0.25">
      <c r="F1234"/>
    </row>
    <row r="1235" spans="6:6" x14ac:dyDescent="0.25">
      <c r="F1235"/>
    </row>
    <row r="1236" spans="6:6" x14ac:dyDescent="0.25">
      <c r="F1236"/>
    </row>
    <row r="1237" spans="6:6" x14ac:dyDescent="0.25">
      <c r="F1237"/>
    </row>
    <row r="1238" spans="6:6" x14ac:dyDescent="0.25">
      <c r="F1238"/>
    </row>
    <row r="1239" spans="6:6" x14ac:dyDescent="0.25">
      <c r="F1239"/>
    </row>
    <row r="1240" spans="6:6" x14ac:dyDescent="0.25">
      <c r="F1240"/>
    </row>
    <row r="1241" spans="6:6" x14ac:dyDescent="0.25">
      <c r="F1241"/>
    </row>
    <row r="1242" spans="6:6" x14ac:dyDescent="0.25">
      <c r="F1242"/>
    </row>
    <row r="1243" spans="6:6" x14ac:dyDescent="0.25">
      <c r="F1243"/>
    </row>
    <row r="1244" spans="6:6" x14ac:dyDescent="0.25">
      <c r="F1244"/>
    </row>
    <row r="1245" spans="6:6" x14ac:dyDescent="0.25">
      <c r="F1245"/>
    </row>
    <row r="1246" spans="6:6" x14ac:dyDescent="0.25">
      <c r="F1246"/>
    </row>
    <row r="1247" spans="6:6" x14ac:dyDescent="0.25">
      <c r="F1247"/>
    </row>
    <row r="1248" spans="6:6" x14ac:dyDescent="0.25">
      <c r="F1248"/>
    </row>
    <row r="1249" spans="6:6" x14ac:dyDescent="0.25">
      <c r="F1249"/>
    </row>
    <row r="1250" spans="6:6" x14ac:dyDescent="0.25">
      <c r="F1250"/>
    </row>
    <row r="1251" spans="6:6" x14ac:dyDescent="0.25">
      <c r="F1251"/>
    </row>
    <row r="1252" spans="6:6" x14ac:dyDescent="0.25">
      <c r="F1252"/>
    </row>
    <row r="1253" spans="6:6" x14ac:dyDescent="0.25">
      <c r="F1253"/>
    </row>
    <row r="1254" spans="6:6" x14ac:dyDescent="0.25">
      <c r="F1254"/>
    </row>
    <row r="1255" spans="6:6" x14ac:dyDescent="0.25">
      <c r="F1255"/>
    </row>
    <row r="1256" spans="6:6" x14ac:dyDescent="0.25">
      <c r="F1256"/>
    </row>
    <row r="1257" spans="6:6" x14ac:dyDescent="0.25">
      <c r="F1257"/>
    </row>
    <row r="1258" spans="6:6" x14ac:dyDescent="0.25">
      <c r="F1258"/>
    </row>
    <row r="1259" spans="6:6" x14ac:dyDescent="0.25">
      <c r="F1259"/>
    </row>
    <row r="1260" spans="6:6" x14ac:dyDescent="0.25">
      <c r="F1260"/>
    </row>
    <row r="1261" spans="6:6" x14ac:dyDescent="0.25">
      <c r="F1261"/>
    </row>
    <row r="1262" spans="6:6" x14ac:dyDescent="0.25">
      <c r="F1262"/>
    </row>
    <row r="1263" spans="6:6" x14ac:dyDescent="0.25">
      <c r="F1263"/>
    </row>
    <row r="1264" spans="6:6" x14ac:dyDescent="0.25">
      <c r="F1264"/>
    </row>
    <row r="1265" spans="6:6" x14ac:dyDescent="0.25">
      <c r="F1265"/>
    </row>
    <row r="1266" spans="6:6" x14ac:dyDescent="0.25">
      <c r="F1266"/>
    </row>
    <row r="1267" spans="6:6" x14ac:dyDescent="0.25">
      <c r="F1267"/>
    </row>
    <row r="1268" spans="6:6" x14ac:dyDescent="0.25">
      <c r="F1268"/>
    </row>
    <row r="1269" spans="6:6" x14ac:dyDescent="0.25">
      <c r="F1269"/>
    </row>
    <row r="1270" spans="6:6" x14ac:dyDescent="0.25">
      <c r="F1270"/>
    </row>
    <row r="1271" spans="6:6" x14ac:dyDescent="0.25">
      <c r="F1271"/>
    </row>
    <row r="1272" spans="6:6" x14ac:dyDescent="0.25">
      <c r="F1272"/>
    </row>
    <row r="1273" spans="6:6" x14ac:dyDescent="0.25">
      <c r="F1273"/>
    </row>
    <row r="1274" spans="6:6" x14ac:dyDescent="0.25">
      <c r="F1274"/>
    </row>
    <row r="1275" spans="6:6" x14ac:dyDescent="0.25">
      <c r="F1275"/>
    </row>
    <row r="1276" spans="6:6" x14ac:dyDescent="0.25">
      <c r="F1276"/>
    </row>
    <row r="1277" spans="6:6" x14ac:dyDescent="0.25">
      <c r="F1277"/>
    </row>
    <row r="1278" spans="6:6" x14ac:dyDescent="0.25">
      <c r="F1278"/>
    </row>
    <row r="1279" spans="6:6" x14ac:dyDescent="0.25">
      <c r="F1279"/>
    </row>
    <row r="1280" spans="6:6" x14ac:dyDescent="0.25">
      <c r="F1280"/>
    </row>
    <row r="1281" spans="6:6" x14ac:dyDescent="0.25">
      <c r="F1281"/>
    </row>
    <row r="1282" spans="6:6" x14ac:dyDescent="0.25">
      <c r="F1282"/>
    </row>
    <row r="1283" spans="6:6" x14ac:dyDescent="0.25">
      <c r="F1283"/>
    </row>
    <row r="1284" spans="6:6" x14ac:dyDescent="0.25">
      <c r="F1284"/>
    </row>
    <row r="1285" spans="6:6" x14ac:dyDescent="0.25">
      <c r="F1285"/>
    </row>
    <row r="1286" spans="6:6" x14ac:dyDescent="0.25">
      <c r="F1286"/>
    </row>
    <row r="1287" spans="6:6" x14ac:dyDescent="0.25">
      <c r="F1287"/>
    </row>
    <row r="1288" spans="6:6" x14ac:dyDescent="0.25">
      <c r="F1288"/>
    </row>
    <row r="1289" spans="6:6" x14ac:dyDescent="0.25">
      <c r="F1289"/>
    </row>
    <row r="1290" spans="6:6" x14ac:dyDescent="0.25">
      <c r="F1290"/>
    </row>
    <row r="1291" spans="6:6" x14ac:dyDescent="0.25">
      <c r="F1291"/>
    </row>
    <row r="1292" spans="6:6" x14ac:dyDescent="0.25">
      <c r="F1292"/>
    </row>
    <row r="1293" spans="6:6" x14ac:dyDescent="0.25">
      <c r="F1293"/>
    </row>
    <row r="1294" spans="6:6" x14ac:dyDescent="0.25">
      <c r="F1294"/>
    </row>
    <row r="1295" spans="6:6" x14ac:dyDescent="0.25">
      <c r="F1295"/>
    </row>
    <row r="1296" spans="6:6" x14ac:dyDescent="0.25">
      <c r="F1296"/>
    </row>
    <row r="1297" spans="6:6" x14ac:dyDescent="0.25">
      <c r="F1297"/>
    </row>
    <row r="1298" spans="6:6" x14ac:dyDescent="0.25">
      <c r="F1298"/>
    </row>
    <row r="1299" spans="6:6" x14ac:dyDescent="0.25">
      <c r="F1299"/>
    </row>
    <row r="1300" spans="6:6" x14ac:dyDescent="0.25">
      <c r="F1300"/>
    </row>
    <row r="1301" spans="6:6" x14ac:dyDescent="0.25">
      <c r="F1301"/>
    </row>
    <row r="1302" spans="6:6" x14ac:dyDescent="0.25">
      <c r="F1302"/>
    </row>
    <row r="1303" spans="6:6" x14ac:dyDescent="0.25">
      <c r="F1303"/>
    </row>
    <row r="1304" spans="6:6" x14ac:dyDescent="0.25">
      <c r="F1304"/>
    </row>
    <row r="1305" spans="6:6" x14ac:dyDescent="0.25">
      <c r="F1305"/>
    </row>
    <row r="1306" spans="6:6" x14ac:dyDescent="0.25">
      <c r="F1306"/>
    </row>
    <row r="1307" spans="6:6" x14ac:dyDescent="0.25">
      <c r="F1307"/>
    </row>
    <row r="1308" spans="6:6" x14ac:dyDescent="0.25">
      <c r="F1308"/>
    </row>
    <row r="1309" spans="6:6" x14ac:dyDescent="0.25">
      <c r="F1309"/>
    </row>
    <row r="1310" spans="6:6" x14ac:dyDescent="0.25">
      <c r="F1310"/>
    </row>
    <row r="1311" spans="6:6" x14ac:dyDescent="0.25">
      <c r="F1311"/>
    </row>
    <row r="1312" spans="6:6" x14ac:dyDescent="0.25">
      <c r="F1312"/>
    </row>
    <row r="1313" spans="6:6" x14ac:dyDescent="0.25">
      <c r="F1313"/>
    </row>
    <row r="1314" spans="6:6" x14ac:dyDescent="0.25">
      <c r="F1314"/>
    </row>
    <row r="1315" spans="6:6" x14ac:dyDescent="0.25">
      <c r="F1315"/>
    </row>
    <row r="1316" spans="6:6" x14ac:dyDescent="0.25">
      <c r="F1316"/>
    </row>
    <row r="1317" spans="6:6" x14ac:dyDescent="0.25">
      <c r="F1317"/>
    </row>
    <row r="1318" spans="6:6" x14ac:dyDescent="0.25">
      <c r="F1318"/>
    </row>
    <row r="1319" spans="6:6" x14ac:dyDescent="0.25">
      <c r="F1319"/>
    </row>
    <row r="1320" spans="6:6" x14ac:dyDescent="0.25">
      <c r="F1320"/>
    </row>
    <row r="1321" spans="6:6" x14ac:dyDescent="0.25">
      <c r="F1321"/>
    </row>
    <row r="1322" spans="6:6" x14ac:dyDescent="0.25">
      <c r="F1322"/>
    </row>
    <row r="1323" spans="6:6" x14ac:dyDescent="0.25">
      <c r="F1323"/>
    </row>
    <row r="1324" spans="6:6" x14ac:dyDescent="0.25">
      <c r="F1324"/>
    </row>
    <row r="1325" spans="6:6" x14ac:dyDescent="0.25">
      <c r="F1325"/>
    </row>
    <row r="1326" spans="6:6" x14ac:dyDescent="0.25">
      <c r="F1326"/>
    </row>
    <row r="1327" spans="6:6" x14ac:dyDescent="0.25">
      <c r="F1327"/>
    </row>
    <row r="1328" spans="6:6" x14ac:dyDescent="0.25">
      <c r="F1328"/>
    </row>
    <row r="1329" spans="6:6" x14ac:dyDescent="0.25">
      <c r="F1329"/>
    </row>
    <row r="1330" spans="6:6" x14ac:dyDescent="0.25">
      <c r="F1330"/>
    </row>
    <row r="1331" spans="6:6" x14ac:dyDescent="0.25">
      <c r="F1331"/>
    </row>
    <row r="1332" spans="6:6" x14ac:dyDescent="0.25">
      <c r="F1332"/>
    </row>
    <row r="1333" spans="6:6" x14ac:dyDescent="0.25">
      <c r="F1333"/>
    </row>
    <row r="1334" spans="6:6" x14ac:dyDescent="0.25">
      <c r="F1334"/>
    </row>
    <row r="1335" spans="6:6" x14ac:dyDescent="0.25">
      <c r="F1335"/>
    </row>
    <row r="1336" spans="6:6" x14ac:dyDescent="0.25">
      <c r="F1336"/>
    </row>
    <row r="1337" spans="6:6" x14ac:dyDescent="0.25">
      <c r="F1337"/>
    </row>
    <row r="1338" spans="6:6" x14ac:dyDescent="0.25">
      <c r="F1338"/>
    </row>
    <row r="1339" spans="6:6" x14ac:dyDescent="0.25">
      <c r="F1339"/>
    </row>
    <row r="1340" spans="6:6" x14ac:dyDescent="0.25">
      <c r="F1340"/>
    </row>
    <row r="1341" spans="6:6" x14ac:dyDescent="0.25">
      <c r="F1341"/>
    </row>
    <row r="1342" spans="6:6" x14ac:dyDescent="0.25">
      <c r="F1342"/>
    </row>
    <row r="1343" spans="6:6" x14ac:dyDescent="0.25">
      <c r="F1343"/>
    </row>
    <row r="1344" spans="6:6" x14ac:dyDescent="0.25">
      <c r="F1344"/>
    </row>
    <row r="1345" spans="6:6" x14ac:dyDescent="0.25">
      <c r="F1345"/>
    </row>
    <row r="1346" spans="6:6" x14ac:dyDescent="0.25">
      <c r="F1346"/>
    </row>
    <row r="1347" spans="6:6" x14ac:dyDescent="0.25">
      <c r="F1347"/>
    </row>
    <row r="1348" spans="6:6" x14ac:dyDescent="0.25">
      <c r="F1348"/>
    </row>
    <row r="1349" spans="6:6" x14ac:dyDescent="0.25">
      <c r="F1349"/>
    </row>
    <row r="1350" spans="6:6" x14ac:dyDescent="0.25">
      <c r="F1350"/>
    </row>
    <row r="1351" spans="6:6" x14ac:dyDescent="0.25">
      <c r="F1351"/>
    </row>
    <row r="1352" spans="6:6" x14ac:dyDescent="0.25">
      <c r="F1352"/>
    </row>
    <row r="1353" spans="6:6" x14ac:dyDescent="0.25">
      <c r="F1353"/>
    </row>
    <row r="1354" spans="6:6" x14ac:dyDescent="0.25">
      <c r="F1354"/>
    </row>
    <row r="1355" spans="6:6" x14ac:dyDescent="0.25">
      <c r="F1355"/>
    </row>
    <row r="1356" spans="6:6" x14ac:dyDescent="0.25">
      <c r="F1356"/>
    </row>
    <row r="1357" spans="6:6" x14ac:dyDescent="0.25">
      <c r="F1357"/>
    </row>
    <row r="1358" spans="6:6" x14ac:dyDescent="0.25">
      <c r="F1358"/>
    </row>
    <row r="1359" spans="6:6" x14ac:dyDescent="0.25">
      <c r="F1359"/>
    </row>
    <row r="1360" spans="6:6" x14ac:dyDescent="0.25">
      <c r="F1360"/>
    </row>
    <row r="1361" spans="6:6" x14ac:dyDescent="0.25">
      <c r="F1361"/>
    </row>
    <row r="1362" spans="6:6" x14ac:dyDescent="0.25">
      <c r="F1362"/>
    </row>
    <row r="1363" spans="6:6" x14ac:dyDescent="0.25">
      <c r="F1363"/>
    </row>
    <row r="1364" spans="6:6" x14ac:dyDescent="0.25">
      <c r="F1364"/>
    </row>
    <row r="1365" spans="6:6" x14ac:dyDescent="0.25">
      <c r="F1365"/>
    </row>
    <row r="1366" spans="6:6" x14ac:dyDescent="0.25">
      <c r="F1366"/>
    </row>
    <row r="1367" spans="6:6" x14ac:dyDescent="0.25">
      <c r="F1367"/>
    </row>
    <row r="1368" spans="6:6" x14ac:dyDescent="0.25">
      <c r="F1368"/>
    </row>
    <row r="1369" spans="6:6" x14ac:dyDescent="0.25">
      <c r="F1369"/>
    </row>
    <row r="1370" spans="6:6" x14ac:dyDescent="0.25">
      <c r="F1370"/>
    </row>
    <row r="1371" spans="6:6" x14ac:dyDescent="0.25">
      <c r="F1371"/>
    </row>
    <row r="1372" spans="6:6" x14ac:dyDescent="0.25">
      <c r="F1372"/>
    </row>
    <row r="1373" spans="6:6" x14ac:dyDescent="0.25">
      <c r="F1373"/>
    </row>
    <row r="1374" spans="6:6" x14ac:dyDescent="0.25">
      <c r="F1374"/>
    </row>
    <row r="1375" spans="6:6" x14ac:dyDescent="0.25">
      <c r="F1375"/>
    </row>
    <row r="1376" spans="6:6" x14ac:dyDescent="0.25">
      <c r="F1376"/>
    </row>
    <row r="1377" spans="6:6" x14ac:dyDescent="0.25">
      <c r="F1377"/>
    </row>
    <row r="1378" spans="6:6" x14ac:dyDescent="0.25">
      <c r="F1378"/>
    </row>
    <row r="1379" spans="6:6" x14ac:dyDescent="0.25">
      <c r="F1379"/>
    </row>
    <row r="1380" spans="6:6" x14ac:dyDescent="0.25">
      <c r="F1380"/>
    </row>
    <row r="1381" spans="6:6" x14ac:dyDescent="0.25">
      <c r="F1381"/>
    </row>
    <row r="1382" spans="6:6" x14ac:dyDescent="0.25">
      <c r="F1382"/>
    </row>
    <row r="1383" spans="6:6" x14ac:dyDescent="0.25">
      <c r="F1383"/>
    </row>
    <row r="1384" spans="6:6" x14ac:dyDescent="0.25">
      <c r="F1384"/>
    </row>
    <row r="1385" spans="6:6" x14ac:dyDescent="0.25">
      <c r="F1385"/>
    </row>
    <row r="1386" spans="6:6" x14ac:dyDescent="0.25">
      <c r="F1386"/>
    </row>
    <row r="1387" spans="6:6" x14ac:dyDescent="0.25">
      <c r="F1387"/>
    </row>
    <row r="1388" spans="6:6" x14ac:dyDescent="0.25">
      <c r="F1388"/>
    </row>
    <row r="1389" spans="6:6" x14ac:dyDescent="0.25">
      <c r="F1389"/>
    </row>
    <row r="1390" spans="6:6" x14ac:dyDescent="0.25">
      <c r="F1390"/>
    </row>
    <row r="1391" spans="6:6" x14ac:dyDescent="0.25">
      <c r="F1391"/>
    </row>
    <row r="1392" spans="6:6" x14ac:dyDescent="0.25">
      <c r="F1392"/>
    </row>
    <row r="1393" spans="6:6" x14ac:dyDescent="0.25">
      <c r="F1393"/>
    </row>
    <row r="1394" spans="6:6" x14ac:dyDescent="0.25">
      <c r="F1394"/>
    </row>
    <row r="1395" spans="6:6" x14ac:dyDescent="0.25">
      <c r="F1395"/>
    </row>
    <row r="1396" spans="6:6" x14ac:dyDescent="0.25">
      <c r="F1396"/>
    </row>
    <row r="1397" spans="6:6" x14ac:dyDescent="0.25">
      <c r="F1397"/>
    </row>
    <row r="1398" spans="6:6" x14ac:dyDescent="0.25">
      <c r="F1398"/>
    </row>
    <row r="1399" spans="6:6" x14ac:dyDescent="0.25">
      <c r="F1399"/>
    </row>
    <row r="1400" spans="6:6" x14ac:dyDescent="0.25">
      <c r="F1400"/>
    </row>
    <row r="1401" spans="6:6" x14ac:dyDescent="0.25">
      <c r="F1401"/>
    </row>
    <row r="1402" spans="6:6" x14ac:dyDescent="0.25">
      <c r="F1402"/>
    </row>
    <row r="1403" spans="6:6" x14ac:dyDescent="0.25">
      <c r="F1403"/>
    </row>
    <row r="1404" spans="6:6" x14ac:dyDescent="0.25">
      <c r="F1404"/>
    </row>
    <row r="1405" spans="6:6" x14ac:dyDescent="0.25">
      <c r="F1405"/>
    </row>
    <row r="1406" spans="6:6" x14ac:dyDescent="0.25">
      <c r="F1406"/>
    </row>
    <row r="1407" spans="6:6" x14ac:dyDescent="0.25">
      <c r="F1407"/>
    </row>
    <row r="1408" spans="6:6" x14ac:dyDescent="0.25">
      <c r="F1408"/>
    </row>
    <row r="1409" spans="6:6" x14ac:dyDescent="0.25">
      <c r="F1409"/>
    </row>
    <row r="1410" spans="6:6" x14ac:dyDescent="0.25">
      <c r="F1410"/>
    </row>
    <row r="1411" spans="6:6" x14ac:dyDescent="0.25">
      <c r="F1411"/>
    </row>
    <row r="1412" spans="6:6" x14ac:dyDescent="0.25">
      <c r="F1412"/>
    </row>
    <row r="1413" spans="6:6" x14ac:dyDescent="0.25">
      <c r="F1413"/>
    </row>
    <row r="1414" spans="6:6" x14ac:dyDescent="0.25">
      <c r="F1414"/>
    </row>
    <row r="1415" spans="6:6" x14ac:dyDescent="0.25">
      <c r="F1415"/>
    </row>
    <row r="1416" spans="6:6" x14ac:dyDescent="0.25">
      <c r="F1416"/>
    </row>
    <row r="1417" spans="6:6" x14ac:dyDescent="0.25">
      <c r="F1417"/>
    </row>
    <row r="1418" spans="6:6" x14ac:dyDescent="0.25">
      <c r="F1418"/>
    </row>
    <row r="1419" spans="6:6" x14ac:dyDescent="0.25">
      <c r="F1419"/>
    </row>
    <row r="1420" spans="6:6" x14ac:dyDescent="0.25">
      <c r="F1420"/>
    </row>
    <row r="1421" spans="6:6" x14ac:dyDescent="0.25">
      <c r="F1421"/>
    </row>
    <row r="1422" spans="6:6" x14ac:dyDescent="0.25">
      <c r="F1422"/>
    </row>
    <row r="1423" spans="6:6" x14ac:dyDescent="0.25">
      <c r="F1423"/>
    </row>
    <row r="1424" spans="6:6" x14ac:dyDescent="0.25">
      <c r="F1424"/>
    </row>
    <row r="1425" spans="6:6" x14ac:dyDescent="0.25">
      <c r="F1425"/>
    </row>
    <row r="1426" spans="6:6" x14ac:dyDescent="0.25">
      <c r="F1426"/>
    </row>
    <row r="1427" spans="6:6" x14ac:dyDescent="0.25">
      <c r="F1427"/>
    </row>
    <row r="1428" spans="6:6" x14ac:dyDescent="0.25">
      <c r="F1428"/>
    </row>
    <row r="1429" spans="6:6" x14ac:dyDescent="0.25">
      <c r="F1429"/>
    </row>
    <row r="1430" spans="6:6" x14ac:dyDescent="0.25">
      <c r="F1430"/>
    </row>
    <row r="1431" spans="6:6" x14ac:dyDescent="0.25">
      <c r="F1431"/>
    </row>
    <row r="1432" spans="6:6" x14ac:dyDescent="0.25">
      <c r="F1432"/>
    </row>
  </sheetData>
  <sheetProtection sheet="1" objects="1" scenarios="1"/>
  <sortState xmlns:xlrd2="http://schemas.microsoft.com/office/spreadsheetml/2017/richdata2" ref="I70:L76">
    <sortCondition descending="1" ref="L70:L76"/>
  </sortState>
  <pageMargins left="0.7" right="0.7" top="0.75" bottom="0.75" header="0.3" footer="0.3"/>
  <ignoredErrors>
    <ignoredError sqref="H43:H47" calculatedColumn="1"/>
  </ignoredErrors>
  <drawing r:id="rId10"/>
  <tableParts count="2">
    <tablePart r:id="rId11"/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2EB40-ECE3-4253-9D08-F13937173DA6}">
  <dimension ref="E1:BT2022"/>
  <sheetViews>
    <sheetView showGridLines="0" tabSelected="1" zoomScale="80" zoomScaleNormal="80" workbookViewId="0">
      <selection activeCell="U5" sqref="U5"/>
    </sheetView>
  </sheetViews>
  <sheetFormatPr baseColWidth="10" defaultRowHeight="15" x14ac:dyDescent="0.25"/>
  <cols>
    <col min="5" max="27" width="11.42578125" style="3"/>
  </cols>
  <sheetData>
    <row r="1" spans="21:72" s="14" customFormat="1" x14ac:dyDescent="0.25"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</row>
    <row r="2" spans="21:72" s="14" customFormat="1" x14ac:dyDescent="0.25"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</row>
    <row r="3" spans="21:72" s="14" customFormat="1" x14ac:dyDescent="0.25"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</row>
    <row r="4" spans="21:72" s="14" customFormat="1" x14ac:dyDescent="0.25"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</row>
    <row r="5" spans="21:72" s="14" customFormat="1" x14ac:dyDescent="0.25"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</row>
    <row r="6" spans="21:72" x14ac:dyDescent="0.25">
      <c r="AB6" s="3"/>
    </row>
    <row r="7" spans="21:72" x14ac:dyDescent="0.25">
      <c r="AB7" s="3"/>
    </row>
    <row r="8" spans="21:72" x14ac:dyDescent="0.25">
      <c r="AB8" s="3"/>
    </row>
    <row r="9" spans="21:72" x14ac:dyDescent="0.25">
      <c r="AB9" s="3"/>
    </row>
    <row r="10" spans="21:72" x14ac:dyDescent="0.25">
      <c r="AB10" s="3"/>
    </row>
    <row r="11" spans="21:72" x14ac:dyDescent="0.25">
      <c r="AB11" s="3"/>
    </row>
    <row r="12" spans="21:72" x14ac:dyDescent="0.25">
      <c r="AB12" s="3"/>
    </row>
    <row r="13" spans="21:72" x14ac:dyDescent="0.25">
      <c r="AB13" s="3"/>
    </row>
    <row r="14" spans="21:72" x14ac:dyDescent="0.25">
      <c r="AB14" s="3"/>
    </row>
    <row r="15" spans="21:72" x14ac:dyDescent="0.25">
      <c r="AB15" s="3"/>
    </row>
    <row r="16" spans="21:72" x14ac:dyDescent="0.25">
      <c r="AB16" s="3"/>
    </row>
    <row r="17" spans="28:28" x14ac:dyDescent="0.25">
      <c r="AB17" s="3"/>
    </row>
    <row r="18" spans="28:28" x14ac:dyDescent="0.25">
      <c r="AB18" s="3"/>
    </row>
    <row r="19" spans="28:28" x14ac:dyDescent="0.25">
      <c r="AB19" s="3"/>
    </row>
    <row r="20" spans="28:28" x14ac:dyDescent="0.25">
      <c r="AB20" s="3"/>
    </row>
    <row r="21" spans="28:28" x14ac:dyDescent="0.25">
      <c r="AB21" s="3"/>
    </row>
    <row r="22" spans="28:28" x14ac:dyDescent="0.25">
      <c r="AB22" s="3"/>
    </row>
    <row r="23" spans="28:28" x14ac:dyDescent="0.25">
      <c r="AB23" s="3"/>
    </row>
    <row r="24" spans="28:28" x14ac:dyDescent="0.25">
      <c r="AB24" s="3"/>
    </row>
    <row r="25" spans="28:28" x14ac:dyDescent="0.25">
      <c r="AB25" s="3"/>
    </row>
    <row r="26" spans="28:28" x14ac:dyDescent="0.25">
      <c r="AB26" s="3"/>
    </row>
    <row r="27" spans="28:28" x14ac:dyDescent="0.25">
      <c r="AB27" s="3"/>
    </row>
    <row r="28" spans="28:28" x14ac:dyDescent="0.25">
      <c r="AB28" s="3"/>
    </row>
    <row r="29" spans="28:28" x14ac:dyDescent="0.25">
      <c r="AB29" s="3"/>
    </row>
    <row r="30" spans="28:28" x14ac:dyDescent="0.25">
      <c r="AB30" s="3"/>
    </row>
    <row r="31" spans="28:28" x14ac:dyDescent="0.25">
      <c r="AB31" s="3"/>
    </row>
    <row r="32" spans="28:28" x14ac:dyDescent="0.25">
      <c r="AB32" s="3"/>
    </row>
    <row r="33" spans="28:28" x14ac:dyDescent="0.25">
      <c r="AB33" s="3"/>
    </row>
    <row r="34" spans="28:28" x14ac:dyDescent="0.25">
      <c r="AB34" s="3"/>
    </row>
    <row r="35" spans="28:28" x14ac:dyDescent="0.25">
      <c r="AB35" s="3"/>
    </row>
    <row r="36" spans="28:28" x14ac:dyDescent="0.25">
      <c r="AB36" s="3"/>
    </row>
    <row r="37" spans="28:28" x14ac:dyDescent="0.25">
      <c r="AB37" s="3"/>
    </row>
    <row r="38" spans="28:28" x14ac:dyDescent="0.25">
      <c r="AB38" s="3"/>
    </row>
    <row r="39" spans="28:28" x14ac:dyDescent="0.25">
      <c r="AB39" s="3"/>
    </row>
    <row r="40" spans="28:28" x14ac:dyDescent="0.25">
      <c r="AB40" s="3"/>
    </row>
    <row r="41" spans="28:28" x14ac:dyDescent="0.25">
      <c r="AB41" s="3"/>
    </row>
    <row r="42" spans="28:28" x14ac:dyDescent="0.25">
      <c r="AB42" s="3"/>
    </row>
    <row r="43" spans="28:28" x14ac:dyDescent="0.25">
      <c r="AB43" s="3"/>
    </row>
    <row r="44" spans="28:28" x14ac:dyDescent="0.25">
      <c r="AB44" s="3"/>
    </row>
    <row r="45" spans="28:28" x14ac:dyDescent="0.25">
      <c r="AB45" s="3"/>
    </row>
    <row r="46" spans="28:28" x14ac:dyDescent="0.25">
      <c r="AB46" s="3"/>
    </row>
    <row r="47" spans="28:28" x14ac:dyDescent="0.25">
      <c r="AB47" s="3"/>
    </row>
    <row r="48" spans="28:28" x14ac:dyDescent="0.25">
      <c r="AB48" s="3"/>
    </row>
    <row r="49" spans="28:28" x14ac:dyDescent="0.25">
      <c r="AB49" s="3"/>
    </row>
    <row r="50" spans="28:28" x14ac:dyDescent="0.25">
      <c r="AB50" s="3"/>
    </row>
    <row r="51" spans="28:28" x14ac:dyDescent="0.25">
      <c r="AB51" s="3"/>
    </row>
    <row r="66" s="3" customFormat="1" x14ac:dyDescent="0.25"/>
    <row r="67" s="3" customFormat="1" x14ac:dyDescent="0.25"/>
    <row r="68" s="3" customFormat="1" x14ac:dyDescent="0.25"/>
    <row r="69" s="3" customFormat="1" x14ac:dyDescent="0.25"/>
    <row r="70" s="3" customFormat="1" x14ac:dyDescent="0.25"/>
    <row r="71" s="3" customFormat="1" x14ac:dyDescent="0.25"/>
    <row r="72" s="3" customFormat="1" x14ac:dyDescent="0.25"/>
    <row r="73" s="3" customFormat="1" x14ac:dyDescent="0.25"/>
    <row r="74" s="3" customFormat="1" x14ac:dyDescent="0.25"/>
    <row r="75" s="3" customFormat="1" x14ac:dyDescent="0.25"/>
    <row r="76" s="3" customFormat="1" x14ac:dyDescent="0.25"/>
    <row r="77" s="3" customFormat="1" x14ac:dyDescent="0.25"/>
    <row r="78" s="3" customFormat="1" x14ac:dyDescent="0.25"/>
    <row r="79" s="3" customFormat="1" x14ac:dyDescent="0.25"/>
    <row r="80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  <row r="97" s="3" customFormat="1" x14ac:dyDescent="0.25"/>
    <row r="98" s="3" customFormat="1" x14ac:dyDescent="0.25"/>
    <row r="99" s="3" customFormat="1" x14ac:dyDescent="0.25"/>
    <row r="100" s="3" customFormat="1" x14ac:dyDescent="0.25"/>
    <row r="101" s="3" customFormat="1" x14ac:dyDescent="0.25"/>
    <row r="102" s="3" customFormat="1" x14ac:dyDescent="0.25"/>
    <row r="103" s="3" customFormat="1" x14ac:dyDescent="0.25"/>
    <row r="104" s="3" customFormat="1" x14ac:dyDescent="0.25"/>
    <row r="105" s="3" customFormat="1" x14ac:dyDescent="0.25"/>
    <row r="106" s="3" customFormat="1" x14ac:dyDescent="0.25"/>
    <row r="107" s="3" customFormat="1" x14ac:dyDescent="0.25"/>
    <row r="108" s="3" customFormat="1" x14ac:dyDescent="0.25"/>
    <row r="109" s="3" customFormat="1" x14ac:dyDescent="0.25"/>
    <row r="110" s="3" customFormat="1" x14ac:dyDescent="0.25"/>
    <row r="111" s="3" customFormat="1" x14ac:dyDescent="0.25"/>
    <row r="112" s="3" customFormat="1" x14ac:dyDescent="0.25"/>
    <row r="113" s="3" customFormat="1" x14ac:dyDescent="0.25"/>
    <row r="114" s="3" customFormat="1" x14ac:dyDescent="0.25"/>
    <row r="115" s="3" customFormat="1" x14ac:dyDescent="0.25"/>
    <row r="116" s="3" customFormat="1" x14ac:dyDescent="0.25"/>
    <row r="117" s="3" customFormat="1" x14ac:dyDescent="0.25"/>
    <row r="118" s="3" customFormat="1" x14ac:dyDescent="0.25"/>
    <row r="119" s="3" customFormat="1" x14ac:dyDescent="0.25"/>
    <row r="120" s="3" customFormat="1" x14ac:dyDescent="0.25"/>
    <row r="121" s="3" customFormat="1" x14ac:dyDescent="0.25"/>
    <row r="122" s="3" customFormat="1" x14ac:dyDescent="0.25"/>
    <row r="123" s="3" customFormat="1" x14ac:dyDescent="0.25"/>
    <row r="124" s="3" customFormat="1" x14ac:dyDescent="0.25"/>
    <row r="125" s="3" customFormat="1" x14ac:dyDescent="0.25"/>
    <row r="126" s="3" customFormat="1" x14ac:dyDescent="0.25"/>
    <row r="127" s="3" customFormat="1" x14ac:dyDescent="0.25"/>
    <row r="128" s="3" customFormat="1" x14ac:dyDescent="0.25"/>
    <row r="129" s="3" customFormat="1" x14ac:dyDescent="0.25"/>
    <row r="130" s="3" customFormat="1" x14ac:dyDescent="0.25"/>
    <row r="131" s="3" customFormat="1" x14ac:dyDescent="0.25"/>
    <row r="132" s="3" customFormat="1" x14ac:dyDescent="0.25"/>
    <row r="133" s="3" customFormat="1" x14ac:dyDescent="0.25"/>
    <row r="134" s="3" customFormat="1" x14ac:dyDescent="0.25"/>
    <row r="135" s="3" customFormat="1" x14ac:dyDescent="0.25"/>
    <row r="136" s="3" customFormat="1" x14ac:dyDescent="0.25"/>
    <row r="137" s="3" customFormat="1" x14ac:dyDescent="0.25"/>
    <row r="138" s="3" customFormat="1" x14ac:dyDescent="0.25"/>
    <row r="139" s="3" customFormat="1" x14ac:dyDescent="0.25"/>
    <row r="140" s="3" customFormat="1" x14ac:dyDescent="0.25"/>
    <row r="141" s="3" customFormat="1" x14ac:dyDescent="0.25"/>
    <row r="142" s="3" customFormat="1" x14ac:dyDescent="0.25"/>
    <row r="143" s="3" customFormat="1" x14ac:dyDescent="0.25"/>
    <row r="144" s="3" customFormat="1" x14ac:dyDescent="0.25"/>
    <row r="145" s="3" customFormat="1" x14ac:dyDescent="0.25"/>
    <row r="146" s="3" customFormat="1" x14ac:dyDescent="0.25"/>
    <row r="147" s="3" customFormat="1" x14ac:dyDescent="0.25"/>
    <row r="148" s="3" customFormat="1" x14ac:dyDescent="0.25"/>
    <row r="149" s="3" customFormat="1" x14ac:dyDescent="0.25"/>
    <row r="150" s="3" customFormat="1" x14ac:dyDescent="0.25"/>
    <row r="151" s="3" customFormat="1" x14ac:dyDescent="0.25"/>
    <row r="152" s="3" customFormat="1" x14ac:dyDescent="0.25"/>
    <row r="153" s="3" customFormat="1" x14ac:dyDescent="0.25"/>
    <row r="154" s="3" customFormat="1" x14ac:dyDescent="0.25"/>
    <row r="155" s="3" customFormat="1" x14ac:dyDescent="0.25"/>
    <row r="156" s="3" customFormat="1" x14ac:dyDescent="0.25"/>
    <row r="157" s="3" customFormat="1" x14ac:dyDescent="0.25"/>
    <row r="158" s="3" customFormat="1" x14ac:dyDescent="0.25"/>
    <row r="159" s="3" customFormat="1" x14ac:dyDescent="0.25"/>
    <row r="160" s="3" customFormat="1" x14ac:dyDescent="0.25"/>
    <row r="161" s="3" customFormat="1" x14ac:dyDescent="0.25"/>
    <row r="162" s="3" customFormat="1" x14ac:dyDescent="0.25"/>
    <row r="163" s="3" customFormat="1" x14ac:dyDescent="0.25"/>
    <row r="164" s="3" customFormat="1" x14ac:dyDescent="0.25"/>
    <row r="165" s="3" customFormat="1" x14ac:dyDescent="0.25"/>
    <row r="166" s="3" customFormat="1" x14ac:dyDescent="0.25"/>
    <row r="167" s="3" customFormat="1" x14ac:dyDescent="0.25"/>
    <row r="168" s="3" customFormat="1" x14ac:dyDescent="0.25"/>
    <row r="169" s="3" customFormat="1" x14ac:dyDescent="0.25"/>
    <row r="170" s="3" customFormat="1" x14ac:dyDescent="0.25"/>
    <row r="171" s="3" customFormat="1" x14ac:dyDescent="0.25"/>
    <row r="172" s="3" customFormat="1" x14ac:dyDescent="0.25"/>
    <row r="173" s="3" customFormat="1" x14ac:dyDescent="0.25"/>
    <row r="174" s="3" customFormat="1" x14ac:dyDescent="0.25"/>
    <row r="175" s="3" customFormat="1" x14ac:dyDescent="0.25"/>
    <row r="176" s="3" customFormat="1" x14ac:dyDescent="0.25"/>
    <row r="177" s="3" customFormat="1" x14ac:dyDescent="0.25"/>
    <row r="178" s="3" customFormat="1" x14ac:dyDescent="0.25"/>
    <row r="179" s="3" customFormat="1" x14ac:dyDescent="0.25"/>
    <row r="180" s="3" customFormat="1" x14ac:dyDescent="0.25"/>
    <row r="181" s="3" customFormat="1" x14ac:dyDescent="0.25"/>
    <row r="182" s="3" customFormat="1" x14ac:dyDescent="0.25"/>
    <row r="183" s="3" customFormat="1" x14ac:dyDescent="0.25"/>
    <row r="184" s="3" customFormat="1" x14ac:dyDescent="0.25"/>
    <row r="185" s="3" customFormat="1" x14ac:dyDescent="0.25"/>
    <row r="186" s="3" customFormat="1" x14ac:dyDescent="0.25"/>
    <row r="187" s="3" customFormat="1" x14ac:dyDescent="0.25"/>
    <row r="188" s="3" customFormat="1" x14ac:dyDescent="0.25"/>
    <row r="189" s="3" customFormat="1" x14ac:dyDescent="0.25"/>
    <row r="190" s="3" customFormat="1" x14ac:dyDescent="0.25"/>
    <row r="191" s="3" customFormat="1" x14ac:dyDescent="0.25"/>
    <row r="192" s="3" customFormat="1" x14ac:dyDescent="0.25"/>
    <row r="193" s="3" customFormat="1" x14ac:dyDescent="0.25"/>
    <row r="194" s="3" customFormat="1" x14ac:dyDescent="0.25"/>
    <row r="195" s="3" customFormat="1" x14ac:dyDescent="0.25"/>
    <row r="196" s="3" customFormat="1" x14ac:dyDescent="0.25"/>
    <row r="197" s="3" customFormat="1" x14ac:dyDescent="0.25"/>
    <row r="198" s="3" customFormat="1" x14ac:dyDescent="0.25"/>
    <row r="199" s="3" customFormat="1" x14ac:dyDescent="0.25"/>
    <row r="200" s="3" customFormat="1" x14ac:dyDescent="0.25"/>
    <row r="201" s="3" customFormat="1" x14ac:dyDescent="0.25"/>
    <row r="202" s="3" customFormat="1" x14ac:dyDescent="0.25"/>
    <row r="203" s="3" customFormat="1" x14ac:dyDescent="0.25"/>
    <row r="204" s="3" customFormat="1" x14ac:dyDescent="0.25"/>
    <row r="205" s="3" customFormat="1" x14ac:dyDescent="0.25"/>
    <row r="206" s="3" customFormat="1" x14ac:dyDescent="0.25"/>
    <row r="207" s="3" customFormat="1" x14ac:dyDescent="0.25"/>
    <row r="208" s="3" customFormat="1" x14ac:dyDescent="0.25"/>
    <row r="209" s="3" customFormat="1" x14ac:dyDescent="0.25"/>
    <row r="210" s="3" customFormat="1" x14ac:dyDescent="0.25"/>
    <row r="211" s="3" customFormat="1" x14ac:dyDescent="0.25"/>
    <row r="212" s="3" customFormat="1" x14ac:dyDescent="0.25"/>
    <row r="213" s="3" customFormat="1" x14ac:dyDescent="0.25"/>
    <row r="214" s="3" customFormat="1" x14ac:dyDescent="0.25"/>
    <row r="215" s="3" customFormat="1" x14ac:dyDescent="0.25"/>
    <row r="216" s="3" customFormat="1" x14ac:dyDescent="0.25"/>
    <row r="217" s="3" customFormat="1" x14ac:dyDescent="0.25"/>
    <row r="218" s="3" customFormat="1" x14ac:dyDescent="0.25"/>
    <row r="219" s="3" customFormat="1" x14ac:dyDescent="0.25"/>
    <row r="220" s="3" customFormat="1" x14ac:dyDescent="0.25"/>
    <row r="221" s="3" customFormat="1" x14ac:dyDescent="0.25"/>
    <row r="222" s="3" customFormat="1" x14ac:dyDescent="0.25"/>
    <row r="223" s="3" customFormat="1" x14ac:dyDescent="0.25"/>
    <row r="224" s="3" customFormat="1" x14ac:dyDescent="0.25"/>
    <row r="225" s="3" customFormat="1" x14ac:dyDescent="0.25"/>
    <row r="226" s="3" customFormat="1" x14ac:dyDescent="0.25"/>
    <row r="227" s="3" customFormat="1" x14ac:dyDescent="0.25"/>
    <row r="228" s="3" customFormat="1" x14ac:dyDescent="0.25"/>
    <row r="229" s="3" customFormat="1" x14ac:dyDescent="0.25"/>
    <row r="230" s="3" customFormat="1" x14ac:dyDescent="0.25"/>
    <row r="231" s="3" customFormat="1" x14ac:dyDescent="0.25"/>
    <row r="232" s="3" customFormat="1" x14ac:dyDescent="0.25"/>
    <row r="233" s="3" customFormat="1" x14ac:dyDescent="0.25"/>
    <row r="234" s="3" customFormat="1" x14ac:dyDescent="0.25"/>
    <row r="235" s="3" customFormat="1" x14ac:dyDescent="0.25"/>
    <row r="236" s="3" customFormat="1" x14ac:dyDescent="0.25"/>
    <row r="237" s="3" customFormat="1" x14ac:dyDescent="0.25"/>
    <row r="238" s="3" customFormat="1" x14ac:dyDescent="0.25"/>
    <row r="239" s="3" customFormat="1" x14ac:dyDescent="0.25"/>
    <row r="240" s="3" customFormat="1" x14ac:dyDescent="0.25"/>
    <row r="241" s="3" customFormat="1" x14ac:dyDescent="0.25"/>
    <row r="242" s="3" customFormat="1" x14ac:dyDescent="0.25"/>
    <row r="243" s="3" customFormat="1" x14ac:dyDescent="0.25"/>
    <row r="244" s="3" customFormat="1" x14ac:dyDescent="0.25"/>
    <row r="245" s="3" customFormat="1" x14ac:dyDescent="0.25"/>
    <row r="246" s="3" customFormat="1" x14ac:dyDescent="0.25"/>
    <row r="247" s="3" customFormat="1" x14ac:dyDescent="0.25"/>
    <row r="248" s="3" customFormat="1" x14ac:dyDescent="0.25"/>
    <row r="249" s="3" customFormat="1" x14ac:dyDescent="0.25"/>
    <row r="250" s="3" customFormat="1" x14ac:dyDescent="0.25"/>
    <row r="251" s="3" customFormat="1" x14ac:dyDescent="0.25"/>
    <row r="252" s="3" customFormat="1" x14ac:dyDescent="0.25"/>
    <row r="253" s="3" customFormat="1" x14ac:dyDescent="0.25"/>
    <row r="254" s="3" customFormat="1" x14ac:dyDescent="0.25"/>
    <row r="255" s="3" customFormat="1" x14ac:dyDescent="0.25"/>
    <row r="256" s="3" customFormat="1" x14ac:dyDescent="0.25"/>
    <row r="257" s="3" customFormat="1" x14ac:dyDescent="0.25"/>
    <row r="258" s="3" customFormat="1" x14ac:dyDescent="0.25"/>
    <row r="259" s="3" customFormat="1" x14ac:dyDescent="0.25"/>
    <row r="260" s="3" customFormat="1" x14ac:dyDescent="0.25"/>
    <row r="261" s="3" customFormat="1" x14ac:dyDescent="0.25"/>
    <row r="262" s="3" customFormat="1" x14ac:dyDescent="0.25"/>
    <row r="263" s="3" customFormat="1" x14ac:dyDescent="0.25"/>
    <row r="264" s="3" customFormat="1" x14ac:dyDescent="0.25"/>
    <row r="265" s="3" customFormat="1" x14ac:dyDescent="0.25"/>
    <row r="266" s="3" customFormat="1" x14ac:dyDescent="0.25"/>
    <row r="267" s="3" customFormat="1" x14ac:dyDescent="0.25"/>
    <row r="268" s="3" customFormat="1" x14ac:dyDescent="0.25"/>
    <row r="269" s="3" customFormat="1" x14ac:dyDescent="0.25"/>
    <row r="270" s="3" customFormat="1" x14ac:dyDescent="0.25"/>
    <row r="271" s="3" customFormat="1" x14ac:dyDescent="0.25"/>
    <row r="272" s="3" customFormat="1" x14ac:dyDescent="0.25"/>
    <row r="273" s="3" customFormat="1" x14ac:dyDescent="0.25"/>
    <row r="274" s="3" customFormat="1" x14ac:dyDescent="0.25"/>
    <row r="275" s="3" customFormat="1" x14ac:dyDescent="0.25"/>
    <row r="276" s="3" customFormat="1" x14ac:dyDescent="0.25"/>
    <row r="277" s="3" customFormat="1" x14ac:dyDescent="0.25"/>
    <row r="278" s="3" customFormat="1" x14ac:dyDescent="0.25"/>
    <row r="279" s="3" customFormat="1" x14ac:dyDescent="0.25"/>
    <row r="280" s="3" customFormat="1" x14ac:dyDescent="0.25"/>
    <row r="281" s="3" customFormat="1" x14ac:dyDescent="0.25"/>
    <row r="282" s="3" customFormat="1" x14ac:dyDescent="0.25"/>
    <row r="283" s="3" customFormat="1" x14ac:dyDescent="0.25"/>
    <row r="284" s="3" customFormat="1" x14ac:dyDescent="0.25"/>
    <row r="285" s="3" customFormat="1" x14ac:dyDescent="0.25"/>
    <row r="286" s="3" customFormat="1" x14ac:dyDescent="0.25"/>
    <row r="287" s="3" customFormat="1" x14ac:dyDescent="0.25"/>
    <row r="288" s="3" customFormat="1" x14ac:dyDescent="0.25"/>
    <row r="289" s="3" customFormat="1" x14ac:dyDescent="0.25"/>
    <row r="290" s="3" customFormat="1" x14ac:dyDescent="0.25"/>
    <row r="291" s="3" customFormat="1" x14ac:dyDescent="0.25"/>
    <row r="292" s="3" customFormat="1" x14ac:dyDescent="0.25"/>
    <row r="293" s="3" customFormat="1" x14ac:dyDescent="0.25"/>
    <row r="294" s="3" customFormat="1" x14ac:dyDescent="0.25"/>
    <row r="295" s="3" customFormat="1" x14ac:dyDescent="0.25"/>
    <row r="296" s="3" customFormat="1" x14ac:dyDescent="0.25"/>
    <row r="297" s="3" customFormat="1" x14ac:dyDescent="0.25"/>
    <row r="298" s="3" customFormat="1" x14ac:dyDescent="0.25"/>
    <row r="299" s="3" customFormat="1" x14ac:dyDescent="0.25"/>
    <row r="300" s="3" customFormat="1" x14ac:dyDescent="0.25"/>
    <row r="301" s="3" customFormat="1" x14ac:dyDescent="0.25"/>
    <row r="302" s="3" customFormat="1" x14ac:dyDescent="0.25"/>
    <row r="303" s="3" customFormat="1" x14ac:dyDescent="0.25"/>
    <row r="304" s="3" customFormat="1" x14ac:dyDescent="0.25"/>
    <row r="305" s="3" customFormat="1" x14ac:dyDescent="0.25"/>
    <row r="306" s="3" customFormat="1" x14ac:dyDescent="0.25"/>
    <row r="307" s="3" customFormat="1" x14ac:dyDescent="0.25"/>
    <row r="308" s="3" customFormat="1" x14ac:dyDescent="0.25"/>
    <row r="309" s="3" customFormat="1" x14ac:dyDescent="0.25"/>
    <row r="310" s="3" customFormat="1" x14ac:dyDescent="0.25"/>
    <row r="311" s="3" customFormat="1" x14ac:dyDescent="0.25"/>
    <row r="312" s="3" customFormat="1" x14ac:dyDescent="0.25"/>
    <row r="313" s="3" customFormat="1" x14ac:dyDescent="0.25"/>
    <row r="314" s="3" customFormat="1" x14ac:dyDescent="0.25"/>
    <row r="315" s="3" customFormat="1" x14ac:dyDescent="0.25"/>
    <row r="316" s="3" customFormat="1" x14ac:dyDescent="0.25"/>
    <row r="317" s="3" customFormat="1" x14ac:dyDescent="0.25"/>
    <row r="318" s="3" customFormat="1" x14ac:dyDescent="0.25"/>
    <row r="319" s="3" customFormat="1" x14ac:dyDescent="0.25"/>
    <row r="320" s="3" customFormat="1" x14ac:dyDescent="0.25"/>
    <row r="321" s="3" customFormat="1" x14ac:dyDescent="0.25"/>
    <row r="322" s="3" customFormat="1" x14ac:dyDescent="0.25"/>
    <row r="323" s="3" customFormat="1" x14ac:dyDescent="0.25"/>
    <row r="324" s="3" customFormat="1" x14ac:dyDescent="0.25"/>
    <row r="325" s="3" customFormat="1" x14ac:dyDescent="0.25"/>
    <row r="326" s="3" customFormat="1" x14ac:dyDescent="0.25"/>
    <row r="327" s="3" customFormat="1" x14ac:dyDescent="0.25"/>
    <row r="328" s="3" customFormat="1" x14ac:dyDescent="0.25"/>
    <row r="329" s="3" customFormat="1" x14ac:dyDescent="0.25"/>
    <row r="330" s="3" customFormat="1" x14ac:dyDescent="0.25"/>
    <row r="331" s="3" customFormat="1" x14ac:dyDescent="0.25"/>
    <row r="332" s="3" customFormat="1" x14ac:dyDescent="0.25"/>
    <row r="333" s="3" customFormat="1" x14ac:dyDescent="0.25"/>
    <row r="334" s="3" customFormat="1" x14ac:dyDescent="0.25"/>
    <row r="335" s="3" customFormat="1" x14ac:dyDescent="0.25"/>
    <row r="336" s="3" customFormat="1" x14ac:dyDescent="0.25"/>
    <row r="337" s="3" customFormat="1" x14ac:dyDescent="0.25"/>
    <row r="338" s="3" customFormat="1" x14ac:dyDescent="0.25"/>
    <row r="339" s="3" customFormat="1" x14ac:dyDescent="0.25"/>
    <row r="340" s="3" customFormat="1" x14ac:dyDescent="0.25"/>
    <row r="341" s="3" customFormat="1" x14ac:dyDescent="0.25"/>
    <row r="342" s="3" customFormat="1" x14ac:dyDescent="0.25"/>
    <row r="343" s="3" customFormat="1" x14ac:dyDescent="0.25"/>
    <row r="344" s="3" customFormat="1" x14ac:dyDescent="0.25"/>
    <row r="345" s="3" customFormat="1" x14ac:dyDescent="0.25"/>
    <row r="346" s="3" customFormat="1" x14ac:dyDescent="0.25"/>
    <row r="347" s="3" customFormat="1" x14ac:dyDescent="0.25"/>
    <row r="348" s="3" customFormat="1" x14ac:dyDescent="0.25"/>
    <row r="349" s="3" customFormat="1" x14ac:dyDescent="0.25"/>
    <row r="350" s="3" customFormat="1" x14ac:dyDescent="0.25"/>
    <row r="351" s="3" customFormat="1" x14ac:dyDescent="0.25"/>
    <row r="352" s="3" customFormat="1" x14ac:dyDescent="0.25"/>
    <row r="353" s="3" customFormat="1" x14ac:dyDescent="0.25"/>
    <row r="354" s="3" customFormat="1" x14ac:dyDescent="0.25"/>
    <row r="355" s="3" customFormat="1" x14ac:dyDescent="0.25"/>
    <row r="356" s="3" customFormat="1" x14ac:dyDescent="0.25"/>
    <row r="357" s="3" customFormat="1" x14ac:dyDescent="0.25"/>
    <row r="358" s="3" customFormat="1" x14ac:dyDescent="0.25"/>
    <row r="359" s="3" customFormat="1" x14ac:dyDescent="0.25"/>
    <row r="360" s="3" customFormat="1" x14ac:dyDescent="0.25"/>
    <row r="361" s="3" customFormat="1" x14ac:dyDescent="0.25"/>
    <row r="362" s="3" customFormat="1" x14ac:dyDescent="0.25"/>
    <row r="363" s="3" customFormat="1" x14ac:dyDescent="0.25"/>
    <row r="364" s="3" customFormat="1" x14ac:dyDescent="0.25"/>
    <row r="365" s="3" customFormat="1" x14ac:dyDescent="0.25"/>
    <row r="366" s="3" customFormat="1" x14ac:dyDescent="0.25"/>
    <row r="367" s="3" customFormat="1" x14ac:dyDescent="0.25"/>
    <row r="368" s="3" customFormat="1" x14ac:dyDescent="0.25"/>
    <row r="369" s="3" customFormat="1" x14ac:dyDescent="0.25"/>
    <row r="370" s="3" customFormat="1" x14ac:dyDescent="0.25"/>
    <row r="371" s="3" customFormat="1" x14ac:dyDescent="0.25"/>
    <row r="372" s="3" customFormat="1" x14ac:dyDescent="0.25"/>
    <row r="373" s="3" customFormat="1" x14ac:dyDescent="0.25"/>
    <row r="374" s="3" customFormat="1" x14ac:dyDescent="0.25"/>
    <row r="375" s="3" customFormat="1" x14ac:dyDescent="0.25"/>
    <row r="376" s="3" customFormat="1" x14ac:dyDescent="0.25"/>
    <row r="377" s="3" customFormat="1" x14ac:dyDescent="0.25"/>
    <row r="378" s="3" customFormat="1" x14ac:dyDescent="0.25"/>
    <row r="379" s="3" customFormat="1" x14ac:dyDescent="0.25"/>
    <row r="380" s="3" customFormat="1" x14ac:dyDescent="0.25"/>
    <row r="381" s="3" customFormat="1" x14ac:dyDescent="0.25"/>
    <row r="382" s="3" customFormat="1" x14ac:dyDescent="0.25"/>
    <row r="383" s="3" customFormat="1" x14ac:dyDescent="0.25"/>
    <row r="384" s="3" customFormat="1" x14ac:dyDescent="0.25"/>
    <row r="385" s="3" customFormat="1" x14ac:dyDescent="0.25"/>
    <row r="386" s="3" customFormat="1" x14ac:dyDescent="0.25"/>
    <row r="387" s="3" customFormat="1" x14ac:dyDescent="0.25"/>
    <row r="388" s="3" customFormat="1" x14ac:dyDescent="0.25"/>
    <row r="389" s="3" customFormat="1" x14ac:dyDescent="0.25"/>
    <row r="390" s="3" customFormat="1" x14ac:dyDescent="0.25"/>
    <row r="391" s="3" customFormat="1" x14ac:dyDescent="0.25"/>
    <row r="392" s="3" customFormat="1" x14ac:dyDescent="0.25"/>
    <row r="393" s="3" customFormat="1" x14ac:dyDescent="0.25"/>
    <row r="394" s="3" customFormat="1" x14ac:dyDescent="0.25"/>
    <row r="395" s="3" customFormat="1" x14ac:dyDescent="0.25"/>
    <row r="396" s="3" customFormat="1" x14ac:dyDescent="0.25"/>
    <row r="397" s="3" customFormat="1" x14ac:dyDescent="0.25"/>
    <row r="398" s="3" customFormat="1" x14ac:dyDescent="0.25"/>
    <row r="399" s="3" customFormat="1" x14ac:dyDescent="0.25"/>
    <row r="400" s="3" customFormat="1" x14ac:dyDescent="0.25"/>
    <row r="401" s="3" customFormat="1" x14ac:dyDescent="0.25"/>
    <row r="402" s="3" customFormat="1" x14ac:dyDescent="0.25"/>
    <row r="403" s="3" customFormat="1" x14ac:dyDescent="0.25"/>
    <row r="404" s="3" customFormat="1" x14ac:dyDescent="0.25"/>
    <row r="405" s="3" customFormat="1" x14ac:dyDescent="0.25"/>
    <row r="406" s="3" customFormat="1" x14ac:dyDescent="0.25"/>
    <row r="407" s="3" customFormat="1" x14ac:dyDescent="0.25"/>
    <row r="408" s="3" customFormat="1" x14ac:dyDescent="0.25"/>
    <row r="409" s="3" customFormat="1" x14ac:dyDescent="0.25"/>
    <row r="410" s="3" customFormat="1" x14ac:dyDescent="0.25"/>
    <row r="411" s="3" customFormat="1" x14ac:dyDescent="0.25"/>
    <row r="412" s="3" customFormat="1" x14ac:dyDescent="0.25"/>
    <row r="413" s="3" customFormat="1" x14ac:dyDescent="0.25"/>
    <row r="414" s="3" customFormat="1" x14ac:dyDescent="0.25"/>
    <row r="415" s="3" customFormat="1" x14ac:dyDescent="0.25"/>
    <row r="416" s="3" customFormat="1" x14ac:dyDescent="0.25"/>
    <row r="417" s="3" customFormat="1" x14ac:dyDescent="0.25"/>
    <row r="418" s="3" customFormat="1" x14ac:dyDescent="0.25"/>
    <row r="419" s="3" customFormat="1" x14ac:dyDescent="0.25"/>
    <row r="420" s="3" customFormat="1" x14ac:dyDescent="0.25"/>
    <row r="421" s="3" customFormat="1" x14ac:dyDescent="0.25"/>
    <row r="422" s="3" customFormat="1" x14ac:dyDescent="0.25"/>
    <row r="423" s="3" customFormat="1" x14ac:dyDescent="0.25"/>
    <row r="424" s="3" customFormat="1" x14ac:dyDescent="0.25"/>
    <row r="425" s="3" customFormat="1" x14ac:dyDescent="0.25"/>
    <row r="426" s="3" customFormat="1" x14ac:dyDescent="0.25"/>
    <row r="427" s="3" customFormat="1" x14ac:dyDescent="0.25"/>
    <row r="428" s="3" customFormat="1" x14ac:dyDescent="0.25"/>
    <row r="429" s="3" customFormat="1" x14ac:dyDescent="0.25"/>
    <row r="430" s="3" customFormat="1" x14ac:dyDescent="0.25"/>
    <row r="431" s="3" customFormat="1" x14ac:dyDescent="0.25"/>
    <row r="432" s="3" customFormat="1" x14ac:dyDescent="0.25"/>
    <row r="433" s="3" customFormat="1" x14ac:dyDescent="0.25"/>
    <row r="434" s="3" customFormat="1" x14ac:dyDescent="0.25"/>
    <row r="435" s="3" customFormat="1" x14ac:dyDescent="0.25"/>
    <row r="436" s="3" customFormat="1" x14ac:dyDescent="0.25"/>
    <row r="437" s="3" customFormat="1" x14ac:dyDescent="0.25"/>
    <row r="438" s="3" customFormat="1" x14ac:dyDescent="0.25"/>
    <row r="439" s="3" customFormat="1" x14ac:dyDescent="0.25"/>
    <row r="440" s="3" customFormat="1" x14ac:dyDescent="0.25"/>
    <row r="441" s="3" customFormat="1" x14ac:dyDescent="0.25"/>
    <row r="442" s="3" customFormat="1" x14ac:dyDescent="0.25"/>
    <row r="443" s="3" customFormat="1" x14ac:dyDescent="0.25"/>
    <row r="444" s="3" customFormat="1" x14ac:dyDescent="0.25"/>
    <row r="445" s="3" customFormat="1" x14ac:dyDescent="0.25"/>
    <row r="446" s="3" customFormat="1" x14ac:dyDescent="0.25"/>
    <row r="447" s="3" customFormat="1" x14ac:dyDescent="0.25"/>
    <row r="448" s="3" customFormat="1" x14ac:dyDescent="0.25"/>
    <row r="449" s="3" customFormat="1" x14ac:dyDescent="0.25"/>
    <row r="450" s="3" customFormat="1" x14ac:dyDescent="0.25"/>
    <row r="451" s="3" customFormat="1" x14ac:dyDescent="0.25"/>
    <row r="452" s="3" customFormat="1" x14ac:dyDescent="0.25"/>
    <row r="453" s="3" customFormat="1" x14ac:dyDescent="0.25"/>
    <row r="454" s="3" customFormat="1" x14ac:dyDescent="0.25"/>
    <row r="455" s="3" customFormat="1" x14ac:dyDescent="0.25"/>
    <row r="456" s="3" customFormat="1" x14ac:dyDescent="0.25"/>
    <row r="457" s="3" customFormat="1" x14ac:dyDescent="0.25"/>
    <row r="458" s="3" customFormat="1" x14ac:dyDescent="0.25"/>
    <row r="459" s="3" customFormat="1" x14ac:dyDescent="0.25"/>
    <row r="460" s="3" customFormat="1" x14ac:dyDescent="0.25"/>
    <row r="461" s="3" customFormat="1" x14ac:dyDescent="0.25"/>
    <row r="462" s="3" customFormat="1" x14ac:dyDescent="0.25"/>
    <row r="463" s="3" customFormat="1" x14ac:dyDescent="0.25"/>
    <row r="464" s="3" customFormat="1" x14ac:dyDescent="0.25"/>
    <row r="465" s="3" customFormat="1" x14ac:dyDescent="0.25"/>
    <row r="466" s="3" customFormat="1" x14ac:dyDescent="0.25"/>
    <row r="467" s="3" customFormat="1" x14ac:dyDescent="0.25"/>
    <row r="468" s="3" customFormat="1" x14ac:dyDescent="0.25"/>
    <row r="469" s="3" customFormat="1" x14ac:dyDescent="0.25"/>
    <row r="470" s="3" customFormat="1" x14ac:dyDescent="0.25"/>
    <row r="471" s="3" customFormat="1" x14ac:dyDescent="0.25"/>
    <row r="472" s="3" customFormat="1" x14ac:dyDescent="0.25"/>
    <row r="473" s="3" customFormat="1" x14ac:dyDescent="0.25"/>
    <row r="474" s="3" customFormat="1" x14ac:dyDescent="0.25"/>
    <row r="475" s="3" customFormat="1" x14ac:dyDescent="0.25"/>
    <row r="476" s="3" customFormat="1" x14ac:dyDescent="0.25"/>
    <row r="477" s="3" customFormat="1" x14ac:dyDescent="0.25"/>
    <row r="478" s="3" customFormat="1" x14ac:dyDescent="0.25"/>
    <row r="479" s="3" customFormat="1" x14ac:dyDescent="0.25"/>
    <row r="480" s="3" customFormat="1" x14ac:dyDescent="0.25"/>
    <row r="481" s="3" customFormat="1" x14ac:dyDescent="0.25"/>
    <row r="482" s="3" customFormat="1" x14ac:dyDescent="0.25"/>
    <row r="483" s="3" customFormat="1" x14ac:dyDescent="0.25"/>
    <row r="484" s="3" customFormat="1" x14ac:dyDescent="0.25"/>
    <row r="485" s="3" customFormat="1" x14ac:dyDescent="0.25"/>
    <row r="486" s="3" customFormat="1" x14ac:dyDescent="0.25"/>
    <row r="487" s="3" customFormat="1" x14ac:dyDescent="0.25"/>
    <row r="488" s="3" customFormat="1" x14ac:dyDescent="0.25"/>
    <row r="489" s="3" customFormat="1" x14ac:dyDescent="0.25"/>
    <row r="490" s="3" customFormat="1" x14ac:dyDescent="0.25"/>
    <row r="491" s="3" customFormat="1" x14ac:dyDescent="0.25"/>
    <row r="492" s="3" customFormat="1" x14ac:dyDescent="0.25"/>
    <row r="493" s="3" customFormat="1" x14ac:dyDescent="0.25"/>
    <row r="494" s="3" customFormat="1" x14ac:dyDescent="0.25"/>
    <row r="495" s="3" customFormat="1" x14ac:dyDescent="0.25"/>
    <row r="496" s="3" customFormat="1" x14ac:dyDescent="0.25"/>
    <row r="497" s="3" customFormat="1" x14ac:dyDescent="0.25"/>
    <row r="498" s="3" customFormat="1" x14ac:dyDescent="0.25"/>
    <row r="499" s="3" customFormat="1" x14ac:dyDescent="0.25"/>
    <row r="500" s="3" customFormat="1" x14ac:dyDescent="0.25"/>
    <row r="501" s="3" customFormat="1" x14ac:dyDescent="0.25"/>
    <row r="502" s="3" customFormat="1" x14ac:dyDescent="0.25"/>
    <row r="503" s="3" customFormat="1" x14ac:dyDescent="0.25"/>
    <row r="504" s="3" customFormat="1" x14ac:dyDescent="0.25"/>
    <row r="505" s="3" customFormat="1" x14ac:dyDescent="0.25"/>
    <row r="506" s="3" customFormat="1" x14ac:dyDescent="0.25"/>
    <row r="507" s="3" customFormat="1" x14ac:dyDescent="0.25"/>
    <row r="508" s="3" customFormat="1" x14ac:dyDescent="0.25"/>
    <row r="509" s="3" customFormat="1" x14ac:dyDescent="0.25"/>
    <row r="510" s="3" customFormat="1" x14ac:dyDescent="0.25"/>
    <row r="511" s="3" customFormat="1" x14ac:dyDescent="0.25"/>
    <row r="512" s="3" customFormat="1" x14ac:dyDescent="0.25"/>
    <row r="513" s="3" customFormat="1" x14ac:dyDescent="0.25"/>
    <row r="514" s="3" customFormat="1" x14ac:dyDescent="0.25"/>
    <row r="515" s="3" customFormat="1" x14ac:dyDescent="0.25"/>
    <row r="516" s="3" customFormat="1" x14ac:dyDescent="0.25"/>
    <row r="517" s="3" customFormat="1" x14ac:dyDescent="0.25"/>
    <row r="518" s="3" customFormat="1" x14ac:dyDescent="0.25"/>
    <row r="519" s="3" customFormat="1" x14ac:dyDescent="0.25"/>
    <row r="520" s="3" customFormat="1" x14ac:dyDescent="0.25"/>
    <row r="521" s="3" customFormat="1" x14ac:dyDescent="0.25"/>
    <row r="522" s="3" customFormat="1" x14ac:dyDescent="0.25"/>
    <row r="523" s="3" customFormat="1" x14ac:dyDescent="0.25"/>
    <row r="524" s="3" customFormat="1" x14ac:dyDescent="0.25"/>
    <row r="525" s="3" customFormat="1" x14ac:dyDescent="0.25"/>
    <row r="526" s="3" customFormat="1" x14ac:dyDescent="0.25"/>
    <row r="527" s="3" customFormat="1" x14ac:dyDescent="0.25"/>
    <row r="528" s="3" customFormat="1" x14ac:dyDescent="0.25"/>
    <row r="529" s="3" customFormat="1" x14ac:dyDescent="0.25"/>
    <row r="530" s="3" customFormat="1" x14ac:dyDescent="0.25"/>
    <row r="531" s="3" customFormat="1" x14ac:dyDescent="0.25"/>
    <row r="532" s="3" customFormat="1" x14ac:dyDescent="0.25"/>
    <row r="533" s="3" customFormat="1" x14ac:dyDescent="0.25"/>
    <row r="534" s="3" customFormat="1" x14ac:dyDescent="0.25"/>
    <row r="535" s="3" customFormat="1" x14ac:dyDescent="0.25"/>
    <row r="536" s="3" customFormat="1" x14ac:dyDescent="0.25"/>
    <row r="537" s="3" customFormat="1" x14ac:dyDescent="0.25"/>
    <row r="538" s="3" customFormat="1" x14ac:dyDescent="0.25"/>
    <row r="539" s="3" customFormat="1" x14ac:dyDescent="0.25"/>
    <row r="540" s="3" customFormat="1" x14ac:dyDescent="0.25"/>
    <row r="541" s="3" customFormat="1" x14ac:dyDescent="0.25"/>
    <row r="542" s="3" customFormat="1" x14ac:dyDescent="0.25"/>
    <row r="543" s="3" customFormat="1" x14ac:dyDescent="0.25"/>
    <row r="544" s="3" customFormat="1" x14ac:dyDescent="0.25"/>
    <row r="545" s="3" customFormat="1" x14ac:dyDescent="0.25"/>
    <row r="546" s="3" customFormat="1" x14ac:dyDescent="0.25"/>
    <row r="547" s="3" customFormat="1" x14ac:dyDescent="0.25"/>
    <row r="548" s="3" customFormat="1" x14ac:dyDescent="0.25"/>
    <row r="549" s="3" customFormat="1" x14ac:dyDescent="0.25"/>
    <row r="550" s="3" customFormat="1" x14ac:dyDescent="0.25"/>
    <row r="551" s="3" customFormat="1" x14ac:dyDescent="0.25"/>
    <row r="552" s="3" customFormat="1" x14ac:dyDescent="0.25"/>
    <row r="553" s="3" customFormat="1" x14ac:dyDescent="0.25"/>
    <row r="554" s="3" customFormat="1" x14ac:dyDescent="0.25"/>
    <row r="555" s="3" customFormat="1" x14ac:dyDescent="0.25"/>
    <row r="556" s="3" customFormat="1" x14ac:dyDescent="0.25"/>
    <row r="557" s="3" customFormat="1" x14ac:dyDescent="0.25"/>
    <row r="558" s="3" customFormat="1" x14ac:dyDescent="0.25"/>
    <row r="559" s="3" customFormat="1" x14ac:dyDescent="0.25"/>
    <row r="560" s="3" customFormat="1" x14ac:dyDescent="0.25"/>
    <row r="561" s="3" customFormat="1" x14ac:dyDescent="0.25"/>
    <row r="562" s="3" customFormat="1" x14ac:dyDescent="0.25"/>
    <row r="563" s="3" customFormat="1" x14ac:dyDescent="0.25"/>
    <row r="564" s="3" customFormat="1" x14ac:dyDescent="0.25"/>
    <row r="565" s="3" customFormat="1" x14ac:dyDescent="0.25"/>
    <row r="566" s="3" customFormat="1" x14ac:dyDescent="0.25"/>
    <row r="567" s="3" customFormat="1" x14ac:dyDescent="0.25"/>
    <row r="568" s="3" customFormat="1" x14ac:dyDescent="0.25"/>
    <row r="569" s="3" customFormat="1" x14ac:dyDescent="0.25"/>
    <row r="570" s="3" customFormat="1" x14ac:dyDescent="0.25"/>
    <row r="571" s="3" customFormat="1" x14ac:dyDescent="0.25"/>
    <row r="572" s="3" customFormat="1" x14ac:dyDescent="0.25"/>
    <row r="573" s="3" customFormat="1" x14ac:dyDescent="0.25"/>
    <row r="574" s="3" customFormat="1" x14ac:dyDescent="0.25"/>
    <row r="575" s="3" customFormat="1" x14ac:dyDescent="0.25"/>
    <row r="576" s="3" customFormat="1" x14ac:dyDescent="0.25"/>
    <row r="577" s="3" customFormat="1" x14ac:dyDescent="0.25"/>
    <row r="578" s="3" customFormat="1" x14ac:dyDescent="0.25"/>
    <row r="579" s="3" customFormat="1" x14ac:dyDescent="0.25"/>
    <row r="580" s="3" customFormat="1" x14ac:dyDescent="0.25"/>
    <row r="581" s="3" customFormat="1" x14ac:dyDescent="0.25"/>
    <row r="582" s="3" customFormat="1" x14ac:dyDescent="0.25"/>
    <row r="583" s="3" customFormat="1" x14ac:dyDescent="0.25"/>
    <row r="584" s="3" customFormat="1" x14ac:dyDescent="0.25"/>
    <row r="585" s="3" customFormat="1" x14ac:dyDescent="0.25"/>
    <row r="586" s="3" customFormat="1" x14ac:dyDescent="0.25"/>
    <row r="587" s="3" customFormat="1" x14ac:dyDescent="0.25"/>
    <row r="588" s="3" customFormat="1" x14ac:dyDescent="0.25"/>
    <row r="589" s="3" customFormat="1" x14ac:dyDescent="0.25"/>
    <row r="590" s="3" customFormat="1" x14ac:dyDescent="0.25"/>
    <row r="591" s="3" customFormat="1" x14ac:dyDescent="0.25"/>
    <row r="592" s="3" customFormat="1" x14ac:dyDescent="0.25"/>
    <row r="593" s="3" customFormat="1" x14ac:dyDescent="0.25"/>
    <row r="594" s="3" customFormat="1" x14ac:dyDescent="0.25"/>
    <row r="595" s="3" customFormat="1" x14ac:dyDescent="0.25"/>
    <row r="596" s="3" customFormat="1" x14ac:dyDescent="0.25"/>
    <row r="597" s="3" customFormat="1" x14ac:dyDescent="0.25"/>
    <row r="598" s="3" customFormat="1" x14ac:dyDescent="0.25"/>
    <row r="599" s="3" customFormat="1" x14ac:dyDescent="0.25"/>
    <row r="600" s="3" customFormat="1" x14ac:dyDescent="0.25"/>
    <row r="601" s="3" customFormat="1" x14ac:dyDescent="0.25"/>
    <row r="602" s="3" customFormat="1" x14ac:dyDescent="0.25"/>
    <row r="603" s="3" customFormat="1" x14ac:dyDescent="0.25"/>
    <row r="604" s="3" customFormat="1" x14ac:dyDescent="0.25"/>
    <row r="605" s="3" customFormat="1" x14ac:dyDescent="0.25"/>
    <row r="606" s="3" customFormat="1" x14ac:dyDescent="0.25"/>
    <row r="607" s="3" customFormat="1" x14ac:dyDescent="0.25"/>
    <row r="608" s="3" customFormat="1" x14ac:dyDescent="0.25"/>
    <row r="609" s="3" customFormat="1" x14ac:dyDescent="0.25"/>
    <row r="610" s="3" customFormat="1" x14ac:dyDescent="0.25"/>
    <row r="611" s="3" customFormat="1" x14ac:dyDescent="0.25"/>
    <row r="612" s="3" customFormat="1" x14ac:dyDescent="0.25"/>
    <row r="613" s="3" customFormat="1" x14ac:dyDescent="0.25"/>
    <row r="614" s="3" customFormat="1" x14ac:dyDescent="0.25"/>
    <row r="615" s="3" customFormat="1" x14ac:dyDescent="0.25"/>
    <row r="616" s="3" customFormat="1" x14ac:dyDescent="0.25"/>
    <row r="617" s="3" customFormat="1" x14ac:dyDescent="0.25"/>
    <row r="618" s="3" customFormat="1" x14ac:dyDescent="0.25"/>
    <row r="619" s="3" customFormat="1" x14ac:dyDescent="0.25"/>
    <row r="620" s="3" customFormat="1" x14ac:dyDescent="0.25"/>
    <row r="621" s="3" customFormat="1" x14ac:dyDescent="0.25"/>
    <row r="622" s="3" customFormat="1" x14ac:dyDescent="0.25"/>
    <row r="623" s="3" customFormat="1" x14ac:dyDescent="0.25"/>
    <row r="624" s="3" customFormat="1" x14ac:dyDescent="0.25"/>
    <row r="625" s="3" customFormat="1" x14ac:dyDescent="0.25"/>
    <row r="626" s="3" customFormat="1" x14ac:dyDescent="0.25"/>
    <row r="627" s="3" customFormat="1" x14ac:dyDescent="0.25"/>
    <row r="628" s="3" customFormat="1" x14ac:dyDescent="0.25"/>
    <row r="629" s="3" customFormat="1" x14ac:dyDescent="0.25"/>
    <row r="630" s="3" customFormat="1" x14ac:dyDescent="0.25"/>
    <row r="631" s="3" customFormat="1" x14ac:dyDescent="0.25"/>
    <row r="632" s="3" customFormat="1" x14ac:dyDescent="0.25"/>
    <row r="633" s="3" customFormat="1" x14ac:dyDescent="0.25"/>
    <row r="634" s="3" customFormat="1" x14ac:dyDescent="0.25"/>
    <row r="635" s="3" customFormat="1" x14ac:dyDescent="0.25"/>
    <row r="636" s="3" customFormat="1" x14ac:dyDescent="0.25"/>
    <row r="637" s="3" customFormat="1" x14ac:dyDescent="0.25"/>
    <row r="638" s="3" customFormat="1" x14ac:dyDescent="0.25"/>
    <row r="639" s="3" customFormat="1" x14ac:dyDescent="0.25"/>
    <row r="640" s="3" customFormat="1" x14ac:dyDescent="0.25"/>
    <row r="641" s="3" customFormat="1" x14ac:dyDescent="0.25"/>
    <row r="642" s="3" customFormat="1" x14ac:dyDescent="0.25"/>
    <row r="643" s="3" customFormat="1" x14ac:dyDescent="0.25"/>
    <row r="644" s="3" customFormat="1" x14ac:dyDescent="0.25"/>
    <row r="645" s="3" customFormat="1" x14ac:dyDescent="0.25"/>
    <row r="646" s="3" customFormat="1" x14ac:dyDescent="0.25"/>
    <row r="647" s="3" customFormat="1" x14ac:dyDescent="0.25"/>
    <row r="648" s="3" customFormat="1" x14ac:dyDescent="0.25"/>
    <row r="649" s="3" customFormat="1" x14ac:dyDescent="0.25"/>
    <row r="650" s="3" customFormat="1" x14ac:dyDescent="0.25"/>
    <row r="651" s="3" customFormat="1" x14ac:dyDescent="0.25"/>
    <row r="652" s="3" customFormat="1" x14ac:dyDescent="0.25"/>
    <row r="653" s="3" customFormat="1" x14ac:dyDescent="0.25"/>
    <row r="654" s="3" customFormat="1" x14ac:dyDescent="0.25"/>
    <row r="655" s="3" customFormat="1" x14ac:dyDescent="0.25"/>
    <row r="656" s="3" customFormat="1" x14ac:dyDescent="0.25"/>
    <row r="657" s="3" customFormat="1" x14ac:dyDescent="0.25"/>
    <row r="658" s="3" customFormat="1" x14ac:dyDescent="0.25"/>
    <row r="659" s="3" customFormat="1" x14ac:dyDescent="0.25"/>
    <row r="660" s="3" customFormat="1" x14ac:dyDescent="0.25"/>
    <row r="661" s="3" customFormat="1" x14ac:dyDescent="0.25"/>
    <row r="662" s="3" customFormat="1" x14ac:dyDescent="0.25"/>
    <row r="663" s="3" customFormat="1" x14ac:dyDescent="0.25"/>
    <row r="664" s="3" customFormat="1" x14ac:dyDescent="0.25"/>
    <row r="665" s="3" customFormat="1" x14ac:dyDescent="0.25"/>
    <row r="666" s="3" customFormat="1" x14ac:dyDescent="0.25"/>
    <row r="667" s="3" customFormat="1" x14ac:dyDescent="0.25"/>
    <row r="668" s="3" customFormat="1" x14ac:dyDescent="0.25"/>
    <row r="669" s="3" customFormat="1" x14ac:dyDescent="0.25"/>
    <row r="670" s="3" customFormat="1" x14ac:dyDescent="0.25"/>
    <row r="671" s="3" customFormat="1" x14ac:dyDescent="0.25"/>
    <row r="672" s="3" customFormat="1" x14ac:dyDescent="0.25"/>
    <row r="673" s="3" customFormat="1" x14ac:dyDescent="0.25"/>
    <row r="674" s="3" customFormat="1" x14ac:dyDescent="0.25"/>
    <row r="675" s="3" customFormat="1" x14ac:dyDescent="0.25"/>
    <row r="676" s="3" customFormat="1" x14ac:dyDescent="0.25"/>
    <row r="677" s="3" customFormat="1" x14ac:dyDescent="0.25"/>
    <row r="678" s="3" customFormat="1" x14ac:dyDescent="0.25"/>
    <row r="679" s="3" customFormat="1" x14ac:dyDescent="0.25"/>
    <row r="680" s="3" customFormat="1" x14ac:dyDescent="0.25"/>
    <row r="681" s="3" customFormat="1" x14ac:dyDescent="0.25"/>
    <row r="682" s="3" customFormat="1" x14ac:dyDescent="0.25"/>
    <row r="683" s="3" customFormat="1" x14ac:dyDescent="0.25"/>
    <row r="684" s="3" customFormat="1" x14ac:dyDescent="0.25"/>
    <row r="685" s="3" customFormat="1" x14ac:dyDescent="0.25"/>
    <row r="686" s="3" customFormat="1" x14ac:dyDescent="0.25"/>
    <row r="687" s="3" customFormat="1" x14ac:dyDescent="0.25"/>
    <row r="688" s="3" customFormat="1" x14ac:dyDescent="0.25"/>
    <row r="689" s="3" customFormat="1" x14ac:dyDescent="0.25"/>
    <row r="690" s="3" customFormat="1" x14ac:dyDescent="0.25"/>
    <row r="691" s="3" customFormat="1" x14ac:dyDescent="0.25"/>
    <row r="692" s="3" customFormat="1" x14ac:dyDescent="0.25"/>
    <row r="693" s="3" customFormat="1" x14ac:dyDescent="0.25"/>
    <row r="694" s="3" customFormat="1" x14ac:dyDescent="0.25"/>
    <row r="695" s="3" customFormat="1" x14ac:dyDescent="0.25"/>
    <row r="696" s="3" customFormat="1" x14ac:dyDescent="0.25"/>
    <row r="697" s="3" customFormat="1" x14ac:dyDescent="0.25"/>
    <row r="698" s="3" customFormat="1" x14ac:dyDescent="0.25"/>
    <row r="699" s="3" customFormat="1" x14ac:dyDescent="0.25"/>
    <row r="700" s="3" customFormat="1" x14ac:dyDescent="0.25"/>
    <row r="701" s="3" customFormat="1" x14ac:dyDescent="0.25"/>
    <row r="702" s="3" customFormat="1" x14ac:dyDescent="0.25"/>
    <row r="703" s="3" customFormat="1" x14ac:dyDescent="0.25"/>
    <row r="704" s="3" customFormat="1" x14ac:dyDescent="0.25"/>
    <row r="705" s="3" customFormat="1" x14ac:dyDescent="0.25"/>
    <row r="706" s="3" customFormat="1" x14ac:dyDescent="0.25"/>
    <row r="707" s="3" customFormat="1" x14ac:dyDescent="0.25"/>
    <row r="708" s="3" customFormat="1" x14ac:dyDescent="0.25"/>
    <row r="709" s="3" customFormat="1" x14ac:dyDescent="0.25"/>
    <row r="710" s="3" customFormat="1" x14ac:dyDescent="0.25"/>
    <row r="711" s="3" customFormat="1" x14ac:dyDescent="0.25"/>
    <row r="712" s="3" customFormat="1" x14ac:dyDescent="0.25"/>
    <row r="713" s="3" customFormat="1" x14ac:dyDescent="0.25"/>
    <row r="714" s="3" customFormat="1" x14ac:dyDescent="0.25"/>
    <row r="715" s="3" customFormat="1" x14ac:dyDescent="0.25"/>
    <row r="716" s="3" customFormat="1" x14ac:dyDescent="0.25"/>
    <row r="717" s="3" customFormat="1" x14ac:dyDescent="0.25"/>
    <row r="718" s="3" customFormat="1" x14ac:dyDescent="0.25"/>
    <row r="719" s="3" customFormat="1" x14ac:dyDescent="0.25"/>
    <row r="720" s="3" customFormat="1" x14ac:dyDescent="0.25"/>
    <row r="721" s="3" customFormat="1" x14ac:dyDescent="0.25"/>
    <row r="722" s="3" customFormat="1" x14ac:dyDescent="0.25"/>
    <row r="723" s="3" customFormat="1" x14ac:dyDescent="0.25"/>
    <row r="724" s="3" customFormat="1" x14ac:dyDescent="0.25"/>
    <row r="725" s="3" customFormat="1" x14ac:dyDescent="0.25"/>
    <row r="726" s="3" customFormat="1" x14ac:dyDescent="0.25"/>
    <row r="727" s="3" customFormat="1" x14ac:dyDescent="0.25"/>
    <row r="728" s="3" customFormat="1" x14ac:dyDescent="0.25"/>
    <row r="729" s="3" customFormat="1" x14ac:dyDescent="0.25"/>
    <row r="730" s="3" customFormat="1" x14ac:dyDescent="0.25"/>
    <row r="731" s="3" customFormat="1" x14ac:dyDescent="0.25"/>
    <row r="732" s="3" customFormat="1" x14ac:dyDescent="0.25"/>
    <row r="733" s="3" customFormat="1" x14ac:dyDescent="0.25"/>
    <row r="734" s="3" customFormat="1" x14ac:dyDescent="0.25"/>
    <row r="735" s="3" customFormat="1" x14ac:dyDescent="0.25"/>
    <row r="736" s="3" customFormat="1" x14ac:dyDescent="0.25"/>
    <row r="737" s="3" customFormat="1" x14ac:dyDescent="0.25"/>
    <row r="738" s="3" customFormat="1" x14ac:dyDescent="0.25"/>
    <row r="739" s="3" customFormat="1" x14ac:dyDescent="0.25"/>
    <row r="740" s="3" customFormat="1" x14ac:dyDescent="0.25"/>
    <row r="741" s="3" customFormat="1" x14ac:dyDescent="0.25"/>
    <row r="742" s="3" customFormat="1" x14ac:dyDescent="0.25"/>
    <row r="743" s="3" customFormat="1" x14ac:dyDescent="0.25"/>
    <row r="744" s="3" customFormat="1" x14ac:dyDescent="0.25"/>
    <row r="745" s="3" customFormat="1" x14ac:dyDescent="0.25"/>
    <row r="746" s="3" customFormat="1" x14ac:dyDescent="0.25"/>
    <row r="747" s="3" customFormat="1" x14ac:dyDescent="0.25"/>
    <row r="748" s="3" customFormat="1" x14ac:dyDescent="0.25"/>
    <row r="749" s="3" customFormat="1" x14ac:dyDescent="0.25"/>
    <row r="750" s="3" customFormat="1" x14ac:dyDescent="0.25"/>
    <row r="751" s="3" customFormat="1" x14ac:dyDescent="0.25"/>
    <row r="752" s="3" customFormat="1" x14ac:dyDescent="0.25"/>
    <row r="753" s="3" customFormat="1" x14ac:dyDescent="0.25"/>
    <row r="754" s="3" customFormat="1" x14ac:dyDescent="0.25"/>
    <row r="755" s="3" customFormat="1" x14ac:dyDescent="0.25"/>
    <row r="756" s="3" customFormat="1" x14ac:dyDescent="0.25"/>
    <row r="757" s="3" customFormat="1" x14ac:dyDescent="0.25"/>
    <row r="758" s="3" customFormat="1" x14ac:dyDescent="0.25"/>
    <row r="759" s="3" customFormat="1" x14ac:dyDescent="0.25"/>
    <row r="760" s="3" customFormat="1" x14ac:dyDescent="0.25"/>
    <row r="761" s="3" customFormat="1" x14ac:dyDescent="0.25"/>
    <row r="762" s="3" customFormat="1" x14ac:dyDescent="0.25"/>
    <row r="763" s="3" customFormat="1" x14ac:dyDescent="0.25"/>
    <row r="764" s="3" customFormat="1" x14ac:dyDescent="0.25"/>
    <row r="765" s="3" customFormat="1" x14ac:dyDescent="0.25"/>
    <row r="766" s="3" customFormat="1" x14ac:dyDescent="0.25"/>
    <row r="767" s="3" customFormat="1" x14ac:dyDescent="0.25"/>
    <row r="768" s="3" customFormat="1" x14ac:dyDescent="0.25"/>
    <row r="769" s="3" customFormat="1" x14ac:dyDescent="0.25"/>
    <row r="770" s="3" customFormat="1" x14ac:dyDescent="0.25"/>
    <row r="771" s="3" customFormat="1" x14ac:dyDescent="0.25"/>
    <row r="772" s="3" customFormat="1" x14ac:dyDescent="0.25"/>
    <row r="773" s="3" customFormat="1" x14ac:dyDescent="0.25"/>
    <row r="774" s="3" customFormat="1" x14ac:dyDescent="0.25"/>
    <row r="775" s="3" customFormat="1" x14ac:dyDescent="0.25"/>
    <row r="776" s="3" customFormat="1" x14ac:dyDescent="0.25"/>
    <row r="777" s="3" customFormat="1" x14ac:dyDescent="0.25"/>
    <row r="778" s="3" customFormat="1" x14ac:dyDescent="0.25"/>
    <row r="779" s="3" customFormat="1" x14ac:dyDescent="0.25"/>
    <row r="780" s="3" customFormat="1" x14ac:dyDescent="0.25"/>
    <row r="781" s="3" customFormat="1" x14ac:dyDescent="0.25"/>
    <row r="782" s="3" customFormat="1" x14ac:dyDescent="0.25"/>
    <row r="783" s="3" customFormat="1" x14ac:dyDescent="0.25"/>
    <row r="784" s="3" customFormat="1" x14ac:dyDescent="0.25"/>
    <row r="785" s="3" customFormat="1" x14ac:dyDescent="0.25"/>
    <row r="786" s="3" customFormat="1" x14ac:dyDescent="0.25"/>
    <row r="787" s="3" customFormat="1" x14ac:dyDescent="0.25"/>
    <row r="788" s="3" customFormat="1" x14ac:dyDescent="0.25"/>
    <row r="789" s="3" customFormat="1" x14ac:dyDescent="0.25"/>
    <row r="790" s="3" customFormat="1" x14ac:dyDescent="0.25"/>
    <row r="791" s="3" customFormat="1" x14ac:dyDescent="0.25"/>
    <row r="792" s="3" customFormat="1" x14ac:dyDescent="0.25"/>
    <row r="793" s="3" customFormat="1" x14ac:dyDescent="0.25"/>
    <row r="794" s="3" customFormat="1" x14ac:dyDescent="0.25"/>
    <row r="795" s="3" customFormat="1" x14ac:dyDescent="0.25"/>
    <row r="796" s="3" customFormat="1" x14ac:dyDescent="0.25"/>
    <row r="797" s="3" customFormat="1" x14ac:dyDescent="0.25"/>
    <row r="798" s="3" customFormat="1" x14ac:dyDescent="0.25"/>
    <row r="799" s="3" customFormat="1" x14ac:dyDescent="0.25"/>
    <row r="800" s="3" customFormat="1" x14ac:dyDescent="0.25"/>
    <row r="801" s="3" customFormat="1" x14ac:dyDescent="0.25"/>
    <row r="802" s="3" customFormat="1" x14ac:dyDescent="0.25"/>
    <row r="803" s="3" customFormat="1" x14ac:dyDescent="0.25"/>
    <row r="804" s="3" customFormat="1" x14ac:dyDescent="0.25"/>
    <row r="805" s="3" customFormat="1" x14ac:dyDescent="0.25"/>
    <row r="806" s="3" customFormat="1" x14ac:dyDescent="0.25"/>
    <row r="807" s="3" customFormat="1" x14ac:dyDescent="0.25"/>
    <row r="808" s="3" customFormat="1" x14ac:dyDescent="0.25"/>
    <row r="809" s="3" customFormat="1" x14ac:dyDescent="0.25"/>
    <row r="810" s="3" customFormat="1" x14ac:dyDescent="0.25"/>
    <row r="811" s="3" customFormat="1" x14ac:dyDescent="0.25"/>
    <row r="812" s="3" customFormat="1" x14ac:dyDescent="0.25"/>
    <row r="813" s="3" customFormat="1" x14ac:dyDescent="0.25"/>
    <row r="814" s="3" customFormat="1" x14ac:dyDescent="0.25"/>
    <row r="815" s="3" customFormat="1" x14ac:dyDescent="0.25"/>
    <row r="816" s="3" customFormat="1" x14ac:dyDescent="0.25"/>
    <row r="817" s="3" customFormat="1" x14ac:dyDescent="0.25"/>
    <row r="818" s="3" customFormat="1" x14ac:dyDescent="0.25"/>
    <row r="819" s="3" customFormat="1" x14ac:dyDescent="0.25"/>
    <row r="820" s="3" customFormat="1" x14ac:dyDescent="0.25"/>
    <row r="821" s="3" customFormat="1" x14ac:dyDescent="0.25"/>
    <row r="822" s="3" customFormat="1" x14ac:dyDescent="0.25"/>
    <row r="823" s="3" customFormat="1" x14ac:dyDescent="0.25"/>
    <row r="824" s="3" customFormat="1" x14ac:dyDescent="0.25"/>
    <row r="825" s="3" customFormat="1" x14ac:dyDescent="0.25"/>
    <row r="826" s="3" customFormat="1" x14ac:dyDescent="0.25"/>
    <row r="827" s="3" customFormat="1" x14ac:dyDescent="0.25"/>
    <row r="828" s="3" customFormat="1" x14ac:dyDescent="0.25"/>
    <row r="829" s="3" customFormat="1" x14ac:dyDescent="0.25"/>
    <row r="830" s="3" customFormat="1" x14ac:dyDescent="0.25"/>
    <row r="831" s="3" customFormat="1" x14ac:dyDescent="0.25"/>
    <row r="832" s="3" customFormat="1" x14ac:dyDescent="0.25"/>
    <row r="833" s="3" customFormat="1" x14ac:dyDescent="0.25"/>
    <row r="834" s="3" customFormat="1" x14ac:dyDescent="0.25"/>
    <row r="835" s="3" customFormat="1" x14ac:dyDescent="0.25"/>
    <row r="836" s="3" customFormat="1" x14ac:dyDescent="0.25"/>
    <row r="837" s="3" customFormat="1" x14ac:dyDescent="0.25"/>
    <row r="838" s="3" customFormat="1" x14ac:dyDescent="0.25"/>
    <row r="839" s="3" customFormat="1" x14ac:dyDescent="0.25"/>
    <row r="840" s="3" customFormat="1" x14ac:dyDescent="0.25"/>
    <row r="841" s="3" customFormat="1" x14ac:dyDescent="0.25"/>
    <row r="842" s="3" customFormat="1" x14ac:dyDescent="0.25"/>
    <row r="843" s="3" customFormat="1" x14ac:dyDescent="0.25"/>
    <row r="844" s="3" customFormat="1" x14ac:dyDescent="0.25"/>
    <row r="845" s="3" customFormat="1" x14ac:dyDescent="0.25"/>
    <row r="846" s="3" customFormat="1" x14ac:dyDescent="0.25"/>
    <row r="847" s="3" customFormat="1" x14ac:dyDescent="0.25"/>
    <row r="848" s="3" customFormat="1" x14ac:dyDescent="0.25"/>
    <row r="849" s="3" customFormat="1" x14ac:dyDescent="0.25"/>
    <row r="850" s="3" customFormat="1" x14ac:dyDescent="0.25"/>
    <row r="851" s="3" customFormat="1" x14ac:dyDescent="0.25"/>
    <row r="852" s="3" customFormat="1" x14ac:dyDescent="0.25"/>
    <row r="853" s="3" customFormat="1" x14ac:dyDescent="0.25"/>
    <row r="854" s="3" customFormat="1" x14ac:dyDescent="0.25"/>
    <row r="855" s="3" customFormat="1" x14ac:dyDescent="0.25"/>
    <row r="856" s="3" customFormat="1" x14ac:dyDescent="0.25"/>
    <row r="857" s="3" customFormat="1" x14ac:dyDescent="0.25"/>
    <row r="858" s="3" customFormat="1" x14ac:dyDescent="0.25"/>
    <row r="859" s="3" customFormat="1" x14ac:dyDescent="0.25"/>
    <row r="860" s="3" customFormat="1" x14ac:dyDescent="0.25"/>
    <row r="861" s="3" customFormat="1" x14ac:dyDescent="0.25"/>
    <row r="862" s="3" customFormat="1" x14ac:dyDescent="0.25"/>
    <row r="863" s="3" customFormat="1" x14ac:dyDescent="0.25"/>
    <row r="864" s="3" customFormat="1" x14ac:dyDescent="0.25"/>
    <row r="865" s="3" customFormat="1" x14ac:dyDescent="0.25"/>
    <row r="866" s="3" customFormat="1" x14ac:dyDescent="0.25"/>
    <row r="867" s="3" customFormat="1" x14ac:dyDescent="0.25"/>
    <row r="868" s="3" customFormat="1" x14ac:dyDescent="0.25"/>
    <row r="869" s="3" customFormat="1" x14ac:dyDescent="0.25"/>
    <row r="870" s="3" customFormat="1" x14ac:dyDescent="0.25"/>
    <row r="871" s="3" customFormat="1" x14ac:dyDescent="0.25"/>
    <row r="872" s="3" customFormat="1" x14ac:dyDescent="0.25"/>
    <row r="873" s="3" customFormat="1" x14ac:dyDescent="0.25"/>
    <row r="874" s="3" customFormat="1" x14ac:dyDescent="0.25"/>
    <row r="875" s="3" customFormat="1" x14ac:dyDescent="0.25"/>
    <row r="876" s="3" customFormat="1" x14ac:dyDescent="0.25"/>
    <row r="877" s="3" customFormat="1" x14ac:dyDescent="0.25"/>
    <row r="878" s="3" customFormat="1" x14ac:dyDescent="0.25"/>
    <row r="879" s="3" customFormat="1" x14ac:dyDescent="0.25"/>
    <row r="880" s="3" customFormat="1" x14ac:dyDescent="0.25"/>
    <row r="881" s="3" customFormat="1" x14ac:dyDescent="0.25"/>
    <row r="882" s="3" customFormat="1" x14ac:dyDescent="0.25"/>
    <row r="883" s="3" customFormat="1" x14ac:dyDescent="0.25"/>
    <row r="884" s="3" customFormat="1" x14ac:dyDescent="0.25"/>
    <row r="885" s="3" customFormat="1" x14ac:dyDescent="0.25"/>
    <row r="886" s="3" customFormat="1" x14ac:dyDescent="0.25"/>
    <row r="887" s="3" customFormat="1" x14ac:dyDescent="0.25"/>
    <row r="888" s="3" customFormat="1" x14ac:dyDescent="0.25"/>
    <row r="889" s="3" customFormat="1" x14ac:dyDescent="0.25"/>
    <row r="890" s="3" customFormat="1" x14ac:dyDescent="0.25"/>
    <row r="891" s="3" customFormat="1" x14ac:dyDescent="0.25"/>
    <row r="892" s="3" customFormat="1" x14ac:dyDescent="0.25"/>
    <row r="893" s="3" customFormat="1" x14ac:dyDescent="0.25"/>
    <row r="894" s="3" customFormat="1" x14ac:dyDescent="0.25"/>
    <row r="895" s="3" customFormat="1" x14ac:dyDescent="0.25"/>
    <row r="896" s="3" customFormat="1" x14ac:dyDescent="0.25"/>
    <row r="897" s="3" customFormat="1" x14ac:dyDescent="0.25"/>
    <row r="898" s="3" customFormat="1" x14ac:dyDescent="0.25"/>
    <row r="899" s="3" customFormat="1" x14ac:dyDescent="0.25"/>
    <row r="900" s="3" customFormat="1" x14ac:dyDescent="0.25"/>
    <row r="901" s="3" customFormat="1" x14ac:dyDescent="0.25"/>
    <row r="902" s="3" customFormat="1" x14ac:dyDescent="0.25"/>
    <row r="903" s="3" customFormat="1" x14ac:dyDescent="0.25"/>
    <row r="904" s="3" customFormat="1" x14ac:dyDescent="0.25"/>
    <row r="905" s="3" customFormat="1" x14ac:dyDescent="0.25"/>
    <row r="906" s="3" customFormat="1" x14ac:dyDescent="0.25"/>
    <row r="907" s="3" customFormat="1" x14ac:dyDescent="0.25"/>
    <row r="908" s="3" customFormat="1" x14ac:dyDescent="0.25"/>
    <row r="909" s="3" customFormat="1" x14ac:dyDescent="0.25"/>
    <row r="910" s="3" customFormat="1" x14ac:dyDescent="0.25"/>
    <row r="911" s="3" customFormat="1" x14ac:dyDescent="0.25"/>
    <row r="912" s="3" customFormat="1" x14ac:dyDescent="0.25"/>
    <row r="913" s="3" customFormat="1" x14ac:dyDescent="0.25"/>
    <row r="914" s="3" customFormat="1" x14ac:dyDescent="0.25"/>
    <row r="915" s="3" customFormat="1" x14ac:dyDescent="0.25"/>
    <row r="916" s="3" customFormat="1" x14ac:dyDescent="0.25"/>
    <row r="917" s="3" customFormat="1" x14ac:dyDescent="0.25"/>
    <row r="918" s="3" customFormat="1" x14ac:dyDescent="0.25"/>
    <row r="919" s="3" customFormat="1" x14ac:dyDescent="0.25"/>
    <row r="920" s="3" customFormat="1" x14ac:dyDescent="0.25"/>
    <row r="921" s="3" customFormat="1" x14ac:dyDescent="0.25"/>
    <row r="922" s="3" customFormat="1" x14ac:dyDescent="0.25"/>
    <row r="923" s="3" customFormat="1" x14ac:dyDescent="0.25"/>
    <row r="924" s="3" customFormat="1" x14ac:dyDescent="0.25"/>
    <row r="925" s="3" customFormat="1" x14ac:dyDescent="0.25"/>
    <row r="926" s="3" customFormat="1" x14ac:dyDescent="0.25"/>
    <row r="927" s="3" customFormat="1" x14ac:dyDescent="0.25"/>
    <row r="928" s="3" customFormat="1" x14ac:dyDescent="0.25"/>
    <row r="929" s="3" customFormat="1" x14ac:dyDescent="0.25"/>
    <row r="930" s="3" customFormat="1" x14ac:dyDescent="0.25"/>
    <row r="931" s="3" customFormat="1" x14ac:dyDescent="0.25"/>
    <row r="932" s="3" customFormat="1" x14ac:dyDescent="0.25"/>
    <row r="933" s="3" customFormat="1" x14ac:dyDescent="0.25"/>
    <row r="934" s="3" customFormat="1" x14ac:dyDescent="0.25"/>
    <row r="935" s="3" customFormat="1" x14ac:dyDescent="0.25"/>
    <row r="936" s="3" customFormat="1" x14ac:dyDescent="0.25"/>
    <row r="937" s="3" customFormat="1" x14ac:dyDescent="0.25"/>
    <row r="938" s="3" customFormat="1" x14ac:dyDescent="0.25"/>
    <row r="939" s="3" customFormat="1" x14ac:dyDescent="0.25"/>
    <row r="940" s="3" customFormat="1" x14ac:dyDescent="0.25"/>
    <row r="941" s="3" customFormat="1" x14ac:dyDescent="0.25"/>
    <row r="942" s="3" customFormat="1" x14ac:dyDescent="0.25"/>
    <row r="943" s="3" customFormat="1" x14ac:dyDescent="0.25"/>
    <row r="944" s="3" customFormat="1" x14ac:dyDescent="0.25"/>
    <row r="945" s="3" customFormat="1" x14ac:dyDescent="0.25"/>
    <row r="946" s="3" customFormat="1" x14ac:dyDescent="0.25"/>
    <row r="947" s="3" customFormat="1" x14ac:dyDescent="0.25"/>
    <row r="948" s="3" customFormat="1" x14ac:dyDescent="0.25"/>
    <row r="949" s="3" customFormat="1" x14ac:dyDescent="0.25"/>
    <row r="950" s="3" customFormat="1" x14ac:dyDescent="0.25"/>
    <row r="951" s="3" customFormat="1" x14ac:dyDescent="0.25"/>
    <row r="952" s="3" customFormat="1" x14ac:dyDescent="0.25"/>
    <row r="953" s="3" customFormat="1" x14ac:dyDescent="0.25"/>
    <row r="954" s="3" customFormat="1" x14ac:dyDescent="0.25"/>
    <row r="955" s="3" customFormat="1" x14ac:dyDescent="0.25"/>
    <row r="956" s="3" customFormat="1" x14ac:dyDescent="0.25"/>
    <row r="957" s="3" customFormat="1" x14ac:dyDescent="0.25"/>
    <row r="958" s="3" customFormat="1" x14ac:dyDescent="0.25"/>
    <row r="959" s="3" customFormat="1" x14ac:dyDescent="0.25"/>
    <row r="960" s="3" customFormat="1" x14ac:dyDescent="0.25"/>
    <row r="961" s="3" customFormat="1" x14ac:dyDescent="0.25"/>
    <row r="962" s="3" customFormat="1" x14ac:dyDescent="0.25"/>
    <row r="963" s="3" customFormat="1" x14ac:dyDescent="0.25"/>
    <row r="964" s="3" customFormat="1" x14ac:dyDescent="0.25"/>
    <row r="965" s="3" customFormat="1" x14ac:dyDescent="0.25"/>
    <row r="966" s="3" customFormat="1" x14ac:dyDescent="0.25"/>
    <row r="967" s="3" customFormat="1" x14ac:dyDescent="0.25"/>
    <row r="968" s="3" customFormat="1" x14ac:dyDescent="0.25"/>
    <row r="969" s="3" customFormat="1" x14ac:dyDescent="0.25"/>
    <row r="970" s="3" customFormat="1" x14ac:dyDescent="0.25"/>
    <row r="971" s="3" customFormat="1" x14ac:dyDescent="0.25"/>
    <row r="972" s="3" customFormat="1" x14ac:dyDescent="0.25"/>
    <row r="973" s="3" customFormat="1" x14ac:dyDescent="0.25"/>
    <row r="974" s="3" customFormat="1" x14ac:dyDescent="0.25"/>
    <row r="975" s="3" customFormat="1" x14ac:dyDescent="0.25"/>
    <row r="976" s="3" customFormat="1" x14ac:dyDescent="0.25"/>
    <row r="977" s="3" customFormat="1" x14ac:dyDescent="0.25"/>
    <row r="978" s="3" customFormat="1" x14ac:dyDescent="0.25"/>
    <row r="979" s="3" customFormat="1" x14ac:dyDescent="0.25"/>
    <row r="980" s="3" customFormat="1" x14ac:dyDescent="0.25"/>
    <row r="981" s="3" customFormat="1" x14ac:dyDescent="0.25"/>
    <row r="982" s="3" customFormat="1" x14ac:dyDescent="0.25"/>
    <row r="983" s="3" customFormat="1" x14ac:dyDescent="0.25"/>
    <row r="984" s="3" customFormat="1" x14ac:dyDescent="0.25"/>
    <row r="985" s="3" customFormat="1" x14ac:dyDescent="0.25"/>
    <row r="986" s="3" customFormat="1" x14ac:dyDescent="0.25"/>
    <row r="987" s="3" customFormat="1" x14ac:dyDescent="0.25"/>
    <row r="988" s="3" customFormat="1" x14ac:dyDescent="0.25"/>
    <row r="989" s="3" customFormat="1" x14ac:dyDescent="0.25"/>
    <row r="990" s="3" customFormat="1" x14ac:dyDescent="0.25"/>
    <row r="991" s="3" customFormat="1" x14ac:dyDescent="0.25"/>
    <row r="992" s="3" customFormat="1" x14ac:dyDescent="0.25"/>
    <row r="993" s="3" customFormat="1" x14ac:dyDescent="0.25"/>
    <row r="994" s="3" customFormat="1" x14ac:dyDescent="0.25"/>
    <row r="995" s="3" customFormat="1" x14ac:dyDescent="0.25"/>
    <row r="996" s="3" customFormat="1" x14ac:dyDescent="0.25"/>
    <row r="997" s="3" customFormat="1" x14ac:dyDescent="0.25"/>
    <row r="998" s="3" customFormat="1" x14ac:dyDescent="0.25"/>
    <row r="999" s="3" customFormat="1" x14ac:dyDescent="0.25"/>
    <row r="1000" s="3" customFormat="1" x14ac:dyDescent="0.25"/>
    <row r="1001" s="3" customFormat="1" x14ac:dyDescent="0.25"/>
    <row r="1002" s="3" customFormat="1" x14ac:dyDescent="0.25"/>
    <row r="1003" s="3" customFormat="1" x14ac:dyDescent="0.25"/>
    <row r="1004" s="3" customFormat="1" x14ac:dyDescent="0.25"/>
    <row r="1005" s="3" customFormat="1" x14ac:dyDescent="0.25"/>
    <row r="1006" s="3" customFormat="1" x14ac:dyDescent="0.25"/>
    <row r="1007" s="3" customFormat="1" x14ac:dyDescent="0.25"/>
    <row r="1008" s="3" customFormat="1" x14ac:dyDescent="0.25"/>
    <row r="1009" s="3" customFormat="1" x14ac:dyDescent="0.25"/>
    <row r="1010" s="3" customFormat="1" x14ac:dyDescent="0.25"/>
    <row r="1011" s="3" customFormat="1" x14ac:dyDescent="0.25"/>
    <row r="1012" s="3" customFormat="1" x14ac:dyDescent="0.25"/>
    <row r="1013" s="3" customFormat="1" x14ac:dyDescent="0.25"/>
    <row r="1014" s="3" customFormat="1" x14ac:dyDescent="0.25"/>
    <row r="1015" s="3" customFormat="1" x14ac:dyDescent="0.25"/>
    <row r="1016" s="3" customFormat="1" x14ac:dyDescent="0.25"/>
    <row r="1017" s="3" customFormat="1" x14ac:dyDescent="0.25"/>
    <row r="1018" s="3" customFormat="1" x14ac:dyDescent="0.25"/>
    <row r="1019" s="3" customFormat="1" x14ac:dyDescent="0.25"/>
    <row r="1020" s="3" customFormat="1" x14ac:dyDescent="0.25"/>
    <row r="1021" s="3" customFormat="1" x14ac:dyDescent="0.25"/>
    <row r="1022" s="3" customFormat="1" x14ac:dyDescent="0.25"/>
    <row r="1023" s="3" customFormat="1" x14ac:dyDescent="0.25"/>
    <row r="1024" s="3" customFormat="1" x14ac:dyDescent="0.25"/>
    <row r="1025" s="3" customFormat="1" x14ac:dyDescent="0.25"/>
    <row r="1026" s="3" customFormat="1" x14ac:dyDescent="0.25"/>
    <row r="1027" s="3" customFormat="1" x14ac:dyDescent="0.25"/>
    <row r="1028" s="3" customFormat="1" x14ac:dyDescent="0.25"/>
    <row r="1029" s="3" customFormat="1" x14ac:dyDescent="0.25"/>
    <row r="1030" s="3" customFormat="1" x14ac:dyDescent="0.25"/>
    <row r="1031" s="3" customFormat="1" x14ac:dyDescent="0.25"/>
    <row r="1032" s="3" customFormat="1" x14ac:dyDescent="0.25"/>
    <row r="1033" s="3" customFormat="1" x14ac:dyDescent="0.25"/>
    <row r="1034" s="3" customFormat="1" x14ac:dyDescent="0.25"/>
    <row r="1035" s="3" customFormat="1" x14ac:dyDescent="0.25"/>
    <row r="1036" s="3" customFormat="1" x14ac:dyDescent="0.25"/>
    <row r="1037" s="3" customFormat="1" x14ac:dyDescent="0.25"/>
    <row r="1038" s="3" customFormat="1" x14ac:dyDescent="0.25"/>
    <row r="1039" s="3" customFormat="1" x14ac:dyDescent="0.25"/>
    <row r="1040" s="3" customFormat="1" x14ac:dyDescent="0.25"/>
    <row r="1041" s="3" customFormat="1" x14ac:dyDescent="0.25"/>
    <row r="1042" s="3" customFormat="1" x14ac:dyDescent="0.25"/>
    <row r="1043" s="3" customFormat="1" x14ac:dyDescent="0.25"/>
    <row r="1044" s="3" customFormat="1" x14ac:dyDescent="0.25"/>
    <row r="1045" s="3" customFormat="1" x14ac:dyDescent="0.25"/>
    <row r="1046" s="3" customFormat="1" x14ac:dyDescent="0.25"/>
    <row r="1047" s="3" customFormat="1" x14ac:dyDescent="0.25"/>
    <row r="1048" s="3" customFormat="1" x14ac:dyDescent="0.25"/>
    <row r="1049" s="3" customFormat="1" x14ac:dyDescent="0.25"/>
    <row r="1050" s="3" customFormat="1" x14ac:dyDescent="0.25"/>
    <row r="1051" s="3" customFormat="1" x14ac:dyDescent="0.25"/>
    <row r="1052" s="3" customFormat="1" x14ac:dyDescent="0.25"/>
    <row r="1053" s="3" customFormat="1" x14ac:dyDescent="0.25"/>
    <row r="1054" s="3" customFormat="1" x14ac:dyDescent="0.25"/>
    <row r="1055" s="3" customFormat="1" x14ac:dyDescent="0.25"/>
    <row r="1056" s="3" customFormat="1" x14ac:dyDescent="0.25"/>
    <row r="1057" s="3" customFormat="1" x14ac:dyDescent="0.25"/>
    <row r="1058" s="3" customFormat="1" x14ac:dyDescent="0.25"/>
    <row r="1059" s="3" customFormat="1" x14ac:dyDescent="0.25"/>
    <row r="1060" s="3" customFormat="1" x14ac:dyDescent="0.25"/>
    <row r="1061" s="3" customFormat="1" x14ac:dyDescent="0.25"/>
    <row r="1062" s="3" customFormat="1" x14ac:dyDescent="0.25"/>
    <row r="1063" s="3" customFormat="1" x14ac:dyDescent="0.25"/>
    <row r="1064" s="3" customFormat="1" x14ac:dyDescent="0.25"/>
    <row r="1065" s="3" customFormat="1" x14ac:dyDescent="0.25"/>
    <row r="1066" s="3" customFormat="1" x14ac:dyDescent="0.25"/>
    <row r="1067" s="3" customFormat="1" x14ac:dyDescent="0.25"/>
    <row r="1068" s="3" customFormat="1" x14ac:dyDescent="0.25"/>
    <row r="1069" s="3" customFormat="1" x14ac:dyDescent="0.25"/>
    <row r="1070" s="3" customFormat="1" x14ac:dyDescent="0.25"/>
    <row r="1071" s="3" customFormat="1" x14ac:dyDescent="0.25"/>
    <row r="1072" s="3" customFormat="1" x14ac:dyDescent="0.25"/>
    <row r="1073" s="3" customFormat="1" x14ac:dyDescent="0.25"/>
    <row r="1074" s="3" customFormat="1" x14ac:dyDescent="0.25"/>
    <row r="1075" s="3" customFormat="1" x14ac:dyDescent="0.25"/>
    <row r="1076" s="3" customFormat="1" x14ac:dyDescent="0.25"/>
    <row r="1077" s="3" customFormat="1" x14ac:dyDescent="0.25"/>
    <row r="1078" s="3" customFormat="1" x14ac:dyDescent="0.25"/>
    <row r="1079" s="3" customFormat="1" x14ac:dyDescent="0.25"/>
    <row r="1080" s="3" customFormat="1" x14ac:dyDescent="0.25"/>
    <row r="1081" s="3" customFormat="1" x14ac:dyDescent="0.25"/>
    <row r="1082" s="3" customFormat="1" x14ac:dyDescent="0.25"/>
    <row r="1083" s="3" customFormat="1" x14ac:dyDescent="0.25"/>
    <row r="1084" s="3" customFormat="1" x14ac:dyDescent="0.25"/>
    <row r="1085" s="3" customFormat="1" x14ac:dyDescent="0.25"/>
    <row r="1086" s="3" customFormat="1" x14ac:dyDescent="0.25"/>
    <row r="1087" s="3" customFormat="1" x14ac:dyDescent="0.25"/>
    <row r="1088" s="3" customFormat="1" x14ac:dyDescent="0.25"/>
    <row r="1089" s="3" customFormat="1" x14ac:dyDescent="0.25"/>
    <row r="1090" s="3" customFormat="1" x14ac:dyDescent="0.25"/>
    <row r="1091" s="3" customFormat="1" x14ac:dyDescent="0.25"/>
    <row r="1092" s="3" customFormat="1" x14ac:dyDescent="0.25"/>
    <row r="1093" s="3" customFormat="1" x14ac:dyDescent="0.25"/>
    <row r="1094" s="3" customFormat="1" x14ac:dyDescent="0.25"/>
    <row r="1095" s="3" customFormat="1" x14ac:dyDescent="0.25"/>
    <row r="1096" s="3" customFormat="1" x14ac:dyDescent="0.25"/>
    <row r="1097" s="3" customFormat="1" x14ac:dyDescent="0.25"/>
    <row r="1098" s="3" customFormat="1" x14ac:dyDescent="0.25"/>
    <row r="1099" s="3" customFormat="1" x14ac:dyDescent="0.25"/>
    <row r="1100" s="3" customFormat="1" x14ac:dyDescent="0.25"/>
    <row r="1101" s="3" customFormat="1" x14ac:dyDescent="0.25"/>
    <row r="1102" s="3" customFormat="1" x14ac:dyDescent="0.25"/>
    <row r="1103" s="3" customFormat="1" x14ac:dyDescent="0.25"/>
    <row r="1104" s="3" customFormat="1" x14ac:dyDescent="0.25"/>
    <row r="1105" s="3" customFormat="1" x14ac:dyDescent="0.25"/>
    <row r="1106" s="3" customFormat="1" x14ac:dyDescent="0.25"/>
    <row r="1107" s="3" customFormat="1" x14ac:dyDescent="0.25"/>
    <row r="1108" s="3" customFormat="1" x14ac:dyDescent="0.25"/>
    <row r="1109" s="3" customFormat="1" x14ac:dyDescent="0.25"/>
    <row r="1110" s="3" customFormat="1" x14ac:dyDescent="0.25"/>
    <row r="1111" s="3" customFormat="1" x14ac:dyDescent="0.25"/>
    <row r="1112" s="3" customFormat="1" x14ac:dyDescent="0.25"/>
    <row r="1113" s="3" customFormat="1" x14ac:dyDescent="0.25"/>
    <row r="1114" s="3" customFormat="1" x14ac:dyDescent="0.25"/>
    <row r="1115" s="3" customFormat="1" x14ac:dyDescent="0.25"/>
    <row r="1116" s="3" customFormat="1" x14ac:dyDescent="0.25"/>
    <row r="1117" s="3" customFormat="1" x14ac:dyDescent="0.25"/>
    <row r="1118" s="3" customFormat="1" x14ac:dyDescent="0.25"/>
    <row r="1119" s="3" customFormat="1" x14ac:dyDescent="0.25"/>
    <row r="1120" s="3" customFormat="1" x14ac:dyDescent="0.25"/>
    <row r="1121" s="3" customFormat="1" x14ac:dyDescent="0.25"/>
    <row r="1122" s="3" customFormat="1" x14ac:dyDescent="0.25"/>
    <row r="1123" s="3" customFormat="1" x14ac:dyDescent="0.25"/>
    <row r="1124" s="3" customFormat="1" x14ac:dyDescent="0.25"/>
    <row r="1125" s="3" customFormat="1" x14ac:dyDescent="0.25"/>
    <row r="1126" s="3" customFormat="1" x14ac:dyDescent="0.25"/>
    <row r="1127" s="3" customFormat="1" x14ac:dyDescent="0.25"/>
    <row r="1128" s="3" customFormat="1" x14ac:dyDescent="0.25"/>
    <row r="1129" s="3" customFormat="1" x14ac:dyDescent="0.25"/>
    <row r="1130" s="3" customFormat="1" x14ac:dyDescent="0.25"/>
    <row r="1131" s="3" customFormat="1" x14ac:dyDescent="0.25"/>
    <row r="1132" s="3" customFormat="1" x14ac:dyDescent="0.25"/>
    <row r="1133" s="3" customFormat="1" x14ac:dyDescent="0.25"/>
    <row r="1134" s="3" customFormat="1" x14ac:dyDescent="0.25"/>
    <row r="1135" s="3" customFormat="1" x14ac:dyDescent="0.25"/>
    <row r="1136" s="3" customFormat="1" x14ac:dyDescent="0.25"/>
    <row r="1137" s="3" customFormat="1" x14ac:dyDescent="0.25"/>
    <row r="1138" s="3" customFormat="1" x14ac:dyDescent="0.25"/>
    <row r="1139" s="3" customFormat="1" x14ac:dyDescent="0.25"/>
    <row r="1140" s="3" customFormat="1" x14ac:dyDescent="0.25"/>
    <row r="1141" s="3" customFormat="1" x14ac:dyDescent="0.25"/>
    <row r="1142" s="3" customFormat="1" x14ac:dyDescent="0.25"/>
    <row r="1143" s="3" customFormat="1" x14ac:dyDescent="0.25"/>
    <row r="1144" s="3" customFormat="1" x14ac:dyDescent="0.25"/>
    <row r="1145" s="3" customFormat="1" x14ac:dyDescent="0.25"/>
    <row r="1146" s="3" customFormat="1" x14ac:dyDescent="0.25"/>
    <row r="1147" s="3" customFormat="1" x14ac:dyDescent="0.25"/>
    <row r="1148" s="3" customFormat="1" x14ac:dyDescent="0.25"/>
    <row r="1149" s="3" customFormat="1" x14ac:dyDescent="0.25"/>
    <row r="1150" s="3" customFormat="1" x14ac:dyDescent="0.25"/>
    <row r="1151" s="3" customFormat="1" x14ac:dyDescent="0.25"/>
    <row r="1152" s="3" customFormat="1" x14ac:dyDescent="0.25"/>
    <row r="1153" s="3" customFormat="1" x14ac:dyDescent="0.25"/>
    <row r="1154" s="3" customFormat="1" x14ac:dyDescent="0.25"/>
    <row r="1155" s="3" customFormat="1" x14ac:dyDescent="0.25"/>
    <row r="1156" s="3" customFormat="1" x14ac:dyDescent="0.25"/>
    <row r="1157" s="3" customFormat="1" x14ac:dyDescent="0.25"/>
    <row r="1158" s="3" customFormat="1" x14ac:dyDescent="0.25"/>
    <row r="1159" s="3" customFormat="1" x14ac:dyDescent="0.25"/>
    <row r="1160" s="3" customFormat="1" x14ac:dyDescent="0.25"/>
    <row r="1161" s="3" customFormat="1" x14ac:dyDescent="0.25"/>
    <row r="1162" s="3" customFormat="1" x14ac:dyDescent="0.25"/>
    <row r="1163" s="3" customFormat="1" x14ac:dyDescent="0.25"/>
    <row r="1164" s="3" customFormat="1" x14ac:dyDescent="0.25"/>
    <row r="1165" s="3" customFormat="1" x14ac:dyDescent="0.25"/>
    <row r="1166" s="3" customFormat="1" x14ac:dyDescent="0.25"/>
    <row r="1167" s="3" customFormat="1" x14ac:dyDescent="0.25"/>
    <row r="1168" s="3" customFormat="1" x14ac:dyDescent="0.25"/>
    <row r="1169" s="3" customFormat="1" x14ac:dyDescent="0.25"/>
    <row r="1170" s="3" customFormat="1" x14ac:dyDescent="0.25"/>
    <row r="1171" s="3" customFormat="1" x14ac:dyDescent="0.25"/>
    <row r="1172" s="3" customFormat="1" x14ac:dyDescent="0.25"/>
    <row r="1173" s="3" customFormat="1" x14ac:dyDescent="0.25"/>
    <row r="1174" s="3" customFormat="1" x14ac:dyDescent="0.25"/>
    <row r="1175" s="3" customFormat="1" x14ac:dyDescent="0.25"/>
    <row r="1176" s="3" customFormat="1" x14ac:dyDescent="0.25"/>
    <row r="1177" s="3" customFormat="1" x14ac:dyDescent="0.25"/>
    <row r="1178" s="3" customFormat="1" x14ac:dyDescent="0.25"/>
    <row r="1179" s="3" customFormat="1" x14ac:dyDescent="0.25"/>
    <row r="1180" s="3" customFormat="1" x14ac:dyDescent="0.25"/>
    <row r="1181" s="3" customFormat="1" x14ac:dyDescent="0.25"/>
    <row r="1182" s="3" customFormat="1" x14ac:dyDescent="0.25"/>
    <row r="1183" s="3" customFormat="1" x14ac:dyDescent="0.25"/>
    <row r="1184" s="3" customFormat="1" x14ac:dyDescent="0.25"/>
    <row r="1185" s="3" customFormat="1" x14ac:dyDescent="0.25"/>
    <row r="1186" s="3" customFormat="1" x14ac:dyDescent="0.25"/>
    <row r="1187" s="3" customFormat="1" x14ac:dyDescent="0.25"/>
    <row r="1188" s="3" customFormat="1" x14ac:dyDescent="0.25"/>
    <row r="1189" s="3" customFormat="1" x14ac:dyDescent="0.25"/>
    <row r="1190" s="3" customFormat="1" x14ac:dyDescent="0.25"/>
    <row r="1191" s="3" customFormat="1" x14ac:dyDescent="0.25"/>
    <row r="1192" s="3" customFormat="1" x14ac:dyDescent="0.25"/>
    <row r="1193" s="3" customFormat="1" x14ac:dyDescent="0.25"/>
    <row r="1194" s="3" customFormat="1" x14ac:dyDescent="0.25"/>
    <row r="1195" s="3" customFormat="1" x14ac:dyDescent="0.25"/>
    <row r="1196" s="3" customFormat="1" x14ac:dyDescent="0.25"/>
    <row r="1197" s="3" customFormat="1" x14ac:dyDescent="0.25"/>
    <row r="1198" s="3" customFormat="1" x14ac:dyDescent="0.25"/>
    <row r="1199" s="3" customFormat="1" x14ac:dyDescent="0.25"/>
    <row r="1200" s="3" customFormat="1" x14ac:dyDescent="0.25"/>
    <row r="1201" s="3" customFormat="1" x14ac:dyDescent="0.25"/>
    <row r="1202" s="3" customFormat="1" x14ac:dyDescent="0.25"/>
    <row r="1203" s="3" customFormat="1" x14ac:dyDescent="0.25"/>
    <row r="1204" s="3" customFormat="1" x14ac:dyDescent="0.25"/>
    <row r="1205" s="3" customFormat="1" x14ac:dyDescent="0.25"/>
    <row r="1206" s="3" customFormat="1" x14ac:dyDescent="0.25"/>
    <row r="1207" s="3" customFormat="1" x14ac:dyDescent="0.25"/>
    <row r="1208" s="3" customFormat="1" x14ac:dyDescent="0.25"/>
    <row r="1209" s="3" customFormat="1" x14ac:dyDescent="0.25"/>
    <row r="1210" s="3" customFormat="1" x14ac:dyDescent="0.25"/>
    <row r="1211" s="3" customFormat="1" x14ac:dyDescent="0.25"/>
    <row r="1212" s="3" customFormat="1" x14ac:dyDescent="0.25"/>
    <row r="1213" s="3" customFormat="1" x14ac:dyDescent="0.25"/>
    <row r="1214" s="3" customFormat="1" x14ac:dyDescent="0.25"/>
    <row r="1215" s="3" customFormat="1" x14ac:dyDescent="0.25"/>
    <row r="1216" s="3" customFormat="1" x14ac:dyDescent="0.25"/>
    <row r="1217" s="3" customFormat="1" x14ac:dyDescent="0.25"/>
    <row r="1218" s="3" customFormat="1" x14ac:dyDescent="0.25"/>
    <row r="1219" s="3" customFormat="1" x14ac:dyDescent="0.25"/>
    <row r="1220" s="3" customFormat="1" x14ac:dyDescent="0.25"/>
    <row r="1221" s="3" customFormat="1" x14ac:dyDescent="0.25"/>
    <row r="1222" s="3" customFormat="1" x14ac:dyDescent="0.25"/>
    <row r="1223" s="3" customFormat="1" x14ac:dyDescent="0.25"/>
    <row r="1224" s="3" customFormat="1" x14ac:dyDescent="0.25"/>
    <row r="1225" s="3" customFormat="1" x14ac:dyDescent="0.25"/>
    <row r="1226" s="3" customFormat="1" x14ac:dyDescent="0.25"/>
    <row r="1227" s="3" customFormat="1" x14ac:dyDescent="0.25"/>
    <row r="1228" s="3" customFormat="1" x14ac:dyDescent="0.25"/>
    <row r="1229" s="3" customFormat="1" x14ac:dyDescent="0.25"/>
    <row r="1230" s="3" customFormat="1" x14ac:dyDescent="0.25"/>
    <row r="1231" s="3" customFormat="1" x14ac:dyDescent="0.25"/>
    <row r="1232" s="3" customFormat="1" x14ac:dyDescent="0.25"/>
    <row r="1233" s="3" customFormat="1" x14ac:dyDescent="0.25"/>
    <row r="1234" s="3" customFormat="1" x14ac:dyDescent="0.25"/>
    <row r="1235" s="3" customFormat="1" x14ac:dyDescent="0.25"/>
    <row r="1236" s="3" customFormat="1" x14ac:dyDescent="0.25"/>
    <row r="1237" s="3" customFormat="1" x14ac:dyDescent="0.25"/>
    <row r="1238" s="3" customFormat="1" x14ac:dyDescent="0.25"/>
    <row r="1239" s="3" customFormat="1" x14ac:dyDescent="0.25"/>
    <row r="1240" s="3" customFormat="1" x14ac:dyDescent="0.25"/>
    <row r="1241" s="3" customFormat="1" x14ac:dyDescent="0.25"/>
    <row r="1242" s="3" customFormat="1" x14ac:dyDescent="0.25"/>
    <row r="1243" s="3" customFormat="1" x14ac:dyDescent="0.25"/>
    <row r="1244" s="3" customFormat="1" x14ac:dyDescent="0.25"/>
    <row r="1245" s="3" customFormat="1" x14ac:dyDescent="0.25"/>
    <row r="1246" s="3" customFormat="1" x14ac:dyDescent="0.25"/>
    <row r="1247" s="3" customFormat="1" x14ac:dyDescent="0.25"/>
    <row r="1248" s="3" customFormat="1" x14ac:dyDescent="0.25"/>
    <row r="1249" s="3" customFormat="1" x14ac:dyDescent="0.25"/>
    <row r="1250" s="3" customFormat="1" x14ac:dyDescent="0.25"/>
    <row r="1251" s="3" customFormat="1" x14ac:dyDescent="0.25"/>
    <row r="1252" s="3" customFormat="1" x14ac:dyDescent="0.25"/>
    <row r="1253" s="3" customFormat="1" x14ac:dyDescent="0.25"/>
    <row r="1254" s="3" customFormat="1" x14ac:dyDescent="0.25"/>
    <row r="1255" s="3" customFormat="1" x14ac:dyDescent="0.25"/>
    <row r="1256" s="3" customFormat="1" x14ac:dyDescent="0.25"/>
    <row r="1257" s="3" customFormat="1" x14ac:dyDescent="0.25"/>
    <row r="1258" s="3" customFormat="1" x14ac:dyDescent="0.25"/>
    <row r="1259" s="3" customFormat="1" x14ac:dyDescent="0.25"/>
    <row r="1260" s="3" customFormat="1" x14ac:dyDescent="0.25"/>
    <row r="1261" s="3" customFormat="1" x14ac:dyDescent="0.25"/>
    <row r="1262" s="3" customFormat="1" x14ac:dyDescent="0.25"/>
    <row r="1263" s="3" customFormat="1" x14ac:dyDescent="0.25"/>
    <row r="1264" s="3" customFormat="1" x14ac:dyDescent="0.25"/>
    <row r="1265" s="3" customFormat="1" x14ac:dyDescent="0.25"/>
    <row r="1266" s="3" customFormat="1" x14ac:dyDescent="0.25"/>
    <row r="1267" s="3" customFormat="1" x14ac:dyDescent="0.25"/>
    <row r="1268" s="3" customFormat="1" x14ac:dyDescent="0.25"/>
    <row r="1269" s="3" customFormat="1" x14ac:dyDescent="0.25"/>
    <row r="1270" s="3" customFormat="1" x14ac:dyDescent="0.25"/>
    <row r="1271" s="3" customFormat="1" x14ac:dyDescent="0.25"/>
    <row r="1272" s="3" customFormat="1" x14ac:dyDescent="0.25"/>
    <row r="1273" s="3" customFormat="1" x14ac:dyDescent="0.25"/>
    <row r="1274" s="3" customFormat="1" x14ac:dyDescent="0.25"/>
    <row r="1275" s="3" customFormat="1" x14ac:dyDescent="0.25"/>
    <row r="1276" s="3" customFormat="1" x14ac:dyDescent="0.25"/>
    <row r="1277" s="3" customFormat="1" x14ac:dyDescent="0.25"/>
    <row r="1278" s="3" customFormat="1" x14ac:dyDescent="0.25"/>
    <row r="1279" s="3" customFormat="1" x14ac:dyDescent="0.25"/>
    <row r="1280" s="3" customFormat="1" x14ac:dyDescent="0.25"/>
    <row r="1281" s="3" customFormat="1" x14ac:dyDescent="0.25"/>
    <row r="1282" s="3" customFormat="1" x14ac:dyDescent="0.25"/>
    <row r="1283" s="3" customFormat="1" x14ac:dyDescent="0.25"/>
    <row r="1284" s="3" customFormat="1" x14ac:dyDescent="0.25"/>
    <row r="1285" s="3" customFormat="1" x14ac:dyDescent="0.25"/>
    <row r="1286" s="3" customFormat="1" x14ac:dyDescent="0.25"/>
    <row r="1287" s="3" customFormat="1" x14ac:dyDescent="0.25"/>
    <row r="1288" s="3" customFormat="1" x14ac:dyDescent="0.25"/>
    <row r="1289" s="3" customFormat="1" x14ac:dyDescent="0.25"/>
    <row r="1290" s="3" customFormat="1" x14ac:dyDescent="0.25"/>
    <row r="1291" s="3" customFormat="1" x14ac:dyDescent="0.25"/>
    <row r="1292" s="3" customFormat="1" x14ac:dyDescent="0.25"/>
    <row r="1293" s="3" customFormat="1" x14ac:dyDescent="0.25"/>
    <row r="1294" s="3" customFormat="1" x14ac:dyDescent="0.25"/>
    <row r="1295" s="3" customFormat="1" x14ac:dyDescent="0.25"/>
    <row r="1296" s="3" customFormat="1" x14ac:dyDescent="0.25"/>
    <row r="1297" s="3" customFormat="1" x14ac:dyDescent="0.25"/>
    <row r="1298" s="3" customFormat="1" x14ac:dyDescent="0.25"/>
    <row r="1299" s="3" customFormat="1" x14ac:dyDescent="0.25"/>
    <row r="1300" s="3" customFormat="1" x14ac:dyDescent="0.25"/>
    <row r="1301" s="3" customFormat="1" x14ac:dyDescent="0.25"/>
    <row r="1302" s="3" customFormat="1" x14ac:dyDescent="0.25"/>
    <row r="1303" s="3" customFormat="1" x14ac:dyDescent="0.25"/>
    <row r="1304" s="3" customFormat="1" x14ac:dyDescent="0.25"/>
    <row r="1305" s="3" customFormat="1" x14ac:dyDescent="0.25"/>
    <row r="1306" s="3" customFormat="1" x14ac:dyDescent="0.25"/>
    <row r="1307" s="3" customFormat="1" x14ac:dyDescent="0.25"/>
    <row r="1308" s="3" customFormat="1" x14ac:dyDescent="0.25"/>
    <row r="1309" s="3" customFormat="1" x14ac:dyDescent="0.25"/>
    <row r="1310" s="3" customFormat="1" x14ac:dyDescent="0.25"/>
    <row r="1311" s="3" customFormat="1" x14ac:dyDescent="0.25"/>
    <row r="1312" s="3" customFormat="1" x14ac:dyDescent="0.25"/>
    <row r="1313" s="3" customFormat="1" x14ac:dyDescent="0.25"/>
    <row r="1314" s="3" customFormat="1" x14ac:dyDescent="0.25"/>
    <row r="1315" s="3" customFormat="1" x14ac:dyDescent="0.25"/>
    <row r="1316" s="3" customFormat="1" x14ac:dyDescent="0.25"/>
    <row r="1317" s="3" customFormat="1" x14ac:dyDescent="0.25"/>
    <row r="1318" s="3" customFormat="1" x14ac:dyDescent="0.25"/>
    <row r="1319" s="3" customFormat="1" x14ac:dyDescent="0.25"/>
    <row r="1320" s="3" customFormat="1" x14ac:dyDescent="0.25"/>
    <row r="1321" s="3" customFormat="1" x14ac:dyDescent="0.25"/>
    <row r="1322" s="3" customFormat="1" x14ac:dyDescent="0.25"/>
    <row r="1323" s="3" customFormat="1" x14ac:dyDescent="0.25"/>
    <row r="1324" s="3" customFormat="1" x14ac:dyDescent="0.25"/>
    <row r="1325" s="3" customFormat="1" x14ac:dyDescent="0.25"/>
    <row r="1326" s="3" customFormat="1" x14ac:dyDescent="0.25"/>
    <row r="1327" s="3" customFormat="1" x14ac:dyDescent="0.25"/>
    <row r="1328" s="3" customFormat="1" x14ac:dyDescent="0.25"/>
    <row r="1329" s="3" customFormat="1" x14ac:dyDescent="0.25"/>
    <row r="1330" s="3" customFormat="1" x14ac:dyDescent="0.25"/>
    <row r="1331" s="3" customFormat="1" x14ac:dyDescent="0.25"/>
    <row r="1332" s="3" customFormat="1" x14ac:dyDescent="0.25"/>
    <row r="1333" s="3" customFormat="1" x14ac:dyDescent="0.25"/>
    <row r="1334" s="3" customFormat="1" x14ac:dyDescent="0.25"/>
    <row r="1335" s="3" customFormat="1" x14ac:dyDescent="0.25"/>
    <row r="1336" s="3" customFormat="1" x14ac:dyDescent="0.25"/>
    <row r="1337" s="3" customFormat="1" x14ac:dyDescent="0.25"/>
    <row r="1338" s="3" customFormat="1" x14ac:dyDescent="0.25"/>
    <row r="1339" s="3" customFormat="1" x14ac:dyDescent="0.25"/>
    <row r="1340" s="3" customFormat="1" x14ac:dyDescent="0.25"/>
    <row r="1341" s="3" customFormat="1" x14ac:dyDescent="0.25"/>
    <row r="1342" s="3" customFormat="1" x14ac:dyDescent="0.25"/>
    <row r="1343" s="3" customFormat="1" x14ac:dyDescent="0.25"/>
    <row r="1344" s="3" customFormat="1" x14ac:dyDescent="0.25"/>
    <row r="1345" s="3" customFormat="1" x14ac:dyDescent="0.25"/>
    <row r="1346" s="3" customFormat="1" x14ac:dyDescent="0.25"/>
    <row r="1347" s="3" customFormat="1" x14ac:dyDescent="0.25"/>
    <row r="1348" s="3" customFormat="1" x14ac:dyDescent="0.25"/>
    <row r="1349" s="3" customFormat="1" x14ac:dyDescent="0.25"/>
    <row r="1350" s="3" customFormat="1" x14ac:dyDescent="0.25"/>
    <row r="1351" s="3" customFormat="1" x14ac:dyDescent="0.25"/>
    <row r="1352" s="3" customFormat="1" x14ac:dyDescent="0.25"/>
    <row r="1353" s="3" customFormat="1" x14ac:dyDescent="0.25"/>
    <row r="1354" s="3" customFormat="1" x14ac:dyDescent="0.25"/>
    <row r="1355" s="3" customFormat="1" x14ac:dyDescent="0.25"/>
    <row r="1356" s="3" customFormat="1" x14ac:dyDescent="0.25"/>
    <row r="1357" s="3" customFormat="1" x14ac:dyDescent="0.25"/>
    <row r="1358" s="3" customFormat="1" x14ac:dyDescent="0.25"/>
    <row r="1359" s="3" customFormat="1" x14ac:dyDescent="0.25"/>
    <row r="1360" s="3" customFormat="1" x14ac:dyDescent="0.25"/>
    <row r="1361" s="3" customFormat="1" x14ac:dyDescent="0.25"/>
    <row r="1362" s="3" customFormat="1" x14ac:dyDescent="0.25"/>
    <row r="1363" s="3" customFormat="1" x14ac:dyDescent="0.25"/>
    <row r="1364" s="3" customFormat="1" x14ac:dyDescent="0.25"/>
    <row r="1365" s="3" customFormat="1" x14ac:dyDescent="0.25"/>
    <row r="1366" s="3" customFormat="1" x14ac:dyDescent="0.25"/>
    <row r="1367" s="3" customFormat="1" x14ac:dyDescent="0.25"/>
    <row r="1368" s="3" customFormat="1" x14ac:dyDescent="0.25"/>
    <row r="1369" s="3" customFormat="1" x14ac:dyDescent="0.25"/>
    <row r="1370" s="3" customFormat="1" x14ac:dyDescent="0.25"/>
    <row r="1371" s="3" customFormat="1" x14ac:dyDescent="0.25"/>
    <row r="1372" s="3" customFormat="1" x14ac:dyDescent="0.25"/>
    <row r="1373" s="3" customFormat="1" x14ac:dyDescent="0.25"/>
    <row r="1374" s="3" customFormat="1" x14ac:dyDescent="0.25"/>
    <row r="1375" s="3" customFormat="1" x14ac:dyDescent="0.25"/>
    <row r="1376" s="3" customFormat="1" x14ac:dyDescent="0.25"/>
    <row r="1377" s="3" customFormat="1" x14ac:dyDescent="0.25"/>
    <row r="1378" s="3" customFormat="1" x14ac:dyDescent="0.25"/>
    <row r="1379" s="3" customFormat="1" x14ac:dyDescent="0.25"/>
    <row r="1380" s="3" customFormat="1" x14ac:dyDescent="0.25"/>
    <row r="1381" s="3" customFormat="1" x14ac:dyDescent="0.25"/>
    <row r="1382" s="3" customFormat="1" x14ac:dyDescent="0.25"/>
    <row r="1383" s="3" customFormat="1" x14ac:dyDescent="0.25"/>
    <row r="1384" s="3" customFormat="1" x14ac:dyDescent="0.25"/>
    <row r="1385" s="3" customFormat="1" x14ac:dyDescent="0.25"/>
    <row r="1386" s="3" customFormat="1" x14ac:dyDescent="0.25"/>
    <row r="1387" s="3" customFormat="1" x14ac:dyDescent="0.25"/>
    <row r="1388" s="3" customFormat="1" x14ac:dyDescent="0.25"/>
    <row r="1389" s="3" customFormat="1" x14ac:dyDescent="0.25"/>
    <row r="1390" s="3" customFormat="1" x14ac:dyDescent="0.25"/>
    <row r="1391" s="3" customFormat="1" x14ac:dyDescent="0.25"/>
    <row r="1392" s="3" customFormat="1" x14ac:dyDescent="0.25"/>
    <row r="1393" s="3" customFormat="1" x14ac:dyDescent="0.25"/>
    <row r="1394" s="3" customFormat="1" x14ac:dyDescent="0.25"/>
    <row r="1395" s="3" customFormat="1" x14ac:dyDescent="0.25"/>
    <row r="1396" s="3" customFormat="1" x14ac:dyDescent="0.25"/>
    <row r="1397" s="3" customFormat="1" x14ac:dyDescent="0.25"/>
    <row r="1398" s="3" customFormat="1" x14ac:dyDescent="0.25"/>
    <row r="1399" s="3" customFormat="1" x14ac:dyDescent="0.25"/>
    <row r="1400" s="3" customFormat="1" x14ac:dyDescent="0.25"/>
    <row r="1401" s="3" customFormat="1" x14ac:dyDescent="0.25"/>
    <row r="1402" s="3" customFormat="1" x14ac:dyDescent="0.25"/>
    <row r="1403" s="3" customFormat="1" x14ac:dyDescent="0.25"/>
    <row r="1404" s="3" customFormat="1" x14ac:dyDescent="0.25"/>
    <row r="1405" s="3" customFormat="1" x14ac:dyDescent="0.25"/>
    <row r="1406" s="3" customFormat="1" x14ac:dyDescent="0.25"/>
    <row r="1407" s="3" customFormat="1" x14ac:dyDescent="0.25"/>
    <row r="1408" s="3" customFormat="1" x14ac:dyDescent="0.25"/>
    <row r="1409" s="3" customFormat="1" x14ac:dyDescent="0.25"/>
    <row r="1410" s="3" customFormat="1" x14ac:dyDescent="0.25"/>
    <row r="1411" s="3" customFormat="1" x14ac:dyDescent="0.25"/>
    <row r="1412" s="3" customFormat="1" x14ac:dyDescent="0.25"/>
    <row r="1413" s="3" customFormat="1" x14ac:dyDescent="0.25"/>
    <row r="1414" s="3" customFormat="1" x14ac:dyDescent="0.25"/>
    <row r="1415" s="3" customFormat="1" x14ac:dyDescent="0.25"/>
    <row r="1416" s="3" customFormat="1" x14ac:dyDescent="0.25"/>
    <row r="1417" s="3" customFormat="1" x14ac:dyDescent="0.25"/>
    <row r="1418" s="3" customFormat="1" x14ac:dyDescent="0.25"/>
    <row r="1419" s="3" customFormat="1" x14ac:dyDescent="0.25"/>
    <row r="1420" s="3" customFormat="1" x14ac:dyDescent="0.25"/>
    <row r="1421" s="3" customFormat="1" x14ac:dyDescent="0.25"/>
    <row r="1422" s="3" customFormat="1" x14ac:dyDescent="0.25"/>
    <row r="1423" s="3" customFormat="1" x14ac:dyDescent="0.25"/>
    <row r="1424" s="3" customFormat="1" x14ac:dyDescent="0.25"/>
    <row r="1425" s="3" customFormat="1" x14ac:dyDescent="0.25"/>
    <row r="1426" s="3" customFormat="1" x14ac:dyDescent="0.25"/>
    <row r="1427" s="3" customFormat="1" x14ac:dyDescent="0.25"/>
    <row r="1428" s="3" customFormat="1" x14ac:dyDescent="0.25"/>
    <row r="1429" s="3" customFormat="1" x14ac:dyDescent="0.25"/>
    <row r="1430" s="3" customFormat="1" x14ac:dyDescent="0.25"/>
    <row r="1431" s="3" customFormat="1" x14ac:dyDescent="0.25"/>
    <row r="1432" s="3" customFormat="1" x14ac:dyDescent="0.25"/>
    <row r="1433" s="3" customFormat="1" x14ac:dyDescent="0.25"/>
    <row r="1434" s="3" customFormat="1" x14ac:dyDescent="0.25"/>
    <row r="1435" s="3" customFormat="1" x14ac:dyDescent="0.25"/>
    <row r="1436" s="3" customFormat="1" x14ac:dyDescent="0.25"/>
    <row r="1437" s="3" customFormat="1" x14ac:dyDescent="0.25"/>
    <row r="1438" s="3" customFormat="1" x14ac:dyDescent="0.25"/>
    <row r="1439" s="3" customFormat="1" x14ac:dyDescent="0.25"/>
    <row r="1440" s="3" customFormat="1" x14ac:dyDescent="0.25"/>
    <row r="1441" s="3" customFormat="1" x14ac:dyDescent="0.25"/>
    <row r="1442" s="3" customFormat="1" x14ac:dyDescent="0.25"/>
    <row r="1443" s="3" customFormat="1" x14ac:dyDescent="0.25"/>
    <row r="1444" s="3" customFormat="1" x14ac:dyDescent="0.25"/>
    <row r="1445" s="3" customFormat="1" x14ac:dyDescent="0.25"/>
    <row r="1446" s="3" customFormat="1" x14ac:dyDescent="0.25"/>
    <row r="1447" s="3" customFormat="1" x14ac:dyDescent="0.25"/>
    <row r="1448" s="3" customFormat="1" x14ac:dyDescent="0.25"/>
    <row r="1449" s="3" customFormat="1" x14ac:dyDescent="0.25"/>
    <row r="1450" s="3" customFormat="1" x14ac:dyDescent="0.25"/>
    <row r="1451" s="3" customFormat="1" x14ac:dyDescent="0.25"/>
    <row r="1452" s="3" customFormat="1" x14ac:dyDescent="0.25"/>
    <row r="1453" s="3" customFormat="1" x14ac:dyDescent="0.25"/>
    <row r="1454" s="3" customFormat="1" x14ac:dyDescent="0.25"/>
    <row r="1455" s="3" customFormat="1" x14ac:dyDescent="0.25"/>
    <row r="1456" s="3" customFormat="1" x14ac:dyDescent="0.25"/>
    <row r="1457" s="3" customFormat="1" x14ac:dyDescent="0.25"/>
    <row r="1458" s="3" customFormat="1" x14ac:dyDescent="0.25"/>
    <row r="1459" s="3" customFormat="1" x14ac:dyDescent="0.25"/>
    <row r="1460" s="3" customFormat="1" x14ac:dyDescent="0.25"/>
    <row r="1461" s="3" customFormat="1" x14ac:dyDescent="0.25"/>
    <row r="1462" s="3" customFormat="1" x14ac:dyDescent="0.25"/>
    <row r="1463" s="3" customFormat="1" x14ac:dyDescent="0.25"/>
    <row r="1464" s="3" customFormat="1" x14ac:dyDescent="0.25"/>
    <row r="1465" s="3" customFormat="1" x14ac:dyDescent="0.25"/>
    <row r="1466" s="3" customFormat="1" x14ac:dyDescent="0.25"/>
    <row r="1467" s="3" customFormat="1" x14ac:dyDescent="0.25"/>
    <row r="1468" s="3" customFormat="1" x14ac:dyDescent="0.25"/>
    <row r="1469" s="3" customFormat="1" x14ac:dyDescent="0.25"/>
    <row r="1470" s="3" customFormat="1" x14ac:dyDescent="0.25"/>
    <row r="1471" s="3" customFormat="1" x14ac:dyDescent="0.25"/>
    <row r="1472" s="3" customFormat="1" x14ac:dyDescent="0.25"/>
    <row r="1473" s="3" customFormat="1" x14ac:dyDescent="0.25"/>
    <row r="1474" s="3" customFormat="1" x14ac:dyDescent="0.25"/>
    <row r="1475" s="3" customFormat="1" x14ac:dyDescent="0.25"/>
    <row r="1476" s="3" customFormat="1" x14ac:dyDescent="0.25"/>
    <row r="1477" s="3" customFormat="1" x14ac:dyDescent="0.25"/>
    <row r="1478" s="3" customFormat="1" x14ac:dyDescent="0.25"/>
    <row r="1479" s="3" customFormat="1" x14ac:dyDescent="0.25"/>
    <row r="1480" s="3" customFormat="1" x14ac:dyDescent="0.25"/>
    <row r="1481" s="3" customFormat="1" x14ac:dyDescent="0.25"/>
    <row r="1482" s="3" customFormat="1" x14ac:dyDescent="0.25"/>
    <row r="1483" s="3" customFormat="1" x14ac:dyDescent="0.25"/>
    <row r="1484" s="3" customFormat="1" x14ac:dyDescent="0.25"/>
    <row r="1485" s="3" customFormat="1" x14ac:dyDescent="0.25"/>
    <row r="1486" s="3" customFormat="1" x14ac:dyDescent="0.25"/>
    <row r="1487" s="3" customFormat="1" x14ac:dyDescent="0.25"/>
    <row r="1488" s="3" customFormat="1" x14ac:dyDescent="0.25"/>
    <row r="1489" s="3" customFormat="1" x14ac:dyDescent="0.25"/>
    <row r="1490" s="3" customFormat="1" x14ac:dyDescent="0.25"/>
    <row r="1491" s="3" customFormat="1" x14ac:dyDescent="0.25"/>
    <row r="1492" s="3" customFormat="1" x14ac:dyDescent="0.25"/>
    <row r="1493" s="3" customFormat="1" x14ac:dyDescent="0.25"/>
    <row r="1494" s="3" customFormat="1" x14ac:dyDescent="0.25"/>
    <row r="1495" s="3" customFormat="1" x14ac:dyDescent="0.25"/>
    <row r="1496" s="3" customFormat="1" x14ac:dyDescent="0.25"/>
    <row r="1497" s="3" customFormat="1" x14ac:dyDescent="0.25"/>
    <row r="1498" s="3" customFormat="1" x14ac:dyDescent="0.25"/>
    <row r="1499" s="3" customFormat="1" x14ac:dyDescent="0.25"/>
    <row r="1500" s="3" customFormat="1" x14ac:dyDescent="0.25"/>
    <row r="1501" s="3" customFormat="1" x14ac:dyDescent="0.25"/>
    <row r="1502" s="3" customFormat="1" x14ac:dyDescent="0.25"/>
    <row r="1503" s="3" customFormat="1" x14ac:dyDescent="0.25"/>
    <row r="1504" s="3" customFormat="1" x14ac:dyDescent="0.25"/>
    <row r="1505" s="3" customFormat="1" x14ac:dyDescent="0.25"/>
    <row r="1506" s="3" customFormat="1" x14ac:dyDescent="0.25"/>
    <row r="1507" s="3" customFormat="1" x14ac:dyDescent="0.25"/>
    <row r="1508" s="3" customFormat="1" x14ac:dyDescent="0.25"/>
    <row r="1509" s="3" customFormat="1" x14ac:dyDescent="0.25"/>
    <row r="1510" s="3" customFormat="1" x14ac:dyDescent="0.25"/>
    <row r="1511" s="3" customFormat="1" x14ac:dyDescent="0.25"/>
    <row r="1512" s="3" customFormat="1" x14ac:dyDescent="0.25"/>
    <row r="1513" s="3" customFormat="1" x14ac:dyDescent="0.25"/>
    <row r="1514" s="3" customFormat="1" x14ac:dyDescent="0.25"/>
    <row r="1515" s="3" customFormat="1" x14ac:dyDescent="0.25"/>
    <row r="1516" s="3" customFormat="1" x14ac:dyDescent="0.25"/>
    <row r="1517" s="3" customFormat="1" x14ac:dyDescent="0.25"/>
    <row r="1518" s="3" customFormat="1" x14ac:dyDescent="0.25"/>
    <row r="1519" s="3" customFormat="1" x14ac:dyDescent="0.25"/>
    <row r="1520" s="3" customFormat="1" x14ac:dyDescent="0.25"/>
    <row r="1521" s="3" customFormat="1" x14ac:dyDescent="0.25"/>
    <row r="1522" s="3" customFormat="1" x14ac:dyDescent="0.25"/>
    <row r="1523" s="3" customFormat="1" x14ac:dyDescent="0.25"/>
    <row r="1524" s="3" customFormat="1" x14ac:dyDescent="0.25"/>
    <row r="1525" s="3" customFormat="1" x14ac:dyDescent="0.25"/>
    <row r="1526" s="3" customFormat="1" x14ac:dyDescent="0.25"/>
    <row r="1527" s="3" customFormat="1" x14ac:dyDescent="0.25"/>
    <row r="1528" s="3" customFormat="1" x14ac:dyDescent="0.25"/>
    <row r="1529" s="3" customFormat="1" x14ac:dyDescent="0.25"/>
    <row r="1530" s="3" customFormat="1" x14ac:dyDescent="0.25"/>
    <row r="1531" s="3" customFormat="1" x14ac:dyDescent="0.25"/>
    <row r="1532" s="3" customFormat="1" x14ac:dyDescent="0.25"/>
    <row r="1533" s="3" customFormat="1" x14ac:dyDescent="0.25"/>
    <row r="1534" s="3" customFormat="1" x14ac:dyDescent="0.25"/>
    <row r="1535" s="3" customFormat="1" x14ac:dyDescent="0.25"/>
    <row r="1536" s="3" customFormat="1" x14ac:dyDescent="0.25"/>
    <row r="1537" s="3" customFormat="1" x14ac:dyDescent="0.25"/>
    <row r="1538" s="3" customFormat="1" x14ac:dyDescent="0.25"/>
    <row r="1539" s="3" customFormat="1" x14ac:dyDescent="0.25"/>
    <row r="1540" s="3" customFormat="1" x14ac:dyDescent="0.25"/>
    <row r="1541" s="3" customFormat="1" x14ac:dyDescent="0.25"/>
    <row r="1542" s="3" customFormat="1" x14ac:dyDescent="0.25"/>
    <row r="1543" s="3" customFormat="1" x14ac:dyDescent="0.25"/>
    <row r="1544" s="3" customFormat="1" x14ac:dyDescent="0.25"/>
    <row r="1545" s="3" customFormat="1" x14ac:dyDescent="0.25"/>
    <row r="1546" s="3" customFormat="1" x14ac:dyDescent="0.25"/>
    <row r="1547" s="3" customFormat="1" x14ac:dyDescent="0.25"/>
    <row r="1548" s="3" customFormat="1" x14ac:dyDescent="0.25"/>
    <row r="1549" s="3" customFormat="1" x14ac:dyDescent="0.25"/>
    <row r="1550" s="3" customFormat="1" x14ac:dyDescent="0.25"/>
    <row r="1551" s="3" customFormat="1" x14ac:dyDescent="0.25"/>
    <row r="1552" s="3" customFormat="1" x14ac:dyDescent="0.25"/>
    <row r="1553" s="3" customFormat="1" x14ac:dyDescent="0.25"/>
    <row r="1554" s="3" customFormat="1" x14ac:dyDescent="0.25"/>
    <row r="1555" s="3" customFormat="1" x14ac:dyDescent="0.25"/>
    <row r="1556" s="3" customFormat="1" x14ac:dyDescent="0.25"/>
    <row r="1557" s="3" customFormat="1" x14ac:dyDescent="0.25"/>
    <row r="1558" s="3" customFormat="1" x14ac:dyDescent="0.25"/>
    <row r="1559" s="3" customFormat="1" x14ac:dyDescent="0.25"/>
    <row r="1560" s="3" customFormat="1" x14ac:dyDescent="0.25"/>
    <row r="1561" s="3" customFormat="1" x14ac:dyDescent="0.25"/>
    <row r="1562" s="3" customFormat="1" x14ac:dyDescent="0.25"/>
    <row r="1563" s="3" customFormat="1" x14ac:dyDescent="0.25"/>
    <row r="1564" s="3" customFormat="1" x14ac:dyDescent="0.25"/>
    <row r="1565" s="3" customFormat="1" x14ac:dyDescent="0.25"/>
    <row r="1566" s="3" customFormat="1" x14ac:dyDescent="0.25"/>
    <row r="1567" s="3" customFormat="1" x14ac:dyDescent="0.25"/>
    <row r="1568" s="3" customFormat="1" x14ac:dyDescent="0.25"/>
    <row r="1569" s="3" customFormat="1" x14ac:dyDescent="0.25"/>
    <row r="1570" s="3" customFormat="1" x14ac:dyDescent="0.25"/>
    <row r="1571" s="3" customFormat="1" x14ac:dyDescent="0.25"/>
    <row r="1572" s="3" customFormat="1" x14ac:dyDescent="0.25"/>
    <row r="1573" s="3" customFormat="1" x14ac:dyDescent="0.25"/>
    <row r="1574" s="3" customFormat="1" x14ac:dyDescent="0.25"/>
    <row r="1575" s="3" customFormat="1" x14ac:dyDescent="0.25"/>
    <row r="1576" s="3" customFormat="1" x14ac:dyDescent="0.25"/>
    <row r="1577" s="3" customFormat="1" x14ac:dyDescent="0.25"/>
    <row r="1578" s="3" customFormat="1" x14ac:dyDescent="0.25"/>
    <row r="1579" s="3" customFormat="1" x14ac:dyDescent="0.25"/>
    <row r="1580" s="3" customFormat="1" x14ac:dyDescent="0.25"/>
    <row r="1581" s="3" customFormat="1" x14ac:dyDescent="0.25"/>
    <row r="1582" s="3" customFormat="1" x14ac:dyDescent="0.25"/>
    <row r="1583" s="3" customFormat="1" x14ac:dyDescent="0.25"/>
    <row r="1584" s="3" customFormat="1" x14ac:dyDescent="0.25"/>
    <row r="1585" s="3" customFormat="1" x14ac:dyDescent="0.25"/>
    <row r="1586" s="3" customFormat="1" x14ac:dyDescent="0.25"/>
    <row r="1587" s="3" customFormat="1" x14ac:dyDescent="0.25"/>
    <row r="1588" s="3" customFormat="1" x14ac:dyDescent="0.25"/>
    <row r="1589" s="3" customFormat="1" x14ac:dyDescent="0.25"/>
    <row r="1590" s="3" customFormat="1" x14ac:dyDescent="0.25"/>
    <row r="1591" s="3" customFormat="1" x14ac:dyDescent="0.25"/>
    <row r="1592" s="3" customFormat="1" x14ac:dyDescent="0.25"/>
    <row r="1593" s="3" customFormat="1" x14ac:dyDescent="0.25"/>
    <row r="1594" s="3" customFormat="1" x14ac:dyDescent="0.25"/>
    <row r="1595" s="3" customFormat="1" x14ac:dyDescent="0.25"/>
    <row r="1596" s="3" customFormat="1" x14ac:dyDescent="0.25"/>
    <row r="1597" s="3" customFormat="1" x14ac:dyDescent="0.25"/>
    <row r="1598" s="3" customFormat="1" x14ac:dyDescent="0.25"/>
    <row r="1599" s="3" customFormat="1" x14ac:dyDescent="0.25"/>
    <row r="1600" s="3" customFormat="1" x14ac:dyDescent="0.25"/>
    <row r="1601" s="3" customFormat="1" x14ac:dyDescent="0.25"/>
    <row r="1602" s="3" customFormat="1" x14ac:dyDescent="0.25"/>
    <row r="1603" s="3" customFormat="1" x14ac:dyDescent="0.25"/>
    <row r="1604" s="3" customFormat="1" x14ac:dyDescent="0.25"/>
    <row r="1605" s="3" customFormat="1" x14ac:dyDescent="0.25"/>
    <row r="1606" s="3" customFormat="1" x14ac:dyDescent="0.25"/>
    <row r="1607" s="3" customFormat="1" x14ac:dyDescent="0.25"/>
    <row r="1608" s="3" customFormat="1" x14ac:dyDescent="0.25"/>
    <row r="1609" s="3" customFormat="1" x14ac:dyDescent="0.25"/>
    <row r="1610" s="3" customFormat="1" x14ac:dyDescent="0.25"/>
    <row r="1611" s="3" customFormat="1" x14ac:dyDescent="0.25"/>
    <row r="1612" s="3" customFormat="1" x14ac:dyDescent="0.25"/>
    <row r="1613" s="3" customFormat="1" x14ac:dyDescent="0.25"/>
    <row r="1614" s="3" customFormat="1" x14ac:dyDescent="0.25"/>
    <row r="1615" s="3" customFormat="1" x14ac:dyDescent="0.25"/>
    <row r="1616" s="3" customFormat="1" x14ac:dyDescent="0.25"/>
    <row r="1617" s="3" customFormat="1" x14ac:dyDescent="0.25"/>
    <row r="1618" s="3" customFormat="1" x14ac:dyDescent="0.25"/>
    <row r="1619" s="3" customFormat="1" x14ac:dyDescent="0.25"/>
    <row r="1620" s="3" customFormat="1" x14ac:dyDescent="0.25"/>
    <row r="1621" s="3" customFormat="1" x14ac:dyDescent="0.25"/>
    <row r="1622" s="3" customFormat="1" x14ac:dyDescent="0.25"/>
    <row r="1623" s="3" customFormat="1" x14ac:dyDescent="0.25"/>
    <row r="1624" s="3" customFormat="1" x14ac:dyDescent="0.25"/>
    <row r="1625" s="3" customFormat="1" x14ac:dyDescent="0.25"/>
    <row r="1626" s="3" customFormat="1" x14ac:dyDescent="0.25"/>
    <row r="1627" s="3" customFormat="1" x14ac:dyDescent="0.25"/>
    <row r="1628" s="3" customFormat="1" x14ac:dyDescent="0.25"/>
    <row r="1629" s="3" customFormat="1" x14ac:dyDescent="0.25"/>
    <row r="1630" s="3" customFormat="1" x14ac:dyDescent="0.25"/>
    <row r="1631" s="3" customFormat="1" x14ac:dyDescent="0.25"/>
    <row r="1632" s="3" customFormat="1" x14ac:dyDescent="0.25"/>
    <row r="1633" s="3" customFormat="1" x14ac:dyDescent="0.25"/>
    <row r="1634" s="3" customFormat="1" x14ac:dyDescent="0.25"/>
    <row r="1635" s="3" customFormat="1" x14ac:dyDescent="0.25"/>
    <row r="1636" s="3" customFormat="1" x14ac:dyDescent="0.25"/>
    <row r="1637" s="3" customFormat="1" x14ac:dyDescent="0.25"/>
    <row r="1638" s="3" customFormat="1" x14ac:dyDescent="0.25"/>
    <row r="1639" s="3" customFormat="1" x14ac:dyDescent="0.25"/>
    <row r="1640" s="3" customFormat="1" x14ac:dyDescent="0.25"/>
    <row r="1641" s="3" customFormat="1" x14ac:dyDescent="0.25"/>
    <row r="1642" s="3" customFormat="1" x14ac:dyDescent="0.25"/>
    <row r="1643" s="3" customFormat="1" x14ac:dyDescent="0.25"/>
    <row r="1644" s="3" customFormat="1" x14ac:dyDescent="0.25"/>
    <row r="1645" s="3" customFormat="1" x14ac:dyDescent="0.25"/>
    <row r="1646" s="3" customFormat="1" x14ac:dyDescent="0.25"/>
    <row r="1647" s="3" customFormat="1" x14ac:dyDescent="0.25"/>
    <row r="1648" s="3" customFormat="1" x14ac:dyDescent="0.25"/>
    <row r="1649" s="3" customFormat="1" x14ac:dyDescent="0.25"/>
    <row r="1650" s="3" customFormat="1" x14ac:dyDescent="0.25"/>
    <row r="1651" s="3" customFormat="1" x14ac:dyDescent="0.25"/>
    <row r="1652" s="3" customFormat="1" x14ac:dyDescent="0.25"/>
    <row r="1653" s="3" customFormat="1" x14ac:dyDescent="0.25"/>
    <row r="1654" s="3" customFormat="1" x14ac:dyDescent="0.25"/>
    <row r="1655" s="3" customFormat="1" x14ac:dyDescent="0.25"/>
    <row r="1656" s="3" customFormat="1" x14ac:dyDescent="0.25"/>
    <row r="1657" s="3" customFormat="1" x14ac:dyDescent="0.25"/>
    <row r="1658" s="3" customFormat="1" x14ac:dyDescent="0.25"/>
    <row r="1659" s="3" customFormat="1" x14ac:dyDescent="0.25"/>
    <row r="1660" s="3" customFormat="1" x14ac:dyDescent="0.25"/>
    <row r="1661" s="3" customFormat="1" x14ac:dyDescent="0.25"/>
    <row r="1662" s="3" customFormat="1" x14ac:dyDescent="0.25"/>
    <row r="1663" s="3" customFormat="1" x14ac:dyDescent="0.25"/>
    <row r="1664" s="3" customFormat="1" x14ac:dyDescent="0.25"/>
    <row r="1665" s="3" customFormat="1" x14ac:dyDescent="0.25"/>
    <row r="1666" s="3" customFormat="1" x14ac:dyDescent="0.25"/>
    <row r="1667" s="3" customFormat="1" x14ac:dyDescent="0.25"/>
    <row r="1668" s="3" customFormat="1" x14ac:dyDescent="0.25"/>
    <row r="1669" s="3" customFormat="1" x14ac:dyDescent="0.25"/>
    <row r="1670" s="3" customFormat="1" x14ac:dyDescent="0.25"/>
    <row r="1671" s="3" customFormat="1" x14ac:dyDescent="0.25"/>
    <row r="1672" s="3" customFormat="1" x14ac:dyDescent="0.25"/>
    <row r="1673" s="3" customFormat="1" x14ac:dyDescent="0.25"/>
    <row r="1674" s="3" customFormat="1" x14ac:dyDescent="0.25"/>
    <row r="1675" s="3" customFormat="1" x14ac:dyDescent="0.25"/>
    <row r="1676" s="3" customFormat="1" x14ac:dyDescent="0.25"/>
    <row r="1677" s="3" customFormat="1" x14ac:dyDescent="0.25"/>
    <row r="1678" s="3" customFormat="1" x14ac:dyDescent="0.25"/>
    <row r="1679" s="3" customFormat="1" x14ac:dyDescent="0.25"/>
    <row r="1680" s="3" customFormat="1" x14ac:dyDescent="0.25"/>
    <row r="1681" s="3" customFormat="1" x14ac:dyDescent="0.25"/>
    <row r="1682" s="3" customFormat="1" x14ac:dyDescent="0.25"/>
    <row r="1683" s="3" customFormat="1" x14ac:dyDescent="0.25"/>
    <row r="1684" s="3" customFormat="1" x14ac:dyDescent="0.25"/>
    <row r="1685" s="3" customFormat="1" x14ac:dyDescent="0.25"/>
    <row r="1686" s="3" customFormat="1" x14ac:dyDescent="0.25"/>
    <row r="1687" s="3" customFormat="1" x14ac:dyDescent="0.25"/>
    <row r="1688" s="3" customFormat="1" x14ac:dyDescent="0.25"/>
    <row r="1689" s="3" customFormat="1" x14ac:dyDescent="0.25"/>
    <row r="1690" s="3" customFormat="1" x14ac:dyDescent="0.25"/>
    <row r="1691" s="3" customFormat="1" x14ac:dyDescent="0.25"/>
    <row r="1692" s="3" customFormat="1" x14ac:dyDescent="0.25"/>
    <row r="1693" s="3" customFormat="1" x14ac:dyDescent="0.25"/>
    <row r="1694" s="3" customFormat="1" x14ac:dyDescent="0.25"/>
    <row r="1695" s="3" customFormat="1" x14ac:dyDescent="0.25"/>
    <row r="1696" s="3" customFormat="1" x14ac:dyDescent="0.25"/>
    <row r="1697" s="3" customFormat="1" x14ac:dyDescent="0.25"/>
    <row r="1698" s="3" customFormat="1" x14ac:dyDescent="0.25"/>
    <row r="1699" s="3" customFormat="1" x14ac:dyDescent="0.25"/>
    <row r="1700" s="3" customFormat="1" x14ac:dyDescent="0.25"/>
    <row r="1701" s="3" customFormat="1" x14ac:dyDescent="0.25"/>
    <row r="1702" s="3" customFormat="1" x14ac:dyDescent="0.25"/>
    <row r="1703" s="3" customFormat="1" x14ac:dyDescent="0.25"/>
    <row r="1704" s="3" customFormat="1" x14ac:dyDescent="0.25"/>
    <row r="1705" s="3" customFormat="1" x14ac:dyDescent="0.25"/>
    <row r="1706" s="3" customFormat="1" x14ac:dyDescent="0.25"/>
    <row r="1707" s="3" customFormat="1" x14ac:dyDescent="0.25"/>
    <row r="1708" s="3" customFormat="1" x14ac:dyDescent="0.25"/>
    <row r="1709" s="3" customFormat="1" x14ac:dyDescent="0.25"/>
    <row r="1710" s="3" customFormat="1" x14ac:dyDescent="0.25"/>
    <row r="1711" s="3" customFormat="1" x14ac:dyDescent="0.25"/>
    <row r="1712" s="3" customFormat="1" x14ac:dyDescent="0.25"/>
    <row r="1713" s="3" customFormat="1" x14ac:dyDescent="0.25"/>
    <row r="1714" s="3" customFormat="1" x14ac:dyDescent="0.25"/>
    <row r="1715" s="3" customFormat="1" x14ac:dyDescent="0.25"/>
    <row r="1716" s="3" customFormat="1" x14ac:dyDescent="0.25"/>
    <row r="1717" s="3" customFormat="1" x14ac:dyDescent="0.25"/>
    <row r="1718" s="3" customFormat="1" x14ac:dyDescent="0.25"/>
    <row r="1719" s="3" customFormat="1" x14ac:dyDescent="0.25"/>
    <row r="1720" s="3" customFormat="1" x14ac:dyDescent="0.25"/>
    <row r="1721" s="3" customFormat="1" x14ac:dyDescent="0.25"/>
    <row r="1722" s="3" customFormat="1" x14ac:dyDescent="0.25"/>
    <row r="1723" s="3" customFormat="1" x14ac:dyDescent="0.25"/>
    <row r="1724" s="3" customFormat="1" x14ac:dyDescent="0.25"/>
    <row r="1725" s="3" customFormat="1" x14ac:dyDescent="0.25"/>
    <row r="1726" s="3" customFormat="1" x14ac:dyDescent="0.25"/>
    <row r="1727" s="3" customFormat="1" x14ac:dyDescent="0.25"/>
    <row r="1728" s="3" customFormat="1" x14ac:dyDescent="0.25"/>
    <row r="1729" s="3" customFormat="1" x14ac:dyDescent="0.25"/>
    <row r="1730" s="3" customFormat="1" x14ac:dyDescent="0.25"/>
    <row r="1731" s="3" customFormat="1" x14ac:dyDescent="0.25"/>
    <row r="1732" s="3" customFormat="1" x14ac:dyDescent="0.25"/>
    <row r="1733" s="3" customFormat="1" x14ac:dyDescent="0.25"/>
    <row r="1734" s="3" customFormat="1" x14ac:dyDescent="0.25"/>
    <row r="1735" s="3" customFormat="1" x14ac:dyDescent="0.25"/>
    <row r="1736" s="3" customFormat="1" x14ac:dyDescent="0.25"/>
    <row r="1737" s="3" customFormat="1" x14ac:dyDescent="0.25"/>
    <row r="1738" s="3" customFormat="1" x14ac:dyDescent="0.25"/>
    <row r="1739" s="3" customFormat="1" x14ac:dyDescent="0.25"/>
    <row r="1740" s="3" customFormat="1" x14ac:dyDescent="0.25"/>
    <row r="1741" s="3" customFormat="1" x14ac:dyDescent="0.25"/>
    <row r="1742" s="3" customFormat="1" x14ac:dyDescent="0.25"/>
    <row r="1743" s="3" customFormat="1" x14ac:dyDescent="0.25"/>
    <row r="1744" s="3" customFormat="1" x14ac:dyDescent="0.25"/>
    <row r="1745" s="3" customFormat="1" x14ac:dyDescent="0.25"/>
    <row r="1746" s="3" customFormat="1" x14ac:dyDescent="0.25"/>
    <row r="1747" s="3" customFormat="1" x14ac:dyDescent="0.25"/>
    <row r="1748" s="3" customFormat="1" x14ac:dyDescent="0.25"/>
    <row r="1749" s="3" customFormat="1" x14ac:dyDescent="0.25"/>
    <row r="1750" s="3" customFormat="1" x14ac:dyDescent="0.25"/>
    <row r="1751" s="3" customFormat="1" x14ac:dyDescent="0.25"/>
    <row r="1752" s="3" customFormat="1" x14ac:dyDescent="0.25"/>
    <row r="1753" s="3" customFormat="1" x14ac:dyDescent="0.25"/>
    <row r="1754" s="3" customFormat="1" x14ac:dyDescent="0.25"/>
    <row r="1755" s="3" customFormat="1" x14ac:dyDescent="0.25"/>
    <row r="1756" s="3" customFormat="1" x14ac:dyDescent="0.25"/>
    <row r="1757" s="3" customFormat="1" x14ac:dyDescent="0.25"/>
    <row r="1758" s="3" customFormat="1" x14ac:dyDescent="0.25"/>
    <row r="1759" s="3" customFormat="1" x14ac:dyDescent="0.25"/>
    <row r="1760" s="3" customFormat="1" x14ac:dyDescent="0.25"/>
    <row r="1761" s="3" customFormat="1" x14ac:dyDescent="0.25"/>
    <row r="1762" s="3" customFormat="1" x14ac:dyDescent="0.25"/>
    <row r="1763" s="3" customFormat="1" x14ac:dyDescent="0.25"/>
    <row r="1764" s="3" customFormat="1" x14ac:dyDescent="0.25"/>
    <row r="1765" s="3" customFormat="1" x14ac:dyDescent="0.25"/>
    <row r="1766" s="3" customFormat="1" x14ac:dyDescent="0.25"/>
    <row r="1767" s="3" customFormat="1" x14ac:dyDescent="0.25"/>
    <row r="1768" s="3" customFormat="1" x14ac:dyDescent="0.25"/>
    <row r="1769" s="3" customFormat="1" x14ac:dyDescent="0.25"/>
    <row r="1770" s="3" customFormat="1" x14ac:dyDescent="0.25"/>
    <row r="1771" s="3" customFormat="1" x14ac:dyDescent="0.25"/>
    <row r="1772" s="3" customFormat="1" x14ac:dyDescent="0.25"/>
    <row r="1773" s="3" customFormat="1" x14ac:dyDescent="0.25"/>
    <row r="1774" s="3" customFormat="1" x14ac:dyDescent="0.25"/>
    <row r="1775" s="3" customFormat="1" x14ac:dyDescent="0.25"/>
    <row r="1776" s="3" customFormat="1" x14ac:dyDescent="0.25"/>
    <row r="1777" s="3" customFormat="1" x14ac:dyDescent="0.25"/>
    <row r="1778" s="3" customFormat="1" x14ac:dyDescent="0.25"/>
    <row r="1779" s="3" customFormat="1" x14ac:dyDescent="0.25"/>
    <row r="1780" s="3" customFormat="1" x14ac:dyDescent="0.25"/>
    <row r="1781" s="3" customFormat="1" x14ac:dyDescent="0.25"/>
    <row r="1782" s="3" customFormat="1" x14ac:dyDescent="0.25"/>
    <row r="1783" s="3" customFormat="1" x14ac:dyDescent="0.25"/>
    <row r="1784" s="3" customFormat="1" x14ac:dyDescent="0.25"/>
    <row r="1785" s="3" customFormat="1" x14ac:dyDescent="0.25"/>
    <row r="1786" s="3" customFormat="1" x14ac:dyDescent="0.25"/>
    <row r="1787" s="3" customFormat="1" x14ac:dyDescent="0.25"/>
    <row r="1788" s="3" customFormat="1" x14ac:dyDescent="0.25"/>
    <row r="1789" s="3" customFormat="1" x14ac:dyDescent="0.25"/>
    <row r="1790" s="3" customFormat="1" x14ac:dyDescent="0.25"/>
    <row r="1791" s="3" customFormat="1" x14ac:dyDescent="0.25"/>
    <row r="1792" s="3" customFormat="1" x14ac:dyDescent="0.25"/>
    <row r="1793" s="3" customFormat="1" x14ac:dyDescent="0.25"/>
    <row r="1794" s="3" customFormat="1" x14ac:dyDescent="0.25"/>
    <row r="1795" s="3" customFormat="1" x14ac:dyDescent="0.25"/>
    <row r="1796" s="3" customFormat="1" x14ac:dyDescent="0.25"/>
    <row r="1797" s="3" customFormat="1" x14ac:dyDescent="0.25"/>
    <row r="1798" s="3" customFormat="1" x14ac:dyDescent="0.25"/>
    <row r="1799" s="3" customFormat="1" x14ac:dyDescent="0.25"/>
    <row r="1800" s="3" customFormat="1" x14ac:dyDescent="0.25"/>
    <row r="1801" s="3" customFormat="1" x14ac:dyDescent="0.25"/>
    <row r="1802" s="3" customFormat="1" x14ac:dyDescent="0.25"/>
    <row r="1803" s="3" customFormat="1" x14ac:dyDescent="0.25"/>
    <row r="1804" s="3" customFormat="1" x14ac:dyDescent="0.25"/>
    <row r="1805" s="3" customFormat="1" x14ac:dyDescent="0.25"/>
    <row r="1806" s="3" customFormat="1" x14ac:dyDescent="0.25"/>
    <row r="1807" s="3" customFormat="1" x14ac:dyDescent="0.25"/>
    <row r="1808" s="3" customFormat="1" x14ac:dyDescent="0.25"/>
    <row r="1809" s="3" customFormat="1" x14ac:dyDescent="0.25"/>
    <row r="1810" s="3" customFormat="1" x14ac:dyDescent="0.25"/>
    <row r="1811" s="3" customFormat="1" x14ac:dyDescent="0.25"/>
    <row r="1812" s="3" customFormat="1" x14ac:dyDescent="0.25"/>
    <row r="1813" s="3" customFormat="1" x14ac:dyDescent="0.25"/>
    <row r="1814" s="3" customFormat="1" x14ac:dyDescent="0.25"/>
    <row r="1815" s="3" customFormat="1" x14ac:dyDescent="0.25"/>
    <row r="1816" s="3" customFormat="1" x14ac:dyDescent="0.25"/>
    <row r="1817" s="3" customFormat="1" x14ac:dyDescent="0.25"/>
    <row r="1818" s="3" customFormat="1" x14ac:dyDescent="0.25"/>
    <row r="1819" s="3" customFormat="1" x14ac:dyDescent="0.25"/>
    <row r="1820" s="3" customFormat="1" x14ac:dyDescent="0.25"/>
    <row r="1821" s="3" customFormat="1" x14ac:dyDescent="0.25"/>
    <row r="1822" s="3" customFormat="1" x14ac:dyDescent="0.25"/>
    <row r="1823" s="3" customFormat="1" x14ac:dyDescent="0.25"/>
    <row r="1824" s="3" customFormat="1" x14ac:dyDescent="0.25"/>
    <row r="1825" s="3" customFormat="1" x14ac:dyDescent="0.25"/>
    <row r="1826" s="3" customFormat="1" x14ac:dyDescent="0.25"/>
    <row r="1827" s="3" customFormat="1" x14ac:dyDescent="0.25"/>
    <row r="1828" s="3" customFormat="1" x14ac:dyDescent="0.25"/>
    <row r="1829" s="3" customFormat="1" x14ac:dyDescent="0.25"/>
    <row r="1830" s="3" customFormat="1" x14ac:dyDescent="0.25"/>
    <row r="1831" s="3" customFormat="1" x14ac:dyDescent="0.25"/>
    <row r="1832" s="3" customFormat="1" x14ac:dyDescent="0.25"/>
    <row r="1833" s="3" customFormat="1" x14ac:dyDescent="0.25"/>
    <row r="1834" s="3" customFormat="1" x14ac:dyDescent="0.25"/>
    <row r="1835" s="3" customFormat="1" x14ac:dyDescent="0.25"/>
    <row r="1836" s="3" customFormat="1" x14ac:dyDescent="0.25"/>
    <row r="1837" s="3" customFormat="1" x14ac:dyDescent="0.25"/>
    <row r="1838" s="3" customFormat="1" x14ac:dyDescent="0.25"/>
    <row r="1839" s="3" customFormat="1" x14ac:dyDescent="0.25"/>
    <row r="1840" s="3" customFormat="1" x14ac:dyDescent="0.25"/>
    <row r="1841" s="3" customFormat="1" x14ac:dyDescent="0.25"/>
    <row r="1842" s="3" customFormat="1" x14ac:dyDescent="0.25"/>
    <row r="1843" s="3" customFormat="1" x14ac:dyDescent="0.25"/>
    <row r="1844" s="3" customFormat="1" x14ac:dyDescent="0.25"/>
    <row r="1845" s="3" customFormat="1" x14ac:dyDescent="0.25"/>
    <row r="1846" s="3" customFormat="1" x14ac:dyDescent="0.25"/>
    <row r="1847" s="3" customFormat="1" x14ac:dyDescent="0.25"/>
    <row r="1848" s="3" customFormat="1" x14ac:dyDescent="0.25"/>
    <row r="1849" s="3" customFormat="1" x14ac:dyDescent="0.25"/>
    <row r="1850" s="3" customFormat="1" x14ac:dyDescent="0.25"/>
    <row r="1851" s="3" customFormat="1" x14ac:dyDescent="0.25"/>
    <row r="1852" s="3" customFormat="1" x14ac:dyDescent="0.25"/>
    <row r="1853" s="3" customFormat="1" x14ac:dyDescent="0.25"/>
    <row r="1854" s="3" customFormat="1" x14ac:dyDescent="0.25"/>
    <row r="1855" s="3" customFormat="1" x14ac:dyDescent="0.25"/>
    <row r="1856" s="3" customFormat="1" x14ac:dyDescent="0.25"/>
    <row r="1857" s="3" customFormat="1" x14ac:dyDescent="0.25"/>
    <row r="1858" s="3" customFormat="1" x14ac:dyDescent="0.25"/>
    <row r="1859" s="3" customFormat="1" x14ac:dyDescent="0.25"/>
    <row r="1860" s="3" customFormat="1" x14ac:dyDescent="0.25"/>
    <row r="1861" s="3" customFormat="1" x14ac:dyDescent="0.25"/>
    <row r="1862" s="3" customFormat="1" x14ac:dyDescent="0.25"/>
    <row r="1863" s="3" customFormat="1" x14ac:dyDescent="0.25"/>
    <row r="1864" s="3" customFormat="1" x14ac:dyDescent="0.25"/>
    <row r="1865" s="3" customFormat="1" x14ac:dyDescent="0.25"/>
    <row r="1866" s="3" customFormat="1" x14ac:dyDescent="0.25"/>
    <row r="1867" s="3" customFormat="1" x14ac:dyDescent="0.25"/>
    <row r="1868" s="3" customFormat="1" x14ac:dyDescent="0.25"/>
    <row r="1869" s="3" customFormat="1" x14ac:dyDescent="0.25"/>
    <row r="1870" s="3" customFormat="1" x14ac:dyDescent="0.25"/>
    <row r="1871" s="3" customFormat="1" x14ac:dyDescent="0.25"/>
    <row r="1872" s="3" customFormat="1" x14ac:dyDescent="0.25"/>
    <row r="1873" s="3" customFormat="1" x14ac:dyDescent="0.25"/>
    <row r="1874" s="3" customFormat="1" x14ac:dyDescent="0.25"/>
    <row r="1875" s="3" customFormat="1" x14ac:dyDescent="0.25"/>
    <row r="1876" s="3" customFormat="1" x14ac:dyDescent="0.25"/>
    <row r="1877" s="3" customFormat="1" x14ac:dyDescent="0.25"/>
    <row r="1878" s="3" customFormat="1" x14ac:dyDescent="0.25"/>
    <row r="1879" s="3" customFormat="1" x14ac:dyDescent="0.25"/>
    <row r="1880" s="3" customFormat="1" x14ac:dyDescent="0.25"/>
    <row r="1881" s="3" customFormat="1" x14ac:dyDescent="0.25"/>
    <row r="1882" s="3" customFormat="1" x14ac:dyDescent="0.25"/>
    <row r="1883" s="3" customFormat="1" x14ac:dyDescent="0.25"/>
    <row r="1884" s="3" customFormat="1" x14ac:dyDescent="0.25"/>
    <row r="1885" s="3" customFormat="1" x14ac:dyDescent="0.25"/>
    <row r="1886" s="3" customFormat="1" x14ac:dyDescent="0.25"/>
    <row r="1887" s="3" customFormat="1" x14ac:dyDescent="0.25"/>
    <row r="1888" s="3" customFormat="1" x14ac:dyDescent="0.25"/>
    <row r="1889" s="3" customFormat="1" x14ac:dyDescent="0.25"/>
    <row r="1890" s="3" customFormat="1" x14ac:dyDescent="0.25"/>
    <row r="1891" s="3" customFormat="1" x14ac:dyDescent="0.25"/>
    <row r="1892" s="3" customFormat="1" x14ac:dyDescent="0.25"/>
    <row r="1893" s="3" customFormat="1" x14ac:dyDescent="0.25"/>
    <row r="1894" s="3" customFormat="1" x14ac:dyDescent="0.25"/>
    <row r="1895" s="3" customFormat="1" x14ac:dyDescent="0.25"/>
    <row r="1896" s="3" customFormat="1" x14ac:dyDescent="0.25"/>
    <row r="1897" s="3" customFormat="1" x14ac:dyDescent="0.25"/>
    <row r="1898" s="3" customFormat="1" x14ac:dyDescent="0.25"/>
    <row r="1899" s="3" customFormat="1" x14ac:dyDescent="0.25"/>
    <row r="1900" s="3" customFormat="1" x14ac:dyDescent="0.25"/>
    <row r="1901" s="3" customFormat="1" x14ac:dyDescent="0.25"/>
    <row r="1902" s="3" customFormat="1" x14ac:dyDescent="0.25"/>
    <row r="1903" s="3" customFormat="1" x14ac:dyDescent="0.25"/>
    <row r="1904" s="3" customFormat="1" x14ac:dyDescent="0.25"/>
    <row r="1905" s="3" customFormat="1" x14ac:dyDescent="0.25"/>
    <row r="1906" s="3" customFormat="1" x14ac:dyDescent="0.25"/>
    <row r="1907" s="3" customFormat="1" x14ac:dyDescent="0.25"/>
    <row r="1908" s="3" customFormat="1" x14ac:dyDescent="0.25"/>
    <row r="1909" s="3" customFormat="1" x14ac:dyDescent="0.25"/>
    <row r="1910" s="3" customFormat="1" x14ac:dyDescent="0.25"/>
    <row r="1911" s="3" customFormat="1" x14ac:dyDescent="0.25"/>
    <row r="1912" s="3" customFormat="1" x14ac:dyDescent="0.25"/>
    <row r="1913" s="3" customFormat="1" x14ac:dyDescent="0.25"/>
    <row r="1914" s="3" customFormat="1" x14ac:dyDescent="0.25"/>
    <row r="1915" s="3" customFormat="1" x14ac:dyDescent="0.25"/>
    <row r="1916" s="3" customFormat="1" x14ac:dyDescent="0.25"/>
    <row r="1917" s="3" customFormat="1" x14ac:dyDescent="0.25"/>
    <row r="1918" s="3" customFormat="1" x14ac:dyDescent="0.25"/>
    <row r="1919" s="3" customFormat="1" x14ac:dyDescent="0.25"/>
    <row r="1920" s="3" customFormat="1" x14ac:dyDescent="0.25"/>
    <row r="1921" s="3" customFormat="1" x14ac:dyDescent="0.25"/>
    <row r="1922" s="3" customFormat="1" x14ac:dyDescent="0.25"/>
    <row r="1923" s="3" customFormat="1" x14ac:dyDescent="0.25"/>
    <row r="1924" s="3" customFormat="1" x14ac:dyDescent="0.25"/>
    <row r="1925" s="3" customFormat="1" x14ac:dyDescent="0.25"/>
    <row r="1926" s="3" customFormat="1" x14ac:dyDescent="0.25"/>
    <row r="1927" s="3" customFormat="1" x14ac:dyDescent="0.25"/>
    <row r="1928" s="3" customFormat="1" x14ac:dyDescent="0.25"/>
    <row r="1929" s="3" customFormat="1" x14ac:dyDescent="0.25"/>
    <row r="1930" s="3" customFormat="1" x14ac:dyDescent="0.25"/>
    <row r="1931" s="3" customFormat="1" x14ac:dyDescent="0.25"/>
    <row r="1932" s="3" customFormat="1" x14ac:dyDescent="0.25"/>
    <row r="1933" s="3" customFormat="1" x14ac:dyDescent="0.25"/>
    <row r="1934" s="3" customFormat="1" x14ac:dyDescent="0.25"/>
    <row r="1935" s="3" customFormat="1" x14ac:dyDescent="0.25"/>
    <row r="1936" s="3" customFormat="1" x14ac:dyDescent="0.25"/>
    <row r="1937" s="3" customFormat="1" x14ac:dyDescent="0.25"/>
    <row r="1938" s="3" customFormat="1" x14ac:dyDescent="0.25"/>
    <row r="1939" s="3" customFormat="1" x14ac:dyDescent="0.25"/>
    <row r="1940" s="3" customFormat="1" x14ac:dyDescent="0.25"/>
    <row r="1941" s="3" customFormat="1" x14ac:dyDescent="0.25"/>
    <row r="1942" s="3" customFormat="1" x14ac:dyDescent="0.25"/>
    <row r="1943" s="3" customFormat="1" x14ac:dyDescent="0.25"/>
    <row r="1944" s="3" customFormat="1" x14ac:dyDescent="0.25"/>
    <row r="1945" s="3" customFormat="1" x14ac:dyDescent="0.25"/>
    <row r="1946" s="3" customFormat="1" x14ac:dyDescent="0.25"/>
    <row r="1947" s="3" customFormat="1" x14ac:dyDescent="0.25"/>
    <row r="1948" s="3" customFormat="1" x14ac:dyDescent="0.25"/>
    <row r="1949" s="3" customFormat="1" x14ac:dyDescent="0.25"/>
    <row r="1950" s="3" customFormat="1" x14ac:dyDescent="0.25"/>
    <row r="1951" s="3" customFormat="1" x14ac:dyDescent="0.25"/>
    <row r="1952" s="3" customFormat="1" x14ac:dyDescent="0.25"/>
    <row r="1953" s="3" customFormat="1" x14ac:dyDescent="0.25"/>
    <row r="1954" s="3" customFormat="1" x14ac:dyDescent="0.25"/>
    <row r="1955" s="3" customFormat="1" x14ac:dyDescent="0.25"/>
    <row r="1956" s="3" customFormat="1" x14ac:dyDescent="0.25"/>
    <row r="1957" s="3" customFormat="1" x14ac:dyDescent="0.25"/>
    <row r="1958" s="3" customFormat="1" x14ac:dyDescent="0.25"/>
    <row r="1959" s="3" customFormat="1" x14ac:dyDescent="0.25"/>
    <row r="1960" s="3" customFormat="1" x14ac:dyDescent="0.25"/>
    <row r="1961" s="3" customFormat="1" x14ac:dyDescent="0.25"/>
    <row r="1962" s="3" customFormat="1" x14ac:dyDescent="0.25"/>
    <row r="1963" s="3" customFormat="1" x14ac:dyDescent="0.25"/>
    <row r="1964" s="3" customFormat="1" x14ac:dyDescent="0.25"/>
    <row r="1965" s="3" customFormat="1" x14ac:dyDescent="0.25"/>
    <row r="1966" s="3" customFormat="1" x14ac:dyDescent="0.25"/>
    <row r="1967" s="3" customFormat="1" x14ac:dyDescent="0.25"/>
    <row r="1968" s="3" customFormat="1" x14ac:dyDescent="0.25"/>
    <row r="1969" s="3" customFormat="1" x14ac:dyDescent="0.25"/>
    <row r="1970" s="3" customFormat="1" x14ac:dyDescent="0.25"/>
    <row r="1971" s="3" customFormat="1" x14ac:dyDescent="0.25"/>
    <row r="1972" s="3" customFormat="1" x14ac:dyDescent="0.25"/>
    <row r="1973" s="3" customFormat="1" x14ac:dyDescent="0.25"/>
    <row r="1974" s="3" customFormat="1" x14ac:dyDescent="0.25"/>
    <row r="1975" s="3" customFormat="1" x14ac:dyDescent="0.25"/>
    <row r="1976" s="3" customFormat="1" x14ac:dyDescent="0.25"/>
    <row r="1977" s="3" customFormat="1" x14ac:dyDescent="0.25"/>
    <row r="1978" s="3" customFormat="1" x14ac:dyDescent="0.25"/>
    <row r="1979" s="3" customFormat="1" x14ac:dyDescent="0.25"/>
    <row r="1980" s="3" customFormat="1" x14ac:dyDescent="0.25"/>
    <row r="1981" s="3" customFormat="1" x14ac:dyDescent="0.25"/>
    <row r="1982" s="3" customFormat="1" x14ac:dyDescent="0.25"/>
    <row r="1983" s="3" customFormat="1" x14ac:dyDescent="0.25"/>
    <row r="1984" s="3" customFormat="1" x14ac:dyDescent="0.25"/>
    <row r="1985" s="3" customFormat="1" x14ac:dyDescent="0.25"/>
    <row r="1986" s="3" customFormat="1" x14ac:dyDescent="0.25"/>
    <row r="1987" s="3" customFormat="1" x14ac:dyDescent="0.25"/>
    <row r="1988" s="3" customFormat="1" x14ac:dyDescent="0.25"/>
    <row r="1989" s="3" customFormat="1" x14ac:dyDescent="0.25"/>
    <row r="1990" s="3" customFormat="1" x14ac:dyDescent="0.25"/>
    <row r="1991" s="3" customFormat="1" x14ac:dyDescent="0.25"/>
    <row r="1992" s="3" customFormat="1" x14ac:dyDescent="0.25"/>
    <row r="1993" s="3" customFormat="1" x14ac:dyDescent="0.25"/>
    <row r="1994" s="3" customFormat="1" x14ac:dyDescent="0.25"/>
    <row r="1995" s="3" customFormat="1" x14ac:dyDescent="0.25"/>
    <row r="1996" s="3" customFormat="1" x14ac:dyDescent="0.25"/>
    <row r="1997" s="3" customFormat="1" x14ac:dyDescent="0.25"/>
    <row r="1998" s="3" customFormat="1" x14ac:dyDescent="0.25"/>
    <row r="1999" s="3" customFormat="1" x14ac:dyDescent="0.25"/>
    <row r="2000" s="3" customFormat="1" x14ac:dyDescent="0.25"/>
    <row r="2001" s="3" customFormat="1" x14ac:dyDescent="0.25"/>
    <row r="2002" s="3" customFormat="1" x14ac:dyDescent="0.25"/>
    <row r="2003" s="3" customFormat="1" x14ac:dyDescent="0.25"/>
    <row r="2004" s="3" customFormat="1" x14ac:dyDescent="0.25"/>
    <row r="2005" s="3" customFormat="1" x14ac:dyDescent="0.25"/>
    <row r="2006" s="3" customFormat="1" x14ac:dyDescent="0.25"/>
    <row r="2007" s="3" customFormat="1" x14ac:dyDescent="0.25"/>
    <row r="2008" s="3" customFormat="1" x14ac:dyDescent="0.25"/>
    <row r="2009" s="3" customFormat="1" x14ac:dyDescent="0.25"/>
    <row r="2010" s="3" customFormat="1" x14ac:dyDescent="0.25"/>
    <row r="2011" s="3" customFormat="1" x14ac:dyDescent="0.25"/>
    <row r="2012" s="3" customFormat="1" x14ac:dyDescent="0.25"/>
    <row r="2013" s="3" customFormat="1" x14ac:dyDescent="0.25"/>
    <row r="2014" s="3" customFormat="1" x14ac:dyDescent="0.25"/>
    <row r="2015" s="3" customFormat="1" x14ac:dyDescent="0.25"/>
    <row r="2016" s="3" customFormat="1" x14ac:dyDescent="0.25"/>
    <row r="2017" s="3" customFormat="1" x14ac:dyDescent="0.25"/>
    <row r="2018" s="3" customFormat="1" x14ac:dyDescent="0.25"/>
    <row r="2019" s="3" customFormat="1" x14ac:dyDescent="0.25"/>
    <row r="2020" s="3" customFormat="1" x14ac:dyDescent="0.25"/>
    <row r="2021" s="3" customFormat="1" x14ac:dyDescent="0.25"/>
    <row r="2022" s="3" customFormat="1" x14ac:dyDescent="0.25"/>
  </sheetData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058FA0-02E3-4BB1-96AE-4D14C518EE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nombres_durées_sujetsTV</vt:lpstr>
      <vt:lpstr>TRAITEMENT</vt:lpstr>
      <vt:lpstr>TABLEAU DE BORD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2023-06-18T20:00:02Z</dcterms:created>
  <dcterms:modified xsi:type="dcterms:W3CDTF">2023-06-22T03:40:43Z</dcterms:modified>
</cp:coreProperties>
</file>